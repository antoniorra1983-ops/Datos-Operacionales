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SEAT/2026/"/>
    </mc:Choice>
  </mc:AlternateContent>
  <xr:revisionPtr revIDLastSave="2" documentId="13_ncr:1_{466AE003-77E3-4875-813A-539BD3A3DB7F}" xr6:coauthVersionLast="47" xr6:coauthVersionMax="47" xr10:uidLastSave="{D070A3C3-C862-4288-89BB-236EC18B398F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6" i="1" l="1"/>
  <c r="BB35" i="1"/>
  <c r="BA35" i="1" s="1"/>
  <c r="AY35" i="1" s="1"/>
  <c r="BB34" i="1"/>
  <c r="BB33" i="1"/>
  <c r="BB32" i="1"/>
  <c r="BB31" i="1"/>
  <c r="BB30" i="1"/>
  <c r="BB29" i="1"/>
  <c r="BB28" i="1"/>
  <c r="BA28" i="1" s="1"/>
  <c r="AY28" i="1" s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A13" i="1" s="1"/>
  <c r="AY13" i="1" s="1"/>
  <c r="BB12" i="1"/>
  <c r="BB11" i="1"/>
  <c r="BB10" i="1"/>
  <c r="BB9" i="1"/>
  <c r="BB8" i="1"/>
  <c r="BB7" i="1"/>
  <c r="BA34" i="1"/>
  <c r="AY34" i="1" s="1"/>
  <c r="BA33" i="1"/>
  <c r="AY33" i="1" s="1"/>
  <c r="BA32" i="1"/>
  <c r="AY32" i="1" s="1"/>
  <c r="BA27" i="1"/>
  <c r="AY27" i="1" s="1"/>
  <c r="BA25" i="1"/>
  <c r="AY25" i="1" s="1"/>
  <c r="BA22" i="1"/>
  <c r="AY22" i="1" s="1"/>
  <c r="BA18" i="1"/>
  <c r="AY18" i="1" s="1"/>
  <c r="BA15" i="1"/>
  <c r="AY15" i="1" s="1"/>
  <c r="BA11" i="1"/>
  <c r="AY11" i="1" s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6" i="1"/>
  <c r="AF7" i="1"/>
  <c r="AF8" i="1"/>
  <c r="BA9" i="1"/>
  <c r="AY9" i="1" s="1"/>
  <c r="BA10" i="1"/>
  <c r="AY10" i="1" s="1"/>
  <c r="BA12" i="1"/>
  <c r="AY12" i="1" s="1"/>
  <c r="BA14" i="1"/>
  <c r="AY14" i="1" s="1"/>
  <c r="BA16" i="1"/>
  <c r="AY16" i="1" s="1"/>
  <c r="BA17" i="1"/>
  <c r="AY17" i="1" s="1"/>
  <c r="BA19" i="1"/>
  <c r="AY19" i="1" s="1"/>
  <c r="BA20" i="1"/>
  <c r="AY20" i="1" s="1"/>
  <c r="BA21" i="1"/>
  <c r="AY21" i="1" s="1"/>
  <c r="BA23" i="1"/>
  <c r="AY23" i="1" s="1"/>
  <c r="BA24" i="1"/>
  <c r="AY24" i="1" s="1"/>
  <c r="BA26" i="1"/>
  <c r="AY26" i="1" s="1"/>
  <c r="BA29" i="1"/>
  <c r="AY29" i="1" s="1"/>
  <c r="BA30" i="1"/>
  <c r="AY30" i="1" s="1"/>
  <c r="BA31" i="1"/>
  <c r="AY31" i="1" s="1"/>
  <c r="BA36" i="1"/>
  <c r="AY36" i="1" s="1"/>
  <c r="BA37" i="1"/>
  <c r="AY37" i="1" s="1"/>
  <c r="BA38" i="1"/>
  <c r="AY38" i="1" s="1"/>
  <c r="BA39" i="1"/>
  <c r="AY39" i="1"/>
  <c r="AY6" i="1"/>
  <c r="BA8" i="1" l="1"/>
  <c r="AY8" i="1" s="1"/>
  <c r="BA6" i="1"/>
  <c r="D7" i="1"/>
  <c r="H7" i="1"/>
  <c r="Q7" i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D7" i="1"/>
  <c r="AC7" i="1"/>
  <c r="AL7" i="1"/>
  <c r="AN7" i="1"/>
  <c r="AP7" i="1"/>
  <c r="AM7" i="1" s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X7" i="1"/>
  <c r="BA7" i="1"/>
  <c r="AY7" i="1" s="1"/>
  <c r="BI7" i="1"/>
  <c r="BI8" i="1" s="1"/>
  <c r="BI9" i="1" s="1"/>
  <c r="BI10" i="1" s="1"/>
  <c r="BI11" i="1" s="1"/>
  <c r="BJ7" i="1"/>
  <c r="BL7" i="1"/>
  <c r="D8" i="1"/>
  <c r="H8" i="1"/>
  <c r="G8" i="1" s="1"/>
  <c r="Q8" i="1"/>
  <c r="Q9" i="1" s="1"/>
  <c r="Q10" i="1" s="1"/>
  <c r="Q11" i="1" s="1"/>
  <c r="Q12" i="1" s="1"/>
  <c r="Q13" i="1" s="1"/>
  <c r="AC8" i="1"/>
  <c r="AD8" i="1"/>
  <c r="AL8" i="1"/>
  <c r="AL9" i="1" s="1"/>
  <c r="AN8" i="1"/>
  <c r="AP8" i="1"/>
  <c r="AM8" i="1" s="1"/>
  <c r="AW8" i="1"/>
  <c r="AX8" i="1"/>
  <c r="BL8" i="1"/>
  <c r="BJ8" i="1" s="1"/>
  <c r="D9" i="1"/>
  <c r="H9" i="1"/>
  <c r="AD9" i="1"/>
  <c r="AC9" i="1"/>
  <c r="AN9" i="1"/>
  <c r="AP9" i="1"/>
  <c r="AM9" i="1" s="1"/>
  <c r="AX9" i="1"/>
  <c r="AW9" i="1"/>
  <c r="BL9" i="1"/>
  <c r="BJ9" i="1" s="1"/>
  <c r="D10" i="1"/>
  <c r="H10" i="1"/>
  <c r="AC10" i="1"/>
  <c r="AD10" i="1"/>
  <c r="AL10" i="1"/>
  <c r="AN10" i="1"/>
  <c r="AP10" i="1"/>
  <c r="AM10" i="1" s="1"/>
  <c r="AX10" i="1"/>
  <c r="BL10" i="1"/>
  <c r="D11" i="1"/>
  <c r="H11" i="1"/>
  <c r="AD11" i="1"/>
  <c r="AL11" i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N11" i="1"/>
  <c r="AP11" i="1"/>
  <c r="AM11" i="1" s="1"/>
  <c r="AW11" i="1"/>
  <c r="AX11" i="1"/>
  <c r="BL11" i="1"/>
  <c r="BJ11" i="1" s="1"/>
  <c r="D12" i="1"/>
  <c r="H12" i="1"/>
  <c r="AD12" i="1"/>
  <c r="AC12" i="1"/>
  <c r="AN12" i="1"/>
  <c r="AP12" i="1"/>
  <c r="AM12" i="1" s="1"/>
  <c r="AX12" i="1"/>
  <c r="AW12" i="1"/>
  <c r="BI12" i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L12" i="1"/>
  <c r="BJ12" i="1" s="1"/>
  <c r="D13" i="1"/>
  <c r="H13" i="1"/>
  <c r="AD13" i="1"/>
  <c r="AC13" i="1"/>
  <c r="AN13" i="1"/>
  <c r="AP13" i="1"/>
  <c r="AM13" i="1" s="1"/>
  <c r="AX13" i="1"/>
  <c r="AW13" i="1"/>
  <c r="BL13" i="1"/>
  <c r="I13" i="1" s="1"/>
  <c r="M13" i="1" s="1"/>
  <c r="D14" i="1"/>
  <c r="H14" i="1"/>
  <c r="Q14" i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AD14" i="1"/>
  <c r="AC14" i="1"/>
  <c r="AN14" i="1"/>
  <c r="AP14" i="1"/>
  <c r="AM14" i="1" s="1"/>
  <c r="AW14" i="1"/>
  <c r="AX14" i="1"/>
  <c r="BL14" i="1"/>
  <c r="D15" i="1"/>
  <c r="H15" i="1"/>
  <c r="AD15" i="1"/>
  <c r="AC15" i="1"/>
  <c r="AN15" i="1"/>
  <c r="AP15" i="1"/>
  <c r="AM15" i="1" s="1"/>
  <c r="AW15" i="1"/>
  <c r="AX15" i="1"/>
  <c r="BL15" i="1"/>
  <c r="L15" i="1" s="1"/>
  <c r="P15" i="1" s="1"/>
  <c r="D16" i="1"/>
  <c r="H16" i="1"/>
  <c r="AD16" i="1"/>
  <c r="AC16" i="1"/>
  <c r="AN16" i="1"/>
  <c r="AP16" i="1"/>
  <c r="AM16" i="1" s="1"/>
  <c r="AX16" i="1"/>
  <c r="AW16" i="1"/>
  <c r="BL16" i="1"/>
  <c r="BJ16" i="1" s="1"/>
  <c r="D17" i="1"/>
  <c r="H17" i="1"/>
  <c r="AD17" i="1"/>
  <c r="AC17" i="1"/>
  <c r="AN17" i="1"/>
  <c r="AP17" i="1"/>
  <c r="AM17" i="1" s="1"/>
  <c r="AV17" i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X17" i="1"/>
  <c r="AW17" i="1"/>
  <c r="BL17" i="1"/>
  <c r="D18" i="1"/>
  <c r="H18" i="1"/>
  <c r="AD18" i="1"/>
  <c r="AC18" i="1"/>
  <c r="AN18" i="1"/>
  <c r="AP18" i="1"/>
  <c r="AM18" i="1" s="1"/>
  <c r="AX18" i="1"/>
  <c r="BL18" i="1"/>
  <c r="BJ18" i="1" s="1"/>
  <c r="D19" i="1"/>
  <c r="H19" i="1"/>
  <c r="AD19" i="1"/>
  <c r="AC19" i="1"/>
  <c r="AN19" i="1"/>
  <c r="AP19" i="1"/>
  <c r="AM19" i="1" s="1"/>
  <c r="AX19" i="1"/>
  <c r="AW19" i="1"/>
  <c r="BL19" i="1"/>
  <c r="BJ19" i="1" s="1"/>
  <c r="D20" i="1"/>
  <c r="H20" i="1"/>
  <c r="AD20" i="1"/>
  <c r="AC20" i="1"/>
  <c r="AN20" i="1"/>
  <c r="AP20" i="1"/>
  <c r="AM20" i="1" s="1"/>
  <c r="AX20" i="1"/>
  <c r="AW20" i="1"/>
  <c r="BL20" i="1"/>
  <c r="BJ20" i="1" s="1"/>
  <c r="D21" i="1"/>
  <c r="H21" i="1"/>
  <c r="AD21" i="1"/>
  <c r="AC21" i="1"/>
  <c r="AN21" i="1"/>
  <c r="AP21" i="1"/>
  <c r="AM21" i="1" s="1"/>
  <c r="AX21" i="1"/>
  <c r="BL21" i="1"/>
  <c r="BJ21" i="1" s="1"/>
  <c r="D22" i="1"/>
  <c r="H22" i="1"/>
  <c r="AD22" i="1"/>
  <c r="AC22" i="1"/>
  <c r="AN22" i="1"/>
  <c r="AP22" i="1"/>
  <c r="AM22" i="1" s="1"/>
  <c r="AX22" i="1"/>
  <c r="AW22" i="1"/>
  <c r="BL22" i="1"/>
  <c r="D23" i="1"/>
  <c r="H23" i="1"/>
  <c r="AD23" i="1"/>
  <c r="AN23" i="1"/>
  <c r="AP23" i="1"/>
  <c r="AM23" i="1" s="1"/>
  <c r="AX23" i="1"/>
  <c r="AW23" i="1"/>
  <c r="BL23" i="1"/>
  <c r="L23" i="1" s="1"/>
  <c r="P23" i="1" s="1"/>
  <c r="D24" i="1"/>
  <c r="H24" i="1"/>
  <c r="AD24" i="1"/>
  <c r="AC24" i="1"/>
  <c r="AN24" i="1"/>
  <c r="AP24" i="1"/>
  <c r="AM24" i="1" s="1"/>
  <c r="AW24" i="1"/>
  <c r="AX24" i="1"/>
  <c r="BL24" i="1"/>
  <c r="BJ24" i="1" s="1"/>
  <c r="D25" i="1"/>
  <c r="H25" i="1"/>
  <c r="G25" i="1" s="1"/>
  <c r="AD25" i="1"/>
  <c r="AC25" i="1"/>
  <c r="AN25" i="1"/>
  <c r="AP25" i="1"/>
  <c r="AM25" i="1" s="1"/>
  <c r="AW25" i="1"/>
  <c r="AX25" i="1"/>
  <c r="BL25" i="1"/>
  <c r="D26" i="1"/>
  <c r="H26" i="1"/>
  <c r="AD26" i="1"/>
  <c r="AC26" i="1"/>
  <c r="AN26" i="1"/>
  <c r="AP26" i="1"/>
  <c r="AM26" i="1" s="1"/>
  <c r="AX26" i="1"/>
  <c r="BL26" i="1"/>
  <c r="I26" i="1" s="1"/>
  <c r="M26" i="1" s="1"/>
  <c r="D27" i="1"/>
  <c r="H27" i="1"/>
  <c r="AD27" i="1"/>
  <c r="AC27" i="1"/>
  <c r="AN27" i="1"/>
  <c r="AP27" i="1"/>
  <c r="AM27" i="1" s="1"/>
  <c r="AX27" i="1"/>
  <c r="AW27" i="1"/>
  <c r="BL27" i="1"/>
  <c r="BJ27" i="1" s="1"/>
  <c r="D28" i="1"/>
  <c r="H28" i="1"/>
  <c r="AD28" i="1"/>
  <c r="AC28" i="1"/>
  <c r="AN28" i="1"/>
  <c r="AP28" i="1"/>
  <c r="AM28" i="1" s="1"/>
  <c r="AX28" i="1"/>
  <c r="AW28" i="1"/>
  <c r="BL28" i="1"/>
  <c r="I28" i="1" s="1"/>
  <c r="M28" i="1" s="1"/>
  <c r="D29" i="1"/>
  <c r="H29" i="1"/>
  <c r="G29" i="1" s="1"/>
  <c r="AD29" i="1"/>
  <c r="AC29" i="1"/>
  <c r="AN29" i="1"/>
  <c r="AP29" i="1"/>
  <c r="AM29" i="1" s="1"/>
  <c r="AX29" i="1"/>
  <c r="BL29" i="1"/>
  <c r="BJ29" i="1" s="1"/>
  <c r="D30" i="1"/>
  <c r="H30" i="1"/>
  <c r="AD30" i="1"/>
  <c r="AC30" i="1"/>
  <c r="AN30" i="1"/>
  <c r="AP30" i="1"/>
  <c r="AM30" i="1" s="1"/>
  <c r="AX30" i="1"/>
  <c r="AW30" i="1"/>
  <c r="BL30" i="1"/>
  <c r="D31" i="1"/>
  <c r="H31" i="1"/>
  <c r="AC31" i="1"/>
  <c r="AD31" i="1"/>
  <c r="AN31" i="1"/>
  <c r="AP31" i="1"/>
  <c r="AM31" i="1" s="1"/>
  <c r="AX31" i="1"/>
  <c r="AW31" i="1"/>
  <c r="BL31" i="1"/>
  <c r="L31" i="1" s="1"/>
  <c r="P31" i="1" s="1"/>
  <c r="D32" i="1"/>
  <c r="H32" i="1"/>
  <c r="AC32" i="1"/>
  <c r="AD32" i="1"/>
  <c r="AN32" i="1"/>
  <c r="AP32" i="1"/>
  <c r="AM32" i="1" s="1"/>
  <c r="AX32" i="1"/>
  <c r="AW32" i="1"/>
  <c r="BL32" i="1"/>
  <c r="BJ32" i="1" s="1"/>
  <c r="D33" i="1"/>
  <c r="H33" i="1"/>
  <c r="AD33" i="1"/>
  <c r="AC33" i="1"/>
  <c r="AM33" i="1"/>
  <c r="AN33" i="1"/>
  <c r="AX33" i="1"/>
  <c r="BL33" i="1"/>
  <c r="I33" i="1" s="1"/>
  <c r="M33" i="1" s="1"/>
  <c r="D34" i="1"/>
  <c r="H34" i="1"/>
  <c r="AD34" i="1"/>
  <c r="AC34" i="1"/>
  <c r="AN34" i="1"/>
  <c r="AP34" i="1"/>
  <c r="AM34" i="1" s="1"/>
  <c r="AX34" i="1"/>
  <c r="AW34" i="1"/>
  <c r="BL34" i="1"/>
  <c r="BJ34" i="1" s="1"/>
  <c r="D35" i="1"/>
  <c r="H35" i="1"/>
  <c r="AD35" i="1"/>
  <c r="AC35" i="1"/>
  <c r="AN35" i="1"/>
  <c r="AP35" i="1"/>
  <c r="AM35" i="1" s="1"/>
  <c r="AX35" i="1"/>
  <c r="AW35" i="1"/>
  <c r="BL35" i="1"/>
  <c r="I35" i="1" s="1"/>
  <c r="M35" i="1" s="1"/>
  <c r="D36" i="1"/>
  <c r="H36" i="1"/>
  <c r="F36" i="1" s="1"/>
  <c r="E36" i="1" s="1"/>
  <c r="AD36" i="1"/>
  <c r="AC36" i="1"/>
  <c r="AN36" i="1"/>
  <c r="AP36" i="1"/>
  <c r="AM36" i="1" s="1"/>
  <c r="AX36" i="1"/>
  <c r="BL36" i="1"/>
  <c r="BK36" i="1" s="1"/>
  <c r="D37" i="1"/>
  <c r="H37" i="1"/>
  <c r="F37" i="1" s="1"/>
  <c r="E37" i="1" s="1"/>
  <c r="AD37" i="1"/>
  <c r="AC37" i="1"/>
  <c r="AN37" i="1"/>
  <c r="AP37" i="1"/>
  <c r="AM37" i="1" s="1"/>
  <c r="AW37" i="1"/>
  <c r="AX37" i="1"/>
  <c r="BL37" i="1"/>
  <c r="I37" i="1" s="1"/>
  <c r="M37" i="1" s="1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5" i="2"/>
  <c r="G16" i="2"/>
  <c r="J79" i="2"/>
  <c r="E79" i="2" s="1"/>
  <c r="R36" i="2"/>
  <c r="R35" i="2"/>
  <c r="G34" i="1" l="1"/>
  <c r="G33" i="1"/>
  <c r="BJ33" i="1"/>
  <c r="G30" i="1"/>
  <c r="BK27" i="1"/>
  <c r="G26" i="1"/>
  <c r="F22" i="1"/>
  <c r="E22" i="1" s="1"/>
  <c r="G21" i="1"/>
  <c r="G16" i="1"/>
  <c r="F14" i="1"/>
  <c r="E14" i="1" s="1"/>
  <c r="BJ13" i="1"/>
  <c r="K11" i="1"/>
  <c r="O11" i="1" s="1"/>
  <c r="G11" i="1"/>
  <c r="F10" i="1"/>
  <c r="E10" i="1" s="1"/>
  <c r="G10" i="1"/>
  <c r="F17" i="1"/>
  <c r="E17" i="1" s="1"/>
  <c r="F8" i="1"/>
  <c r="E8" i="1" s="1"/>
  <c r="F18" i="1"/>
  <c r="E18" i="1" s="1"/>
  <c r="F27" i="1"/>
  <c r="E27" i="1" s="1"/>
  <c r="F26" i="1"/>
  <c r="E26" i="1" s="1"/>
  <c r="F12" i="1"/>
  <c r="E12" i="1" s="1"/>
  <c r="BK16" i="1"/>
  <c r="BK24" i="1"/>
  <c r="BJ36" i="1"/>
  <c r="L18" i="1"/>
  <c r="P18" i="1" s="1"/>
  <c r="BJ23" i="1"/>
  <c r="BK37" i="1"/>
  <c r="BK29" i="1"/>
  <c r="BJ26" i="1"/>
  <c r="L26" i="1"/>
  <c r="P26" i="1" s="1"/>
  <c r="BJ15" i="1"/>
  <c r="BK26" i="1"/>
  <c r="BJ31" i="1"/>
  <c r="BJ28" i="1"/>
  <c r="BK8" i="1"/>
  <c r="BJ35" i="1"/>
  <c r="BK33" i="1"/>
  <c r="BK21" i="1"/>
  <c r="L8" i="1"/>
  <c r="P8" i="1" s="1"/>
  <c r="BK32" i="1"/>
  <c r="AW7" i="1"/>
  <c r="L11" i="1"/>
  <c r="P11" i="1" s="1"/>
  <c r="F7" i="1"/>
  <c r="E7" i="1" s="1"/>
  <c r="F25" i="1"/>
  <c r="E25" i="1" s="1"/>
  <c r="F19" i="1"/>
  <c r="E19" i="1" s="1"/>
  <c r="F16" i="1"/>
  <c r="E16" i="1" s="1"/>
  <c r="F11" i="1"/>
  <c r="E11" i="1" s="1"/>
  <c r="F9" i="1"/>
  <c r="E9" i="1" s="1"/>
  <c r="F29" i="1"/>
  <c r="E29" i="1" s="1"/>
  <c r="F33" i="1"/>
  <c r="E33" i="1" s="1"/>
  <c r="F24" i="1"/>
  <c r="E24" i="1" s="1"/>
  <c r="K23" i="1"/>
  <c r="O23" i="1" s="1"/>
  <c r="F21" i="1"/>
  <c r="E21" i="1" s="1"/>
  <c r="G37" i="1"/>
  <c r="F34" i="1"/>
  <c r="E34" i="1" s="1"/>
  <c r="F30" i="1"/>
  <c r="E30" i="1" s="1"/>
  <c r="G22" i="1"/>
  <c r="K31" i="1"/>
  <c r="O31" i="1" s="1"/>
  <c r="K14" i="1"/>
  <c r="O14" i="1" s="1"/>
  <c r="AC23" i="1"/>
  <c r="K7" i="1"/>
  <c r="O7" i="1" s="1"/>
  <c r="K32" i="1"/>
  <c r="O32" i="1" s="1"/>
  <c r="K37" i="1"/>
  <c r="O37" i="1" s="1"/>
  <c r="AC11" i="1"/>
  <c r="K25" i="1"/>
  <c r="O25" i="1" s="1"/>
  <c r="K30" i="1"/>
  <c r="O30" i="1" s="1"/>
  <c r="K24" i="1"/>
  <c r="O24" i="1" s="1"/>
  <c r="K15" i="1"/>
  <c r="O15" i="1" s="1"/>
  <c r="G12" i="1"/>
  <c r="G17" i="1"/>
  <c r="G36" i="1"/>
  <c r="G18" i="1"/>
  <c r="G9" i="1"/>
  <c r="G23" i="1"/>
  <c r="G14" i="1"/>
  <c r="F32" i="1"/>
  <c r="E32" i="1" s="1"/>
  <c r="G32" i="1"/>
  <c r="F35" i="1"/>
  <c r="E35" i="1" s="1"/>
  <c r="G35" i="1"/>
  <c r="BJ25" i="1"/>
  <c r="I25" i="1"/>
  <c r="M25" i="1" s="1"/>
  <c r="BK25" i="1"/>
  <c r="L25" i="1"/>
  <c r="P25" i="1" s="1"/>
  <c r="AW21" i="1"/>
  <c r="K20" i="1"/>
  <c r="O20" i="1" s="1"/>
  <c r="L20" i="1"/>
  <c r="P20" i="1" s="1"/>
  <c r="G19" i="1"/>
  <c r="L30" i="1"/>
  <c r="P30" i="1" s="1"/>
  <c r="BJ30" i="1"/>
  <c r="I30" i="1"/>
  <c r="M30" i="1" s="1"/>
  <c r="BK30" i="1"/>
  <c r="J14" i="1"/>
  <c r="N14" i="1" s="1"/>
  <c r="L14" i="1"/>
  <c r="P14" i="1" s="1"/>
  <c r="BJ14" i="1"/>
  <c r="BK14" i="1"/>
  <c r="F20" i="1"/>
  <c r="E20" i="1" s="1"/>
  <c r="G20" i="1"/>
  <c r="BJ17" i="1"/>
  <c r="I17" i="1"/>
  <c r="M17" i="1" s="1"/>
  <c r="BK17" i="1"/>
  <c r="L17" i="1"/>
  <c r="P17" i="1" s="1"/>
  <c r="K13" i="1"/>
  <c r="O13" i="1" s="1"/>
  <c r="L13" i="1"/>
  <c r="P13" i="1" s="1"/>
  <c r="I14" i="1"/>
  <c r="M14" i="1" s="1"/>
  <c r="F13" i="1"/>
  <c r="E13" i="1" s="1"/>
  <c r="G13" i="1"/>
  <c r="K9" i="1"/>
  <c r="O9" i="1" s="1"/>
  <c r="K33" i="1"/>
  <c r="O33" i="1" s="1"/>
  <c r="L33" i="1"/>
  <c r="P33" i="1" s="1"/>
  <c r="L32" i="1"/>
  <c r="P32" i="1" s="1"/>
  <c r="J30" i="1"/>
  <c r="N30" i="1" s="1"/>
  <c r="L24" i="1"/>
  <c r="P24" i="1" s="1"/>
  <c r="K17" i="1"/>
  <c r="O17" i="1" s="1"/>
  <c r="K16" i="1"/>
  <c r="O16" i="1" s="1"/>
  <c r="I8" i="1"/>
  <c r="M8" i="1" s="1"/>
  <c r="K8" i="1"/>
  <c r="O8" i="1" s="1"/>
  <c r="AW29" i="1"/>
  <c r="J29" i="1"/>
  <c r="N29" i="1" s="1"/>
  <c r="J33" i="1"/>
  <c r="N33" i="1" s="1"/>
  <c r="I32" i="1"/>
  <c r="M32" i="1" s="1"/>
  <c r="F31" i="1"/>
  <c r="E31" i="1" s="1"/>
  <c r="G31" i="1"/>
  <c r="K28" i="1"/>
  <c r="O28" i="1" s="1"/>
  <c r="AW26" i="1"/>
  <c r="K26" i="1"/>
  <c r="O26" i="1" s="1"/>
  <c r="J25" i="1"/>
  <c r="N25" i="1" s="1"/>
  <c r="I24" i="1"/>
  <c r="M24" i="1" s="1"/>
  <c r="F23" i="1"/>
  <c r="E23" i="1" s="1"/>
  <c r="L16" i="1"/>
  <c r="P16" i="1" s="1"/>
  <c r="F15" i="1"/>
  <c r="E15" i="1" s="1"/>
  <c r="G15" i="1"/>
  <c r="AW10" i="1"/>
  <c r="K10" i="1"/>
  <c r="O10" i="1" s="1"/>
  <c r="L7" i="1"/>
  <c r="P7" i="1" s="1"/>
  <c r="J36" i="1"/>
  <c r="N36" i="1" s="1"/>
  <c r="L37" i="1"/>
  <c r="P37" i="1" s="1"/>
  <c r="BJ37" i="1"/>
  <c r="J37" i="1"/>
  <c r="N37" i="1" s="1"/>
  <c r="AW36" i="1"/>
  <c r="K35" i="1"/>
  <c r="O35" i="1" s="1"/>
  <c r="AW33" i="1"/>
  <c r="F28" i="1"/>
  <c r="E28" i="1" s="1"/>
  <c r="G28" i="1"/>
  <c r="G27" i="1"/>
  <c r="G24" i="1"/>
  <c r="L22" i="1"/>
  <c r="P22" i="1" s="1"/>
  <c r="BJ22" i="1"/>
  <c r="I22" i="1"/>
  <c r="M22" i="1" s="1"/>
  <c r="BK22" i="1"/>
  <c r="J21" i="1"/>
  <c r="N21" i="1" s="1"/>
  <c r="I20" i="1"/>
  <c r="M20" i="1" s="1"/>
  <c r="AW18" i="1"/>
  <c r="K18" i="1"/>
  <c r="O18" i="1" s="1"/>
  <c r="J17" i="1"/>
  <c r="N17" i="1" s="1"/>
  <c r="I16" i="1"/>
  <c r="M16" i="1" s="1"/>
  <c r="J31" i="1"/>
  <c r="N31" i="1" s="1"/>
  <c r="J23" i="1"/>
  <c r="N23" i="1" s="1"/>
  <c r="J15" i="1"/>
  <c r="N15" i="1" s="1"/>
  <c r="L9" i="1"/>
  <c r="P9" i="1" s="1"/>
  <c r="J7" i="1"/>
  <c r="N7" i="1" s="1"/>
  <c r="J32" i="1"/>
  <c r="N32" i="1" s="1"/>
  <c r="BK31" i="1"/>
  <c r="I31" i="1"/>
  <c r="M31" i="1" s="1"/>
  <c r="J24" i="1"/>
  <c r="N24" i="1" s="1"/>
  <c r="BK23" i="1"/>
  <c r="I23" i="1"/>
  <c r="M23" i="1" s="1"/>
  <c r="J16" i="1"/>
  <c r="N16" i="1" s="1"/>
  <c r="BK15" i="1"/>
  <c r="I15" i="1"/>
  <c r="M15" i="1" s="1"/>
  <c r="L10" i="1"/>
  <c r="P10" i="1" s="1"/>
  <c r="J8" i="1"/>
  <c r="N8" i="1" s="1"/>
  <c r="BK7" i="1"/>
  <c r="I7" i="1"/>
  <c r="M7" i="1" s="1"/>
  <c r="L35" i="1"/>
  <c r="P35" i="1" s="1"/>
  <c r="L28" i="1"/>
  <c r="P28" i="1" s="1"/>
  <c r="J26" i="1"/>
  <c r="N26" i="1" s="1"/>
  <c r="J18" i="1"/>
  <c r="N18" i="1" s="1"/>
  <c r="J11" i="1"/>
  <c r="N11" i="1" s="1"/>
  <c r="BK10" i="1"/>
  <c r="BK9" i="1"/>
  <c r="I9" i="1"/>
  <c r="M9" i="1" s="1"/>
  <c r="G7" i="1"/>
  <c r="J9" i="1"/>
  <c r="N9" i="1" s="1"/>
  <c r="L36" i="1"/>
  <c r="P36" i="1" s="1"/>
  <c r="J34" i="1"/>
  <c r="N34" i="1" s="1"/>
  <c r="L29" i="1"/>
  <c r="P29" i="1" s="1"/>
  <c r="L21" i="1"/>
  <c r="P21" i="1" s="1"/>
  <c r="J19" i="1"/>
  <c r="N19" i="1" s="1"/>
  <c r="BK18" i="1"/>
  <c r="I18" i="1"/>
  <c r="M18" i="1" s="1"/>
  <c r="J12" i="1"/>
  <c r="N12" i="1" s="1"/>
  <c r="BK11" i="1"/>
  <c r="I11" i="1"/>
  <c r="M11" i="1" s="1"/>
  <c r="BJ10" i="1"/>
  <c r="J35" i="1"/>
  <c r="N35" i="1" s="1"/>
  <c r="BK34" i="1"/>
  <c r="I34" i="1"/>
  <c r="M34" i="1" s="1"/>
  <c r="J28" i="1"/>
  <c r="N28" i="1" s="1"/>
  <c r="I27" i="1"/>
  <c r="M27" i="1" s="1"/>
  <c r="J20" i="1"/>
  <c r="N20" i="1" s="1"/>
  <c r="BK19" i="1"/>
  <c r="I19" i="1"/>
  <c r="M19" i="1" s="1"/>
  <c r="J13" i="1"/>
  <c r="N13" i="1" s="1"/>
  <c r="BK12" i="1"/>
  <c r="BK35" i="1"/>
  <c r="BK28" i="1"/>
  <c r="BK20" i="1"/>
  <c r="BK13" i="1"/>
  <c r="I79" i="2"/>
  <c r="H79" i="2"/>
  <c r="G79" i="2"/>
  <c r="F79" i="2"/>
  <c r="R33" i="2"/>
  <c r="K36" i="1" l="1"/>
  <c r="O36" i="1" s="1"/>
  <c r="I36" i="1"/>
  <c r="M36" i="1" s="1"/>
  <c r="K27" i="1"/>
  <c r="O27" i="1" s="1"/>
  <c r="L27" i="1"/>
  <c r="P27" i="1" s="1"/>
  <c r="K21" i="1"/>
  <c r="O21" i="1" s="1"/>
  <c r="I21" i="1"/>
  <c r="M21" i="1" s="1"/>
  <c r="K12" i="1"/>
  <c r="O12" i="1" s="1"/>
  <c r="L12" i="1"/>
  <c r="P12" i="1" s="1"/>
  <c r="I12" i="1"/>
  <c r="M12" i="1" s="1"/>
  <c r="K22" i="1"/>
  <c r="O22" i="1" s="1"/>
  <c r="J22" i="1"/>
  <c r="N22" i="1" s="1"/>
  <c r="K19" i="1"/>
  <c r="O19" i="1" s="1"/>
  <c r="L19" i="1"/>
  <c r="P19" i="1" s="1"/>
  <c r="K34" i="1"/>
  <c r="O34" i="1" s="1"/>
  <c r="L34" i="1"/>
  <c r="P34" i="1" s="1"/>
  <c r="I10" i="1"/>
  <c r="M10" i="1" s="1"/>
  <c r="K29" i="1"/>
  <c r="O29" i="1" s="1"/>
  <c r="I29" i="1"/>
  <c r="M29" i="1" s="1"/>
  <c r="J27" i="1"/>
  <c r="N27" i="1" s="1"/>
  <c r="J10" i="1"/>
  <c r="N10" i="1" s="1"/>
  <c r="R45" i="2"/>
  <c r="R44" i="2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E48" i="2" l="1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R20" i="2" l="1"/>
  <c r="S39" i="1" l="1"/>
  <c r="R38" i="1" s="1"/>
  <c r="R43" i="2"/>
  <c r="R41" i="2"/>
  <c r="R42" i="2"/>
  <c r="R40" i="2"/>
  <c r="R39" i="2"/>
  <c r="R38" i="2"/>
  <c r="R37" i="2"/>
  <c r="R34" i="2"/>
  <c r="R32" i="2"/>
  <c r="R31" i="2"/>
  <c r="R30" i="2"/>
  <c r="R29" i="2" l="1"/>
  <c r="R25" i="2"/>
  <c r="R28" i="2"/>
  <c r="R27" i="2"/>
  <c r="R26" i="2"/>
  <c r="R24" i="2"/>
  <c r="R23" i="2"/>
  <c r="R22" i="2"/>
  <c r="R21" i="2"/>
  <c r="R19" i="2"/>
  <c r="R18" i="2"/>
  <c r="R15" i="2"/>
  <c r="R16" i="2"/>
  <c r="R17" i="2"/>
  <c r="U15" i="2" l="1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I26" i="2"/>
  <c r="I27" i="2" s="1"/>
  <c r="I28" i="2" s="1"/>
  <c r="I29" i="2" s="1"/>
  <c r="I30" i="2" s="1"/>
  <c r="I31" i="2" s="1"/>
  <c r="I32" i="2" s="1"/>
  <c r="I33" i="2" l="1"/>
  <c r="I34" i="2" s="1"/>
  <c r="I35" i="2" s="1"/>
  <c r="I36" i="2" s="1"/>
  <c r="I37" i="2" s="1"/>
  <c r="I38" i="2" s="1"/>
  <c r="I39" i="2" s="1"/>
  <c r="I40" i="2" s="1"/>
  <c r="U33" i="2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I41" i="2" l="1"/>
  <c r="I42" i="2" s="1"/>
  <c r="I43" i="2" s="1"/>
  <c r="I44" i="2" s="1"/>
  <c r="I45" i="2" s="1"/>
  <c r="U44" i="2"/>
  <c r="U45" i="2" s="1"/>
  <c r="B16" i="2"/>
  <c r="M15" i="2"/>
  <c r="B17" i="2" l="1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3" i="2" s="1"/>
  <c r="M32" i="2"/>
  <c r="B34" i="2" l="1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s="1"/>
  <c r="M45" i="2" s="1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<sst xmlns="http://schemas.openxmlformats.org/spreadsheetml/2006/main" count="124" uniqueCount="72">
  <si>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</si>
  <si>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</si>
  <si>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</si>
  <si>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</si>
  <si>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</si>
  <si>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</si>
  <si>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</si>
  <si>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</si>
  <si>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</si>
  <si>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</si>
  <si>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</si>
  <si>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</si>
  <si>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</si>
  <si>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</si>
  <si>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</si>
  <si>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</si>
  <si>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</si>
  <si>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</si>
  <si>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</si>
  <si>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</si>
  <si>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</si>
  <si>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</si>
  <si>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</si>
  <si>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</si>
  <si>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</si>
  <si>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</si>
  <si>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</si>
  <si>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</si>
  <si>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</si>
  <si>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</si>
  <si>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</si>
  <si>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</si>
  <si>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</si>
  <si>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</si>
  <si>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</si>
  <si>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</si>
  <si>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</si>
  <si>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</si>
  <si>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</si>
  <si>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</si>
  <si>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</si>
  <si>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</si>
  <si>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</si>
  <si>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</si>
  <si>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</si>
  <si>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</si>
  <si>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</si>
  <si>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</si>
  <si>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</si>
  <si>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</si>
  <si>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</si>
  <si>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</si>
  <si>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</si>
  <si>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</si>
  <si>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</si>
  <si>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</si>
  <si>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</si>
  <si>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</si>
  <si>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</si>
  <si>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</si>
  <si>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</si>
  <si>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</si>
  <si>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</si>
  <si>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</si>
  <si>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</si>
  <si>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</si>
  <si>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</si>
  <si>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</si>
  <si>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</si>
  <si>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DDA Max 12 Kva</t>
  </si>
  <si>
    <t>21.00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</si>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</sst>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2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8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58362</c:v>
                </c:pt>
                <c:pt idx="1">
                  <c:v>62064</c:v>
                </c:pt>
                <c:pt idx="2">
                  <c:v>32212</c:v>
                </c:pt>
                <c:pt idx="3">
                  <c:v>30838</c:v>
                </c:pt>
                <c:pt idx="4">
                  <c:v>28066</c:v>
                </c:pt>
                <c:pt idx="5">
                  <c:v>56504</c:v>
                </c:pt>
                <c:pt idx="6">
                  <c:v>58072</c:v>
                </c:pt>
                <c:pt idx="7">
                  <c:v>59180</c:v>
                </c:pt>
                <c:pt idx="8">
                  <c:v>58480</c:v>
                </c:pt>
                <c:pt idx="9">
                  <c:v>57202</c:v>
                </c:pt>
                <c:pt idx="10">
                  <c:v>35852</c:v>
                </c:pt>
                <c:pt idx="11">
                  <c:v>32042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50899</c:v>
                </c:pt>
                <c:pt idx="1">
                  <c:v>54612</c:v>
                </c:pt>
                <c:pt idx="2">
                  <c:v>24930</c:v>
                </c:pt>
                <c:pt idx="3">
                  <c:v>23309</c:v>
                </c:pt>
                <c:pt idx="4">
                  <c:v>20961</c:v>
                </c:pt>
                <c:pt idx="5">
                  <c:v>49144.14</c:v>
                </c:pt>
                <c:pt idx="6">
                  <c:v>50573.85</c:v>
                </c:pt>
                <c:pt idx="7">
                  <c:v>51657</c:v>
                </c:pt>
                <c:pt idx="8">
                  <c:v>51002</c:v>
                </c:pt>
                <c:pt idx="9">
                  <c:v>49892</c:v>
                </c:pt>
                <c:pt idx="10">
                  <c:v>29788</c:v>
                </c:pt>
                <c:pt idx="11">
                  <c:v>25314.98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7463</c:v>
                </c:pt>
                <c:pt idx="1">
                  <c:v>7452</c:v>
                </c:pt>
                <c:pt idx="2">
                  <c:v>7282</c:v>
                </c:pt>
                <c:pt idx="3">
                  <c:v>7529</c:v>
                </c:pt>
                <c:pt idx="4">
                  <c:v>7105</c:v>
                </c:pt>
                <c:pt idx="5">
                  <c:v>7359.8600000000006</c:v>
                </c:pt>
                <c:pt idx="6">
                  <c:v>7498.15</c:v>
                </c:pt>
                <c:pt idx="7">
                  <c:v>7523</c:v>
                </c:pt>
                <c:pt idx="8">
                  <c:v>7478</c:v>
                </c:pt>
                <c:pt idx="9">
                  <c:v>7310</c:v>
                </c:pt>
                <c:pt idx="10">
                  <c:v>6064</c:v>
                </c:pt>
                <c:pt idx="11">
                  <c:v>6727.02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2951</c:v>
                </c:pt>
                <c:pt idx="1">
                  <c:v>2979</c:v>
                </c:pt>
                <c:pt idx="2">
                  <c:v>2905</c:v>
                </c:pt>
                <c:pt idx="3">
                  <c:v>2463</c:v>
                </c:pt>
                <c:pt idx="4">
                  <c:v>2534</c:v>
                </c:pt>
                <c:pt idx="5">
                  <c:v>2315</c:v>
                </c:pt>
                <c:pt idx="6">
                  <c:v>2787.62</c:v>
                </c:pt>
                <c:pt idx="7">
                  <c:v>2916.49</c:v>
                </c:pt>
                <c:pt idx="8">
                  <c:v>2920</c:v>
                </c:pt>
                <c:pt idx="9">
                  <c:v>2920</c:v>
                </c:pt>
                <c:pt idx="10">
                  <c:v>2859</c:v>
                </c:pt>
                <c:pt idx="11">
                  <c:v>2538</c:v>
                </c:pt>
                <c:pt idx="12">
                  <c:v>2325.5100000000002</c:v>
                </c:pt>
                <c:pt idx="13">
                  <c:v>3000</c:v>
                </c:pt>
                <c:pt idx="14">
                  <c:v>2999</c:v>
                </c:pt>
                <c:pt idx="15">
                  <c:v>3046</c:v>
                </c:pt>
                <c:pt idx="16">
                  <c:v>2899</c:v>
                </c:pt>
                <c:pt idx="17">
                  <c:v>2830.01</c:v>
                </c:pt>
                <c:pt idx="18">
                  <c:v>2448.9</c:v>
                </c:pt>
                <c:pt idx="19">
                  <c:v>2398</c:v>
                </c:pt>
                <c:pt idx="20">
                  <c:v>2833</c:v>
                </c:pt>
                <c:pt idx="21">
                  <c:v>2854</c:v>
                </c:pt>
                <c:pt idx="22">
                  <c:v>3079</c:v>
                </c:pt>
                <c:pt idx="23">
                  <c:v>2981</c:v>
                </c:pt>
                <c:pt idx="24">
                  <c:v>2808</c:v>
                </c:pt>
                <c:pt idx="25">
                  <c:v>2489</c:v>
                </c:pt>
                <c:pt idx="26">
                  <c:v>2506</c:v>
                </c:pt>
                <c:pt idx="27">
                  <c:v>2946</c:v>
                </c:pt>
                <c:pt idx="28">
                  <c:v>2948</c:v>
                </c:pt>
                <c:pt idx="29">
                  <c:v>2963</c:v>
                </c:pt>
                <c:pt idx="30">
                  <c:v>3010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abSelected="1" topLeftCell="A5" zoomScaleNormal="100" zoomScaleSheetLayoutView="120" workbookViewId="0">
      <selection activeCell="H7" sqref="H7:H36"/>
    </sheetView>
  </sheetViews>
  <sheetFormatPr baseColWidth="10" defaultColWidth="11.42578125" defaultRowHeight="15" x14ac:dyDescent="0.25"/>
  <cols>
    <col min="1" max="1" width="2.28515625" style="134" customWidth="1"/>
    <col min="2" max="2" width="10.42578125" style="14" customWidth="1"/>
    <col min="3" max="3" width="2.28515625" style="167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3" customFormat="1" ht="14.65" customHeight="1" x14ac:dyDescent="0.25">
      <c r="A1" s="127">
        <v>1.1111111E+55</v>
      </c>
      <c r="B1" s="183" t="s">
        <v>0</v>
      </c>
      <c r="C1" s="128"/>
      <c r="D1" s="185" t="s">
        <v>1</v>
      </c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7"/>
      <c r="P1" s="188"/>
      <c r="Q1" s="129"/>
      <c r="R1" s="193" t="s">
        <v>2</v>
      </c>
      <c r="S1" s="194"/>
      <c r="T1" s="194"/>
      <c r="U1" s="194"/>
      <c r="V1" s="194"/>
      <c r="W1" s="194"/>
      <c r="X1" s="194"/>
      <c r="Y1" s="194"/>
      <c r="Z1" s="194"/>
      <c r="AA1" s="195"/>
      <c r="AB1" s="130"/>
      <c r="AC1" s="193" t="s">
        <v>3</v>
      </c>
      <c r="AD1" s="194"/>
      <c r="AE1" s="194"/>
      <c r="AF1" s="194"/>
      <c r="AG1" s="194"/>
      <c r="AH1" s="194"/>
      <c r="AI1" s="194"/>
      <c r="AJ1" s="194"/>
      <c r="AK1" s="195"/>
      <c r="AL1" s="131"/>
      <c r="AM1" s="193" t="s">
        <v>4</v>
      </c>
      <c r="AN1" s="194"/>
      <c r="AO1" s="194"/>
      <c r="AP1" s="194"/>
      <c r="AQ1" s="194"/>
      <c r="AR1" s="194"/>
      <c r="AS1" s="194"/>
      <c r="AT1" s="194"/>
      <c r="AU1" s="195"/>
      <c r="AV1" s="131"/>
      <c r="AW1" s="193" t="s">
        <v>57</v>
      </c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5"/>
      <c r="BI1" s="131"/>
      <c r="BJ1" s="193" t="s">
        <v>5</v>
      </c>
      <c r="BK1" s="194"/>
      <c r="BL1" s="194"/>
      <c r="BM1" s="194"/>
      <c r="BN1" s="194"/>
      <c r="BO1" s="194"/>
      <c r="BP1" s="194"/>
      <c r="BQ1" s="194"/>
      <c r="BR1" s="195"/>
      <c r="BS1" s="132"/>
    </row>
    <row r="2" spans="1:71" ht="15" customHeight="1" thickBot="1" x14ac:dyDescent="0.3">
      <c r="B2" s="183"/>
      <c r="C2" s="1"/>
      <c r="D2" s="189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1"/>
      <c r="P2" s="192"/>
      <c r="Q2" s="58"/>
      <c r="R2" s="196"/>
      <c r="S2" s="197"/>
      <c r="T2" s="197"/>
      <c r="U2" s="197"/>
      <c r="V2" s="197"/>
      <c r="W2" s="197"/>
      <c r="X2" s="197"/>
      <c r="Y2" s="197"/>
      <c r="Z2" s="197"/>
      <c r="AA2" s="198"/>
      <c r="AB2" s="60"/>
      <c r="AC2" s="196"/>
      <c r="AD2" s="197"/>
      <c r="AE2" s="197"/>
      <c r="AF2" s="197"/>
      <c r="AG2" s="197"/>
      <c r="AH2" s="197"/>
      <c r="AI2" s="197"/>
      <c r="AJ2" s="197"/>
      <c r="AK2" s="198"/>
      <c r="AL2" s="59"/>
      <c r="AM2" s="196"/>
      <c r="AN2" s="197"/>
      <c r="AO2" s="197"/>
      <c r="AP2" s="197"/>
      <c r="AQ2" s="197"/>
      <c r="AR2" s="197"/>
      <c r="AS2" s="197"/>
      <c r="AT2" s="197"/>
      <c r="AU2" s="198"/>
      <c r="AV2" s="59"/>
      <c r="AW2" s="196"/>
      <c r="AX2" s="197"/>
      <c r="AY2" s="197"/>
      <c r="AZ2" s="197"/>
      <c r="BA2" s="197"/>
      <c r="BB2" s="197"/>
      <c r="BC2" s="197"/>
      <c r="BD2" s="197"/>
      <c r="BE2" s="197"/>
      <c r="BF2" s="197"/>
      <c r="BG2" s="197"/>
      <c r="BH2" s="198"/>
      <c r="BI2" s="59"/>
      <c r="BJ2" s="196"/>
      <c r="BK2" s="197"/>
      <c r="BL2" s="197"/>
      <c r="BM2" s="197"/>
      <c r="BN2" s="197"/>
      <c r="BO2" s="197"/>
      <c r="BP2" s="197"/>
      <c r="BQ2" s="197"/>
      <c r="BR2" s="198"/>
      <c r="BS2" s="135"/>
    </row>
    <row r="3" spans="1:71" ht="30" customHeight="1" thickBot="1" x14ac:dyDescent="0.3">
      <c r="B3" s="183"/>
      <c r="C3" s="1"/>
      <c r="D3" s="202" t="s">
        <v>6</v>
      </c>
      <c r="E3" s="202" t="s">
        <v>7</v>
      </c>
      <c r="F3" s="202" t="s">
        <v>8</v>
      </c>
      <c r="G3" s="202" t="s">
        <v>9</v>
      </c>
      <c r="H3" s="202" t="s">
        <v>10</v>
      </c>
      <c r="I3" s="204" t="s">
        <v>11</v>
      </c>
      <c r="J3" s="205"/>
      <c r="K3" s="206"/>
      <c r="L3" s="207"/>
      <c r="M3" s="204" t="s">
        <v>12</v>
      </c>
      <c r="N3" s="205"/>
      <c r="O3" s="206"/>
      <c r="P3" s="207"/>
      <c r="Q3" s="58"/>
      <c r="R3" s="208" t="s">
        <v>13</v>
      </c>
      <c r="S3" s="200"/>
      <c r="T3" s="209"/>
      <c r="U3" s="209"/>
      <c r="V3" s="208" t="s">
        <v>14</v>
      </c>
      <c r="W3" s="200"/>
      <c r="X3" s="200"/>
      <c r="Y3" s="200"/>
      <c r="Z3" s="200"/>
      <c r="AA3" s="201"/>
      <c r="AB3" s="60"/>
      <c r="AC3" s="210" t="s">
        <v>15</v>
      </c>
      <c r="AD3" s="212" t="s">
        <v>9</v>
      </c>
      <c r="AE3" s="208" t="s">
        <v>13</v>
      </c>
      <c r="AF3" s="200"/>
      <c r="AG3" s="201"/>
      <c r="AH3" s="208" t="s">
        <v>14</v>
      </c>
      <c r="AI3" s="200"/>
      <c r="AJ3" s="200"/>
      <c r="AK3" s="201"/>
      <c r="AL3" s="59"/>
      <c r="AM3" s="213" t="s">
        <v>15</v>
      </c>
      <c r="AN3" s="210" t="s">
        <v>9</v>
      </c>
      <c r="AO3" s="199" t="s">
        <v>13</v>
      </c>
      <c r="AP3" s="200"/>
      <c r="AQ3" s="201"/>
      <c r="AR3" s="208" t="s">
        <v>14</v>
      </c>
      <c r="AS3" s="200"/>
      <c r="AT3" s="200"/>
      <c r="AU3" s="201"/>
      <c r="AV3" s="59"/>
      <c r="AW3" s="210" t="s">
        <v>15</v>
      </c>
      <c r="AX3" s="210" t="s">
        <v>9</v>
      </c>
      <c r="AY3" s="199" t="s">
        <v>13</v>
      </c>
      <c r="AZ3" s="199"/>
      <c r="BA3" s="200"/>
      <c r="BB3" s="201"/>
      <c r="BC3" s="208" t="s">
        <v>14</v>
      </c>
      <c r="BD3" s="199"/>
      <c r="BE3" s="199"/>
      <c r="BF3" s="200"/>
      <c r="BG3" s="200"/>
      <c r="BH3" s="201"/>
      <c r="BI3" s="59"/>
      <c r="BJ3" s="213" t="s">
        <v>16</v>
      </c>
      <c r="BK3" s="210" t="s">
        <v>17</v>
      </c>
      <c r="BL3" s="214" t="s">
        <v>18</v>
      </c>
      <c r="BM3" s="215"/>
      <c r="BN3" s="216"/>
      <c r="BO3" s="199" t="s">
        <v>14</v>
      </c>
      <c r="BP3" s="200"/>
      <c r="BQ3" s="200"/>
      <c r="BR3" s="201"/>
      <c r="BS3" s="135"/>
    </row>
    <row r="4" spans="1:71" ht="56.25" customHeight="1" thickBot="1" x14ac:dyDescent="0.3">
      <c r="B4" s="184"/>
      <c r="C4" s="2"/>
      <c r="D4" s="203"/>
      <c r="E4" s="203"/>
      <c r="F4" s="203"/>
      <c r="G4" s="203"/>
      <c r="H4" s="203"/>
      <c r="I4" s="80" t="s">
        <v>3</v>
      </c>
      <c r="J4" s="81" t="s">
        <v>4</v>
      </c>
      <c r="K4" s="82" t="s">
        <v>57</v>
      </c>
      <c r="L4" s="82" t="s">
        <v>5</v>
      </c>
      <c r="M4" s="81" t="s">
        <v>3</v>
      </c>
      <c r="N4" s="81" t="s">
        <v>4</v>
      </c>
      <c r="O4" s="81" t="s">
        <v>57</v>
      </c>
      <c r="P4" s="81" t="s">
        <v>19</v>
      </c>
      <c r="Q4" s="60"/>
      <c r="R4" s="122" t="s">
        <v>20</v>
      </c>
      <c r="S4" s="62" t="s">
        <v>21</v>
      </c>
      <c r="T4" s="62" t="s">
        <v>59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211"/>
      <c r="AD4" s="194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93"/>
      <c r="AN4" s="211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211"/>
      <c r="AX4" s="211"/>
      <c r="AY4" s="123" t="s">
        <v>27</v>
      </c>
      <c r="AZ4" s="62" t="s">
        <v>58</v>
      </c>
      <c r="BA4" s="123" t="s">
        <v>60</v>
      </c>
      <c r="BB4" s="62" t="s">
        <v>29</v>
      </c>
      <c r="BC4" s="123" t="s">
        <v>55</v>
      </c>
      <c r="BD4" s="62" t="s">
        <v>24</v>
      </c>
      <c r="BE4" s="123" t="s">
        <v>56</v>
      </c>
      <c r="BF4" s="62" t="s">
        <v>24</v>
      </c>
      <c r="BG4" s="123" t="s">
        <v>69</v>
      </c>
      <c r="BH4" s="62" t="s">
        <v>24</v>
      </c>
      <c r="BI4" s="61"/>
      <c r="BJ4" s="193"/>
      <c r="BK4" s="211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1" ht="15.75" thickBot="1" x14ac:dyDescent="0.3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1" ht="15.75" thickBot="1" x14ac:dyDescent="0.3">
      <c r="B6" s="56">
        <v>46112</v>
      </c>
      <c r="D6" s="87">
        <v>59138</v>
      </c>
      <c r="E6" s="159">
        <v>0.88447360411241505</v>
      </c>
      <c r="F6" s="87">
        <v>52306</v>
      </c>
      <c r="G6" s="159">
        <v>0.11552639588758497</v>
      </c>
      <c r="H6" s="146">
        <v>6832</v>
      </c>
      <c r="I6" s="160">
        <v>0.11750829452409217</v>
      </c>
      <c r="J6" s="159">
        <v>0.1568958694791952</v>
      </c>
      <c r="K6" s="159">
        <v>0.16410063837776942</v>
      </c>
      <c r="L6" s="161">
        <v>0.58592822573280978</v>
      </c>
      <c r="M6" s="146">
        <v>6799.9699875201659</v>
      </c>
      <c r="N6" s="146">
        <v>9079.2501750220672</v>
      </c>
      <c r="O6" s="146">
        <v>9496.1757416447599</v>
      </c>
      <c r="P6" s="146">
        <v>33906.494566706235</v>
      </c>
      <c r="Q6" s="56">
        <v>46112</v>
      </c>
      <c r="R6" s="139">
        <v>59138</v>
      </c>
      <c r="S6" s="140">
        <v>0</v>
      </c>
      <c r="T6" s="140">
        <v>57868</v>
      </c>
      <c r="U6" s="140">
        <v>0</v>
      </c>
      <c r="V6" s="141">
        <v>13204</v>
      </c>
      <c r="W6" s="142">
        <v>0.79166666666666663</v>
      </c>
      <c r="X6" s="141">
        <v>4733</v>
      </c>
      <c r="Y6" s="142">
        <v>0.82291666666666663</v>
      </c>
      <c r="Z6" s="141">
        <v>0</v>
      </c>
      <c r="AA6" s="142">
        <v>0</v>
      </c>
      <c r="AB6" s="56">
        <v>46112</v>
      </c>
      <c r="AC6" s="76">
        <v>1</v>
      </c>
      <c r="AD6" s="162">
        <v>0</v>
      </c>
      <c r="AE6" s="163">
        <v>7721</v>
      </c>
      <c r="AF6" s="118">
        <f t="shared" ref="AF6:AF39" si="0">AE6-AG6</f>
        <v>7721</v>
      </c>
      <c r="AG6" s="147">
        <v>0</v>
      </c>
      <c r="AH6" s="148">
        <v>3975</v>
      </c>
      <c r="AI6" s="149">
        <v>0.73819444444444449</v>
      </c>
      <c r="AJ6" s="148">
        <v>0</v>
      </c>
      <c r="AK6" s="165">
        <v>0</v>
      </c>
      <c r="AL6" s="56">
        <v>46112</v>
      </c>
      <c r="AM6" s="77">
        <v>0.62692792705403044</v>
      </c>
      <c r="AN6" s="76">
        <v>0.37307207294596956</v>
      </c>
      <c r="AO6" s="150">
        <v>10309</v>
      </c>
      <c r="AP6" s="117">
        <v>6463</v>
      </c>
      <c r="AQ6" s="151">
        <v>3846</v>
      </c>
      <c r="AR6" s="152">
        <v>4445</v>
      </c>
      <c r="AS6" s="153">
        <v>0.34930555555555554</v>
      </c>
      <c r="AT6" s="152">
        <v>183</v>
      </c>
      <c r="AU6" s="154">
        <v>0.91666666666666663</v>
      </c>
      <c r="AV6" s="56">
        <v>46112</v>
      </c>
      <c r="AW6" s="110">
        <v>0.6746213359485671</v>
      </c>
      <c r="AX6" s="110">
        <v>0.32537866405143295</v>
      </c>
      <c r="AY6" s="111">
        <f t="shared" ref="AY6:AY7" si="1">BA6+BB6</f>
        <v>9177</v>
      </c>
      <c r="AZ6" s="112">
        <v>9177</v>
      </c>
      <c r="BA6" s="120">
        <f t="shared" ref="BA6:BA39" si="2">AZ6-BB6</f>
        <v>6191</v>
      </c>
      <c r="BB6" s="113">
        <v>2986</v>
      </c>
      <c r="BC6" s="112">
        <v>4381</v>
      </c>
      <c r="BD6" s="114">
        <v>0.82291666666666663</v>
      </c>
      <c r="BE6" s="115">
        <v>0</v>
      </c>
      <c r="BF6" s="114">
        <v>0</v>
      </c>
      <c r="BG6" s="115">
        <v>175</v>
      </c>
      <c r="BH6" s="114">
        <v>0.85416666666666663</v>
      </c>
      <c r="BI6" s="56">
        <v>46112</v>
      </c>
      <c r="BJ6" s="78">
        <v>0.60741837450323388</v>
      </c>
      <c r="BK6" s="76">
        <v>0.39258162549676617</v>
      </c>
      <c r="BL6" s="79">
        <v>38499</v>
      </c>
      <c r="BM6" s="155">
        <v>23385</v>
      </c>
      <c r="BN6" s="155">
        <v>15114</v>
      </c>
      <c r="BO6" s="156">
        <v>4251</v>
      </c>
      <c r="BP6" s="157">
        <v>0.75138888888888888</v>
      </c>
      <c r="BQ6" s="158">
        <v>2835</v>
      </c>
      <c r="BR6" s="157">
        <v>0.75138888888888888</v>
      </c>
    </row>
    <row r="7" spans="1:71" ht="15.75" thickBot="1" x14ac:dyDescent="0.3">
      <c r="A7" s="166"/>
      <c r="B7" s="56">
        <f>B6+1</f>
        <v>46113</v>
      </c>
      <c r="C7" s="126"/>
      <c r="D7" s="87">
        <f t="shared" ref="D7:D37" si="3">R7</f>
        <v>58362</v>
      </c>
      <c r="E7" s="159">
        <f t="shared" ref="E7:E10" si="4">F7/D7</f>
        <v>0.87212569822829922</v>
      </c>
      <c r="F7" s="87">
        <f t="shared" ref="F7:F37" si="5">D7-H7</f>
        <v>50899</v>
      </c>
      <c r="G7" s="159">
        <f t="shared" ref="G7:G10" si="6">H7/D7</f>
        <v>0.12787430177170075</v>
      </c>
      <c r="H7" s="146">
        <f t="shared" ref="H7:H37" si="7">U7+AG7+AQ7+BB7</f>
        <v>7463</v>
      </c>
      <c r="I7" s="160">
        <f t="shared" ref="I7:I10" si="8">AE7/(AE7+AO7+BL7+AY7)</f>
        <v>0.11868067447277889</v>
      </c>
      <c r="J7" s="159">
        <f t="shared" ref="J7:J10" si="9">AO7/(AE7+AO7+BL7+AY7)</f>
        <v>0.15714043288440474</v>
      </c>
      <c r="K7" s="159">
        <f t="shared" ref="K7:K10" si="10">AY7/(AF7+AP7+BM7+AZ7+AY7)</f>
        <v>0.16778007577282794</v>
      </c>
      <c r="L7" s="161">
        <f t="shared" ref="L7:L10" si="11">BL7/(AE7+AO7+BL7+AY7)</f>
        <v>0.58275867388654912</v>
      </c>
      <c r="M7" s="146">
        <f t="shared" ref="M7:M10" si="12">(S7+T7)*I7</f>
        <v>6759.4578145971218</v>
      </c>
      <c r="N7" s="146">
        <f t="shared" ref="N7:N10" si="13">(S7+T7)*J7</f>
        <v>8949.9333549312723</v>
      </c>
      <c r="O7" s="146">
        <f t="shared" ref="O7:O10" si="14">(S7+T7)*K7</f>
        <v>9555.9142156414146</v>
      </c>
      <c r="P7" s="146">
        <f t="shared" ref="P7:P10" si="15">(S7+T7)*L7</f>
        <v>33191.020271208406</v>
      </c>
      <c r="Q7" s="56">
        <f>Q6+1</f>
        <v>46113</v>
      </c>
      <c r="R7" s="139">
        <v>58362</v>
      </c>
      <c r="S7" s="140">
        <v>0</v>
      </c>
      <c r="T7" s="140">
        <v>56955</v>
      </c>
      <c r="U7" s="140">
        <v>0</v>
      </c>
      <c r="V7" s="141">
        <v>13906</v>
      </c>
      <c r="W7" s="142">
        <v>0.76041666666666663</v>
      </c>
      <c r="X7" s="141">
        <v>4758</v>
      </c>
      <c r="Y7" s="142">
        <v>0.80208333333333337</v>
      </c>
      <c r="Z7" s="141">
        <v>0</v>
      </c>
      <c r="AA7" s="142">
        <v>0</v>
      </c>
      <c r="AB7" s="56">
        <f>AB6+1</f>
        <v>46113</v>
      </c>
      <c r="AC7" s="76">
        <f t="shared" ref="AC7:AC10" si="16">+AF7/AE7</f>
        <v>1</v>
      </c>
      <c r="AD7" s="162">
        <f t="shared" ref="AD7:AD10" si="17">+AG7/AE7</f>
        <v>0</v>
      </c>
      <c r="AE7" s="163">
        <v>7693</v>
      </c>
      <c r="AF7" s="118">
        <f t="shared" si="0"/>
        <v>7693</v>
      </c>
      <c r="AG7" s="147">
        <v>0</v>
      </c>
      <c r="AH7" s="148">
        <v>3877</v>
      </c>
      <c r="AI7" s="149">
        <v>0.79236111111111107</v>
      </c>
      <c r="AJ7" s="148">
        <v>0</v>
      </c>
      <c r="AK7" s="165">
        <v>0</v>
      </c>
      <c r="AL7" s="56">
        <f t="shared" ref="AL7:AL37" si="18">AL6+1</f>
        <v>46113</v>
      </c>
      <c r="AM7" s="77">
        <f t="shared" ref="AM7:AM10" si="19">+AP7/AO7</f>
        <v>0.62055762811702342</v>
      </c>
      <c r="AN7" s="76">
        <f t="shared" ref="AN7:AN10" si="20">+AQ7/AO7</f>
        <v>0.37944237188297664</v>
      </c>
      <c r="AO7" s="150">
        <v>10186</v>
      </c>
      <c r="AP7" s="117">
        <f t="shared" ref="AP7:AP36" si="21">AO7-AQ7</f>
        <v>6321</v>
      </c>
      <c r="AQ7" s="151">
        <v>3865</v>
      </c>
      <c r="AR7" s="152">
        <v>3799</v>
      </c>
      <c r="AS7" s="153">
        <v>0.34097222222222223</v>
      </c>
      <c r="AT7" s="152">
        <v>165</v>
      </c>
      <c r="AU7" s="154">
        <v>0.89583333333333337</v>
      </c>
      <c r="AV7" s="56">
        <f>AV6+1</f>
        <v>46113</v>
      </c>
      <c r="AW7" s="110">
        <f t="shared" ref="AW7:AW10" si="22">BA7/AZ7</f>
        <v>0.60750518162975897</v>
      </c>
      <c r="AX7" s="110">
        <f t="shared" ref="AX7:AX10" si="23">BB7/AZ7</f>
        <v>0.39249481837024108</v>
      </c>
      <c r="AY7" s="111">
        <f t="shared" si="1"/>
        <v>9167</v>
      </c>
      <c r="AZ7" s="112">
        <v>9167</v>
      </c>
      <c r="BA7" s="120">
        <f t="shared" si="2"/>
        <v>5569</v>
      </c>
      <c r="BB7" s="113">
        <f>2900+698</f>
        <v>3598</v>
      </c>
      <c r="BC7" s="112">
        <v>3886</v>
      </c>
      <c r="BD7" s="114">
        <v>0.76041666666666663</v>
      </c>
      <c r="BE7" s="115">
        <v>0</v>
      </c>
      <c r="BF7" s="114">
        <v>0</v>
      </c>
      <c r="BG7" s="115">
        <v>165</v>
      </c>
      <c r="BH7" s="114">
        <v>0.89583333333333337</v>
      </c>
      <c r="BI7" s="56">
        <f>BI6+1</f>
        <v>46113</v>
      </c>
      <c r="BJ7" s="78">
        <f t="shared" ref="BJ7:BJ10" si="24">+BM7/BL7</f>
        <v>0.59004632693580406</v>
      </c>
      <c r="BK7" s="76">
        <f t="shared" ref="BK7:BK10" si="25">+BN7/BL7</f>
        <v>0.40995367306419589</v>
      </c>
      <c r="BL7" s="79">
        <f t="shared" ref="BL7:BL10" si="26">BM7+BN7</f>
        <v>37775</v>
      </c>
      <c r="BM7" s="155">
        <v>22289</v>
      </c>
      <c r="BN7" s="155">
        <v>15486</v>
      </c>
      <c r="BO7" s="156">
        <v>4484</v>
      </c>
      <c r="BP7" s="157">
        <v>0.83263888888888893</v>
      </c>
      <c r="BQ7" s="158">
        <v>2996</v>
      </c>
      <c r="BR7" s="157">
        <v>0.75138888888888888</v>
      </c>
    </row>
    <row r="8" spans="1:71" ht="15.75" thickBot="1" x14ac:dyDescent="0.3">
      <c r="A8" s="166"/>
      <c r="B8" s="56">
        <f t="shared" ref="B8:B37" si="27">B7+1</f>
        <v>46114</v>
      </c>
      <c r="C8" s="164"/>
      <c r="D8" s="87">
        <f t="shared" si="3"/>
        <v>62064</v>
      </c>
      <c r="E8" s="159">
        <f t="shared" si="4"/>
        <v>0.87993039443155452</v>
      </c>
      <c r="F8" s="87">
        <f t="shared" si="5"/>
        <v>54612</v>
      </c>
      <c r="G8" s="159">
        <f t="shared" si="6"/>
        <v>0.12006960556844548</v>
      </c>
      <c r="H8" s="146">
        <f t="shared" si="7"/>
        <v>7452</v>
      </c>
      <c r="I8" s="160">
        <f t="shared" si="8"/>
        <v>0.11818499025907941</v>
      </c>
      <c r="J8" s="159">
        <f t="shared" si="9"/>
        <v>0.15354307813090634</v>
      </c>
      <c r="K8" s="159">
        <f t="shared" si="10"/>
        <v>0.16687591191340639</v>
      </c>
      <c r="L8" s="161">
        <f t="shared" si="11"/>
        <v>0.58526940187839838</v>
      </c>
      <c r="M8" s="146">
        <f t="shared" si="12"/>
        <v>7197.2295367974184</v>
      </c>
      <c r="N8" s="146">
        <f t="shared" si="13"/>
        <v>9350.4663720159351</v>
      </c>
      <c r="O8" s="146">
        <f t="shared" si="14"/>
        <v>10162.409283702622</v>
      </c>
      <c r="P8" s="146">
        <f t="shared" si="15"/>
        <v>35641.736035590708</v>
      </c>
      <c r="Q8" s="56">
        <f t="shared" ref="Q8:Q37" si="28">Q7+1</f>
        <v>46114</v>
      </c>
      <c r="R8" s="139">
        <v>62064</v>
      </c>
      <c r="S8" s="140">
        <v>0</v>
      </c>
      <c r="T8" s="140">
        <v>60898</v>
      </c>
      <c r="U8" s="140">
        <v>0</v>
      </c>
      <c r="V8" s="141">
        <v>15841</v>
      </c>
      <c r="W8" s="142">
        <v>0.39583333333333331</v>
      </c>
      <c r="X8" s="141">
        <v>4661</v>
      </c>
      <c r="Y8" s="142">
        <v>0.40625</v>
      </c>
      <c r="Z8" s="141">
        <v>0</v>
      </c>
      <c r="AA8" s="142">
        <v>0</v>
      </c>
      <c r="AB8" s="56">
        <f t="shared" ref="AB8:AB37" si="29">AB7+1</f>
        <v>46114</v>
      </c>
      <c r="AC8" s="76">
        <f t="shared" si="16"/>
        <v>1</v>
      </c>
      <c r="AD8" s="162">
        <f t="shared" si="17"/>
        <v>0</v>
      </c>
      <c r="AE8" s="163">
        <v>8129</v>
      </c>
      <c r="AF8" s="118">
        <f>AE8-AG8</f>
        <v>8129</v>
      </c>
      <c r="AG8" s="147">
        <v>0</v>
      </c>
      <c r="AH8" s="148">
        <v>4882</v>
      </c>
      <c r="AI8" s="149">
        <v>0.33402777777777776</v>
      </c>
      <c r="AJ8" s="148">
        <v>0</v>
      </c>
      <c r="AK8" s="165">
        <v>0</v>
      </c>
      <c r="AL8" s="56">
        <f t="shared" si="18"/>
        <v>46114</v>
      </c>
      <c r="AM8" s="77">
        <f t="shared" si="19"/>
        <v>0.63564056434049809</v>
      </c>
      <c r="AN8" s="76">
        <f t="shared" si="20"/>
        <v>0.36435943565950196</v>
      </c>
      <c r="AO8" s="150">
        <v>10561</v>
      </c>
      <c r="AP8" s="117">
        <f t="shared" si="21"/>
        <v>6713</v>
      </c>
      <c r="AQ8" s="151">
        <v>3848</v>
      </c>
      <c r="AR8" s="152">
        <v>4766</v>
      </c>
      <c r="AS8" s="153">
        <v>0.6958333333333333</v>
      </c>
      <c r="AT8" s="152">
        <v>182</v>
      </c>
      <c r="AU8" s="154">
        <v>0.77083333333333337</v>
      </c>
      <c r="AV8" s="56">
        <f t="shared" ref="AV8:AV37" si="30">AV7+1</f>
        <v>46114</v>
      </c>
      <c r="AW8" s="110">
        <f t="shared" si="22"/>
        <v>0.63359089060593732</v>
      </c>
      <c r="AX8" s="110">
        <f t="shared" si="23"/>
        <v>0.36640910939406263</v>
      </c>
      <c r="AY8" s="111">
        <f>BA8+BB8</f>
        <v>9836</v>
      </c>
      <c r="AZ8" s="112">
        <v>9836</v>
      </c>
      <c r="BA8" s="120">
        <f t="shared" si="2"/>
        <v>6232</v>
      </c>
      <c r="BB8" s="113">
        <f>2906+698</f>
        <v>3604</v>
      </c>
      <c r="BC8" s="112">
        <v>4157</v>
      </c>
      <c r="BD8" s="114">
        <v>0.34375</v>
      </c>
      <c r="BE8" s="115">
        <v>0</v>
      </c>
      <c r="BF8" s="114">
        <v>0</v>
      </c>
      <c r="BG8" s="115">
        <v>181</v>
      </c>
      <c r="BH8" s="114">
        <v>0.89583333333333337</v>
      </c>
      <c r="BI8" s="56">
        <f t="shared" ref="BI8:BI37" si="31">BI7+1</f>
        <v>46114</v>
      </c>
      <c r="BJ8" s="78">
        <f t="shared" si="24"/>
        <v>0.60681637519872811</v>
      </c>
      <c r="BK8" s="76">
        <f t="shared" si="25"/>
        <v>0.39318362480127184</v>
      </c>
      <c r="BL8" s="79">
        <f t="shared" si="26"/>
        <v>40256</v>
      </c>
      <c r="BM8" s="155">
        <v>24428</v>
      </c>
      <c r="BN8" s="155">
        <v>15828</v>
      </c>
      <c r="BO8" s="156">
        <v>4054</v>
      </c>
      <c r="BP8" s="157">
        <v>0.74305555555555558</v>
      </c>
      <c r="BQ8" s="158">
        <v>2675</v>
      </c>
      <c r="BR8" s="157">
        <v>0.74375000000000002</v>
      </c>
    </row>
    <row r="9" spans="1:71" ht="15.75" thickBot="1" x14ac:dyDescent="0.3">
      <c r="A9" s="166" t="s">
        <v>67</v>
      </c>
      <c r="B9" s="56">
        <f t="shared" si="27"/>
        <v>46115</v>
      </c>
      <c r="C9" s="164"/>
      <c r="D9" s="87">
        <f t="shared" si="3"/>
        <v>32212</v>
      </c>
      <c r="E9" s="159">
        <f t="shared" si="4"/>
        <v>0.77393517943623491</v>
      </c>
      <c r="F9" s="87">
        <f t="shared" si="5"/>
        <v>24930</v>
      </c>
      <c r="G9" s="159">
        <f t="shared" si="6"/>
        <v>0.22606482056376506</v>
      </c>
      <c r="H9" s="146">
        <f t="shared" si="7"/>
        <v>7282</v>
      </c>
      <c r="I9" s="160">
        <f t="shared" si="8"/>
        <v>6.1607541276215975E-2</v>
      </c>
      <c r="J9" s="159">
        <f t="shared" si="9"/>
        <v>0.14945894689870592</v>
      </c>
      <c r="K9" s="159">
        <f t="shared" si="10"/>
        <v>0.16512458108698819</v>
      </c>
      <c r="L9" s="161">
        <f t="shared" si="11"/>
        <v>0.66251115573404729</v>
      </c>
      <c r="M9" s="146">
        <f t="shared" si="12"/>
        <v>1897.3274486836233</v>
      </c>
      <c r="N9" s="146">
        <f t="shared" si="13"/>
        <v>4602.887187639446</v>
      </c>
      <c r="O9" s="146">
        <f t="shared" si="14"/>
        <v>5085.3417237359754</v>
      </c>
      <c r="P9" s="146">
        <f t="shared" si="15"/>
        <v>20403.356063141455</v>
      </c>
      <c r="Q9" s="56">
        <f t="shared" si="28"/>
        <v>46115</v>
      </c>
      <c r="R9" s="139">
        <v>32212</v>
      </c>
      <c r="S9" s="140">
        <v>0</v>
      </c>
      <c r="T9" s="140">
        <v>30797</v>
      </c>
      <c r="U9" s="140">
        <v>0</v>
      </c>
      <c r="V9" s="141">
        <v>5811</v>
      </c>
      <c r="W9" s="142">
        <v>0.91666666666666663</v>
      </c>
      <c r="X9" s="141">
        <v>1842</v>
      </c>
      <c r="Y9" s="142">
        <v>0.96875</v>
      </c>
      <c r="Z9" s="141">
        <v>0</v>
      </c>
      <c r="AA9" s="142">
        <v>0</v>
      </c>
      <c r="AB9" s="56">
        <f t="shared" si="29"/>
        <v>46115</v>
      </c>
      <c r="AC9" s="76">
        <f t="shared" si="16"/>
        <v>1</v>
      </c>
      <c r="AD9" s="162">
        <f t="shared" si="17"/>
        <v>0</v>
      </c>
      <c r="AE9" s="163">
        <v>2209</v>
      </c>
      <c r="AF9" s="118">
        <f t="shared" si="0"/>
        <v>2209</v>
      </c>
      <c r="AG9" s="147">
        <v>0</v>
      </c>
      <c r="AH9" s="148">
        <v>1614</v>
      </c>
      <c r="AI9" s="149">
        <v>0.3840277777777778</v>
      </c>
      <c r="AJ9" s="148">
        <v>0</v>
      </c>
      <c r="AK9" s="165">
        <v>0</v>
      </c>
      <c r="AL9" s="56">
        <f t="shared" si="18"/>
        <v>46115</v>
      </c>
      <c r="AM9" s="77">
        <f t="shared" si="19"/>
        <v>0.31181190520619517</v>
      </c>
      <c r="AN9" s="76">
        <f t="shared" si="20"/>
        <v>0.68818809479380483</v>
      </c>
      <c r="AO9" s="150">
        <v>5359</v>
      </c>
      <c r="AP9" s="117">
        <f t="shared" si="21"/>
        <v>1671</v>
      </c>
      <c r="AQ9" s="151">
        <v>3688</v>
      </c>
      <c r="AR9" s="152">
        <v>1954</v>
      </c>
      <c r="AS9" s="153">
        <v>0.39305555555555555</v>
      </c>
      <c r="AT9" s="152">
        <v>182</v>
      </c>
      <c r="AU9" s="154">
        <v>0.89583333333333337</v>
      </c>
      <c r="AV9" s="56">
        <f t="shared" si="30"/>
        <v>46115</v>
      </c>
      <c r="AW9" s="110">
        <f t="shared" si="22"/>
        <v>0.20714758438120451</v>
      </c>
      <c r="AX9" s="110">
        <f t="shared" si="23"/>
        <v>0.79285241561879549</v>
      </c>
      <c r="AY9" s="111">
        <f t="shared" ref="AY9:AY39" si="32">BA9+BB9</f>
        <v>4533</v>
      </c>
      <c r="AZ9" s="112">
        <v>4533</v>
      </c>
      <c r="BA9" s="120">
        <f t="shared" si="2"/>
        <v>939</v>
      </c>
      <c r="BB9" s="113">
        <f>2896+698</f>
        <v>3594</v>
      </c>
      <c r="BC9" s="112">
        <v>1472</v>
      </c>
      <c r="BD9" s="114">
        <v>0.40625</v>
      </c>
      <c r="BE9" s="115">
        <v>0</v>
      </c>
      <c r="BF9" s="114">
        <v>0</v>
      </c>
      <c r="BG9" s="115">
        <v>171</v>
      </c>
      <c r="BH9" s="114">
        <v>0.83333333333333337</v>
      </c>
      <c r="BI9" s="56">
        <f t="shared" si="31"/>
        <v>46115</v>
      </c>
      <c r="BJ9" s="78">
        <f t="shared" si="24"/>
        <v>0.61065038939170702</v>
      </c>
      <c r="BK9" s="76">
        <f t="shared" si="25"/>
        <v>0.38934961060829298</v>
      </c>
      <c r="BL9" s="79">
        <f t="shared" si="26"/>
        <v>23755</v>
      </c>
      <c r="BM9" s="155">
        <v>14506</v>
      </c>
      <c r="BN9" s="155">
        <v>9249</v>
      </c>
      <c r="BO9" s="156">
        <v>2445</v>
      </c>
      <c r="BP9" s="157">
        <v>0.41111111111111109</v>
      </c>
      <c r="BQ9" s="158">
        <v>1624</v>
      </c>
      <c r="BR9" s="157">
        <v>0.41180555555555554</v>
      </c>
    </row>
    <row r="10" spans="1:71" ht="15.75" thickBot="1" x14ac:dyDescent="0.3">
      <c r="B10" s="56">
        <f t="shared" si="27"/>
        <v>46116</v>
      </c>
      <c r="C10" s="164"/>
      <c r="D10" s="87">
        <f t="shared" si="3"/>
        <v>30838</v>
      </c>
      <c r="E10" s="159">
        <f t="shared" si="4"/>
        <v>0.75585316816914194</v>
      </c>
      <c r="F10" s="87">
        <f t="shared" si="5"/>
        <v>23309</v>
      </c>
      <c r="G10" s="159">
        <f t="shared" si="6"/>
        <v>0.24414683183085803</v>
      </c>
      <c r="H10" s="146">
        <f t="shared" si="7"/>
        <v>7529</v>
      </c>
      <c r="I10" s="160">
        <f t="shared" si="8"/>
        <v>6.301091950593711E-2</v>
      </c>
      <c r="J10" s="159">
        <f t="shared" si="9"/>
        <v>0.16450862223283011</v>
      </c>
      <c r="K10" s="159">
        <f t="shared" si="10"/>
        <v>0.17950193776140594</v>
      </c>
      <c r="L10" s="161">
        <f t="shared" si="11"/>
        <v>0.63291365833283608</v>
      </c>
      <c r="M10" s="146">
        <f t="shared" si="12"/>
        <v>1922.5891759651531</v>
      </c>
      <c r="N10" s="146">
        <f t="shared" si="13"/>
        <v>5019.4870815681124</v>
      </c>
      <c r="O10" s="146">
        <f t="shared" si="14"/>
        <v>5476.9631249760178</v>
      </c>
      <c r="P10" s="146">
        <f t="shared" si="15"/>
        <v>19311.461543051493</v>
      </c>
      <c r="Q10" s="56">
        <f t="shared" si="28"/>
        <v>46116</v>
      </c>
      <c r="R10" s="139">
        <v>30838</v>
      </c>
      <c r="S10" s="140">
        <v>0</v>
      </c>
      <c r="T10" s="140">
        <v>30512</v>
      </c>
      <c r="U10" s="140">
        <v>0</v>
      </c>
      <c r="V10" s="141">
        <v>6033</v>
      </c>
      <c r="W10" s="142">
        <v>0.54166666666666663</v>
      </c>
      <c r="X10" s="141">
        <v>1869</v>
      </c>
      <c r="Y10" s="142">
        <v>0.45833333333333331</v>
      </c>
      <c r="Z10" s="141">
        <v>0</v>
      </c>
      <c r="AA10" s="142">
        <v>0</v>
      </c>
      <c r="AB10" s="56">
        <f t="shared" si="29"/>
        <v>46116</v>
      </c>
      <c r="AC10" s="76">
        <f t="shared" si="16"/>
        <v>1</v>
      </c>
      <c r="AD10" s="162">
        <f t="shared" si="17"/>
        <v>0</v>
      </c>
      <c r="AE10" s="163">
        <v>2112</v>
      </c>
      <c r="AF10" s="118">
        <f t="shared" si="0"/>
        <v>2112</v>
      </c>
      <c r="AG10" s="147">
        <v>0</v>
      </c>
      <c r="AH10" s="148">
        <v>1568</v>
      </c>
      <c r="AI10" s="149">
        <v>0.76944444444444449</v>
      </c>
      <c r="AJ10" s="148">
        <v>0</v>
      </c>
      <c r="AK10" s="165">
        <v>0</v>
      </c>
      <c r="AL10" s="56">
        <f t="shared" si="18"/>
        <v>46116</v>
      </c>
      <c r="AM10" s="77">
        <f t="shared" si="19"/>
        <v>0.30612985128763148</v>
      </c>
      <c r="AN10" s="76">
        <f t="shared" si="20"/>
        <v>0.69387014871236852</v>
      </c>
      <c r="AO10" s="150">
        <v>5514</v>
      </c>
      <c r="AP10" s="117">
        <f t="shared" si="21"/>
        <v>1688</v>
      </c>
      <c r="AQ10" s="151">
        <v>3826</v>
      </c>
      <c r="AR10" s="152">
        <v>1791</v>
      </c>
      <c r="AS10" s="153">
        <v>5.1388888888888887E-2</v>
      </c>
      <c r="AT10" s="152">
        <v>186</v>
      </c>
      <c r="AU10" s="154">
        <v>0.88541666666666663</v>
      </c>
      <c r="AV10" s="56">
        <f t="shared" si="30"/>
        <v>46116</v>
      </c>
      <c r="AW10" s="110">
        <f t="shared" si="22"/>
        <v>0.20842240273621207</v>
      </c>
      <c r="AX10" s="110">
        <f t="shared" si="23"/>
        <v>0.79157759726378796</v>
      </c>
      <c r="AY10" s="111">
        <f t="shared" si="32"/>
        <v>4678</v>
      </c>
      <c r="AZ10" s="112">
        <v>4678</v>
      </c>
      <c r="BA10" s="120">
        <f t="shared" si="2"/>
        <v>975</v>
      </c>
      <c r="BB10" s="113">
        <f>3005+698</f>
        <v>3703</v>
      </c>
      <c r="BC10" s="112">
        <v>1457</v>
      </c>
      <c r="BD10" s="114">
        <v>0.48958333333333331</v>
      </c>
      <c r="BE10" s="115">
        <v>0</v>
      </c>
      <c r="BF10" s="114">
        <v>0</v>
      </c>
      <c r="BG10" s="115">
        <v>167</v>
      </c>
      <c r="BH10" s="114">
        <v>0.9375</v>
      </c>
      <c r="BI10" s="56">
        <f t="shared" si="31"/>
        <v>46116</v>
      </c>
      <c r="BJ10" s="78">
        <f t="shared" si="24"/>
        <v>0.60832469124163291</v>
      </c>
      <c r="BK10" s="76">
        <f t="shared" si="25"/>
        <v>0.39167530875836709</v>
      </c>
      <c r="BL10" s="79">
        <f t="shared" si="26"/>
        <v>21214</v>
      </c>
      <c r="BM10" s="155">
        <v>12905</v>
      </c>
      <c r="BN10" s="155">
        <v>8309</v>
      </c>
      <c r="BO10" s="156">
        <v>2395</v>
      </c>
      <c r="BP10" s="157">
        <v>0.41111111111111109</v>
      </c>
      <c r="BQ10" s="158">
        <v>1597</v>
      </c>
      <c r="BR10" s="157">
        <v>0.41111111111111109</v>
      </c>
      <c r="BS10" s="14" t="s">
        <v>68</v>
      </c>
    </row>
    <row r="11" spans="1:71" ht="15.75" thickBot="1" x14ac:dyDescent="0.3">
      <c r="B11" s="56">
        <f t="shared" si="27"/>
        <v>46117</v>
      </c>
      <c r="C11" s="164"/>
      <c r="D11" s="87">
        <f t="shared" si="3"/>
        <v>28066</v>
      </c>
      <c r="E11" s="159">
        <f t="shared" ref="E11:E24" si="33">F11/D11</f>
        <v>0.74684671844936934</v>
      </c>
      <c r="F11" s="87">
        <f t="shared" si="5"/>
        <v>20961</v>
      </c>
      <c r="G11" s="159">
        <f t="shared" ref="G11:G24" si="34">H11/D11</f>
        <v>0.25315328155063066</v>
      </c>
      <c r="H11" s="146">
        <f t="shared" si="7"/>
        <v>7105</v>
      </c>
      <c r="I11" s="160">
        <f t="shared" ref="I11:I24" si="35">AE11/(AE11+AO11+BL11+AY11)</f>
        <v>6.6364519261897056E-2</v>
      </c>
      <c r="J11" s="159">
        <f t="shared" ref="J11:J24" si="36">AO11/(AE11+AO11+BL11+AY11)</f>
        <v>0.16694723211395274</v>
      </c>
      <c r="K11" s="159">
        <f t="shared" ref="K11:K24" si="37">AY11/(AF11+AP11+BM11+AZ11+AY11)</f>
        <v>0.18143337344897706</v>
      </c>
      <c r="L11" s="161">
        <f t="shared" ref="L11:L24" si="38">BL11/(AE11+AO11+BL11+AY11)</f>
        <v>0.62515377144707029</v>
      </c>
      <c r="M11" s="146">
        <f t="shared" ref="M11:M24" si="39">(S11+T11)*I11</f>
        <v>1692.3616056976368</v>
      </c>
      <c r="N11" s="146">
        <f t="shared" ref="N11:N24" si="40">(S11+T11)*J11</f>
        <v>4257.3213661379086</v>
      </c>
      <c r="O11" s="146">
        <f t="shared" ref="O11:O24" si="41">(S11+T11)*K11</f>
        <v>4626.7324563223638</v>
      </c>
      <c r="P11" s="146">
        <f t="shared" ref="P11:P24" si="42">(S11+T11)*L11</f>
        <v>15942.046325671739</v>
      </c>
      <c r="Q11" s="56">
        <f t="shared" si="28"/>
        <v>46117</v>
      </c>
      <c r="R11" s="139">
        <v>28066</v>
      </c>
      <c r="S11" s="140">
        <v>0</v>
      </c>
      <c r="T11" s="140">
        <v>25501</v>
      </c>
      <c r="U11" s="140">
        <v>0</v>
      </c>
      <c r="V11" s="141">
        <v>6870</v>
      </c>
      <c r="W11" s="142">
        <v>0.84375</v>
      </c>
      <c r="X11" s="141">
        <v>1829</v>
      </c>
      <c r="Y11" s="142">
        <v>0.66666666666666663</v>
      </c>
      <c r="Z11" s="141">
        <v>0</v>
      </c>
      <c r="AA11" s="142">
        <v>0</v>
      </c>
      <c r="AB11" s="56">
        <f t="shared" si="29"/>
        <v>46117</v>
      </c>
      <c r="AC11" s="76">
        <f t="shared" ref="AC11:AC25" si="43">+AF11/AE11</f>
        <v>1</v>
      </c>
      <c r="AD11" s="162">
        <f t="shared" ref="AD11:AD25" si="44">+AG11/AE11</f>
        <v>0</v>
      </c>
      <c r="AE11" s="163">
        <v>2050</v>
      </c>
      <c r="AF11" s="118">
        <f t="shared" si="0"/>
        <v>2050</v>
      </c>
      <c r="AG11" s="147">
        <v>0</v>
      </c>
      <c r="AH11" s="148">
        <v>2036</v>
      </c>
      <c r="AI11" s="149">
        <v>0.93402777777777779</v>
      </c>
      <c r="AJ11" s="148">
        <v>0</v>
      </c>
      <c r="AK11" s="165">
        <v>0</v>
      </c>
      <c r="AL11" s="56">
        <f t="shared" si="18"/>
        <v>46117</v>
      </c>
      <c r="AM11" s="77">
        <f t="shared" ref="AM11:AM25" si="45">+AP11/AO11</f>
        <v>0.30269536552259063</v>
      </c>
      <c r="AN11" s="76">
        <f t="shared" ref="AN11:AN25" si="46">+AQ11/AO11</f>
        <v>0.69730463447740931</v>
      </c>
      <c r="AO11" s="150">
        <v>5157</v>
      </c>
      <c r="AP11" s="117">
        <f t="shared" si="21"/>
        <v>1561</v>
      </c>
      <c r="AQ11" s="151">
        <v>3596</v>
      </c>
      <c r="AR11" s="152">
        <v>1720</v>
      </c>
      <c r="AS11" s="153">
        <v>0.39444444444444443</v>
      </c>
      <c r="AT11" s="152">
        <v>185</v>
      </c>
      <c r="AU11" s="154">
        <v>0.83333333333333337</v>
      </c>
      <c r="AV11" s="56">
        <f t="shared" si="30"/>
        <v>46117</v>
      </c>
      <c r="AW11" s="110">
        <f t="shared" ref="AW11:AW25" si="47">BA11/AZ11</f>
        <v>0.1973924977127173</v>
      </c>
      <c r="AX11" s="110">
        <f t="shared" ref="AX11:AX25" si="48">BB11/AZ11</f>
        <v>0.80260750228728273</v>
      </c>
      <c r="AY11" s="111">
        <f t="shared" si="32"/>
        <v>4372</v>
      </c>
      <c r="AZ11" s="112">
        <v>4372</v>
      </c>
      <c r="BA11" s="120">
        <f t="shared" si="2"/>
        <v>863</v>
      </c>
      <c r="BB11" s="113">
        <f>2811+698</f>
        <v>3509</v>
      </c>
      <c r="BC11" s="112">
        <v>1416</v>
      </c>
      <c r="BD11" s="114">
        <v>0.80208333333333337</v>
      </c>
      <c r="BE11" s="115">
        <v>0</v>
      </c>
      <c r="BF11" s="114">
        <v>0</v>
      </c>
      <c r="BG11" s="115">
        <v>170</v>
      </c>
      <c r="BH11" s="114">
        <v>0.80208333333333337</v>
      </c>
      <c r="BI11" s="56">
        <f t="shared" si="31"/>
        <v>46117</v>
      </c>
      <c r="BJ11" s="78">
        <f t="shared" ref="BJ11:BJ25" si="49">+BM11/BL11</f>
        <v>0.60804722696908498</v>
      </c>
      <c r="BK11" s="76">
        <f t="shared" ref="BK11:BK25" si="50">+BN11/BL11</f>
        <v>0.39195277303091502</v>
      </c>
      <c r="BL11" s="79">
        <f t="shared" ref="BL11:BL25" si="51">BM11+BN11</f>
        <v>19311</v>
      </c>
      <c r="BM11" s="155">
        <v>11742</v>
      </c>
      <c r="BN11" s="155">
        <v>7569</v>
      </c>
      <c r="BO11" s="156">
        <v>2613</v>
      </c>
      <c r="BP11" s="157">
        <v>0.41180555555555554</v>
      </c>
      <c r="BQ11" s="158">
        <v>2254</v>
      </c>
      <c r="BR11" s="157">
        <v>0.6020833333333333</v>
      </c>
    </row>
    <row r="12" spans="1:71" ht="15.75" thickBot="1" x14ac:dyDescent="0.3">
      <c r="B12" s="56">
        <f t="shared" si="27"/>
        <v>46118</v>
      </c>
      <c r="C12" s="164"/>
      <c r="D12" s="87">
        <f t="shared" si="3"/>
        <v>56504</v>
      </c>
      <c r="E12" s="159">
        <f t="shared" si="33"/>
        <v>0.86974621265751095</v>
      </c>
      <c r="F12" s="87">
        <f t="shared" si="5"/>
        <v>49144.14</v>
      </c>
      <c r="G12" s="159">
        <f>H12/D12</f>
        <v>0.13025378734248905</v>
      </c>
      <c r="H12" s="146">
        <f t="shared" si="7"/>
        <v>7359.8600000000006</v>
      </c>
      <c r="I12" s="160">
        <f t="shared" si="35"/>
        <v>0.12631362700398288</v>
      </c>
      <c r="J12" s="159">
        <f t="shared" si="36"/>
        <v>0.15894906654648477</v>
      </c>
      <c r="K12" s="159">
        <f t="shared" si="37"/>
        <v>0.17254833859236024</v>
      </c>
      <c r="L12" s="161">
        <f t="shared" si="38"/>
        <v>0.56504872304068721</v>
      </c>
      <c r="M12" s="146">
        <f t="shared" si="39"/>
        <v>6907.2712222722976</v>
      </c>
      <c r="N12" s="146">
        <f t="shared" si="40"/>
        <v>8691.8912804946995</v>
      </c>
      <c r="O12" s="146">
        <f t="shared" si="41"/>
        <v>9435.5470734153314</v>
      </c>
      <c r="P12" s="146">
        <f t="shared" si="42"/>
        <v>30898.841846395419</v>
      </c>
      <c r="Q12" s="56">
        <f t="shared" si="28"/>
        <v>46118</v>
      </c>
      <c r="R12" s="139">
        <v>56504</v>
      </c>
      <c r="S12" s="140">
        <v>0</v>
      </c>
      <c r="T12" s="140">
        <v>54683.5</v>
      </c>
      <c r="U12" s="140">
        <v>0</v>
      </c>
      <c r="V12" s="141">
        <v>13331.63</v>
      </c>
      <c r="W12" s="142">
        <v>0.40625</v>
      </c>
      <c r="X12" s="141">
        <v>4644</v>
      </c>
      <c r="Y12" s="142">
        <v>0.76041666666666663</v>
      </c>
      <c r="Z12" s="141">
        <v>0</v>
      </c>
      <c r="AA12" s="142">
        <v>0</v>
      </c>
      <c r="AB12" s="56">
        <f t="shared" si="29"/>
        <v>46118</v>
      </c>
      <c r="AC12" s="76">
        <f t="shared" si="43"/>
        <v>1</v>
      </c>
      <c r="AD12" s="162">
        <f t="shared" si="44"/>
        <v>0</v>
      </c>
      <c r="AE12" s="163">
        <v>7931.7</v>
      </c>
      <c r="AF12" s="118">
        <f t="shared" si="0"/>
        <v>7931.7</v>
      </c>
      <c r="AG12" s="147">
        <v>0</v>
      </c>
      <c r="AH12" s="148">
        <v>4134.07</v>
      </c>
      <c r="AI12" s="149">
        <v>0.67777777777777781</v>
      </c>
      <c r="AJ12" s="148">
        <v>0</v>
      </c>
      <c r="AK12" s="165">
        <v>0</v>
      </c>
      <c r="AL12" s="56">
        <f t="shared" si="18"/>
        <v>46118</v>
      </c>
      <c r="AM12" s="77">
        <f t="shared" si="45"/>
        <v>0.61706141669171422</v>
      </c>
      <c r="AN12" s="76">
        <f t="shared" si="46"/>
        <v>0.38293858330828573</v>
      </c>
      <c r="AO12" s="150">
        <v>9981</v>
      </c>
      <c r="AP12" s="117">
        <f t="shared" si="21"/>
        <v>6158.8899999999994</v>
      </c>
      <c r="AQ12" s="151">
        <v>3822.11</v>
      </c>
      <c r="AR12" s="152">
        <v>3495.63</v>
      </c>
      <c r="AS12" s="153">
        <v>0.77013888888888893</v>
      </c>
      <c r="AT12" s="152">
        <v>183.33</v>
      </c>
      <c r="AU12" s="154">
        <v>0.84375</v>
      </c>
      <c r="AV12" s="56">
        <f t="shared" si="30"/>
        <v>46118</v>
      </c>
      <c r="AW12" s="110">
        <f t="shared" si="47"/>
        <v>0.62362359699984038</v>
      </c>
      <c r="AX12" s="110">
        <f t="shared" si="48"/>
        <v>0.37637640300015957</v>
      </c>
      <c r="AY12" s="111">
        <f t="shared" si="32"/>
        <v>9399.5</v>
      </c>
      <c r="AZ12" s="112">
        <v>9399.5</v>
      </c>
      <c r="BA12" s="120">
        <f t="shared" si="2"/>
        <v>5861.75</v>
      </c>
      <c r="BB12" s="113">
        <f>2839.75+698</f>
        <v>3537.75</v>
      </c>
      <c r="BC12" s="112">
        <v>3947.67</v>
      </c>
      <c r="BD12" s="114">
        <v>0.35416666666666669</v>
      </c>
      <c r="BE12" s="115">
        <v>0</v>
      </c>
      <c r="BF12" s="114">
        <v>0</v>
      </c>
      <c r="BG12" s="115">
        <v>171.63</v>
      </c>
      <c r="BH12" s="114">
        <v>0.79166666666666663</v>
      </c>
      <c r="BI12" s="56">
        <f t="shared" si="31"/>
        <v>46118</v>
      </c>
      <c r="BJ12" s="78">
        <f t="shared" si="49"/>
        <v>0.60834519397432463</v>
      </c>
      <c r="BK12" s="76">
        <f t="shared" si="50"/>
        <v>0.39165480602567537</v>
      </c>
      <c r="BL12" s="79">
        <f t="shared" si="51"/>
        <v>35481.5</v>
      </c>
      <c r="BM12" s="155">
        <v>21585</v>
      </c>
      <c r="BN12" s="155">
        <v>13896.5</v>
      </c>
      <c r="BO12" s="156">
        <v>3999.68</v>
      </c>
      <c r="BP12" s="157">
        <v>0.80972222222222223</v>
      </c>
      <c r="BQ12" s="158">
        <v>2694.56</v>
      </c>
      <c r="BR12" s="157">
        <v>0.80972222222222223</v>
      </c>
    </row>
    <row r="13" spans="1:71" ht="15.75" thickBot="1" x14ac:dyDescent="0.3">
      <c r="B13" s="56">
        <f t="shared" si="27"/>
        <v>46119</v>
      </c>
      <c r="C13" s="164"/>
      <c r="D13" s="87">
        <f t="shared" si="3"/>
        <v>58072</v>
      </c>
      <c r="E13" s="159">
        <f t="shared" si="33"/>
        <v>0.87088183634109384</v>
      </c>
      <c r="F13" s="87">
        <f t="shared" si="5"/>
        <v>50573.85</v>
      </c>
      <c r="G13" s="159">
        <f t="shared" si="34"/>
        <v>0.12911816365890619</v>
      </c>
      <c r="H13" s="146">
        <f t="shared" si="7"/>
        <v>7498.15</v>
      </c>
      <c r="I13" s="160">
        <f t="shared" si="35"/>
        <v>0.1209061267734366</v>
      </c>
      <c r="J13" s="159">
        <f t="shared" si="36"/>
        <v>0.15940566480012036</v>
      </c>
      <c r="K13" s="159">
        <f t="shared" si="37"/>
        <v>0.17090568025056674</v>
      </c>
      <c r="L13" s="161">
        <f t="shared" si="38"/>
        <v>0.57229043012638048</v>
      </c>
      <c r="M13" s="146">
        <f t="shared" si="39"/>
        <v>6791.0553286103868</v>
      </c>
      <c r="N13" s="146">
        <f t="shared" si="40"/>
        <v>8953.4973804931597</v>
      </c>
      <c r="O13" s="146">
        <f t="shared" si="41"/>
        <v>9599.4302483138326</v>
      </c>
      <c r="P13" s="146">
        <f t="shared" si="42"/>
        <v>32144.408879338538</v>
      </c>
      <c r="Q13" s="56">
        <f t="shared" si="28"/>
        <v>46119</v>
      </c>
      <c r="R13" s="139">
        <v>58072</v>
      </c>
      <c r="S13" s="140">
        <v>0</v>
      </c>
      <c r="T13" s="140">
        <v>56168</v>
      </c>
      <c r="U13" s="140">
        <v>0</v>
      </c>
      <c r="V13" s="141">
        <v>14523.57</v>
      </c>
      <c r="W13" s="142">
        <v>0.76041666666666663</v>
      </c>
      <c r="X13" s="141">
        <v>4649.42</v>
      </c>
      <c r="Y13" s="142">
        <v>0.76041666666666663</v>
      </c>
      <c r="Z13" s="141">
        <v>0</v>
      </c>
      <c r="AA13" s="142">
        <v>0</v>
      </c>
      <c r="AB13" s="168">
        <f t="shared" si="29"/>
        <v>46119</v>
      </c>
      <c r="AC13" s="76">
        <f t="shared" si="43"/>
        <v>1</v>
      </c>
      <c r="AD13" s="162">
        <f t="shared" si="44"/>
        <v>0</v>
      </c>
      <c r="AE13" s="163">
        <v>7778.22</v>
      </c>
      <c r="AF13" s="118">
        <f t="shared" si="0"/>
        <v>7778.22</v>
      </c>
      <c r="AG13" s="147">
        <v>0</v>
      </c>
      <c r="AH13" s="148">
        <v>3689.02</v>
      </c>
      <c r="AI13" s="149">
        <v>0.34444444444444444</v>
      </c>
      <c r="AJ13" s="148">
        <v>0</v>
      </c>
      <c r="AK13" s="165">
        <v>0</v>
      </c>
      <c r="AL13" s="168">
        <f t="shared" si="18"/>
        <v>46119</v>
      </c>
      <c r="AM13" s="77">
        <f t="shared" si="45"/>
        <v>0.62604583130180402</v>
      </c>
      <c r="AN13" s="76">
        <f t="shared" si="46"/>
        <v>0.37395416869819603</v>
      </c>
      <c r="AO13" s="150">
        <v>10255</v>
      </c>
      <c r="AP13" s="117">
        <f t="shared" si="21"/>
        <v>6420.1</v>
      </c>
      <c r="AQ13" s="151">
        <v>3834.9</v>
      </c>
      <c r="AR13" s="152">
        <v>3994.39</v>
      </c>
      <c r="AS13" s="153">
        <v>0.78125</v>
      </c>
      <c r="AT13" s="152">
        <v>180.9</v>
      </c>
      <c r="AU13" s="154">
        <v>0.83333333333333337</v>
      </c>
      <c r="AV13" s="168">
        <f t="shared" si="30"/>
        <v>46119</v>
      </c>
      <c r="AW13" s="169">
        <f t="shared" si="47"/>
        <v>0.61368310044819407</v>
      </c>
      <c r="AX13" s="169">
        <f t="shared" si="48"/>
        <v>0.38631689955180598</v>
      </c>
      <c r="AY13" s="111">
        <f t="shared" si="32"/>
        <v>9482.5</v>
      </c>
      <c r="AZ13" s="112">
        <v>9482.5</v>
      </c>
      <c r="BA13" s="120">
        <f t="shared" si="2"/>
        <v>5819.25</v>
      </c>
      <c r="BB13" s="113">
        <f>2965.25+698</f>
        <v>3663.25</v>
      </c>
      <c r="BC13" s="112">
        <v>3936.21</v>
      </c>
      <c r="BD13" s="114">
        <v>0.70833333333333337</v>
      </c>
      <c r="BE13" s="115">
        <v>0</v>
      </c>
      <c r="BF13" s="114">
        <v>0</v>
      </c>
      <c r="BG13" s="115">
        <v>179.97</v>
      </c>
      <c r="BH13" s="114">
        <v>0.88541666666666663</v>
      </c>
      <c r="BI13" s="168">
        <f t="shared" si="31"/>
        <v>46119</v>
      </c>
      <c r="BJ13" s="170">
        <f t="shared" si="49"/>
        <v>0.60625526251459927</v>
      </c>
      <c r="BK13" s="76">
        <f t="shared" si="50"/>
        <v>0.39374473748540079</v>
      </c>
      <c r="BL13" s="79">
        <f t="shared" si="51"/>
        <v>36817</v>
      </c>
      <c r="BM13" s="155">
        <v>22320.5</v>
      </c>
      <c r="BN13" s="155">
        <v>14496.5</v>
      </c>
      <c r="BO13" s="156">
        <v>4061.8</v>
      </c>
      <c r="BP13" s="157">
        <v>0.70625000000000004</v>
      </c>
      <c r="BQ13" s="158">
        <v>2699.7</v>
      </c>
      <c r="BR13" s="157">
        <v>0.40625</v>
      </c>
    </row>
    <row r="14" spans="1:71" ht="15.75" thickBot="1" x14ac:dyDescent="0.3">
      <c r="B14" s="56">
        <f t="shared" si="27"/>
        <v>46120</v>
      </c>
      <c r="C14" s="164"/>
      <c r="D14" s="87">
        <f t="shared" si="3"/>
        <v>59180</v>
      </c>
      <c r="E14" s="159">
        <f t="shared" si="33"/>
        <v>0.87287935113213921</v>
      </c>
      <c r="F14" s="87">
        <f t="shared" si="5"/>
        <v>51657</v>
      </c>
      <c r="G14" s="159">
        <f t="shared" si="34"/>
        <v>0.12712064886786076</v>
      </c>
      <c r="H14" s="146">
        <f t="shared" si="7"/>
        <v>7523</v>
      </c>
      <c r="I14" s="160">
        <f t="shared" si="35"/>
        <v>0.11947852760736197</v>
      </c>
      <c r="J14" s="159">
        <f t="shared" si="36"/>
        <v>0.15874233128834356</v>
      </c>
      <c r="K14" s="159">
        <f t="shared" si="37"/>
        <v>0.16904422253922968</v>
      </c>
      <c r="L14" s="161">
        <f t="shared" si="38"/>
        <v>0.57638036809815951</v>
      </c>
      <c r="M14" s="146">
        <f t="shared" si="39"/>
        <v>6828.1978527607362</v>
      </c>
      <c r="N14" s="146">
        <f t="shared" si="40"/>
        <v>9072.124233128834</v>
      </c>
      <c r="O14" s="146">
        <f t="shared" si="41"/>
        <v>9660.8773181169763</v>
      </c>
      <c r="P14" s="146">
        <f t="shared" si="42"/>
        <v>32940.138036809818</v>
      </c>
      <c r="Q14" s="56">
        <f t="shared" si="28"/>
        <v>46120</v>
      </c>
      <c r="R14" s="139">
        <v>59180</v>
      </c>
      <c r="S14" s="140">
        <v>0</v>
      </c>
      <c r="T14" s="140">
        <v>57150</v>
      </c>
      <c r="U14" s="140">
        <v>0</v>
      </c>
      <c r="V14" s="141">
        <v>13350</v>
      </c>
      <c r="W14" s="142">
        <v>0.73958333333333337</v>
      </c>
      <c r="X14" s="141">
        <v>4720</v>
      </c>
      <c r="Y14" s="142">
        <v>0.85416666666666663</v>
      </c>
      <c r="Z14" s="141">
        <v>0</v>
      </c>
      <c r="AA14" s="142">
        <v>0</v>
      </c>
      <c r="AB14" s="56">
        <f t="shared" si="29"/>
        <v>46120</v>
      </c>
      <c r="AC14" s="76">
        <f t="shared" si="43"/>
        <v>1</v>
      </c>
      <c r="AD14" s="162">
        <f t="shared" si="44"/>
        <v>0</v>
      </c>
      <c r="AE14" s="163">
        <v>7790</v>
      </c>
      <c r="AF14" s="118">
        <f t="shared" si="0"/>
        <v>7790</v>
      </c>
      <c r="AG14" s="147">
        <v>0</v>
      </c>
      <c r="AH14" s="148">
        <v>3890</v>
      </c>
      <c r="AI14" s="149">
        <v>0.375</v>
      </c>
      <c r="AJ14" s="148">
        <v>0</v>
      </c>
      <c r="AK14" s="165">
        <v>0</v>
      </c>
      <c r="AL14" s="56">
        <f t="shared" si="18"/>
        <v>46120</v>
      </c>
      <c r="AM14" s="77">
        <f t="shared" si="45"/>
        <v>0.6280193236714976</v>
      </c>
      <c r="AN14" s="76">
        <f t="shared" si="46"/>
        <v>0.3719806763285024</v>
      </c>
      <c r="AO14" s="150">
        <v>10350</v>
      </c>
      <c r="AP14" s="117">
        <f t="shared" ref="AP14" si="52">AO14-AQ14</f>
        <v>6500</v>
      </c>
      <c r="AQ14" s="151">
        <v>3850</v>
      </c>
      <c r="AR14" s="152">
        <v>4320</v>
      </c>
      <c r="AS14" s="153">
        <v>0.39583333333333331</v>
      </c>
      <c r="AT14" s="152">
        <v>182</v>
      </c>
      <c r="AU14" s="154">
        <v>0.875</v>
      </c>
      <c r="AV14" s="56">
        <f t="shared" si="30"/>
        <v>46120</v>
      </c>
      <c r="AW14" s="110">
        <f t="shared" si="47"/>
        <v>0.61255274261603376</v>
      </c>
      <c r="AX14" s="110">
        <f t="shared" si="48"/>
        <v>0.38744725738396624</v>
      </c>
      <c r="AY14" s="111">
        <f t="shared" si="32"/>
        <v>9480</v>
      </c>
      <c r="AZ14" s="112">
        <v>9480</v>
      </c>
      <c r="BA14" s="120">
        <f t="shared" si="2"/>
        <v>5807</v>
      </c>
      <c r="BB14" s="113">
        <f>2975+698</f>
        <v>3673</v>
      </c>
      <c r="BC14" s="112">
        <v>3980</v>
      </c>
      <c r="BD14" s="114">
        <v>0.75</v>
      </c>
      <c r="BE14" s="115">
        <v>0</v>
      </c>
      <c r="BF14" s="114">
        <v>0</v>
      </c>
      <c r="BG14" s="115">
        <v>180</v>
      </c>
      <c r="BH14" s="114">
        <v>0.85416666666666663</v>
      </c>
      <c r="BI14" s="56">
        <f t="shared" si="31"/>
        <v>46120</v>
      </c>
      <c r="BJ14" s="78">
        <f t="shared" si="49"/>
        <v>0.60750399148483236</v>
      </c>
      <c r="BK14" s="76">
        <f t="shared" si="50"/>
        <v>0.39249600851516764</v>
      </c>
      <c r="BL14" s="79">
        <f t="shared" si="51"/>
        <v>37580</v>
      </c>
      <c r="BM14" s="155">
        <v>22830</v>
      </c>
      <c r="BN14" s="155">
        <v>14750</v>
      </c>
      <c r="BO14" s="156">
        <v>4120</v>
      </c>
      <c r="BP14" s="157">
        <v>0.75</v>
      </c>
      <c r="BQ14" s="158">
        <v>2780</v>
      </c>
      <c r="BR14" s="157">
        <v>0.35416666666666669</v>
      </c>
    </row>
    <row r="15" spans="1:71" ht="15.75" thickBot="1" x14ac:dyDescent="0.3">
      <c r="B15" s="56">
        <f t="shared" si="27"/>
        <v>46121</v>
      </c>
      <c r="C15" s="164"/>
      <c r="D15" s="87">
        <f t="shared" si="3"/>
        <v>58480</v>
      </c>
      <c r="E15" s="159">
        <f t="shared" si="33"/>
        <v>0.87212722298221612</v>
      </c>
      <c r="F15" s="87">
        <f t="shared" si="5"/>
        <v>51002</v>
      </c>
      <c r="G15" s="159">
        <f t="shared" si="34"/>
        <v>0.12787277701778385</v>
      </c>
      <c r="H15" s="146">
        <f t="shared" si="7"/>
        <v>7478</v>
      </c>
      <c r="I15" s="160">
        <f t="shared" si="35"/>
        <v>0.11996915959907478</v>
      </c>
      <c r="J15" s="159">
        <f t="shared" si="36"/>
        <v>0.15867386276021589</v>
      </c>
      <c r="K15" s="159">
        <f t="shared" si="37"/>
        <v>0.16594516594516595</v>
      </c>
      <c r="L15" s="161">
        <f t="shared" si="38"/>
        <v>0.57949113338473401</v>
      </c>
      <c r="M15" s="146">
        <f t="shared" si="39"/>
        <v>6821.4464148033921</v>
      </c>
      <c r="N15" s="146">
        <f t="shared" si="40"/>
        <v>9022.1958365458759</v>
      </c>
      <c r="O15" s="146">
        <f t="shared" si="41"/>
        <v>9435.6421356421361</v>
      </c>
      <c r="P15" s="146">
        <f t="shared" si="42"/>
        <v>32949.865844255975</v>
      </c>
      <c r="Q15" s="56">
        <f t="shared" si="28"/>
        <v>46121</v>
      </c>
      <c r="R15" s="139">
        <v>58480</v>
      </c>
      <c r="S15" s="140">
        <v>0</v>
      </c>
      <c r="T15" s="140">
        <v>56860</v>
      </c>
      <c r="U15" s="140">
        <v>0</v>
      </c>
      <c r="V15" s="141">
        <v>13470</v>
      </c>
      <c r="W15" s="142">
        <v>0.77083333333333337</v>
      </c>
      <c r="X15" s="141">
        <v>4710</v>
      </c>
      <c r="Y15" s="142">
        <v>0.77083333333333337</v>
      </c>
      <c r="Z15" s="141">
        <v>0</v>
      </c>
      <c r="AA15" s="142">
        <v>0</v>
      </c>
      <c r="AB15" s="56">
        <f t="shared" si="29"/>
        <v>46121</v>
      </c>
      <c r="AC15" s="76">
        <f t="shared" si="43"/>
        <v>1</v>
      </c>
      <c r="AD15" s="162">
        <f t="shared" si="44"/>
        <v>0</v>
      </c>
      <c r="AE15" s="163">
        <v>7780</v>
      </c>
      <c r="AF15" s="118">
        <f t="shared" si="0"/>
        <v>7780</v>
      </c>
      <c r="AG15" s="147">
        <v>0</v>
      </c>
      <c r="AH15" s="148">
        <v>3875</v>
      </c>
      <c r="AI15" s="149">
        <v>0.35416666666666669</v>
      </c>
      <c r="AJ15" s="148">
        <v>0</v>
      </c>
      <c r="AK15" s="165">
        <v>0</v>
      </c>
      <c r="AL15" s="168">
        <f t="shared" si="18"/>
        <v>46121</v>
      </c>
      <c r="AM15" s="77">
        <f t="shared" si="45"/>
        <v>0.62876579203109817</v>
      </c>
      <c r="AN15" s="76">
        <f t="shared" si="46"/>
        <v>0.37123420796890183</v>
      </c>
      <c r="AO15" s="150">
        <v>10290</v>
      </c>
      <c r="AP15" s="117">
        <f t="shared" si="21"/>
        <v>6470</v>
      </c>
      <c r="AQ15" s="151">
        <v>3820</v>
      </c>
      <c r="AR15" s="152">
        <v>4150</v>
      </c>
      <c r="AS15" s="153">
        <v>0.34375</v>
      </c>
      <c r="AT15" s="152">
        <v>181</v>
      </c>
      <c r="AU15" s="154">
        <v>0.85416666666666663</v>
      </c>
      <c r="AV15" s="56">
        <f t="shared" si="30"/>
        <v>46121</v>
      </c>
      <c r="AW15" s="169">
        <f t="shared" si="47"/>
        <v>0.60239130434782606</v>
      </c>
      <c r="AX15" s="169">
        <f t="shared" si="48"/>
        <v>0.39760869565217394</v>
      </c>
      <c r="AY15" s="111">
        <f t="shared" si="32"/>
        <v>9200</v>
      </c>
      <c r="AZ15" s="112">
        <v>9200</v>
      </c>
      <c r="BA15" s="120">
        <f t="shared" si="2"/>
        <v>5542</v>
      </c>
      <c r="BB15" s="113">
        <f>2960+698</f>
        <v>3658</v>
      </c>
      <c r="BC15" s="112">
        <v>3978</v>
      </c>
      <c r="BD15" s="114">
        <v>0.72916666666666663</v>
      </c>
      <c r="BE15" s="115">
        <v>0</v>
      </c>
      <c r="BF15" s="114" t="s">
        <v>71</v>
      </c>
      <c r="BG15" s="115">
        <v>178</v>
      </c>
      <c r="BH15" s="114" t="s">
        <v>70</v>
      </c>
      <c r="BI15" s="56">
        <f t="shared" si="31"/>
        <v>46121</v>
      </c>
      <c r="BJ15" s="170">
        <f t="shared" si="49"/>
        <v>0.60643959552953697</v>
      </c>
      <c r="BK15" s="76">
        <f t="shared" si="50"/>
        <v>0.39356040447046303</v>
      </c>
      <c r="BL15" s="79">
        <f t="shared" si="51"/>
        <v>37580</v>
      </c>
      <c r="BM15" s="155">
        <v>22790</v>
      </c>
      <c r="BN15" s="155">
        <v>14790</v>
      </c>
      <c r="BO15" s="156">
        <v>4090</v>
      </c>
      <c r="BP15" s="157">
        <v>0.73958333333333337</v>
      </c>
      <c r="BQ15" s="158">
        <v>2760</v>
      </c>
      <c r="BR15" s="157">
        <v>0.75</v>
      </c>
    </row>
    <row r="16" spans="1:71" ht="15.75" thickBot="1" x14ac:dyDescent="0.3">
      <c r="B16" s="56">
        <f t="shared" si="27"/>
        <v>46122</v>
      </c>
      <c r="C16" s="164"/>
      <c r="D16" s="87">
        <f t="shared" si="3"/>
        <v>57202</v>
      </c>
      <c r="E16" s="159">
        <f t="shared" si="33"/>
        <v>0.87220726548022798</v>
      </c>
      <c r="F16" s="87">
        <f t="shared" si="5"/>
        <v>49892</v>
      </c>
      <c r="G16" s="159">
        <f t="shared" si="34"/>
        <v>0.12779273451977202</v>
      </c>
      <c r="H16" s="146">
        <f t="shared" si="7"/>
        <v>7310</v>
      </c>
      <c r="I16" s="160">
        <f t="shared" si="35"/>
        <v>0.11932052053319823</v>
      </c>
      <c r="J16" s="159">
        <f t="shared" si="36"/>
        <v>0.15897793116550044</v>
      </c>
      <c r="K16" s="159">
        <f t="shared" si="37"/>
        <v>0.16794316794316794</v>
      </c>
      <c r="L16" s="161">
        <f t="shared" si="38"/>
        <v>0.57798499192603614</v>
      </c>
      <c r="M16" s="146">
        <f t="shared" si="39"/>
        <v>6660.7100972041917</v>
      </c>
      <c r="N16" s="146">
        <f t="shared" si="40"/>
        <v>8874.4660735205653</v>
      </c>
      <c r="O16" s="146">
        <f t="shared" si="41"/>
        <v>9374.9235209235212</v>
      </c>
      <c r="P16" s="146">
        <f t="shared" si="42"/>
        <v>32264.278219295189</v>
      </c>
      <c r="Q16" s="56">
        <f t="shared" si="28"/>
        <v>46122</v>
      </c>
      <c r="R16" s="139">
        <v>57202</v>
      </c>
      <c r="S16" s="140">
        <v>0</v>
      </c>
      <c r="T16" s="140">
        <v>55822</v>
      </c>
      <c r="U16" s="140">
        <v>0</v>
      </c>
      <c r="V16" s="141">
        <v>13294</v>
      </c>
      <c r="W16" s="142">
        <v>0.82291666666666663</v>
      </c>
      <c r="X16" s="141">
        <v>4491</v>
      </c>
      <c r="Y16" s="142">
        <v>0.42708333333333331</v>
      </c>
      <c r="Z16" s="141">
        <v>0</v>
      </c>
      <c r="AA16" s="142">
        <v>0</v>
      </c>
      <c r="AB16" s="56">
        <f t="shared" si="29"/>
        <v>46122</v>
      </c>
      <c r="AC16" s="76">
        <f t="shared" si="43"/>
        <v>1</v>
      </c>
      <c r="AD16" s="162">
        <f t="shared" si="44"/>
        <v>0</v>
      </c>
      <c r="AE16" s="163">
        <v>7537</v>
      </c>
      <c r="AF16" s="118">
        <f t="shared" si="0"/>
        <v>7537</v>
      </c>
      <c r="AG16" s="147">
        <v>0</v>
      </c>
      <c r="AH16" s="148">
        <v>3702</v>
      </c>
      <c r="AI16" s="149">
        <v>0.77916666666666667</v>
      </c>
      <c r="AJ16" s="148">
        <v>0</v>
      </c>
      <c r="AK16" s="165">
        <v>0</v>
      </c>
      <c r="AL16" s="56">
        <f t="shared" si="18"/>
        <v>46122</v>
      </c>
      <c r="AM16" s="77">
        <f t="shared" si="45"/>
        <v>0.62158932483569007</v>
      </c>
      <c r="AN16" s="76">
        <f t="shared" si="46"/>
        <v>0.37841067516430987</v>
      </c>
      <c r="AO16" s="150">
        <v>10042</v>
      </c>
      <c r="AP16" s="117">
        <f t="shared" si="21"/>
        <v>6242</v>
      </c>
      <c r="AQ16" s="151">
        <v>3800</v>
      </c>
      <c r="AR16" s="152">
        <v>3676</v>
      </c>
      <c r="AS16" s="153">
        <v>0.71805555555555556</v>
      </c>
      <c r="AT16" s="152">
        <v>184</v>
      </c>
      <c r="AU16" s="154">
        <v>0.91666666666666663</v>
      </c>
      <c r="AV16" s="56">
        <f t="shared" si="30"/>
        <v>46122</v>
      </c>
      <c r="AW16" s="110">
        <f t="shared" si="47"/>
        <v>0.61335095836087239</v>
      </c>
      <c r="AX16" s="110">
        <f t="shared" si="48"/>
        <v>0.38664904163912756</v>
      </c>
      <c r="AY16" s="111">
        <f t="shared" si="32"/>
        <v>9078</v>
      </c>
      <c r="AZ16" s="112">
        <v>9078</v>
      </c>
      <c r="BA16" s="120">
        <f t="shared" si="2"/>
        <v>5568</v>
      </c>
      <c r="BB16" s="113">
        <f>2812+698</f>
        <v>3510</v>
      </c>
      <c r="BC16" s="112">
        <v>3993</v>
      </c>
      <c r="BD16" s="114">
        <v>0.70833333333333337</v>
      </c>
      <c r="BE16" s="115">
        <v>0</v>
      </c>
      <c r="BF16" s="114">
        <v>0</v>
      </c>
      <c r="BG16" s="115">
        <v>166</v>
      </c>
      <c r="BH16" s="114">
        <v>0.78125</v>
      </c>
      <c r="BI16" s="56">
        <f t="shared" si="31"/>
        <v>46122</v>
      </c>
      <c r="BJ16" s="78">
        <f t="shared" si="49"/>
        <v>0.60585061217781921</v>
      </c>
      <c r="BK16" s="76">
        <f t="shared" si="50"/>
        <v>0.39414938782218084</v>
      </c>
      <c r="BL16" s="79">
        <f t="shared" si="51"/>
        <v>36509</v>
      </c>
      <c r="BM16" s="155">
        <v>22119</v>
      </c>
      <c r="BN16" s="155">
        <v>14390</v>
      </c>
      <c r="BO16" s="156">
        <v>4104</v>
      </c>
      <c r="BP16" s="157">
        <v>0.8256944444444444</v>
      </c>
      <c r="BQ16" s="158">
        <v>2749</v>
      </c>
      <c r="BR16" s="157">
        <v>0.8256944444444444</v>
      </c>
    </row>
    <row r="17" spans="1:70" ht="15.75" thickBot="1" x14ac:dyDescent="0.3">
      <c r="B17" s="56">
        <f t="shared" si="27"/>
        <v>46123</v>
      </c>
      <c r="C17" s="164"/>
      <c r="D17" s="87">
        <f t="shared" si="3"/>
        <v>35852</v>
      </c>
      <c r="E17" s="159">
        <f t="shared" si="33"/>
        <v>0.83086020305701214</v>
      </c>
      <c r="F17" s="87">
        <f t="shared" si="5"/>
        <v>29788</v>
      </c>
      <c r="G17" s="159">
        <f t="shared" si="34"/>
        <v>0.16913979694298784</v>
      </c>
      <c r="H17" s="146">
        <f t="shared" si="7"/>
        <v>6064</v>
      </c>
      <c r="I17" s="160">
        <f t="shared" si="35"/>
        <v>7.5002472065658063E-2</v>
      </c>
      <c r="J17" s="159">
        <f t="shared" si="36"/>
        <v>0.12100761396222684</v>
      </c>
      <c r="K17" s="159">
        <f t="shared" si="37"/>
        <v>0.16342424524496571</v>
      </c>
      <c r="L17" s="161">
        <f t="shared" si="38"/>
        <v>0.67378621576189068</v>
      </c>
      <c r="M17" s="146">
        <f t="shared" si="39"/>
        <v>2540.5587362800356</v>
      </c>
      <c r="N17" s="146">
        <f t="shared" si="40"/>
        <v>4098.8909077425096</v>
      </c>
      <c r="O17" s="146">
        <f t="shared" si="41"/>
        <v>5535.6694591827236</v>
      </c>
      <c r="P17" s="146">
        <f t="shared" si="42"/>
        <v>22823.160486502522</v>
      </c>
      <c r="Q17" s="56">
        <f t="shared" si="28"/>
        <v>46123</v>
      </c>
      <c r="R17" s="139">
        <v>35852</v>
      </c>
      <c r="S17" s="140">
        <v>0</v>
      </c>
      <c r="T17" s="140">
        <v>33873</v>
      </c>
      <c r="U17" s="140">
        <v>0</v>
      </c>
      <c r="V17" s="141">
        <v>6776</v>
      </c>
      <c r="W17" s="142">
        <v>0.83333333333333337</v>
      </c>
      <c r="X17" s="141">
        <v>2180</v>
      </c>
      <c r="Y17" s="142">
        <v>0.44791666666666669</v>
      </c>
      <c r="Z17" s="141">
        <v>0</v>
      </c>
      <c r="AA17" s="142">
        <v>0</v>
      </c>
      <c r="AB17" s="56">
        <f t="shared" si="29"/>
        <v>46123</v>
      </c>
      <c r="AC17" s="76">
        <f t="shared" si="43"/>
        <v>1</v>
      </c>
      <c r="AD17" s="162">
        <f t="shared" si="44"/>
        <v>0</v>
      </c>
      <c r="AE17" s="163">
        <v>3034</v>
      </c>
      <c r="AF17" s="118">
        <f t="shared" si="0"/>
        <v>3034</v>
      </c>
      <c r="AG17" s="147">
        <v>0</v>
      </c>
      <c r="AH17" s="148">
        <v>1494</v>
      </c>
      <c r="AI17" s="149">
        <v>0.64861111111111114</v>
      </c>
      <c r="AJ17" s="148">
        <v>0</v>
      </c>
      <c r="AK17" s="165">
        <v>0</v>
      </c>
      <c r="AL17" s="56">
        <f t="shared" si="18"/>
        <v>46123</v>
      </c>
      <c r="AM17" s="77">
        <f t="shared" si="45"/>
        <v>0.41859039836567924</v>
      </c>
      <c r="AN17" s="76">
        <f t="shared" si="46"/>
        <v>0.58140960163432076</v>
      </c>
      <c r="AO17" s="150">
        <v>4895</v>
      </c>
      <c r="AP17" s="117">
        <f t="shared" si="21"/>
        <v>2049</v>
      </c>
      <c r="AQ17" s="151">
        <v>2846</v>
      </c>
      <c r="AR17" s="152">
        <v>1769</v>
      </c>
      <c r="AS17" s="153">
        <v>0.35208333333333336</v>
      </c>
      <c r="AT17" s="152">
        <v>184</v>
      </c>
      <c r="AU17" s="154">
        <v>0.88541666666666663</v>
      </c>
      <c r="AV17" s="56">
        <f t="shared" si="30"/>
        <v>46123</v>
      </c>
      <c r="AW17" s="110">
        <f t="shared" si="47"/>
        <v>0.38902601101196127</v>
      </c>
      <c r="AX17" s="110">
        <f t="shared" si="48"/>
        <v>0.61097398898803879</v>
      </c>
      <c r="AY17" s="111">
        <f t="shared" si="32"/>
        <v>5267</v>
      </c>
      <c r="AZ17" s="112">
        <v>5267</v>
      </c>
      <c r="BA17" s="120">
        <f t="shared" si="2"/>
        <v>2049</v>
      </c>
      <c r="BB17" s="113">
        <f>2520+698</f>
        <v>3218</v>
      </c>
      <c r="BC17" s="112">
        <v>1710</v>
      </c>
      <c r="BD17" s="114">
        <v>0.96875</v>
      </c>
      <c r="BE17" s="115">
        <v>0</v>
      </c>
      <c r="BF17" s="114">
        <v>0</v>
      </c>
      <c r="BG17" s="115">
        <v>299</v>
      </c>
      <c r="BH17" s="114">
        <v>0.20833333333333334</v>
      </c>
      <c r="BI17" s="56">
        <f t="shared" si="31"/>
        <v>46123</v>
      </c>
      <c r="BJ17" s="78">
        <f t="shared" si="49"/>
        <v>0.60948048136190192</v>
      </c>
      <c r="BK17" s="76">
        <f t="shared" si="50"/>
        <v>0.39051951863809803</v>
      </c>
      <c r="BL17" s="79">
        <f t="shared" si="51"/>
        <v>27256</v>
      </c>
      <c r="BM17" s="155">
        <v>16612</v>
      </c>
      <c r="BN17" s="155">
        <v>10644</v>
      </c>
      <c r="BO17" s="156">
        <v>2915</v>
      </c>
      <c r="BP17" s="157">
        <v>0.44166666666666665</v>
      </c>
      <c r="BQ17" s="158">
        <v>1954</v>
      </c>
      <c r="BR17" s="157">
        <v>0.44236111111111109</v>
      </c>
    </row>
    <row r="18" spans="1:70" ht="15.75" thickBot="1" x14ac:dyDescent="0.3">
      <c r="B18" s="56">
        <f t="shared" si="27"/>
        <v>46124</v>
      </c>
      <c r="C18" s="164"/>
      <c r="D18" s="87">
        <f t="shared" si="3"/>
        <v>32042</v>
      </c>
      <c r="E18" s="159">
        <f t="shared" si="33"/>
        <v>0.79005617626864744</v>
      </c>
      <c r="F18" s="87">
        <f t="shared" si="5"/>
        <v>25314.98</v>
      </c>
      <c r="G18" s="159">
        <f t="shared" si="34"/>
        <v>0.20994382373135262</v>
      </c>
      <c r="H18" s="146">
        <f t="shared" si="7"/>
        <v>6727.02</v>
      </c>
      <c r="I18" s="160">
        <f t="shared" si="35"/>
        <v>5.8144087481111717E-2</v>
      </c>
      <c r="J18" s="159">
        <f t="shared" si="36"/>
        <v>0.1494151798714565</v>
      </c>
      <c r="K18" s="159">
        <f t="shared" si="37"/>
        <v>0.16542881121231801</v>
      </c>
      <c r="L18" s="161">
        <f t="shared" si="38"/>
        <v>0.66605549657546026</v>
      </c>
      <c r="M18" s="146">
        <f t="shared" si="39"/>
        <v>1769.7025186188569</v>
      </c>
      <c r="N18" s="146">
        <f t="shared" si="40"/>
        <v>4547.675122157586</v>
      </c>
      <c r="O18" s="146">
        <f t="shared" si="41"/>
        <v>5035.0740124637168</v>
      </c>
      <c r="P18" s="146">
        <f t="shared" si="42"/>
        <v>20272.398121518996</v>
      </c>
      <c r="Q18" s="56">
        <f t="shared" si="28"/>
        <v>46124</v>
      </c>
      <c r="R18" s="139">
        <v>32042</v>
      </c>
      <c r="S18" s="140">
        <v>0</v>
      </c>
      <c r="T18" s="140">
        <v>30436.5</v>
      </c>
      <c r="U18" s="140">
        <v>0</v>
      </c>
      <c r="V18" s="141">
        <v>5987.62</v>
      </c>
      <c r="W18" s="142">
        <v>1.0416666666666666E-2</v>
      </c>
      <c r="X18" s="141">
        <v>1779.98</v>
      </c>
      <c r="Y18" s="142">
        <v>0.92708333333333337</v>
      </c>
      <c r="Z18" s="141">
        <v>0</v>
      </c>
      <c r="AA18" s="142">
        <v>0</v>
      </c>
      <c r="AB18" s="56">
        <f t="shared" si="29"/>
        <v>46124</v>
      </c>
      <c r="AC18" s="76">
        <f t="shared" si="43"/>
        <v>1</v>
      </c>
      <c r="AD18" s="162">
        <f t="shared" si="44"/>
        <v>0</v>
      </c>
      <c r="AE18" s="163">
        <v>2028.61</v>
      </c>
      <c r="AF18" s="118">
        <f t="shared" si="0"/>
        <v>2028.61</v>
      </c>
      <c r="AG18" s="147">
        <v>0</v>
      </c>
      <c r="AH18" s="148">
        <v>1365.49</v>
      </c>
      <c r="AI18" s="149">
        <v>0.67708333333333337</v>
      </c>
      <c r="AJ18" s="148">
        <v>0</v>
      </c>
      <c r="AK18" s="165">
        <v>0</v>
      </c>
      <c r="AL18" s="56">
        <f t="shared" si="18"/>
        <v>46124</v>
      </c>
      <c r="AM18" s="77">
        <f t="shared" si="45"/>
        <v>0.31049491655476696</v>
      </c>
      <c r="AN18" s="76">
        <f t="shared" si="46"/>
        <v>0.68950508344523309</v>
      </c>
      <c r="AO18" s="150">
        <v>5213</v>
      </c>
      <c r="AP18" s="117">
        <f t="shared" si="21"/>
        <v>1618.6100000000001</v>
      </c>
      <c r="AQ18" s="151">
        <v>3594.39</v>
      </c>
      <c r="AR18" s="152">
        <v>1549.74</v>
      </c>
      <c r="AS18" s="153">
        <v>0.39374999999999999</v>
      </c>
      <c r="AT18" s="152">
        <v>176.4</v>
      </c>
      <c r="AU18" s="154">
        <v>0.78125</v>
      </c>
      <c r="AV18" s="56">
        <f t="shared" si="30"/>
        <v>46124</v>
      </c>
      <c r="AW18" s="110">
        <f t="shared" si="47"/>
        <v>0.28957251389046373</v>
      </c>
      <c r="AX18" s="110">
        <f t="shared" si="48"/>
        <v>0.71042748610953621</v>
      </c>
      <c r="AY18" s="111">
        <f t="shared" si="32"/>
        <v>4409.5</v>
      </c>
      <c r="AZ18" s="112">
        <v>4409.5</v>
      </c>
      <c r="BA18" s="120">
        <f t="shared" si="2"/>
        <v>1276.8699999999999</v>
      </c>
      <c r="BB18" s="113">
        <f>2434.63+698</f>
        <v>3132.63</v>
      </c>
      <c r="BC18" s="112">
        <v>1487.79</v>
      </c>
      <c r="BD18" s="114">
        <v>0.66666666666666663</v>
      </c>
      <c r="BE18" s="115">
        <v>0</v>
      </c>
      <c r="BF18" s="114">
        <v>0</v>
      </c>
      <c r="BG18" s="115">
        <v>152.31</v>
      </c>
      <c r="BH18" s="114">
        <v>0.79166666666666663</v>
      </c>
      <c r="BI18" s="56">
        <f t="shared" si="31"/>
        <v>46124</v>
      </c>
      <c r="BJ18" s="78">
        <f t="shared" si="49"/>
        <v>0.61057738857271959</v>
      </c>
      <c r="BK18" s="76">
        <f t="shared" si="50"/>
        <v>0.38942261142728046</v>
      </c>
      <c r="BL18" s="79">
        <f t="shared" si="51"/>
        <v>23238.25</v>
      </c>
      <c r="BM18" s="155">
        <v>14188.75</v>
      </c>
      <c r="BN18" s="155">
        <v>9049.5</v>
      </c>
      <c r="BO18" s="156">
        <v>2706.99</v>
      </c>
      <c r="BP18" s="157">
        <v>0.41111111111111109</v>
      </c>
      <c r="BQ18" s="158">
        <v>1790.34</v>
      </c>
      <c r="BR18" s="157">
        <v>0.41180555555555554</v>
      </c>
    </row>
    <row r="19" spans="1:70" ht="15.75" thickBot="1" x14ac:dyDescent="0.3">
      <c r="B19" s="56">
        <f t="shared" si="27"/>
        <v>46125</v>
      </c>
      <c r="C19" s="164"/>
      <c r="D19" s="87">
        <f t="shared" si="3"/>
        <v>56406</v>
      </c>
      <c r="E19" s="159">
        <f t="shared" si="33"/>
        <v>0.8739318512215013</v>
      </c>
      <c r="F19" s="87">
        <f t="shared" si="5"/>
        <v>49295</v>
      </c>
      <c r="G19" s="159">
        <f t="shared" si="34"/>
        <v>0.12606814877849873</v>
      </c>
      <c r="H19" s="146">
        <f t="shared" si="7"/>
        <v>7111</v>
      </c>
      <c r="I19" s="160">
        <f t="shared" si="35"/>
        <v>0.11943323042824348</v>
      </c>
      <c r="J19" s="159">
        <f t="shared" si="36"/>
        <v>0.15913876355576664</v>
      </c>
      <c r="K19" s="159">
        <f t="shared" si="37"/>
        <v>0.17049967673409069</v>
      </c>
      <c r="L19" s="161">
        <f t="shared" si="38"/>
        <v>0.57530277843742583</v>
      </c>
      <c r="M19" s="146">
        <f t="shared" si="39"/>
        <v>6508.2750257262724</v>
      </c>
      <c r="N19" s="146">
        <f t="shared" si="40"/>
        <v>8671.9486424443912</v>
      </c>
      <c r="O19" s="146">
        <f t="shared" si="41"/>
        <v>9291.0388842708035</v>
      </c>
      <c r="P19" s="146">
        <f t="shared" si="42"/>
        <v>31349.974305390646</v>
      </c>
      <c r="Q19" s="56">
        <f t="shared" si="28"/>
        <v>46125</v>
      </c>
      <c r="R19" s="139">
        <v>56406</v>
      </c>
      <c r="S19" s="140">
        <v>0</v>
      </c>
      <c r="T19" s="140">
        <v>54493</v>
      </c>
      <c r="U19" s="140">
        <v>0</v>
      </c>
      <c r="V19" s="141">
        <v>12960</v>
      </c>
      <c r="W19" s="142">
        <v>0.8125</v>
      </c>
      <c r="X19" s="141">
        <v>4582</v>
      </c>
      <c r="Y19" s="142">
        <v>0.80208333333333337</v>
      </c>
      <c r="Z19" s="141">
        <v>0</v>
      </c>
      <c r="AA19" s="142">
        <v>0</v>
      </c>
      <c r="AB19" s="56">
        <f t="shared" si="29"/>
        <v>46125</v>
      </c>
      <c r="AC19" s="76">
        <f t="shared" si="43"/>
        <v>1</v>
      </c>
      <c r="AD19" s="162">
        <f t="shared" si="44"/>
        <v>0</v>
      </c>
      <c r="AE19" s="163">
        <v>7544</v>
      </c>
      <c r="AF19" s="118">
        <f t="shared" si="0"/>
        <v>7544</v>
      </c>
      <c r="AG19" s="147">
        <v>0</v>
      </c>
      <c r="AH19" s="148">
        <v>3324</v>
      </c>
      <c r="AI19" s="149">
        <v>0.35416666666666669</v>
      </c>
      <c r="AJ19" s="148">
        <v>0</v>
      </c>
      <c r="AK19" s="165">
        <v>0</v>
      </c>
      <c r="AL19" s="56">
        <f t="shared" si="18"/>
        <v>46125</v>
      </c>
      <c r="AM19" s="77">
        <f t="shared" ref="AM19" si="53">+AP19/AO19</f>
        <v>0.61181854357341825</v>
      </c>
      <c r="AN19" s="76">
        <f t="shared" ref="AN19" si="54">+AQ19/AO19</f>
        <v>0.38818145642658175</v>
      </c>
      <c r="AO19" s="150">
        <v>10052</v>
      </c>
      <c r="AP19" s="117">
        <f t="shared" si="21"/>
        <v>6150</v>
      </c>
      <c r="AQ19" s="151">
        <v>3902</v>
      </c>
      <c r="AR19" s="152">
        <v>3683</v>
      </c>
      <c r="AS19" s="153">
        <v>0.31805555555555554</v>
      </c>
      <c r="AT19" s="152">
        <v>183</v>
      </c>
      <c r="AU19" s="154">
        <v>0.78125</v>
      </c>
      <c r="AV19" s="56">
        <f t="shared" si="30"/>
        <v>46125</v>
      </c>
      <c r="AW19" s="110">
        <f t="shared" ref="AW19" si="55">BA19/AZ19</f>
        <v>0.65232936078006498</v>
      </c>
      <c r="AX19" s="110">
        <f t="shared" ref="AX19" si="56">BB19/AZ19</f>
        <v>0.34767063921993502</v>
      </c>
      <c r="AY19" s="111">
        <f t="shared" si="32"/>
        <v>9230</v>
      </c>
      <c r="AZ19" s="112">
        <v>9230</v>
      </c>
      <c r="BA19" s="120">
        <f t="shared" si="2"/>
        <v>6021</v>
      </c>
      <c r="BB19" s="113">
        <f>2511+698</f>
        <v>3209</v>
      </c>
      <c r="BC19" s="181">
        <v>4365</v>
      </c>
      <c r="BD19" s="114">
        <v>0.77083333333333337</v>
      </c>
      <c r="BE19" s="115">
        <v>0</v>
      </c>
      <c r="BF19" s="114">
        <v>0</v>
      </c>
      <c r="BG19" s="115">
        <v>151</v>
      </c>
      <c r="BH19" s="114">
        <v>0.79166666666666663</v>
      </c>
      <c r="BI19" s="56">
        <f t="shared" si="31"/>
        <v>46125</v>
      </c>
      <c r="BJ19" s="78">
        <f t="shared" ref="BJ19" si="57">+BM19/BL19</f>
        <v>0.60488731115330641</v>
      </c>
      <c r="BK19" s="76">
        <f t="shared" ref="BK19" si="58">+BN19/BL19</f>
        <v>0.39511268884669365</v>
      </c>
      <c r="BL19" s="79">
        <f t="shared" ref="BL19" si="59">BM19+BN19</f>
        <v>36339</v>
      </c>
      <c r="BM19" s="155">
        <v>21981</v>
      </c>
      <c r="BN19" s="155">
        <v>14358</v>
      </c>
      <c r="BO19" s="156">
        <v>4311</v>
      </c>
      <c r="BP19" s="157">
        <v>0.40763888888888888</v>
      </c>
      <c r="BQ19" s="158">
        <v>2883</v>
      </c>
      <c r="BR19" s="157">
        <v>0.40833333333333333</v>
      </c>
    </row>
    <row r="20" spans="1:70" ht="15.75" thickBot="1" x14ac:dyDescent="0.3">
      <c r="B20" s="56">
        <f t="shared" si="27"/>
        <v>46126</v>
      </c>
      <c r="C20" s="164"/>
      <c r="D20" s="87">
        <f t="shared" si="3"/>
        <v>61566</v>
      </c>
      <c r="E20" s="159">
        <f t="shared" si="33"/>
        <v>0.88433550985933795</v>
      </c>
      <c r="F20" s="87">
        <f t="shared" si="5"/>
        <v>54445</v>
      </c>
      <c r="G20" s="159">
        <f t="shared" si="34"/>
        <v>0.11566449014066206</v>
      </c>
      <c r="H20" s="146">
        <f t="shared" si="7"/>
        <v>7121</v>
      </c>
      <c r="I20" s="160">
        <f t="shared" si="35"/>
        <v>0.11131725417439703</v>
      </c>
      <c r="J20" s="159">
        <f t="shared" si="36"/>
        <v>0.15122784976553255</v>
      </c>
      <c r="K20" s="159">
        <f t="shared" si="37"/>
        <v>0.16247464854651666</v>
      </c>
      <c r="L20" s="161">
        <f t="shared" si="38"/>
        <v>0.60052883000014612</v>
      </c>
      <c r="M20" s="146">
        <f t="shared" si="39"/>
        <v>6676.8089053803342</v>
      </c>
      <c r="N20" s="146">
        <f t="shared" si="40"/>
        <v>9070.6464289366431</v>
      </c>
      <c r="O20" s="146">
        <f t="shared" si="41"/>
        <v>9745.2294198200689</v>
      </c>
      <c r="P20" s="146">
        <f t="shared" si="42"/>
        <v>36019.719223408763</v>
      </c>
      <c r="Q20" s="56">
        <f t="shared" si="28"/>
        <v>46126</v>
      </c>
      <c r="R20" s="139">
        <v>61566</v>
      </c>
      <c r="S20" s="140">
        <v>0</v>
      </c>
      <c r="T20" s="140">
        <v>59980</v>
      </c>
      <c r="U20" s="140">
        <v>0</v>
      </c>
      <c r="V20" s="141">
        <v>15906</v>
      </c>
      <c r="W20" s="142">
        <v>0.82291666666666663</v>
      </c>
      <c r="X20" s="141">
        <v>4504</v>
      </c>
      <c r="Y20" s="142">
        <v>0.79166666666666663</v>
      </c>
      <c r="Z20" s="141">
        <v>0</v>
      </c>
      <c r="AA20" s="142">
        <v>0</v>
      </c>
      <c r="AB20" s="56">
        <f t="shared" si="29"/>
        <v>46126</v>
      </c>
      <c r="AC20" s="76">
        <f t="shared" si="43"/>
        <v>1</v>
      </c>
      <c r="AD20" s="162">
        <f t="shared" si="44"/>
        <v>0</v>
      </c>
      <c r="AE20" s="163">
        <v>7620</v>
      </c>
      <c r="AF20" s="118">
        <f t="shared" si="0"/>
        <v>7620</v>
      </c>
      <c r="AG20" s="147">
        <v>0</v>
      </c>
      <c r="AH20" s="148">
        <v>4036</v>
      </c>
      <c r="AI20" s="149">
        <v>0.34097222222222223</v>
      </c>
      <c r="AJ20" s="148">
        <v>0</v>
      </c>
      <c r="AK20" s="165">
        <v>0</v>
      </c>
      <c r="AL20" s="56">
        <f t="shared" si="18"/>
        <v>46126</v>
      </c>
      <c r="AM20" s="77">
        <f t="shared" si="45"/>
        <v>0.62103941267387941</v>
      </c>
      <c r="AN20" s="76">
        <f t="shared" si="46"/>
        <v>0.37896058732612053</v>
      </c>
      <c r="AO20" s="150">
        <v>10352</v>
      </c>
      <c r="AP20" s="117">
        <f t="shared" si="21"/>
        <v>6429</v>
      </c>
      <c r="AQ20" s="151">
        <v>3923</v>
      </c>
      <c r="AR20" s="152">
        <v>4597</v>
      </c>
      <c r="AS20" s="153">
        <v>0.77638888888888891</v>
      </c>
      <c r="AT20" s="152">
        <v>181</v>
      </c>
      <c r="AU20" s="154">
        <v>0.34375</v>
      </c>
      <c r="AV20" s="56">
        <f t="shared" si="30"/>
        <v>46126</v>
      </c>
      <c r="AW20" s="110">
        <f t="shared" si="47"/>
        <v>0.6588072122052705</v>
      </c>
      <c r="AX20" s="110">
        <f t="shared" si="48"/>
        <v>0.34119278779472956</v>
      </c>
      <c r="AY20" s="111">
        <f t="shared" si="32"/>
        <v>9373</v>
      </c>
      <c r="AZ20" s="112">
        <v>9373</v>
      </c>
      <c r="BA20" s="120">
        <f t="shared" si="2"/>
        <v>6175</v>
      </c>
      <c r="BB20" s="113">
        <f>2500+698</f>
        <v>3198</v>
      </c>
      <c r="BC20" s="112">
        <v>4763</v>
      </c>
      <c r="BD20" s="114">
        <v>0.75</v>
      </c>
      <c r="BE20" s="115">
        <v>0</v>
      </c>
      <c r="BF20" s="114">
        <v>0</v>
      </c>
      <c r="BG20" s="115">
        <v>150</v>
      </c>
      <c r="BH20" s="114">
        <v>0.82291666666666663</v>
      </c>
      <c r="BI20" s="56">
        <f t="shared" si="31"/>
        <v>46126</v>
      </c>
      <c r="BJ20" s="78">
        <f t="shared" si="49"/>
        <v>0.60557555706918365</v>
      </c>
      <c r="BK20" s="76">
        <f t="shared" si="50"/>
        <v>0.39442444293081641</v>
      </c>
      <c r="BL20" s="79">
        <f t="shared" si="51"/>
        <v>41108</v>
      </c>
      <c r="BM20" s="155">
        <v>24894</v>
      </c>
      <c r="BN20" s="155">
        <v>16214</v>
      </c>
      <c r="BO20" s="156">
        <v>4041</v>
      </c>
      <c r="BP20" s="157">
        <v>0.71458333333333335</v>
      </c>
      <c r="BQ20" s="158">
        <v>2699</v>
      </c>
      <c r="BR20" s="157">
        <v>0.71458333333333335</v>
      </c>
    </row>
    <row r="21" spans="1:70" ht="15.75" thickBot="1" x14ac:dyDescent="0.3">
      <c r="A21" s="14"/>
      <c r="B21" s="56">
        <f t="shared" si="27"/>
        <v>46127</v>
      </c>
      <c r="C21" s="164"/>
      <c r="D21" s="87">
        <f t="shared" si="3"/>
        <v>61708</v>
      </c>
      <c r="E21" s="159">
        <f t="shared" si="33"/>
        <v>0.88458546703830943</v>
      </c>
      <c r="F21" s="87">
        <f t="shared" si="5"/>
        <v>54586</v>
      </c>
      <c r="G21" s="159">
        <f t="shared" si="34"/>
        <v>0.11541453296169055</v>
      </c>
      <c r="H21" s="146">
        <f t="shared" si="7"/>
        <v>7122</v>
      </c>
      <c r="I21" s="160">
        <f t="shared" si="35"/>
        <v>0.11207071438921895</v>
      </c>
      <c r="J21" s="159">
        <f t="shared" si="36"/>
        <v>0.149021880886828</v>
      </c>
      <c r="K21" s="159">
        <f t="shared" si="37"/>
        <v>0.16572121792024058</v>
      </c>
      <c r="L21" s="161">
        <f t="shared" si="38"/>
        <v>0.59836255615128242</v>
      </c>
      <c r="M21" s="146">
        <f t="shared" si="39"/>
        <v>6721.5531662077956</v>
      </c>
      <c r="N21" s="146">
        <f t="shared" si="40"/>
        <v>8937.7363280683967</v>
      </c>
      <c r="O21" s="146">
        <f t="shared" si="41"/>
        <v>9939.2957659843487</v>
      </c>
      <c r="P21" s="146">
        <f t="shared" si="42"/>
        <v>35887.392667729313</v>
      </c>
      <c r="Q21" s="56">
        <f t="shared" si="28"/>
        <v>46127</v>
      </c>
      <c r="R21" s="139">
        <v>61708</v>
      </c>
      <c r="S21" s="140">
        <v>0</v>
      </c>
      <c r="T21" s="140">
        <v>59976</v>
      </c>
      <c r="U21" s="140">
        <v>0</v>
      </c>
      <c r="V21" s="141">
        <v>13281</v>
      </c>
      <c r="W21" s="142">
        <v>0.76041666666666663</v>
      </c>
      <c r="X21" s="141">
        <v>4540</v>
      </c>
      <c r="Y21" s="142">
        <v>0.77083333333333337</v>
      </c>
      <c r="Z21" s="141">
        <v>0</v>
      </c>
      <c r="AA21" s="142">
        <v>0</v>
      </c>
      <c r="AB21" s="56">
        <f t="shared" si="29"/>
        <v>46127</v>
      </c>
      <c r="AC21" s="76">
        <f t="shared" si="43"/>
        <v>1</v>
      </c>
      <c r="AD21" s="162">
        <f t="shared" si="44"/>
        <v>0</v>
      </c>
      <c r="AE21" s="163">
        <v>7734</v>
      </c>
      <c r="AF21" s="118">
        <f t="shared" si="0"/>
        <v>7734</v>
      </c>
      <c r="AG21" s="147">
        <v>0</v>
      </c>
      <c r="AH21" s="148">
        <v>4355</v>
      </c>
      <c r="AI21" s="149">
        <v>0.35833333333333334</v>
      </c>
      <c r="AJ21" s="148">
        <v>0</v>
      </c>
      <c r="AK21" s="165">
        <v>0</v>
      </c>
      <c r="AL21" s="56">
        <f t="shared" si="18"/>
        <v>46127</v>
      </c>
      <c r="AM21" s="77">
        <f t="shared" si="45"/>
        <v>0.62232594321275769</v>
      </c>
      <c r="AN21" s="76">
        <f t="shared" si="46"/>
        <v>0.37767405678724231</v>
      </c>
      <c r="AO21" s="150">
        <v>10284</v>
      </c>
      <c r="AP21" s="117">
        <f t="shared" si="21"/>
        <v>6400</v>
      </c>
      <c r="AQ21" s="151">
        <v>3884</v>
      </c>
      <c r="AR21" s="152">
        <v>3675</v>
      </c>
      <c r="AS21" s="153">
        <v>0.35694444444444445</v>
      </c>
      <c r="AT21" s="152">
        <v>185</v>
      </c>
      <c r="AU21" s="154">
        <v>0.80208333333333337</v>
      </c>
      <c r="AV21" s="56">
        <f t="shared" si="30"/>
        <v>46127</v>
      </c>
      <c r="AW21" s="110">
        <f t="shared" si="47"/>
        <v>0.66615114960305188</v>
      </c>
      <c r="AX21" s="110">
        <f t="shared" si="48"/>
        <v>0.33384885039694812</v>
      </c>
      <c r="AY21" s="111">
        <f t="shared" si="32"/>
        <v>9699</v>
      </c>
      <c r="AZ21" s="112">
        <v>9699</v>
      </c>
      <c r="BA21" s="120">
        <f t="shared" si="2"/>
        <v>6461</v>
      </c>
      <c r="BB21" s="113">
        <f>2540+698</f>
        <v>3238</v>
      </c>
      <c r="BC21" s="112">
        <v>4269</v>
      </c>
      <c r="BD21" s="114">
        <v>0.40625</v>
      </c>
      <c r="BE21" s="115">
        <v>0</v>
      </c>
      <c r="BF21" s="114">
        <v>0</v>
      </c>
      <c r="BG21" s="115">
        <v>153</v>
      </c>
      <c r="BH21" s="114">
        <v>0.83333333333333337</v>
      </c>
      <c r="BI21" s="56">
        <f>BI20+1</f>
        <v>46127</v>
      </c>
      <c r="BJ21" s="78">
        <f t="shared" si="49"/>
        <v>0.60528418860339528</v>
      </c>
      <c r="BK21" s="76">
        <f t="shared" si="50"/>
        <v>0.39471581139660478</v>
      </c>
      <c r="BL21" s="79">
        <f t="shared" si="51"/>
        <v>41293</v>
      </c>
      <c r="BM21" s="155">
        <v>24994</v>
      </c>
      <c r="BN21" s="155">
        <v>16299</v>
      </c>
      <c r="BO21" s="156">
        <v>4261</v>
      </c>
      <c r="BP21" s="157">
        <v>0.40208333333333335</v>
      </c>
      <c r="BQ21" s="158">
        <v>2843</v>
      </c>
      <c r="BR21" s="157">
        <v>0.40208333333333335</v>
      </c>
    </row>
    <row r="22" spans="1:70" ht="15.75" thickBot="1" x14ac:dyDescent="0.3">
      <c r="A22" s="14"/>
      <c r="B22" s="56">
        <f t="shared" si="27"/>
        <v>46128</v>
      </c>
      <c r="C22" s="164"/>
      <c r="D22" s="87">
        <f t="shared" si="3"/>
        <v>62502</v>
      </c>
      <c r="E22" s="159">
        <f t="shared" si="33"/>
        <v>0.88645163354772649</v>
      </c>
      <c r="F22" s="87">
        <f t="shared" si="5"/>
        <v>55405</v>
      </c>
      <c r="G22" s="159">
        <f t="shared" si="34"/>
        <v>0.11354836645227352</v>
      </c>
      <c r="H22" s="146">
        <f t="shared" si="7"/>
        <v>7097</v>
      </c>
      <c r="I22" s="160">
        <f t="shared" si="35"/>
        <v>0.11023700742432896</v>
      </c>
      <c r="J22" s="159">
        <f t="shared" si="36"/>
        <v>0.14918617932609937</v>
      </c>
      <c r="K22" s="159">
        <f t="shared" si="37"/>
        <v>0.1636111955163915</v>
      </c>
      <c r="L22" s="161">
        <f t="shared" si="38"/>
        <v>0.60219874357509995</v>
      </c>
      <c r="M22" s="146">
        <f t="shared" si="39"/>
        <v>6717.0715733866364</v>
      </c>
      <c r="N22" s="146">
        <f t="shared" si="40"/>
        <v>9090.3614648772127</v>
      </c>
      <c r="O22" s="146">
        <f t="shared" si="41"/>
        <v>9969.3209764002841</v>
      </c>
      <c r="P22" s="146">
        <f t="shared" si="42"/>
        <v>36693.776042261568</v>
      </c>
      <c r="Q22" s="56">
        <f t="shared" si="28"/>
        <v>46128</v>
      </c>
      <c r="R22" s="139">
        <v>62502</v>
      </c>
      <c r="S22" s="140">
        <v>0</v>
      </c>
      <c r="T22" s="140">
        <v>60933</v>
      </c>
      <c r="U22" s="140">
        <v>0</v>
      </c>
      <c r="V22" s="141">
        <v>14629</v>
      </c>
      <c r="W22" s="142">
        <v>0.82291666666666663</v>
      </c>
      <c r="X22" s="141">
        <v>4576</v>
      </c>
      <c r="Y22" s="142">
        <v>0.78125</v>
      </c>
      <c r="Z22" s="141">
        <v>0</v>
      </c>
      <c r="AA22" s="142">
        <v>0</v>
      </c>
      <c r="AB22" s="56">
        <f t="shared" si="29"/>
        <v>46128</v>
      </c>
      <c r="AC22" s="76">
        <f t="shared" si="43"/>
        <v>1</v>
      </c>
      <c r="AD22" s="162">
        <f t="shared" si="44"/>
        <v>0</v>
      </c>
      <c r="AE22" s="163">
        <v>7721</v>
      </c>
      <c r="AF22" s="118">
        <f t="shared" si="0"/>
        <v>7721</v>
      </c>
      <c r="AG22" s="147">
        <v>0</v>
      </c>
      <c r="AH22" s="148">
        <v>3861</v>
      </c>
      <c r="AI22" s="149">
        <v>0.75486111111111109</v>
      </c>
      <c r="AJ22" s="148">
        <v>0</v>
      </c>
      <c r="AK22" s="165">
        <v>0</v>
      </c>
      <c r="AL22" s="56">
        <f t="shared" si="18"/>
        <v>46128</v>
      </c>
      <c r="AM22" s="77">
        <f t="shared" si="45"/>
        <v>0.62714135323954445</v>
      </c>
      <c r="AN22" s="76">
        <f t="shared" si="46"/>
        <v>0.37285864676045555</v>
      </c>
      <c r="AO22" s="150">
        <v>10449</v>
      </c>
      <c r="AP22" s="117">
        <f t="shared" si="21"/>
        <v>6553</v>
      </c>
      <c r="AQ22" s="151">
        <v>3896</v>
      </c>
      <c r="AR22" s="152">
        <v>4414</v>
      </c>
      <c r="AS22" s="153">
        <v>0.77222222222222225</v>
      </c>
      <c r="AT22" s="152">
        <v>183</v>
      </c>
      <c r="AU22" s="154">
        <v>0.80208333333333337</v>
      </c>
      <c r="AV22" s="56">
        <f t="shared" si="30"/>
        <v>46128</v>
      </c>
      <c r="AW22" s="110">
        <f t="shared" si="47"/>
        <v>0.66972761040033013</v>
      </c>
      <c r="AX22" s="110">
        <f t="shared" si="48"/>
        <v>0.33027238959966981</v>
      </c>
      <c r="AY22" s="111">
        <f t="shared" si="32"/>
        <v>9692</v>
      </c>
      <c r="AZ22" s="112">
        <v>9692</v>
      </c>
      <c r="BA22" s="120">
        <f t="shared" si="2"/>
        <v>6491</v>
      </c>
      <c r="BB22" s="113">
        <f>2503+698</f>
        <v>3201</v>
      </c>
      <c r="BC22" s="112">
        <v>3856</v>
      </c>
      <c r="BD22" s="114">
        <v>0.35416666666666669</v>
      </c>
      <c r="BE22" s="115">
        <v>0</v>
      </c>
      <c r="BF22" s="114">
        <v>0</v>
      </c>
      <c r="BG22" s="115">
        <v>152</v>
      </c>
      <c r="BH22" s="114">
        <v>0.8125</v>
      </c>
      <c r="BI22" s="56">
        <f t="shared" si="31"/>
        <v>46128</v>
      </c>
      <c r="BJ22" s="78">
        <f t="shared" si="49"/>
        <v>0.60647731044620423</v>
      </c>
      <c r="BK22" s="76">
        <f t="shared" si="50"/>
        <v>0.39352268955379582</v>
      </c>
      <c r="BL22" s="79">
        <f t="shared" si="51"/>
        <v>42178</v>
      </c>
      <c r="BM22" s="155">
        <v>25580</v>
      </c>
      <c r="BN22" s="155">
        <v>16598</v>
      </c>
      <c r="BO22" s="156">
        <v>4667</v>
      </c>
      <c r="BP22" s="157">
        <v>0.81180555555555556</v>
      </c>
      <c r="BQ22" s="158">
        <v>3085</v>
      </c>
      <c r="BR22" s="157">
        <v>0.81180555555555556</v>
      </c>
    </row>
    <row r="23" spans="1:70" ht="15.75" thickBot="1" x14ac:dyDescent="0.3">
      <c r="A23" s="14"/>
      <c r="B23" s="56">
        <f t="shared" si="27"/>
        <v>46129</v>
      </c>
      <c r="C23" s="164"/>
      <c r="D23" s="87">
        <f t="shared" si="3"/>
        <v>60742</v>
      </c>
      <c r="E23" s="159">
        <f t="shared" si="33"/>
        <v>0.88337032037140695</v>
      </c>
      <c r="F23" s="87">
        <f t="shared" si="5"/>
        <v>53657.68</v>
      </c>
      <c r="G23" s="159">
        <f t="shared" si="34"/>
        <v>0.11662967962859307</v>
      </c>
      <c r="H23" s="146">
        <f t="shared" si="7"/>
        <v>7084.32</v>
      </c>
      <c r="I23" s="160">
        <f t="shared" si="35"/>
        <v>0.11203502843107387</v>
      </c>
      <c r="J23" s="159">
        <f t="shared" si="36"/>
        <v>0.15158368038018052</v>
      </c>
      <c r="K23" s="159">
        <f t="shared" si="37"/>
        <v>0.16439776359799069</v>
      </c>
      <c r="L23" s="161">
        <f t="shared" si="38"/>
        <v>0.59733886759161792</v>
      </c>
      <c r="M23" s="146">
        <f t="shared" si="39"/>
        <v>6650.0631825832515</v>
      </c>
      <c r="N23" s="146">
        <f t="shared" si="40"/>
        <v>8997.5525163263756</v>
      </c>
      <c r="O23" s="146">
        <f t="shared" si="41"/>
        <v>9758.1580538859325</v>
      </c>
      <c r="P23" s="146">
        <f t="shared" si="42"/>
        <v>35456.243163635663</v>
      </c>
      <c r="Q23" s="56">
        <f t="shared" si="28"/>
        <v>46129</v>
      </c>
      <c r="R23" s="139">
        <v>60742</v>
      </c>
      <c r="S23" s="140">
        <v>0</v>
      </c>
      <c r="T23" s="140">
        <v>59357</v>
      </c>
      <c r="U23" s="140">
        <v>0</v>
      </c>
      <c r="V23" s="141">
        <v>13245.54</v>
      </c>
      <c r="W23" s="142">
        <v>0.76041666666666663</v>
      </c>
      <c r="X23" s="141">
        <v>4391.7</v>
      </c>
      <c r="Y23" s="142">
        <v>0.75</v>
      </c>
      <c r="Z23" s="141">
        <v>0</v>
      </c>
      <c r="AA23" s="142">
        <v>0</v>
      </c>
      <c r="AB23" s="56">
        <f t="shared" si="29"/>
        <v>46129</v>
      </c>
      <c r="AC23" s="76">
        <f t="shared" si="43"/>
        <v>1</v>
      </c>
      <c r="AD23" s="162">
        <f t="shared" si="44"/>
        <v>0</v>
      </c>
      <c r="AE23" s="163">
        <v>7512.92</v>
      </c>
      <c r="AF23" s="118">
        <f t="shared" si="0"/>
        <v>7512.92</v>
      </c>
      <c r="AG23" s="147">
        <v>0</v>
      </c>
      <c r="AH23" s="148">
        <v>3995.06</v>
      </c>
      <c r="AI23" s="149">
        <v>0.7270833333333333</v>
      </c>
      <c r="AJ23" s="148">
        <v>0</v>
      </c>
      <c r="AK23" s="165">
        <v>0</v>
      </c>
      <c r="AL23" s="56">
        <f t="shared" si="18"/>
        <v>46129</v>
      </c>
      <c r="AM23" s="77">
        <f t="shared" si="45"/>
        <v>0.61597934087555339</v>
      </c>
      <c r="AN23" s="76">
        <f t="shared" si="46"/>
        <v>0.38402065912444666</v>
      </c>
      <c r="AO23" s="150">
        <v>10165</v>
      </c>
      <c r="AP23" s="117">
        <f t="shared" si="21"/>
        <v>6261.43</v>
      </c>
      <c r="AQ23" s="151">
        <v>3903.57</v>
      </c>
      <c r="AR23" s="152">
        <v>3711.67</v>
      </c>
      <c r="AS23" s="153">
        <v>0.69791666666666663</v>
      </c>
      <c r="AT23" s="152">
        <v>182.52</v>
      </c>
      <c r="AU23" s="154">
        <v>0.55208333333333337</v>
      </c>
      <c r="AV23" s="56">
        <f t="shared" si="30"/>
        <v>46129</v>
      </c>
      <c r="AW23" s="110">
        <f t="shared" si="47"/>
        <v>0.6588642213642214</v>
      </c>
      <c r="AX23" s="110">
        <f t="shared" si="48"/>
        <v>0.34113577863577865</v>
      </c>
      <c r="AY23" s="111">
        <f t="shared" si="32"/>
        <v>9324</v>
      </c>
      <c r="AZ23" s="112">
        <v>9324</v>
      </c>
      <c r="BA23" s="120">
        <f t="shared" si="2"/>
        <v>6143.25</v>
      </c>
      <c r="BB23" s="113">
        <f>2482.75+698</f>
        <v>3180.75</v>
      </c>
      <c r="BC23" s="112">
        <v>3880.09</v>
      </c>
      <c r="BD23" s="114">
        <v>0.35416666666666669</v>
      </c>
      <c r="BE23" s="115">
        <v>0</v>
      </c>
      <c r="BF23" s="114">
        <v>0</v>
      </c>
      <c r="BG23" s="115">
        <v>153.13999999999999</v>
      </c>
      <c r="BH23" s="114">
        <v>0.8125</v>
      </c>
      <c r="BI23" s="56">
        <f t="shared" si="31"/>
        <v>46129</v>
      </c>
      <c r="BJ23" s="78">
        <f t="shared" si="49"/>
        <v>0.60648330181554921</v>
      </c>
      <c r="BK23" s="76">
        <f t="shared" si="50"/>
        <v>0.39351669818445079</v>
      </c>
      <c r="BL23" s="79">
        <f t="shared" si="51"/>
        <v>40056.75</v>
      </c>
      <c r="BM23" s="155">
        <v>24293.75</v>
      </c>
      <c r="BN23" s="155">
        <v>15763</v>
      </c>
      <c r="BO23" s="156">
        <v>4097.99</v>
      </c>
      <c r="BP23" s="157">
        <v>0.40625</v>
      </c>
      <c r="BQ23" s="158">
        <v>2783.25</v>
      </c>
      <c r="BR23" s="157">
        <v>0.40625</v>
      </c>
    </row>
    <row r="24" spans="1:70" ht="15.75" thickBot="1" x14ac:dyDescent="0.3">
      <c r="A24" s="14"/>
      <c r="B24" s="56">
        <f t="shared" si="27"/>
        <v>46130</v>
      </c>
      <c r="C24" s="164"/>
      <c r="D24" s="87">
        <f t="shared" si="3"/>
        <v>32452</v>
      </c>
      <c r="E24" s="159">
        <f t="shared" si="33"/>
        <v>0.78982589670898562</v>
      </c>
      <c r="F24" s="87">
        <f t="shared" si="5"/>
        <v>25631.43</v>
      </c>
      <c r="G24" s="159">
        <f t="shared" si="34"/>
        <v>0.21017410329101441</v>
      </c>
      <c r="H24" s="146">
        <f t="shared" si="7"/>
        <v>6820.57</v>
      </c>
      <c r="I24" s="160">
        <f t="shared" si="35"/>
        <v>8.2537692900905523E-7</v>
      </c>
      <c r="J24" s="159">
        <f t="shared" si="36"/>
        <v>0.21316734819873867</v>
      </c>
      <c r="K24" s="159">
        <f t="shared" si="37"/>
        <v>0.17024594874111953</v>
      </c>
      <c r="L24" s="161">
        <f t="shared" si="38"/>
        <v>0.65372604033947201</v>
      </c>
      <c r="M24" s="146">
        <f t="shared" si="39"/>
        <v>2.5093522084197802E-2</v>
      </c>
      <c r="N24" s="146">
        <f t="shared" si="40"/>
        <v>6480.8203036121522</v>
      </c>
      <c r="O24" s="146">
        <f t="shared" si="41"/>
        <v>5175.902456601887</v>
      </c>
      <c r="P24" s="146">
        <f t="shared" si="42"/>
        <v>19874.905941420799</v>
      </c>
      <c r="Q24" s="56">
        <f t="shared" si="28"/>
        <v>46130</v>
      </c>
      <c r="R24" s="139">
        <v>32452</v>
      </c>
      <c r="S24" s="140">
        <v>0</v>
      </c>
      <c r="T24" s="140">
        <v>30402.5</v>
      </c>
      <c r="U24" s="140">
        <v>0</v>
      </c>
      <c r="V24" s="141">
        <v>6945.9</v>
      </c>
      <c r="W24" s="142">
        <v>0.77083333333333337</v>
      </c>
      <c r="X24" s="141">
        <v>2047.34</v>
      </c>
      <c r="Y24" s="142">
        <v>0.76041666666666663</v>
      </c>
      <c r="Z24" s="141">
        <v>0</v>
      </c>
      <c r="AA24" s="142">
        <v>0</v>
      </c>
      <c r="AB24" s="56">
        <f t="shared" si="29"/>
        <v>46130</v>
      </c>
      <c r="AC24" s="76">
        <f t="shared" si="43"/>
        <v>1</v>
      </c>
      <c r="AD24" s="162">
        <f t="shared" si="44"/>
        <v>0</v>
      </c>
      <c r="AE24" s="163">
        <v>0.03</v>
      </c>
      <c r="AF24" s="118">
        <f t="shared" si="0"/>
        <v>0.03</v>
      </c>
      <c r="AG24" s="147">
        <v>0</v>
      </c>
      <c r="AH24" s="148">
        <v>24.87</v>
      </c>
      <c r="AI24" s="149">
        <v>0.1875</v>
      </c>
      <c r="AJ24" s="148">
        <v>0</v>
      </c>
      <c r="AK24" s="165">
        <v>0</v>
      </c>
      <c r="AL24" s="56">
        <f t="shared" si="18"/>
        <v>46130</v>
      </c>
      <c r="AM24" s="77">
        <f t="shared" si="45"/>
        <v>0.52828859060402678</v>
      </c>
      <c r="AN24" s="76">
        <f t="shared" si="46"/>
        <v>0.47171140939597317</v>
      </c>
      <c r="AO24" s="150">
        <v>7748</v>
      </c>
      <c r="AP24" s="117">
        <f t="shared" si="21"/>
        <v>4093.18</v>
      </c>
      <c r="AQ24" s="151">
        <v>3654.82</v>
      </c>
      <c r="AR24" s="152">
        <v>2847.9</v>
      </c>
      <c r="AS24" s="153">
        <v>0.72152777777777777</v>
      </c>
      <c r="AT24" s="152">
        <v>173.66</v>
      </c>
      <c r="AU24" s="154">
        <v>0.34375</v>
      </c>
      <c r="AV24" s="56">
        <f t="shared" si="30"/>
        <v>46130</v>
      </c>
      <c r="AW24" s="110">
        <f t="shared" si="47"/>
        <v>0.34564902852418355</v>
      </c>
      <c r="AX24" s="110">
        <f t="shared" si="48"/>
        <v>0.65435097147581645</v>
      </c>
      <c r="AY24" s="111">
        <f t="shared" si="32"/>
        <v>4838</v>
      </c>
      <c r="AZ24" s="112">
        <v>4838</v>
      </c>
      <c r="BA24" s="120">
        <f t="shared" si="2"/>
        <v>1672.25</v>
      </c>
      <c r="BB24" s="113">
        <f>2467.75+698</f>
        <v>3165.75</v>
      </c>
      <c r="BC24" s="112">
        <v>1792.07</v>
      </c>
      <c r="BD24" s="114">
        <v>0.80208333333333337</v>
      </c>
      <c r="BE24" s="115">
        <v>0</v>
      </c>
      <c r="BF24" s="114">
        <v>0</v>
      </c>
      <c r="BG24" s="115">
        <v>182.26</v>
      </c>
      <c r="BH24" s="114">
        <v>0.11458333333333333</v>
      </c>
      <c r="BI24" s="56">
        <f t="shared" si="31"/>
        <v>46130</v>
      </c>
      <c r="BJ24" s="78">
        <f t="shared" si="49"/>
        <v>0.61649341357686971</v>
      </c>
      <c r="BK24" s="76">
        <f t="shared" si="50"/>
        <v>0.38350658642313035</v>
      </c>
      <c r="BL24" s="79">
        <f t="shared" si="51"/>
        <v>23761</v>
      </c>
      <c r="BM24" s="155">
        <v>14648.5</v>
      </c>
      <c r="BN24" s="155">
        <v>9112.5</v>
      </c>
      <c r="BO24" s="156">
        <v>4362.3999999999996</v>
      </c>
      <c r="BP24" s="157">
        <v>0.99652777777777779</v>
      </c>
      <c r="BQ24" s="158">
        <v>1946.7</v>
      </c>
      <c r="BR24" s="157">
        <v>0.79791666666666672</v>
      </c>
    </row>
    <row r="25" spans="1:70" ht="15.75" thickBot="1" x14ac:dyDescent="0.3">
      <c r="A25" s="14"/>
      <c r="B25" s="56">
        <f t="shared" si="27"/>
        <v>46131</v>
      </c>
      <c r="C25" s="164"/>
      <c r="D25" s="87">
        <f t="shared" si="3"/>
        <v>31438</v>
      </c>
      <c r="E25" s="159">
        <f t="shared" ref="E25:E36" si="60">F25/D25</f>
        <v>0.78131560531840449</v>
      </c>
      <c r="F25" s="87">
        <f t="shared" si="5"/>
        <v>24563</v>
      </c>
      <c r="G25" s="159">
        <f t="shared" ref="G25:G36" si="61">H25/D25</f>
        <v>0.21868439468159553</v>
      </c>
      <c r="H25" s="146">
        <f t="shared" si="7"/>
        <v>6875</v>
      </c>
      <c r="I25" s="160">
        <f t="shared" ref="I25:I36" si="62">AE25/(AE25+AO25+BL25+AY25)</f>
        <v>6.2533168229258806E-2</v>
      </c>
      <c r="J25" s="159">
        <f t="shared" ref="J25:J36" si="63">AO25/(AE25+AO25+BL25+AY25)</f>
        <v>0.15499144996756883</v>
      </c>
      <c r="K25" s="159">
        <f t="shared" ref="K25:K36" si="64">AY25/(AF25+AP25+BM25+AZ25+AY25)</f>
        <v>0.16733305930271664</v>
      </c>
      <c r="L25" s="161">
        <f t="shared" ref="L25:L36" si="65">BL25/(AE25+AO25+BL25+AY25)</f>
        <v>0.65045108791791972</v>
      </c>
      <c r="M25" s="146">
        <f t="shared" ref="M25:M35" si="66">(S25+T25)*I25</f>
        <v>1869.5541305501506</v>
      </c>
      <c r="N25" s="146">
        <f t="shared" ref="N25:N35" si="67">(S25+T25)*J25</f>
        <v>4633.7793796804053</v>
      </c>
      <c r="O25" s="146">
        <f t="shared" ref="O25:O35" si="68">(S25+T25)*K25</f>
        <v>5002.7564739733189</v>
      </c>
      <c r="P25" s="146">
        <f t="shared" ref="P25:P35" si="69">(S25+T25)*L25</f>
        <v>19446.536175482044</v>
      </c>
      <c r="Q25" s="56">
        <f t="shared" si="28"/>
        <v>46131</v>
      </c>
      <c r="R25" s="139">
        <v>31438</v>
      </c>
      <c r="S25" s="140">
        <v>0</v>
      </c>
      <c r="T25" s="140">
        <v>29897</v>
      </c>
      <c r="U25" s="140">
        <v>0</v>
      </c>
      <c r="V25" s="141">
        <v>7257</v>
      </c>
      <c r="W25" s="142">
        <v>0.45833333333333331</v>
      </c>
      <c r="X25" s="141">
        <v>2296</v>
      </c>
      <c r="Y25" s="142">
        <v>0.45833333333333331</v>
      </c>
      <c r="Z25" s="141">
        <v>0</v>
      </c>
      <c r="AA25" s="142">
        <v>0</v>
      </c>
      <c r="AB25" s="168">
        <f t="shared" si="29"/>
        <v>46131</v>
      </c>
      <c r="AC25" s="76">
        <f t="shared" si="43"/>
        <v>1</v>
      </c>
      <c r="AD25" s="162">
        <f t="shared" si="44"/>
        <v>0</v>
      </c>
      <c r="AE25" s="163">
        <v>2121</v>
      </c>
      <c r="AF25" s="118">
        <f t="shared" si="0"/>
        <v>2121</v>
      </c>
      <c r="AG25" s="147">
        <v>0</v>
      </c>
      <c r="AH25" s="148">
        <v>1710</v>
      </c>
      <c r="AI25" s="149">
        <v>0.39930555555555558</v>
      </c>
      <c r="AJ25" s="148">
        <v>0</v>
      </c>
      <c r="AK25" s="165">
        <v>0</v>
      </c>
      <c r="AL25" s="168">
        <f t="shared" si="18"/>
        <v>46131</v>
      </c>
      <c r="AM25" s="77">
        <f t="shared" si="45"/>
        <v>0.31576945025680048</v>
      </c>
      <c r="AN25" s="76">
        <f t="shared" si="46"/>
        <v>0.68423054974319952</v>
      </c>
      <c r="AO25" s="150">
        <v>5257</v>
      </c>
      <c r="AP25" s="117">
        <f t="shared" si="21"/>
        <v>1660</v>
      </c>
      <c r="AQ25" s="151">
        <v>3597</v>
      </c>
      <c r="AR25" s="152">
        <v>1963</v>
      </c>
      <c r="AS25" s="153">
        <v>0.41111111111111109</v>
      </c>
      <c r="AT25" s="152">
        <v>175</v>
      </c>
      <c r="AU25" s="154">
        <v>0.84375</v>
      </c>
      <c r="AV25" s="168">
        <f t="shared" si="30"/>
        <v>46131</v>
      </c>
      <c r="AW25" s="169">
        <f t="shared" si="47"/>
        <v>0.26797677534613668</v>
      </c>
      <c r="AX25" s="169">
        <f t="shared" si="48"/>
        <v>0.73202322465386338</v>
      </c>
      <c r="AY25" s="111">
        <f t="shared" si="32"/>
        <v>4478</v>
      </c>
      <c r="AZ25" s="112">
        <v>4478</v>
      </c>
      <c r="BA25" s="120">
        <f t="shared" si="2"/>
        <v>1200</v>
      </c>
      <c r="BB25" s="113">
        <f>2580+698</f>
        <v>3278</v>
      </c>
      <c r="BC25" s="112">
        <v>2376</v>
      </c>
      <c r="BD25" s="114">
        <v>0.41666666666666669</v>
      </c>
      <c r="BE25" s="115">
        <v>0</v>
      </c>
      <c r="BF25" s="114">
        <v>0</v>
      </c>
      <c r="BG25" s="115">
        <v>153</v>
      </c>
      <c r="BH25" s="114">
        <v>0.82291666666666663</v>
      </c>
      <c r="BI25" s="168">
        <f t="shared" si="31"/>
        <v>46131</v>
      </c>
      <c r="BJ25" s="170">
        <f t="shared" si="49"/>
        <v>0.63566313117577733</v>
      </c>
      <c r="BK25" s="76">
        <f t="shared" si="50"/>
        <v>0.36433686882422267</v>
      </c>
      <c r="BL25" s="79">
        <f t="shared" si="51"/>
        <v>22062</v>
      </c>
      <c r="BM25" s="155">
        <v>14024</v>
      </c>
      <c r="BN25" s="155">
        <v>8038</v>
      </c>
      <c r="BO25" s="156">
        <v>4514</v>
      </c>
      <c r="BP25" s="157">
        <v>7.2916666666666671E-2</v>
      </c>
      <c r="BQ25" s="158">
        <v>1953</v>
      </c>
      <c r="BR25" s="157">
        <v>0.46527777777777779</v>
      </c>
    </row>
    <row r="26" spans="1:70" ht="15.75" thickBot="1" x14ac:dyDescent="0.3">
      <c r="A26" s="14"/>
      <c r="B26" s="56">
        <f t="shared" si="27"/>
        <v>46132</v>
      </c>
      <c r="C26" s="164"/>
      <c r="D26" s="87">
        <f t="shared" si="3"/>
        <v>59890</v>
      </c>
      <c r="E26" s="159">
        <f t="shared" si="60"/>
        <v>0.87939555852396056</v>
      </c>
      <c r="F26" s="87">
        <f t="shared" si="5"/>
        <v>52667</v>
      </c>
      <c r="G26" s="159">
        <f t="shared" si="61"/>
        <v>0.12060444147603941</v>
      </c>
      <c r="H26" s="146">
        <f t="shared" si="7"/>
        <v>7223</v>
      </c>
      <c r="I26" s="160">
        <f t="shared" si="62"/>
        <v>0.11656631156399568</v>
      </c>
      <c r="J26" s="159">
        <f t="shared" si="63"/>
        <v>0.15748031496062992</v>
      </c>
      <c r="K26" s="159">
        <f t="shared" si="64"/>
        <v>0.16701423519811406</v>
      </c>
      <c r="L26" s="161">
        <f t="shared" si="65"/>
        <v>0.58375791261386445</v>
      </c>
      <c r="M26" s="146">
        <f t="shared" si="66"/>
        <v>6858.7617724255051</v>
      </c>
      <c r="N26" s="146">
        <f t="shared" si="67"/>
        <v>9266.1417322834641</v>
      </c>
      <c r="O26" s="146">
        <f t="shared" si="68"/>
        <v>9827.1175990570318</v>
      </c>
      <c r="P26" s="146">
        <f t="shared" si="69"/>
        <v>34348.315578199785</v>
      </c>
      <c r="Q26" s="56">
        <f t="shared" si="28"/>
        <v>46132</v>
      </c>
      <c r="R26" s="139">
        <v>59890</v>
      </c>
      <c r="S26" s="140">
        <v>0</v>
      </c>
      <c r="T26" s="140">
        <v>58840</v>
      </c>
      <c r="U26" s="140">
        <v>0</v>
      </c>
      <c r="V26" s="141">
        <v>14570</v>
      </c>
      <c r="W26" s="142">
        <v>0.72916666666666663</v>
      </c>
      <c r="X26" s="141">
        <v>4720</v>
      </c>
      <c r="Y26" s="142">
        <v>0.75</v>
      </c>
      <c r="Z26" s="141">
        <v>0</v>
      </c>
      <c r="AA26" s="142">
        <v>0</v>
      </c>
      <c r="AB26" s="56">
        <f t="shared" si="29"/>
        <v>46132</v>
      </c>
      <c r="AC26" s="76">
        <f t="shared" ref="AC26:AC36" si="70">+AF26/AE26</f>
        <v>1</v>
      </c>
      <c r="AD26" s="162">
        <f t="shared" ref="AD26:AD36" si="71">+AG26/AE26</f>
        <v>0</v>
      </c>
      <c r="AE26" s="163">
        <v>7550</v>
      </c>
      <c r="AF26" s="118">
        <f t="shared" si="0"/>
        <v>7550</v>
      </c>
      <c r="AG26" s="147">
        <v>0</v>
      </c>
      <c r="AH26" s="148">
        <v>3950</v>
      </c>
      <c r="AI26" s="149">
        <v>0.35416666666666669</v>
      </c>
      <c r="AJ26" s="148">
        <v>0</v>
      </c>
      <c r="AK26" s="165">
        <v>0</v>
      </c>
      <c r="AL26" s="56">
        <f t="shared" si="18"/>
        <v>46132</v>
      </c>
      <c r="AM26" s="77">
        <f t="shared" ref="AM26:AM36" si="72">+AP26/AO26</f>
        <v>0.62009803921568629</v>
      </c>
      <c r="AN26" s="76">
        <f t="shared" ref="AN26:AN36" si="73">+AQ26/AO26</f>
        <v>0.37990196078431371</v>
      </c>
      <c r="AO26" s="150">
        <v>10200</v>
      </c>
      <c r="AP26" s="117">
        <f t="shared" si="21"/>
        <v>6325</v>
      </c>
      <c r="AQ26" s="151">
        <v>3875</v>
      </c>
      <c r="AR26" s="152">
        <v>4050</v>
      </c>
      <c r="AS26" s="153">
        <v>0.375</v>
      </c>
      <c r="AT26" s="152">
        <v>180</v>
      </c>
      <c r="AU26" s="154">
        <v>0.875</v>
      </c>
      <c r="AV26" s="56">
        <f t="shared" si="30"/>
        <v>46132</v>
      </c>
      <c r="AW26" s="110">
        <f t="shared" ref="AW26:AW36" si="74">BA26/AZ26</f>
        <v>0.63648208469055378</v>
      </c>
      <c r="AX26" s="110">
        <f t="shared" ref="AX26:AX36" si="75">BB26/AZ26</f>
        <v>0.36351791530944627</v>
      </c>
      <c r="AY26" s="111">
        <f t="shared" si="32"/>
        <v>9210</v>
      </c>
      <c r="AZ26" s="112">
        <v>9210</v>
      </c>
      <c r="BA26" s="120">
        <f t="shared" si="2"/>
        <v>5862</v>
      </c>
      <c r="BB26" s="113">
        <f>2650+698</f>
        <v>3348</v>
      </c>
      <c r="BC26" s="112">
        <v>4020</v>
      </c>
      <c r="BD26" s="114">
        <v>0.35416666666666669</v>
      </c>
      <c r="BE26" s="115">
        <v>0</v>
      </c>
      <c r="BF26" s="114">
        <v>0</v>
      </c>
      <c r="BG26" s="115">
        <v>152</v>
      </c>
      <c r="BH26" s="114">
        <v>0.77083333333333337</v>
      </c>
      <c r="BI26" s="56">
        <f t="shared" si="31"/>
        <v>46132</v>
      </c>
      <c r="BJ26" s="78">
        <f t="shared" ref="BJ26:BJ36" si="76">+BM26/BL26</f>
        <v>0.60433747685797412</v>
      </c>
      <c r="BK26" s="76">
        <f t="shared" ref="BK26:BK36" si="77">+BN26/BL26</f>
        <v>0.39566252314202593</v>
      </c>
      <c r="BL26" s="79">
        <f t="shared" ref="BL26:BL36" si="78">BM26+BN26</f>
        <v>37810</v>
      </c>
      <c r="BM26" s="155">
        <v>22850</v>
      </c>
      <c r="BN26" s="155">
        <v>14960</v>
      </c>
      <c r="BO26" s="156">
        <v>4290</v>
      </c>
      <c r="BP26" s="157">
        <v>0.72916666666666663</v>
      </c>
      <c r="BQ26" s="158">
        <v>2870</v>
      </c>
      <c r="BR26" s="157">
        <v>0.36458333333333331</v>
      </c>
    </row>
    <row r="27" spans="1:70" ht="15.75" thickBot="1" x14ac:dyDescent="0.3">
      <c r="A27" s="14"/>
      <c r="B27" s="56">
        <f t="shared" si="27"/>
        <v>46133</v>
      </c>
      <c r="C27" s="164"/>
      <c r="D27" s="87">
        <f t="shared" si="3"/>
        <v>59920</v>
      </c>
      <c r="E27" s="159">
        <f t="shared" si="60"/>
        <v>0.88037383177570094</v>
      </c>
      <c r="F27" s="87">
        <f t="shared" si="5"/>
        <v>52752</v>
      </c>
      <c r="G27" s="159">
        <f t="shared" si="61"/>
        <v>0.11962616822429907</v>
      </c>
      <c r="H27" s="146">
        <f t="shared" si="7"/>
        <v>7168</v>
      </c>
      <c r="I27" s="160">
        <f t="shared" si="62"/>
        <v>0.11707542804257288</v>
      </c>
      <c r="J27" s="159">
        <f t="shared" si="63"/>
        <v>0.1574888169057535</v>
      </c>
      <c r="K27" s="159">
        <f t="shared" si="64"/>
        <v>0.167420814479638</v>
      </c>
      <c r="L27" s="161">
        <f t="shared" si="65"/>
        <v>0.58275489742403208</v>
      </c>
      <c r="M27" s="146">
        <f t="shared" si="66"/>
        <v>6894.571957427117</v>
      </c>
      <c r="N27" s="146">
        <f t="shared" si="67"/>
        <v>9274.5164275798234</v>
      </c>
      <c r="O27" s="146">
        <f t="shared" si="68"/>
        <v>9859.4117647058811</v>
      </c>
      <c r="P27" s="146">
        <f t="shared" si="69"/>
        <v>34318.435909301246</v>
      </c>
      <c r="Q27" s="56">
        <f t="shared" si="28"/>
        <v>46133</v>
      </c>
      <c r="R27" s="139">
        <v>59920</v>
      </c>
      <c r="S27" s="140">
        <v>0</v>
      </c>
      <c r="T27" s="140">
        <v>58890</v>
      </c>
      <c r="U27" s="140">
        <v>0</v>
      </c>
      <c r="V27" s="141">
        <v>14420</v>
      </c>
      <c r="W27" s="142">
        <v>0.75</v>
      </c>
      <c r="X27" s="141">
        <v>4615</v>
      </c>
      <c r="Y27" s="142">
        <v>0.73958333333333337</v>
      </c>
      <c r="Z27" s="141">
        <v>0</v>
      </c>
      <c r="AA27" s="142">
        <v>0</v>
      </c>
      <c r="AB27" s="56">
        <f t="shared" si="29"/>
        <v>46133</v>
      </c>
      <c r="AC27" s="76">
        <f t="shared" si="70"/>
        <v>1</v>
      </c>
      <c r="AD27" s="162">
        <f t="shared" si="71"/>
        <v>0</v>
      </c>
      <c r="AE27" s="163">
        <v>7590</v>
      </c>
      <c r="AF27" s="118">
        <f t="shared" si="0"/>
        <v>7590</v>
      </c>
      <c r="AG27" s="147">
        <v>0</v>
      </c>
      <c r="AH27" s="148">
        <v>3970</v>
      </c>
      <c r="AI27" s="149">
        <v>0.375</v>
      </c>
      <c r="AJ27" s="148">
        <v>0</v>
      </c>
      <c r="AK27" s="165">
        <v>0</v>
      </c>
      <c r="AL27" s="56">
        <f t="shared" si="18"/>
        <v>46133</v>
      </c>
      <c r="AM27" s="77">
        <f t="shared" si="72"/>
        <v>0.61998041136141036</v>
      </c>
      <c r="AN27" s="76">
        <f t="shared" si="73"/>
        <v>0.38001958863858964</v>
      </c>
      <c r="AO27" s="150">
        <v>10210</v>
      </c>
      <c r="AP27" s="117">
        <f t="shared" si="21"/>
        <v>6330</v>
      </c>
      <c r="AQ27" s="151">
        <v>3880</v>
      </c>
      <c r="AR27" s="152">
        <v>4090</v>
      </c>
      <c r="AS27" s="153">
        <v>0.35416666666666669</v>
      </c>
      <c r="AT27" s="152">
        <v>181</v>
      </c>
      <c r="AU27" s="154">
        <v>0.85416666666666663</v>
      </c>
      <c r="AV27" s="56">
        <f t="shared" si="30"/>
        <v>46133</v>
      </c>
      <c r="AW27" s="110">
        <f t="shared" si="74"/>
        <v>0.64454054054054055</v>
      </c>
      <c r="AX27" s="110">
        <f t="shared" si="75"/>
        <v>0.35545945945945945</v>
      </c>
      <c r="AY27" s="111">
        <f t="shared" si="32"/>
        <v>9250</v>
      </c>
      <c r="AZ27" s="112">
        <v>9250</v>
      </c>
      <c r="BA27" s="120">
        <f t="shared" si="2"/>
        <v>5962</v>
      </c>
      <c r="BB27" s="113">
        <f>2590+698</f>
        <v>3288</v>
      </c>
      <c r="BC27" s="112">
        <v>4050</v>
      </c>
      <c r="BD27" s="114">
        <v>0.75</v>
      </c>
      <c r="BE27" s="115">
        <v>0</v>
      </c>
      <c r="BF27" s="114">
        <v>0</v>
      </c>
      <c r="BG27" s="115">
        <v>152</v>
      </c>
      <c r="BH27" s="114">
        <v>0.70833333333333337</v>
      </c>
      <c r="BI27" s="56">
        <f t="shared" si="31"/>
        <v>46133</v>
      </c>
      <c r="BJ27" s="78">
        <f t="shared" si="76"/>
        <v>0.60428798305982001</v>
      </c>
      <c r="BK27" s="76">
        <f t="shared" si="77"/>
        <v>0.39571201694017999</v>
      </c>
      <c r="BL27" s="79">
        <f t="shared" si="78"/>
        <v>37780</v>
      </c>
      <c r="BM27" s="155">
        <v>22830</v>
      </c>
      <c r="BN27" s="155">
        <v>14950</v>
      </c>
      <c r="BO27" s="156">
        <v>4180</v>
      </c>
      <c r="BP27" s="157">
        <v>0.75</v>
      </c>
      <c r="BQ27" s="158">
        <v>2790</v>
      </c>
      <c r="BR27" s="157">
        <v>0.39583333333333331</v>
      </c>
    </row>
    <row r="28" spans="1:70" ht="15.75" thickBot="1" x14ac:dyDescent="0.3">
      <c r="A28" s="14"/>
      <c r="B28" s="56">
        <f t="shared" si="27"/>
        <v>46134</v>
      </c>
      <c r="C28" s="164"/>
      <c r="D28" s="87">
        <f t="shared" si="3"/>
        <v>59434</v>
      </c>
      <c r="E28" s="159">
        <f t="shared" si="60"/>
        <v>0.87497055557425041</v>
      </c>
      <c r="F28" s="87">
        <f t="shared" si="5"/>
        <v>52003</v>
      </c>
      <c r="G28" s="159">
        <f t="shared" si="61"/>
        <v>0.12502944442574956</v>
      </c>
      <c r="H28" s="146">
        <f t="shared" si="7"/>
        <v>7431</v>
      </c>
      <c r="I28" s="160">
        <f t="shared" si="62"/>
        <v>0.12376794840593819</v>
      </c>
      <c r="J28" s="159">
        <f t="shared" si="63"/>
        <v>0.1614291798491117</v>
      </c>
      <c r="K28" s="159">
        <f t="shared" si="64"/>
        <v>0.17342085402881866</v>
      </c>
      <c r="L28" s="161">
        <f t="shared" si="65"/>
        <v>0.56450778778291555</v>
      </c>
      <c r="M28" s="146">
        <f t="shared" si="66"/>
        <v>7165.916676807009</v>
      </c>
      <c r="N28" s="146">
        <f t="shared" si="67"/>
        <v>9346.4266549038693</v>
      </c>
      <c r="O28" s="146">
        <f t="shared" si="68"/>
        <v>10040.720606560542</v>
      </c>
      <c r="P28" s="146">
        <f t="shared" si="69"/>
        <v>32683.871897055244</v>
      </c>
      <c r="Q28" s="56">
        <f t="shared" si="28"/>
        <v>46134</v>
      </c>
      <c r="R28" s="139">
        <v>59434</v>
      </c>
      <c r="S28" s="140">
        <v>0</v>
      </c>
      <c r="T28" s="140">
        <v>57898</v>
      </c>
      <c r="U28" s="140">
        <v>0</v>
      </c>
      <c r="V28" s="141">
        <v>16015</v>
      </c>
      <c r="W28" s="142">
        <v>0.76041666666666663</v>
      </c>
      <c r="X28" s="141">
        <v>5130</v>
      </c>
      <c r="Y28" s="142">
        <v>0.41666666666666669</v>
      </c>
      <c r="Z28" s="141">
        <v>0</v>
      </c>
      <c r="AA28" s="142">
        <v>0</v>
      </c>
      <c r="AB28" s="56">
        <f t="shared" si="29"/>
        <v>46134</v>
      </c>
      <c r="AC28" s="76">
        <f t="shared" si="70"/>
        <v>1</v>
      </c>
      <c r="AD28" s="162">
        <f t="shared" si="71"/>
        <v>0</v>
      </c>
      <c r="AE28" s="163">
        <v>8137</v>
      </c>
      <c r="AF28" s="118">
        <f t="shared" si="0"/>
        <v>8137</v>
      </c>
      <c r="AG28" s="147">
        <v>0</v>
      </c>
      <c r="AH28" s="148">
        <v>4418</v>
      </c>
      <c r="AI28" s="149">
        <v>0.37638888888888888</v>
      </c>
      <c r="AJ28" s="148">
        <v>0</v>
      </c>
      <c r="AK28" s="165">
        <v>0</v>
      </c>
      <c r="AL28" s="56">
        <f t="shared" si="18"/>
        <v>46134</v>
      </c>
      <c r="AM28" s="77">
        <f t="shared" si="72"/>
        <v>0.626966927353246</v>
      </c>
      <c r="AN28" s="76">
        <f t="shared" si="73"/>
        <v>0.373033072646754</v>
      </c>
      <c r="AO28" s="150">
        <v>10613</v>
      </c>
      <c r="AP28" s="117">
        <f t="shared" si="21"/>
        <v>6654</v>
      </c>
      <c r="AQ28" s="151">
        <v>3959</v>
      </c>
      <c r="AR28" s="152">
        <v>3676</v>
      </c>
      <c r="AS28" s="153">
        <v>0.72638888888888886</v>
      </c>
      <c r="AT28" s="152">
        <v>181</v>
      </c>
      <c r="AU28" s="154">
        <v>0.80208333333333337</v>
      </c>
      <c r="AV28" s="56">
        <f t="shared" si="30"/>
        <v>46134</v>
      </c>
      <c r="AW28" s="110">
        <f t="shared" si="74"/>
        <v>0.64861856087440539</v>
      </c>
      <c r="AX28" s="110">
        <f t="shared" si="75"/>
        <v>0.35138143912559455</v>
      </c>
      <c r="AY28" s="111">
        <f t="shared" si="32"/>
        <v>9881</v>
      </c>
      <c r="AZ28" s="112">
        <v>9881</v>
      </c>
      <c r="BA28" s="120">
        <f t="shared" si="2"/>
        <v>6409</v>
      </c>
      <c r="BB28" s="113">
        <f>2774+698</f>
        <v>3472</v>
      </c>
      <c r="BC28" s="112">
        <v>3588</v>
      </c>
      <c r="BD28" s="114">
        <v>0.75</v>
      </c>
      <c r="BE28" s="115">
        <v>0</v>
      </c>
      <c r="BF28" s="114">
        <v>0</v>
      </c>
      <c r="BG28" s="115">
        <v>162</v>
      </c>
      <c r="BH28" s="114">
        <v>0.82291666666666663</v>
      </c>
      <c r="BI28" s="56">
        <f t="shared" si="31"/>
        <v>46134</v>
      </c>
      <c r="BJ28" s="78">
        <f t="shared" si="76"/>
        <v>0.60420876781720689</v>
      </c>
      <c r="BK28" s="76">
        <f t="shared" si="77"/>
        <v>0.39579123218279311</v>
      </c>
      <c r="BL28" s="79">
        <f t="shared" si="78"/>
        <v>37113</v>
      </c>
      <c r="BM28" s="155">
        <v>22424</v>
      </c>
      <c r="BN28" s="155">
        <v>14689</v>
      </c>
      <c r="BO28" s="156">
        <v>4179</v>
      </c>
      <c r="BP28" s="157">
        <v>0.71805555555555556</v>
      </c>
      <c r="BQ28" s="158">
        <v>2777</v>
      </c>
      <c r="BR28" s="157">
        <v>0.71805555555555556</v>
      </c>
    </row>
    <row r="29" spans="1:70" ht="15.75" thickBot="1" x14ac:dyDescent="0.3">
      <c r="A29" s="14"/>
      <c r="B29" s="56">
        <f t="shared" si="27"/>
        <v>46135</v>
      </c>
      <c r="C29" s="164"/>
      <c r="D29" s="87">
        <f t="shared" si="3"/>
        <v>58976</v>
      </c>
      <c r="E29" s="159">
        <f t="shared" si="60"/>
        <v>0.87477957135105811</v>
      </c>
      <c r="F29" s="87">
        <f t="shared" si="5"/>
        <v>51591</v>
      </c>
      <c r="G29" s="159">
        <f t="shared" si="61"/>
        <v>0.12522042864894195</v>
      </c>
      <c r="H29" s="146">
        <f t="shared" si="7"/>
        <v>7385</v>
      </c>
      <c r="I29" s="160">
        <f t="shared" si="62"/>
        <v>0.12176725789885177</v>
      </c>
      <c r="J29" s="159">
        <f t="shared" si="63"/>
        <v>0.16056782817985313</v>
      </c>
      <c r="K29" s="159">
        <f t="shared" si="64"/>
        <v>0.17536516010526501</v>
      </c>
      <c r="L29" s="161">
        <f t="shared" si="65"/>
        <v>0.56545200901411907</v>
      </c>
      <c r="M29" s="146">
        <f t="shared" si="66"/>
        <v>6975.5591359936225</v>
      </c>
      <c r="N29" s="146">
        <f t="shared" si="67"/>
        <v>9198.2886051110654</v>
      </c>
      <c r="O29" s="146">
        <f t="shared" si="68"/>
        <v>10045.968561790211</v>
      </c>
      <c r="P29" s="146">
        <f t="shared" si="69"/>
        <v>32392.483788382826</v>
      </c>
      <c r="Q29" s="56">
        <f t="shared" si="28"/>
        <v>46135</v>
      </c>
      <c r="R29" s="139">
        <v>58976</v>
      </c>
      <c r="S29" s="140">
        <v>0</v>
      </c>
      <c r="T29" s="140">
        <v>57286</v>
      </c>
      <c r="U29" s="140">
        <v>0</v>
      </c>
      <c r="V29" s="141">
        <v>15508</v>
      </c>
      <c r="W29" s="142">
        <v>0.39583333333333331</v>
      </c>
      <c r="X29" s="141">
        <v>5008</v>
      </c>
      <c r="Y29" s="142">
        <v>0.38541666666666669</v>
      </c>
      <c r="Z29" s="141">
        <v>0</v>
      </c>
      <c r="AA29" s="142">
        <v>0</v>
      </c>
      <c r="AB29" s="56">
        <f t="shared" si="29"/>
        <v>46135</v>
      </c>
      <c r="AC29" s="76">
        <f t="shared" si="70"/>
        <v>1</v>
      </c>
      <c r="AD29" s="162">
        <f t="shared" si="71"/>
        <v>0</v>
      </c>
      <c r="AE29" s="163">
        <v>7943</v>
      </c>
      <c r="AF29" s="118">
        <f t="shared" si="0"/>
        <v>7943</v>
      </c>
      <c r="AG29" s="147">
        <v>0</v>
      </c>
      <c r="AH29" s="148">
        <v>4610</v>
      </c>
      <c r="AI29" s="149">
        <v>0.34722222222222221</v>
      </c>
      <c r="AJ29" s="148">
        <v>0</v>
      </c>
      <c r="AK29" s="165">
        <v>0</v>
      </c>
      <c r="AL29" s="56">
        <f t="shared" si="18"/>
        <v>46135</v>
      </c>
      <c r="AM29" s="77">
        <f t="shared" si="72"/>
        <v>0.62640824899751768</v>
      </c>
      <c r="AN29" s="76">
        <f t="shared" si="73"/>
        <v>0.37359175100248232</v>
      </c>
      <c r="AO29" s="150">
        <v>10474</v>
      </c>
      <c r="AP29" s="117">
        <f t="shared" si="21"/>
        <v>6561</v>
      </c>
      <c r="AQ29" s="151">
        <v>3913</v>
      </c>
      <c r="AR29" s="152">
        <v>4551</v>
      </c>
      <c r="AS29" s="153">
        <v>0.35416666666666669</v>
      </c>
      <c r="AT29" s="152">
        <v>185</v>
      </c>
      <c r="AU29" s="154">
        <v>0.79166666666666663</v>
      </c>
      <c r="AV29" s="56">
        <f t="shared" si="30"/>
        <v>46135</v>
      </c>
      <c r="AW29" s="110">
        <f t="shared" si="74"/>
        <v>0.65031725249269812</v>
      </c>
      <c r="AX29" s="110">
        <f t="shared" si="75"/>
        <v>0.34968274750730183</v>
      </c>
      <c r="AY29" s="111">
        <f t="shared" si="32"/>
        <v>9929</v>
      </c>
      <c r="AZ29" s="112">
        <v>9929</v>
      </c>
      <c r="BA29" s="120">
        <f t="shared" si="2"/>
        <v>6457</v>
      </c>
      <c r="BB29" s="113">
        <f>2774+698</f>
        <v>3472</v>
      </c>
      <c r="BC29" s="112">
        <v>3956</v>
      </c>
      <c r="BD29" s="114">
        <v>0.73958333333333337</v>
      </c>
      <c r="BE29" s="115">
        <v>0</v>
      </c>
      <c r="BF29" s="114">
        <v>0</v>
      </c>
      <c r="BG29" s="115">
        <v>166</v>
      </c>
      <c r="BH29" s="114">
        <v>0.82291666666666663</v>
      </c>
      <c r="BI29" s="56">
        <f t="shared" si="31"/>
        <v>46135</v>
      </c>
      <c r="BJ29" s="78">
        <f t="shared" si="76"/>
        <v>0.60341602277348516</v>
      </c>
      <c r="BK29" s="76">
        <f t="shared" si="77"/>
        <v>0.39658397722651484</v>
      </c>
      <c r="BL29" s="79">
        <f t="shared" si="78"/>
        <v>36885</v>
      </c>
      <c r="BM29" s="155">
        <v>22257</v>
      </c>
      <c r="BN29" s="155">
        <v>14628</v>
      </c>
      <c r="BO29" s="156">
        <v>4288</v>
      </c>
      <c r="BP29" s="157">
        <v>0.84097222222222223</v>
      </c>
      <c r="BQ29" s="158">
        <v>2902</v>
      </c>
      <c r="BR29" s="157">
        <v>0.81597222222222221</v>
      </c>
    </row>
    <row r="30" spans="1:70" ht="15.75" thickBot="1" x14ac:dyDescent="0.3">
      <c r="A30" s="14"/>
      <c r="B30" s="56">
        <f t="shared" si="27"/>
        <v>46136</v>
      </c>
      <c r="C30" s="164"/>
      <c r="D30" s="87">
        <f t="shared" si="3"/>
        <v>57738</v>
      </c>
      <c r="E30" s="159">
        <f t="shared" si="60"/>
        <v>0.87450206103432748</v>
      </c>
      <c r="F30" s="87">
        <f t="shared" si="5"/>
        <v>50492</v>
      </c>
      <c r="G30" s="159">
        <f t="shared" si="61"/>
        <v>0.12549793896567252</v>
      </c>
      <c r="H30" s="146">
        <f t="shared" si="7"/>
        <v>7246</v>
      </c>
      <c r="I30" s="160">
        <f t="shared" si="62"/>
        <v>0.12293221904001753</v>
      </c>
      <c r="J30" s="159">
        <f t="shared" si="63"/>
        <v>0.16032051583016418</v>
      </c>
      <c r="K30" s="159">
        <f t="shared" si="64"/>
        <v>0.17252546451251063</v>
      </c>
      <c r="L30" s="161">
        <f t="shared" si="65"/>
        <v>0.56750708170962638</v>
      </c>
      <c r="M30" s="146">
        <f t="shared" si="66"/>
        <v>6907.6843200776248</v>
      </c>
      <c r="N30" s="146">
        <f t="shared" si="67"/>
        <v>9008.5701050127554</v>
      </c>
      <c r="O30" s="146">
        <f t="shared" si="68"/>
        <v>9694.3783764224845</v>
      </c>
      <c r="P30" s="146">
        <f t="shared" si="69"/>
        <v>31888.790428345616</v>
      </c>
      <c r="Q30" s="56">
        <f t="shared" si="28"/>
        <v>46136</v>
      </c>
      <c r="R30" s="139">
        <v>57738</v>
      </c>
      <c r="S30" s="140">
        <v>0</v>
      </c>
      <c r="T30" s="140">
        <v>56191</v>
      </c>
      <c r="U30" s="140">
        <v>0</v>
      </c>
      <c r="V30" s="141">
        <v>14723</v>
      </c>
      <c r="W30" s="142">
        <v>0.80208333333333337</v>
      </c>
      <c r="X30" s="141">
        <v>4836</v>
      </c>
      <c r="Y30" s="142">
        <v>0.38541666666666669</v>
      </c>
      <c r="Z30" s="141">
        <v>0</v>
      </c>
      <c r="AA30" s="142">
        <v>0</v>
      </c>
      <c r="AB30" s="56">
        <f t="shared" si="29"/>
        <v>46136</v>
      </c>
      <c r="AC30" s="76">
        <f t="shared" si="70"/>
        <v>1</v>
      </c>
      <c r="AD30" s="162">
        <f t="shared" si="71"/>
        <v>0</v>
      </c>
      <c r="AE30" s="163">
        <v>7855</v>
      </c>
      <c r="AF30" s="118">
        <f t="shared" si="0"/>
        <v>7855</v>
      </c>
      <c r="AG30" s="147">
        <v>0</v>
      </c>
      <c r="AH30" s="148">
        <v>4038</v>
      </c>
      <c r="AI30" s="149">
        <v>0.36805555555555558</v>
      </c>
      <c r="AJ30" s="148">
        <v>0</v>
      </c>
      <c r="AK30" s="165">
        <v>0</v>
      </c>
      <c r="AL30" s="56">
        <f t="shared" si="18"/>
        <v>46136</v>
      </c>
      <c r="AM30" s="77">
        <f t="shared" si="72"/>
        <v>0.62651308082780166</v>
      </c>
      <c r="AN30" s="76">
        <f t="shared" si="73"/>
        <v>0.37348691917219834</v>
      </c>
      <c r="AO30" s="150">
        <v>10244</v>
      </c>
      <c r="AP30" s="117">
        <f t="shared" si="21"/>
        <v>6418</v>
      </c>
      <c r="AQ30" s="151">
        <v>3826</v>
      </c>
      <c r="AR30" s="152">
        <v>4301</v>
      </c>
      <c r="AS30" s="153">
        <v>0.36458333333333331</v>
      </c>
      <c r="AT30" s="152">
        <v>189</v>
      </c>
      <c r="AU30" s="154">
        <v>0.82291666666666663</v>
      </c>
      <c r="AV30" s="56">
        <f t="shared" si="30"/>
        <v>46136</v>
      </c>
      <c r="AW30" s="110">
        <f t="shared" si="74"/>
        <v>0.64135906040268453</v>
      </c>
      <c r="AX30" s="110">
        <f t="shared" si="75"/>
        <v>0.35864093959731541</v>
      </c>
      <c r="AY30" s="111">
        <f t="shared" si="32"/>
        <v>9536</v>
      </c>
      <c r="AZ30" s="112">
        <v>9536</v>
      </c>
      <c r="BA30" s="120">
        <f t="shared" si="2"/>
        <v>6116</v>
      </c>
      <c r="BB30" s="113">
        <f>2722+698</f>
        <v>3420</v>
      </c>
      <c r="BC30" s="112">
        <v>4141</v>
      </c>
      <c r="BD30" s="114">
        <v>0.76041666666666663</v>
      </c>
      <c r="BE30" s="115">
        <v>0</v>
      </c>
      <c r="BF30" s="114">
        <v>0</v>
      </c>
      <c r="BG30" s="115">
        <v>159</v>
      </c>
      <c r="BH30" s="114">
        <v>0.79166666666666663</v>
      </c>
      <c r="BI30" s="56">
        <f t="shared" si="31"/>
        <v>46136</v>
      </c>
      <c r="BJ30" s="78">
        <f t="shared" si="76"/>
        <v>0.604710164910926</v>
      </c>
      <c r="BK30" s="76">
        <f t="shared" si="77"/>
        <v>0.39528983508907395</v>
      </c>
      <c r="BL30" s="79">
        <f t="shared" si="78"/>
        <v>36262</v>
      </c>
      <c r="BM30" s="155">
        <v>21928</v>
      </c>
      <c r="BN30" s="155">
        <v>14334</v>
      </c>
      <c r="BO30" s="156">
        <v>4207</v>
      </c>
      <c r="BP30" s="157">
        <v>0.71805555555555556</v>
      </c>
      <c r="BQ30" s="158">
        <v>2890</v>
      </c>
      <c r="BR30" s="157">
        <v>0.71805555555555556</v>
      </c>
    </row>
    <row r="31" spans="1:70" ht="15.75" thickBot="1" x14ac:dyDescent="0.3">
      <c r="A31" s="14"/>
      <c r="B31" s="56">
        <f t="shared" si="27"/>
        <v>46137</v>
      </c>
      <c r="C31" s="164"/>
      <c r="D31" s="87">
        <f t="shared" si="3"/>
        <v>33136</v>
      </c>
      <c r="E31" s="159">
        <f t="shared" si="60"/>
        <v>0.78561081603090299</v>
      </c>
      <c r="F31" s="87">
        <f t="shared" si="5"/>
        <v>26032</v>
      </c>
      <c r="G31" s="159">
        <f t="shared" si="61"/>
        <v>0.21438918396909706</v>
      </c>
      <c r="H31" s="146">
        <f t="shared" si="7"/>
        <v>7104</v>
      </c>
      <c r="I31" s="160">
        <f t="shared" si="62"/>
        <v>7.924125472162917E-2</v>
      </c>
      <c r="J31" s="159">
        <f t="shared" si="63"/>
        <v>0.15976898231784092</v>
      </c>
      <c r="K31" s="159">
        <f t="shared" si="64"/>
        <v>0.16996254943824157</v>
      </c>
      <c r="L31" s="161">
        <f t="shared" si="65"/>
        <v>0.62807248042918928</v>
      </c>
      <c r="M31" s="146">
        <f t="shared" si="66"/>
        <v>2494.4354573821647</v>
      </c>
      <c r="N31" s="146">
        <f t="shared" si="67"/>
        <v>5029.3677943833145</v>
      </c>
      <c r="O31" s="146">
        <f t="shared" si="68"/>
        <v>5350.2510937664065</v>
      </c>
      <c r="P31" s="146">
        <f t="shared" si="69"/>
        <v>19771.09361143045</v>
      </c>
      <c r="Q31" s="56">
        <f t="shared" si="28"/>
        <v>46137</v>
      </c>
      <c r="R31" s="139">
        <v>33136</v>
      </c>
      <c r="S31" s="140">
        <v>0</v>
      </c>
      <c r="T31" s="140">
        <v>31479</v>
      </c>
      <c r="U31" s="140">
        <v>0</v>
      </c>
      <c r="V31" s="141">
        <v>6429</v>
      </c>
      <c r="W31" s="142">
        <v>0.80208333333333337</v>
      </c>
      <c r="X31" s="141">
        <v>2038</v>
      </c>
      <c r="Y31" s="142">
        <v>0.71875</v>
      </c>
      <c r="Z31" s="141">
        <v>0</v>
      </c>
      <c r="AA31" s="142">
        <v>0</v>
      </c>
      <c r="AB31" s="56">
        <f t="shared" si="29"/>
        <v>46137</v>
      </c>
      <c r="AC31" s="76">
        <f t="shared" si="70"/>
        <v>1</v>
      </c>
      <c r="AD31" s="162">
        <f t="shared" si="71"/>
        <v>0</v>
      </c>
      <c r="AE31" s="163">
        <v>2895</v>
      </c>
      <c r="AF31" s="118">
        <f t="shared" si="0"/>
        <v>2895</v>
      </c>
      <c r="AG31" s="147">
        <v>0</v>
      </c>
      <c r="AH31" s="148">
        <v>1770</v>
      </c>
      <c r="AI31" s="149">
        <v>0.37916666666666665</v>
      </c>
      <c r="AJ31" s="148">
        <v>0</v>
      </c>
      <c r="AK31" s="165">
        <v>0</v>
      </c>
      <c r="AL31" s="56">
        <f t="shared" si="18"/>
        <v>46137</v>
      </c>
      <c r="AM31" s="77">
        <f t="shared" si="72"/>
        <v>0.35326366284050026</v>
      </c>
      <c r="AN31" s="76">
        <f t="shared" si="73"/>
        <v>0.64673633715949974</v>
      </c>
      <c r="AO31" s="150">
        <v>5837</v>
      </c>
      <c r="AP31" s="117">
        <f t="shared" si="21"/>
        <v>2062</v>
      </c>
      <c r="AQ31" s="151">
        <v>3775</v>
      </c>
      <c r="AR31" s="152">
        <v>1713</v>
      </c>
      <c r="AS31" s="153">
        <v>0.62986111111111109</v>
      </c>
      <c r="AT31" s="152">
        <v>182</v>
      </c>
      <c r="AU31" s="154">
        <v>0.90625</v>
      </c>
      <c r="AV31" s="56">
        <f t="shared" si="30"/>
        <v>46137</v>
      </c>
      <c r="AW31" s="110">
        <f t="shared" si="74"/>
        <v>0.31445634266886324</v>
      </c>
      <c r="AX31" s="110">
        <f t="shared" si="75"/>
        <v>0.68554365733113676</v>
      </c>
      <c r="AY31" s="111">
        <f t="shared" si="32"/>
        <v>4856</v>
      </c>
      <c r="AZ31" s="112">
        <v>4856</v>
      </c>
      <c r="BA31" s="120">
        <f t="shared" si="2"/>
        <v>1527</v>
      </c>
      <c r="BB31" s="113">
        <f>2631+698</f>
        <v>3329</v>
      </c>
      <c r="BC31" s="112">
        <v>1654</v>
      </c>
      <c r="BD31" s="114">
        <v>0.76041666666666663</v>
      </c>
      <c r="BE31" s="115">
        <v>0</v>
      </c>
      <c r="BF31" s="114">
        <v>0</v>
      </c>
      <c r="BG31" s="115">
        <v>157</v>
      </c>
      <c r="BH31" s="114">
        <v>0.80208333333333337</v>
      </c>
      <c r="BI31" s="56">
        <f t="shared" si="31"/>
        <v>46137</v>
      </c>
      <c r="BJ31" s="78">
        <f t="shared" si="76"/>
        <v>0.60585723001830383</v>
      </c>
      <c r="BK31" s="76">
        <f t="shared" si="77"/>
        <v>0.39414276998169617</v>
      </c>
      <c r="BL31" s="79">
        <f t="shared" si="78"/>
        <v>22946</v>
      </c>
      <c r="BM31" s="155">
        <v>13902</v>
      </c>
      <c r="BN31" s="155">
        <v>9044</v>
      </c>
      <c r="BO31" s="156">
        <v>2706</v>
      </c>
      <c r="BP31" s="157">
        <v>0.61388888888888893</v>
      </c>
      <c r="BQ31" s="158">
        <v>1787</v>
      </c>
      <c r="BR31" s="157">
        <v>0.61458333333333337</v>
      </c>
    </row>
    <row r="32" spans="1:70" ht="15.75" thickBot="1" x14ac:dyDescent="0.3">
      <c r="A32" s="14"/>
      <c r="B32" s="56">
        <f t="shared" si="27"/>
        <v>46138</v>
      </c>
      <c r="C32" s="164"/>
      <c r="D32" s="87">
        <f t="shared" si="3"/>
        <v>28800</v>
      </c>
      <c r="E32" s="159">
        <f t="shared" si="60"/>
        <v>0.75468749999999996</v>
      </c>
      <c r="F32" s="87">
        <f t="shared" si="5"/>
        <v>21735</v>
      </c>
      <c r="G32" s="159">
        <f t="shared" si="61"/>
        <v>0.24531249999999999</v>
      </c>
      <c r="H32" s="146">
        <f t="shared" si="7"/>
        <v>7065</v>
      </c>
      <c r="I32" s="160">
        <f t="shared" si="62"/>
        <v>6.557429106728907E-2</v>
      </c>
      <c r="J32" s="159">
        <f t="shared" si="63"/>
        <v>0.16741291162554381</v>
      </c>
      <c r="K32" s="159">
        <f t="shared" si="64"/>
        <v>0.18247372280615987</v>
      </c>
      <c r="L32" s="161">
        <f t="shared" si="65"/>
        <v>0.62478168365564768</v>
      </c>
      <c r="M32" s="146">
        <f t="shared" si="66"/>
        <v>1793.0634149439522</v>
      </c>
      <c r="N32" s="146">
        <f t="shared" si="67"/>
        <v>4577.7386554888699</v>
      </c>
      <c r="O32" s="146">
        <f t="shared" si="68"/>
        <v>4989.5614764116353</v>
      </c>
      <c r="P32" s="146">
        <f t="shared" si="69"/>
        <v>17084.03035788003</v>
      </c>
      <c r="Q32" s="56">
        <f t="shared" si="28"/>
        <v>46138</v>
      </c>
      <c r="R32" s="139">
        <v>28800</v>
      </c>
      <c r="S32" s="140">
        <v>0</v>
      </c>
      <c r="T32" s="140">
        <v>27344</v>
      </c>
      <c r="U32" s="140">
        <v>0</v>
      </c>
      <c r="V32" s="141">
        <v>6602</v>
      </c>
      <c r="W32" s="142">
        <v>0.79166666666666663</v>
      </c>
      <c r="X32" s="141">
        <v>1822</v>
      </c>
      <c r="Y32" s="142">
        <v>0.69791666666666663</v>
      </c>
      <c r="Z32" s="141">
        <v>0</v>
      </c>
      <c r="AA32" s="142">
        <v>0</v>
      </c>
      <c r="AB32" s="168">
        <f t="shared" si="29"/>
        <v>46138</v>
      </c>
      <c r="AC32" s="76">
        <f t="shared" si="70"/>
        <v>1</v>
      </c>
      <c r="AD32" s="162">
        <f t="shared" si="71"/>
        <v>0</v>
      </c>
      <c r="AE32" s="163">
        <v>2065</v>
      </c>
      <c r="AF32" s="118">
        <f t="shared" si="0"/>
        <v>2065</v>
      </c>
      <c r="AG32" s="147">
        <v>0</v>
      </c>
      <c r="AH32" s="148">
        <v>1815</v>
      </c>
      <c r="AI32" s="149">
        <v>0.92986111111111114</v>
      </c>
      <c r="AJ32" s="148">
        <v>0</v>
      </c>
      <c r="AK32" s="165">
        <v>0</v>
      </c>
      <c r="AL32" s="168">
        <f t="shared" si="18"/>
        <v>46138</v>
      </c>
      <c r="AM32" s="77">
        <f t="shared" si="72"/>
        <v>0.296092564491654</v>
      </c>
      <c r="AN32" s="76">
        <f t="shared" si="73"/>
        <v>0.703907435508346</v>
      </c>
      <c r="AO32" s="150">
        <v>5272</v>
      </c>
      <c r="AP32" s="117">
        <f t="shared" si="21"/>
        <v>1561</v>
      </c>
      <c r="AQ32" s="151">
        <v>3711</v>
      </c>
      <c r="AR32" s="152">
        <v>1915</v>
      </c>
      <c r="AS32" s="153">
        <v>0.93611111111111112</v>
      </c>
      <c r="AT32" s="152">
        <v>186</v>
      </c>
      <c r="AU32" s="154">
        <v>0.89583333333333337</v>
      </c>
      <c r="AV32" s="168">
        <f t="shared" si="30"/>
        <v>46138</v>
      </c>
      <c r="AW32" s="169">
        <f t="shared" si="74"/>
        <v>0.25117213663764232</v>
      </c>
      <c r="AX32" s="169">
        <f t="shared" si="75"/>
        <v>0.74882786336235763</v>
      </c>
      <c r="AY32" s="111">
        <f t="shared" si="32"/>
        <v>4479</v>
      </c>
      <c r="AZ32" s="112">
        <v>4479</v>
      </c>
      <c r="BA32" s="120">
        <f t="shared" si="2"/>
        <v>1125</v>
      </c>
      <c r="BB32" s="113">
        <f>2656+698</f>
        <v>3354</v>
      </c>
      <c r="BC32" s="112">
        <v>1966</v>
      </c>
      <c r="BD32" s="114">
        <v>0.40625</v>
      </c>
      <c r="BE32" s="115">
        <v>0</v>
      </c>
      <c r="BF32" s="114">
        <v>0</v>
      </c>
      <c r="BG32" s="115">
        <v>160</v>
      </c>
      <c r="BH32" s="114">
        <v>0.84375</v>
      </c>
      <c r="BI32" s="168">
        <f t="shared" si="31"/>
        <v>46138</v>
      </c>
      <c r="BJ32" s="170">
        <f t="shared" si="76"/>
        <v>0.60797966963151207</v>
      </c>
      <c r="BK32" s="76">
        <f t="shared" si="77"/>
        <v>0.39202033036848793</v>
      </c>
      <c r="BL32" s="79">
        <f t="shared" si="78"/>
        <v>19675</v>
      </c>
      <c r="BM32" s="155">
        <v>11962</v>
      </c>
      <c r="BN32" s="155">
        <v>7713</v>
      </c>
      <c r="BO32" s="156">
        <v>2607</v>
      </c>
      <c r="BP32" s="157">
        <v>0.41666666666666669</v>
      </c>
      <c r="BQ32" s="158">
        <v>1725</v>
      </c>
      <c r="BR32" s="157">
        <v>0.41666666666666669</v>
      </c>
    </row>
    <row r="33" spans="1:70" ht="15.75" thickBot="1" x14ac:dyDescent="0.3">
      <c r="A33" s="14"/>
      <c r="B33" s="56">
        <f t="shared" si="27"/>
        <v>46139</v>
      </c>
      <c r="C33" s="164"/>
      <c r="D33" s="87">
        <f t="shared" si="3"/>
        <v>60080</v>
      </c>
      <c r="E33" s="159">
        <f t="shared" si="60"/>
        <v>0.87851198402130493</v>
      </c>
      <c r="F33" s="87">
        <f t="shared" si="5"/>
        <v>52781</v>
      </c>
      <c r="G33" s="159">
        <f t="shared" si="61"/>
        <v>0.12148801597869507</v>
      </c>
      <c r="H33" s="146">
        <f t="shared" si="7"/>
        <v>7299</v>
      </c>
      <c r="I33" s="160">
        <f t="shared" si="62"/>
        <v>0.12470063465453239</v>
      </c>
      <c r="J33" s="159">
        <f t="shared" si="63"/>
        <v>0.1627050652616453</v>
      </c>
      <c r="K33" s="159">
        <f t="shared" si="64"/>
        <v>0.19782019536352824</v>
      </c>
      <c r="L33" s="161">
        <f t="shared" si="65"/>
        <v>0.56072626032810446</v>
      </c>
      <c r="M33" s="146">
        <f t="shared" si="66"/>
        <v>7274.4115225721471</v>
      </c>
      <c r="N33" s="146">
        <f t="shared" si="67"/>
        <v>9491.3999820380777</v>
      </c>
      <c r="O33" s="146">
        <f t="shared" si="68"/>
        <v>11539.84109653142</v>
      </c>
      <c r="P33" s="146">
        <f t="shared" si="69"/>
        <v>32709.966396239975</v>
      </c>
      <c r="Q33" s="56">
        <f t="shared" si="28"/>
        <v>46139</v>
      </c>
      <c r="R33" s="139">
        <v>60080</v>
      </c>
      <c r="S33" s="140">
        <v>0</v>
      </c>
      <c r="T33" s="140">
        <v>58335</v>
      </c>
      <c r="U33" s="140">
        <v>0</v>
      </c>
      <c r="V33" s="141">
        <v>14411</v>
      </c>
      <c r="W33" s="142">
        <v>0.40625</v>
      </c>
      <c r="X33" s="141">
        <v>4920</v>
      </c>
      <c r="Y33" s="142">
        <v>0.39583333333333331</v>
      </c>
      <c r="Z33" s="141">
        <v>0</v>
      </c>
      <c r="AA33" s="142">
        <v>0</v>
      </c>
      <c r="AB33" s="56">
        <f t="shared" si="29"/>
        <v>46139</v>
      </c>
      <c r="AC33" s="76">
        <f t="shared" si="70"/>
        <v>1</v>
      </c>
      <c r="AD33" s="162">
        <f t="shared" si="71"/>
        <v>0</v>
      </c>
      <c r="AE33" s="163">
        <v>8331</v>
      </c>
      <c r="AF33" s="118">
        <f t="shared" si="0"/>
        <v>8331</v>
      </c>
      <c r="AG33" s="147">
        <v>0</v>
      </c>
      <c r="AH33" s="148">
        <v>4641</v>
      </c>
      <c r="AI33" s="149">
        <v>0.34444444444444444</v>
      </c>
      <c r="AJ33" s="148">
        <v>0</v>
      </c>
      <c r="AK33" s="165">
        <v>0</v>
      </c>
      <c r="AL33" s="168">
        <f t="shared" si="18"/>
        <v>46139</v>
      </c>
      <c r="AM33" s="77">
        <f t="shared" si="72"/>
        <v>0</v>
      </c>
      <c r="AN33" s="76">
        <f t="shared" si="73"/>
        <v>0.35409383624655016</v>
      </c>
      <c r="AO33" s="150">
        <v>10870</v>
      </c>
      <c r="AP33" s="117">
        <v>0</v>
      </c>
      <c r="AQ33" s="151">
        <v>3849</v>
      </c>
      <c r="AR33" s="152">
        <v>4134</v>
      </c>
      <c r="AS33" s="153">
        <v>0.33611111111111114</v>
      </c>
      <c r="AT33" s="152">
        <v>184</v>
      </c>
      <c r="AU33" s="154">
        <v>0.77083333333333337</v>
      </c>
      <c r="AV33" s="56">
        <f t="shared" si="30"/>
        <v>46139</v>
      </c>
      <c r="AW33" s="169">
        <f t="shared" si="74"/>
        <v>0.65996451803666467</v>
      </c>
      <c r="AX33" s="169">
        <f t="shared" si="75"/>
        <v>0.34003548196333533</v>
      </c>
      <c r="AY33" s="111">
        <f t="shared" si="32"/>
        <v>10146</v>
      </c>
      <c r="AZ33" s="112">
        <v>10146</v>
      </c>
      <c r="BA33" s="120">
        <f t="shared" si="2"/>
        <v>6696</v>
      </c>
      <c r="BB33" s="113">
        <f>2752+698</f>
        <v>3450</v>
      </c>
      <c r="BC33" s="112">
        <v>3929</v>
      </c>
      <c r="BD33" s="114">
        <v>0.78125</v>
      </c>
      <c r="BE33" s="115">
        <v>0</v>
      </c>
      <c r="BF33" s="114">
        <v>0</v>
      </c>
      <c r="BG33" s="115">
        <v>169</v>
      </c>
      <c r="BH33" s="114">
        <v>0.78125</v>
      </c>
      <c r="BI33" s="56">
        <f t="shared" si="31"/>
        <v>46139</v>
      </c>
      <c r="BJ33" s="170">
        <f t="shared" si="76"/>
        <v>0.60505592482848825</v>
      </c>
      <c r="BK33" s="76">
        <f t="shared" si="77"/>
        <v>0.3949440751715117</v>
      </c>
      <c r="BL33" s="79">
        <f t="shared" si="78"/>
        <v>37461</v>
      </c>
      <c r="BM33" s="155">
        <v>22666</v>
      </c>
      <c r="BN33" s="155">
        <v>14795</v>
      </c>
      <c r="BO33" s="156">
        <v>4021</v>
      </c>
      <c r="BP33" s="157">
        <v>0.77708333333333335</v>
      </c>
      <c r="BQ33" s="158">
        <v>2710</v>
      </c>
      <c r="BR33" s="157">
        <v>0.77708333333333335</v>
      </c>
    </row>
    <row r="34" spans="1:70" ht="15.75" thickBot="1" x14ac:dyDescent="0.3">
      <c r="A34" s="14"/>
      <c r="B34" s="56">
        <f t="shared" si="27"/>
        <v>46140</v>
      </c>
      <c r="C34" s="164"/>
      <c r="D34" s="87">
        <f t="shared" si="3"/>
        <v>68388</v>
      </c>
      <c r="E34" s="159">
        <f t="shared" si="60"/>
        <v>0.89142832075802769</v>
      </c>
      <c r="F34" s="87">
        <f t="shared" si="5"/>
        <v>60963</v>
      </c>
      <c r="G34" s="159">
        <f t="shared" si="61"/>
        <v>0.10857167924197228</v>
      </c>
      <c r="H34" s="146">
        <f t="shared" si="7"/>
        <v>7425</v>
      </c>
      <c r="I34" s="160">
        <f t="shared" si="62"/>
        <v>0.13357923857199314</v>
      </c>
      <c r="J34" s="159">
        <f t="shared" si="63"/>
        <v>0.17506257410090897</v>
      </c>
      <c r="K34" s="159">
        <f t="shared" si="64"/>
        <v>0.17029980888676541</v>
      </c>
      <c r="L34" s="161">
        <f t="shared" si="65"/>
        <v>0.54110130417599789</v>
      </c>
      <c r="M34" s="146">
        <f t="shared" si="66"/>
        <v>8941.79423000922</v>
      </c>
      <c r="N34" s="146">
        <f t="shared" si="67"/>
        <v>11718.688710314847</v>
      </c>
      <c r="O34" s="146">
        <f t="shared" si="68"/>
        <v>11399.869206880076</v>
      </c>
      <c r="P34" s="146">
        <f t="shared" si="69"/>
        <v>36221.321301541298</v>
      </c>
      <c r="Q34" s="56">
        <f t="shared" si="28"/>
        <v>46140</v>
      </c>
      <c r="R34" s="139">
        <v>68388</v>
      </c>
      <c r="S34" s="140">
        <v>0</v>
      </c>
      <c r="T34" s="140">
        <v>66940</v>
      </c>
      <c r="U34" s="140">
        <v>0</v>
      </c>
      <c r="V34" s="141">
        <v>14057</v>
      </c>
      <c r="W34" s="142">
        <v>0.77083333333333337</v>
      </c>
      <c r="X34" s="141">
        <v>5204</v>
      </c>
      <c r="Y34" s="142">
        <v>0.38541666666666669</v>
      </c>
      <c r="Z34" s="141">
        <v>0</v>
      </c>
      <c r="AA34" s="142">
        <v>0</v>
      </c>
      <c r="AB34" s="56">
        <f t="shared" si="29"/>
        <v>46140</v>
      </c>
      <c r="AC34" s="76">
        <f t="shared" si="70"/>
        <v>0.97435897435897434</v>
      </c>
      <c r="AD34" s="162">
        <f t="shared" si="71"/>
        <v>2.564102564102564E-2</v>
      </c>
      <c r="AE34" s="163">
        <v>10140</v>
      </c>
      <c r="AF34" s="118">
        <f t="shared" si="0"/>
        <v>9880</v>
      </c>
      <c r="AG34" s="147">
        <v>260</v>
      </c>
      <c r="AH34" s="148">
        <v>5596</v>
      </c>
      <c r="AI34" s="149">
        <v>0.67986111111111114</v>
      </c>
      <c r="AJ34" s="148">
        <v>0</v>
      </c>
      <c r="AK34" s="165">
        <v>0</v>
      </c>
      <c r="AL34" s="56">
        <f t="shared" si="18"/>
        <v>46140</v>
      </c>
      <c r="AM34" s="77">
        <f t="shared" si="72"/>
        <v>0.72541199488298591</v>
      </c>
      <c r="AN34" s="76">
        <f t="shared" si="73"/>
        <v>0.27458800511701409</v>
      </c>
      <c r="AO34" s="150">
        <v>13289</v>
      </c>
      <c r="AP34" s="117">
        <f t="shared" si="21"/>
        <v>9640</v>
      </c>
      <c r="AQ34" s="151">
        <v>3649</v>
      </c>
      <c r="AR34" s="152">
        <v>4864</v>
      </c>
      <c r="AS34" s="153">
        <v>0.33263888888888887</v>
      </c>
      <c r="AT34" s="152">
        <v>181</v>
      </c>
      <c r="AU34" s="154">
        <v>0.78125</v>
      </c>
      <c r="AV34" s="56">
        <f t="shared" si="30"/>
        <v>46140</v>
      </c>
      <c r="AW34" s="110">
        <f t="shared" si="74"/>
        <v>0.69174118884797475</v>
      </c>
      <c r="AX34" s="110">
        <f t="shared" si="75"/>
        <v>0.30825881115202525</v>
      </c>
      <c r="AY34" s="111">
        <f t="shared" si="32"/>
        <v>11406</v>
      </c>
      <c r="AZ34" s="112">
        <v>11406</v>
      </c>
      <c r="BA34" s="120">
        <f t="shared" si="2"/>
        <v>7890</v>
      </c>
      <c r="BB34" s="113">
        <f>2818+698</f>
        <v>3516</v>
      </c>
      <c r="BC34" s="112">
        <v>4893</v>
      </c>
      <c r="BD34" s="114">
        <v>0.72916666666666663</v>
      </c>
      <c r="BE34" s="115">
        <v>0</v>
      </c>
      <c r="BF34" s="114">
        <v>0</v>
      </c>
      <c r="BG34" s="115">
        <v>165</v>
      </c>
      <c r="BH34" s="114">
        <v>0.79166666666666663</v>
      </c>
      <c r="BI34" s="56">
        <f t="shared" si="31"/>
        <v>46140</v>
      </c>
      <c r="BJ34" s="78">
        <f t="shared" si="76"/>
        <v>0.59997565429093125</v>
      </c>
      <c r="BK34" s="76">
        <f t="shared" si="77"/>
        <v>0.40002434570906875</v>
      </c>
      <c r="BL34" s="79">
        <f t="shared" si="78"/>
        <v>41075</v>
      </c>
      <c r="BM34" s="155">
        <v>24644</v>
      </c>
      <c r="BN34" s="155">
        <v>16431</v>
      </c>
      <c r="BO34" s="156">
        <v>5498</v>
      </c>
      <c r="BP34" s="157">
        <v>0.40138888888888891</v>
      </c>
      <c r="BQ34" s="158">
        <v>3089</v>
      </c>
      <c r="BR34" s="157">
        <v>0.40138888888888891</v>
      </c>
    </row>
    <row r="35" spans="1:70" ht="15.75" thickBot="1" x14ac:dyDescent="0.3">
      <c r="A35" s="14"/>
      <c r="B35" s="56">
        <f t="shared" si="27"/>
        <v>46141</v>
      </c>
      <c r="C35" s="164"/>
      <c r="D35" s="87">
        <f t="shared" si="3"/>
        <v>60964</v>
      </c>
      <c r="E35" s="159">
        <f t="shared" si="60"/>
        <v>0.87730463880322818</v>
      </c>
      <c r="F35" s="87">
        <f t="shared" si="5"/>
        <v>53484</v>
      </c>
      <c r="G35" s="159">
        <f t="shared" si="61"/>
        <v>0.12269536119677187</v>
      </c>
      <c r="H35" s="146">
        <f t="shared" si="7"/>
        <v>7480</v>
      </c>
      <c r="I35" s="160">
        <f t="shared" si="62"/>
        <v>0.11570333387494645</v>
      </c>
      <c r="J35" s="159">
        <f t="shared" si="63"/>
        <v>0.15793438603228999</v>
      </c>
      <c r="K35" s="159">
        <f t="shared" si="64"/>
        <v>0.16787903980047802</v>
      </c>
      <c r="L35" s="161">
        <f t="shared" si="65"/>
        <v>0.58318438972510678</v>
      </c>
      <c r="M35" s="146">
        <f t="shared" si="66"/>
        <v>6891.7533789273102</v>
      </c>
      <c r="N35" s="146">
        <f t="shared" si="67"/>
        <v>9407.2037696273201</v>
      </c>
      <c r="O35" s="146">
        <f t="shared" si="68"/>
        <v>9999.5471266756722</v>
      </c>
      <c r="P35" s="146">
        <f t="shared" si="69"/>
        <v>34736.794989586262</v>
      </c>
      <c r="Q35" s="56">
        <f t="shared" si="28"/>
        <v>46141</v>
      </c>
      <c r="R35" s="139">
        <v>60964</v>
      </c>
      <c r="S35" s="140">
        <v>0</v>
      </c>
      <c r="T35" s="140">
        <v>59564</v>
      </c>
      <c r="U35" s="140">
        <v>0</v>
      </c>
      <c r="V35" s="141">
        <v>14086</v>
      </c>
      <c r="W35" s="142">
        <v>0.83333333333333337</v>
      </c>
      <c r="X35" s="141">
        <v>4619</v>
      </c>
      <c r="Y35" s="142">
        <v>0.40625</v>
      </c>
      <c r="Z35" s="141">
        <v>0</v>
      </c>
      <c r="AA35" s="142">
        <v>0</v>
      </c>
      <c r="AB35" s="56">
        <f t="shared" si="29"/>
        <v>46141</v>
      </c>
      <c r="AC35" s="76">
        <f t="shared" si="70"/>
        <v>1</v>
      </c>
      <c r="AD35" s="162">
        <f t="shared" si="71"/>
        <v>0</v>
      </c>
      <c r="AE35" s="163">
        <v>7833</v>
      </c>
      <c r="AF35" s="118">
        <f t="shared" si="0"/>
        <v>7833</v>
      </c>
      <c r="AG35" s="147">
        <v>0</v>
      </c>
      <c r="AH35" s="148">
        <v>4265</v>
      </c>
      <c r="AI35" s="149">
        <v>0.33541666666666664</v>
      </c>
      <c r="AJ35" s="148">
        <v>0</v>
      </c>
      <c r="AK35" s="165">
        <v>0</v>
      </c>
      <c r="AL35" s="56">
        <f t="shared" si="18"/>
        <v>46141</v>
      </c>
      <c r="AM35" s="77">
        <f t="shared" si="72"/>
        <v>0.63243546576879905</v>
      </c>
      <c r="AN35" s="76">
        <f t="shared" si="73"/>
        <v>0.36756453423120089</v>
      </c>
      <c r="AO35" s="150">
        <v>10692</v>
      </c>
      <c r="AP35" s="117">
        <f t="shared" si="21"/>
        <v>6762</v>
      </c>
      <c r="AQ35" s="151">
        <v>3930</v>
      </c>
      <c r="AR35" s="152">
        <v>3582</v>
      </c>
      <c r="AS35" s="153">
        <v>0.7104166666666667</v>
      </c>
      <c r="AT35" s="152">
        <v>183</v>
      </c>
      <c r="AU35" s="154">
        <v>0.8125</v>
      </c>
      <c r="AV35" s="56">
        <f>AV34+1</f>
        <v>46141</v>
      </c>
      <c r="AW35" s="110">
        <f t="shared" si="74"/>
        <v>0.63375631899308782</v>
      </c>
      <c r="AX35" s="110">
        <f t="shared" si="75"/>
        <v>0.36624368100691218</v>
      </c>
      <c r="AY35" s="111">
        <f t="shared" si="32"/>
        <v>9693</v>
      </c>
      <c r="AZ35" s="112">
        <v>9693</v>
      </c>
      <c r="BA35" s="120">
        <f t="shared" si="2"/>
        <v>6143</v>
      </c>
      <c r="BB35" s="113">
        <f>2852+698</f>
        <v>3550</v>
      </c>
      <c r="BC35" s="112">
        <v>4573</v>
      </c>
      <c r="BD35" s="114">
        <v>0.75</v>
      </c>
      <c r="BE35" s="115">
        <v>0</v>
      </c>
      <c r="BF35" s="114">
        <v>0</v>
      </c>
      <c r="BG35" s="115">
        <v>171</v>
      </c>
      <c r="BH35" s="114">
        <v>0.8125</v>
      </c>
      <c r="BI35" s="56">
        <f t="shared" si="31"/>
        <v>46141</v>
      </c>
      <c r="BJ35" s="78">
        <f t="shared" si="76"/>
        <v>0.60173247891390791</v>
      </c>
      <c r="BK35" s="76">
        <f t="shared" si="77"/>
        <v>0.39826752108609204</v>
      </c>
      <c r="BL35" s="79">
        <f t="shared" si="78"/>
        <v>39481</v>
      </c>
      <c r="BM35" s="155">
        <v>23757</v>
      </c>
      <c r="BN35" s="155">
        <v>15724</v>
      </c>
      <c r="BO35" s="156">
        <v>4148</v>
      </c>
      <c r="BP35" s="157">
        <v>0.7680555555555556</v>
      </c>
      <c r="BQ35" s="158">
        <v>2796</v>
      </c>
      <c r="BR35" s="157">
        <v>0.76875000000000004</v>
      </c>
    </row>
    <row r="36" spans="1:70" ht="15.75" thickBot="1" x14ac:dyDescent="0.3">
      <c r="A36" s="14"/>
      <c r="B36" s="56">
        <f t="shared" si="27"/>
        <v>46142</v>
      </c>
      <c r="C36" s="164"/>
      <c r="D36" s="87">
        <f t="shared" si="3"/>
        <v>60370</v>
      </c>
      <c r="E36" s="159">
        <f t="shared" si="60"/>
        <v>0.87846612555905246</v>
      </c>
      <c r="F36" s="87">
        <f t="shared" si="5"/>
        <v>53033</v>
      </c>
      <c r="G36" s="159">
        <f t="shared" si="61"/>
        <v>0.12153387444094749</v>
      </c>
      <c r="H36" s="146">
        <f t="shared" si="7"/>
        <v>7337</v>
      </c>
      <c r="I36" s="160">
        <f t="shared" si="62"/>
        <v>0.11370911826751443</v>
      </c>
      <c r="J36" s="159">
        <f t="shared" si="63"/>
        <v>0.15458716273031703</v>
      </c>
      <c r="K36" s="159">
        <f t="shared" si="64"/>
        <v>0.16171161967034464</v>
      </c>
      <c r="L36" s="161">
        <f t="shared" si="65"/>
        <v>0.59160310974080577</v>
      </c>
      <c r="M36" s="146">
        <f>(S36+T36)*I36</f>
        <v>6699.7412483219496</v>
      </c>
      <c r="N36" s="146">
        <f>(S36+T36)*J36</f>
        <v>9108.2756280702797</v>
      </c>
      <c r="O36" s="146">
        <f>(S36+T36)*K36</f>
        <v>9528.0486309767057</v>
      </c>
      <c r="P36" s="146">
        <f>(S36+T36)*L36</f>
        <v>34857.255225928275</v>
      </c>
      <c r="Q36" s="56">
        <f t="shared" si="28"/>
        <v>46142</v>
      </c>
      <c r="R36" s="139">
        <v>60370</v>
      </c>
      <c r="S36" s="140">
        <v>0</v>
      </c>
      <c r="T36" s="140">
        <v>58920</v>
      </c>
      <c r="U36" s="140">
        <v>0</v>
      </c>
      <c r="V36" s="141">
        <v>13899</v>
      </c>
      <c r="W36" s="142">
        <v>0.84375</v>
      </c>
      <c r="X36" s="141">
        <v>4597</v>
      </c>
      <c r="Y36" s="142">
        <v>0.42708333333333331</v>
      </c>
      <c r="Z36" s="141">
        <v>0</v>
      </c>
      <c r="AA36" s="142">
        <v>0</v>
      </c>
      <c r="AB36" s="56">
        <f t="shared" si="29"/>
        <v>46142</v>
      </c>
      <c r="AC36" s="76">
        <f t="shared" si="70"/>
        <v>1</v>
      </c>
      <c r="AD36" s="162">
        <f t="shared" si="71"/>
        <v>0</v>
      </c>
      <c r="AE36" s="163">
        <v>7708</v>
      </c>
      <c r="AF36" s="118">
        <f t="shared" si="0"/>
        <v>7708</v>
      </c>
      <c r="AG36" s="147">
        <v>0</v>
      </c>
      <c r="AH36" s="148">
        <v>3530</v>
      </c>
      <c r="AI36" s="149">
        <v>0.33888888888888891</v>
      </c>
      <c r="AJ36" s="148">
        <v>0</v>
      </c>
      <c r="AK36" s="165">
        <v>0</v>
      </c>
      <c r="AL36" s="56">
        <f t="shared" si="18"/>
        <v>46142</v>
      </c>
      <c r="AM36" s="77">
        <f t="shared" si="72"/>
        <v>0.62725450901803603</v>
      </c>
      <c r="AN36" s="76">
        <f t="shared" si="73"/>
        <v>0.37274549098196391</v>
      </c>
      <c r="AO36" s="150">
        <v>10479</v>
      </c>
      <c r="AP36" s="117">
        <f t="shared" si="21"/>
        <v>6573</v>
      </c>
      <c r="AQ36" s="151">
        <v>3906</v>
      </c>
      <c r="AR36" s="152">
        <v>3569</v>
      </c>
      <c r="AS36" s="153">
        <v>0.76111111111111107</v>
      </c>
      <c r="AT36" s="152">
        <v>183</v>
      </c>
      <c r="AU36" s="154">
        <v>0.73958333333333337</v>
      </c>
      <c r="AV36" s="56">
        <f t="shared" si="30"/>
        <v>46142</v>
      </c>
      <c r="AW36" s="110">
        <f t="shared" si="74"/>
        <v>0.63872801937453938</v>
      </c>
      <c r="AX36" s="110">
        <f t="shared" si="75"/>
        <v>0.36127198062546068</v>
      </c>
      <c r="AY36" s="111">
        <f t="shared" si="32"/>
        <v>9497</v>
      </c>
      <c r="AZ36" s="112">
        <v>9497</v>
      </c>
      <c r="BA36" s="120">
        <f t="shared" si="2"/>
        <v>6066</v>
      </c>
      <c r="BB36" s="113">
        <f>2733+698</f>
        <v>3431</v>
      </c>
      <c r="BC36" s="112">
        <v>4318</v>
      </c>
      <c r="BD36" s="114">
        <v>0.76041666666666663</v>
      </c>
      <c r="BE36" s="115">
        <v>0</v>
      </c>
      <c r="BF36" s="114">
        <v>0</v>
      </c>
      <c r="BG36" s="115">
        <v>157</v>
      </c>
      <c r="BH36" s="114">
        <v>0.86458333333333337</v>
      </c>
      <c r="BI36" s="56">
        <f t="shared" si="31"/>
        <v>46142</v>
      </c>
      <c r="BJ36" s="78">
        <f t="shared" si="76"/>
        <v>0.6346906715208338</v>
      </c>
      <c r="BK36" s="76">
        <f t="shared" si="77"/>
        <v>0.36530932847916614</v>
      </c>
      <c r="BL36" s="79">
        <f t="shared" si="78"/>
        <v>40103</v>
      </c>
      <c r="BM36" s="155">
        <v>25453</v>
      </c>
      <c r="BN36" s="155">
        <v>14650</v>
      </c>
      <c r="BO36" s="156">
        <v>4080</v>
      </c>
      <c r="BP36" s="157">
        <v>0.36458333333333331</v>
      </c>
      <c r="BQ36" s="158">
        <v>2707</v>
      </c>
      <c r="BR36" s="157">
        <v>0.36527777777777776</v>
      </c>
    </row>
    <row r="37" spans="1:70" ht="15.75" thickBot="1" x14ac:dyDescent="0.3">
      <c r="B37" s="56">
        <f t="shared" si="27"/>
        <v>46143</v>
      </c>
      <c r="D37" s="87">
        <f t="shared" si="3"/>
        <v>0</v>
      </c>
      <c r="E37" s="159" t="e">
        <f t="shared" ref="E37" si="79">F37/D37</f>
        <v>#DIV/0!</v>
      </c>
      <c r="F37" s="87">
        <f t="shared" si="5"/>
        <v>0</v>
      </c>
      <c r="G37" s="159" t="e">
        <f t="shared" ref="G37" si="80">H37/D37</f>
        <v>#DIV/0!</v>
      </c>
      <c r="H37" s="146">
        <f t="shared" si="7"/>
        <v>0</v>
      </c>
      <c r="I37" s="160" t="e">
        <f t="shared" ref="I37" si="81">AE37/(AE37+AO37+BL37+AY37)</f>
        <v>#DIV/0!</v>
      </c>
      <c r="J37" s="159" t="e">
        <f t="shared" ref="J37" si="82">AO37/(AE37+AO37+BL37+AY37)</f>
        <v>#DIV/0!</v>
      </c>
      <c r="K37" s="159" t="e">
        <f t="shared" ref="K37" si="83">AY37/(AF37+AP37+BM37+AZ37+AY37)</f>
        <v>#DIV/0!</v>
      </c>
      <c r="L37" s="161" t="e">
        <f t="shared" ref="L37" si="84">BL37/(AE37+AO37+BL37+AY37)</f>
        <v>#DIV/0!</v>
      </c>
      <c r="M37" s="146" t="e">
        <f>(S37+T37)*I37</f>
        <v>#DIV/0!</v>
      </c>
      <c r="N37" s="146" t="e">
        <f>(S37+T37)*J37</f>
        <v>#DIV/0!</v>
      </c>
      <c r="O37" s="146" t="e">
        <f>(S37+T37)*K37</f>
        <v>#DIV/0!</v>
      </c>
      <c r="P37" s="146" t="e">
        <f>(S37+T37)*L37</f>
        <v>#DIV/0!</v>
      </c>
      <c r="Q37" s="56">
        <f t="shared" si="28"/>
        <v>46143</v>
      </c>
      <c r="R37" s="139"/>
      <c r="S37" s="140"/>
      <c r="T37" s="140"/>
      <c r="U37" s="140"/>
      <c r="V37" s="141"/>
      <c r="W37" s="142"/>
      <c r="X37" s="141"/>
      <c r="Y37" s="142"/>
      <c r="Z37" s="141"/>
      <c r="AA37" s="142"/>
      <c r="AB37" s="56">
        <f t="shared" si="29"/>
        <v>46143</v>
      </c>
      <c r="AC37" s="76" t="e">
        <f t="shared" ref="AC37" si="85">+AF37/AE37</f>
        <v>#DIV/0!</v>
      </c>
      <c r="AD37" s="162" t="e">
        <f t="shared" ref="AD37" si="86">+AG37/AE37</f>
        <v>#DIV/0!</v>
      </c>
      <c r="AE37" s="163"/>
      <c r="AF37" s="118">
        <f t="shared" si="0"/>
        <v>0</v>
      </c>
      <c r="AG37" s="147"/>
      <c r="AH37" s="148"/>
      <c r="AI37" s="149"/>
      <c r="AJ37" s="148"/>
      <c r="AK37" s="165"/>
      <c r="AL37" s="56">
        <f t="shared" si="18"/>
        <v>46143</v>
      </c>
      <c r="AM37" s="77" t="e">
        <f t="shared" ref="AM37" si="87">+AP37/AO37</f>
        <v>#DIV/0!</v>
      </c>
      <c r="AN37" s="76" t="e">
        <f t="shared" ref="AN37" si="88">+AQ37/AO37</f>
        <v>#DIV/0!</v>
      </c>
      <c r="AO37" s="150"/>
      <c r="AP37" s="117">
        <f t="shared" ref="AP37" si="89">AO37-AQ37</f>
        <v>0</v>
      </c>
      <c r="AQ37" s="151"/>
      <c r="AR37" s="152"/>
      <c r="AS37" s="153"/>
      <c r="AT37" s="152"/>
      <c r="AU37" s="154"/>
      <c r="AV37" s="56">
        <f t="shared" si="30"/>
        <v>46143</v>
      </c>
      <c r="AW37" s="110" t="e">
        <f t="shared" ref="AW37" si="90">BA37/AZ37</f>
        <v>#DIV/0!</v>
      </c>
      <c r="AX37" s="110" t="e">
        <f t="shared" ref="AX37" si="91">BB37/AZ37</f>
        <v>#DIV/0!</v>
      </c>
      <c r="AY37" s="111">
        <f t="shared" si="32"/>
        <v>0</v>
      </c>
      <c r="AZ37" s="112"/>
      <c r="BA37" s="120">
        <f t="shared" si="2"/>
        <v>0</v>
      </c>
      <c r="BB37" s="113"/>
      <c r="BC37" s="112"/>
      <c r="BD37" s="114"/>
      <c r="BE37" s="115"/>
      <c r="BF37" s="114"/>
      <c r="BG37" s="115"/>
      <c r="BH37" s="114"/>
      <c r="BI37" s="56">
        <f t="shared" si="31"/>
        <v>46143</v>
      </c>
      <c r="BJ37" s="78" t="e">
        <f t="shared" ref="BJ37" si="92">+BM37/BL37</f>
        <v>#DIV/0!</v>
      </c>
      <c r="BK37" s="76" t="e">
        <f t="shared" ref="BK37" si="93">+BN37/BL37</f>
        <v>#DIV/0!</v>
      </c>
      <c r="BL37" s="79">
        <f t="shared" ref="BL37" si="94">BM37+BN37</f>
        <v>0</v>
      </c>
      <c r="BM37" s="155"/>
      <c r="BN37" s="155"/>
      <c r="BO37" s="156"/>
      <c r="BP37" s="157"/>
      <c r="BQ37" s="158"/>
      <c r="BR37" s="157"/>
    </row>
    <row r="38" spans="1:70" ht="15.75" thickBot="1" x14ac:dyDescent="0.3">
      <c r="R38" s="175" t="e">
        <f>#REF!-S39</f>
        <v>#REF!</v>
      </c>
      <c r="AF38" s="118">
        <f t="shared" si="0"/>
        <v>0</v>
      </c>
      <c r="AY38" s="111">
        <f t="shared" si="32"/>
        <v>0</v>
      </c>
      <c r="BA38" s="120">
        <f t="shared" si="2"/>
        <v>0</v>
      </c>
    </row>
    <row r="39" spans="1:70" ht="15.75" thickBot="1" x14ac:dyDescent="0.3">
      <c r="S39" s="176">
        <f>R36-T36</f>
        <v>1450</v>
      </c>
      <c r="T39" s="176"/>
      <c r="U39" s="175"/>
      <c r="AF39" s="118">
        <f t="shared" si="0"/>
        <v>0</v>
      </c>
      <c r="AY39" s="111">
        <f t="shared" si="32"/>
        <v>0</v>
      </c>
      <c r="BA39" s="120">
        <f t="shared" si="2"/>
        <v>0</v>
      </c>
    </row>
    <row r="41" spans="1:70" x14ac:dyDescent="0.25">
      <c r="S41" s="176"/>
      <c r="T41" s="175"/>
    </row>
  </sheetData>
  <mergeCells count="32"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view="pageBreakPreview" topLeftCell="C38" zoomScaleNormal="100" zoomScaleSheetLayoutView="100" workbookViewId="0">
      <selection activeCell="E44" sqref="E44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19" t="s">
        <v>0</v>
      </c>
      <c r="D2" s="222" t="s">
        <v>37</v>
      </c>
      <c r="E2" s="223"/>
      <c r="F2" s="223"/>
      <c r="G2" s="223"/>
      <c r="H2" s="224"/>
      <c r="J2" s="222" t="s">
        <v>38</v>
      </c>
      <c r="K2" s="223"/>
      <c r="L2" s="224"/>
      <c r="N2" s="222" t="s">
        <v>39</v>
      </c>
      <c r="O2" s="223"/>
      <c r="P2" s="223"/>
      <c r="Q2" s="223"/>
      <c r="R2" s="223"/>
      <c r="S2" s="223"/>
      <c r="T2" s="224"/>
      <c r="V2" s="228" t="s">
        <v>40</v>
      </c>
      <c r="W2" s="229"/>
      <c r="X2" s="230"/>
    </row>
    <row r="3" spans="2:27" ht="15.75" thickBot="1" x14ac:dyDescent="0.3">
      <c r="B3" s="220"/>
      <c r="D3" s="225"/>
      <c r="E3" s="226"/>
      <c r="F3" s="226"/>
      <c r="G3" s="226"/>
      <c r="H3" s="227"/>
      <c r="J3" s="225"/>
      <c r="K3" s="226"/>
      <c r="L3" s="227"/>
      <c r="N3" s="225"/>
      <c r="O3" s="226"/>
      <c r="P3" s="226"/>
      <c r="Q3" s="226"/>
      <c r="R3" s="226"/>
      <c r="S3" s="226"/>
      <c r="T3" s="227"/>
      <c r="V3" s="231"/>
      <c r="W3" s="232"/>
      <c r="X3" s="233"/>
    </row>
    <row r="4" spans="2:27" ht="23.25" customHeight="1" x14ac:dyDescent="0.25">
      <c r="B4" s="220"/>
      <c r="D4" s="234" t="s">
        <v>41</v>
      </c>
      <c r="E4" s="235"/>
      <c r="F4" s="234" t="s">
        <v>42</v>
      </c>
      <c r="G4" s="236"/>
      <c r="H4" s="237"/>
      <c r="J4" s="234" t="s">
        <v>41</v>
      </c>
      <c r="K4" s="235"/>
      <c r="L4" s="16" t="s">
        <v>42</v>
      </c>
      <c r="N4" s="217" t="s">
        <v>41</v>
      </c>
      <c r="O4" s="238"/>
      <c r="P4" s="239"/>
      <c r="Q4" s="240"/>
      <c r="R4" s="234" t="s">
        <v>42</v>
      </c>
      <c r="S4" s="241"/>
      <c r="T4" s="237"/>
      <c r="V4" s="217" t="s">
        <v>41</v>
      </c>
      <c r="W4" s="218"/>
      <c r="X4" s="16" t="s">
        <v>42</v>
      </c>
    </row>
    <row r="5" spans="2:27" ht="23.25" thickBot="1" x14ac:dyDescent="0.3">
      <c r="B5" s="221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46112</v>
      </c>
      <c r="C14" s="13"/>
      <c r="D14" s="171">
        <v>104</v>
      </c>
      <c r="E14" s="172">
        <v>0.76041666666666663</v>
      </c>
      <c r="F14" s="173">
        <v>1280</v>
      </c>
      <c r="G14" s="93">
        <v>784</v>
      </c>
      <c r="H14" s="173">
        <v>496</v>
      </c>
      <c r="I14" s="90">
        <v>46112</v>
      </c>
      <c r="J14" s="171">
        <v>31</v>
      </c>
      <c r="K14" s="172">
        <v>0.84375</v>
      </c>
      <c r="L14" s="173">
        <v>579</v>
      </c>
      <c r="M14" s="90">
        <v>46112</v>
      </c>
      <c r="N14" s="171">
        <v>24</v>
      </c>
      <c r="O14" s="172">
        <v>0.55208333333333337</v>
      </c>
      <c r="P14" s="171">
        <v>13</v>
      </c>
      <c r="Q14" s="172">
        <v>0.66666666666666663</v>
      </c>
      <c r="R14" s="92">
        <v>591</v>
      </c>
      <c r="S14" s="173">
        <v>347</v>
      </c>
      <c r="T14" s="173">
        <v>244</v>
      </c>
      <c r="U14" s="90">
        <v>46112</v>
      </c>
      <c r="V14" s="171">
        <v>27</v>
      </c>
      <c r="W14" s="172">
        <v>0.29166666666666669</v>
      </c>
      <c r="X14" s="173">
        <v>501</v>
      </c>
    </row>
    <row r="15" spans="2:27" s="52" customFormat="1" ht="15.75" thickBot="1" x14ac:dyDescent="0.3">
      <c r="B15" s="90">
        <v>46113</v>
      </c>
      <c r="C15" s="13"/>
      <c r="D15" s="171">
        <v>91</v>
      </c>
      <c r="E15" s="172">
        <v>0.94791666666666663</v>
      </c>
      <c r="F15" s="173">
        <v>1318</v>
      </c>
      <c r="G15" s="93">
        <f t="shared" ref="G15:G45" si="0">F15-H15</f>
        <v>806</v>
      </c>
      <c r="H15" s="173">
        <v>512</v>
      </c>
      <c r="I15" s="90">
        <f t="shared" ref="I15:I45" si="1">I14+1</f>
        <v>46113</v>
      </c>
      <c r="J15" s="171">
        <v>29</v>
      </c>
      <c r="K15" s="172">
        <v>0.78125</v>
      </c>
      <c r="L15" s="173">
        <v>571</v>
      </c>
      <c r="M15" s="90">
        <f t="shared" ref="M15:M44" si="2">B15</f>
        <v>46113</v>
      </c>
      <c r="N15" s="171">
        <v>22</v>
      </c>
      <c r="O15" s="172">
        <v>0.60416666666666663</v>
      </c>
      <c r="P15" s="171">
        <v>13</v>
      </c>
      <c r="Q15" s="172">
        <v>0.46875</v>
      </c>
      <c r="R15" s="92">
        <f t="shared" ref="R15:R25" si="3">S15+T15</f>
        <v>581</v>
      </c>
      <c r="S15" s="173">
        <v>339</v>
      </c>
      <c r="T15" s="173">
        <v>242</v>
      </c>
      <c r="U15" s="90">
        <f t="shared" ref="U15:U45" si="4">U14+1</f>
        <v>46113</v>
      </c>
      <c r="V15" s="171">
        <v>28</v>
      </c>
      <c r="W15" s="172">
        <v>0.8125</v>
      </c>
      <c r="X15" s="173">
        <v>509</v>
      </c>
    </row>
    <row r="16" spans="2:27" s="52" customFormat="1" ht="15.75" thickBot="1" x14ac:dyDescent="0.3">
      <c r="B16" s="55">
        <f t="shared" ref="B16" si="5">B15+1</f>
        <v>46114</v>
      </c>
      <c r="C16" s="13"/>
      <c r="D16" s="50">
        <v>88</v>
      </c>
      <c r="E16" s="11">
        <v>0.72916666666666663</v>
      </c>
      <c r="F16" s="10">
        <v>1264</v>
      </c>
      <c r="G16" s="93">
        <f t="shared" si="0"/>
        <v>746</v>
      </c>
      <c r="H16" s="10">
        <v>518</v>
      </c>
      <c r="I16" s="90">
        <f t="shared" si="1"/>
        <v>46114</v>
      </c>
      <c r="J16" s="50">
        <v>30</v>
      </c>
      <c r="K16" s="54">
        <v>0.13541666666666666</v>
      </c>
      <c r="L16" s="53">
        <v>557</v>
      </c>
      <c r="M16" s="90">
        <f t="shared" si="2"/>
        <v>46114</v>
      </c>
      <c r="N16" s="50">
        <v>22</v>
      </c>
      <c r="O16" s="11">
        <v>0.51041666666666663</v>
      </c>
      <c r="P16" s="50">
        <v>14</v>
      </c>
      <c r="Q16" s="11">
        <v>0.29166666666666669</v>
      </c>
      <c r="R16" s="92">
        <f t="shared" si="3"/>
        <v>574</v>
      </c>
      <c r="S16" s="10">
        <v>339</v>
      </c>
      <c r="T16" s="10">
        <v>235</v>
      </c>
      <c r="U16" s="90">
        <f t="shared" si="4"/>
        <v>46114</v>
      </c>
      <c r="V16" s="50">
        <v>27</v>
      </c>
      <c r="W16" s="11">
        <v>5.2083333333333336E-2</v>
      </c>
      <c r="X16" s="10">
        <v>510</v>
      </c>
    </row>
    <row r="17" spans="2:24" ht="15.75" thickBot="1" x14ac:dyDescent="0.3">
      <c r="B17" s="55">
        <f t="shared" ref="B17:B45" si="6">B16+1</f>
        <v>46115</v>
      </c>
      <c r="D17" s="50">
        <v>76</v>
      </c>
      <c r="E17" s="54">
        <v>0.79166666666666663</v>
      </c>
      <c r="F17" s="53">
        <v>924</v>
      </c>
      <c r="G17" s="93">
        <f t="shared" si="0"/>
        <v>409</v>
      </c>
      <c r="H17" s="53">
        <v>515</v>
      </c>
      <c r="I17" s="90">
        <f t="shared" si="1"/>
        <v>46115</v>
      </c>
      <c r="J17" s="50">
        <v>28</v>
      </c>
      <c r="K17" s="54">
        <v>0.32291666666666669</v>
      </c>
      <c r="L17" s="53">
        <v>530</v>
      </c>
      <c r="M17" s="90">
        <f t="shared" si="2"/>
        <v>46115</v>
      </c>
      <c r="N17" s="50">
        <v>20</v>
      </c>
      <c r="O17" s="54">
        <v>0.83333333333333337</v>
      </c>
      <c r="P17" s="50">
        <v>10</v>
      </c>
      <c r="Q17" s="54">
        <v>0.75</v>
      </c>
      <c r="R17" s="92">
        <f t="shared" si="3"/>
        <v>511</v>
      </c>
      <c r="S17" s="53">
        <v>322</v>
      </c>
      <c r="T17" s="53">
        <v>189</v>
      </c>
      <c r="U17" s="90">
        <f t="shared" si="4"/>
        <v>46115</v>
      </c>
      <c r="V17" s="50">
        <v>28</v>
      </c>
      <c r="W17" s="54">
        <v>0.89583333333333337</v>
      </c>
      <c r="X17" s="53">
        <v>498</v>
      </c>
    </row>
    <row r="18" spans="2:24" ht="15.75" thickBot="1" x14ac:dyDescent="0.3">
      <c r="B18" s="55">
        <f t="shared" si="6"/>
        <v>46116</v>
      </c>
      <c r="D18" s="50">
        <v>50</v>
      </c>
      <c r="E18" s="54">
        <v>0.83333333333333337</v>
      </c>
      <c r="F18" s="53">
        <v>901</v>
      </c>
      <c r="G18" s="93">
        <f t="shared" si="0"/>
        <v>377</v>
      </c>
      <c r="H18" s="53">
        <v>524</v>
      </c>
      <c r="I18" s="90">
        <f t="shared" si="1"/>
        <v>46116</v>
      </c>
      <c r="J18" s="50">
        <v>29</v>
      </c>
      <c r="K18" s="54">
        <v>0.9375</v>
      </c>
      <c r="L18" s="53">
        <v>567</v>
      </c>
      <c r="M18" s="90">
        <f t="shared" si="2"/>
        <v>46116</v>
      </c>
      <c r="N18" s="50">
        <v>25</v>
      </c>
      <c r="O18" s="54">
        <v>0.46875</v>
      </c>
      <c r="P18" s="50">
        <v>9</v>
      </c>
      <c r="Q18" s="54">
        <v>0.66666666666666663</v>
      </c>
      <c r="R18" s="51">
        <f t="shared" si="3"/>
        <v>531</v>
      </c>
      <c r="S18" s="53">
        <v>335</v>
      </c>
      <c r="T18" s="53">
        <v>196</v>
      </c>
      <c r="U18" s="90">
        <f t="shared" si="4"/>
        <v>46116</v>
      </c>
      <c r="V18" s="50">
        <v>30</v>
      </c>
      <c r="W18" s="54">
        <v>0.98958333333333337</v>
      </c>
      <c r="X18" s="53">
        <v>535</v>
      </c>
    </row>
    <row r="19" spans="2:24" ht="15.75" thickBot="1" x14ac:dyDescent="0.3">
      <c r="B19" s="90">
        <f t="shared" si="6"/>
        <v>46117</v>
      </c>
      <c r="D19" s="91">
        <v>70</v>
      </c>
      <c r="E19" s="89">
        <v>0.83333333333333337</v>
      </c>
      <c r="F19" s="88">
        <v>801</v>
      </c>
      <c r="G19" s="93">
        <f t="shared" si="0"/>
        <v>322</v>
      </c>
      <c r="H19" s="88">
        <v>479</v>
      </c>
      <c r="I19" s="90">
        <f t="shared" si="1"/>
        <v>46117</v>
      </c>
      <c r="J19" s="91">
        <v>28</v>
      </c>
      <c r="K19" s="89">
        <v>0.83333333333333337</v>
      </c>
      <c r="L19" s="88">
        <v>523</v>
      </c>
      <c r="M19" s="90">
        <f t="shared" si="2"/>
        <v>46117</v>
      </c>
      <c r="N19" s="91">
        <v>24</v>
      </c>
      <c r="O19" s="89">
        <v>0.83333333333333337</v>
      </c>
      <c r="P19" s="91">
        <v>9</v>
      </c>
      <c r="Q19" s="89">
        <v>0.59375</v>
      </c>
      <c r="R19" s="92">
        <f t="shared" si="3"/>
        <v>501</v>
      </c>
      <c r="S19" s="88">
        <v>322</v>
      </c>
      <c r="T19" s="88">
        <v>179</v>
      </c>
      <c r="U19" s="90">
        <f t="shared" si="4"/>
        <v>46117</v>
      </c>
      <c r="V19" s="91">
        <v>28</v>
      </c>
      <c r="W19" s="89">
        <v>0.22916666666666666</v>
      </c>
      <c r="X19" s="88">
        <v>490</v>
      </c>
    </row>
    <row r="20" spans="2:24" ht="15.75" thickBot="1" x14ac:dyDescent="0.3">
      <c r="B20" s="90">
        <f t="shared" si="6"/>
        <v>46118</v>
      </c>
      <c r="D20" s="171">
        <v>88.23</v>
      </c>
      <c r="E20" s="172">
        <v>0.54166666666666663</v>
      </c>
      <c r="F20" s="173">
        <v>1159.29</v>
      </c>
      <c r="G20" s="93">
        <f t="shared" si="0"/>
        <v>637.87</v>
      </c>
      <c r="H20" s="173">
        <v>521.41999999999996</v>
      </c>
      <c r="I20" s="90">
        <f t="shared" si="1"/>
        <v>46118</v>
      </c>
      <c r="J20" s="171">
        <v>29.42</v>
      </c>
      <c r="K20" s="172">
        <v>0.82291666666666663</v>
      </c>
      <c r="L20" s="173">
        <v>559.27</v>
      </c>
      <c r="M20" s="90">
        <f t="shared" si="2"/>
        <v>46118</v>
      </c>
      <c r="N20" s="171">
        <v>20.8</v>
      </c>
      <c r="O20" s="172">
        <v>0.60416666666666663</v>
      </c>
      <c r="P20" s="171">
        <v>15.03</v>
      </c>
      <c r="Q20" s="172">
        <v>0.76041666666666663</v>
      </c>
      <c r="R20" s="92">
        <f t="shared" si="3"/>
        <v>562.41000000000008</v>
      </c>
      <c r="S20" s="173">
        <v>334.73</v>
      </c>
      <c r="T20" s="173">
        <v>227.68</v>
      </c>
      <c r="U20" s="174">
        <f t="shared" si="4"/>
        <v>46118</v>
      </c>
      <c r="V20" s="171">
        <v>28.51</v>
      </c>
      <c r="W20" s="172">
        <v>0.84375</v>
      </c>
      <c r="X20" s="173">
        <v>506.65</v>
      </c>
    </row>
    <row r="21" spans="2:24" ht="15.75" thickBot="1" x14ac:dyDescent="0.3">
      <c r="B21" s="90">
        <f t="shared" si="6"/>
        <v>46119</v>
      </c>
      <c r="D21" s="171">
        <v>95.91</v>
      </c>
      <c r="E21" s="172">
        <v>0.54166666666666663</v>
      </c>
      <c r="F21" s="88">
        <v>1273.29</v>
      </c>
      <c r="G21" s="93">
        <f t="shared" si="0"/>
        <v>729.29</v>
      </c>
      <c r="H21" s="88">
        <v>544</v>
      </c>
      <c r="I21" s="90">
        <f t="shared" si="1"/>
        <v>46119</v>
      </c>
      <c r="J21" s="91">
        <v>30.69</v>
      </c>
      <c r="K21" s="89">
        <v>0.76041666666666663</v>
      </c>
      <c r="L21" s="88">
        <v>558.13</v>
      </c>
      <c r="M21" s="90">
        <f t="shared" si="2"/>
        <v>46119</v>
      </c>
      <c r="N21" s="91">
        <v>23.66</v>
      </c>
      <c r="O21" s="89">
        <v>0.5625</v>
      </c>
      <c r="P21" s="91">
        <v>16.100000000000001</v>
      </c>
      <c r="Q21" s="89">
        <v>0.65625</v>
      </c>
      <c r="R21" s="92">
        <f t="shared" si="3"/>
        <v>581.47</v>
      </c>
      <c r="S21" s="88">
        <v>340.74</v>
      </c>
      <c r="T21" s="88">
        <v>240.73</v>
      </c>
      <c r="U21" s="90">
        <f t="shared" si="4"/>
        <v>46119</v>
      </c>
      <c r="V21" s="91">
        <v>29.69</v>
      </c>
      <c r="W21" s="89">
        <v>0.75</v>
      </c>
      <c r="X21" s="88">
        <v>503.6</v>
      </c>
    </row>
    <row r="22" spans="2:24" ht="15.75" thickBot="1" x14ac:dyDescent="0.3">
      <c r="B22" s="90">
        <f t="shared" si="6"/>
        <v>46120</v>
      </c>
      <c r="D22" s="171">
        <v>95</v>
      </c>
      <c r="E22" s="89">
        <v>0.60416666666666663</v>
      </c>
      <c r="F22" s="88">
        <v>1280</v>
      </c>
      <c r="G22" s="93">
        <f t="shared" si="0"/>
        <v>742</v>
      </c>
      <c r="H22" s="88">
        <v>538</v>
      </c>
      <c r="I22" s="90">
        <f t="shared" si="1"/>
        <v>46120</v>
      </c>
      <c r="J22" s="91">
        <v>31</v>
      </c>
      <c r="K22" s="89">
        <v>0.70833333333333337</v>
      </c>
      <c r="L22" s="88">
        <v>559</v>
      </c>
      <c r="M22" s="90">
        <f t="shared" si="2"/>
        <v>46120</v>
      </c>
      <c r="N22" s="91">
        <v>24</v>
      </c>
      <c r="O22" s="89">
        <v>0.58333333333333337</v>
      </c>
      <c r="P22" s="91">
        <v>14</v>
      </c>
      <c r="Q22" s="89">
        <v>0.6875</v>
      </c>
      <c r="R22" s="92">
        <f t="shared" si="3"/>
        <v>580</v>
      </c>
      <c r="S22" s="88">
        <v>340</v>
      </c>
      <c r="T22" s="88">
        <v>240</v>
      </c>
      <c r="U22" s="90">
        <f t="shared" si="4"/>
        <v>46120</v>
      </c>
      <c r="V22" s="91">
        <v>30</v>
      </c>
      <c r="W22" s="89">
        <v>0.72916666666666663</v>
      </c>
      <c r="X22" s="88">
        <v>501</v>
      </c>
    </row>
    <row r="23" spans="2:24" ht="15.75" thickBot="1" x14ac:dyDescent="0.3">
      <c r="B23" s="90">
        <f t="shared" si="6"/>
        <v>46121</v>
      </c>
      <c r="D23" s="171">
        <v>94</v>
      </c>
      <c r="E23" s="89">
        <v>0.70833333333333337</v>
      </c>
      <c r="F23" s="88">
        <v>1270</v>
      </c>
      <c r="G23" s="93">
        <f t="shared" si="0"/>
        <v>735</v>
      </c>
      <c r="H23" s="88">
        <v>535</v>
      </c>
      <c r="I23" s="90">
        <f t="shared" si="1"/>
        <v>46121</v>
      </c>
      <c r="J23" s="91">
        <v>34</v>
      </c>
      <c r="K23" s="89">
        <v>0.58333333333333337</v>
      </c>
      <c r="L23" s="88">
        <v>568</v>
      </c>
      <c r="M23" s="90">
        <f t="shared" si="2"/>
        <v>46121</v>
      </c>
      <c r="N23" s="91">
        <v>24</v>
      </c>
      <c r="O23" s="89">
        <v>0.54166666666666663</v>
      </c>
      <c r="P23" s="91">
        <v>15</v>
      </c>
      <c r="Q23" s="89">
        <v>0.60416666666666663</v>
      </c>
      <c r="R23" s="92">
        <f t="shared" si="3"/>
        <v>578</v>
      </c>
      <c r="S23" s="88">
        <v>340</v>
      </c>
      <c r="T23" s="88">
        <v>238</v>
      </c>
      <c r="U23" s="90">
        <f t="shared" si="4"/>
        <v>46121</v>
      </c>
      <c r="V23" s="91">
        <v>30</v>
      </c>
      <c r="W23" s="89">
        <v>0.75</v>
      </c>
      <c r="X23" s="88">
        <v>504</v>
      </c>
    </row>
    <row r="24" spans="2:24" ht="15.75" thickBot="1" x14ac:dyDescent="0.3">
      <c r="B24" s="90">
        <f t="shared" si="6"/>
        <v>46122</v>
      </c>
      <c r="D24" s="171">
        <v>85</v>
      </c>
      <c r="E24" s="89">
        <v>0.65625</v>
      </c>
      <c r="F24" s="88">
        <v>1153</v>
      </c>
      <c r="G24" s="93">
        <f t="shared" si="0"/>
        <v>665</v>
      </c>
      <c r="H24" s="88">
        <v>488</v>
      </c>
      <c r="I24" s="90">
        <f t="shared" si="1"/>
        <v>46122</v>
      </c>
      <c r="J24" s="91">
        <v>29</v>
      </c>
      <c r="K24" s="89">
        <v>0</v>
      </c>
      <c r="L24" s="88">
        <v>583</v>
      </c>
      <c r="M24" s="90">
        <f t="shared" si="2"/>
        <v>46122</v>
      </c>
      <c r="N24" s="91">
        <v>22</v>
      </c>
      <c r="O24" s="89">
        <v>0.91666666666666663</v>
      </c>
      <c r="P24" s="91">
        <v>15</v>
      </c>
      <c r="Q24" s="89">
        <v>0.72916666666666663</v>
      </c>
      <c r="R24" s="92">
        <f t="shared" si="3"/>
        <v>558</v>
      </c>
      <c r="S24" s="88">
        <v>323</v>
      </c>
      <c r="T24" s="88">
        <v>235</v>
      </c>
      <c r="U24" s="90">
        <f t="shared" si="4"/>
        <v>46122</v>
      </c>
      <c r="V24" s="91">
        <v>29</v>
      </c>
      <c r="W24" s="89">
        <v>0.77083333333333337</v>
      </c>
      <c r="X24" s="88">
        <v>565</v>
      </c>
    </row>
    <row r="25" spans="2:24" ht="15.75" thickBot="1" x14ac:dyDescent="0.3">
      <c r="B25" s="90">
        <f t="shared" si="6"/>
        <v>46123</v>
      </c>
      <c r="D25" s="171">
        <v>79</v>
      </c>
      <c r="E25" s="89">
        <v>0.55208333333333337</v>
      </c>
      <c r="F25" s="88">
        <v>952</v>
      </c>
      <c r="G25" s="93">
        <f t="shared" si="0"/>
        <v>481</v>
      </c>
      <c r="H25" s="88">
        <v>471</v>
      </c>
      <c r="I25" s="90">
        <f t="shared" si="1"/>
        <v>46123</v>
      </c>
      <c r="J25" s="91">
        <v>30</v>
      </c>
      <c r="K25" s="89">
        <v>2.0833333333333332E-2</v>
      </c>
      <c r="L25" s="88">
        <v>559</v>
      </c>
      <c r="M25" s="90">
        <f t="shared" si="2"/>
        <v>46123</v>
      </c>
      <c r="N25" s="91">
        <v>25</v>
      </c>
      <c r="O25" s="89">
        <v>0.45833333333333331</v>
      </c>
      <c r="P25" s="91">
        <v>12</v>
      </c>
      <c r="Q25" s="89">
        <v>0.41666666666666669</v>
      </c>
      <c r="R25" s="92">
        <f t="shared" si="3"/>
        <v>514</v>
      </c>
      <c r="S25" s="88">
        <v>323</v>
      </c>
      <c r="T25" s="88">
        <v>191</v>
      </c>
      <c r="U25" s="90">
        <f t="shared" si="4"/>
        <v>46123</v>
      </c>
      <c r="V25" s="91">
        <v>28</v>
      </c>
      <c r="W25" s="89">
        <v>0.45833333333333331</v>
      </c>
      <c r="X25" s="88">
        <v>513</v>
      </c>
    </row>
    <row r="26" spans="2:24" ht="15.75" thickBot="1" x14ac:dyDescent="0.3">
      <c r="B26" s="90">
        <f t="shared" si="6"/>
        <v>46124</v>
      </c>
      <c r="D26" s="171">
        <v>50.85</v>
      </c>
      <c r="E26" s="89">
        <v>0.33333333333333331</v>
      </c>
      <c r="F26" s="88">
        <v>811.93</v>
      </c>
      <c r="G26" s="93">
        <f t="shared" si="0"/>
        <v>357.41999999999996</v>
      </c>
      <c r="H26" s="88">
        <v>454.51</v>
      </c>
      <c r="I26" s="90">
        <f t="shared" si="1"/>
        <v>46124</v>
      </c>
      <c r="J26" s="91">
        <v>28.28</v>
      </c>
      <c r="K26" s="89">
        <v>0.28125</v>
      </c>
      <c r="L26" s="88">
        <v>533.04999999999995</v>
      </c>
      <c r="M26" s="90">
        <f t="shared" si="2"/>
        <v>46124</v>
      </c>
      <c r="N26" s="91">
        <v>21</v>
      </c>
      <c r="O26" s="89">
        <v>0.6875</v>
      </c>
      <c r="P26" s="91">
        <v>8.19</v>
      </c>
      <c r="Q26" s="89">
        <v>0.5</v>
      </c>
      <c r="R26" s="92">
        <f t="shared" ref="R26:R44" si="7">S26+T26</f>
        <v>502.28999999999996</v>
      </c>
      <c r="S26" s="88">
        <v>333.25</v>
      </c>
      <c r="T26" s="88">
        <v>169.04</v>
      </c>
      <c r="U26" s="90">
        <f t="shared" si="4"/>
        <v>46124</v>
      </c>
      <c r="V26" s="91">
        <v>26.94</v>
      </c>
      <c r="W26" s="89">
        <v>0.75</v>
      </c>
      <c r="X26" s="88">
        <v>478.24</v>
      </c>
    </row>
    <row r="27" spans="2:24" ht="15.75" thickBot="1" x14ac:dyDescent="0.3">
      <c r="B27" s="90">
        <f t="shared" si="6"/>
        <v>46125</v>
      </c>
      <c r="D27" s="171">
        <v>113</v>
      </c>
      <c r="E27" s="89">
        <v>0.55208333333333337</v>
      </c>
      <c r="F27" s="88">
        <v>1266</v>
      </c>
      <c r="G27" s="93">
        <f t="shared" si="0"/>
        <v>765</v>
      </c>
      <c r="H27" s="88">
        <v>501</v>
      </c>
      <c r="I27" s="90">
        <f t="shared" si="1"/>
        <v>46125</v>
      </c>
      <c r="J27" s="91">
        <v>33</v>
      </c>
      <c r="K27" s="89">
        <v>0.40625</v>
      </c>
      <c r="L27" s="88">
        <v>584</v>
      </c>
      <c r="M27" s="90">
        <f t="shared" si="2"/>
        <v>46125</v>
      </c>
      <c r="N27" s="91">
        <v>25</v>
      </c>
      <c r="O27" s="89">
        <v>0.6875</v>
      </c>
      <c r="P27" s="91">
        <v>13</v>
      </c>
      <c r="Q27" s="89">
        <v>0.77083333333333337</v>
      </c>
      <c r="R27" s="92">
        <f t="shared" si="7"/>
        <v>578</v>
      </c>
      <c r="S27" s="88">
        <v>355</v>
      </c>
      <c r="T27" s="88">
        <v>223</v>
      </c>
      <c r="U27" s="90">
        <f t="shared" si="4"/>
        <v>46125</v>
      </c>
      <c r="V27" s="91">
        <v>31</v>
      </c>
      <c r="W27" s="89">
        <v>0.72916666666666663</v>
      </c>
      <c r="X27" s="88">
        <v>572</v>
      </c>
    </row>
    <row r="28" spans="2:24" ht="15.75" thickBot="1" x14ac:dyDescent="0.3">
      <c r="B28" s="90">
        <f t="shared" si="6"/>
        <v>46126</v>
      </c>
      <c r="D28" s="171">
        <v>99</v>
      </c>
      <c r="E28" s="89">
        <v>0.6875</v>
      </c>
      <c r="F28" s="88">
        <v>1281</v>
      </c>
      <c r="G28" s="93">
        <f t="shared" si="0"/>
        <v>776</v>
      </c>
      <c r="H28" s="88">
        <v>505</v>
      </c>
      <c r="I28" s="90">
        <f t="shared" si="1"/>
        <v>46126</v>
      </c>
      <c r="J28" s="91">
        <v>32</v>
      </c>
      <c r="K28" s="89">
        <v>0.19791666666666666</v>
      </c>
      <c r="L28" s="88">
        <v>576</v>
      </c>
      <c r="M28" s="90">
        <f t="shared" si="2"/>
        <v>46126</v>
      </c>
      <c r="N28" s="91">
        <v>21</v>
      </c>
      <c r="O28" s="89">
        <v>0.80208333333333337</v>
      </c>
      <c r="P28" s="91">
        <v>16</v>
      </c>
      <c r="Q28" s="89">
        <v>0.41666666666666669</v>
      </c>
      <c r="R28" s="92">
        <f t="shared" si="7"/>
        <v>588</v>
      </c>
      <c r="S28" s="88">
        <v>355</v>
      </c>
      <c r="T28" s="88">
        <v>233</v>
      </c>
      <c r="U28" s="90">
        <f t="shared" si="4"/>
        <v>46126</v>
      </c>
      <c r="V28" s="91">
        <v>27</v>
      </c>
      <c r="W28" s="89">
        <v>0.84375</v>
      </c>
      <c r="X28" s="88">
        <v>554</v>
      </c>
    </row>
    <row r="29" spans="2:24" ht="15.75" thickBot="1" x14ac:dyDescent="0.3">
      <c r="B29" s="90">
        <f t="shared" si="6"/>
        <v>46127</v>
      </c>
      <c r="D29" s="171">
        <v>99</v>
      </c>
      <c r="E29" s="89">
        <v>0.46875</v>
      </c>
      <c r="F29" s="88">
        <v>1387</v>
      </c>
      <c r="G29" s="93">
        <f t="shared" si="0"/>
        <v>857</v>
      </c>
      <c r="H29" s="88">
        <v>530</v>
      </c>
      <c r="I29" s="90">
        <f t="shared" si="1"/>
        <v>46127</v>
      </c>
      <c r="J29" s="91">
        <v>31</v>
      </c>
      <c r="K29" s="89">
        <v>0.84375</v>
      </c>
      <c r="L29" s="88">
        <v>574</v>
      </c>
      <c r="M29" s="90">
        <f t="shared" si="2"/>
        <v>46127</v>
      </c>
      <c r="N29" s="91">
        <v>19</v>
      </c>
      <c r="O29" s="89">
        <v>0.32291666666666669</v>
      </c>
      <c r="P29" s="91">
        <v>14</v>
      </c>
      <c r="Q29" s="89">
        <v>0.54166666666666663</v>
      </c>
      <c r="R29" s="92">
        <f t="shared" si="7"/>
        <v>594</v>
      </c>
      <c r="S29" s="88">
        <v>356</v>
      </c>
      <c r="T29" s="88">
        <v>238</v>
      </c>
      <c r="U29" s="90">
        <f t="shared" si="4"/>
        <v>46127</v>
      </c>
      <c r="V29" s="91">
        <v>28</v>
      </c>
      <c r="W29" s="89">
        <v>0.80208333333333337</v>
      </c>
      <c r="X29" s="88">
        <v>491</v>
      </c>
    </row>
    <row r="30" spans="2:24" ht="15.75" thickBot="1" x14ac:dyDescent="0.3">
      <c r="B30" s="90">
        <f t="shared" si="6"/>
        <v>46128</v>
      </c>
      <c r="D30" s="171">
        <v>81</v>
      </c>
      <c r="E30" s="89">
        <v>0.98958333333333337</v>
      </c>
      <c r="F30" s="88">
        <v>1190</v>
      </c>
      <c r="G30" s="93">
        <f t="shared" si="0"/>
        <v>681</v>
      </c>
      <c r="H30" s="88">
        <v>509</v>
      </c>
      <c r="I30" s="90">
        <f t="shared" si="1"/>
        <v>46128</v>
      </c>
      <c r="J30" s="91">
        <v>32</v>
      </c>
      <c r="K30" s="89">
        <v>0.77083333333333337</v>
      </c>
      <c r="L30" s="88">
        <v>574</v>
      </c>
      <c r="M30" s="90">
        <f t="shared" si="2"/>
        <v>46128</v>
      </c>
      <c r="N30" s="91">
        <v>24</v>
      </c>
      <c r="O30" s="89">
        <v>0.70833333333333337</v>
      </c>
      <c r="P30" s="91">
        <v>15</v>
      </c>
      <c r="Q30" s="89">
        <v>0.32291666666666669</v>
      </c>
      <c r="R30" s="92">
        <f t="shared" si="7"/>
        <v>591</v>
      </c>
      <c r="S30" s="88">
        <v>356</v>
      </c>
      <c r="T30" s="88">
        <v>235</v>
      </c>
      <c r="U30" s="90">
        <f t="shared" si="4"/>
        <v>46128</v>
      </c>
      <c r="V30" s="91">
        <v>28</v>
      </c>
      <c r="W30" s="89">
        <v>5.2083333333333336E-2</v>
      </c>
      <c r="X30" s="88">
        <v>544</v>
      </c>
    </row>
    <row r="31" spans="2:24" ht="15.75" thickBot="1" x14ac:dyDescent="0.3">
      <c r="B31" s="90">
        <f t="shared" si="6"/>
        <v>46129</v>
      </c>
      <c r="D31" s="171">
        <v>87.44</v>
      </c>
      <c r="E31" s="89">
        <v>0.63541666666666663</v>
      </c>
      <c r="F31" s="88">
        <v>1103.6300000000001</v>
      </c>
      <c r="G31" s="93">
        <f t="shared" si="0"/>
        <v>596.12000000000012</v>
      </c>
      <c r="H31" s="88">
        <v>507.51</v>
      </c>
      <c r="I31" s="90">
        <f t="shared" si="1"/>
        <v>46129</v>
      </c>
      <c r="J31" s="91">
        <v>33.950000000000003</v>
      </c>
      <c r="K31" s="89">
        <v>6.25E-2</v>
      </c>
      <c r="L31" s="88">
        <v>582.41</v>
      </c>
      <c r="M31" s="90">
        <f t="shared" si="2"/>
        <v>46129</v>
      </c>
      <c r="N31" s="91">
        <v>23.85</v>
      </c>
      <c r="O31" s="89">
        <v>0.69791666666666663</v>
      </c>
      <c r="P31" s="91">
        <v>14.12</v>
      </c>
      <c r="Q31" s="89">
        <v>0.28125</v>
      </c>
      <c r="R31" s="92">
        <f t="shared" si="7"/>
        <v>590.5</v>
      </c>
      <c r="S31" s="88">
        <v>353.48</v>
      </c>
      <c r="T31" s="88">
        <v>237.02</v>
      </c>
      <c r="U31" s="90">
        <f t="shared" si="4"/>
        <v>46129</v>
      </c>
      <c r="V31" s="91">
        <v>27.86</v>
      </c>
      <c r="W31" s="89">
        <v>0.44791666666666669</v>
      </c>
      <c r="X31" s="88">
        <v>553.47</v>
      </c>
    </row>
    <row r="32" spans="2:24" ht="15.75" thickBot="1" x14ac:dyDescent="0.3">
      <c r="B32" s="90">
        <f t="shared" si="6"/>
        <v>46130</v>
      </c>
      <c r="D32" s="171">
        <v>60.07</v>
      </c>
      <c r="E32" s="89">
        <v>0.97916666666666663</v>
      </c>
      <c r="F32" s="88">
        <v>827.32</v>
      </c>
      <c r="G32" s="93">
        <f t="shared" si="0"/>
        <v>333.1</v>
      </c>
      <c r="H32" s="88">
        <v>494.22</v>
      </c>
      <c r="I32" s="90">
        <f t="shared" si="1"/>
        <v>46130</v>
      </c>
      <c r="J32" s="91">
        <v>28.4</v>
      </c>
      <c r="K32" s="89">
        <v>0.67708333333333337</v>
      </c>
      <c r="L32" s="88">
        <v>578.82000000000005</v>
      </c>
      <c r="M32" s="90">
        <f t="shared" si="2"/>
        <v>46130</v>
      </c>
      <c r="N32" s="91">
        <v>20.99</v>
      </c>
      <c r="O32" s="89">
        <v>0.46875</v>
      </c>
      <c r="P32" s="91">
        <v>11.1</v>
      </c>
      <c r="Q32" s="89">
        <v>0.52083333333333337</v>
      </c>
      <c r="R32" s="92">
        <f t="shared" si="7"/>
        <v>530.20000000000005</v>
      </c>
      <c r="S32" s="88">
        <v>336.94</v>
      </c>
      <c r="T32" s="88">
        <v>193.26</v>
      </c>
      <c r="U32" s="90">
        <f t="shared" si="4"/>
        <v>46130</v>
      </c>
      <c r="V32" s="91">
        <v>27.19</v>
      </c>
      <c r="W32" s="89">
        <v>0.79166666666666663</v>
      </c>
      <c r="X32" s="88">
        <v>512.55999999999995</v>
      </c>
    </row>
    <row r="33" spans="2:24" ht="15.75" thickBot="1" x14ac:dyDescent="0.3">
      <c r="B33" s="90">
        <f t="shared" si="6"/>
        <v>46131</v>
      </c>
      <c r="D33" s="171">
        <v>68</v>
      </c>
      <c r="E33" s="172">
        <v>0.27083333333333331</v>
      </c>
      <c r="F33" s="173">
        <v>827</v>
      </c>
      <c r="G33" s="182">
        <f t="shared" si="0"/>
        <v>330</v>
      </c>
      <c r="H33" s="173">
        <v>497</v>
      </c>
      <c r="I33" s="174">
        <f t="shared" si="1"/>
        <v>46131</v>
      </c>
      <c r="J33" s="171">
        <v>29</v>
      </c>
      <c r="K33" s="172">
        <v>3.125E-2</v>
      </c>
      <c r="L33" s="173">
        <v>557</v>
      </c>
      <c r="M33" s="174">
        <f t="shared" si="2"/>
        <v>46131</v>
      </c>
      <c r="N33" s="171">
        <v>21</v>
      </c>
      <c r="O33" s="172">
        <v>0.75</v>
      </c>
      <c r="P33" s="171">
        <v>9</v>
      </c>
      <c r="Q33" s="172">
        <v>0.86458333333333337</v>
      </c>
      <c r="R33" s="92">
        <f t="shared" si="7"/>
        <v>503</v>
      </c>
      <c r="S33" s="173">
        <v>330</v>
      </c>
      <c r="T33" s="173">
        <v>173</v>
      </c>
      <c r="U33" s="174">
        <f t="shared" si="4"/>
        <v>46131</v>
      </c>
      <c r="V33" s="171">
        <v>31</v>
      </c>
      <c r="W33" s="172">
        <v>0.61458333333333337</v>
      </c>
      <c r="X33" s="173">
        <v>511</v>
      </c>
    </row>
    <row r="34" spans="2:24" ht="15.75" thickBot="1" x14ac:dyDescent="0.3">
      <c r="B34" s="90">
        <f t="shared" si="6"/>
        <v>46132</v>
      </c>
      <c r="D34" s="171">
        <v>98</v>
      </c>
      <c r="E34" s="89">
        <v>0.47916666666666669</v>
      </c>
      <c r="F34" s="88">
        <v>1190</v>
      </c>
      <c r="G34" s="93">
        <f t="shared" si="0"/>
        <v>661</v>
      </c>
      <c r="H34" s="88">
        <v>529</v>
      </c>
      <c r="I34" s="90">
        <f t="shared" si="1"/>
        <v>46132</v>
      </c>
      <c r="J34" s="91">
        <v>30</v>
      </c>
      <c r="K34" s="89">
        <v>0.72916666666666663</v>
      </c>
      <c r="L34" s="88">
        <v>558</v>
      </c>
      <c r="M34" s="90">
        <f t="shared" si="2"/>
        <v>46132</v>
      </c>
      <c r="N34" s="91">
        <v>22</v>
      </c>
      <c r="O34" s="89">
        <v>0.54166666666666663</v>
      </c>
      <c r="P34" s="91">
        <v>11</v>
      </c>
      <c r="Q34" s="89">
        <v>0.6875</v>
      </c>
      <c r="R34" s="92">
        <f t="shared" si="7"/>
        <v>570</v>
      </c>
      <c r="S34" s="88">
        <v>335</v>
      </c>
      <c r="T34" s="88">
        <v>235</v>
      </c>
      <c r="U34" s="90">
        <f t="shared" si="4"/>
        <v>46132</v>
      </c>
      <c r="V34" s="91">
        <v>30</v>
      </c>
      <c r="W34" s="89">
        <v>0.5625</v>
      </c>
      <c r="X34" s="88">
        <v>515</v>
      </c>
    </row>
    <row r="35" spans="2:24" ht="15.75" thickBot="1" x14ac:dyDescent="0.3">
      <c r="B35" s="90">
        <f t="shared" si="6"/>
        <v>46133</v>
      </c>
      <c r="D35" s="171">
        <v>99</v>
      </c>
      <c r="E35" s="89">
        <v>0.4375</v>
      </c>
      <c r="F35" s="88">
        <v>1200</v>
      </c>
      <c r="G35" s="93">
        <f t="shared" si="0"/>
        <v>675</v>
      </c>
      <c r="H35" s="88">
        <v>525</v>
      </c>
      <c r="I35" s="90">
        <f t="shared" si="1"/>
        <v>46133</v>
      </c>
      <c r="J35" s="91">
        <v>30</v>
      </c>
      <c r="K35" s="89">
        <v>0.75</v>
      </c>
      <c r="L35" s="88">
        <v>558</v>
      </c>
      <c r="M35" s="90">
        <f t="shared" si="2"/>
        <v>46133</v>
      </c>
      <c r="N35" s="91">
        <v>24</v>
      </c>
      <c r="O35" s="89">
        <v>0.60416666666666663</v>
      </c>
      <c r="P35" s="91">
        <v>13</v>
      </c>
      <c r="Q35" s="89">
        <v>0.72916666666666663</v>
      </c>
      <c r="R35" s="92">
        <f t="shared" si="7"/>
        <v>576</v>
      </c>
      <c r="S35" s="88">
        <v>338</v>
      </c>
      <c r="T35" s="88">
        <v>238</v>
      </c>
      <c r="U35" s="90">
        <f t="shared" si="4"/>
        <v>46133</v>
      </c>
      <c r="V35" s="91">
        <v>30</v>
      </c>
      <c r="W35" s="89">
        <v>0.70833333333333337</v>
      </c>
      <c r="X35" s="88">
        <v>520</v>
      </c>
    </row>
    <row r="36" spans="2:24" ht="15.75" thickBot="1" x14ac:dyDescent="0.3">
      <c r="B36" s="90">
        <f t="shared" si="6"/>
        <v>46134</v>
      </c>
      <c r="D36" s="171">
        <v>95</v>
      </c>
      <c r="E36" s="89">
        <v>0.55208333333333337</v>
      </c>
      <c r="F36" s="88">
        <v>1310</v>
      </c>
      <c r="G36" s="93">
        <f t="shared" si="0"/>
        <v>781</v>
      </c>
      <c r="H36" s="88">
        <v>529</v>
      </c>
      <c r="I36" s="90">
        <f t="shared" si="1"/>
        <v>46134</v>
      </c>
      <c r="J36" s="91">
        <v>37</v>
      </c>
      <c r="K36" s="89">
        <v>0.36458333333333331</v>
      </c>
      <c r="L36" s="88">
        <v>593</v>
      </c>
      <c r="M36" s="90">
        <f t="shared" si="2"/>
        <v>46134</v>
      </c>
      <c r="N36" s="91">
        <v>23</v>
      </c>
      <c r="O36" s="89">
        <v>0.51041666666666663</v>
      </c>
      <c r="P36" s="91">
        <v>13.8</v>
      </c>
      <c r="Q36" s="89">
        <v>0.63541666666666663</v>
      </c>
      <c r="R36" s="92">
        <f t="shared" si="7"/>
        <v>580</v>
      </c>
      <c r="S36" s="88">
        <v>347</v>
      </c>
      <c r="T36" s="88">
        <v>233</v>
      </c>
      <c r="U36" s="90">
        <f t="shared" si="4"/>
        <v>46134</v>
      </c>
      <c r="V36" s="91">
        <v>33</v>
      </c>
      <c r="W36" s="89">
        <v>0.48958333333333331</v>
      </c>
      <c r="X36" s="88">
        <v>596</v>
      </c>
    </row>
    <row r="37" spans="2:24" ht="15.75" thickBot="1" x14ac:dyDescent="0.3">
      <c r="B37" s="90">
        <f t="shared" si="6"/>
        <v>46135</v>
      </c>
      <c r="D37" s="171">
        <v>84</v>
      </c>
      <c r="E37" s="89">
        <v>0.61458333333333337</v>
      </c>
      <c r="F37" s="88">
        <v>1291</v>
      </c>
      <c r="G37" s="93">
        <f t="shared" si="0"/>
        <v>784</v>
      </c>
      <c r="H37" s="88">
        <v>507</v>
      </c>
      <c r="I37" s="90">
        <f t="shared" si="1"/>
        <v>46135</v>
      </c>
      <c r="J37" s="91">
        <v>30</v>
      </c>
      <c r="K37" s="89">
        <v>0.82291666666666663</v>
      </c>
      <c r="L37" s="88">
        <v>581</v>
      </c>
      <c r="M37" s="90">
        <f t="shared" si="2"/>
        <v>46135</v>
      </c>
      <c r="N37" s="91">
        <v>24</v>
      </c>
      <c r="O37" s="89">
        <v>0.46875</v>
      </c>
      <c r="P37" s="91">
        <v>15</v>
      </c>
      <c r="Q37" s="89">
        <v>0.72916666666666663</v>
      </c>
      <c r="R37" s="92">
        <f t="shared" si="7"/>
        <v>596</v>
      </c>
      <c r="S37" s="88">
        <v>360</v>
      </c>
      <c r="T37" s="88">
        <v>236</v>
      </c>
      <c r="U37" s="90">
        <f t="shared" si="4"/>
        <v>46135</v>
      </c>
      <c r="V37" s="91">
        <v>29</v>
      </c>
      <c r="W37" s="89">
        <v>0.10416666666666667</v>
      </c>
      <c r="X37" s="88">
        <v>513</v>
      </c>
    </row>
    <row r="38" spans="2:24" ht="15.75" thickBot="1" x14ac:dyDescent="0.3">
      <c r="B38" s="90">
        <f t="shared" si="6"/>
        <v>46136</v>
      </c>
      <c r="D38" s="171">
        <v>86</v>
      </c>
      <c r="E38" s="89">
        <v>0.54166666666666663</v>
      </c>
      <c r="F38" s="88">
        <v>1136</v>
      </c>
      <c r="G38" s="93">
        <f t="shared" si="0"/>
        <v>639</v>
      </c>
      <c r="H38" s="88">
        <v>497</v>
      </c>
      <c r="I38" s="90">
        <f t="shared" si="1"/>
        <v>46136</v>
      </c>
      <c r="J38" s="91">
        <v>32</v>
      </c>
      <c r="K38" s="89">
        <v>0.11458333333333333</v>
      </c>
      <c r="L38" s="88">
        <v>582</v>
      </c>
      <c r="M38" s="90">
        <f t="shared" si="2"/>
        <v>46136</v>
      </c>
      <c r="N38" s="91">
        <v>25</v>
      </c>
      <c r="O38" s="89">
        <v>0.52083333333333337</v>
      </c>
      <c r="P38" s="91">
        <v>14</v>
      </c>
      <c r="Q38" s="89">
        <v>0.40625</v>
      </c>
      <c r="R38" s="92">
        <f t="shared" si="7"/>
        <v>596</v>
      </c>
      <c r="S38" s="88">
        <v>359</v>
      </c>
      <c r="T38" s="88">
        <v>237</v>
      </c>
      <c r="U38" s="90">
        <f t="shared" si="4"/>
        <v>46136</v>
      </c>
      <c r="V38" s="91">
        <v>30</v>
      </c>
      <c r="W38" s="89">
        <v>0.75</v>
      </c>
      <c r="X38" s="88">
        <v>494</v>
      </c>
    </row>
    <row r="39" spans="2:24" ht="15.75" thickBot="1" x14ac:dyDescent="0.3">
      <c r="B39" s="90">
        <f t="shared" si="6"/>
        <v>46137</v>
      </c>
      <c r="D39" s="171">
        <v>66</v>
      </c>
      <c r="E39" s="89">
        <v>0.21875</v>
      </c>
      <c r="F39" s="88">
        <v>816</v>
      </c>
      <c r="G39" s="93">
        <f t="shared" si="0"/>
        <v>350</v>
      </c>
      <c r="H39" s="88">
        <v>466</v>
      </c>
      <c r="I39" s="90">
        <f t="shared" si="1"/>
        <v>46137</v>
      </c>
      <c r="J39" s="91">
        <v>34</v>
      </c>
      <c r="K39" s="89">
        <v>0.29166666666666669</v>
      </c>
      <c r="L39" s="88">
        <v>574</v>
      </c>
      <c r="M39" s="90">
        <f t="shared" si="2"/>
        <v>46137</v>
      </c>
      <c r="N39" s="91">
        <v>29</v>
      </c>
      <c r="O39" s="89">
        <v>0.5625</v>
      </c>
      <c r="P39" s="91">
        <v>14</v>
      </c>
      <c r="Q39" s="89">
        <v>0.3125</v>
      </c>
      <c r="R39" s="92">
        <f t="shared" si="7"/>
        <v>583</v>
      </c>
      <c r="S39" s="88">
        <v>356</v>
      </c>
      <c r="T39" s="88">
        <v>227</v>
      </c>
      <c r="U39" s="90">
        <f t="shared" si="4"/>
        <v>46137</v>
      </c>
      <c r="V39" s="91">
        <v>27</v>
      </c>
      <c r="W39" s="89">
        <v>0.32291666666666669</v>
      </c>
      <c r="X39" s="88">
        <v>516</v>
      </c>
    </row>
    <row r="40" spans="2:24" ht="15.75" thickBot="1" x14ac:dyDescent="0.3">
      <c r="B40" s="90">
        <f t="shared" si="6"/>
        <v>46138</v>
      </c>
      <c r="D40" s="171">
        <v>53</v>
      </c>
      <c r="E40" s="172">
        <v>0.88541666666666663</v>
      </c>
      <c r="F40" s="173">
        <v>866</v>
      </c>
      <c r="G40" s="93">
        <f t="shared" si="0"/>
        <v>412</v>
      </c>
      <c r="H40" s="173">
        <v>454</v>
      </c>
      <c r="I40" s="174">
        <f t="shared" si="1"/>
        <v>46138</v>
      </c>
      <c r="J40" s="171">
        <v>39</v>
      </c>
      <c r="K40" s="172">
        <v>0.20833333333333334</v>
      </c>
      <c r="L40" s="173">
        <v>577</v>
      </c>
      <c r="M40" s="174">
        <f t="shared" si="2"/>
        <v>46138</v>
      </c>
      <c r="N40" s="171">
        <v>30</v>
      </c>
      <c r="O40" s="172">
        <v>0.72916666666666663</v>
      </c>
      <c r="P40" s="171">
        <v>11</v>
      </c>
      <c r="Q40" s="172">
        <v>0.92708333333333337</v>
      </c>
      <c r="R40" s="92">
        <f t="shared" si="7"/>
        <v>573</v>
      </c>
      <c r="S40" s="173">
        <v>349</v>
      </c>
      <c r="T40" s="173">
        <v>224</v>
      </c>
      <c r="U40" s="174">
        <f t="shared" si="4"/>
        <v>46138</v>
      </c>
      <c r="V40" s="171">
        <v>28</v>
      </c>
      <c r="W40" s="172">
        <v>0.90208333333333335</v>
      </c>
      <c r="X40" s="173">
        <v>490</v>
      </c>
    </row>
    <row r="41" spans="2:24" ht="15.75" thickBot="1" x14ac:dyDescent="0.3">
      <c r="B41" s="90">
        <f t="shared" si="6"/>
        <v>46139</v>
      </c>
      <c r="D41" s="171">
        <v>111</v>
      </c>
      <c r="E41" s="89">
        <v>0.4375</v>
      </c>
      <c r="F41" s="88">
        <v>1212</v>
      </c>
      <c r="G41" s="93">
        <f t="shared" si="0"/>
        <v>718</v>
      </c>
      <c r="H41" s="88">
        <v>494</v>
      </c>
      <c r="I41" s="90">
        <f t="shared" si="1"/>
        <v>46139</v>
      </c>
      <c r="J41" s="91">
        <v>33</v>
      </c>
      <c r="K41" s="89">
        <v>0.17708333333333334</v>
      </c>
      <c r="L41" s="88">
        <v>619</v>
      </c>
      <c r="M41" s="90">
        <f t="shared" si="2"/>
        <v>46139</v>
      </c>
      <c r="N41" s="91">
        <v>24</v>
      </c>
      <c r="O41" s="89">
        <v>0.53125</v>
      </c>
      <c r="P41" s="91">
        <v>15</v>
      </c>
      <c r="Q41" s="89">
        <v>0.47916666666666669</v>
      </c>
      <c r="R41" s="92">
        <f t="shared" si="7"/>
        <v>610</v>
      </c>
      <c r="S41" s="88">
        <v>362</v>
      </c>
      <c r="T41" s="88">
        <v>248</v>
      </c>
      <c r="U41" s="90">
        <f t="shared" si="4"/>
        <v>46139</v>
      </c>
      <c r="V41" s="91">
        <v>28</v>
      </c>
      <c r="W41" s="89">
        <v>0.85416666666666663</v>
      </c>
      <c r="X41" s="88">
        <v>505</v>
      </c>
    </row>
    <row r="42" spans="2:24" ht="15.75" thickBot="1" x14ac:dyDescent="0.3">
      <c r="B42" s="90">
        <f t="shared" si="6"/>
        <v>46140</v>
      </c>
      <c r="D42" s="171">
        <v>98</v>
      </c>
      <c r="E42" s="89">
        <v>0.44791666666666669</v>
      </c>
      <c r="F42" s="88">
        <v>1209</v>
      </c>
      <c r="G42" s="93">
        <f t="shared" si="0"/>
        <v>725</v>
      </c>
      <c r="H42" s="88">
        <v>484</v>
      </c>
      <c r="I42" s="90">
        <f t="shared" si="1"/>
        <v>46140</v>
      </c>
      <c r="J42" s="91">
        <v>34</v>
      </c>
      <c r="K42" s="89">
        <v>0.85416666666666663</v>
      </c>
      <c r="L42" s="88">
        <v>625</v>
      </c>
      <c r="M42" s="90">
        <f t="shared" si="2"/>
        <v>46140</v>
      </c>
      <c r="N42" s="91">
        <v>25</v>
      </c>
      <c r="O42" s="89">
        <v>0.38541666666666669</v>
      </c>
      <c r="P42" s="91">
        <v>13</v>
      </c>
      <c r="Q42" s="89">
        <v>0.33333333333333331</v>
      </c>
      <c r="R42" s="92">
        <f t="shared" si="7"/>
        <v>565</v>
      </c>
      <c r="S42" s="88">
        <v>343</v>
      </c>
      <c r="T42" s="88">
        <v>222</v>
      </c>
      <c r="U42" s="90">
        <f t="shared" si="4"/>
        <v>46140</v>
      </c>
      <c r="V42" s="91">
        <v>28</v>
      </c>
      <c r="W42" s="89">
        <v>0.45833333333333331</v>
      </c>
      <c r="X42" s="88">
        <v>549</v>
      </c>
    </row>
    <row r="43" spans="2:24" ht="15.75" thickBot="1" x14ac:dyDescent="0.3">
      <c r="B43" s="90">
        <f t="shared" si="6"/>
        <v>46141</v>
      </c>
      <c r="D43" s="171">
        <v>93</v>
      </c>
      <c r="E43" s="89">
        <v>0.58333333333333337</v>
      </c>
      <c r="F43" s="88">
        <v>1251</v>
      </c>
      <c r="G43" s="93">
        <f t="shared" si="0"/>
        <v>748</v>
      </c>
      <c r="H43" s="88">
        <v>503</v>
      </c>
      <c r="I43" s="90">
        <f t="shared" si="1"/>
        <v>46141</v>
      </c>
      <c r="J43" s="91">
        <v>32</v>
      </c>
      <c r="K43" s="89">
        <v>0.77083333333333337</v>
      </c>
      <c r="L43" s="88">
        <v>615</v>
      </c>
      <c r="M43" s="174">
        <f t="shared" si="2"/>
        <v>46141</v>
      </c>
      <c r="N43" s="91">
        <v>19</v>
      </c>
      <c r="O43" s="89">
        <v>0.35416666666666669</v>
      </c>
      <c r="P43" s="91">
        <v>14</v>
      </c>
      <c r="Q43" s="89">
        <v>0.32291666666666669</v>
      </c>
      <c r="R43" s="92">
        <f t="shared" si="7"/>
        <v>581</v>
      </c>
      <c r="S43" s="88">
        <v>340</v>
      </c>
      <c r="T43" s="88">
        <v>241</v>
      </c>
      <c r="U43" s="90">
        <f t="shared" si="4"/>
        <v>46141</v>
      </c>
      <c r="V43" s="91">
        <v>29</v>
      </c>
      <c r="W43" s="89">
        <v>0.21875</v>
      </c>
      <c r="X43" s="88">
        <v>516</v>
      </c>
    </row>
    <row r="44" spans="2:24" ht="15.75" thickBot="1" x14ac:dyDescent="0.3">
      <c r="B44" s="90">
        <f t="shared" si="6"/>
        <v>46142</v>
      </c>
      <c r="D44" s="171">
        <v>105</v>
      </c>
      <c r="E44" s="172">
        <v>0.54166666666666663</v>
      </c>
      <c r="F44" s="173">
        <v>1257</v>
      </c>
      <c r="G44" s="93">
        <f t="shared" si="0"/>
        <v>756</v>
      </c>
      <c r="H44" s="173">
        <v>501</v>
      </c>
      <c r="I44" s="90">
        <f t="shared" si="1"/>
        <v>46142</v>
      </c>
      <c r="J44" s="171">
        <v>32</v>
      </c>
      <c r="K44" s="172">
        <v>1.148611111111111</v>
      </c>
      <c r="L44" s="173">
        <v>618</v>
      </c>
      <c r="M44" s="90">
        <f t="shared" si="2"/>
        <v>46142</v>
      </c>
      <c r="N44" s="171">
        <v>23</v>
      </c>
      <c r="O44" s="172">
        <v>0.55208333333333337</v>
      </c>
      <c r="P44" s="171">
        <v>14</v>
      </c>
      <c r="Q44" s="172">
        <v>0.32291666666666669</v>
      </c>
      <c r="R44" s="92">
        <f t="shared" si="7"/>
        <v>581</v>
      </c>
      <c r="S44" s="173">
        <v>343</v>
      </c>
      <c r="T44" s="173">
        <v>238</v>
      </c>
      <c r="U44" s="90">
        <f t="shared" si="4"/>
        <v>46142</v>
      </c>
      <c r="V44" s="171">
        <v>30</v>
      </c>
      <c r="W44" s="172">
        <v>0</v>
      </c>
      <c r="X44" s="173">
        <v>554</v>
      </c>
    </row>
    <row r="45" spans="2:24" x14ac:dyDescent="0.25">
      <c r="B45" s="90">
        <f t="shared" si="6"/>
        <v>46143</v>
      </c>
      <c r="D45" s="171"/>
      <c r="E45" s="172"/>
      <c r="F45" s="173"/>
      <c r="G45" s="93">
        <f t="shared" si="0"/>
        <v>0</v>
      </c>
      <c r="H45" s="173"/>
      <c r="I45" s="90">
        <f t="shared" si="1"/>
        <v>46143</v>
      </c>
      <c r="J45" s="171"/>
      <c r="K45" s="172"/>
      <c r="L45" s="173"/>
      <c r="M45" s="90">
        <f t="shared" ref="M45" si="8">B45</f>
        <v>46143</v>
      </c>
      <c r="N45" s="171"/>
      <c r="O45" s="172"/>
      <c r="P45" s="171"/>
      <c r="Q45" s="172"/>
      <c r="R45" s="92">
        <f t="shared" ref="R45" si="9">S45+T45</f>
        <v>0</v>
      </c>
      <c r="S45" s="173"/>
      <c r="T45" s="173"/>
      <c r="U45" s="90">
        <f t="shared" si="4"/>
        <v>46143</v>
      </c>
      <c r="V45" s="171"/>
      <c r="W45" s="172"/>
      <c r="X45" s="173"/>
    </row>
    <row r="47" spans="2:24" x14ac:dyDescent="0.25">
      <c r="E47" s="177" t="s">
        <v>61</v>
      </c>
      <c r="F47" s="177" t="s">
        <v>62</v>
      </c>
      <c r="G47" s="177" t="s">
        <v>63</v>
      </c>
      <c r="H47" s="177" t="s">
        <v>64</v>
      </c>
      <c r="I47" s="177" t="s">
        <v>65</v>
      </c>
      <c r="J47" s="177" t="s">
        <v>66</v>
      </c>
    </row>
    <row r="48" spans="2:24" x14ac:dyDescent="0.25">
      <c r="D48" s="180">
        <v>45838</v>
      </c>
      <c r="E48" s="178">
        <f t="shared" ref="E48:E78" si="10">F14/J48</f>
        <v>0.43375127075567604</v>
      </c>
      <c r="F48" s="178">
        <f t="shared" ref="F48:F78" si="11">L14/J48</f>
        <v>0.19620467638088784</v>
      </c>
      <c r="G48" s="178">
        <f t="shared" ref="G48:G78" si="12">S14/J48</f>
        <v>0.11758725855642155</v>
      </c>
      <c r="H48" s="178">
        <f t="shared" ref="H48:H78" si="13">T14/J48</f>
        <v>8.2683835987800741E-2</v>
      </c>
      <c r="I48" s="178">
        <f t="shared" ref="I48:I78" si="14">X14/J48</f>
        <v>0.16977295831921382</v>
      </c>
      <c r="J48" s="179">
        <f>F14+L14+S14+T14+X14</f>
        <v>2951</v>
      </c>
    </row>
    <row r="49" spans="4:10" x14ac:dyDescent="0.25">
      <c r="D49" s="180">
        <v>45839</v>
      </c>
      <c r="E49" s="178">
        <f t="shared" si="10"/>
        <v>0.44243034575360857</v>
      </c>
      <c r="F49" s="178">
        <f t="shared" si="11"/>
        <v>0.19167505874454516</v>
      </c>
      <c r="G49" s="178">
        <f t="shared" si="12"/>
        <v>0.11379657603222558</v>
      </c>
      <c r="H49" s="178">
        <f t="shared" si="13"/>
        <v>8.123531386371266E-2</v>
      </c>
      <c r="I49" s="178">
        <f t="shared" si="14"/>
        <v>0.17086270560590802</v>
      </c>
      <c r="J49" s="179">
        <f t="shared" ref="J49:J78" si="15">F15+L15+S15+T15+X15</f>
        <v>2979</v>
      </c>
    </row>
    <row r="50" spans="4:10" x14ac:dyDescent="0.25">
      <c r="D50" s="180">
        <v>45840</v>
      </c>
      <c r="E50" s="178">
        <f t="shared" si="10"/>
        <v>0.43511187607573149</v>
      </c>
      <c r="F50" s="178">
        <f t="shared" si="11"/>
        <v>0.19173838209982788</v>
      </c>
      <c r="G50" s="178">
        <f t="shared" si="12"/>
        <v>0.11669535283993115</v>
      </c>
      <c r="H50" s="178">
        <f t="shared" si="13"/>
        <v>8.0895008605851984E-2</v>
      </c>
      <c r="I50" s="178">
        <f t="shared" si="14"/>
        <v>0.17555938037865748</v>
      </c>
      <c r="J50" s="179">
        <f t="shared" si="15"/>
        <v>2905</v>
      </c>
    </row>
    <row r="51" spans="4:10" x14ac:dyDescent="0.25">
      <c r="D51" s="180">
        <v>45841</v>
      </c>
      <c r="E51" s="178">
        <f t="shared" si="10"/>
        <v>0.37515225334957369</v>
      </c>
      <c r="F51" s="178">
        <f t="shared" si="11"/>
        <v>0.21518473406414942</v>
      </c>
      <c r="G51" s="178">
        <f t="shared" si="12"/>
        <v>0.13073487616727569</v>
      </c>
      <c r="H51" s="178">
        <f t="shared" si="13"/>
        <v>7.6735688185140066E-2</v>
      </c>
      <c r="I51" s="178">
        <f t="shared" si="14"/>
        <v>0.20219244823386115</v>
      </c>
      <c r="J51" s="179">
        <f t="shared" si="15"/>
        <v>2463</v>
      </c>
    </row>
    <row r="52" spans="4:10" x14ac:dyDescent="0.25">
      <c r="D52" s="180">
        <v>45842</v>
      </c>
      <c r="E52" s="178">
        <f t="shared" si="10"/>
        <v>0.35556432517758485</v>
      </c>
      <c r="F52" s="178">
        <f t="shared" si="11"/>
        <v>0.22375690607734808</v>
      </c>
      <c r="G52" s="178">
        <f t="shared" si="12"/>
        <v>0.13220205209155486</v>
      </c>
      <c r="H52" s="178">
        <f t="shared" si="13"/>
        <v>7.7348066298342538E-2</v>
      </c>
      <c r="I52" s="178">
        <f t="shared" si="14"/>
        <v>0.2111286503551697</v>
      </c>
      <c r="J52" s="179">
        <f t="shared" si="15"/>
        <v>2534</v>
      </c>
    </row>
    <row r="53" spans="4:10" x14ac:dyDescent="0.25">
      <c r="D53" s="180">
        <v>45843</v>
      </c>
      <c r="E53" s="178">
        <f t="shared" si="10"/>
        <v>0.34600431965442763</v>
      </c>
      <c r="F53" s="178">
        <f t="shared" si="11"/>
        <v>0.22591792656587473</v>
      </c>
      <c r="G53" s="178">
        <f t="shared" si="12"/>
        <v>0.1390928725701944</v>
      </c>
      <c r="H53" s="178">
        <f t="shared" si="13"/>
        <v>7.7321814254859608E-2</v>
      </c>
      <c r="I53" s="178">
        <f t="shared" si="14"/>
        <v>0.21166306695464362</v>
      </c>
      <c r="J53" s="179">
        <f t="shared" si="15"/>
        <v>2315</v>
      </c>
    </row>
    <row r="54" spans="4:10" x14ac:dyDescent="0.25">
      <c r="D54" s="180">
        <v>45844</v>
      </c>
      <c r="E54" s="178">
        <f t="shared" si="10"/>
        <v>0.41587088627574775</v>
      </c>
      <c r="F54" s="178">
        <f t="shared" si="11"/>
        <v>0.20062634074945654</v>
      </c>
      <c r="G54" s="178">
        <f t="shared" si="12"/>
        <v>0.12007734196196039</v>
      </c>
      <c r="H54" s="178">
        <f t="shared" si="13"/>
        <v>8.1675407695453478E-2</v>
      </c>
      <c r="I54" s="178">
        <f t="shared" si="14"/>
        <v>0.18175002331738185</v>
      </c>
      <c r="J54" s="179">
        <f t="shared" si="15"/>
        <v>2787.62</v>
      </c>
    </row>
    <row r="55" spans="4:10" x14ac:dyDescent="0.25">
      <c r="D55" s="180">
        <v>45845</v>
      </c>
      <c r="E55" s="178">
        <f t="shared" si="10"/>
        <v>0.43658301588553367</v>
      </c>
      <c r="F55" s="178">
        <f t="shared" si="11"/>
        <v>0.19137044872432274</v>
      </c>
      <c r="G55" s="178">
        <f t="shared" si="12"/>
        <v>0.11683221955158428</v>
      </c>
      <c r="H55" s="178">
        <f t="shared" si="13"/>
        <v>8.2540999626263073E-2</v>
      </c>
      <c r="I55" s="178">
        <f t="shared" si="14"/>
        <v>0.17267331621229631</v>
      </c>
      <c r="J55" s="179">
        <f t="shared" si="15"/>
        <v>2916.49</v>
      </c>
    </row>
    <row r="56" spans="4:10" x14ac:dyDescent="0.25">
      <c r="D56" s="180">
        <v>45846</v>
      </c>
      <c r="E56" s="178">
        <f t="shared" si="10"/>
        <v>0.43835616438356162</v>
      </c>
      <c r="F56" s="178">
        <f t="shared" si="11"/>
        <v>0.19143835616438357</v>
      </c>
      <c r="G56" s="178">
        <f t="shared" si="12"/>
        <v>0.11643835616438356</v>
      </c>
      <c r="H56" s="178">
        <f t="shared" si="13"/>
        <v>8.2191780821917804E-2</v>
      </c>
      <c r="I56" s="178">
        <f t="shared" si="14"/>
        <v>0.17157534246575343</v>
      </c>
      <c r="J56" s="179">
        <f t="shared" si="15"/>
        <v>2920</v>
      </c>
    </row>
    <row r="57" spans="4:10" x14ac:dyDescent="0.25">
      <c r="D57" s="180">
        <v>45847</v>
      </c>
      <c r="E57" s="178">
        <f t="shared" si="10"/>
        <v>0.43493150684931509</v>
      </c>
      <c r="F57" s="178">
        <f t="shared" si="11"/>
        <v>0.19452054794520549</v>
      </c>
      <c r="G57" s="178">
        <f t="shared" si="12"/>
        <v>0.11643835616438356</v>
      </c>
      <c r="H57" s="178">
        <f t="shared" si="13"/>
        <v>8.1506849315068491E-2</v>
      </c>
      <c r="I57" s="178">
        <f t="shared" si="14"/>
        <v>0.17260273972602741</v>
      </c>
      <c r="J57" s="179">
        <f t="shared" si="15"/>
        <v>2920</v>
      </c>
    </row>
    <row r="58" spans="4:10" x14ac:dyDescent="0.25">
      <c r="D58" s="180">
        <v>45848</v>
      </c>
      <c r="E58" s="178">
        <f t="shared" si="10"/>
        <v>0.40328786288912205</v>
      </c>
      <c r="F58" s="178">
        <f t="shared" si="11"/>
        <v>0.20391745365512418</v>
      </c>
      <c r="G58" s="178">
        <f t="shared" si="12"/>
        <v>0.11297656523259882</v>
      </c>
      <c r="H58" s="178">
        <f t="shared" si="13"/>
        <v>8.2196572228051767E-2</v>
      </c>
      <c r="I58" s="178">
        <f t="shared" si="14"/>
        <v>0.19762154599510318</v>
      </c>
      <c r="J58" s="179">
        <f t="shared" si="15"/>
        <v>2859</v>
      </c>
    </row>
    <row r="59" spans="4:10" x14ac:dyDescent="0.25">
      <c r="D59" s="180">
        <v>45849</v>
      </c>
      <c r="E59" s="178">
        <f t="shared" si="10"/>
        <v>0.37509850275807721</v>
      </c>
      <c r="F59" s="178">
        <f t="shared" si="11"/>
        <v>0.22025216706067771</v>
      </c>
      <c r="G59" s="178">
        <f t="shared" si="12"/>
        <v>0.12726556343577619</v>
      </c>
      <c r="H59" s="178">
        <f t="shared" si="13"/>
        <v>7.5256107171000786E-2</v>
      </c>
      <c r="I59" s="178">
        <f t="shared" si="14"/>
        <v>0.20212765957446807</v>
      </c>
      <c r="J59" s="179">
        <f t="shared" si="15"/>
        <v>2538</v>
      </c>
    </row>
    <row r="60" spans="4:10" x14ac:dyDescent="0.25">
      <c r="D60" s="180">
        <v>45850</v>
      </c>
      <c r="E60" s="178">
        <f t="shared" si="10"/>
        <v>0.34914061861699147</v>
      </c>
      <c r="F60" s="178">
        <f t="shared" si="11"/>
        <v>0.22921853700908615</v>
      </c>
      <c r="G60" s="178">
        <f t="shared" si="12"/>
        <v>0.14330189936831059</v>
      </c>
      <c r="H60" s="178">
        <f t="shared" si="13"/>
        <v>7.2689431565549051E-2</v>
      </c>
      <c r="I60" s="178">
        <f t="shared" si="14"/>
        <v>0.2056495134400626</v>
      </c>
      <c r="J60" s="179">
        <f t="shared" si="15"/>
        <v>2325.5100000000002</v>
      </c>
    </row>
    <row r="61" spans="4:10" x14ac:dyDescent="0.25">
      <c r="D61" s="180">
        <v>45851</v>
      </c>
      <c r="E61" s="178">
        <f t="shared" si="10"/>
        <v>0.42199999999999999</v>
      </c>
      <c r="F61" s="178">
        <f t="shared" si="11"/>
        <v>0.19466666666666665</v>
      </c>
      <c r="G61" s="178">
        <f t="shared" si="12"/>
        <v>0.11833333333333333</v>
      </c>
      <c r="H61" s="178">
        <f t="shared" si="13"/>
        <v>7.4333333333333335E-2</v>
      </c>
      <c r="I61" s="178">
        <f t="shared" si="14"/>
        <v>0.19066666666666668</v>
      </c>
      <c r="J61" s="179">
        <f t="shared" si="15"/>
        <v>3000</v>
      </c>
    </row>
    <row r="62" spans="4:10" x14ac:dyDescent="0.25">
      <c r="D62" s="180">
        <v>45852</v>
      </c>
      <c r="E62" s="178">
        <f t="shared" si="10"/>
        <v>0.42714238079359784</v>
      </c>
      <c r="F62" s="178">
        <f t="shared" si="11"/>
        <v>0.19206402134044681</v>
      </c>
      <c r="G62" s="178">
        <f t="shared" si="12"/>
        <v>0.1183727909303101</v>
      </c>
      <c r="H62" s="178">
        <f t="shared" si="13"/>
        <v>7.7692564188062682E-2</v>
      </c>
      <c r="I62" s="178">
        <f t="shared" si="14"/>
        <v>0.18472824274758254</v>
      </c>
      <c r="J62" s="179">
        <f t="shared" si="15"/>
        <v>2999</v>
      </c>
    </row>
    <row r="63" spans="4:10" x14ac:dyDescent="0.25">
      <c r="D63" s="180">
        <v>45853</v>
      </c>
      <c r="E63" s="178">
        <f t="shared" si="10"/>
        <v>0.45535128036769534</v>
      </c>
      <c r="F63" s="178">
        <f t="shared" si="11"/>
        <v>0.18844386080105055</v>
      </c>
      <c r="G63" s="178">
        <f t="shared" si="12"/>
        <v>0.11687458962573867</v>
      </c>
      <c r="H63" s="178">
        <f t="shared" si="13"/>
        <v>7.8135259356533163E-2</v>
      </c>
      <c r="I63" s="178">
        <f t="shared" si="14"/>
        <v>0.16119500984898227</v>
      </c>
      <c r="J63" s="179">
        <f t="shared" si="15"/>
        <v>3046</v>
      </c>
    </row>
    <row r="64" spans="4:10" x14ac:dyDescent="0.25">
      <c r="D64" s="180">
        <v>45854</v>
      </c>
      <c r="E64" s="178">
        <f t="shared" si="10"/>
        <v>0.41048637461193516</v>
      </c>
      <c r="F64" s="178">
        <f t="shared" si="11"/>
        <v>0.19799931010693342</v>
      </c>
      <c r="G64" s="178">
        <f t="shared" si="12"/>
        <v>0.12280096585029321</v>
      </c>
      <c r="H64" s="178">
        <f t="shared" si="13"/>
        <v>8.1062435322525009E-2</v>
      </c>
      <c r="I64" s="178">
        <f t="shared" si="14"/>
        <v>0.18765091410831322</v>
      </c>
      <c r="J64" s="179">
        <f t="shared" si="15"/>
        <v>2899</v>
      </c>
    </row>
    <row r="65" spans="4:10" x14ac:dyDescent="0.25">
      <c r="D65" s="180">
        <v>45855</v>
      </c>
      <c r="E65" s="178">
        <f t="shared" si="10"/>
        <v>0.38997388701806707</v>
      </c>
      <c r="F65" s="178">
        <f t="shared" si="11"/>
        <v>0.20579785937152162</v>
      </c>
      <c r="G65" s="178">
        <f t="shared" si="12"/>
        <v>0.12490415228214741</v>
      </c>
      <c r="H65" s="178">
        <f t="shared" si="13"/>
        <v>8.3752354231963838E-2</v>
      </c>
      <c r="I65" s="178">
        <f t="shared" si="14"/>
        <v>0.19557174709630001</v>
      </c>
      <c r="J65" s="179">
        <f t="shared" si="15"/>
        <v>2830.01</v>
      </c>
    </row>
    <row r="66" spans="4:10" x14ac:dyDescent="0.25">
      <c r="D66" s="180">
        <v>45856</v>
      </c>
      <c r="E66" s="178">
        <f t="shared" si="10"/>
        <v>0.3378333129160031</v>
      </c>
      <c r="F66" s="178">
        <f t="shared" si="11"/>
        <v>0.23635918167340439</v>
      </c>
      <c r="G66" s="178">
        <f t="shared" si="12"/>
        <v>0.13758830495324431</v>
      </c>
      <c r="H66" s="178">
        <f t="shared" si="13"/>
        <v>7.8917064804606141E-2</v>
      </c>
      <c r="I66" s="178">
        <f t="shared" si="14"/>
        <v>0.20930213565274203</v>
      </c>
      <c r="J66" s="179">
        <f t="shared" si="15"/>
        <v>2448.9</v>
      </c>
    </row>
    <row r="67" spans="4:10" x14ac:dyDescent="0.25">
      <c r="D67" s="180">
        <v>45857</v>
      </c>
      <c r="E67" s="178">
        <f t="shared" si="10"/>
        <v>0.34487072560467058</v>
      </c>
      <c r="F67" s="178">
        <f t="shared" si="11"/>
        <v>0.2322768974145121</v>
      </c>
      <c r="G67" s="178">
        <f t="shared" si="12"/>
        <v>0.13761467889908258</v>
      </c>
      <c r="H67" s="178">
        <f t="shared" si="13"/>
        <v>7.2143452877397832E-2</v>
      </c>
      <c r="I67" s="178">
        <f t="shared" si="14"/>
        <v>0.21309424520433695</v>
      </c>
      <c r="J67" s="179">
        <f t="shared" si="15"/>
        <v>2398</v>
      </c>
    </row>
    <row r="68" spans="4:10" x14ac:dyDescent="0.25">
      <c r="D68" s="180">
        <v>45858</v>
      </c>
      <c r="E68" s="178">
        <f t="shared" si="10"/>
        <v>0.42004941757853864</v>
      </c>
      <c r="F68" s="178">
        <f t="shared" si="11"/>
        <v>0.19696434874691141</v>
      </c>
      <c r="G68" s="178">
        <f t="shared" si="12"/>
        <v>0.11824920578891635</v>
      </c>
      <c r="H68" s="178">
        <f t="shared" si="13"/>
        <v>8.2950935404165191E-2</v>
      </c>
      <c r="I68" s="178">
        <f t="shared" si="14"/>
        <v>0.1817860924814684</v>
      </c>
      <c r="J68" s="179">
        <f t="shared" si="15"/>
        <v>2833</v>
      </c>
    </row>
    <row r="69" spans="4:10" x14ac:dyDescent="0.25">
      <c r="D69" s="180">
        <v>45859</v>
      </c>
      <c r="E69" s="178">
        <f t="shared" si="10"/>
        <v>0.42046250875963559</v>
      </c>
      <c r="F69" s="178">
        <f t="shared" si="11"/>
        <v>0.19551506657323056</v>
      </c>
      <c r="G69" s="178">
        <f t="shared" si="12"/>
        <v>0.11843027330063069</v>
      </c>
      <c r="H69" s="178">
        <f t="shared" si="13"/>
        <v>8.339173090399439E-2</v>
      </c>
      <c r="I69" s="178">
        <f t="shared" si="14"/>
        <v>0.18220042046250876</v>
      </c>
      <c r="J69" s="179">
        <f t="shared" si="15"/>
        <v>2854</v>
      </c>
    </row>
    <row r="70" spans="4:10" x14ac:dyDescent="0.25">
      <c r="D70" s="180">
        <v>45860</v>
      </c>
      <c r="E70" s="178">
        <f t="shared" si="10"/>
        <v>0.42546281260149399</v>
      </c>
      <c r="F70" s="178">
        <f t="shared" si="11"/>
        <v>0.19259499837609614</v>
      </c>
      <c r="G70" s="178">
        <f t="shared" si="12"/>
        <v>0.11269892822344917</v>
      </c>
      <c r="H70" s="178">
        <f t="shared" si="13"/>
        <v>7.5673920103929843E-2</v>
      </c>
      <c r="I70" s="178">
        <f t="shared" si="14"/>
        <v>0.19356934069503084</v>
      </c>
      <c r="J70" s="179">
        <f t="shared" si="15"/>
        <v>3079</v>
      </c>
    </row>
    <row r="71" spans="4:10" x14ac:dyDescent="0.25">
      <c r="D71" s="180">
        <v>45861</v>
      </c>
      <c r="E71" s="178">
        <f t="shared" si="10"/>
        <v>0.43307614894330759</v>
      </c>
      <c r="F71" s="178">
        <f t="shared" si="11"/>
        <v>0.19490103991949009</v>
      </c>
      <c r="G71" s="178">
        <f t="shared" si="12"/>
        <v>0.12076484401207649</v>
      </c>
      <c r="H71" s="178">
        <f t="shared" si="13"/>
        <v>7.9168064407916808E-2</v>
      </c>
      <c r="I71" s="178">
        <f t="shared" si="14"/>
        <v>0.172089902717209</v>
      </c>
      <c r="J71" s="179">
        <f t="shared" si="15"/>
        <v>2981</v>
      </c>
    </row>
    <row r="72" spans="4:10" x14ac:dyDescent="0.25">
      <c r="D72" s="180">
        <v>45862</v>
      </c>
      <c r="E72" s="178">
        <f t="shared" si="10"/>
        <v>0.40455840455840458</v>
      </c>
      <c r="F72" s="178">
        <f t="shared" si="11"/>
        <v>0.20726495726495728</v>
      </c>
      <c r="G72" s="178">
        <f t="shared" si="12"/>
        <v>0.12784900284900286</v>
      </c>
      <c r="H72" s="178">
        <f t="shared" si="13"/>
        <v>8.4401709401709407E-2</v>
      </c>
      <c r="I72" s="178">
        <f t="shared" si="14"/>
        <v>0.17592592592592593</v>
      </c>
      <c r="J72" s="179">
        <f t="shared" si="15"/>
        <v>2808</v>
      </c>
    </row>
    <row r="73" spans="4:10" x14ac:dyDescent="0.25">
      <c r="D73" s="180">
        <v>45863</v>
      </c>
      <c r="E73" s="178">
        <f t="shared" si="10"/>
        <v>0.32784250703093609</v>
      </c>
      <c r="F73" s="178">
        <f t="shared" si="11"/>
        <v>0.23061470470068302</v>
      </c>
      <c r="G73" s="178">
        <f t="shared" si="12"/>
        <v>0.14302932904781038</v>
      </c>
      <c r="H73" s="178">
        <f t="shared" si="13"/>
        <v>9.1201285656890313E-2</v>
      </c>
      <c r="I73" s="178">
        <f t="shared" si="14"/>
        <v>0.2073121735636802</v>
      </c>
      <c r="J73" s="179">
        <f t="shared" si="15"/>
        <v>2489</v>
      </c>
    </row>
    <row r="74" spans="4:10" x14ac:dyDescent="0.25">
      <c r="D74" s="180">
        <v>45864</v>
      </c>
      <c r="E74" s="178">
        <f t="shared" si="10"/>
        <v>0.34557063048683162</v>
      </c>
      <c r="F74" s="178">
        <f t="shared" si="11"/>
        <v>0.23024740622505985</v>
      </c>
      <c r="G74" s="178">
        <f t="shared" si="12"/>
        <v>0.13926576217079009</v>
      </c>
      <c r="H74" s="178">
        <f t="shared" si="13"/>
        <v>8.9385474860335198E-2</v>
      </c>
      <c r="I74" s="178">
        <f t="shared" si="14"/>
        <v>0.19553072625698323</v>
      </c>
      <c r="J74" s="179">
        <f t="shared" si="15"/>
        <v>2506</v>
      </c>
    </row>
    <row r="75" spans="4:10" x14ac:dyDescent="0.25">
      <c r="D75" s="180">
        <v>45865</v>
      </c>
      <c r="E75" s="178">
        <f t="shared" si="10"/>
        <v>0.41140529531568226</v>
      </c>
      <c r="F75" s="178">
        <f t="shared" si="11"/>
        <v>0.21011541072640869</v>
      </c>
      <c r="G75" s="178">
        <f t="shared" si="12"/>
        <v>0.12287847929395791</v>
      </c>
      <c r="H75" s="178">
        <f t="shared" si="13"/>
        <v>8.4181941615750169E-2</v>
      </c>
      <c r="I75" s="178">
        <f t="shared" si="14"/>
        <v>0.17141887304820094</v>
      </c>
      <c r="J75" s="179">
        <f t="shared" si="15"/>
        <v>2946</v>
      </c>
    </row>
    <row r="76" spans="4:10" x14ac:dyDescent="0.25">
      <c r="D76" s="180">
        <v>45866</v>
      </c>
      <c r="E76" s="178">
        <f t="shared" si="10"/>
        <v>0.41010854816824965</v>
      </c>
      <c r="F76" s="178">
        <f t="shared" si="11"/>
        <v>0.21200814111261873</v>
      </c>
      <c r="G76" s="178">
        <f t="shared" si="12"/>
        <v>0.11635006784260515</v>
      </c>
      <c r="H76" s="178">
        <f t="shared" si="13"/>
        <v>7.5305291723202175E-2</v>
      </c>
      <c r="I76" s="178">
        <f t="shared" si="14"/>
        <v>0.1862279511533243</v>
      </c>
      <c r="J76" s="179">
        <f t="shared" si="15"/>
        <v>2948</v>
      </c>
    </row>
    <row r="77" spans="4:10" x14ac:dyDescent="0.25">
      <c r="D77" s="180">
        <v>45867</v>
      </c>
      <c r="E77" s="178">
        <f t="shared" si="10"/>
        <v>0.42220722240971986</v>
      </c>
      <c r="F77" s="178">
        <f t="shared" si="11"/>
        <v>0.20755990550118122</v>
      </c>
      <c r="G77" s="178">
        <f t="shared" si="12"/>
        <v>0.11474856564292946</v>
      </c>
      <c r="H77" s="178">
        <f t="shared" si="13"/>
        <v>8.1336483293958831E-2</v>
      </c>
      <c r="I77" s="178">
        <f t="shared" si="14"/>
        <v>0.17414782315221058</v>
      </c>
      <c r="J77" s="179">
        <f t="shared" si="15"/>
        <v>2963</v>
      </c>
    </row>
    <row r="78" spans="4:10" x14ac:dyDescent="0.25">
      <c r="D78" s="180">
        <v>45868</v>
      </c>
      <c r="E78" s="178">
        <f t="shared" si="10"/>
        <v>0.4176079734219269</v>
      </c>
      <c r="F78" s="178">
        <f t="shared" si="11"/>
        <v>0.20531561461794021</v>
      </c>
      <c r="G78" s="178">
        <f t="shared" si="12"/>
        <v>0.11395348837209303</v>
      </c>
      <c r="H78" s="178">
        <f t="shared" si="13"/>
        <v>7.9069767441860464E-2</v>
      </c>
      <c r="I78" s="178">
        <f t="shared" si="14"/>
        <v>0.1840531561461794</v>
      </c>
      <c r="J78" s="179">
        <f t="shared" si="15"/>
        <v>3010</v>
      </c>
    </row>
    <row r="79" spans="4:10" x14ac:dyDescent="0.25">
      <c r="D79" s="180">
        <v>45869</v>
      </c>
      <c r="E79" s="178" t="e">
        <f t="shared" ref="E79" si="16">F45/J79</f>
        <v>#DIV/0!</v>
      </c>
      <c r="F79" s="178" t="e">
        <f t="shared" ref="F79" si="17">L45/J79</f>
        <v>#DIV/0!</v>
      </c>
      <c r="G79" s="178" t="e">
        <f t="shared" ref="G79" si="18">S45/J79</f>
        <v>#DIV/0!</v>
      </c>
      <c r="H79" s="178" t="e">
        <f t="shared" ref="H79" si="19">T45/J79</f>
        <v>#DIV/0!</v>
      </c>
      <c r="I79" s="178" t="e">
        <f t="shared" ref="I79" si="20">X45/J79</f>
        <v>#DIV/0!</v>
      </c>
      <c r="J79" s="179">
        <f t="shared" ref="J79" si="21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85" priority="282" operator="equal">
      <formula>MAX($L$14:$L$16)</formula>
    </cfRule>
  </conditionalFormatting>
  <conditionalFormatting sqref="T16:T19 T27:T32 T21:T25 T41:T43 T34:T39">
    <cfRule type="cellIs" dxfId="84" priority="283" operator="equal">
      <formula>MAX($T$14:$T$16)</formula>
    </cfRule>
  </conditionalFormatting>
  <conditionalFormatting sqref="X16:X19 X27:X32 X21:X25 X41:X43 X34:X39">
    <cfRule type="cellIs" dxfId="83" priority="284" operator="equal">
      <formula>MAX($X$14:$X$16)</formula>
    </cfRule>
  </conditionalFormatting>
  <conditionalFormatting sqref="J16:J19 J27:J32 J21:J25 J41:J42 J34:J39">
    <cfRule type="cellIs" dxfId="82" priority="285" operator="equal">
      <formula>MAX($J$14:$J$16)</formula>
    </cfRule>
  </conditionalFormatting>
  <conditionalFormatting sqref="V16:V19 V27:V32 V21:V23 V41:V43 V34:V39">
    <cfRule type="cellIs" dxfId="81" priority="286" operator="equal">
      <formula>MAX($V$14:$V$16)</formula>
    </cfRule>
  </conditionalFormatting>
  <conditionalFormatting sqref="D16:D19">
    <cfRule type="cellIs" dxfId="80" priority="287" operator="equal">
      <formula>MAX($D$14:$D$16)</formula>
    </cfRule>
  </conditionalFormatting>
  <conditionalFormatting sqref="S16:S19 S27:S32 S21:S25 S41:S43 S34:S39">
    <cfRule type="cellIs" dxfId="79" priority="288" operator="equal">
      <formula>MAX($S$14:$S$16)</formula>
    </cfRule>
  </conditionalFormatting>
  <conditionalFormatting sqref="N16:N19 N27:N32 N21:N25 N41:N42 N34:N39">
    <cfRule type="cellIs" dxfId="78" priority="289" operator="equal">
      <formula>MAX($N$14:$N$16)</formula>
    </cfRule>
  </conditionalFormatting>
  <conditionalFormatting sqref="P16:P19 P27:P32 P21:P25 P41:P42 P39 P34:P37">
    <cfRule type="cellIs" dxfId="77" priority="290" operator="equal">
      <formula>MAX($P$14:$P$16)</formula>
    </cfRule>
  </conditionalFormatting>
  <conditionalFormatting sqref="L26">
    <cfRule type="cellIs" dxfId="76" priority="214" operator="equal">
      <formula>MAX($L$14:$L$16)</formula>
    </cfRule>
  </conditionalFormatting>
  <conditionalFormatting sqref="T26">
    <cfRule type="cellIs" dxfId="75" priority="215" operator="equal">
      <formula>MAX($T$14:$T$16)</formula>
    </cfRule>
  </conditionalFormatting>
  <conditionalFormatting sqref="X26">
    <cfRule type="cellIs" dxfId="74" priority="216" operator="equal">
      <formula>MAX($X$14:$X$16)</formula>
    </cfRule>
  </conditionalFormatting>
  <conditionalFormatting sqref="J26">
    <cfRule type="cellIs" dxfId="73" priority="217" operator="equal">
      <formula>MAX($J$14:$J$16)</formula>
    </cfRule>
  </conditionalFormatting>
  <conditionalFormatting sqref="V26">
    <cfRule type="cellIs" dxfId="72" priority="218" operator="equal">
      <formula>MAX($V$14:$V$16)</formula>
    </cfRule>
  </conditionalFormatting>
  <conditionalFormatting sqref="S26">
    <cfRule type="cellIs" dxfId="71" priority="220" operator="equal">
      <formula>MAX($S$14:$S$16)</formula>
    </cfRule>
  </conditionalFormatting>
  <conditionalFormatting sqref="N26">
    <cfRule type="cellIs" dxfId="70" priority="221" operator="equal">
      <formula>MAX($N$14:$N$16)</formula>
    </cfRule>
  </conditionalFormatting>
  <conditionalFormatting sqref="P26">
    <cfRule type="cellIs" dxfId="69" priority="222" operator="equal">
      <formula>MAX($P$14:$P$16)</formula>
    </cfRule>
  </conditionalFormatting>
  <conditionalFormatting sqref="L40">
    <cfRule type="cellIs" dxfId="68" priority="204" operator="equal">
      <formula>MAX($L$14:$L$16)</formula>
    </cfRule>
  </conditionalFormatting>
  <conditionalFormatting sqref="T40">
    <cfRule type="cellIs" dxfId="67" priority="205" operator="equal">
      <formula>MAX($T$14:$T$16)</formula>
    </cfRule>
  </conditionalFormatting>
  <conditionalFormatting sqref="X40">
    <cfRule type="cellIs" dxfId="66" priority="206" operator="equal">
      <formula>MAX($X$14:$X$16)</formula>
    </cfRule>
  </conditionalFormatting>
  <conditionalFormatting sqref="J40">
    <cfRule type="cellIs" dxfId="65" priority="207" operator="equal">
      <formula>MAX($J$14:$J$16)</formula>
    </cfRule>
  </conditionalFormatting>
  <conditionalFormatting sqref="V40">
    <cfRule type="cellIs" dxfId="64" priority="208" operator="equal">
      <formula>MAX($V$14:$V$16)</formula>
    </cfRule>
  </conditionalFormatting>
  <conditionalFormatting sqref="S40">
    <cfRule type="cellIs" dxfId="63" priority="210" operator="equal">
      <formula>MAX($S$14:$S$16)</formula>
    </cfRule>
  </conditionalFormatting>
  <conditionalFormatting sqref="N40">
    <cfRule type="cellIs" dxfId="62" priority="211" operator="equal">
      <formula>MAX($N$14:$N$16)</formula>
    </cfRule>
  </conditionalFormatting>
  <conditionalFormatting sqref="P40">
    <cfRule type="cellIs" dxfId="61" priority="212" operator="equal">
      <formula>MAX($P$14:$P$16)</formula>
    </cfRule>
  </conditionalFormatting>
  <conditionalFormatting sqref="D20:D32 D44:D45 D34:D42">
    <cfRule type="cellIs" dxfId="60" priority="200" operator="equal">
      <formula>MAX($D$14:$D$42)</formula>
    </cfRule>
  </conditionalFormatting>
  <conditionalFormatting sqref="L20">
    <cfRule type="cellIs" dxfId="59" priority="191" operator="equal">
      <formula>MAX($L$14:$L$42)</formula>
    </cfRule>
  </conditionalFormatting>
  <conditionalFormatting sqref="T20">
    <cfRule type="cellIs" dxfId="58" priority="192" operator="equal">
      <formula>MAX($T$14:$T$42)</formula>
    </cfRule>
  </conditionalFormatting>
  <conditionalFormatting sqref="X20">
    <cfRule type="cellIs" dxfId="57" priority="193" operator="equal">
      <formula>MAX($X$14:$X$42)</formula>
    </cfRule>
  </conditionalFormatting>
  <conditionalFormatting sqref="J20">
    <cfRule type="cellIs" dxfId="56" priority="194" operator="equal">
      <formula>MAX($J$14:$J$42)</formula>
    </cfRule>
  </conditionalFormatting>
  <conditionalFormatting sqref="V20">
    <cfRule type="cellIs" dxfId="55" priority="195" operator="equal">
      <formula>MAX($V$14:$V$42)</formula>
    </cfRule>
  </conditionalFormatting>
  <conditionalFormatting sqref="S20">
    <cfRule type="cellIs" dxfId="54" priority="196" operator="equal">
      <formula>MAX($S$14:$S$42)</formula>
    </cfRule>
  </conditionalFormatting>
  <conditionalFormatting sqref="N20">
    <cfRule type="cellIs" dxfId="53" priority="197" operator="equal">
      <formula>MAX($N$14:$N$42)</formula>
    </cfRule>
  </conditionalFormatting>
  <conditionalFormatting sqref="P20">
    <cfRule type="cellIs" dxfId="52" priority="198" operator="equal">
      <formula>MAX($P$14:$P$42)</formula>
    </cfRule>
  </conditionalFormatting>
  <conditionalFormatting sqref="E48:E64">
    <cfRule type="top10" dxfId="51" priority="190" rank="2"/>
  </conditionalFormatting>
  <conditionalFormatting sqref="F48:F79">
    <cfRule type="top10" dxfId="50" priority="189" rank="2"/>
  </conditionalFormatting>
  <conditionalFormatting sqref="G48:G64">
    <cfRule type="top10" dxfId="49" priority="188" rank="2"/>
  </conditionalFormatting>
  <conditionalFormatting sqref="H48:H64">
    <cfRule type="top10" dxfId="48" priority="187" rank="2"/>
  </conditionalFormatting>
  <conditionalFormatting sqref="I48:I64">
    <cfRule type="top10" dxfId="47" priority="186" rank="2"/>
  </conditionalFormatting>
  <conditionalFormatting sqref="V24">
    <cfRule type="cellIs" dxfId="46" priority="156" operator="equal">
      <formula>MAX($J$14:$J$16)</formula>
    </cfRule>
  </conditionalFormatting>
  <conditionalFormatting sqref="V25">
    <cfRule type="cellIs" dxfId="45" priority="155" operator="equal">
      <formula>MAX($J$14:$J$16)</formula>
    </cfRule>
  </conditionalFormatting>
  <conditionalFormatting sqref="G18:G32 G34:G45">
    <cfRule type="cellIs" dxfId="44" priority="144" operator="equal">
      <formula>MAX($G$14:$G$16)</formula>
    </cfRule>
  </conditionalFormatting>
  <conditionalFormatting sqref="L44:L45">
    <cfRule type="cellIs" dxfId="43" priority="134" operator="equal">
      <formula>MAX($L$14:$L$16)</formula>
    </cfRule>
  </conditionalFormatting>
  <conditionalFormatting sqref="T44:T45">
    <cfRule type="cellIs" dxfId="42" priority="135" operator="equal">
      <formula>MAX($T$14:$T$16)</formula>
    </cfRule>
  </conditionalFormatting>
  <conditionalFormatting sqref="X44:X45">
    <cfRule type="cellIs" dxfId="41" priority="136" operator="equal">
      <formula>MAX($X$14:$X$16)</formula>
    </cfRule>
  </conditionalFormatting>
  <conditionalFormatting sqref="J44:J45">
    <cfRule type="cellIs" dxfId="40" priority="137" operator="equal">
      <formula>MAX($J$14:$J$16)</formula>
    </cfRule>
  </conditionalFormatting>
  <conditionalFormatting sqref="V44:V45">
    <cfRule type="cellIs" dxfId="39" priority="138" operator="equal">
      <formula>MAX($V$14:$V$16)</formula>
    </cfRule>
  </conditionalFormatting>
  <conditionalFormatting sqref="S44:S45">
    <cfRule type="cellIs" dxfId="38" priority="140" operator="equal">
      <formula>MAX($S$14:$S$16)</formula>
    </cfRule>
  </conditionalFormatting>
  <conditionalFormatting sqref="N44:N45">
    <cfRule type="cellIs" dxfId="37" priority="141" operator="equal">
      <formula>MAX($N$14:$N$16)</formula>
    </cfRule>
  </conditionalFormatting>
  <conditionalFormatting sqref="P44:P45">
    <cfRule type="cellIs" dxfId="36" priority="142" operator="equal">
      <formula>MAX($P$14:$P$16)</formula>
    </cfRule>
  </conditionalFormatting>
  <conditionalFormatting sqref="D15">
    <cfRule type="cellIs" dxfId="35" priority="123" operator="equal">
      <formula>MAX($D$14:$D$16)</formula>
    </cfRule>
  </conditionalFormatting>
  <conditionalFormatting sqref="L15">
    <cfRule type="cellIs" dxfId="34" priority="120" operator="equal">
      <formula>MAX($L$14:$L$16)</formula>
    </cfRule>
  </conditionalFormatting>
  <conditionalFormatting sqref="J15">
    <cfRule type="cellIs" dxfId="33" priority="121" operator="equal">
      <formula>MAX($J$14:$J$16)</formula>
    </cfRule>
  </conditionalFormatting>
  <conditionalFormatting sqref="N15">
    <cfRule type="cellIs" dxfId="32" priority="116" operator="equal">
      <formula>MAX($N$14:$N$16)</formula>
    </cfRule>
  </conditionalFormatting>
  <conditionalFormatting sqref="P15">
    <cfRule type="cellIs" dxfId="31" priority="117" operator="equal">
      <formula>MAX($P$14:$P$16)</formula>
    </cfRule>
  </conditionalFormatting>
  <conditionalFormatting sqref="T15">
    <cfRule type="cellIs" dxfId="30" priority="112" operator="equal">
      <formula>MAX($T$14:$T$16)</formula>
    </cfRule>
  </conditionalFormatting>
  <conditionalFormatting sqref="S15">
    <cfRule type="cellIs" dxfId="29" priority="113" operator="equal">
      <formula>MAX($S$14:$S$16)</formula>
    </cfRule>
  </conditionalFormatting>
  <conditionalFormatting sqref="X15">
    <cfRule type="cellIs" dxfId="28" priority="108" operator="equal">
      <formula>MAX($X$14:$X$16)</formula>
    </cfRule>
  </conditionalFormatting>
  <conditionalFormatting sqref="V15">
    <cfRule type="cellIs" dxfId="27" priority="109" operator="equal">
      <formula>MAX($V$14:$V$16)</formula>
    </cfRule>
  </conditionalFormatting>
  <conditionalFormatting sqref="N43">
    <cfRule type="cellIs" dxfId="26" priority="93" operator="equal">
      <formula>MAX($N$14:$N$16)</formula>
    </cfRule>
  </conditionalFormatting>
  <conditionalFormatting sqref="P43">
    <cfRule type="cellIs" dxfId="25" priority="94" operator="equal">
      <formula>MAX($P$14:$P$16)</formula>
    </cfRule>
  </conditionalFormatting>
  <conditionalFormatting sqref="L43">
    <cfRule type="cellIs" dxfId="24" priority="89" operator="equal">
      <formula>MAX($L$14:$L$16)</formula>
    </cfRule>
  </conditionalFormatting>
  <conditionalFormatting sqref="J43">
    <cfRule type="cellIs" dxfId="23" priority="90" operator="equal">
      <formula>MAX($J$14:$J$16)</formula>
    </cfRule>
  </conditionalFormatting>
  <conditionalFormatting sqref="D43">
    <cfRule type="cellIs" dxfId="22" priority="87" operator="equal">
      <formula>MAX($D$14:$D$42)</formula>
    </cfRule>
  </conditionalFormatting>
  <conditionalFormatting sqref="L33">
    <cfRule type="cellIs" dxfId="21" priority="42" operator="equal">
      <formula>MAX($L$14:$L$16)</formula>
    </cfRule>
  </conditionalFormatting>
  <conditionalFormatting sqref="T33">
    <cfRule type="cellIs" dxfId="20" priority="43" operator="equal">
      <formula>MAX($T$14:$T$16)</formula>
    </cfRule>
  </conditionalFormatting>
  <conditionalFormatting sqref="X33">
    <cfRule type="cellIs" dxfId="19" priority="44" operator="equal">
      <formula>MAX($X$14:$X$16)</formula>
    </cfRule>
  </conditionalFormatting>
  <conditionalFormatting sqref="J33">
    <cfRule type="cellIs" dxfId="18" priority="45" operator="equal">
      <formula>MAX($J$14:$J$16)</formula>
    </cfRule>
  </conditionalFormatting>
  <conditionalFormatting sqref="V33">
    <cfRule type="cellIs" dxfId="17" priority="46" operator="equal">
      <formula>MAX($V$14:$V$16)</formula>
    </cfRule>
  </conditionalFormatting>
  <conditionalFormatting sqref="S33">
    <cfRule type="cellIs" dxfId="16" priority="47" operator="equal">
      <formula>MAX($S$14:$S$16)</formula>
    </cfRule>
  </conditionalFormatting>
  <conditionalFormatting sqref="N33">
    <cfRule type="cellIs" dxfId="15" priority="48" operator="equal">
      <formula>MAX($N$14:$N$16)</formula>
    </cfRule>
  </conditionalFormatting>
  <conditionalFormatting sqref="P33">
    <cfRule type="cellIs" dxfId="14" priority="49" operator="equal">
      <formula>MAX($P$14:$P$16)</formula>
    </cfRule>
  </conditionalFormatting>
  <conditionalFormatting sqref="D33">
    <cfRule type="cellIs" dxfId="13" priority="41" operator="equal">
      <formula>MAX($D$14:$D$42)</formula>
    </cfRule>
  </conditionalFormatting>
  <conditionalFormatting sqref="G33">
    <cfRule type="cellIs" dxfId="12" priority="40" operator="equal">
      <formula>MAX($G$14:$G$16)</formula>
    </cfRule>
  </conditionalFormatting>
  <conditionalFormatting sqref="P38">
    <cfRule type="cellIs" dxfId="11" priority="39" operator="equal">
      <formula>MAX($P$14:$P$16)</formula>
    </cfRule>
  </conditionalFormatting>
  <conditionalFormatting sqref="G15:G17">
    <cfRule type="cellIs" dxfId="10" priority="28" operator="equal">
      <formula>MAX($G$14:$G$16)</formula>
    </cfRule>
  </conditionalFormatting>
  <conditionalFormatting sqref="D14">
    <cfRule type="cellIs" dxfId="9" priority="10" operator="equal">
      <formula>MAX($D$14:$D$42)</formula>
    </cfRule>
  </conditionalFormatting>
  <conditionalFormatting sqref="G14">
    <cfRule type="cellIs" dxfId="8" priority="9" operator="equal">
      <formula>MAX($G$14:$G$16)</formula>
    </cfRule>
  </conditionalFormatting>
  <conditionalFormatting sqref="L14">
    <cfRule type="cellIs" dxfId="7" priority="1" operator="equal">
      <formula>MAX($L$14:$L$16)</formula>
    </cfRule>
  </conditionalFormatting>
  <conditionalFormatting sqref="T14">
    <cfRule type="cellIs" dxfId="6" priority="2" operator="equal">
      <formula>MAX($T$14:$T$16)</formula>
    </cfRule>
  </conditionalFormatting>
  <conditionalFormatting sqref="X14">
    <cfRule type="cellIs" dxfId="5" priority="3" operator="equal">
      <formula>MAX($X$14:$X$16)</formula>
    </cfRule>
  </conditionalFormatting>
  <conditionalFormatting sqref="J14">
    <cfRule type="cellIs" dxfId="4" priority="4" operator="equal">
      <formula>MAX($J$14:$J$16)</formula>
    </cfRule>
  </conditionalFormatting>
  <conditionalFormatting sqref="V14">
    <cfRule type="cellIs" dxfId="3" priority="5" operator="equal">
      <formula>MAX($V$14:$V$16)</formula>
    </cfRule>
  </conditionalFormatting>
  <conditionalFormatting sqref="S14">
    <cfRule type="cellIs" dxfId="2" priority="6" operator="equal">
      <formula>MAX($S$14:$S$16)</formula>
    </cfRule>
  </conditionalFormatting>
  <conditionalFormatting sqref="N14">
    <cfRule type="cellIs" dxfId="1" priority="7" operator="equal">
      <formula>MAX($N$14:$N$16)</formula>
    </cfRule>
  </conditionalFormatting>
  <conditionalFormatting sqref="P14">
    <cfRule type="cellIs" dxfId="0" priority="8" operator="equal">
      <formula>MAX($P$14:$P$16)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CCCE7E-45E5-4704-BEA3-B42CAB7F9CAC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customXml/itemProps2.xml><?xml version="1.0" encoding="utf-8"?>
<ds:datastoreItem xmlns:ds="http://schemas.openxmlformats.org/officeDocument/2006/customXml" ds:itemID="{310932AF-9637-4741-9802-1C9734A4B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73259D-A732-42EE-8607-1A2C0CE899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2026-07-21T21:35:16Z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