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2" documentId="8_{639001AF-ECAF-46FB-B4C0-4A99A373B3EA}" xr6:coauthVersionLast="47" xr6:coauthVersionMax="47" xr10:uidLastSave="{CDE5DAF2-4903-4F95-BF6D-F7EBE108FE22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7" i="1" l="1"/>
  <c r="BB36" i="1"/>
  <c r="BB35" i="1"/>
  <c r="BB34" i="1"/>
  <c r="BA34" i="1" s="1"/>
  <c r="AY34" i="1" s="1"/>
  <c r="BB33" i="1"/>
  <c r="BB32" i="1"/>
  <c r="BB31" i="1"/>
  <c r="BB30" i="1"/>
  <c r="BB29" i="1"/>
  <c r="BA29" i="1" s="1"/>
  <c r="AY29" i="1" s="1"/>
  <c r="BB28" i="1"/>
  <c r="BB27" i="1"/>
  <c r="BB26" i="1"/>
  <c r="BB25" i="1"/>
  <c r="BB24" i="1"/>
  <c r="BB23" i="1"/>
  <c r="BB22" i="1"/>
  <c r="BB21" i="1"/>
  <c r="BB20" i="1"/>
  <c r="BB19" i="1"/>
  <c r="BA19" i="1" s="1"/>
  <c r="AY19" i="1" s="1"/>
  <c r="BB18" i="1"/>
  <c r="BA18" i="1" s="1"/>
  <c r="AY18" i="1" s="1"/>
  <c r="BB17" i="1"/>
  <c r="BB16" i="1"/>
  <c r="BA16" i="1" s="1"/>
  <c r="AY16" i="1" s="1"/>
  <c r="BB15" i="1"/>
  <c r="BB14" i="1"/>
  <c r="BB13" i="1"/>
  <c r="BB12" i="1"/>
  <c r="BB11" i="1"/>
  <c r="BA11" i="1" s="1"/>
  <c r="AY11" i="1" s="1"/>
  <c r="BB10" i="1"/>
  <c r="BB9" i="1"/>
  <c r="BB8" i="1"/>
  <c r="BB7" i="1"/>
  <c r="BA35" i="1"/>
  <c r="AY35" i="1" s="1"/>
  <c r="K35" i="1" s="1"/>
  <c r="O35" i="1" s="1"/>
  <c r="BA30" i="1"/>
  <c r="AY30" i="1" s="1"/>
  <c r="BA17" i="1"/>
  <c r="AY17" i="1" s="1"/>
  <c r="BA13" i="1"/>
  <c r="AY13" i="1" s="1"/>
  <c r="BL35" i="1"/>
  <c r="BJ35" i="1"/>
  <c r="BI35" i="1"/>
  <c r="AV35" i="1"/>
  <c r="AP35" i="1"/>
  <c r="AM35" i="1" s="1"/>
  <c r="AN35" i="1"/>
  <c r="AL35" i="1"/>
  <c r="AF35" i="1"/>
  <c r="AD35" i="1"/>
  <c r="AC35" i="1"/>
  <c r="AB35" i="1"/>
  <c r="Q35" i="1"/>
  <c r="D35" i="1"/>
  <c r="D25" i="1"/>
  <c r="D26" i="1"/>
  <c r="D27" i="1"/>
  <c r="D28" i="1"/>
  <c r="D29" i="1"/>
  <c r="D30" i="1"/>
  <c r="D31" i="1"/>
  <c r="D32" i="1"/>
  <c r="D33" i="1"/>
  <c r="D34" i="1"/>
  <c r="D36" i="1"/>
  <c r="D37" i="1"/>
  <c r="D24" i="1"/>
  <c r="R23" i="1"/>
  <c r="R25" i="2"/>
  <c r="U14" i="2"/>
  <c r="M14" i="2"/>
  <c r="I14" i="2"/>
  <c r="BI6" i="1"/>
  <c r="AV6" i="1"/>
  <c r="AL6" i="1"/>
  <c r="AB6" i="1"/>
  <c r="Q6" i="1"/>
  <c r="BL6" i="1"/>
  <c r="BK6" i="1"/>
  <c r="BJ6" i="1"/>
  <c r="BA6" i="1"/>
  <c r="AY6" i="1"/>
  <c r="J6" i="1" s="1"/>
  <c r="N6" i="1" s="1"/>
  <c r="AX6" i="1"/>
  <c r="AW6" i="1"/>
  <c r="AP6" i="1"/>
  <c r="AM6" i="1" s="1"/>
  <c r="AN6" i="1"/>
  <c r="AF6" i="1"/>
  <c r="AC6" i="1" s="1"/>
  <c r="AD6" i="1"/>
  <c r="H6" i="1"/>
  <c r="G6" i="1"/>
  <c r="F6" i="1"/>
  <c r="E6" i="1"/>
  <c r="D6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6" i="1"/>
  <c r="AF37" i="1"/>
  <c r="AF38" i="1"/>
  <c r="AF39" i="1"/>
  <c r="AF7" i="1"/>
  <c r="AF8" i="1"/>
  <c r="BA9" i="1"/>
  <c r="AY9" i="1" s="1"/>
  <c r="BA10" i="1"/>
  <c r="AY10" i="1" s="1"/>
  <c r="BA12" i="1"/>
  <c r="AY12" i="1" s="1"/>
  <c r="BA14" i="1"/>
  <c r="AY14" i="1" s="1"/>
  <c r="BA15" i="1"/>
  <c r="AY15" i="1" s="1"/>
  <c r="BA20" i="1"/>
  <c r="AY20" i="1" s="1"/>
  <c r="BA21" i="1"/>
  <c r="AY21" i="1" s="1"/>
  <c r="BA22" i="1"/>
  <c r="AY22" i="1" s="1"/>
  <c r="BA23" i="1"/>
  <c r="AY23" i="1" s="1"/>
  <c r="BA24" i="1"/>
  <c r="AY24" i="1" s="1"/>
  <c r="BA25" i="1"/>
  <c r="AY25" i="1" s="1"/>
  <c r="BA26" i="1"/>
  <c r="AY26" i="1" s="1"/>
  <c r="BA27" i="1"/>
  <c r="AY27" i="1" s="1"/>
  <c r="BA28" i="1"/>
  <c r="AY28" i="1" s="1"/>
  <c r="BA31" i="1"/>
  <c r="AY31" i="1" s="1"/>
  <c r="BA32" i="1"/>
  <c r="AY32" i="1" s="1"/>
  <c r="BA33" i="1"/>
  <c r="AY33" i="1" s="1"/>
  <c r="BA36" i="1"/>
  <c r="AY36" i="1" s="1"/>
  <c r="BA37" i="1"/>
  <c r="AY37" i="1" s="1"/>
  <c r="BA38" i="1"/>
  <c r="AY38" i="1" s="1"/>
  <c r="BA39" i="1"/>
  <c r="AY39" i="1"/>
  <c r="L35" i="1" l="1"/>
  <c r="P35" i="1" s="1"/>
  <c r="H35" i="1"/>
  <c r="AX35" i="1"/>
  <c r="G35" i="1"/>
  <c r="F35" i="1"/>
  <c r="E35" i="1" s="1"/>
  <c r="I35" i="1"/>
  <c r="M35" i="1" s="1"/>
  <c r="BK35" i="1"/>
  <c r="J35" i="1"/>
  <c r="N35" i="1" s="1"/>
  <c r="AW35" i="1"/>
  <c r="K6" i="1"/>
  <c r="O6" i="1" s="1"/>
  <c r="L6" i="1"/>
  <c r="P6" i="1" s="1"/>
  <c r="I6" i="1"/>
  <c r="M6" i="1" s="1"/>
  <c r="BA8" i="1"/>
  <c r="AY8" i="1" s="1"/>
  <c r="D7" i="1"/>
  <c r="H7" i="1"/>
  <c r="Q7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6" i="1" s="1"/>
  <c r="AB37" i="1" s="1"/>
  <c r="AD7" i="1"/>
  <c r="AC7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6" i="1" s="1"/>
  <c r="AL37" i="1" s="1"/>
  <c r="AN7" i="1"/>
  <c r="AP7" i="1"/>
  <c r="AM7" i="1" s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6" i="1" s="1"/>
  <c r="AV37" i="1" s="1"/>
  <c r="AX7" i="1"/>
  <c r="BA7" i="1"/>
  <c r="AY7" i="1" s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6" i="1" s="1"/>
  <c r="BI37" i="1" s="1"/>
  <c r="BL7" i="1"/>
  <c r="BJ7" i="1" s="1"/>
  <c r="D8" i="1"/>
  <c r="H8" i="1"/>
  <c r="G8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6" i="1" s="1"/>
  <c r="Q37" i="1" s="1"/>
  <c r="AC8" i="1"/>
  <c r="AD8" i="1"/>
  <c r="AN8" i="1"/>
  <c r="AP8" i="1"/>
  <c r="AM8" i="1" s="1"/>
  <c r="AX8" i="1"/>
  <c r="BL8" i="1"/>
  <c r="BJ8" i="1" s="1"/>
  <c r="D9" i="1"/>
  <c r="H9" i="1"/>
  <c r="AD9" i="1"/>
  <c r="AC9" i="1"/>
  <c r="AN9" i="1"/>
  <c r="AP9" i="1"/>
  <c r="AM9" i="1" s="1"/>
  <c r="AX9" i="1"/>
  <c r="AW9" i="1"/>
  <c r="BL9" i="1"/>
  <c r="BJ9" i="1" s="1"/>
  <c r="D10" i="1"/>
  <c r="H10" i="1"/>
  <c r="AC10" i="1"/>
  <c r="AD10" i="1"/>
  <c r="AN10" i="1"/>
  <c r="AP10" i="1"/>
  <c r="AM10" i="1" s="1"/>
  <c r="AX10" i="1"/>
  <c r="BL10" i="1"/>
  <c r="D11" i="1"/>
  <c r="H11" i="1"/>
  <c r="AD11" i="1"/>
  <c r="AN11" i="1"/>
  <c r="AP11" i="1"/>
  <c r="AM11" i="1" s="1"/>
  <c r="AW11" i="1"/>
  <c r="AX11" i="1"/>
  <c r="BL11" i="1"/>
  <c r="BJ11" i="1" s="1"/>
  <c r="D12" i="1"/>
  <c r="H12" i="1"/>
  <c r="AD12" i="1"/>
  <c r="AC12" i="1"/>
  <c r="AN12" i="1"/>
  <c r="AP12" i="1"/>
  <c r="AM12" i="1" s="1"/>
  <c r="AX12" i="1"/>
  <c r="AW12" i="1"/>
  <c r="BL12" i="1"/>
  <c r="BJ12" i="1" s="1"/>
  <c r="D13" i="1"/>
  <c r="H13" i="1"/>
  <c r="AD13" i="1"/>
  <c r="AC13" i="1"/>
  <c r="AN13" i="1"/>
  <c r="AP13" i="1"/>
  <c r="AM13" i="1" s="1"/>
  <c r="AX13" i="1"/>
  <c r="AW13" i="1"/>
  <c r="BL13" i="1"/>
  <c r="I13" i="1" s="1"/>
  <c r="M13" i="1" s="1"/>
  <c r="D14" i="1"/>
  <c r="H14" i="1"/>
  <c r="AD14" i="1"/>
  <c r="AC14" i="1"/>
  <c r="AN14" i="1"/>
  <c r="AP14" i="1"/>
  <c r="AM14" i="1" s="1"/>
  <c r="AW14" i="1"/>
  <c r="AX14" i="1"/>
  <c r="BL14" i="1"/>
  <c r="D15" i="1"/>
  <c r="H15" i="1"/>
  <c r="AD15" i="1"/>
  <c r="AC15" i="1"/>
  <c r="AN15" i="1"/>
  <c r="AP15" i="1"/>
  <c r="AM15" i="1" s="1"/>
  <c r="AW15" i="1"/>
  <c r="AX15" i="1"/>
  <c r="BL15" i="1"/>
  <c r="L15" i="1" s="1"/>
  <c r="P15" i="1" s="1"/>
  <c r="D16" i="1"/>
  <c r="H16" i="1"/>
  <c r="AD16" i="1"/>
  <c r="AC16" i="1"/>
  <c r="AN16" i="1"/>
  <c r="AP16" i="1"/>
  <c r="AM16" i="1" s="1"/>
  <c r="AX16" i="1"/>
  <c r="AW16" i="1"/>
  <c r="BL16" i="1"/>
  <c r="BJ16" i="1" s="1"/>
  <c r="D17" i="1"/>
  <c r="H17" i="1"/>
  <c r="AD17" i="1"/>
  <c r="AC17" i="1"/>
  <c r="AN17" i="1"/>
  <c r="AP17" i="1"/>
  <c r="AM17" i="1" s="1"/>
  <c r="AX17" i="1"/>
  <c r="AW17" i="1"/>
  <c r="BL17" i="1"/>
  <c r="D18" i="1"/>
  <c r="H18" i="1"/>
  <c r="AD18" i="1"/>
  <c r="AC18" i="1"/>
  <c r="AN18" i="1"/>
  <c r="AP18" i="1"/>
  <c r="AM18" i="1" s="1"/>
  <c r="AX18" i="1"/>
  <c r="BL18" i="1"/>
  <c r="BJ18" i="1" s="1"/>
  <c r="D19" i="1"/>
  <c r="H19" i="1"/>
  <c r="AD19" i="1"/>
  <c r="AC19" i="1"/>
  <c r="AN19" i="1"/>
  <c r="AP19" i="1"/>
  <c r="AM19" i="1" s="1"/>
  <c r="AX19" i="1"/>
  <c r="AW19" i="1"/>
  <c r="BL19" i="1"/>
  <c r="BJ19" i="1" s="1"/>
  <c r="D20" i="1"/>
  <c r="H20" i="1"/>
  <c r="AD20" i="1"/>
  <c r="AC20" i="1"/>
  <c r="AN20" i="1"/>
  <c r="AP20" i="1"/>
  <c r="AM20" i="1" s="1"/>
  <c r="AX20" i="1"/>
  <c r="AW20" i="1"/>
  <c r="BL20" i="1"/>
  <c r="BJ20" i="1" s="1"/>
  <c r="D21" i="1"/>
  <c r="H21" i="1"/>
  <c r="AD21" i="1"/>
  <c r="AC21" i="1"/>
  <c r="AN21" i="1"/>
  <c r="AP21" i="1"/>
  <c r="AM21" i="1" s="1"/>
  <c r="AX21" i="1"/>
  <c r="BL21" i="1"/>
  <c r="BJ21" i="1" s="1"/>
  <c r="D22" i="1"/>
  <c r="H22" i="1"/>
  <c r="AD22" i="1"/>
  <c r="AC22" i="1"/>
  <c r="AN22" i="1"/>
  <c r="AP22" i="1"/>
  <c r="AM22" i="1" s="1"/>
  <c r="AX22" i="1"/>
  <c r="AW22" i="1"/>
  <c r="BL22" i="1"/>
  <c r="D23" i="1"/>
  <c r="H23" i="1"/>
  <c r="AD23" i="1"/>
  <c r="AN23" i="1"/>
  <c r="AP23" i="1"/>
  <c r="AM23" i="1" s="1"/>
  <c r="AX23" i="1"/>
  <c r="AW23" i="1"/>
  <c r="BL23" i="1"/>
  <c r="L23" i="1" s="1"/>
  <c r="P23" i="1" s="1"/>
  <c r="H24" i="1"/>
  <c r="AD24" i="1"/>
  <c r="AC24" i="1"/>
  <c r="AN24" i="1"/>
  <c r="AP24" i="1"/>
  <c r="AM24" i="1" s="1"/>
  <c r="AW24" i="1"/>
  <c r="AX24" i="1"/>
  <c r="BL24" i="1"/>
  <c r="BJ24" i="1" s="1"/>
  <c r="H25" i="1"/>
  <c r="G25" i="1" s="1"/>
  <c r="AD25" i="1"/>
  <c r="AC25" i="1"/>
  <c r="AN25" i="1"/>
  <c r="AP25" i="1"/>
  <c r="AM25" i="1" s="1"/>
  <c r="AW25" i="1"/>
  <c r="AX25" i="1"/>
  <c r="BL25" i="1"/>
  <c r="H26" i="1"/>
  <c r="AD26" i="1"/>
  <c r="AC26" i="1"/>
  <c r="AN26" i="1"/>
  <c r="AP26" i="1"/>
  <c r="AM26" i="1" s="1"/>
  <c r="AX26" i="1"/>
  <c r="BL26" i="1"/>
  <c r="I26" i="1" s="1"/>
  <c r="M26" i="1" s="1"/>
  <c r="H27" i="1"/>
  <c r="AD27" i="1"/>
  <c r="AC27" i="1"/>
  <c r="AN27" i="1"/>
  <c r="AP27" i="1"/>
  <c r="AM27" i="1" s="1"/>
  <c r="AX27" i="1"/>
  <c r="AW27" i="1"/>
  <c r="BL27" i="1"/>
  <c r="BJ27" i="1" s="1"/>
  <c r="H28" i="1"/>
  <c r="AD28" i="1"/>
  <c r="AC28" i="1"/>
  <c r="AN28" i="1"/>
  <c r="AP28" i="1"/>
  <c r="AM28" i="1" s="1"/>
  <c r="AX28" i="1"/>
  <c r="AW28" i="1"/>
  <c r="BL28" i="1"/>
  <c r="I28" i="1" s="1"/>
  <c r="M28" i="1" s="1"/>
  <c r="H29" i="1"/>
  <c r="AD29" i="1"/>
  <c r="AC29" i="1"/>
  <c r="AN29" i="1"/>
  <c r="AP29" i="1"/>
  <c r="AM29" i="1" s="1"/>
  <c r="AX29" i="1"/>
  <c r="BL29" i="1"/>
  <c r="BJ29" i="1" s="1"/>
  <c r="H30" i="1"/>
  <c r="AD30" i="1"/>
  <c r="AC30" i="1"/>
  <c r="AN30" i="1"/>
  <c r="AP30" i="1"/>
  <c r="AM30" i="1" s="1"/>
  <c r="AX30" i="1"/>
  <c r="AW30" i="1"/>
  <c r="BL30" i="1"/>
  <c r="H31" i="1"/>
  <c r="AC31" i="1"/>
  <c r="AD31" i="1"/>
  <c r="AN31" i="1"/>
  <c r="AP31" i="1"/>
  <c r="AM31" i="1" s="1"/>
  <c r="AX31" i="1"/>
  <c r="AW31" i="1"/>
  <c r="BL31" i="1"/>
  <c r="L31" i="1" s="1"/>
  <c r="P31" i="1" s="1"/>
  <c r="H32" i="1"/>
  <c r="AC32" i="1"/>
  <c r="AD32" i="1"/>
  <c r="AN32" i="1"/>
  <c r="AP32" i="1"/>
  <c r="AM32" i="1" s="1"/>
  <c r="AX32" i="1"/>
  <c r="AW32" i="1"/>
  <c r="BL32" i="1"/>
  <c r="BJ32" i="1" s="1"/>
  <c r="H33" i="1"/>
  <c r="AD33" i="1"/>
  <c r="AC33" i="1"/>
  <c r="AM33" i="1"/>
  <c r="AN33" i="1"/>
  <c r="AX33" i="1"/>
  <c r="BL33" i="1"/>
  <c r="I33" i="1" s="1"/>
  <c r="M33" i="1" s="1"/>
  <c r="H34" i="1"/>
  <c r="AD34" i="1"/>
  <c r="AC34" i="1"/>
  <c r="AN34" i="1"/>
  <c r="AP34" i="1"/>
  <c r="AM34" i="1" s="1"/>
  <c r="AX34" i="1"/>
  <c r="AW34" i="1"/>
  <c r="BL34" i="1"/>
  <c r="BJ34" i="1" s="1"/>
  <c r="H36" i="1"/>
  <c r="F36" i="1" s="1"/>
  <c r="E36" i="1" s="1"/>
  <c r="AD36" i="1"/>
  <c r="AC36" i="1"/>
  <c r="AN36" i="1"/>
  <c r="AP36" i="1"/>
  <c r="AM36" i="1" s="1"/>
  <c r="AX36" i="1"/>
  <c r="BL36" i="1"/>
  <c r="BK36" i="1" s="1"/>
  <c r="H37" i="1"/>
  <c r="F37" i="1" s="1"/>
  <c r="E37" i="1" s="1"/>
  <c r="AD37" i="1"/>
  <c r="AC37" i="1"/>
  <c r="AN37" i="1"/>
  <c r="AP37" i="1"/>
  <c r="AM37" i="1" s="1"/>
  <c r="AW37" i="1"/>
  <c r="AX37" i="1"/>
  <c r="BL37" i="1"/>
  <c r="I37" i="1" s="1"/>
  <c r="M37" i="1" s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5" i="2"/>
  <c r="G16" i="2"/>
  <c r="J79" i="2"/>
  <c r="E79" i="2" s="1"/>
  <c r="R36" i="2"/>
  <c r="R35" i="2"/>
  <c r="G29" i="1" l="1"/>
  <c r="AW8" i="1"/>
  <c r="G34" i="1"/>
  <c r="G33" i="1"/>
  <c r="BJ33" i="1"/>
  <c r="G30" i="1"/>
  <c r="BK27" i="1"/>
  <c r="G26" i="1"/>
  <c r="F22" i="1"/>
  <c r="E22" i="1" s="1"/>
  <c r="G21" i="1"/>
  <c r="G16" i="1"/>
  <c r="F14" i="1"/>
  <c r="E14" i="1" s="1"/>
  <c r="BJ13" i="1"/>
  <c r="K11" i="1"/>
  <c r="O11" i="1" s="1"/>
  <c r="G11" i="1"/>
  <c r="F10" i="1"/>
  <c r="E10" i="1" s="1"/>
  <c r="G10" i="1"/>
  <c r="F17" i="1"/>
  <c r="E17" i="1" s="1"/>
  <c r="F8" i="1"/>
  <c r="E8" i="1" s="1"/>
  <c r="F18" i="1"/>
  <c r="E18" i="1" s="1"/>
  <c r="F27" i="1"/>
  <c r="E27" i="1" s="1"/>
  <c r="F26" i="1"/>
  <c r="E26" i="1" s="1"/>
  <c r="F12" i="1"/>
  <c r="E12" i="1" s="1"/>
  <c r="BK16" i="1"/>
  <c r="BK24" i="1"/>
  <c r="BJ36" i="1"/>
  <c r="L18" i="1"/>
  <c r="P18" i="1" s="1"/>
  <c r="BJ23" i="1"/>
  <c r="BK37" i="1"/>
  <c r="BK29" i="1"/>
  <c r="BJ26" i="1"/>
  <c r="L26" i="1"/>
  <c r="P26" i="1" s="1"/>
  <c r="BJ15" i="1"/>
  <c r="BK26" i="1"/>
  <c r="BJ31" i="1"/>
  <c r="BJ28" i="1"/>
  <c r="BK8" i="1"/>
  <c r="BK33" i="1"/>
  <c r="BK21" i="1"/>
  <c r="L8" i="1"/>
  <c r="P8" i="1" s="1"/>
  <c r="BK32" i="1"/>
  <c r="AW7" i="1"/>
  <c r="L11" i="1"/>
  <c r="P11" i="1" s="1"/>
  <c r="F7" i="1"/>
  <c r="E7" i="1" s="1"/>
  <c r="F25" i="1"/>
  <c r="E25" i="1" s="1"/>
  <c r="F19" i="1"/>
  <c r="E19" i="1" s="1"/>
  <c r="F16" i="1"/>
  <c r="E16" i="1" s="1"/>
  <c r="F11" i="1"/>
  <c r="E11" i="1" s="1"/>
  <c r="F9" i="1"/>
  <c r="E9" i="1" s="1"/>
  <c r="F29" i="1"/>
  <c r="E29" i="1" s="1"/>
  <c r="F33" i="1"/>
  <c r="E33" i="1" s="1"/>
  <c r="F24" i="1"/>
  <c r="E24" i="1" s="1"/>
  <c r="K23" i="1"/>
  <c r="O23" i="1" s="1"/>
  <c r="F21" i="1"/>
  <c r="E21" i="1" s="1"/>
  <c r="G37" i="1"/>
  <c r="F34" i="1"/>
  <c r="E34" i="1" s="1"/>
  <c r="F30" i="1"/>
  <c r="E30" i="1" s="1"/>
  <c r="G22" i="1"/>
  <c r="K31" i="1"/>
  <c r="O31" i="1" s="1"/>
  <c r="K14" i="1"/>
  <c r="O14" i="1" s="1"/>
  <c r="AC23" i="1"/>
  <c r="K7" i="1"/>
  <c r="O7" i="1" s="1"/>
  <c r="K32" i="1"/>
  <c r="O32" i="1" s="1"/>
  <c r="K37" i="1"/>
  <c r="O37" i="1" s="1"/>
  <c r="AC11" i="1"/>
  <c r="K25" i="1"/>
  <c r="O25" i="1" s="1"/>
  <c r="K30" i="1"/>
  <c r="O30" i="1" s="1"/>
  <c r="K24" i="1"/>
  <c r="O24" i="1" s="1"/>
  <c r="K15" i="1"/>
  <c r="O15" i="1" s="1"/>
  <c r="G12" i="1"/>
  <c r="G17" i="1"/>
  <c r="G36" i="1"/>
  <c r="G18" i="1"/>
  <c r="G9" i="1"/>
  <c r="G23" i="1"/>
  <c r="G14" i="1"/>
  <c r="F32" i="1"/>
  <c r="E32" i="1" s="1"/>
  <c r="G32" i="1"/>
  <c r="BJ25" i="1"/>
  <c r="I25" i="1"/>
  <c r="M25" i="1" s="1"/>
  <c r="BK25" i="1"/>
  <c r="L25" i="1"/>
  <c r="P25" i="1" s="1"/>
  <c r="AW21" i="1"/>
  <c r="K20" i="1"/>
  <c r="O20" i="1" s="1"/>
  <c r="L20" i="1"/>
  <c r="P20" i="1" s="1"/>
  <c r="G19" i="1"/>
  <c r="L30" i="1"/>
  <c r="P30" i="1" s="1"/>
  <c r="BJ30" i="1"/>
  <c r="I30" i="1"/>
  <c r="M30" i="1" s="1"/>
  <c r="BK30" i="1"/>
  <c r="J14" i="1"/>
  <c r="N14" i="1" s="1"/>
  <c r="L14" i="1"/>
  <c r="P14" i="1" s="1"/>
  <c r="BJ14" i="1"/>
  <c r="BK14" i="1"/>
  <c r="F20" i="1"/>
  <c r="E20" i="1" s="1"/>
  <c r="G20" i="1"/>
  <c r="BJ17" i="1"/>
  <c r="I17" i="1"/>
  <c r="M17" i="1" s="1"/>
  <c r="BK17" i="1"/>
  <c r="L17" i="1"/>
  <c r="P17" i="1" s="1"/>
  <c r="K13" i="1"/>
  <c r="O13" i="1" s="1"/>
  <c r="L13" i="1"/>
  <c r="P13" i="1" s="1"/>
  <c r="I14" i="1"/>
  <c r="M14" i="1" s="1"/>
  <c r="F13" i="1"/>
  <c r="E13" i="1" s="1"/>
  <c r="G13" i="1"/>
  <c r="K9" i="1"/>
  <c r="O9" i="1" s="1"/>
  <c r="K33" i="1"/>
  <c r="O33" i="1" s="1"/>
  <c r="L33" i="1"/>
  <c r="P33" i="1" s="1"/>
  <c r="L32" i="1"/>
  <c r="P32" i="1" s="1"/>
  <c r="J30" i="1"/>
  <c r="N30" i="1" s="1"/>
  <c r="L24" i="1"/>
  <c r="P24" i="1" s="1"/>
  <c r="K17" i="1"/>
  <c r="O17" i="1" s="1"/>
  <c r="K16" i="1"/>
  <c r="O16" i="1" s="1"/>
  <c r="I8" i="1"/>
  <c r="M8" i="1" s="1"/>
  <c r="K8" i="1"/>
  <c r="O8" i="1" s="1"/>
  <c r="AW29" i="1"/>
  <c r="J29" i="1"/>
  <c r="N29" i="1" s="1"/>
  <c r="J33" i="1"/>
  <c r="N33" i="1" s="1"/>
  <c r="I32" i="1"/>
  <c r="M32" i="1" s="1"/>
  <c r="F31" i="1"/>
  <c r="E31" i="1" s="1"/>
  <c r="G31" i="1"/>
  <c r="K28" i="1"/>
  <c r="O28" i="1" s="1"/>
  <c r="AW26" i="1"/>
  <c r="K26" i="1"/>
  <c r="O26" i="1" s="1"/>
  <c r="J25" i="1"/>
  <c r="N25" i="1" s="1"/>
  <c r="I24" i="1"/>
  <c r="M24" i="1" s="1"/>
  <c r="F23" i="1"/>
  <c r="E23" i="1" s="1"/>
  <c r="L16" i="1"/>
  <c r="P16" i="1" s="1"/>
  <c r="F15" i="1"/>
  <c r="E15" i="1" s="1"/>
  <c r="G15" i="1"/>
  <c r="AW10" i="1"/>
  <c r="K10" i="1"/>
  <c r="O10" i="1" s="1"/>
  <c r="L7" i="1"/>
  <c r="P7" i="1" s="1"/>
  <c r="J36" i="1"/>
  <c r="N36" i="1" s="1"/>
  <c r="L37" i="1"/>
  <c r="P37" i="1" s="1"/>
  <c r="BJ37" i="1"/>
  <c r="J37" i="1"/>
  <c r="N37" i="1" s="1"/>
  <c r="AW36" i="1"/>
  <c r="AW33" i="1"/>
  <c r="F28" i="1"/>
  <c r="E28" i="1" s="1"/>
  <c r="G28" i="1"/>
  <c r="G27" i="1"/>
  <c r="G24" i="1"/>
  <c r="L22" i="1"/>
  <c r="P22" i="1" s="1"/>
  <c r="BJ22" i="1"/>
  <c r="I22" i="1"/>
  <c r="M22" i="1" s="1"/>
  <c r="BK22" i="1"/>
  <c r="J21" i="1"/>
  <c r="N21" i="1" s="1"/>
  <c r="I20" i="1"/>
  <c r="M20" i="1" s="1"/>
  <c r="AW18" i="1"/>
  <c r="K18" i="1"/>
  <c r="O18" i="1" s="1"/>
  <c r="J17" i="1"/>
  <c r="N17" i="1" s="1"/>
  <c r="I16" i="1"/>
  <c r="M16" i="1" s="1"/>
  <c r="J31" i="1"/>
  <c r="N31" i="1" s="1"/>
  <c r="J23" i="1"/>
  <c r="N23" i="1" s="1"/>
  <c r="J15" i="1"/>
  <c r="N15" i="1" s="1"/>
  <c r="L9" i="1"/>
  <c r="P9" i="1" s="1"/>
  <c r="J7" i="1"/>
  <c r="N7" i="1" s="1"/>
  <c r="J32" i="1"/>
  <c r="N32" i="1" s="1"/>
  <c r="BK31" i="1"/>
  <c r="I31" i="1"/>
  <c r="M31" i="1" s="1"/>
  <c r="J24" i="1"/>
  <c r="N24" i="1" s="1"/>
  <c r="BK23" i="1"/>
  <c r="I23" i="1"/>
  <c r="M23" i="1" s="1"/>
  <c r="J16" i="1"/>
  <c r="N16" i="1" s="1"/>
  <c r="BK15" i="1"/>
  <c r="I15" i="1"/>
  <c r="M15" i="1" s="1"/>
  <c r="L10" i="1"/>
  <c r="P10" i="1" s="1"/>
  <c r="J8" i="1"/>
  <c r="N8" i="1" s="1"/>
  <c r="BK7" i="1"/>
  <c r="I7" i="1"/>
  <c r="M7" i="1" s="1"/>
  <c r="L28" i="1"/>
  <c r="P28" i="1" s="1"/>
  <c r="J26" i="1"/>
  <c r="N26" i="1" s="1"/>
  <c r="J18" i="1"/>
  <c r="N18" i="1" s="1"/>
  <c r="J11" i="1"/>
  <c r="N11" i="1" s="1"/>
  <c r="BK10" i="1"/>
  <c r="BK9" i="1"/>
  <c r="I9" i="1"/>
  <c r="M9" i="1" s="1"/>
  <c r="G7" i="1"/>
  <c r="J9" i="1"/>
  <c r="N9" i="1" s="1"/>
  <c r="L36" i="1"/>
  <c r="P36" i="1" s="1"/>
  <c r="J34" i="1"/>
  <c r="N34" i="1" s="1"/>
  <c r="L29" i="1"/>
  <c r="P29" i="1" s="1"/>
  <c r="L21" i="1"/>
  <c r="P21" i="1" s="1"/>
  <c r="J19" i="1"/>
  <c r="N19" i="1" s="1"/>
  <c r="BK18" i="1"/>
  <c r="I18" i="1"/>
  <c r="M18" i="1" s="1"/>
  <c r="J12" i="1"/>
  <c r="N12" i="1" s="1"/>
  <c r="BK11" i="1"/>
  <c r="I11" i="1"/>
  <c r="M11" i="1" s="1"/>
  <c r="BJ10" i="1"/>
  <c r="BK34" i="1"/>
  <c r="I34" i="1"/>
  <c r="M34" i="1" s="1"/>
  <c r="J28" i="1"/>
  <c r="N28" i="1" s="1"/>
  <c r="I27" i="1"/>
  <c r="M27" i="1" s="1"/>
  <c r="J20" i="1"/>
  <c r="N20" i="1" s="1"/>
  <c r="BK19" i="1"/>
  <c r="I19" i="1"/>
  <c r="M19" i="1" s="1"/>
  <c r="J13" i="1"/>
  <c r="N13" i="1" s="1"/>
  <c r="BK12" i="1"/>
  <c r="BK28" i="1"/>
  <c r="BK20" i="1"/>
  <c r="BK13" i="1"/>
  <c r="I79" i="2"/>
  <c r="H79" i="2"/>
  <c r="G79" i="2"/>
  <c r="F79" i="2"/>
  <c r="R33" i="2"/>
  <c r="K36" i="1" l="1"/>
  <c r="O36" i="1" s="1"/>
  <c r="I36" i="1"/>
  <c r="M36" i="1" s="1"/>
  <c r="K27" i="1"/>
  <c r="O27" i="1" s="1"/>
  <c r="L27" i="1"/>
  <c r="P27" i="1" s="1"/>
  <c r="K21" i="1"/>
  <c r="O21" i="1" s="1"/>
  <c r="I21" i="1"/>
  <c r="M21" i="1" s="1"/>
  <c r="K12" i="1"/>
  <c r="O12" i="1" s="1"/>
  <c r="L12" i="1"/>
  <c r="P12" i="1" s="1"/>
  <c r="I12" i="1"/>
  <c r="M12" i="1" s="1"/>
  <c r="K22" i="1"/>
  <c r="O22" i="1" s="1"/>
  <c r="J22" i="1"/>
  <c r="N22" i="1" s="1"/>
  <c r="K19" i="1"/>
  <c r="O19" i="1" s="1"/>
  <c r="L19" i="1"/>
  <c r="P19" i="1" s="1"/>
  <c r="K34" i="1"/>
  <c r="O34" i="1" s="1"/>
  <c r="L34" i="1"/>
  <c r="P34" i="1" s="1"/>
  <c r="I10" i="1"/>
  <c r="M10" i="1" s="1"/>
  <c r="K29" i="1"/>
  <c r="O29" i="1" s="1"/>
  <c r="I29" i="1"/>
  <c r="M29" i="1" s="1"/>
  <c r="J27" i="1"/>
  <c r="N27" i="1" s="1"/>
  <c r="J10" i="1"/>
  <c r="N10" i="1" s="1"/>
  <c r="R45" i="2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41" i="2"/>
  <c r="R42" i="2"/>
  <c r="R40" i="2"/>
  <c r="R39" i="2"/>
  <c r="R38" i="2"/>
  <c r="R37" i="2"/>
  <c r="R34" i="2"/>
  <c r="R32" i="2"/>
  <c r="R31" i="2"/>
  <c r="R30" i="2"/>
  <c r="R29" i="2" l="1"/>
  <c r="R28" i="2"/>
  <c r="R27" i="2"/>
  <c r="R26" i="2"/>
  <c r="R24" i="2"/>
  <c r="R23" i="2"/>
  <c r="R22" i="2"/>
  <c r="R21" i="2"/>
  <c r="R19" i="2"/>
  <c r="R18" i="2"/>
  <c r="R15" i="2"/>
  <c r="R16" i="2"/>
  <c r="R17" i="2"/>
  <c r="U15" i="2" l="1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26" i="2"/>
  <c r="I27" i="2" s="1"/>
  <c r="I28" i="2" s="1"/>
  <c r="I29" i="2" s="1"/>
  <c r="I30" i="2" s="1"/>
  <c r="I31" i="2" s="1"/>
  <c r="I32" i="2" s="1"/>
  <c r="I33" i="2" l="1"/>
  <c r="I34" i="2" s="1"/>
  <c r="I35" i="2" s="1"/>
  <c r="I36" i="2" s="1"/>
  <c r="I37" i="2" s="1"/>
  <c r="I38" i="2" s="1"/>
  <c r="I39" i="2" s="1"/>
  <c r="I40" i="2" s="1"/>
  <c r="U33" i="2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I41" i="2" l="1"/>
  <c r="I42" i="2" s="1"/>
  <c r="I43" i="2" s="1"/>
  <c r="I44" i="2" s="1"/>
  <c r="I45" i="2" s="1"/>
  <c r="U44" i="2"/>
  <c r="U45" i="2" s="1"/>
  <c r="M15" i="2"/>
  <c r="M16" i="2" l="1"/>
  <c r="M17" i="2" l="1"/>
  <c r="M18" i="2" l="1"/>
  <c r="M20" i="2" l="1"/>
  <c r="M19" i="2"/>
  <c r="M21" i="2" l="1"/>
  <c r="M22" i="2" l="1"/>
  <c r="M23" i="2" l="1"/>
  <c r="M24" i="2" l="1"/>
  <c r="M25" i="2" l="1"/>
  <c r="M26" i="2" l="1"/>
  <c r="M27" i="2" l="1"/>
  <c r="M28" i="2" l="1"/>
  <c r="M29" i="2" l="1"/>
  <c r="M30" i="2" l="1"/>
  <c r="M31" i="2" l="1"/>
  <c r="M33" i="2" l="1"/>
  <c r="M32" i="2"/>
  <c r="M34" i="2" l="1"/>
  <c r="M35" i="2" l="1"/>
  <c r="M36" i="2" l="1"/>
  <c r="M37" i="2" l="1"/>
  <c r="M38" i="2" l="1"/>
  <c r="M39" i="2" l="1"/>
  <c r="M40" i="2" l="1"/>
  <c r="M41" i="2" l="1"/>
  <c r="M42" i="2" l="1"/>
  <c r="M43" i="2" l="1"/>
  <c r="M45" i="2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D15" authorId="2" shapeId="0" xr:uid="{777092BE-0D9D-402F-A477-2735BD1836EA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SERVA DE PASO POR PRUEBAS DE CONSUMO ENERGIA SS/EE</t>
        </r>
      </text>
    </comment>
    <comment ref="D16" authorId="2" shapeId="0" xr:uid="{0FEF2E32-B21A-4F8A-8E9C-6B230E11ADDE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SERVA DE PASO POR PRUEBAS DE CONSUMO ENERGIA SS/EE</t>
        </r>
      </text>
    </comment>
    <comment ref="D22" authorId="2" shapeId="0" xr:uid="{EC78FDCE-81CB-44C8-AC71-09361CE35483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FAENA NOCTURNA CON CORTADA 44KV , USO GENERADOR 12KV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<sst xmlns="http://schemas.openxmlformats.org/spreadsheetml/2006/main" count="128" uniqueCount="76">
  <si>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</si>
  <si>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</si>
  <si>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</si>
  <si>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</si>
  <si>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</si>
  <si>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</si>
  <si>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</si>
  <si>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</si>
  <si>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</si>
  <si>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</si>
  <si>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</si>
  <si>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</si>
  <si>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</si>
  <si>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</si>
  <si>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</si>
  <si>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</si>
  <si>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</si>
  <si>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</si>
  <si>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</si>
  <si>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</si>
  <si>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</si>
  <si>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</si>
  <si>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</si>
  <si>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</si>
  <si>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</si>
  <si>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</si>
  <si>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</si>
  <si>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</si>
  <si>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</si>
  <si>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</si>
  <si>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</si>
  <si>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</si>
  <si>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</si>
  <si>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</si>
  <si>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</si>
  <si>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</si>
  <si>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</si>
  <si>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</si>
  <si>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</si>
  <si>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</si>
  <si>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</si>
  <si>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</si>
  <si>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</si>
  <si>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</si>
  <si>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</si>
  <si>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</si>
  <si>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</si>
  <si>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</si>
  <si>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</si>
  <si>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</si>
  <si>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</si>
  <si>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</si>
  <si>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</si>
  <si>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</si>
  <si>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</si>
  <si>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</si>
  <si>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</si>
  <si>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</si>
  <si>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</si>
  <si>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</si>
  <si>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</si>
  <si>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</si>
  <si>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</si>
  <si>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</si>
  <si>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</si>
  <si>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</si>
  <si>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</si>
  <si>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</si>
  <si>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</si>
  <si>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</si>
  <si>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13.00</t>
  </si>
  <si>
    <t>0.00</t>
  </si>
  <si>
    <t>18;15</t>
  </si>
  <si>
    <t>18;51</t>
  </si>
  <si>
    <t>18;52</t>
  </si>
  <si>
    <t>9;320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</si>
</sst>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1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9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31812</c:v>
                </c:pt>
                <c:pt idx="1">
                  <c:v>36616</c:v>
                </c:pt>
                <c:pt idx="2">
                  <c:v>30572</c:v>
                </c:pt>
                <c:pt idx="3">
                  <c:v>58276</c:v>
                </c:pt>
                <c:pt idx="4">
                  <c:v>61622</c:v>
                </c:pt>
                <c:pt idx="5">
                  <c:v>60864</c:v>
                </c:pt>
                <c:pt idx="6">
                  <c:v>58736</c:v>
                </c:pt>
                <c:pt idx="7">
                  <c:v>58344</c:v>
                </c:pt>
                <c:pt idx="8">
                  <c:v>35826</c:v>
                </c:pt>
                <c:pt idx="9">
                  <c:v>28636</c:v>
                </c:pt>
                <c:pt idx="10">
                  <c:v>58066</c:v>
                </c:pt>
                <c:pt idx="11">
                  <c:v>58120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24720</c:v>
                </c:pt>
                <c:pt idx="1">
                  <c:v>29472</c:v>
                </c:pt>
                <c:pt idx="2">
                  <c:v>23501</c:v>
                </c:pt>
                <c:pt idx="3">
                  <c:v>50980</c:v>
                </c:pt>
                <c:pt idx="4">
                  <c:v>54249</c:v>
                </c:pt>
                <c:pt idx="5">
                  <c:v>53465.270000000004</c:v>
                </c:pt>
                <c:pt idx="6">
                  <c:v>51462.29</c:v>
                </c:pt>
                <c:pt idx="7">
                  <c:v>51073</c:v>
                </c:pt>
                <c:pt idx="8">
                  <c:v>28773</c:v>
                </c:pt>
                <c:pt idx="9">
                  <c:v>21599</c:v>
                </c:pt>
                <c:pt idx="10">
                  <c:v>50542</c:v>
                </c:pt>
                <c:pt idx="11">
                  <c:v>50744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7092</c:v>
                </c:pt>
                <c:pt idx="1">
                  <c:v>7144</c:v>
                </c:pt>
                <c:pt idx="2">
                  <c:v>7071</c:v>
                </c:pt>
                <c:pt idx="3">
                  <c:v>7296</c:v>
                </c:pt>
                <c:pt idx="4">
                  <c:v>7373</c:v>
                </c:pt>
                <c:pt idx="5">
                  <c:v>7398.73</c:v>
                </c:pt>
                <c:pt idx="6">
                  <c:v>7273.71</c:v>
                </c:pt>
                <c:pt idx="7">
                  <c:v>7271</c:v>
                </c:pt>
                <c:pt idx="8">
                  <c:v>7053</c:v>
                </c:pt>
                <c:pt idx="9">
                  <c:v>7037</c:v>
                </c:pt>
                <c:pt idx="10">
                  <c:v>7524</c:v>
                </c:pt>
                <c:pt idx="11">
                  <c:v>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2951</c:v>
                </c:pt>
                <c:pt idx="1">
                  <c:v>2386</c:v>
                </c:pt>
                <c:pt idx="2">
                  <c:v>2416</c:v>
                </c:pt>
                <c:pt idx="3">
                  <c:v>2356</c:v>
                </c:pt>
                <c:pt idx="4">
                  <c:v>2904</c:v>
                </c:pt>
                <c:pt idx="5">
                  <c:v>2972</c:v>
                </c:pt>
                <c:pt idx="6">
                  <c:v>3152.87</c:v>
                </c:pt>
                <c:pt idx="7">
                  <c:v>2941.1600000000003</c:v>
                </c:pt>
                <c:pt idx="8">
                  <c:v>2869</c:v>
                </c:pt>
                <c:pt idx="9">
                  <c:v>2502</c:v>
                </c:pt>
                <c:pt idx="10">
                  <c:v>2390</c:v>
                </c:pt>
                <c:pt idx="11">
                  <c:v>3120</c:v>
                </c:pt>
                <c:pt idx="12">
                  <c:v>3058</c:v>
                </c:pt>
                <c:pt idx="13">
                  <c:v>3064</c:v>
                </c:pt>
                <c:pt idx="14">
                  <c:v>2999</c:v>
                </c:pt>
                <c:pt idx="15">
                  <c:v>2701</c:v>
                </c:pt>
                <c:pt idx="16">
                  <c:v>2464</c:v>
                </c:pt>
                <c:pt idx="17">
                  <c:v>2293</c:v>
                </c:pt>
                <c:pt idx="18">
                  <c:v>3017.27</c:v>
                </c:pt>
                <c:pt idx="19">
                  <c:v>3362.75</c:v>
                </c:pt>
                <c:pt idx="20">
                  <c:v>3038</c:v>
                </c:pt>
                <c:pt idx="21">
                  <c:v>2496</c:v>
                </c:pt>
                <c:pt idx="22">
                  <c:v>3039</c:v>
                </c:pt>
                <c:pt idx="23">
                  <c:v>2608</c:v>
                </c:pt>
                <c:pt idx="24">
                  <c:v>2569.8500000000004</c:v>
                </c:pt>
                <c:pt idx="25">
                  <c:v>2986</c:v>
                </c:pt>
                <c:pt idx="26">
                  <c:v>3026</c:v>
                </c:pt>
                <c:pt idx="27">
                  <c:v>3142</c:v>
                </c:pt>
                <c:pt idx="28">
                  <c:v>3119</c:v>
                </c:pt>
                <c:pt idx="29">
                  <c:v>0</c:v>
                </c:pt>
                <c:pt idx="30">
                  <c:v>2522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A4" zoomScaleNormal="100" zoomScaleSheetLayoutView="120" workbookViewId="0">
      <selection activeCell="H37" sqref="H7:H37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182" t="s">
        <v>0</v>
      </c>
      <c r="C1" s="127"/>
      <c r="D1" s="184" t="s">
        <v>1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  <c r="P1" s="187"/>
      <c r="Q1" s="128"/>
      <c r="R1" s="192" t="s">
        <v>2</v>
      </c>
      <c r="S1" s="193"/>
      <c r="T1" s="193"/>
      <c r="U1" s="193"/>
      <c r="V1" s="193"/>
      <c r="W1" s="193"/>
      <c r="X1" s="193"/>
      <c r="Y1" s="193"/>
      <c r="Z1" s="193"/>
      <c r="AA1" s="194"/>
      <c r="AB1" s="129"/>
      <c r="AC1" s="192" t="s">
        <v>3</v>
      </c>
      <c r="AD1" s="193"/>
      <c r="AE1" s="193"/>
      <c r="AF1" s="193"/>
      <c r="AG1" s="193"/>
      <c r="AH1" s="193"/>
      <c r="AI1" s="193"/>
      <c r="AJ1" s="193"/>
      <c r="AK1" s="194"/>
      <c r="AL1" s="130"/>
      <c r="AM1" s="192" t="s">
        <v>4</v>
      </c>
      <c r="AN1" s="193"/>
      <c r="AO1" s="193"/>
      <c r="AP1" s="193"/>
      <c r="AQ1" s="193"/>
      <c r="AR1" s="193"/>
      <c r="AS1" s="193"/>
      <c r="AT1" s="193"/>
      <c r="AU1" s="194"/>
      <c r="AV1" s="130"/>
      <c r="AW1" s="192" t="s">
        <v>57</v>
      </c>
      <c r="AX1" s="193"/>
      <c r="AY1" s="193"/>
      <c r="AZ1" s="193"/>
      <c r="BA1" s="193"/>
      <c r="BB1" s="193"/>
      <c r="BC1" s="193"/>
      <c r="BD1" s="193"/>
      <c r="BE1" s="193"/>
      <c r="BF1" s="193"/>
      <c r="BG1" s="193"/>
      <c r="BH1" s="194"/>
      <c r="BI1" s="130"/>
      <c r="BJ1" s="192" t="s">
        <v>5</v>
      </c>
      <c r="BK1" s="193"/>
      <c r="BL1" s="193"/>
      <c r="BM1" s="193"/>
      <c r="BN1" s="193"/>
      <c r="BO1" s="193"/>
      <c r="BP1" s="193"/>
      <c r="BQ1" s="193"/>
      <c r="BR1" s="194"/>
      <c r="BS1" s="131"/>
    </row>
    <row r="2" spans="1:71" ht="15" customHeight="1" thickBot="1" x14ac:dyDescent="0.3">
      <c r="B2" s="182"/>
      <c r="C2" s="1"/>
      <c r="D2" s="188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90"/>
      <c r="P2" s="191"/>
      <c r="Q2" s="57"/>
      <c r="R2" s="195"/>
      <c r="S2" s="196"/>
      <c r="T2" s="196"/>
      <c r="U2" s="196"/>
      <c r="V2" s="196"/>
      <c r="W2" s="196"/>
      <c r="X2" s="196"/>
      <c r="Y2" s="196"/>
      <c r="Z2" s="196"/>
      <c r="AA2" s="197"/>
      <c r="AB2" s="59"/>
      <c r="AC2" s="195"/>
      <c r="AD2" s="196"/>
      <c r="AE2" s="196"/>
      <c r="AF2" s="196"/>
      <c r="AG2" s="196"/>
      <c r="AH2" s="196"/>
      <c r="AI2" s="196"/>
      <c r="AJ2" s="196"/>
      <c r="AK2" s="197"/>
      <c r="AL2" s="58"/>
      <c r="AM2" s="195"/>
      <c r="AN2" s="196"/>
      <c r="AO2" s="196"/>
      <c r="AP2" s="196"/>
      <c r="AQ2" s="196"/>
      <c r="AR2" s="196"/>
      <c r="AS2" s="196"/>
      <c r="AT2" s="196"/>
      <c r="AU2" s="197"/>
      <c r="AV2" s="58"/>
      <c r="AW2" s="195"/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7"/>
      <c r="BI2" s="58"/>
      <c r="BJ2" s="195"/>
      <c r="BK2" s="196"/>
      <c r="BL2" s="196"/>
      <c r="BM2" s="196"/>
      <c r="BN2" s="196"/>
      <c r="BO2" s="196"/>
      <c r="BP2" s="196"/>
      <c r="BQ2" s="196"/>
      <c r="BR2" s="197"/>
      <c r="BS2" s="134"/>
    </row>
    <row r="3" spans="1:71" ht="30" customHeight="1" thickBot="1" x14ac:dyDescent="0.3">
      <c r="B3" s="182"/>
      <c r="C3" s="1"/>
      <c r="D3" s="201" t="s">
        <v>6</v>
      </c>
      <c r="E3" s="201" t="s">
        <v>7</v>
      </c>
      <c r="F3" s="201" t="s">
        <v>8</v>
      </c>
      <c r="G3" s="201" t="s">
        <v>9</v>
      </c>
      <c r="H3" s="201" t="s">
        <v>10</v>
      </c>
      <c r="I3" s="203" t="s">
        <v>11</v>
      </c>
      <c r="J3" s="204"/>
      <c r="K3" s="205"/>
      <c r="L3" s="206"/>
      <c r="M3" s="203" t="s">
        <v>12</v>
      </c>
      <c r="N3" s="204"/>
      <c r="O3" s="205"/>
      <c r="P3" s="206"/>
      <c r="Q3" s="57"/>
      <c r="R3" s="207" t="s">
        <v>13</v>
      </c>
      <c r="S3" s="199"/>
      <c r="T3" s="208"/>
      <c r="U3" s="208"/>
      <c r="V3" s="207" t="s">
        <v>14</v>
      </c>
      <c r="W3" s="199"/>
      <c r="X3" s="199"/>
      <c r="Y3" s="199"/>
      <c r="Z3" s="199"/>
      <c r="AA3" s="200"/>
      <c r="AB3" s="59"/>
      <c r="AC3" s="209" t="s">
        <v>15</v>
      </c>
      <c r="AD3" s="211" t="s">
        <v>9</v>
      </c>
      <c r="AE3" s="207" t="s">
        <v>13</v>
      </c>
      <c r="AF3" s="199"/>
      <c r="AG3" s="200"/>
      <c r="AH3" s="207" t="s">
        <v>14</v>
      </c>
      <c r="AI3" s="199"/>
      <c r="AJ3" s="199"/>
      <c r="AK3" s="200"/>
      <c r="AL3" s="58"/>
      <c r="AM3" s="212" t="s">
        <v>15</v>
      </c>
      <c r="AN3" s="209" t="s">
        <v>9</v>
      </c>
      <c r="AO3" s="198" t="s">
        <v>13</v>
      </c>
      <c r="AP3" s="199"/>
      <c r="AQ3" s="200"/>
      <c r="AR3" s="207" t="s">
        <v>14</v>
      </c>
      <c r="AS3" s="199"/>
      <c r="AT3" s="199"/>
      <c r="AU3" s="200"/>
      <c r="AV3" s="58"/>
      <c r="AW3" s="209" t="s">
        <v>15</v>
      </c>
      <c r="AX3" s="209" t="s">
        <v>9</v>
      </c>
      <c r="AY3" s="198" t="s">
        <v>13</v>
      </c>
      <c r="AZ3" s="198"/>
      <c r="BA3" s="199"/>
      <c r="BB3" s="200"/>
      <c r="BC3" s="207" t="s">
        <v>14</v>
      </c>
      <c r="BD3" s="198"/>
      <c r="BE3" s="198"/>
      <c r="BF3" s="199"/>
      <c r="BG3" s="199"/>
      <c r="BH3" s="200"/>
      <c r="BI3" s="58"/>
      <c r="BJ3" s="212" t="s">
        <v>16</v>
      </c>
      <c r="BK3" s="209" t="s">
        <v>17</v>
      </c>
      <c r="BL3" s="213" t="s">
        <v>18</v>
      </c>
      <c r="BM3" s="214"/>
      <c r="BN3" s="215"/>
      <c r="BO3" s="198" t="s">
        <v>14</v>
      </c>
      <c r="BP3" s="199"/>
      <c r="BQ3" s="199"/>
      <c r="BR3" s="200"/>
      <c r="BS3" s="134"/>
    </row>
    <row r="4" spans="1:71" ht="56.25" customHeight="1" thickBot="1" x14ac:dyDescent="0.3">
      <c r="B4" s="183"/>
      <c r="C4" s="2"/>
      <c r="D4" s="202"/>
      <c r="E4" s="202"/>
      <c r="F4" s="202"/>
      <c r="G4" s="202"/>
      <c r="H4" s="202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210"/>
      <c r="AD4" s="193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192"/>
      <c r="AN4" s="210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210"/>
      <c r="AX4" s="210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192"/>
      <c r="BK4" s="210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A6" s="14"/>
      <c r="B6" s="55">
        <v>46142</v>
      </c>
      <c r="C6" s="163"/>
      <c r="D6" s="86">
        <f t="shared" ref="D6" si="0">R6</f>
        <v>60370</v>
      </c>
      <c r="E6" s="158">
        <f t="shared" ref="E6" si="1">F6/D6</f>
        <v>0.89002815968196125</v>
      </c>
      <c r="F6" s="86">
        <f t="shared" ref="F6" si="2">D6-H6</f>
        <v>53731</v>
      </c>
      <c r="G6" s="158">
        <f t="shared" ref="G6" si="3">H6/D6</f>
        <v>0.10997184031803876</v>
      </c>
      <c r="H6" s="145">
        <f t="shared" ref="H6" si="4">U6+AG6+AQ6+BB6</f>
        <v>6639</v>
      </c>
      <c r="I6" s="159">
        <f t="shared" ref="I6" si="5">AE6/(AE6+AO6+BL6+AY6)</f>
        <v>0.11370911826751443</v>
      </c>
      <c r="J6" s="158">
        <f t="shared" ref="J6" si="6">AO6/(AE6+AO6+BL6+AY6)</f>
        <v>0.15458716273031703</v>
      </c>
      <c r="K6" s="158">
        <f t="shared" ref="K6" si="7">AY6/(AF6+AP6+BM6+AZ6+AY6)</f>
        <v>0.16171161967034464</v>
      </c>
      <c r="L6" s="160">
        <f t="shared" ref="L6" si="8">BL6/(AE6+AO6+BL6+AY6)</f>
        <v>0.59160310974080577</v>
      </c>
      <c r="M6" s="145">
        <f>(S6+T6)*I6</f>
        <v>6699.7412483219496</v>
      </c>
      <c r="N6" s="145">
        <f>(S6+T6)*J6</f>
        <v>9108.2756280702797</v>
      </c>
      <c r="O6" s="145">
        <f>(S6+T6)*K6</f>
        <v>9528.0486309767057</v>
      </c>
      <c r="P6" s="145">
        <f>(S6+T6)*L6</f>
        <v>34857.255225928275</v>
      </c>
      <c r="Q6" s="55">
        <f>B6</f>
        <v>46142</v>
      </c>
      <c r="R6" s="138">
        <v>60370</v>
      </c>
      <c r="S6" s="139">
        <v>0</v>
      </c>
      <c r="T6" s="139">
        <v>58920</v>
      </c>
      <c r="U6" s="139">
        <v>0</v>
      </c>
      <c r="V6" s="140">
        <v>13899</v>
      </c>
      <c r="W6" s="141">
        <v>0.84375</v>
      </c>
      <c r="X6" s="140">
        <v>4597</v>
      </c>
      <c r="Y6" s="141">
        <v>0.42708333333333331</v>
      </c>
      <c r="Z6" s="140">
        <v>0</v>
      </c>
      <c r="AA6" s="141">
        <v>0</v>
      </c>
      <c r="AB6" s="55">
        <f>B6</f>
        <v>46142</v>
      </c>
      <c r="AC6" s="75">
        <f t="shared" ref="AC6" si="9">+AF6/AE6</f>
        <v>1</v>
      </c>
      <c r="AD6" s="161">
        <f t="shared" ref="AD6" si="10">+AG6/AE6</f>
        <v>0</v>
      </c>
      <c r="AE6" s="162">
        <v>7708</v>
      </c>
      <c r="AF6" s="117">
        <f t="shared" ref="AF6" si="11">AE6-AG6</f>
        <v>7708</v>
      </c>
      <c r="AG6" s="146">
        <v>0</v>
      </c>
      <c r="AH6" s="147">
        <v>3530</v>
      </c>
      <c r="AI6" s="148">
        <v>0.33888888888888891</v>
      </c>
      <c r="AJ6" s="147">
        <v>0</v>
      </c>
      <c r="AK6" s="164">
        <v>0</v>
      </c>
      <c r="AL6" s="55">
        <f>B6</f>
        <v>46142</v>
      </c>
      <c r="AM6" s="76">
        <f t="shared" ref="AM6" si="12">+AP6/AO6</f>
        <v>0.62725450901803603</v>
      </c>
      <c r="AN6" s="75">
        <f t="shared" ref="AN6" si="13">+AQ6/AO6</f>
        <v>0.37274549098196391</v>
      </c>
      <c r="AO6" s="149">
        <v>10479</v>
      </c>
      <c r="AP6" s="116">
        <f t="shared" ref="AP6" si="14">AO6-AQ6</f>
        <v>6573</v>
      </c>
      <c r="AQ6" s="150">
        <v>3906</v>
      </c>
      <c r="AR6" s="151">
        <v>3569</v>
      </c>
      <c r="AS6" s="152">
        <v>0.76111111111111107</v>
      </c>
      <c r="AT6" s="151">
        <v>183</v>
      </c>
      <c r="AU6" s="153">
        <v>0.73958333333333337</v>
      </c>
      <c r="AV6" s="55">
        <f>B6</f>
        <v>46142</v>
      </c>
      <c r="AW6" s="109">
        <f t="shared" ref="AW6" si="15">BA6/AZ6</f>
        <v>0.71222491313046221</v>
      </c>
      <c r="AX6" s="109">
        <f t="shared" ref="AX6" si="16">BB6/AZ6</f>
        <v>0.28777508686953773</v>
      </c>
      <c r="AY6" s="110">
        <f t="shared" ref="AY6" si="17">BA6+BB6</f>
        <v>9497</v>
      </c>
      <c r="AZ6" s="111">
        <v>9497</v>
      </c>
      <c r="BA6" s="119">
        <f t="shared" ref="BA6" si="18">AZ6-BB6</f>
        <v>6764</v>
      </c>
      <c r="BB6" s="112">
        <v>2733</v>
      </c>
      <c r="BC6" s="111">
        <v>4318</v>
      </c>
      <c r="BD6" s="113">
        <v>0.76041666666666663</v>
      </c>
      <c r="BE6" s="114">
        <v>0</v>
      </c>
      <c r="BF6" s="113">
        <v>0</v>
      </c>
      <c r="BG6" s="114">
        <v>157</v>
      </c>
      <c r="BH6" s="113">
        <v>0.86458333333333337</v>
      </c>
      <c r="BI6" s="55">
        <f>B6</f>
        <v>46142</v>
      </c>
      <c r="BJ6" s="77">
        <f t="shared" ref="BJ6" si="19">+BM6/BL6</f>
        <v>0.6346906715208338</v>
      </c>
      <c r="BK6" s="75">
        <f t="shared" ref="BK6" si="20">+BN6/BL6</f>
        <v>0.36530932847916614</v>
      </c>
      <c r="BL6" s="78">
        <f t="shared" ref="BL6" si="21">BM6+BN6</f>
        <v>40103</v>
      </c>
      <c r="BM6" s="154">
        <v>25453</v>
      </c>
      <c r="BN6" s="154">
        <v>14650</v>
      </c>
      <c r="BO6" s="155">
        <v>4080</v>
      </c>
      <c r="BP6" s="156">
        <v>0.36458333333333331</v>
      </c>
      <c r="BQ6" s="157">
        <v>2707</v>
      </c>
      <c r="BR6" s="156">
        <v>0.36527777777777776</v>
      </c>
    </row>
    <row r="7" spans="1:71" ht="15.75" thickBot="1" x14ac:dyDescent="0.3">
      <c r="A7" s="165"/>
      <c r="B7" s="55">
        <f>B6+1</f>
        <v>46143</v>
      </c>
      <c r="C7" s="125"/>
      <c r="D7" s="86">
        <f t="shared" ref="D7:D23" si="22">R7</f>
        <v>31812</v>
      </c>
      <c r="E7" s="158">
        <f t="shared" ref="E7:E10" si="23">F7/D7</f>
        <v>0.77706525839305918</v>
      </c>
      <c r="F7" s="86">
        <f t="shared" ref="F7:F37" si="24">D7-H7</f>
        <v>24720</v>
      </c>
      <c r="G7" s="158">
        <f t="shared" ref="G7:G10" si="25">H7/D7</f>
        <v>0.22293474160694077</v>
      </c>
      <c r="H7" s="145">
        <f t="shared" ref="H7:H37" si="26">U7+AG7+AQ7+BB7</f>
        <v>7092</v>
      </c>
      <c r="I7" s="159">
        <f t="shared" ref="I7:I10" si="27">AE7/(AE7+AO7+BL7+AY7)</f>
        <v>6.3364021627940956E-2</v>
      </c>
      <c r="J7" s="158">
        <f t="shared" ref="J7:J10" si="28">AO7/(AE7+AO7+BL7+AY7)</f>
        <v>0.14984655852696185</v>
      </c>
      <c r="K7" s="158">
        <f t="shared" ref="K7:K10" si="29">AY7/(AF7+AP7+BM7+AZ7+AY7)</f>
        <v>0.18432684267112651</v>
      </c>
      <c r="L7" s="160">
        <f t="shared" ref="L7:L10" si="30">BL7/(AE7+AO7+BL7+AY7)</f>
        <v>0.65149788104632467</v>
      </c>
      <c r="M7" s="145">
        <f t="shared" ref="M7:M10" si="31">(S7+T7)*I7</f>
        <v>1924.5554289054508</v>
      </c>
      <c r="N7" s="145">
        <f t="shared" ref="N7:N10" si="32">(S7+T7)*J7</f>
        <v>4551.2895221394128</v>
      </c>
      <c r="O7" s="145">
        <f t="shared" ref="O7:O10" si="33">(S7+T7)*K7</f>
        <v>5598.559192450125</v>
      </c>
      <c r="P7" s="145">
        <f t="shared" ref="P7:P10" si="34">(S7+T7)*L7</f>
        <v>19787.94514102002</v>
      </c>
      <c r="Q7" s="55">
        <f>Q6+1</f>
        <v>46143</v>
      </c>
      <c r="R7" s="138">
        <v>31812</v>
      </c>
      <c r="S7" s="139">
        <v>0</v>
      </c>
      <c r="T7" s="139">
        <v>30373</v>
      </c>
      <c r="U7" s="139">
        <v>0</v>
      </c>
      <c r="V7" s="140">
        <v>6323</v>
      </c>
      <c r="W7" s="141">
        <v>0.69791666666666663</v>
      </c>
      <c r="X7" s="140">
        <v>1943</v>
      </c>
      <c r="Y7" s="141">
        <v>0.44791666666666669</v>
      </c>
      <c r="Z7" s="140">
        <v>0</v>
      </c>
      <c r="AA7" s="141">
        <v>0</v>
      </c>
      <c r="AB7" s="55">
        <f>AB6+1</f>
        <v>46143</v>
      </c>
      <c r="AC7" s="75">
        <f t="shared" ref="AC7:AC10" si="35">+AF7/AE7</f>
        <v>1</v>
      </c>
      <c r="AD7" s="161">
        <f t="shared" ref="AD7:AD10" si="36">+AG7/AE7</f>
        <v>0</v>
      </c>
      <c r="AE7" s="162">
        <v>2168</v>
      </c>
      <c r="AF7" s="117">
        <f t="shared" ref="AF7:AF39" si="37">AE7-AG7</f>
        <v>2168</v>
      </c>
      <c r="AG7" s="146">
        <v>0</v>
      </c>
      <c r="AH7" s="147">
        <v>1695</v>
      </c>
      <c r="AI7" s="148">
        <v>0.93055555555555558</v>
      </c>
      <c r="AJ7" s="147">
        <v>0</v>
      </c>
      <c r="AK7" s="164">
        <v>0</v>
      </c>
      <c r="AL7" s="55">
        <f t="shared" ref="AL7:AL37" si="38">AL6+1</f>
        <v>46143</v>
      </c>
      <c r="AM7" s="76">
        <f t="shared" ref="AM7:AM10" si="39">+AP7/AO7</f>
        <v>0.27891554515311096</v>
      </c>
      <c r="AN7" s="75">
        <f t="shared" ref="AN7:AN10" si="40">+AQ7/AO7</f>
        <v>0.72108445484688899</v>
      </c>
      <c r="AO7" s="149">
        <v>5127</v>
      </c>
      <c r="AP7" s="116">
        <f t="shared" ref="AP7:AP36" si="41">AO7-AQ7</f>
        <v>1430</v>
      </c>
      <c r="AQ7" s="150">
        <v>3697</v>
      </c>
      <c r="AR7" s="151">
        <v>1728</v>
      </c>
      <c r="AS7" s="152">
        <v>0.65138888888888891</v>
      </c>
      <c r="AT7" s="151">
        <v>181</v>
      </c>
      <c r="AU7" s="153">
        <v>0.8125</v>
      </c>
      <c r="AV7" s="55">
        <f>AV6+1</f>
        <v>46143</v>
      </c>
      <c r="AW7" s="109">
        <f t="shared" ref="AW7:AW10" si="42">BA7/AZ7</f>
        <v>0.26658025491466841</v>
      </c>
      <c r="AX7" s="109">
        <f t="shared" ref="AX7:AX10" si="43">BB7/AZ7</f>
        <v>0.73341974508533159</v>
      </c>
      <c r="AY7" s="110">
        <f t="shared" ref="AY7" si="44">BA7+BB7</f>
        <v>4629</v>
      </c>
      <c r="AZ7" s="111">
        <v>4629</v>
      </c>
      <c r="BA7" s="119">
        <f t="shared" ref="BA7:BA39" si="45">AZ7-BB7</f>
        <v>1234</v>
      </c>
      <c r="BB7" s="112">
        <f>2697+698</f>
        <v>3395</v>
      </c>
      <c r="BC7" s="111">
        <v>2067</v>
      </c>
      <c r="BD7" s="113">
        <v>0.1875</v>
      </c>
      <c r="BE7" s="114">
        <v>0</v>
      </c>
      <c r="BF7" s="113">
        <v>0</v>
      </c>
      <c r="BG7" s="114">
        <v>154</v>
      </c>
      <c r="BH7" s="113">
        <v>0.85416666666666663</v>
      </c>
      <c r="BI7" s="55">
        <f>BI6+1</f>
        <v>46143</v>
      </c>
      <c r="BJ7" s="77">
        <f t="shared" ref="BJ7:BJ10" si="46">+BM7/BL7</f>
        <v>0.54986317347808533</v>
      </c>
      <c r="BK7" s="75">
        <f t="shared" ref="BK7:BK10" si="47">+BN7/BL7</f>
        <v>0.45013682652191467</v>
      </c>
      <c r="BL7" s="78">
        <f t="shared" ref="BL7:BL10" si="48">BM7+BN7</f>
        <v>22291</v>
      </c>
      <c r="BM7" s="154">
        <v>12257</v>
      </c>
      <c r="BN7" s="154">
        <v>10034</v>
      </c>
      <c r="BO7" s="155">
        <v>2285</v>
      </c>
      <c r="BP7" s="156">
        <v>0.85972222222222228</v>
      </c>
      <c r="BQ7" s="157">
        <v>2404</v>
      </c>
      <c r="BR7" s="156">
        <v>0.17430555555555555</v>
      </c>
    </row>
    <row r="8" spans="1:71" ht="15.75" thickBot="1" x14ac:dyDescent="0.3">
      <c r="A8" s="165"/>
      <c r="B8" s="55">
        <f t="shared" ref="B8:B37" si="49">B7+1</f>
        <v>46144</v>
      </c>
      <c r="C8" s="163"/>
      <c r="D8" s="86">
        <f t="shared" si="22"/>
        <v>36616</v>
      </c>
      <c r="E8" s="158">
        <f t="shared" si="23"/>
        <v>0.80489403539436311</v>
      </c>
      <c r="F8" s="86">
        <f t="shared" si="24"/>
        <v>29472</v>
      </c>
      <c r="G8" s="158">
        <f t="shared" si="25"/>
        <v>0.19510596460563687</v>
      </c>
      <c r="H8" s="145">
        <f t="shared" si="26"/>
        <v>7144</v>
      </c>
      <c r="I8" s="159">
        <f t="shared" si="27"/>
        <v>7.5958720228565799E-2</v>
      </c>
      <c r="J8" s="158">
        <f t="shared" si="28"/>
        <v>0.14674515406024483</v>
      </c>
      <c r="K8" s="158">
        <f t="shared" si="29"/>
        <v>0.15803745174976871</v>
      </c>
      <c r="L8" s="160">
        <f t="shared" si="30"/>
        <v>0.65527942661510796</v>
      </c>
      <c r="M8" s="145">
        <f t="shared" si="31"/>
        <v>2670.4807270756878</v>
      </c>
      <c r="N8" s="145">
        <f t="shared" si="32"/>
        <v>5159.1193812960273</v>
      </c>
      <c r="O8" s="145">
        <f t="shared" si="33"/>
        <v>5556.122691166619</v>
      </c>
      <c r="P8" s="145">
        <f t="shared" si="34"/>
        <v>23037.65880150735</v>
      </c>
      <c r="Q8" s="55">
        <f t="shared" ref="Q8:Q37" si="50">Q7+1</f>
        <v>46144</v>
      </c>
      <c r="R8" s="138">
        <v>36616</v>
      </c>
      <c r="S8" s="139">
        <v>0</v>
      </c>
      <c r="T8" s="139">
        <v>35157</v>
      </c>
      <c r="U8" s="139">
        <v>0</v>
      </c>
      <c r="V8" s="140">
        <v>6518</v>
      </c>
      <c r="W8" s="141">
        <v>0</v>
      </c>
      <c r="X8" s="140">
        <v>2045</v>
      </c>
      <c r="Y8" s="141">
        <v>0.71875</v>
      </c>
      <c r="Z8" s="140">
        <v>0</v>
      </c>
      <c r="AA8" s="141">
        <v>0</v>
      </c>
      <c r="AB8" s="55">
        <f t="shared" ref="AB8:AB37" si="51">AB7+1</f>
        <v>46144</v>
      </c>
      <c r="AC8" s="75">
        <f t="shared" si="35"/>
        <v>1</v>
      </c>
      <c r="AD8" s="161">
        <f t="shared" si="36"/>
        <v>0</v>
      </c>
      <c r="AE8" s="162">
        <v>3084</v>
      </c>
      <c r="AF8" s="117">
        <f>AE8-AG8</f>
        <v>3084</v>
      </c>
      <c r="AG8" s="146">
        <v>0</v>
      </c>
      <c r="AH8" s="147">
        <v>1721</v>
      </c>
      <c r="AI8" s="148">
        <v>0.92361111111111116</v>
      </c>
      <c r="AJ8" s="147">
        <v>0</v>
      </c>
      <c r="AK8" s="164">
        <v>0</v>
      </c>
      <c r="AL8" s="55">
        <f t="shared" si="38"/>
        <v>46144</v>
      </c>
      <c r="AM8" s="76">
        <f t="shared" si="39"/>
        <v>0.37730782141658276</v>
      </c>
      <c r="AN8" s="75">
        <f t="shared" si="40"/>
        <v>0.6226921785834173</v>
      </c>
      <c r="AO8" s="149">
        <v>5958</v>
      </c>
      <c r="AP8" s="116">
        <f t="shared" si="41"/>
        <v>2248</v>
      </c>
      <c r="AQ8" s="150">
        <v>3710</v>
      </c>
      <c r="AR8" s="151">
        <v>1967</v>
      </c>
      <c r="AS8" s="152">
        <v>0.95138888888888884</v>
      </c>
      <c r="AT8" s="151">
        <v>182</v>
      </c>
      <c r="AU8" s="153">
        <v>0.80208333333333337</v>
      </c>
      <c r="AV8" s="55">
        <f t="shared" ref="AV8:AV37" si="52">AV7+1</f>
        <v>46144</v>
      </c>
      <c r="AW8" s="109">
        <f t="shared" si="42"/>
        <v>0.30682276947920872</v>
      </c>
      <c r="AX8" s="109">
        <f t="shared" si="43"/>
        <v>0.69317723052079128</v>
      </c>
      <c r="AY8" s="110">
        <f>BA8+BB8</f>
        <v>4954</v>
      </c>
      <c r="AZ8" s="111">
        <v>4954</v>
      </c>
      <c r="BA8" s="119">
        <f t="shared" si="45"/>
        <v>1520</v>
      </c>
      <c r="BB8" s="112">
        <f>2736+698</f>
        <v>3434</v>
      </c>
      <c r="BC8" s="111">
        <v>1477</v>
      </c>
      <c r="BD8" s="113">
        <v>0.95833333333333337</v>
      </c>
      <c r="BE8" s="114">
        <v>0</v>
      </c>
      <c r="BF8" s="113">
        <v>0</v>
      </c>
      <c r="BG8" s="114">
        <v>163</v>
      </c>
      <c r="BH8" s="113">
        <v>0.79166666666666663</v>
      </c>
      <c r="BI8" s="55">
        <f t="shared" ref="BI8:BI37" si="53">BI7+1</f>
        <v>46144</v>
      </c>
      <c r="BJ8" s="77">
        <f t="shared" si="46"/>
        <v>0.6054125164442774</v>
      </c>
      <c r="BK8" s="75">
        <f t="shared" si="47"/>
        <v>0.3945874835557226</v>
      </c>
      <c r="BL8" s="78">
        <f t="shared" si="48"/>
        <v>26605</v>
      </c>
      <c r="BM8" s="154">
        <v>16107</v>
      </c>
      <c r="BN8" s="154">
        <v>10498</v>
      </c>
      <c r="BO8" s="155">
        <v>2537</v>
      </c>
      <c r="BP8" s="156">
        <v>0.36944444444444446</v>
      </c>
      <c r="BQ8" s="157">
        <v>1691</v>
      </c>
      <c r="BR8" s="156">
        <v>0.37013888888888891</v>
      </c>
    </row>
    <row r="9" spans="1:71" ht="15.75" thickBot="1" x14ac:dyDescent="0.3">
      <c r="A9" s="165" t="s">
        <v>67</v>
      </c>
      <c r="B9" s="55">
        <f t="shared" si="49"/>
        <v>46145</v>
      </c>
      <c r="C9" s="163"/>
      <c r="D9" s="86">
        <f t="shared" si="22"/>
        <v>30572</v>
      </c>
      <c r="E9" s="158">
        <f t="shared" si="23"/>
        <v>0.76870993065550175</v>
      </c>
      <c r="F9" s="86">
        <f t="shared" si="24"/>
        <v>23501</v>
      </c>
      <c r="G9" s="158">
        <f t="shared" si="25"/>
        <v>0.23129006934449822</v>
      </c>
      <c r="H9" s="145">
        <f t="shared" si="26"/>
        <v>7071</v>
      </c>
      <c r="I9" s="159">
        <f t="shared" si="27"/>
        <v>6.5825992518402321E-2</v>
      </c>
      <c r="J9" s="158">
        <f t="shared" si="28"/>
        <v>0.1654096778086159</v>
      </c>
      <c r="K9" s="158">
        <f t="shared" si="29"/>
        <v>0.21173404755872452</v>
      </c>
      <c r="L9" s="160">
        <f t="shared" si="30"/>
        <v>0.59228309400265478</v>
      </c>
      <c r="M9" s="145">
        <f t="shared" si="31"/>
        <v>1922.7772414625317</v>
      </c>
      <c r="N9" s="145">
        <f t="shared" si="32"/>
        <v>4831.6166887896707</v>
      </c>
      <c r="O9" s="145">
        <f t="shared" si="33"/>
        <v>6184.7515291903428</v>
      </c>
      <c r="P9" s="145">
        <f t="shared" si="34"/>
        <v>17300.589175817546</v>
      </c>
      <c r="Q9" s="55">
        <f t="shared" si="50"/>
        <v>46145</v>
      </c>
      <c r="R9" s="138">
        <v>30572</v>
      </c>
      <c r="S9" s="139">
        <v>0</v>
      </c>
      <c r="T9" s="139">
        <v>29210</v>
      </c>
      <c r="U9" s="139">
        <v>0</v>
      </c>
      <c r="V9" s="140">
        <v>7183</v>
      </c>
      <c r="W9" s="141">
        <v>0.76041666666666663</v>
      </c>
      <c r="X9" s="140">
        <v>1865</v>
      </c>
      <c r="Y9" s="141">
        <v>0.76041666666666663</v>
      </c>
      <c r="Z9" s="140">
        <v>0</v>
      </c>
      <c r="AA9" s="141">
        <v>0</v>
      </c>
      <c r="AB9" s="55">
        <f t="shared" si="51"/>
        <v>46145</v>
      </c>
      <c r="AC9" s="75">
        <f t="shared" si="35"/>
        <v>1</v>
      </c>
      <c r="AD9" s="161">
        <f t="shared" si="36"/>
        <v>0</v>
      </c>
      <c r="AE9" s="162">
        <v>2182</v>
      </c>
      <c r="AF9" s="117">
        <f t="shared" si="37"/>
        <v>2182</v>
      </c>
      <c r="AG9" s="146">
        <v>0</v>
      </c>
      <c r="AH9" s="147">
        <v>1951</v>
      </c>
      <c r="AI9" s="148">
        <v>0.93402777777777779</v>
      </c>
      <c r="AJ9" s="147">
        <v>0</v>
      </c>
      <c r="AK9" s="164">
        <v>0</v>
      </c>
      <c r="AL9" s="55">
        <f t="shared" si="38"/>
        <v>46145</v>
      </c>
      <c r="AM9" s="76">
        <f t="shared" si="39"/>
        <v>0.33102316250227976</v>
      </c>
      <c r="AN9" s="75">
        <f t="shared" si="40"/>
        <v>0.66897683749772019</v>
      </c>
      <c r="AO9" s="149">
        <v>5483</v>
      </c>
      <c r="AP9" s="116">
        <f t="shared" si="41"/>
        <v>1815</v>
      </c>
      <c r="AQ9" s="150">
        <v>3668</v>
      </c>
      <c r="AR9" s="151">
        <v>1774</v>
      </c>
      <c r="AS9" s="152">
        <v>0.71388888888888891</v>
      </c>
      <c r="AT9" s="151">
        <v>178</v>
      </c>
      <c r="AU9" s="153">
        <v>0.82291666666666663</v>
      </c>
      <c r="AV9" s="55">
        <f t="shared" si="52"/>
        <v>46145</v>
      </c>
      <c r="AW9" s="109">
        <f t="shared" si="42"/>
        <v>0.41829059829059828</v>
      </c>
      <c r="AX9" s="109">
        <f t="shared" si="43"/>
        <v>0.58170940170940166</v>
      </c>
      <c r="AY9" s="110">
        <f t="shared" ref="AY9:AY39" si="54">BA9+BB9</f>
        <v>5850</v>
      </c>
      <c r="AZ9" s="111">
        <v>5850</v>
      </c>
      <c r="BA9" s="119">
        <f t="shared" si="45"/>
        <v>2447</v>
      </c>
      <c r="BB9" s="112">
        <f>2705+698</f>
        <v>3403</v>
      </c>
      <c r="BC9" s="111">
        <v>3036</v>
      </c>
      <c r="BD9" s="113">
        <v>0.22916666666666666</v>
      </c>
      <c r="BE9" s="114">
        <v>0</v>
      </c>
      <c r="BF9" s="113">
        <v>0</v>
      </c>
      <c r="BG9" s="114">
        <v>172</v>
      </c>
      <c r="BH9" s="113">
        <v>0.77083333333333337</v>
      </c>
      <c r="BI9" s="55">
        <f t="shared" si="53"/>
        <v>46145</v>
      </c>
      <c r="BJ9" s="77">
        <f t="shared" si="46"/>
        <v>0.60775225385829978</v>
      </c>
      <c r="BK9" s="75">
        <f t="shared" si="47"/>
        <v>0.39224774614170022</v>
      </c>
      <c r="BL9" s="78">
        <f t="shared" si="48"/>
        <v>19633</v>
      </c>
      <c r="BM9" s="154">
        <v>11932</v>
      </c>
      <c r="BN9" s="154">
        <v>7701</v>
      </c>
      <c r="BO9" s="155">
        <v>3080</v>
      </c>
      <c r="BP9" s="156">
        <v>0.41597222222222224</v>
      </c>
      <c r="BQ9" s="157">
        <v>2055</v>
      </c>
      <c r="BR9" s="156">
        <v>0.41666666666666669</v>
      </c>
    </row>
    <row r="10" spans="1:71" ht="15.75" thickBot="1" x14ac:dyDescent="0.3">
      <c r="B10" s="55">
        <f t="shared" si="49"/>
        <v>46146</v>
      </c>
      <c r="C10" s="163"/>
      <c r="D10" s="86">
        <f t="shared" si="22"/>
        <v>58276</v>
      </c>
      <c r="E10" s="158">
        <f t="shared" si="23"/>
        <v>0.87480266318896283</v>
      </c>
      <c r="F10" s="86">
        <f t="shared" si="24"/>
        <v>50980</v>
      </c>
      <c r="G10" s="158">
        <f t="shared" si="25"/>
        <v>0.12519733681103715</v>
      </c>
      <c r="H10" s="145">
        <f t="shared" si="26"/>
        <v>7296</v>
      </c>
      <c r="I10" s="159">
        <f t="shared" si="27"/>
        <v>0.12042029163092759</v>
      </c>
      <c r="J10" s="158">
        <f t="shared" si="28"/>
        <v>0.15892660213209164</v>
      </c>
      <c r="K10" s="158">
        <f t="shared" si="29"/>
        <v>0.17617966453702236</v>
      </c>
      <c r="L10" s="160">
        <f t="shared" si="30"/>
        <v>0.56733243475064332</v>
      </c>
      <c r="M10" s="145">
        <f t="shared" si="31"/>
        <v>6840.5950863864728</v>
      </c>
      <c r="N10" s="145">
        <f t="shared" si="32"/>
        <v>9027.9845607155985</v>
      </c>
      <c r="O10" s="145">
        <f t="shared" si="33"/>
        <v>10008.062023690092</v>
      </c>
      <c r="P10" s="145">
        <f t="shared" si="34"/>
        <v>32227.886288445043</v>
      </c>
      <c r="Q10" s="55">
        <f t="shared" si="50"/>
        <v>46146</v>
      </c>
      <c r="R10" s="138">
        <v>58276</v>
      </c>
      <c r="S10" s="139">
        <v>0</v>
      </c>
      <c r="T10" s="139">
        <v>56806</v>
      </c>
      <c r="U10" s="139">
        <v>0</v>
      </c>
      <c r="V10" s="140">
        <v>13560</v>
      </c>
      <c r="W10" s="141">
        <v>0.76041666666666663</v>
      </c>
      <c r="X10" s="140">
        <v>4692</v>
      </c>
      <c r="Y10" s="141">
        <v>0.76041666666666663</v>
      </c>
      <c r="Z10" s="140">
        <v>0</v>
      </c>
      <c r="AA10" s="141">
        <v>0</v>
      </c>
      <c r="AB10" s="55">
        <f t="shared" si="51"/>
        <v>46146</v>
      </c>
      <c r="AC10" s="75">
        <f t="shared" si="35"/>
        <v>1</v>
      </c>
      <c r="AD10" s="161">
        <f t="shared" si="36"/>
        <v>0</v>
      </c>
      <c r="AE10" s="162">
        <v>7862</v>
      </c>
      <c r="AF10" s="117">
        <f t="shared" si="37"/>
        <v>7862</v>
      </c>
      <c r="AG10" s="146">
        <v>0</v>
      </c>
      <c r="AH10" s="147">
        <v>4231</v>
      </c>
      <c r="AI10" s="148">
        <v>0.33541666666666664</v>
      </c>
      <c r="AJ10" s="147">
        <v>0</v>
      </c>
      <c r="AK10" s="164">
        <v>0</v>
      </c>
      <c r="AL10" s="55">
        <f t="shared" si="38"/>
        <v>46146</v>
      </c>
      <c r="AM10" s="76">
        <f t="shared" si="39"/>
        <v>0.6324209714726291</v>
      </c>
      <c r="AN10" s="75">
        <f t="shared" si="40"/>
        <v>0.36757902852737084</v>
      </c>
      <c r="AO10" s="149">
        <v>10376</v>
      </c>
      <c r="AP10" s="116">
        <f t="shared" si="41"/>
        <v>6562</v>
      </c>
      <c r="AQ10" s="150">
        <v>3814</v>
      </c>
      <c r="AR10" s="151">
        <v>3312</v>
      </c>
      <c r="AS10" s="152">
        <v>0.76249999999999996</v>
      </c>
      <c r="AT10" s="151">
        <v>182</v>
      </c>
      <c r="AU10" s="153">
        <v>0.8125</v>
      </c>
      <c r="AV10" s="55">
        <f t="shared" si="52"/>
        <v>46146</v>
      </c>
      <c r="AW10" s="109">
        <f t="shared" si="42"/>
        <v>0.6521478521478522</v>
      </c>
      <c r="AX10" s="109">
        <f t="shared" si="43"/>
        <v>0.34785214785214785</v>
      </c>
      <c r="AY10" s="110">
        <f t="shared" si="54"/>
        <v>10010</v>
      </c>
      <c r="AZ10" s="111">
        <v>10010</v>
      </c>
      <c r="BA10" s="119">
        <f t="shared" si="45"/>
        <v>6528</v>
      </c>
      <c r="BB10" s="112">
        <f>2784+698</f>
        <v>3482</v>
      </c>
      <c r="BC10" s="111">
        <v>3863</v>
      </c>
      <c r="BD10" s="113">
        <v>0.70833333333333337</v>
      </c>
      <c r="BE10" s="114">
        <v>0</v>
      </c>
      <c r="BF10" s="113">
        <v>0</v>
      </c>
      <c r="BG10" s="114">
        <v>163</v>
      </c>
      <c r="BH10" s="113">
        <v>0.80208333333333337</v>
      </c>
      <c r="BI10" s="55">
        <f t="shared" si="53"/>
        <v>46146</v>
      </c>
      <c r="BJ10" s="77">
        <f t="shared" si="46"/>
        <v>0.60402267818574518</v>
      </c>
      <c r="BK10" s="75">
        <f t="shared" si="47"/>
        <v>0.39597732181425488</v>
      </c>
      <c r="BL10" s="78">
        <f t="shared" si="48"/>
        <v>37040</v>
      </c>
      <c r="BM10" s="154">
        <v>22373</v>
      </c>
      <c r="BN10" s="154">
        <v>14667</v>
      </c>
      <c r="BO10" s="155">
        <v>4293</v>
      </c>
      <c r="BP10" s="156">
        <v>0.74722222222222223</v>
      </c>
      <c r="BQ10" s="157">
        <v>3152</v>
      </c>
      <c r="BR10" s="156">
        <v>0.74722222222222223</v>
      </c>
      <c r="BS10" s="14" t="s">
        <v>68</v>
      </c>
    </row>
    <row r="11" spans="1:71" ht="15.75" thickBot="1" x14ac:dyDescent="0.3">
      <c r="B11" s="55">
        <f t="shared" si="49"/>
        <v>46147</v>
      </c>
      <c r="C11" s="163"/>
      <c r="D11" s="86">
        <f t="shared" si="22"/>
        <v>61622</v>
      </c>
      <c r="E11" s="158">
        <f t="shared" ref="E11:E24" si="55">F11/D11</f>
        <v>0.88035117328226931</v>
      </c>
      <c r="F11" s="86">
        <f t="shared" si="24"/>
        <v>54249</v>
      </c>
      <c r="G11" s="158">
        <f t="shared" ref="G11:G24" si="56">H11/D11</f>
        <v>0.11964882671773068</v>
      </c>
      <c r="H11" s="145">
        <f t="shared" si="26"/>
        <v>7373</v>
      </c>
      <c r="I11" s="159">
        <f t="shared" ref="I11:I24" si="57">AE11/(AE11+AO11+BL11+AY11)</f>
        <v>0.11253971990114157</v>
      </c>
      <c r="J11" s="158">
        <f t="shared" ref="J11:J24" si="58">AO11/(AE11+AO11+BL11+AY11)</f>
        <v>0.16096857714487467</v>
      </c>
      <c r="K11" s="158">
        <f t="shared" ref="K11:K24" si="59">AY11/(AF11+AP11+BM11+AZ11+AY11)</f>
        <v>0.19450666230687486</v>
      </c>
      <c r="L11" s="160">
        <f t="shared" ref="L11:L24" si="60">BL11/(AE11+AO11+BL11+AY11)</f>
        <v>0.55147404966458746</v>
      </c>
      <c r="M11" s="145">
        <f t="shared" ref="M11:M24" si="61">(S11+T11)*I11</f>
        <v>6770.3895492526772</v>
      </c>
      <c r="N11" s="145">
        <f t="shared" ref="N11:N24" si="62">(S11+T11)*J11</f>
        <v>9683.8696010356598</v>
      </c>
      <c r="O11" s="145">
        <f t="shared" ref="O11:O24" si="63">(S11+T11)*K11</f>
        <v>11701.520804381591</v>
      </c>
      <c r="P11" s="145">
        <f t="shared" ref="P11:P24" si="64">(S11+T11)*L11</f>
        <v>33176.678827821583</v>
      </c>
      <c r="Q11" s="55">
        <f t="shared" si="50"/>
        <v>46147</v>
      </c>
      <c r="R11" s="138">
        <v>61622</v>
      </c>
      <c r="S11" s="139">
        <v>0</v>
      </c>
      <c r="T11" s="139">
        <v>60160</v>
      </c>
      <c r="U11" s="139">
        <v>0</v>
      </c>
      <c r="V11" s="140">
        <v>13020</v>
      </c>
      <c r="W11" s="141">
        <v>0.72916666666666663</v>
      </c>
      <c r="X11" s="140">
        <v>4797</v>
      </c>
      <c r="Y11" s="141">
        <v>0.41666666666666669</v>
      </c>
      <c r="Z11" s="140">
        <v>0</v>
      </c>
      <c r="AA11" s="141">
        <v>0</v>
      </c>
      <c r="AB11" s="55">
        <f t="shared" si="51"/>
        <v>46147</v>
      </c>
      <c r="AC11" s="75">
        <f t="shared" ref="AC11:AC25" si="65">+AF11/AE11</f>
        <v>1</v>
      </c>
      <c r="AD11" s="161">
        <f t="shared" ref="AD11:AD25" si="66">+AG11/AE11</f>
        <v>0</v>
      </c>
      <c r="AE11" s="162">
        <v>7650</v>
      </c>
      <c r="AF11" s="117">
        <f t="shared" si="37"/>
        <v>7650</v>
      </c>
      <c r="AG11" s="146">
        <v>0</v>
      </c>
      <c r="AH11" s="147">
        <v>3677</v>
      </c>
      <c r="AI11" s="148">
        <v>0.42430555555555555</v>
      </c>
      <c r="AJ11" s="147">
        <v>0</v>
      </c>
      <c r="AK11" s="164">
        <v>0</v>
      </c>
      <c r="AL11" s="55">
        <f t="shared" si="38"/>
        <v>46147</v>
      </c>
      <c r="AM11" s="76">
        <f t="shared" ref="AM11:AM25" si="67">+AP11/AO11</f>
        <v>0.6460427709742278</v>
      </c>
      <c r="AN11" s="75">
        <f t="shared" ref="AN11:AN25" si="68">+AQ11/AO11</f>
        <v>0.35395722902577226</v>
      </c>
      <c r="AO11" s="149">
        <v>10942</v>
      </c>
      <c r="AP11" s="116">
        <f t="shared" si="41"/>
        <v>7069</v>
      </c>
      <c r="AQ11" s="150">
        <v>3873</v>
      </c>
      <c r="AR11" s="151">
        <v>3802</v>
      </c>
      <c r="AS11" s="152">
        <v>0.36041666666666666</v>
      </c>
      <c r="AT11" s="151">
        <v>179</v>
      </c>
      <c r="AU11" s="153">
        <v>0.29166666666666669</v>
      </c>
      <c r="AV11" s="55">
        <f t="shared" si="52"/>
        <v>46147</v>
      </c>
      <c r="AW11" s="109">
        <f t="shared" ref="AW11:AW25" si="69">BA11/AZ11</f>
        <v>0.7058081869378835</v>
      </c>
      <c r="AX11" s="109">
        <f t="shared" ref="AX11:AX25" si="70">BB11/AZ11</f>
        <v>0.2941918130621165</v>
      </c>
      <c r="AY11" s="110">
        <f t="shared" si="54"/>
        <v>11897</v>
      </c>
      <c r="AZ11" s="111">
        <v>11897</v>
      </c>
      <c r="BA11" s="119">
        <f t="shared" si="45"/>
        <v>8397</v>
      </c>
      <c r="BB11" s="112">
        <f>2802+698</f>
        <v>3500</v>
      </c>
      <c r="BC11" s="111">
        <v>3798</v>
      </c>
      <c r="BD11" s="113">
        <v>0.32291666666666669</v>
      </c>
      <c r="BE11" s="114">
        <v>0</v>
      </c>
      <c r="BF11" s="113">
        <v>0</v>
      </c>
      <c r="BG11" s="114">
        <v>164</v>
      </c>
      <c r="BH11" s="113">
        <v>0.75</v>
      </c>
      <c r="BI11" s="55">
        <f t="shared" si="53"/>
        <v>46147</v>
      </c>
      <c r="BJ11" s="77">
        <f t="shared" ref="BJ11:BJ25" si="71">+BM11/BL11</f>
        <v>0.60426281110785074</v>
      </c>
      <c r="BK11" s="75">
        <f t="shared" ref="BK11:BK25" si="72">+BN11/BL11</f>
        <v>0.39573718889214926</v>
      </c>
      <c r="BL11" s="78">
        <f t="shared" ref="BL11:BL25" si="73">BM11+BN11</f>
        <v>37487</v>
      </c>
      <c r="BM11" s="154">
        <v>22652</v>
      </c>
      <c r="BN11" s="154">
        <v>14835</v>
      </c>
      <c r="BO11" s="155">
        <v>4593</v>
      </c>
      <c r="BP11" s="156">
        <v>0.38124999999999998</v>
      </c>
      <c r="BQ11" s="157">
        <v>3074</v>
      </c>
      <c r="BR11" s="156">
        <v>0.38124999999999998</v>
      </c>
    </row>
    <row r="12" spans="1:71" ht="15.75" thickBot="1" x14ac:dyDescent="0.3">
      <c r="B12" s="55">
        <f t="shared" si="49"/>
        <v>46148</v>
      </c>
      <c r="C12" s="163"/>
      <c r="D12" s="86">
        <f t="shared" si="22"/>
        <v>60864</v>
      </c>
      <c r="E12" s="158">
        <f t="shared" si="55"/>
        <v>0.8784383215036804</v>
      </c>
      <c r="F12" s="86">
        <f t="shared" si="24"/>
        <v>53465.270000000004</v>
      </c>
      <c r="G12" s="158">
        <f>H12/D12</f>
        <v>0.12156167849631966</v>
      </c>
      <c r="H12" s="145">
        <f t="shared" si="26"/>
        <v>7398.73</v>
      </c>
      <c r="I12" s="159">
        <f t="shared" si="57"/>
        <v>7.2100302057562182E-2</v>
      </c>
      <c r="J12" s="158">
        <f t="shared" si="58"/>
        <v>0.17699334307399134</v>
      </c>
      <c r="K12" s="158">
        <f t="shared" si="59"/>
        <v>0.16248019967389382</v>
      </c>
      <c r="L12" s="160">
        <f t="shared" si="60"/>
        <v>0.61036396296606676</v>
      </c>
      <c r="M12" s="145">
        <f t="shared" si="61"/>
        <v>4275.5479120134378</v>
      </c>
      <c r="N12" s="145">
        <f t="shared" si="62"/>
        <v>10495.705244287687</v>
      </c>
      <c r="O12" s="145">
        <f t="shared" si="63"/>
        <v>9635.0758406619043</v>
      </c>
      <c r="P12" s="145">
        <f t="shared" si="64"/>
        <v>36194.583003887761</v>
      </c>
      <c r="Q12" s="55">
        <f t="shared" si="50"/>
        <v>46148</v>
      </c>
      <c r="R12" s="138">
        <v>60864</v>
      </c>
      <c r="S12" s="139">
        <v>0</v>
      </c>
      <c r="T12" s="139">
        <v>59300</v>
      </c>
      <c r="U12" s="139">
        <v>0</v>
      </c>
      <c r="V12" s="140">
        <v>12777.08</v>
      </c>
      <c r="W12" s="141">
        <v>0.80208333333333337</v>
      </c>
      <c r="X12" s="140">
        <v>4475</v>
      </c>
      <c r="Y12" s="141">
        <v>0.82291666666666663</v>
      </c>
      <c r="Z12" s="140">
        <v>0</v>
      </c>
      <c r="AA12" s="141">
        <v>0</v>
      </c>
      <c r="AB12" s="55">
        <f t="shared" si="51"/>
        <v>46148</v>
      </c>
      <c r="AC12" s="75">
        <f t="shared" si="65"/>
        <v>1</v>
      </c>
      <c r="AD12" s="161">
        <f t="shared" si="66"/>
        <v>0</v>
      </c>
      <c r="AE12" s="162">
        <v>4947</v>
      </c>
      <c r="AF12" s="117">
        <f t="shared" si="37"/>
        <v>4947</v>
      </c>
      <c r="AG12" s="146">
        <v>0</v>
      </c>
      <c r="AH12" s="147">
        <v>3266.7</v>
      </c>
      <c r="AI12" s="148">
        <v>0.79791666666666672</v>
      </c>
      <c r="AJ12" s="147">
        <v>0</v>
      </c>
      <c r="AK12" s="164">
        <v>0</v>
      </c>
      <c r="AL12" s="55">
        <f t="shared" si="38"/>
        <v>46148</v>
      </c>
      <c r="AM12" s="76">
        <f t="shared" si="67"/>
        <v>0.67461462450592891</v>
      </c>
      <c r="AN12" s="75">
        <f t="shared" si="68"/>
        <v>0.32538537549407115</v>
      </c>
      <c r="AO12" s="149">
        <v>12144</v>
      </c>
      <c r="AP12" s="116">
        <f t="shared" si="41"/>
        <v>8192.52</v>
      </c>
      <c r="AQ12" s="150">
        <v>3951.48</v>
      </c>
      <c r="AR12" s="151">
        <v>5326.29</v>
      </c>
      <c r="AS12" s="152">
        <v>0.34097222222222223</v>
      </c>
      <c r="AT12" s="151">
        <v>180.39</v>
      </c>
      <c r="AU12" s="153">
        <v>0.8125</v>
      </c>
      <c r="AV12" s="55">
        <f t="shared" si="52"/>
        <v>46148</v>
      </c>
      <c r="AW12" s="109">
        <f t="shared" si="69"/>
        <v>0.64251270351550349</v>
      </c>
      <c r="AX12" s="109">
        <f t="shared" si="70"/>
        <v>0.35748729648449651</v>
      </c>
      <c r="AY12" s="110">
        <f t="shared" si="54"/>
        <v>9643</v>
      </c>
      <c r="AZ12" s="111">
        <v>9643</v>
      </c>
      <c r="BA12" s="119">
        <f t="shared" si="45"/>
        <v>6195.75</v>
      </c>
      <c r="BB12" s="112">
        <f>2749.25+698</f>
        <v>3447.25</v>
      </c>
      <c r="BC12" s="111">
        <v>3683.99</v>
      </c>
      <c r="BD12" s="113">
        <v>0.29166666666666669</v>
      </c>
      <c r="BE12" s="114">
        <v>0</v>
      </c>
      <c r="BF12" s="113">
        <v>0</v>
      </c>
      <c r="BG12" s="114">
        <v>157.74</v>
      </c>
      <c r="BH12" s="113">
        <v>0.27083333333333331</v>
      </c>
      <c r="BI12" s="55">
        <f t="shared" si="53"/>
        <v>46148</v>
      </c>
      <c r="BJ12" s="77">
        <f t="shared" si="71"/>
        <v>0.64288571172730802</v>
      </c>
      <c r="BK12" s="75">
        <f t="shared" si="72"/>
        <v>0.35711428827269198</v>
      </c>
      <c r="BL12" s="78">
        <f t="shared" si="73"/>
        <v>41878.75</v>
      </c>
      <c r="BM12" s="154">
        <v>26923.25</v>
      </c>
      <c r="BN12" s="154">
        <v>14955.5</v>
      </c>
      <c r="BO12" s="155">
        <v>4310.12</v>
      </c>
      <c r="BP12" s="156">
        <v>0.30277777777777776</v>
      </c>
      <c r="BQ12" s="157">
        <v>2887.92</v>
      </c>
      <c r="BR12" s="156">
        <v>0.30277777777777776</v>
      </c>
    </row>
    <row r="13" spans="1:71" ht="15.75" thickBot="1" x14ac:dyDescent="0.3">
      <c r="B13" s="55">
        <f t="shared" si="49"/>
        <v>46149</v>
      </c>
      <c r="C13" s="163"/>
      <c r="D13" s="86">
        <f t="shared" si="22"/>
        <v>58736</v>
      </c>
      <c r="E13" s="158">
        <f t="shared" si="55"/>
        <v>0.87616266003813681</v>
      </c>
      <c r="F13" s="86">
        <f t="shared" si="24"/>
        <v>51462.29</v>
      </c>
      <c r="G13" s="158">
        <f t="shared" si="56"/>
        <v>0.12383733996186325</v>
      </c>
      <c r="H13" s="145">
        <f t="shared" si="26"/>
        <v>7273.71</v>
      </c>
      <c r="I13" s="159">
        <f t="shared" si="57"/>
        <v>0.11615298841209515</v>
      </c>
      <c r="J13" s="158">
        <f t="shared" si="58"/>
        <v>0.15321026055243331</v>
      </c>
      <c r="K13" s="158">
        <f t="shared" si="59"/>
        <v>0.16162375664405179</v>
      </c>
      <c r="L13" s="160">
        <f t="shared" si="60"/>
        <v>0.5946243422300489</v>
      </c>
      <c r="M13" s="145">
        <f t="shared" si="61"/>
        <v>6650.571657511332</v>
      </c>
      <c r="N13" s="145">
        <f t="shared" si="62"/>
        <v>8772.3598884506737</v>
      </c>
      <c r="O13" s="145">
        <f t="shared" si="63"/>
        <v>9254.0914341684729</v>
      </c>
      <c r="P13" s="145">
        <f t="shared" si="64"/>
        <v>34046.40596306591</v>
      </c>
      <c r="Q13" s="55">
        <f t="shared" si="50"/>
        <v>46149</v>
      </c>
      <c r="R13" s="138">
        <v>58736</v>
      </c>
      <c r="S13" s="139">
        <v>0</v>
      </c>
      <c r="T13" s="139">
        <v>57257</v>
      </c>
      <c r="U13" s="139">
        <v>0</v>
      </c>
      <c r="V13" s="140">
        <v>13794.21</v>
      </c>
      <c r="W13" s="141">
        <v>0.79166666666666663</v>
      </c>
      <c r="X13" s="140">
        <v>4560.7</v>
      </c>
      <c r="Y13" s="141">
        <v>0.42708333333333331</v>
      </c>
      <c r="Z13" s="140">
        <v>0</v>
      </c>
      <c r="AA13" s="141">
        <v>0</v>
      </c>
      <c r="AB13" s="167">
        <f t="shared" si="51"/>
        <v>46149</v>
      </c>
      <c r="AC13" s="75">
        <f t="shared" si="65"/>
        <v>1</v>
      </c>
      <c r="AD13" s="161">
        <f t="shared" si="66"/>
        <v>0</v>
      </c>
      <c r="AE13" s="162">
        <v>7581.28</v>
      </c>
      <c r="AF13" s="117">
        <f t="shared" si="37"/>
        <v>7581.28</v>
      </c>
      <c r="AG13" s="146">
        <v>0</v>
      </c>
      <c r="AH13" s="147">
        <v>3784.2</v>
      </c>
      <c r="AI13" s="148">
        <v>0.70486111111111116</v>
      </c>
      <c r="AJ13" s="147">
        <v>0</v>
      </c>
      <c r="AK13" s="164">
        <v>0</v>
      </c>
      <c r="AL13" s="167">
        <f t="shared" si="38"/>
        <v>46149</v>
      </c>
      <c r="AM13" s="76">
        <f t="shared" si="67"/>
        <v>0.61716700000000002</v>
      </c>
      <c r="AN13" s="75">
        <f t="shared" si="68"/>
        <v>0.38283299999999998</v>
      </c>
      <c r="AO13" s="149">
        <v>10000</v>
      </c>
      <c r="AP13" s="116">
        <f t="shared" si="41"/>
        <v>6171.67</v>
      </c>
      <c r="AQ13" s="150">
        <v>3828.33</v>
      </c>
      <c r="AR13" s="151">
        <v>4209.6899999999996</v>
      </c>
      <c r="AS13" s="152">
        <v>0.70138888888888884</v>
      </c>
      <c r="AT13" s="151">
        <v>183.95</v>
      </c>
      <c r="AU13" s="153">
        <v>0.82291666666666663</v>
      </c>
      <c r="AV13" s="167">
        <f t="shared" si="52"/>
        <v>46149</v>
      </c>
      <c r="AW13" s="168">
        <f t="shared" si="69"/>
        <v>0.61189749366375668</v>
      </c>
      <c r="AX13" s="168">
        <f t="shared" si="70"/>
        <v>0.38810250633624332</v>
      </c>
      <c r="AY13" s="110">
        <f t="shared" si="54"/>
        <v>8877.5</v>
      </c>
      <c r="AZ13" s="111">
        <v>8877.5</v>
      </c>
      <c r="BA13" s="119">
        <f t="shared" si="45"/>
        <v>5432.12</v>
      </c>
      <c r="BB13" s="112">
        <f>2747.38+698</f>
        <v>3445.38</v>
      </c>
      <c r="BC13" s="111">
        <v>4140.63</v>
      </c>
      <c r="BD13" s="113">
        <v>0.75</v>
      </c>
      <c r="BE13" s="114">
        <v>0</v>
      </c>
      <c r="BF13" s="113">
        <v>0</v>
      </c>
      <c r="BG13" s="114">
        <v>161.13999999999999</v>
      </c>
      <c r="BH13" s="113">
        <v>0.32291666666666669</v>
      </c>
      <c r="BI13" s="167">
        <f t="shared" si="53"/>
        <v>46149</v>
      </c>
      <c r="BJ13" s="169">
        <f t="shared" si="71"/>
        <v>0.60341140398340676</v>
      </c>
      <c r="BK13" s="75">
        <f t="shared" si="72"/>
        <v>0.39658859601659324</v>
      </c>
      <c r="BL13" s="78">
        <f t="shared" si="73"/>
        <v>38811</v>
      </c>
      <c r="BM13" s="154">
        <v>23419</v>
      </c>
      <c r="BN13" s="154">
        <v>15392</v>
      </c>
      <c r="BO13" s="155">
        <v>4406.87</v>
      </c>
      <c r="BP13" s="156">
        <v>0.75277777777777777</v>
      </c>
      <c r="BQ13" s="157">
        <v>2908.47</v>
      </c>
      <c r="BR13" s="156">
        <v>0.75277777777777777</v>
      </c>
    </row>
    <row r="14" spans="1:71" ht="15.75" thickBot="1" x14ac:dyDescent="0.3">
      <c r="B14" s="55">
        <f t="shared" si="49"/>
        <v>46150</v>
      </c>
      <c r="C14" s="163"/>
      <c r="D14" s="86">
        <f t="shared" si="22"/>
        <v>58344</v>
      </c>
      <c r="E14" s="158">
        <f t="shared" si="55"/>
        <v>0.87537707390648567</v>
      </c>
      <c r="F14" s="86">
        <f t="shared" si="24"/>
        <v>51073</v>
      </c>
      <c r="G14" s="158">
        <f t="shared" si="56"/>
        <v>0.12462292609351433</v>
      </c>
      <c r="H14" s="145">
        <f t="shared" si="26"/>
        <v>7271</v>
      </c>
      <c r="I14" s="159">
        <f t="shared" si="57"/>
        <v>0.12310830167528181</v>
      </c>
      <c r="J14" s="158">
        <f t="shared" si="58"/>
        <v>0.15898050694401195</v>
      </c>
      <c r="K14" s="158">
        <f t="shared" si="59"/>
        <v>0.1731229852144002</v>
      </c>
      <c r="L14" s="160">
        <f t="shared" si="60"/>
        <v>0.56824126549168585</v>
      </c>
      <c r="M14" s="145">
        <f t="shared" si="61"/>
        <v>7027.2680762284363</v>
      </c>
      <c r="N14" s="145">
        <f t="shared" si="62"/>
        <v>9074.9252973780895</v>
      </c>
      <c r="O14" s="145">
        <f t="shared" si="63"/>
        <v>9882.206242008393</v>
      </c>
      <c r="P14" s="145">
        <f t="shared" si="64"/>
        <v>32436.347916796411</v>
      </c>
      <c r="Q14" s="55">
        <f t="shared" si="50"/>
        <v>46150</v>
      </c>
      <c r="R14" s="138">
        <v>58344</v>
      </c>
      <c r="S14" s="139">
        <v>0</v>
      </c>
      <c r="T14" s="139">
        <v>57082</v>
      </c>
      <c r="U14" s="139">
        <v>0</v>
      </c>
      <c r="V14" s="140">
        <v>14201</v>
      </c>
      <c r="W14" s="141">
        <v>0.76041666666666663</v>
      </c>
      <c r="X14" s="140">
        <v>4781</v>
      </c>
      <c r="Y14" s="141">
        <v>1000</v>
      </c>
      <c r="Z14" s="140">
        <v>0</v>
      </c>
      <c r="AA14" s="141">
        <v>0</v>
      </c>
      <c r="AB14" s="55">
        <f t="shared" si="51"/>
        <v>46150</v>
      </c>
      <c r="AC14" s="75">
        <f t="shared" si="65"/>
        <v>1</v>
      </c>
      <c r="AD14" s="161">
        <f t="shared" si="66"/>
        <v>0</v>
      </c>
      <c r="AE14" s="162">
        <v>7907</v>
      </c>
      <c r="AF14" s="117">
        <f t="shared" si="37"/>
        <v>7907</v>
      </c>
      <c r="AG14" s="146">
        <v>0</v>
      </c>
      <c r="AH14" s="147">
        <v>3861</v>
      </c>
      <c r="AI14" s="148">
        <v>0.34722222222222221</v>
      </c>
      <c r="AJ14" s="147">
        <v>0</v>
      </c>
      <c r="AK14" s="164">
        <v>0</v>
      </c>
      <c r="AL14" s="55">
        <f t="shared" si="38"/>
        <v>46150</v>
      </c>
      <c r="AM14" s="76">
        <f t="shared" si="67"/>
        <v>0.62471844089707174</v>
      </c>
      <c r="AN14" s="75">
        <f t="shared" si="68"/>
        <v>0.37528155910292821</v>
      </c>
      <c r="AO14" s="149">
        <v>10211</v>
      </c>
      <c r="AP14" s="116">
        <f t="shared" ref="AP14" si="74">AO14-AQ14</f>
        <v>6379</v>
      </c>
      <c r="AQ14" s="150">
        <v>3832</v>
      </c>
      <c r="AR14" s="151">
        <v>3593</v>
      </c>
      <c r="AS14" s="152">
        <v>0.36388888888888887</v>
      </c>
      <c r="AT14" s="151">
        <v>183</v>
      </c>
      <c r="AU14" s="153">
        <v>0.84375</v>
      </c>
      <c r="AV14" s="55">
        <f t="shared" si="52"/>
        <v>46150</v>
      </c>
      <c r="AW14" s="109">
        <f t="shared" si="69"/>
        <v>0.64225527930926873</v>
      </c>
      <c r="AX14" s="109">
        <f t="shared" si="70"/>
        <v>0.35774472069073132</v>
      </c>
      <c r="AY14" s="110">
        <f t="shared" si="54"/>
        <v>9613</v>
      </c>
      <c r="AZ14" s="111">
        <v>9613</v>
      </c>
      <c r="BA14" s="119">
        <f t="shared" si="45"/>
        <v>6174</v>
      </c>
      <c r="BB14" s="112">
        <f>2741+698</f>
        <v>3439</v>
      </c>
      <c r="BC14" s="111">
        <v>3993</v>
      </c>
      <c r="BD14" s="113">
        <v>0.71875</v>
      </c>
      <c r="BE14" s="114">
        <v>0</v>
      </c>
      <c r="BF14" s="113">
        <v>0</v>
      </c>
      <c r="BG14" s="114">
        <v>159</v>
      </c>
      <c r="BH14" s="113">
        <v>0.78125</v>
      </c>
      <c r="BI14" s="55">
        <f t="shared" si="53"/>
        <v>46150</v>
      </c>
      <c r="BJ14" s="77">
        <f t="shared" si="71"/>
        <v>0.60320026303531793</v>
      </c>
      <c r="BK14" s="75">
        <f t="shared" si="72"/>
        <v>0.39679973696468201</v>
      </c>
      <c r="BL14" s="78">
        <f t="shared" si="73"/>
        <v>36497</v>
      </c>
      <c r="BM14" s="154">
        <v>22015</v>
      </c>
      <c r="BN14" s="154">
        <v>14482</v>
      </c>
      <c r="BO14" s="155">
        <v>4460</v>
      </c>
      <c r="BP14" s="156">
        <v>0.71805555555555556</v>
      </c>
      <c r="BQ14" s="157">
        <v>4460</v>
      </c>
      <c r="BR14" s="156">
        <v>0.71805555555555556</v>
      </c>
    </row>
    <row r="15" spans="1:71" ht="15.75" thickBot="1" x14ac:dyDescent="0.3">
      <c r="B15" s="55">
        <f t="shared" si="49"/>
        <v>46151</v>
      </c>
      <c r="C15" s="163"/>
      <c r="D15" s="86">
        <f t="shared" si="22"/>
        <v>35826</v>
      </c>
      <c r="E15" s="158">
        <f t="shared" si="55"/>
        <v>0.80313180371797022</v>
      </c>
      <c r="F15" s="86">
        <f t="shared" si="24"/>
        <v>28773</v>
      </c>
      <c r="G15" s="158">
        <f t="shared" si="56"/>
        <v>0.19686819628202981</v>
      </c>
      <c r="H15" s="145">
        <f t="shared" si="26"/>
        <v>7053</v>
      </c>
      <c r="I15" s="159">
        <f t="shared" si="57"/>
        <v>0.12804860736492432</v>
      </c>
      <c r="J15" s="158">
        <f t="shared" si="58"/>
        <v>0.21061298657051192</v>
      </c>
      <c r="K15" s="158">
        <f t="shared" si="59"/>
        <v>0.40447682481395392</v>
      </c>
      <c r="L15" s="160">
        <f t="shared" si="60"/>
        <v>7.3393713977456629E-2</v>
      </c>
      <c r="M15" s="145">
        <f t="shared" si="61"/>
        <v>4379.1343232730469</v>
      </c>
      <c r="N15" s="145">
        <f t="shared" si="62"/>
        <v>7202.7535277249372</v>
      </c>
      <c r="O15" s="145">
        <f t="shared" si="63"/>
        <v>13832.70293181241</v>
      </c>
      <c r="P15" s="145">
        <f t="shared" si="64"/>
        <v>2509.9916243150392</v>
      </c>
      <c r="Q15" s="55">
        <f t="shared" si="50"/>
        <v>46151</v>
      </c>
      <c r="R15" s="138">
        <v>35826</v>
      </c>
      <c r="S15" s="139">
        <v>0</v>
      </c>
      <c r="T15" s="139">
        <v>34199</v>
      </c>
      <c r="U15" s="139">
        <v>0</v>
      </c>
      <c r="V15" s="140">
        <v>6999</v>
      </c>
      <c r="W15" s="141">
        <v>0.44791666666666669</v>
      </c>
      <c r="X15" s="140">
        <v>2291</v>
      </c>
      <c r="Y15" s="141">
        <v>0</v>
      </c>
      <c r="Z15" s="140">
        <v>0</v>
      </c>
      <c r="AA15" s="141">
        <v>0</v>
      </c>
      <c r="AB15" s="55">
        <f t="shared" si="51"/>
        <v>46151</v>
      </c>
      <c r="AC15" s="75">
        <f t="shared" si="65"/>
        <v>1</v>
      </c>
      <c r="AD15" s="161">
        <f t="shared" si="66"/>
        <v>0</v>
      </c>
      <c r="AE15" s="162">
        <v>4510</v>
      </c>
      <c r="AF15" s="117">
        <f t="shared" si="37"/>
        <v>4510</v>
      </c>
      <c r="AG15" s="146">
        <v>0</v>
      </c>
      <c r="AH15" s="147">
        <v>1688</v>
      </c>
      <c r="AI15" s="148">
        <v>0.94236111111111109</v>
      </c>
      <c r="AJ15" s="147">
        <v>0</v>
      </c>
      <c r="AK15" s="164">
        <v>0</v>
      </c>
      <c r="AL15" s="167">
        <f t="shared" si="38"/>
        <v>46151</v>
      </c>
      <c r="AM15" s="76">
        <f t="shared" si="67"/>
        <v>0.49622539768131574</v>
      </c>
      <c r="AN15" s="75">
        <f t="shared" si="68"/>
        <v>0.50377460231868432</v>
      </c>
      <c r="AO15" s="149">
        <v>7418</v>
      </c>
      <c r="AP15" s="116">
        <f t="shared" si="41"/>
        <v>3681</v>
      </c>
      <c r="AQ15" s="150">
        <v>3737</v>
      </c>
      <c r="AR15" s="151">
        <v>1898</v>
      </c>
      <c r="AS15" s="152">
        <v>0.40416666666666667</v>
      </c>
      <c r="AT15" s="151">
        <v>179</v>
      </c>
      <c r="AU15" s="153">
        <v>0.78125</v>
      </c>
      <c r="AV15" s="55">
        <f t="shared" si="52"/>
        <v>46151</v>
      </c>
      <c r="AW15" s="168">
        <f t="shared" si="69"/>
        <v>0.83986864979717979</v>
      </c>
      <c r="AX15" s="168">
        <f t="shared" si="70"/>
        <v>0.16013135020282016</v>
      </c>
      <c r="AY15" s="110">
        <f t="shared" si="54"/>
        <v>20708</v>
      </c>
      <c r="AZ15" s="111">
        <v>20708</v>
      </c>
      <c r="BA15" s="119">
        <f t="shared" si="45"/>
        <v>17392</v>
      </c>
      <c r="BB15" s="112">
        <f>2618+698</f>
        <v>3316</v>
      </c>
      <c r="BC15" s="111">
        <v>4636</v>
      </c>
      <c r="BD15" s="113">
        <v>0.65625</v>
      </c>
      <c r="BE15" s="114">
        <v>0</v>
      </c>
      <c r="BF15" s="113">
        <v>0</v>
      </c>
      <c r="BG15" s="114">
        <v>152</v>
      </c>
      <c r="BH15" s="113">
        <v>0.8125</v>
      </c>
      <c r="BI15" s="55">
        <f t="shared" si="53"/>
        <v>46151</v>
      </c>
      <c r="BJ15" s="169">
        <f t="shared" si="71"/>
        <v>0.61508704061895547</v>
      </c>
      <c r="BK15" s="75">
        <f t="shared" si="72"/>
        <v>0.38491295938104447</v>
      </c>
      <c r="BL15" s="78">
        <f t="shared" si="73"/>
        <v>2585</v>
      </c>
      <c r="BM15" s="154">
        <v>1590</v>
      </c>
      <c r="BN15" s="154">
        <v>995</v>
      </c>
      <c r="BO15" s="155">
        <v>2187</v>
      </c>
      <c r="BP15" s="156">
        <v>0.21666666666666667</v>
      </c>
      <c r="BQ15" s="157">
        <v>1456</v>
      </c>
      <c r="BR15" s="156">
        <v>1.3888888888888889E-3</v>
      </c>
    </row>
    <row r="16" spans="1:71" ht="15.75" thickBot="1" x14ac:dyDescent="0.3">
      <c r="B16" s="55">
        <f t="shared" si="49"/>
        <v>46152</v>
      </c>
      <c r="C16" s="163"/>
      <c r="D16" s="86">
        <f t="shared" si="22"/>
        <v>28636</v>
      </c>
      <c r="E16" s="158">
        <f t="shared" si="55"/>
        <v>0.75426037156027381</v>
      </c>
      <c r="F16" s="86">
        <f t="shared" si="24"/>
        <v>21599</v>
      </c>
      <c r="G16" s="158">
        <f t="shared" si="56"/>
        <v>0.24573962843972622</v>
      </c>
      <c r="H16" s="145">
        <f t="shared" si="26"/>
        <v>7037</v>
      </c>
      <c r="I16" s="159">
        <f t="shared" si="57"/>
        <v>0.12474534342258441</v>
      </c>
      <c r="J16" s="158">
        <f t="shared" si="58"/>
        <v>0.23559371362048895</v>
      </c>
      <c r="K16" s="158">
        <f t="shared" si="59"/>
        <v>0.42094697155168193</v>
      </c>
      <c r="L16" s="160">
        <f t="shared" si="60"/>
        <v>1.415162980209546E-2</v>
      </c>
      <c r="M16" s="145">
        <f t="shared" si="61"/>
        <v>3414.7790308498256</v>
      </c>
      <c r="N16" s="145">
        <f t="shared" si="62"/>
        <v>6449.1423166472641</v>
      </c>
      <c r="O16" s="145">
        <f t="shared" si="63"/>
        <v>11523.002399255742</v>
      </c>
      <c r="P16" s="145">
        <f t="shared" si="64"/>
        <v>387.38671420256111</v>
      </c>
      <c r="Q16" s="55">
        <f t="shared" si="50"/>
        <v>46152</v>
      </c>
      <c r="R16" s="138">
        <v>28636</v>
      </c>
      <c r="S16" s="139">
        <v>0</v>
      </c>
      <c r="T16" s="139">
        <v>27374</v>
      </c>
      <c r="U16" s="139">
        <v>0</v>
      </c>
      <c r="V16" s="140">
        <v>6463</v>
      </c>
      <c r="W16" s="141">
        <v>0.63541666666666663</v>
      </c>
      <c r="X16" s="140">
        <v>1861</v>
      </c>
      <c r="Y16" s="141">
        <v>0.8125</v>
      </c>
      <c r="Z16" s="140">
        <v>0</v>
      </c>
      <c r="AA16" s="141">
        <v>0</v>
      </c>
      <c r="AB16" s="55">
        <f t="shared" si="51"/>
        <v>46152</v>
      </c>
      <c r="AC16" s="75">
        <f t="shared" si="65"/>
        <v>1</v>
      </c>
      <c r="AD16" s="161">
        <f t="shared" si="66"/>
        <v>0</v>
      </c>
      <c r="AE16" s="162">
        <v>3429</v>
      </c>
      <c r="AF16" s="117">
        <f t="shared" si="37"/>
        <v>3429</v>
      </c>
      <c r="AG16" s="146">
        <v>0</v>
      </c>
      <c r="AH16" s="147">
        <v>1571</v>
      </c>
      <c r="AI16" s="148">
        <v>0.93402777777777779</v>
      </c>
      <c r="AJ16" s="147">
        <v>0</v>
      </c>
      <c r="AK16" s="164">
        <v>0</v>
      </c>
      <c r="AL16" s="55">
        <f t="shared" si="38"/>
        <v>46152</v>
      </c>
      <c r="AM16" s="76">
        <f t="shared" si="67"/>
        <v>0.43236565781346509</v>
      </c>
      <c r="AN16" s="75">
        <f t="shared" si="68"/>
        <v>0.56763434218653486</v>
      </c>
      <c r="AO16" s="149">
        <v>6476</v>
      </c>
      <c r="AP16" s="116">
        <f t="shared" si="41"/>
        <v>2800</v>
      </c>
      <c r="AQ16" s="150">
        <v>3676</v>
      </c>
      <c r="AR16" s="151">
        <v>1893</v>
      </c>
      <c r="AS16" s="152">
        <v>0.94305555555555554</v>
      </c>
      <c r="AT16" s="151">
        <v>177</v>
      </c>
      <c r="AU16" s="153">
        <v>0.875</v>
      </c>
      <c r="AV16" s="55">
        <f t="shared" si="52"/>
        <v>46152</v>
      </c>
      <c r="AW16" s="109">
        <f t="shared" si="69"/>
        <v>0.80452483424450394</v>
      </c>
      <c r="AX16" s="109">
        <f t="shared" si="70"/>
        <v>0.19547516575549612</v>
      </c>
      <c r="AY16" s="110">
        <f t="shared" si="54"/>
        <v>17194</v>
      </c>
      <c r="AZ16" s="111">
        <v>17194</v>
      </c>
      <c r="BA16" s="119">
        <f t="shared" si="45"/>
        <v>13833</v>
      </c>
      <c r="BB16" s="112">
        <f>2663+698</f>
        <v>3361</v>
      </c>
      <c r="BC16" s="111">
        <v>4555</v>
      </c>
      <c r="BD16" s="113">
        <v>0.59375</v>
      </c>
      <c r="BE16" s="114">
        <v>0</v>
      </c>
      <c r="BF16" s="113">
        <v>0</v>
      </c>
      <c r="BG16" s="114">
        <v>149</v>
      </c>
      <c r="BH16" s="113">
        <v>0.23958333333333334</v>
      </c>
      <c r="BI16" s="55">
        <f t="shared" si="53"/>
        <v>46152</v>
      </c>
      <c r="BJ16" s="77">
        <f t="shared" si="71"/>
        <v>0.58868894601542421</v>
      </c>
      <c r="BK16" s="75">
        <f t="shared" si="72"/>
        <v>0.41131105398457585</v>
      </c>
      <c r="BL16" s="78">
        <f t="shared" si="73"/>
        <v>389</v>
      </c>
      <c r="BM16" s="154">
        <v>229</v>
      </c>
      <c r="BN16" s="154">
        <v>160</v>
      </c>
      <c r="BO16" s="155">
        <v>10</v>
      </c>
      <c r="BP16" s="156">
        <v>0.16041666666666668</v>
      </c>
      <c r="BQ16" s="157">
        <v>7</v>
      </c>
      <c r="BR16" s="156">
        <v>0.24930555555555556</v>
      </c>
    </row>
    <row r="17" spans="1:70" ht="15.75" thickBot="1" x14ac:dyDescent="0.3">
      <c r="B17" s="55">
        <f t="shared" si="49"/>
        <v>46153</v>
      </c>
      <c r="C17" s="163"/>
      <c r="D17" s="86">
        <f t="shared" si="22"/>
        <v>58066</v>
      </c>
      <c r="E17" s="158">
        <f t="shared" si="55"/>
        <v>0.8704233114042641</v>
      </c>
      <c r="F17" s="86">
        <f t="shared" si="24"/>
        <v>50542</v>
      </c>
      <c r="G17" s="158">
        <f t="shared" si="56"/>
        <v>0.1295766885957359</v>
      </c>
      <c r="H17" s="145">
        <f t="shared" si="26"/>
        <v>7524</v>
      </c>
      <c r="I17" s="159">
        <f t="shared" si="57"/>
        <v>0.12201813531736805</v>
      </c>
      <c r="J17" s="158">
        <f t="shared" si="58"/>
        <v>0.16224133922343642</v>
      </c>
      <c r="K17" s="158">
        <f t="shared" si="59"/>
        <v>0.17064395993780959</v>
      </c>
      <c r="L17" s="160">
        <f t="shared" si="60"/>
        <v>0.56943346508563897</v>
      </c>
      <c r="M17" s="145">
        <f t="shared" si="61"/>
        <v>6910.8631481050916</v>
      </c>
      <c r="N17" s="145">
        <f t="shared" si="62"/>
        <v>9189.0249709369928</v>
      </c>
      <c r="O17" s="145">
        <f t="shared" si="63"/>
        <v>9664.9326029576605</v>
      </c>
      <c r="P17" s="145">
        <f t="shared" si="64"/>
        <v>32251.572595520422</v>
      </c>
      <c r="Q17" s="55">
        <f t="shared" si="50"/>
        <v>46153</v>
      </c>
      <c r="R17" s="138">
        <v>58066</v>
      </c>
      <c r="S17" s="139">
        <v>0</v>
      </c>
      <c r="T17" s="139">
        <v>56638</v>
      </c>
      <c r="U17" s="139">
        <v>0</v>
      </c>
      <c r="V17" s="140">
        <v>15180</v>
      </c>
      <c r="W17" s="141">
        <v>0.72916666666666663</v>
      </c>
      <c r="X17" s="140">
        <v>1468</v>
      </c>
      <c r="Y17" s="141">
        <v>0.79166666666666663</v>
      </c>
      <c r="Z17" s="140">
        <v>0</v>
      </c>
      <c r="AA17" s="141">
        <v>0</v>
      </c>
      <c r="AB17" s="55">
        <f t="shared" si="51"/>
        <v>46153</v>
      </c>
      <c r="AC17" s="75">
        <f t="shared" si="65"/>
        <v>1</v>
      </c>
      <c r="AD17" s="161">
        <f t="shared" si="66"/>
        <v>0</v>
      </c>
      <c r="AE17" s="162">
        <v>7872</v>
      </c>
      <c r="AF17" s="117">
        <f t="shared" si="37"/>
        <v>7872</v>
      </c>
      <c r="AG17" s="146">
        <v>0</v>
      </c>
      <c r="AH17" s="147">
        <v>3560</v>
      </c>
      <c r="AI17" s="148">
        <v>0.78611111111111109</v>
      </c>
      <c r="AJ17" s="147">
        <v>0</v>
      </c>
      <c r="AK17" s="164">
        <v>0</v>
      </c>
      <c r="AL17" s="55">
        <f t="shared" si="38"/>
        <v>46153</v>
      </c>
      <c r="AM17" s="76">
        <f t="shared" si="67"/>
        <v>0.60208273621859176</v>
      </c>
      <c r="AN17" s="75">
        <f t="shared" si="68"/>
        <v>0.39791726378140824</v>
      </c>
      <c r="AO17" s="149">
        <v>10467</v>
      </c>
      <c r="AP17" s="116">
        <f t="shared" si="41"/>
        <v>6302</v>
      </c>
      <c r="AQ17" s="150">
        <v>4165</v>
      </c>
      <c r="AR17" s="151">
        <v>3686</v>
      </c>
      <c r="AS17" s="152">
        <v>0.74305555555555558</v>
      </c>
      <c r="AT17" s="151">
        <v>203</v>
      </c>
      <c r="AU17" s="153">
        <v>0.78125</v>
      </c>
      <c r="AV17" s="55">
        <f t="shared" si="52"/>
        <v>46153</v>
      </c>
      <c r="AW17" s="109">
        <f t="shared" si="69"/>
        <v>0.64413603135925412</v>
      </c>
      <c r="AX17" s="109">
        <f t="shared" si="70"/>
        <v>0.35586396864074582</v>
      </c>
      <c r="AY17" s="110">
        <f t="shared" si="54"/>
        <v>9439</v>
      </c>
      <c r="AZ17" s="111">
        <v>9439</v>
      </c>
      <c r="BA17" s="119">
        <f t="shared" si="45"/>
        <v>6080</v>
      </c>
      <c r="BB17" s="112">
        <f>2661+698</f>
        <v>3359</v>
      </c>
      <c r="BC17" s="111">
        <v>4486</v>
      </c>
      <c r="BD17" s="113">
        <v>0.70833333333333337</v>
      </c>
      <c r="BE17" s="114">
        <v>0</v>
      </c>
      <c r="BF17" s="113">
        <v>0</v>
      </c>
      <c r="BG17" s="114">
        <v>158</v>
      </c>
      <c r="BH17" s="113">
        <v>9.375E-2</v>
      </c>
      <c r="BI17" s="55">
        <f t="shared" si="53"/>
        <v>46153</v>
      </c>
      <c r="BJ17" s="77">
        <f t="shared" si="71"/>
        <v>0.60598306884067832</v>
      </c>
      <c r="BK17" s="75">
        <f t="shared" si="72"/>
        <v>0.39401693115932168</v>
      </c>
      <c r="BL17" s="78">
        <f t="shared" si="73"/>
        <v>36737</v>
      </c>
      <c r="BM17" s="154">
        <v>22262</v>
      </c>
      <c r="BN17" s="154">
        <v>14475</v>
      </c>
      <c r="BO17" s="155">
        <v>4253</v>
      </c>
      <c r="BP17" s="156">
        <v>0.74444444444444446</v>
      </c>
      <c r="BQ17" s="157">
        <v>2838</v>
      </c>
      <c r="BR17" s="156">
        <v>0.74444444444444446</v>
      </c>
    </row>
    <row r="18" spans="1:70" ht="15.75" thickBot="1" x14ac:dyDescent="0.3">
      <c r="B18" s="55">
        <f t="shared" si="49"/>
        <v>46154</v>
      </c>
      <c r="C18" s="163"/>
      <c r="D18" s="86">
        <f t="shared" si="22"/>
        <v>58120</v>
      </c>
      <c r="E18" s="158">
        <f t="shared" si="55"/>
        <v>0.87309015829318648</v>
      </c>
      <c r="F18" s="86">
        <f t="shared" si="24"/>
        <v>50744</v>
      </c>
      <c r="G18" s="158">
        <f t="shared" si="56"/>
        <v>0.12690984170681349</v>
      </c>
      <c r="H18" s="145">
        <f t="shared" si="26"/>
        <v>7376</v>
      </c>
      <c r="I18" s="159">
        <f t="shared" si="57"/>
        <v>0.11028844670677156</v>
      </c>
      <c r="J18" s="158">
        <f t="shared" si="58"/>
        <v>0.16335030078667284</v>
      </c>
      <c r="K18" s="158">
        <f t="shared" si="59"/>
        <v>0.17485265225933203</v>
      </c>
      <c r="L18" s="160">
        <f t="shared" si="60"/>
        <v>0.57535091778497605</v>
      </c>
      <c r="M18" s="145">
        <f t="shared" si="61"/>
        <v>6288.647231220114</v>
      </c>
      <c r="N18" s="145">
        <f t="shared" si="62"/>
        <v>9314.2341508560858</v>
      </c>
      <c r="O18" s="145">
        <f t="shared" si="63"/>
        <v>9970.0982318271126</v>
      </c>
      <c r="P18" s="145">
        <f t="shared" si="64"/>
        <v>32806.509332099333</v>
      </c>
      <c r="Q18" s="55">
        <f t="shared" si="50"/>
        <v>46154</v>
      </c>
      <c r="R18" s="138">
        <v>58120</v>
      </c>
      <c r="S18" s="139">
        <v>0</v>
      </c>
      <c r="T18" s="139">
        <v>57020</v>
      </c>
      <c r="U18" s="139">
        <v>0</v>
      </c>
      <c r="V18" s="140">
        <v>13550</v>
      </c>
      <c r="W18" s="141">
        <v>0.78125</v>
      </c>
      <c r="X18" s="140">
        <v>4150</v>
      </c>
      <c r="Y18" s="141">
        <v>0.75</v>
      </c>
      <c r="Z18" s="140">
        <v>0</v>
      </c>
      <c r="AA18" s="141">
        <v>0</v>
      </c>
      <c r="AB18" s="55">
        <f t="shared" si="51"/>
        <v>46154</v>
      </c>
      <c r="AC18" s="75">
        <f t="shared" si="65"/>
        <v>1</v>
      </c>
      <c r="AD18" s="161">
        <f t="shared" si="66"/>
        <v>0</v>
      </c>
      <c r="AE18" s="162">
        <v>7150</v>
      </c>
      <c r="AF18" s="117">
        <f t="shared" si="37"/>
        <v>7150</v>
      </c>
      <c r="AG18" s="146">
        <v>0</v>
      </c>
      <c r="AH18" s="147">
        <v>3550</v>
      </c>
      <c r="AI18" s="148">
        <v>0.8125</v>
      </c>
      <c r="AJ18" s="147">
        <v>0</v>
      </c>
      <c r="AK18" s="164">
        <v>0</v>
      </c>
      <c r="AL18" s="55">
        <f t="shared" si="38"/>
        <v>46154</v>
      </c>
      <c r="AM18" s="76">
        <f t="shared" si="67"/>
        <v>0.62417374881964116</v>
      </c>
      <c r="AN18" s="75">
        <f t="shared" si="68"/>
        <v>0.37582625118035884</v>
      </c>
      <c r="AO18" s="149">
        <v>10590</v>
      </c>
      <c r="AP18" s="116">
        <f t="shared" si="41"/>
        <v>6610</v>
      </c>
      <c r="AQ18" s="150">
        <v>3980</v>
      </c>
      <c r="AR18" s="151">
        <v>3750</v>
      </c>
      <c r="AS18" s="152">
        <v>0.77083333333333337</v>
      </c>
      <c r="AT18" s="151">
        <v>184</v>
      </c>
      <c r="AU18" s="153">
        <v>0.75</v>
      </c>
      <c r="AV18" s="55">
        <f t="shared" si="52"/>
        <v>46154</v>
      </c>
      <c r="AW18" s="109">
        <f t="shared" si="69"/>
        <v>0.65311542390194077</v>
      </c>
      <c r="AX18" s="109">
        <f t="shared" si="70"/>
        <v>0.34688457609805923</v>
      </c>
      <c r="AY18" s="110">
        <f t="shared" si="54"/>
        <v>9790</v>
      </c>
      <c r="AZ18" s="111">
        <v>9790</v>
      </c>
      <c r="BA18" s="119">
        <f t="shared" si="45"/>
        <v>6394</v>
      </c>
      <c r="BB18" s="112">
        <f>2698+698</f>
        <v>3396</v>
      </c>
      <c r="BC18" s="111">
        <v>4590</v>
      </c>
      <c r="BD18" s="113">
        <v>0.75</v>
      </c>
      <c r="BE18" s="114">
        <v>0</v>
      </c>
      <c r="BF18" s="113" t="s">
        <v>71</v>
      </c>
      <c r="BG18" s="114">
        <v>159</v>
      </c>
      <c r="BH18" s="113">
        <v>0.79166666666666663</v>
      </c>
      <c r="BI18" s="55">
        <f t="shared" si="53"/>
        <v>46154</v>
      </c>
      <c r="BJ18" s="77">
        <f t="shared" si="71"/>
        <v>0.60723860589812328</v>
      </c>
      <c r="BK18" s="75">
        <f t="shared" si="72"/>
        <v>0.39276139410187666</v>
      </c>
      <c r="BL18" s="78">
        <f t="shared" si="73"/>
        <v>37300</v>
      </c>
      <c r="BM18" s="154">
        <v>22650</v>
      </c>
      <c r="BN18" s="154">
        <v>14650</v>
      </c>
      <c r="BO18" s="155">
        <v>4260</v>
      </c>
      <c r="BP18" s="156">
        <v>0.77083333333333337</v>
      </c>
      <c r="BQ18" s="157">
        <v>2850</v>
      </c>
      <c r="BR18" s="156">
        <v>0.75</v>
      </c>
    </row>
    <row r="19" spans="1:70" ht="15.75" thickBot="1" x14ac:dyDescent="0.3">
      <c r="B19" s="55">
        <f t="shared" si="49"/>
        <v>46155</v>
      </c>
      <c r="C19" s="163"/>
      <c r="D19" s="86">
        <f t="shared" si="22"/>
        <v>60612</v>
      </c>
      <c r="E19" s="158">
        <f t="shared" si="55"/>
        <v>0.87725202930112844</v>
      </c>
      <c r="F19" s="86">
        <f t="shared" si="24"/>
        <v>53172</v>
      </c>
      <c r="G19" s="158">
        <f t="shared" si="56"/>
        <v>0.12274797069887151</v>
      </c>
      <c r="H19" s="145">
        <f t="shared" si="26"/>
        <v>7440</v>
      </c>
      <c r="I19" s="159">
        <f t="shared" si="57"/>
        <v>0.11931944382746212</v>
      </c>
      <c r="J19" s="158">
        <f t="shared" si="58"/>
        <v>0.16468985532998681</v>
      </c>
      <c r="K19" s="158">
        <f t="shared" si="59"/>
        <v>0.16444796528148517</v>
      </c>
      <c r="L19" s="160">
        <f t="shared" si="60"/>
        <v>0.57459316186160836</v>
      </c>
      <c r="M19" s="145">
        <f t="shared" si="61"/>
        <v>7054.6427968548705</v>
      </c>
      <c r="N19" s="145">
        <f t="shared" si="62"/>
        <v>9737.1230065301406</v>
      </c>
      <c r="O19" s="145">
        <f t="shared" si="63"/>
        <v>9722.8214993025285</v>
      </c>
      <c r="P19" s="145">
        <f t="shared" si="64"/>
        <v>33972.24610190573</v>
      </c>
      <c r="Q19" s="55">
        <f t="shared" si="50"/>
        <v>46155</v>
      </c>
      <c r="R19" s="138">
        <v>60612</v>
      </c>
      <c r="S19" s="139">
        <v>0</v>
      </c>
      <c r="T19" s="139">
        <v>59124</v>
      </c>
      <c r="U19" s="139">
        <v>0</v>
      </c>
      <c r="V19" s="140">
        <v>14143</v>
      </c>
      <c r="W19" s="141">
        <v>0.375</v>
      </c>
      <c r="X19" s="140">
        <v>4973</v>
      </c>
      <c r="Y19" s="141">
        <v>0.41666666666666669</v>
      </c>
      <c r="Z19" s="140">
        <v>0</v>
      </c>
      <c r="AA19" s="141">
        <v>0</v>
      </c>
      <c r="AB19" s="55">
        <f t="shared" si="51"/>
        <v>46155</v>
      </c>
      <c r="AC19" s="75">
        <f t="shared" si="65"/>
        <v>1</v>
      </c>
      <c r="AD19" s="161">
        <f t="shared" si="66"/>
        <v>0</v>
      </c>
      <c r="AE19" s="162">
        <v>8058</v>
      </c>
      <c r="AF19" s="117">
        <f t="shared" si="37"/>
        <v>8058</v>
      </c>
      <c r="AG19" s="146">
        <v>0</v>
      </c>
      <c r="AH19" s="147">
        <v>3875</v>
      </c>
      <c r="AI19" s="148">
        <v>0.8125</v>
      </c>
      <c r="AJ19" s="147">
        <v>0</v>
      </c>
      <c r="AK19" s="164">
        <v>0</v>
      </c>
      <c r="AL19" s="55">
        <f t="shared" si="38"/>
        <v>46155</v>
      </c>
      <c r="AM19" s="76">
        <f t="shared" ref="AM19" si="75">+AP19/AO19</f>
        <v>0.63208056105017085</v>
      </c>
      <c r="AN19" s="75">
        <f t="shared" ref="AN19" si="76">+AQ19/AO19</f>
        <v>0.36791943894982915</v>
      </c>
      <c r="AO19" s="149">
        <v>11122</v>
      </c>
      <c r="AP19" s="116">
        <f t="shared" si="41"/>
        <v>7030</v>
      </c>
      <c r="AQ19" s="150">
        <v>4092</v>
      </c>
      <c r="AR19" s="151">
        <v>3870</v>
      </c>
      <c r="AS19" s="152">
        <v>0.35833333333333334</v>
      </c>
      <c r="AT19" s="151">
        <v>189</v>
      </c>
      <c r="AU19" s="153">
        <v>0.83333333333333337</v>
      </c>
      <c r="AV19" s="55">
        <f t="shared" si="52"/>
        <v>46155</v>
      </c>
      <c r="AW19" s="109">
        <f t="shared" ref="AW19" si="77">BA19/AZ19</f>
        <v>0.64938737040527805</v>
      </c>
      <c r="AX19" s="109">
        <f t="shared" ref="AX19" si="78">BB19/AZ19</f>
        <v>0.35061262959472195</v>
      </c>
      <c r="AY19" s="110">
        <f t="shared" si="54"/>
        <v>9549</v>
      </c>
      <c r="AZ19" s="111">
        <v>9549</v>
      </c>
      <c r="BA19" s="119">
        <f t="shared" si="45"/>
        <v>6201</v>
      </c>
      <c r="BB19" s="112">
        <f>2650+698</f>
        <v>3348</v>
      </c>
      <c r="BC19" s="180">
        <v>4234</v>
      </c>
      <c r="BD19" s="113">
        <v>0.71875</v>
      </c>
      <c r="BE19" s="114">
        <v>0</v>
      </c>
      <c r="BF19" s="113">
        <v>0</v>
      </c>
      <c r="BG19" s="114">
        <v>155</v>
      </c>
      <c r="BH19" s="113" t="s">
        <v>72</v>
      </c>
      <c r="BI19" s="55">
        <f t="shared" si="53"/>
        <v>46155</v>
      </c>
      <c r="BJ19" s="77">
        <f t="shared" ref="BJ19" si="79">+BM19/BL19</f>
        <v>0.61542624471703944</v>
      </c>
      <c r="BK19" s="75">
        <f t="shared" ref="BK19" si="80">+BN19/BL19</f>
        <v>0.38457375528296051</v>
      </c>
      <c r="BL19" s="78">
        <f t="shared" ref="BL19" si="81">BM19+BN19</f>
        <v>38804</v>
      </c>
      <c r="BM19" s="154">
        <v>23881</v>
      </c>
      <c r="BN19" s="154">
        <v>14923</v>
      </c>
      <c r="BO19" s="155">
        <v>4001</v>
      </c>
      <c r="BP19" s="156" t="s">
        <v>73</v>
      </c>
      <c r="BQ19" s="157">
        <v>2666</v>
      </c>
      <c r="BR19" s="156" t="s">
        <v>74</v>
      </c>
    </row>
    <row r="20" spans="1:70" ht="15.75" thickBot="1" x14ac:dyDescent="0.3">
      <c r="B20" s="55">
        <f t="shared" si="49"/>
        <v>46156</v>
      </c>
      <c r="C20" s="163"/>
      <c r="D20" s="86">
        <f t="shared" si="22"/>
        <v>60380</v>
      </c>
      <c r="E20" s="158">
        <f t="shared" si="55"/>
        <v>0.87759191785359392</v>
      </c>
      <c r="F20" s="86">
        <f t="shared" si="24"/>
        <v>52989</v>
      </c>
      <c r="G20" s="158">
        <f t="shared" si="56"/>
        <v>0.1224080821464061</v>
      </c>
      <c r="H20" s="145">
        <f t="shared" si="26"/>
        <v>7391</v>
      </c>
      <c r="I20" s="159">
        <f t="shared" si="57"/>
        <v>0.12016712676266507</v>
      </c>
      <c r="J20" s="158">
        <f t="shared" si="58"/>
        <v>0.16978288442885922</v>
      </c>
      <c r="K20" s="158">
        <f t="shared" si="59"/>
        <v>0.16724750758560902</v>
      </c>
      <c r="L20" s="160">
        <f t="shared" si="60"/>
        <v>0.56611206446317985</v>
      </c>
      <c r="M20" s="145">
        <f t="shared" si="61"/>
        <v>7152.3473849138245</v>
      </c>
      <c r="N20" s="145">
        <f t="shared" si="62"/>
        <v>10105.477281205702</v>
      </c>
      <c r="O20" s="145">
        <f t="shared" si="63"/>
        <v>9954.5716514954493</v>
      </c>
      <c r="P20" s="145">
        <f t="shared" si="64"/>
        <v>33694.990076848466</v>
      </c>
      <c r="Q20" s="55">
        <f t="shared" si="50"/>
        <v>46156</v>
      </c>
      <c r="R20" s="138">
        <v>60380</v>
      </c>
      <c r="S20" s="139">
        <v>0</v>
      </c>
      <c r="T20" s="139">
        <v>59520</v>
      </c>
      <c r="U20" s="139">
        <v>0</v>
      </c>
      <c r="V20" s="140">
        <v>13756</v>
      </c>
      <c r="W20" s="141">
        <v>0.84375</v>
      </c>
      <c r="X20" s="140">
        <v>4869</v>
      </c>
      <c r="Y20" s="141">
        <v>0.41666666666666669</v>
      </c>
      <c r="Z20" s="140">
        <v>0</v>
      </c>
      <c r="AA20" s="141">
        <v>0</v>
      </c>
      <c r="AB20" s="55">
        <f t="shared" si="51"/>
        <v>46156</v>
      </c>
      <c r="AC20" s="75">
        <f t="shared" si="65"/>
        <v>1</v>
      </c>
      <c r="AD20" s="161">
        <f t="shared" si="66"/>
        <v>0</v>
      </c>
      <c r="AE20" s="162">
        <v>8053</v>
      </c>
      <c r="AF20" s="117">
        <f t="shared" si="37"/>
        <v>8053</v>
      </c>
      <c r="AG20" s="146">
        <v>0</v>
      </c>
      <c r="AH20" s="147">
        <v>3691</v>
      </c>
      <c r="AI20" s="148">
        <v>0.3527777777777778</v>
      </c>
      <c r="AJ20" s="147">
        <v>0</v>
      </c>
      <c r="AK20" s="164">
        <v>0</v>
      </c>
      <c r="AL20" s="55">
        <f t="shared" si="38"/>
        <v>46156</v>
      </c>
      <c r="AM20" s="76">
        <f t="shared" si="67"/>
        <v>0.6429952539989453</v>
      </c>
      <c r="AN20" s="75">
        <f t="shared" si="68"/>
        <v>0.35700474600105464</v>
      </c>
      <c r="AO20" s="149">
        <v>11378</v>
      </c>
      <c r="AP20" s="116">
        <f t="shared" si="41"/>
        <v>7316</v>
      </c>
      <c r="AQ20" s="150">
        <v>4062</v>
      </c>
      <c r="AR20" s="151">
        <v>4104</v>
      </c>
      <c r="AS20" s="152">
        <v>0.76458333333333328</v>
      </c>
      <c r="AT20" s="151">
        <v>198</v>
      </c>
      <c r="AU20" s="153">
        <v>0.73958333333333337</v>
      </c>
      <c r="AV20" s="55">
        <f t="shared" si="52"/>
        <v>46156</v>
      </c>
      <c r="AW20" s="109">
        <f t="shared" si="69"/>
        <v>0.65488285299606053</v>
      </c>
      <c r="AX20" s="109">
        <f t="shared" si="70"/>
        <v>0.34511714700393947</v>
      </c>
      <c r="AY20" s="110">
        <f t="shared" si="54"/>
        <v>9646</v>
      </c>
      <c r="AZ20" s="111">
        <v>9646</v>
      </c>
      <c r="BA20" s="119">
        <f t="shared" si="45"/>
        <v>6317</v>
      </c>
      <c r="BB20" s="112">
        <f>2631+698</f>
        <v>3329</v>
      </c>
      <c r="BC20" s="111">
        <v>4219</v>
      </c>
      <c r="BD20" s="113">
        <v>0.80208333333333337</v>
      </c>
      <c r="BE20" s="114">
        <v>0</v>
      </c>
      <c r="BF20" s="113">
        <v>0</v>
      </c>
      <c r="BG20" s="114">
        <v>155</v>
      </c>
      <c r="BH20" s="113">
        <v>0.80208333333333337</v>
      </c>
      <c r="BI20" s="55">
        <f t="shared" si="53"/>
        <v>46156</v>
      </c>
      <c r="BJ20" s="77">
        <f t="shared" si="71"/>
        <v>0.60662132953766668</v>
      </c>
      <c r="BK20" s="75">
        <f t="shared" si="72"/>
        <v>0.39337867046233327</v>
      </c>
      <c r="BL20" s="78">
        <f t="shared" si="73"/>
        <v>37938</v>
      </c>
      <c r="BM20" s="154">
        <v>23014</v>
      </c>
      <c r="BN20" s="154">
        <v>14924</v>
      </c>
      <c r="BO20" s="155">
        <v>4313</v>
      </c>
      <c r="BP20" s="156">
        <v>0.73472222222222228</v>
      </c>
      <c r="BQ20" s="157">
        <v>2864</v>
      </c>
      <c r="BR20" s="156">
        <v>0.73472222222222228</v>
      </c>
    </row>
    <row r="21" spans="1:70" ht="15.75" thickBot="1" x14ac:dyDescent="0.3">
      <c r="A21" s="14"/>
      <c r="B21" s="55">
        <f t="shared" si="49"/>
        <v>46157</v>
      </c>
      <c r="C21" s="163"/>
      <c r="D21" s="86">
        <f t="shared" si="22"/>
        <v>60654</v>
      </c>
      <c r="E21" s="158">
        <f t="shared" si="55"/>
        <v>0.8788043657466944</v>
      </c>
      <c r="F21" s="86">
        <f t="shared" si="24"/>
        <v>53303</v>
      </c>
      <c r="G21" s="158">
        <f t="shared" si="56"/>
        <v>0.12119563425330564</v>
      </c>
      <c r="H21" s="145">
        <f t="shared" si="26"/>
        <v>7351</v>
      </c>
      <c r="I21" s="159">
        <f t="shared" si="57"/>
        <v>0.11814169847328244</v>
      </c>
      <c r="J21" s="158">
        <f t="shared" si="58"/>
        <v>0.16090171755725191</v>
      </c>
      <c r="K21" s="158">
        <f t="shared" si="59"/>
        <v>0.17254519828081227</v>
      </c>
      <c r="L21" s="160">
        <f t="shared" si="60"/>
        <v>0.5731154580152672</v>
      </c>
      <c r="M21" s="145">
        <f t="shared" si="61"/>
        <v>7016.1991889312976</v>
      </c>
      <c r="N21" s="145">
        <f t="shared" si="62"/>
        <v>9555.6312022900765</v>
      </c>
      <c r="O21" s="145">
        <f t="shared" si="63"/>
        <v>10247.11423550088</v>
      </c>
      <c r="P21" s="145">
        <f t="shared" si="64"/>
        <v>34036.180820610687</v>
      </c>
      <c r="Q21" s="55">
        <f t="shared" si="50"/>
        <v>46157</v>
      </c>
      <c r="R21" s="138">
        <v>60654</v>
      </c>
      <c r="S21" s="139">
        <v>0</v>
      </c>
      <c r="T21" s="139">
        <v>59388</v>
      </c>
      <c r="U21" s="139">
        <v>0</v>
      </c>
      <c r="V21" s="140">
        <v>13923</v>
      </c>
      <c r="W21" s="141">
        <v>0.79166666666666663</v>
      </c>
      <c r="X21" s="140">
        <v>4865</v>
      </c>
      <c r="Y21" s="141">
        <v>0.40625</v>
      </c>
      <c r="Z21" s="140">
        <v>0</v>
      </c>
      <c r="AA21" s="141">
        <v>0</v>
      </c>
      <c r="AB21" s="55">
        <f t="shared" si="51"/>
        <v>46157</v>
      </c>
      <c r="AC21" s="75">
        <f t="shared" si="65"/>
        <v>1</v>
      </c>
      <c r="AD21" s="161">
        <f t="shared" si="66"/>
        <v>0</v>
      </c>
      <c r="AE21" s="162">
        <v>7924</v>
      </c>
      <c r="AF21" s="117">
        <f t="shared" si="37"/>
        <v>7924</v>
      </c>
      <c r="AG21" s="146">
        <v>0</v>
      </c>
      <c r="AH21" s="147">
        <v>4251</v>
      </c>
      <c r="AI21" s="148">
        <v>0.7006944444444444</v>
      </c>
      <c r="AJ21" s="147">
        <v>0</v>
      </c>
      <c r="AK21" s="164">
        <v>0</v>
      </c>
      <c r="AL21" s="55">
        <f t="shared" si="38"/>
        <v>46157</v>
      </c>
      <c r="AM21" s="76">
        <f t="shared" si="67"/>
        <v>0.63185693106004448</v>
      </c>
      <c r="AN21" s="75">
        <f t="shared" si="68"/>
        <v>0.36814306893995552</v>
      </c>
      <c r="AO21" s="149">
        <v>10792</v>
      </c>
      <c r="AP21" s="116">
        <f t="shared" si="41"/>
        <v>6819</v>
      </c>
      <c r="AQ21" s="150">
        <v>3973</v>
      </c>
      <c r="AR21" s="151">
        <v>3831</v>
      </c>
      <c r="AS21" s="152">
        <v>0.74305555555555558</v>
      </c>
      <c r="AT21" s="151">
        <v>187</v>
      </c>
      <c r="AU21" s="153">
        <v>0.3125</v>
      </c>
      <c r="AV21" s="55">
        <f t="shared" si="52"/>
        <v>46157</v>
      </c>
      <c r="AW21" s="109">
        <f t="shared" si="69"/>
        <v>0.65933844292053245</v>
      </c>
      <c r="AX21" s="109">
        <f t="shared" si="70"/>
        <v>0.34066155707946755</v>
      </c>
      <c r="AY21" s="110">
        <f t="shared" si="54"/>
        <v>9916</v>
      </c>
      <c r="AZ21" s="111">
        <v>9916</v>
      </c>
      <c r="BA21" s="119">
        <f t="shared" si="45"/>
        <v>6538</v>
      </c>
      <c r="BB21" s="112">
        <f>2680+698</f>
        <v>3378</v>
      </c>
      <c r="BC21" s="111">
        <v>4118</v>
      </c>
      <c r="BD21" s="113">
        <v>0.38541666666666669</v>
      </c>
      <c r="BE21" s="114">
        <v>0</v>
      </c>
      <c r="BF21" s="113">
        <v>0</v>
      </c>
      <c r="BG21" s="114">
        <v>159</v>
      </c>
      <c r="BH21" s="113">
        <v>0.79166666666666663</v>
      </c>
      <c r="BI21" s="55">
        <f>BI20+1</f>
        <v>46157</v>
      </c>
      <c r="BJ21" s="77">
        <f t="shared" si="71"/>
        <v>0.59557752341311132</v>
      </c>
      <c r="BK21" s="75">
        <f t="shared" si="72"/>
        <v>0.40442247658688868</v>
      </c>
      <c r="BL21" s="78">
        <f t="shared" si="73"/>
        <v>38440</v>
      </c>
      <c r="BM21" s="154">
        <v>22894</v>
      </c>
      <c r="BN21" s="154">
        <v>15546</v>
      </c>
      <c r="BO21" s="155">
        <v>4890</v>
      </c>
      <c r="BP21" s="156">
        <v>0.3923611111111111</v>
      </c>
      <c r="BQ21" s="157">
        <v>3249</v>
      </c>
      <c r="BR21" s="156">
        <v>0.39305555555555555</v>
      </c>
    </row>
    <row r="22" spans="1:70" ht="15.75" thickBot="1" x14ac:dyDescent="0.3">
      <c r="A22" s="14"/>
      <c r="B22" s="55">
        <f t="shared" si="49"/>
        <v>46158</v>
      </c>
      <c r="C22" s="163"/>
      <c r="D22" s="86">
        <f t="shared" si="22"/>
        <v>33046</v>
      </c>
      <c r="E22" s="158">
        <f t="shared" si="55"/>
        <v>0.80049022574592987</v>
      </c>
      <c r="F22" s="86">
        <f t="shared" si="24"/>
        <v>26453</v>
      </c>
      <c r="G22" s="158">
        <f t="shared" si="56"/>
        <v>0.19950977425407007</v>
      </c>
      <c r="H22" s="145">
        <f t="shared" si="26"/>
        <v>6593</v>
      </c>
      <c r="I22" s="159">
        <f t="shared" si="57"/>
        <v>0.10629710213477123</v>
      </c>
      <c r="J22" s="158">
        <f t="shared" si="58"/>
        <v>0.18090373033140983</v>
      </c>
      <c r="K22" s="158">
        <f t="shared" si="59"/>
        <v>0.34639450200020516</v>
      </c>
      <c r="L22" s="160">
        <f t="shared" si="60"/>
        <v>0.49982656954561222</v>
      </c>
      <c r="M22" s="145">
        <f t="shared" si="61"/>
        <v>3336.3471447040647</v>
      </c>
      <c r="N22" s="145">
        <f t="shared" si="62"/>
        <v>5678.0253839119605</v>
      </c>
      <c r="O22" s="145">
        <f t="shared" si="63"/>
        <v>10872.28423428044</v>
      </c>
      <c r="P22" s="145">
        <f t="shared" si="64"/>
        <v>15688.05653832813</v>
      </c>
      <c r="Q22" s="55">
        <f t="shared" si="50"/>
        <v>46158</v>
      </c>
      <c r="R22" s="138">
        <v>33046</v>
      </c>
      <c r="S22" s="139">
        <v>0</v>
      </c>
      <c r="T22" s="139">
        <v>31387</v>
      </c>
      <c r="U22" s="139">
        <v>0</v>
      </c>
      <c r="V22" s="140">
        <v>6542</v>
      </c>
      <c r="W22" s="141">
        <v>0.86458333333333337</v>
      </c>
      <c r="X22" s="140">
        <v>2272</v>
      </c>
      <c r="Y22" s="141">
        <v>0.86458333333333337</v>
      </c>
      <c r="Z22" s="140">
        <v>0</v>
      </c>
      <c r="AA22" s="141">
        <v>0</v>
      </c>
      <c r="AB22" s="55">
        <f t="shared" si="51"/>
        <v>46158</v>
      </c>
      <c r="AC22" s="75">
        <f t="shared" si="65"/>
        <v>1</v>
      </c>
      <c r="AD22" s="161">
        <f t="shared" si="66"/>
        <v>0</v>
      </c>
      <c r="AE22" s="162">
        <v>3371</v>
      </c>
      <c r="AF22" s="117">
        <f t="shared" si="37"/>
        <v>3371</v>
      </c>
      <c r="AG22" s="146">
        <v>0</v>
      </c>
      <c r="AH22" s="147">
        <v>1642</v>
      </c>
      <c r="AI22" s="148">
        <v>0.77152777777777781</v>
      </c>
      <c r="AJ22" s="147">
        <v>0</v>
      </c>
      <c r="AK22" s="164">
        <v>0</v>
      </c>
      <c r="AL22" s="55">
        <f t="shared" si="38"/>
        <v>46158</v>
      </c>
      <c r="AM22" s="76">
        <f t="shared" si="67"/>
        <v>0.42391493812096914</v>
      </c>
      <c r="AN22" s="75">
        <f t="shared" si="68"/>
        <v>0.57608506187903086</v>
      </c>
      <c r="AO22" s="149">
        <v>5737</v>
      </c>
      <c r="AP22" s="116">
        <f t="shared" si="41"/>
        <v>2432</v>
      </c>
      <c r="AQ22" s="150">
        <v>3305</v>
      </c>
      <c r="AR22" s="151">
        <v>2026</v>
      </c>
      <c r="AS22" s="152">
        <v>0.35208333333333336</v>
      </c>
      <c r="AT22" s="151">
        <v>182</v>
      </c>
      <c r="AU22" s="153">
        <v>0.30208333333333331</v>
      </c>
      <c r="AV22" s="55">
        <f t="shared" si="52"/>
        <v>46158</v>
      </c>
      <c r="AW22" s="109">
        <f t="shared" si="69"/>
        <v>0.51317737636955874</v>
      </c>
      <c r="AX22" s="109">
        <f t="shared" si="70"/>
        <v>0.48682262363044121</v>
      </c>
      <c r="AY22" s="110">
        <f t="shared" si="54"/>
        <v>6754</v>
      </c>
      <c r="AZ22" s="111">
        <v>6754</v>
      </c>
      <c r="BA22" s="119">
        <f t="shared" si="45"/>
        <v>3466</v>
      </c>
      <c r="BB22" s="112">
        <f>2590+698</f>
        <v>3288</v>
      </c>
      <c r="BC22" s="111">
        <v>2225</v>
      </c>
      <c r="BD22" s="113">
        <v>0.82291666666666663</v>
      </c>
      <c r="BE22" s="114">
        <v>0</v>
      </c>
      <c r="BF22" s="113">
        <v>0</v>
      </c>
      <c r="BG22" s="114">
        <v>162</v>
      </c>
      <c r="BH22" s="113">
        <v>0.15625</v>
      </c>
      <c r="BI22" s="55">
        <f t="shared" si="53"/>
        <v>46158</v>
      </c>
      <c r="BJ22" s="77">
        <f t="shared" si="71"/>
        <v>1.1797362942401111E-2</v>
      </c>
      <c r="BK22" s="75">
        <f t="shared" si="72"/>
        <v>0.98820263705759892</v>
      </c>
      <c r="BL22" s="78">
        <f t="shared" si="73"/>
        <v>15851</v>
      </c>
      <c r="BM22" s="154">
        <v>187</v>
      </c>
      <c r="BN22" s="154">
        <v>15664</v>
      </c>
      <c r="BO22" s="155">
        <v>640</v>
      </c>
      <c r="BP22" s="156">
        <v>0.33750000000000002</v>
      </c>
      <c r="BQ22" s="157">
        <v>3200</v>
      </c>
      <c r="BR22" s="156">
        <v>0.81944444444444442</v>
      </c>
    </row>
    <row r="23" spans="1:70" ht="15.75" thickBot="1" x14ac:dyDescent="0.3">
      <c r="A23" s="14"/>
      <c r="B23" s="55">
        <f t="shared" si="49"/>
        <v>46159</v>
      </c>
      <c r="C23" s="163"/>
      <c r="D23" s="86">
        <f t="shared" si="22"/>
        <v>27734</v>
      </c>
      <c r="E23" s="158">
        <f t="shared" si="55"/>
        <v>0.74114804932573741</v>
      </c>
      <c r="F23" s="86">
        <f t="shared" si="24"/>
        <v>20555</v>
      </c>
      <c r="G23" s="158">
        <f t="shared" si="56"/>
        <v>0.25885195067426264</v>
      </c>
      <c r="H23" s="145">
        <f t="shared" si="26"/>
        <v>7179</v>
      </c>
      <c r="I23" s="159">
        <f t="shared" si="57"/>
        <v>8.7044915477579907E-2</v>
      </c>
      <c r="J23" s="158">
        <f t="shared" si="58"/>
        <v>0.20605398893113963</v>
      </c>
      <c r="K23" s="158">
        <f t="shared" si="59"/>
        <v>0.36175593308260928</v>
      </c>
      <c r="L23" s="160">
        <f t="shared" si="60"/>
        <v>0.49685629306125523</v>
      </c>
      <c r="M23" s="145">
        <f t="shared" si="61"/>
        <v>2279.9674711042503</v>
      </c>
      <c r="N23" s="145">
        <f t="shared" si="62"/>
        <v>5397.1721320733404</v>
      </c>
      <c r="O23" s="145">
        <f t="shared" si="63"/>
        <v>9475.4731552327848</v>
      </c>
      <c r="P23" s="145">
        <f t="shared" si="64"/>
        <v>13014.156884153459</v>
      </c>
      <c r="Q23" s="55">
        <f t="shared" si="50"/>
        <v>46159</v>
      </c>
      <c r="R23" s="138">
        <f>27066+668</f>
        <v>27734</v>
      </c>
      <c r="S23" s="139">
        <v>0</v>
      </c>
      <c r="T23" s="139">
        <v>26193</v>
      </c>
      <c r="U23" s="139">
        <v>0</v>
      </c>
      <c r="V23" s="140">
        <v>6642</v>
      </c>
      <c r="W23" s="141">
        <v>0.84375</v>
      </c>
      <c r="X23" s="140">
        <v>1933</v>
      </c>
      <c r="Y23" s="141">
        <v>0.79166666666666663</v>
      </c>
      <c r="Z23" s="140">
        <v>0</v>
      </c>
      <c r="AA23" s="141">
        <v>0</v>
      </c>
      <c r="AB23" s="55">
        <f t="shared" si="51"/>
        <v>46159</v>
      </c>
      <c r="AC23" s="75">
        <f t="shared" si="65"/>
        <v>1</v>
      </c>
      <c r="AD23" s="161">
        <f t="shared" si="66"/>
        <v>0</v>
      </c>
      <c r="AE23" s="162">
        <v>2312</v>
      </c>
      <c r="AF23" s="117">
        <f t="shared" si="37"/>
        <v>2312</v>
      </c>
      <c r="AG23" s="146">
        <v>0</v>
      </c>
      <c r="AH23" s="147">
        <v>1572</v>
      </c>
      <c r="AI23" s="148">
        <v>0.93402777777777779</v>
      </c>
      <c r="AJ23" s="147">
        <v>0</v>
      </c>
      <c r="AK23" s="164">
        <v>0</v>
      </c>
      <c r="AL23" s="55">
        <f t="shared" si="38"/>
        <v>46159</v>
      </c>
      <c r="AM23" s="76">
        <f t="shared" si="67"/>
        <v>0.3162799196053353</v>
      </c>
      <c r="AN23" s="75">
        <f t="shared" si="68"/>
        <v>0.6837200803946647</v>
      </c>
      <c r="AO23" s="149">
        <v>5473</v>
      </c>
      <c r="AP23" s="116">
        <f t="shared" si="41"/>
        <v>1731</v>
      </c>
      <c r="AQ23" s="150">
        <v>3742</v>
      </c>
      <c r="AR23" s="151">
        <v>1723</v>
      </c>
      <c r="AS23" s="152">
        <v>0.75555555555555554</v>
      </c>
      <c r="AT23" s="151">
        <v>189</v>
      </c>
      <c r="AU23" s="153">
        <v>0.78125</v>
      </c>
      <c r="AV23" s="55">
        <f t="shared" si="52"/>
        <v>46159</v>
      </c>
      <c r="AW23" s="109">
        <f t="shared" si="69"/>
        <v>0.38393977415307401</v>
      </c>
      <c r="AX23" s="109">
        <f t="shared" si="70"/>
        <v>0.61606022584692599</v>
      </c>
      <c r="AY23" s="110">
        <f t="shared" si="54"/>
        <v>5579</v>
      </c>
      <c r="AZ23" s="111">
        <v>5579</v>
      </c>
      <c r="BA23" s="119">
        <f t="shared" si="45"/>
        <v>2142</v>
      </c>
      <c r="BB23" s="112">
        <f>2739+698</f>
        <v>3437</v>
      </c>
      <c r="BC23" s="111">
        <v>2132</v>
      </c>
      <c r="BD23" s="113">
        <v>0.78125</v>
      </c>
      <c r="BE23" s="114">
        <v>0</v>
      </c>
      <c r="BF23" s="113">
        <v>0</v>
      </c>
      <c r="BG23" s="114">
        <v>177</v>
      </c>
      <c r="BH23" s="113">
        <v>2.0833333333333332E-2</v>
      </c>
      <c r="BI23" s="55">
        <f t="shared" si="53"/>
        <v>46159</v>
      </c>
      <c r="BJ23" s="77">
        <f t="shared" si="71"/>
        <v>1.6746230203834204E-2</v>
      </c>
      <c r="BK23" s="75">
        <f t="shared" si="72"/>
        <v>0.98325376979616574</v>
      </c>
      <c r="BL23" s="78">
        <f t="shared" si="73"/>
        <v>13197</v>
      </c>
      <c r="BM23" s="154">
        <v>221</v>
      </c>
      <c r="BN23" s="154">
        <v>12976</v>
      </c>
      <c r="BO23" s="155">
        <v>824</v>
      </c>
      <c r="BP23" s="156">
        <v>2.4305555555555556E-2</v>
      </c>
      <c r="BQ23" s="157">
        <v>2604</v>
      </c>
      <c r="BR23" s="156">
        <v>0.41249999999999998</v>
      </c>
    </row>
    <row r="24" spans="1:70" ht="15.75" thickBot="1" x14ac:dyDescent="0.3">
      <c r="A24" s="14"/>
      <c r="B24" s="55">
        <f t="shared" si="49"/>
        <v>46160</v>
      </c>
      <c r="C24" s="163"/>
      <c r="D24" s="86">
        <f>R24+S24</f>
        <v>57960</v>
      </c>
      <c r="E24" s="158">
        <f t="shared" si="55"/>
        <v>0.86523171152518985</v>
      </c>
      <c r="F24" s="86">
        <f t="shared" si="24"/>
        <v>50148.83</v>
      </c>
      <c r="G24" s="158">
        <f t="shared" si="56"/>
        <v>0.13476828847481021</v>
      </c>
      <c r="H24" s="145">
        <f t="shared" si="26"/>
        <v>7811.17</v>
      </c>
      <c r="I24" s="159">
        <f t="shared" si="57"/>
        <v>0.12170133028440087</v>
      </c>
      <c r="J24" s="158">
        <f t="shared" si="58"/>
        <v>0.16084829927123442</v>
      </c>
      <c r="K24" s="158">
        <f t="shared" si="59"/>
        <v>0.17318265512401768</v>
      </c>
      <c r="L24" s="160">
        <f t="shared" si="60"/>
        <v>0.56770465518358459</v>
      </c>
      <c r="M24" s="145">
        <f t="shared" si="61"/>
        <v>6869.3098865727234</v>
      </c>
      <c r="N24" s="145">
        <f t="shared" si="62"/>
        <v>9078.9214040655552</v>
      </c>
      <c r="O24" s="145">
        <f t="shared" si="63"/>
        <v>9775.1217858200544</v>
      </c>
      <c r="P24" s="145">
        <f t="shared" si="64"/>
        <v>32043.521557182248</v>
      </c>
      <c r="Q24" s="55">
        <f t="shared" si="50"/>
        <v>46160</v>
      </c>
      <c r="R24" s="139">
        <v>57960</v>
      </c>
      <c r="S24" s="139">
        <v>0</v>
      </c>
      <c r="T24" s="139">
        <v>56444</v>
      </c>
      <c r="U24" s="139">
        <v>0</v>
      </c>
      <c r="V24" s="140">
        <v>14270.35</v>
      </c>
      <c r="W24" s="141">
        <v>0.82291666666666663</v>
      </c>
      <c r="X24" s="140">
        <v>4906.91</v>
      </c>
      <c r="Y24" s="141">
        <v>0.42708333333333331</v>
      </c>
      <c r="Z24" s="140">
        <v>0</v>
      </c>
      <c r="AA24" s="141">
        <v>0</v>
      </c>
      <c r="AB24" s="55">
        <f t="shared" si="51"/>
        <v>46160</v>
      </c>
      <c r="AC24" s="75">
        <f t="shared" si="65"/>
        <v>1</v>
      </c>
      <c r="AD24" s="161">
        <f t="shared" si="66"/>
        <v>0</v>
      </c>
      <c r="AE24" s="162">
        <v>7870.38</v>
      </c>
      <c r="AF24" s="117">
        <f t="shared" si="37"/>
        <v>7870.38</v>
      </c>
      <c r="AG24" s="146">
        <v>0</v>
      </c>
      <c r="AH24" s="147">
        <v>4257.68</v>
      </c>
      <c r="AI24" s="148">
        <v>0.76944444444444449</v>
      </c>
      <c r="AJ24" s="147">
        <v>0</v>
      </c>
      <c r="AK24" s="164">
        <v>0</v>
      </c>
      <c r="AL24" s="55">
        <f t="shared" si="38"/>
        <v>46160</v>
      </c>
      <c r="AM24" s="76">
        <f t="shared" si="67"/>
        <v>0.60956642953278217</v>
      </c>
      <c r="AN24" s="75">
        <f t="shared" si="68"/>
        <v>0.39043357046721783</v>
      </c>
      <c r="AO24" s="149">
        <v>10402</v>
      </c>
      <c r="AP24" s="116">
        <f t="shared" si="41"/>
        <v>6340.71</v>
      </c>
      <c r="AQ24" s="150">
        <v>4061.29</v>
      </c>
      <c r="AR24" s="151">
        <v>4304.51</v>
      </c>
      <c r="AS24" s="152">
        <v>0.7729166666666667</v>
      </c>
      <c r="AT24" s="151">
        <v>194.73</v>
      </c>
      <c r="AU24" s="153">
        <v>0.38541666666666669</v>
      </c>
      <c r="AV24" s="55">
        <f t="shared" si="52"/>
        <v>46160</v>
      </c>
      <c r="AW24" s="109">
        <f t="shared" si="69"/>
        <v>0.61277571251548946</v>
      </c>
      <c r="AX24" s="109">
        <f t="shared" si="70"/>
        <v>0.38722428748451054</v>
      </c>
      <c r="AY24" s="110">
        <f t="shared" si="54"/>
        <v>9684</v>
      </c>
      <c r="AZ24" s="111">
        <v>9684</v>
      </c>
      <c r="BA24" s="119">
        <f t="shared" si="45"/>
        <v>5934.12</v>
      </c>
      <c r="BB24" s="112">
        <f>3051.88+698</f>
        <v>3749.88</v>
      </c>
      <c r="BC24" s="111">
        <v>4158</v>
      </c>
      <c r="BD24" s="113">
        <v>0.38541666666666669</v>
      </c>
      <c r="BE24" s="114">
        <v>0</v>
      </c>
      <c r="BF24" s="113">
        <v>0</v>
      </c>
      <c r="BG24" s="114">
        <v>175.72</v>
      </c>
      <c r="BH24" s="113">
        <v>0.77083333333333337</v>
      </c>
      <c r="BI24" s="55">
        <f t="shared" si="53"/>
        <v>46160</v>
      </c>
      <c r="BJ24" s="77">
        <f t="shared" si="71"/>
        <v>0.60846560846560849</v>
      </c>
      <c r="BK24" s="75">
        <f t="shared" si="72"/>
        <v>0.39153439153439151</v>
      </c>
      <c r="BL24" s="78">
        <f t="shared" si="73"/>
        <v>36713.25</v>
      </c>
      <c r="BM24" s="154">
        <v>22338.75</v>
      </c>
      <c r="BN24" s="154">
        <v>14374.5</v>
      </c>
      <c r="BO24" s="155">
        <v>4163.78</v>
      </c>
      <c r="BP24" s="156">
        <v>0.81736111111111109</v>
      </c>
      <c r="BQ24" s="157">
        <v>2774.95</v>
      </c>
      <c r="BR24" s="156">
        <v>0.81805555555555554</v>
      </c>
    </row>
    <row r="25" spans="1:70" ht="15.75" thickBot="1" x14ac:dyDescent="0.3">
      <c r="A25" s="14"/>
      <c r="B25" s="55">
        <f t="shared" si="49"/>
        <v>46161</v>
      </c>
      <c r="C25" s="163"/>
      <c r="D25" s="86">
        <f t="shared" ref="D25:D37" si="82">R25+S25</f>
        <v>59988</v>
      </c>
      <c r="E25" s="158">
        <f t="shared" ref="E25:E36" si="83">F25/D25</f>
        <v>0.86706441288257652</v>
      </c>
      <c r="F25" s="86">
        <f t="shared" si="24"/>
        <v>52013.46</v>
      </c>
      <c r="G25" s="158">
        <f t="shared" ref="G25:G36" si="84">H25/D25</f>
        <v>0.13293558711742348</v>
      </c>
      <c r="H25" s="145">
        <f t="shared" si="26"/>
        <v>7974.54</v>
      </c>
      <c r="I25" s="159">
        <f t="shared" ref="I25:I36" si="85">AE25/(AE25+AO25+BL25+AY25)</f>
        <v>0.11817676548760084</v>
      </c>
      <c r="J25" s="158">
        <f t="shared" ref="J25:J36" si="86">AO25/(AE25+AO25+BL25+AY25)</f>
        <v>0.16709962071181611</v>
      </c>
      <c r="K25" s="158">
        <f t="shared" ref="K25:K36" si="87">AY25/(AF25+AP25+BM25+AZ25+AY25)</f>
        <v>0.1673504311006779</v>
      </c>
      <c r="L25" s="160">
        <f t="shared" ref="L25:L36" si="88">BL25/(AE25+AO25+BL25+AY25)</f>
        <v>0.57141592505376104</v>
      </c>
      <c r="M25" s="145">
        <f t="shared" ref="M25:M34" si="89">(S25+T25)*I25</f>
        <v>6917.3587910512279</v>
      </c>
      <c r="N25" s="145">
        <f t="shared" ref="N25:N34" si="90">(S25+T25)*J25</f>
        <v>9781.0091987454434</v>
      </c>
      <c r="O25" s="145">
        <f t="shared" ref="O25:O34" si="91">(S25+T25)*K25</f>
        <v>9795.6901340470813</v>
      </c>
      <c r="P25" s="145">
        <f t="shared" ref="P25:P34" si="92">(S25+T25)*L25</f>
        <v>33447.25975709685</v>
      </c>
      <c r="Q25" s="55">
        <f t="shared" si="50"/>
        <v>46161</v>
      </c>
      <c r="R25" s="139">
        <v>59988</v>
      </c>
      <c r="S25" s="139">
        <v>0</v>
      </c>
      <c r="T25" s="139">
        <v>58534</v>
      </c>
      <c r="U25" s="139">
        <v>0</v>
      </c>
      <c r="V25" s="140">
        <v>15133.75</v>
      </c>
      <c r="W25" s="141">
        <v>0.73958333333333337</v>
      </c>
      <c r="X25" s="140">
        <v>4800.6000000000004</v>
      </c>
      <c r="Y25" s="141">
        <v>0.84375</v>
      </c>
      <c r="Z25" s="140">
        <v>0</v>
      </c>
      <c r="AA25" s="141">
        <v>0</v>
      </c>
      <c r="AB25" s="167">
        <f t="shared" si="51"/>
        <v>46161</v>
      </c>
      <c r="AC25" s="75">
        <f t="shared" si="65"/>
        <v>1</v>
      </c>
      <c r="AD25" s="161">
        <f t="shared" si="66"/>
        <v>0</v>
      </c>
      <c r="AE25" s="162">
        <v>7862.91</v>
      </c>
      <c r="AF25" s="117">
        <f t="shared" si="37"/>
        <v>7862.91</v>
      </c>
      <c r="AG25" s="146">
        <v>0</v>
      </c>
      <c r="AH25" s="147">
        <v>4164.5</v>
      </c>
      <c r="AI25" s="148">
        <v>0.74236111111111114</v>
      </c>
      <c r="AJ25" s="147">
        <v>0</v>
      </c>
      <c r="AK25" s="164">
        <v>0</v>
      </c>
      <c r="AL25" s="167">
        <f t="shared" si="38"/>
        <v>46161</v>
      </c>
      <c r="AM25" s="76">
        <f t="shared" si="67"/>
        <v>0.61913923367512147</v>
      </c>
      <c r="AN25" s="75">
        <f t="shared" si="68"/>
        <v>0.38086076632487859</v>
      </c>
      <c r="AO25" s="149">
        <v>11118</v>
      </c>
      <c r="AP25" s="116">
        <f t="shared" si="41"/>
        <v>6883.59</v>
      </c>
      <c r="AQ25" s="150">
        <v>4234.41</v>
      </c>
      <c r="AR25" s="151">
        <v>3993.7</v>
      </c>
      <c r="AS25" s="152">
        <v>0.70694444444444449</v>
      </c>
      <c r="AT25" s="151">
        <v>192.95</v>
      </c>
      <c r="AU25" s="153">
        <v>0.78125</v>
      </c>
      <c r="AV25" s="167">
        <f t="shared" si="52"/>
        <v>46161</v>
      </c>
      <c r="AW25" s="168">
        <f t="shared" si="69"/>
        <v>0.60774724698479288</v>
      </c>
      <c r="AX25" s="168">
        <f t="shared" si="70"/>
        <v>0.39225275301520712</v>
      </c>
      <c r="AY25" s="110">
        <f t="shared" si="54"/>
        <v>9535</v>
      </c>
      <c r="AZ25" s="111">
        <v>9535</v>
      </c>
      <c r="BA25" s="119">
        <f t="shared" si="45"/>
        <v>5794.87</v>
      </c>
      <c r="BB25" s="112">
        <f>3042.13+698</f>
        <v>3740.13</v>
      </c>
      <c r="BC25" s="111">
        <v>4038.57</v>
      </c>
      <c r="BD25" s="113">
        <v>0.76041666666666663</v>
      </c>
      <c r="BE25" s="114">
        <v>0</v>
      </c>
      <c r="BF25" s="113">
        <v>0</v>
      </c>
      <c r="BG25" s="114">
        <v>169.1</v>
      </c>
      <c r="BH25" s="113">
        <v>0.78125</v>
      </c>
      <c r="BI25" s="167">
        <f t="shared" si="53"/>
        <v>46161</v>
      </c>
      <c r="BJ25" s="169">
        <f t="shared" si="71"/>
        <v>0.60915851838213542</v>
      </c>
      <c r="BK25" s="75">
        <f t="shared" si="72"/>
        <v>0.39084148161786464</v>
      </c>
      <c r="BL25" s="78">
        <f t="shared" si="73"/>
        <v>38019.25</v>
      </c>
      <c r="BM25" s="154">
        <v>23159.75</v>
      </c>
      <c r="BN25" s="154">
        <v>14859.5</v>
      </c>
      <c r="BO25" s="155">
        <v>4112.7</v>
      </c>
      <c r="BP25" s="156">
        <v>0.69374999999999998</v>
      </c>
      <c r="BQ25" s="157">
        <v>2735.02</v>
      </c>
      <c r="BR25" s="156">
        <v>0.69444444444444442</v>
      </c>
    </row>
    <row r="26" spans="1:70" ht="15.75" thickBot="1" x14ac:dyDescent="0.3">
      <c r="A26" s="14"/>
      <c r="B26" s="55">
        <f t="shared" si="49"/>
        <v>46162</v>
      </c>
      <c r="C26" s="163"/>
      <c r="D26" s="86">
        <f t="shared" si="82"/>
        <v>58850</v>
      </c>
      <c r="E26" s="158">
        <f t="shared" si="83"/>
        <v>0.86808836023789293</v>
      </c>
      <c r="F26" s="86">
        <f t="shared" si="24"/>
        <v>51087</v>
      </c>
      <c r="G26" s="158">
        <f t="shared" si="84"/>
        <v>0.13191163976210704</v>
      </c>
      <c r="H26" s="145">
        <f t="shared" si="26"/>
        <v>7763</v>
      </c>
      <c r="I26" s="159">
        <f t="shared" si="85"/>
        <v>0.12134796722831968</v>
      </c>
      <c r="J26" s="158">
        <f t="shared" si="86"/>
        <v>0.16354923481218117</v>
      </c>
      <c r="K26" s="158">
        <f t="shared" si="87"/>
        <v>0.16771639373762823</v>
      </c>
      <c r="L26" s="160">
        <f t="shared" si="88"/>
        <v>0.57103107126294639</v>
      </c>
      <c r="M26" s="145">
        <f t="shared" si="89"/>
        <v>7044.2494976039579</v>
      </c>
      <c r="N26" s="145">
        <f t="shared" si="90"/>
        <v>9494.0330808471172</v>
      </c>
      <c r="O26" s="145">
        <f t="shared" si="91"/>
        <v>9735.9366564693191</v>
      </c>
      <c r="P26" s="145">
        <f t="shared" si="92"/>
        <v>33148.353686814036</v>
      </c>
      <c r="Q26" s="55">
        <f t="shared" si="50"/>
        <v>46162</v>
      </c>
      <c r="R26" s="139">
        <v>58850</v>
      </c>
      <c r="S26" s="139">
        <v>0</v>
      </c>
      <c r="T26" s="139">
        <v>58050</v>
      </c>
      <c r="U26" s="139">
        <v>0</v>
      </c>
      <c r="V26" s="140">
        <v>14950</v>
      </c>
      <c r="W26" s="141">
        <v>0.77083333333333337</v>
      </c>
      <c r="X26" s="140">
        <v>4780</v>
      </c>
      <c r="Y26" s="141">
        <v>0.75</v>
      </c>
      <c r="Z26" s="140">
        <v>0</v>
      </c>
      <c r="AA26" s="141">
        <v>0</v>
      </c>
      <c r="AB26" s="55">
        <f t="shared" si="51"/>
        <v>46162</v>
      </c>
      <c r="AC26" s="75">
        <f t="shared" ref="AC26:AC36" si="93">+AF26/AE26</f>
        <v>1</v>
      </c>
      <c r="AD26" s="161">
        <f t="shared" ref="AD26:AD36" si="94">+AG26/AE26</f>
        <v>0</v>
      </c>
      <c r="AE26" s="162">
        <v>7850</v>
      </c>
      <c r="AF26" s="117">
        <f t="shared" si="37"/>
        <v>7850</v>
      </c>
      <c r="AG26" s="146">
        <v>0</v>
      </c>
      <c r="AH26" s="147">
        <v>4020</v>
      </c>
      <c r="AI26" s="148">
        <v>0.77083333333333337</v>
      </c>
      <c r="AJ26" s="147">
        <v>0</v>
      </c>
      <c r="AK26" s="164">
        <v>0</v>
      </c>
      <c r="AL26" s="55">
        <f t="shared" si="38"/>
        <v>46162</v>
      </c>
      <c r="AM26" s="76">
        <f t="shared" ref="AM26:AM36" si="95">+AP26/AO26</f>
        <v>0.6172022684310019</v>
      </c>
      <c r="AN26" s="75">
        <f t="shared" ref="AN26:AN36" si="96">+AQ26/AO26</f>
        <v>0.3827977315689981</v>
      </c>
      <c r="AO26" s="149">
        <v>10580</v>
      </c>
      <c r="AP26" s="116">
        <f t="shared" si="41"/>
        <v>6530</v>
      </c>
      <c r="AQ26" s="150">
        <v>4050</v>
      </c>
      <c r="AR26" s="151">
        <v>3870</v>
      </c>
      <c r="AS26" s="152">
        <v>0.75694444444444442</v>
      </c>
      <c r="AT26" s="151">
        <v>192</v>
      </c>
      <c r="AU26" s="153">
        <v>0.72916666666666663</v>
      </c>
      <c r="AV26" s="55">
        <f t="shared" si="52"/>
        <v>46162</v>
      </c>
      <c r="AW26" s="109">
        <f t="shared" ref="AW26:AW36" si="97">BA26/AZ26</f>
        <v>0.60160944206008582</v>
      </c>
      <c r="AX26" s="109">
        <f t="shared" ref="AX26:AX36" si="98">BB26/AZ26</f>
        <v>0.39839055793991418</v>
      </c>
      <c r="AY26" s="110">
        <f t="shared" si="54"/>
        <v>9320</v>
      </c>
      <c r="AZ26" s="111">
        <v>9320</v>
      </c>
      <c r="BA26" s="119">
        <f t="shared" si="45"/>
        <v>5607</v>
      </c>
      <c r="BB26" s="112">
        <f>3015+698</f>
        <v>3713</v>
      </c>
      <c r="BC26" s="111">
        <v>4100</v>
      </c>
      <c r="BD26" s="113">
        <v>0.73958333333333337</v>
      </c>
      <c r="BE26" s="114">
        <v>0</v>
      </c>
      <c r="BF26" s="113">
        <v>0</v>
      </c>
      <c r="BG26" s="114">
        <v>165</v>
      </c>
      <c r="BH26" s="113">
        <v>0.72916666666666663</v>
      </c>
      <c r="BI26" s="55">
        <f t="shared" si="53"/>
        <v>46162</v>
      </c>
      <c r="BJ26" s="77">
        <f t="shared" ref="BJ26:BJ36" si="99">+BM26/BL26</f>
        <v>0.61044937736870597</v>
      </c>
      <c r="BK26" s="75">
        <f t="shared" ref="BK26:BK36" si="100">+BN26/BL26</f>
        <v>0.38955062263129397</v>
      </c>
      <c r="BL26" s="78">
        <f t="shared" ref="BL26:BL36" si="101">BM26+BN26</f>
        <v>36940</v>
      </c>
      <c r="BM26" s="154">
        <v>22550</v>
      </c>
      <c r="BN26" s="154">
        <v>14390</v>
      </c>
      <c r="BO26" s="155">
        <v>4090</v>
      </c>
      <c r="BP26" s="156">
        <v>0.72916666666666663</v>
      </c>
      <c r="BQ26" s="157">
        <v>2790</v>
      </c>
      <c r="BR26" s="156">
        <v>0.75</v>
      </c>
    </row>
    <row r="27" spans="1:70" ht="15.75" thickBot="1" x14ac:dyDescent="0.3">
      <c r="A27" s="14"/>
      <c r="B27" s="55">
        <f t="shared" si="49"/>
        <v>46163</v>
      </c>
      <c r="C27" s="163"/>
      <c r="D27" s="86">
        <f t="shared" si="82"/>
        <v>41150</v>
      </c>
      <c r="E27" s="158">
        <f t="shared" si="83"/>
        <v>0.82240583232077769</v>
      </c>
      <c r="F27" s="86">
        <f t="shared" si="24"/>
        <v>33842</v>
      </c>
      <c r="G27" s="158">
        <f t="shared" si="84"/>
        <v>0.17759416767922237</v>
      </c>
      <c r="H27" s="145">
        <f t="shared" si="26"/>
        <v>7308</v>
      </c>
      <c r="I27" s="159">
        <f t="shared" si="85"/>
        <v>9.1327352196917413E-2</v>
      </c>
      <c r="J27" s="158">
        <f t="shared" si="86"/>
        <v>0.16908212560386474</v>
      </c>
      <c r="K27" s="158">
        <f t="shared" si="87"/>
        <v>0.19549929676511954</v>
      </c>
      <c r="L27" s="160">
        <f t="shared" si="88"/>
        <v>0.57971014492753625</v>
      </c>
      <c r="M27" s="145">
        <f t="shared" si="89"/>
        <v>3742.5948930296754</v>
      </c>
      <c r="N27" s="145">
        <f t="shared" si="90"/>
        <v>6928.985507246377</v>
      </c>
      <c r="O27" s="145">
        <f t="shared" si="91"/>
        <v>8011.5611814345984</v>
      </c>
      <c r="P27" s="145">
        <f t="shared" si="92"/>
        <v>23756.521739130436</v>
      </c>
      <c r="Q27" s="55">
        <f t="shared" si="50"/>
        <v>46163</v>
      </c>
      <c r="R27" s="139">
        <v>41150</v>
      </c>
      <c r="S27" s="139">
        <v>0</v>
      </c>
      <c r="T27" s="139">
        <v>40980</v>
      </c>
      <c r="U27" s="139">
        <v>0</v>
      </c>
      <c r="V27" s="140">
        <v>8205</v>
      </c>
      <c r="W27" s="141">
        <v>0.73958333333333337</v>
      </c>
      <c r="X27" s="140">
        <v>3150</v>
      </c>
      <c r="Y27" s="141">
        <v>0.77083333333333337</v>
      </c>
      <c r="Z27" s="140">
        <v>0</v>
      </c>
      <c r="AA27" s="141">
        <v>0</v>
      </c>
      <c r="AB27" s="55">
        <f t="shared" si="51"/>
        <v>46163</v>
      </c>
      <c r="AC27" s="75">
        <f t="shared" si="93"/>
        <v>1</v>
      </c>
      <c r="AD27" s="161">
        <f t="shared" si="94"/>
        <v>0</v>
      </c>
      <c r="AE27" s="162">
        <v>3970</v>
      </c>
      <c r="AF27" s="117">
        <f t="shared" si="37"/>
        <v>3970</v>
      </c>
      <c r="AG27" s="146">
        <v>0</v>
      </c>
      <c r="AH27" s="147">
        <v>2870</v>
      </c>
      <c r="AI27" s="148">
        <v>0.72916666666666663</v>
      </c>
      <c r="AJ27" s="147">
        <v>0</v>
      </c>
      <c r="AK27" s="164">
        <v>0</v>
      </c>
      <c r="AL27" s="55">
        <f t="shared" si="38"/>
        <v>46163</v>
      </c>
      <c r="AM27" s="76">
        <f t="shared" si="95"/>
        <v>0.48027210884353744</v>
      </c>
      <c r="AN27" s="75">
        <f t="shared" si="96"/>
        <v>0.51972789115646256</v>
      </c>
      <c r="AO27" s="149">
        <v>7350</v>
      </c>
      <c r="AP27" s="116">
        <f t="shared" si="41"/>
        <v>3530</v>
      </c>
      <c r="AQ27" s="150">
        <v>3820</v>
      </c>
      <c r="AR27" s="151">
        <v>2350</v>
      </c>
      <c r="AS27" s="152">
        <v>0.72916666666666663</v>
      </c>
      <c r="AT27" s="151">
        <v>189</v>
      </c>
      <c r="AU27" s="153">
        <v>0.75</v>
      </c>
      <c r="AV27" s="55">
        <f t="shared" si="52"/>
        <v>46163</v>
      </c>
      <c r="AW27" s="109">
        <f t="shared" si="97"/>
        <v>0.49812949640287768</v>
      </c>
      <c r="AX27" s="109">
        <f t="shared" si="98"/>
        <v>0.50187050359712226</v>
      </c>
      <c r="AY27" s="110">
        <f t="shared" si="54"/>
        <v>6950</v>
      </c>
      <c r="AZ27" s="111">
        <v>6950</v>
      </c>
      <c r="BA27" s="119">
        <f t="shared" si="45"/>
        <v>3462</v>
      </c>
      <c r="BB27" s="112">
        <f>2790+698</f>
        <v>3488</v>
      </c>
      <c r="BC27" s="111">
        <v>3670</v>
      </c>
      <c r="BD27" s="113">
        <v>0.75</v>
      </c>
      <c r="BE27" s="114">
        <v>0</v>
      </c>
      <c r="BF27" s="113">
        <v>0</v>
      </c>
      <c r="BG27" s="114">
        <v>162</v>
      </c>
      <c r="BH27" s="113">
        <v>0.79166666666666663</v>
      </c>
      <c r="BI27" s="55">
        <f t="shared" si="53"/>
        <v>46163</v>
      </c>
      <c r="BJ27" s="77">
        <f t="shared" si="99"/>
        <v>0.56150793650793651</v>
      </c>
      <c r="BK27" s="75">
        <f t="shared" si="100"/>
        <v>0.43849206349206349</v>
      </c>
      <c r="BL27" s="78">
        <f t="shared" si="101"/>
        <v>25200</v>
      </c>
      <c r="BM27" s="154">
        <v>14150</v>
      </c>
      <c r="BN27" s="154">
        <v>11050</v>
      </c>
      <c r="BO27" s="155">
        <v>3070</v>
      </c>
      <c r="BP27" s="156">
        <v>0.75</v>
      </c>
      <c r="BQ27" s="157">
        <v>2350</v>
      </c>
      <c r="BR27" s="156">
        <v>0.73958333333333337</v>
      </c>
    </row>
    <row r="28" spans="1:70" ht="15.75" thickBot="1" x14ac:dyDescent="0.3">
      <c r="A28" s="14"/>
      <c r="B28" s="55">
        <f t="shared" si="49"/>
        <v>46164</v>
      </c>
      <c r="C28" s="163"/>
      <c r="D28" s="86">
        <f t="shared" si="82"/>
        <v>60150</v>
      </c>
      <c r="E28" s="158">
        <f t="shared" si="83"/>
        <v>0.87268495428096426</v>
      </c>
      <c r="F28" s="86">
        <f t="shared" si="24"/>
        <v>52492</v>
      </c>
      <c r="G28" s="158">
        <f t="shared" si="84"/>
        <v>0.12731504571903574</v>
      </c>
      <c r="H28" s="145">
        <f t="shared" si="26"/>
        <v>7658</v>
      </c>
      <c r="I28" s="159">
        <f t="shared" si="85"/>
        <v>0.11786372007366483</v>
      </c>
      <c r="J28" s="158">
        <f t="shared" si="86"/>
        <v>0.16252302025782689</v>
      </c>
      <c r="K28" s="158">
        <f t="shared" si="87"/>
        <v>0.16850927246790298</v>
      </c>
      <c r="L28" s="160">
        <f t="shared" si="88"/>
        <v>0.574585635359116</v>
      </c>
      <c r="M28" s="145">
        <f t="shared" si="89"/>
        <v>7023.4990791896871</v>
      </c>
      <c r="N28" s="145">
        <f t="shared" si="90"/>
        <v>9684.746777163904</v>
      </c>
      <c r="O28" s="145">
        <f t="shared" si="91"/>
        <v>10041.467546362339</v>
      </c>
      <c r="P28" s="145">
        <f t="shared" si="92"/>
        <v>34239.558011049725</v>
      </c>
      <c r="Q28" s="55">
        <f t="shared" si="50"/>
        <v>46164</v>
      </c>
      <c r="R28" s="139">
        <v>60150</v>
      </c>
      <c r="S28" s="139">
        <v>0</v>
      </c>
      <c r="T28" s="139">
        <v>59590</v>
      </c>
      <c r="U28" s="139">
        <v>0</v>
      </c>
      <c r="V28" s="140">
        <v>13790</v>
      </c>
      <c r="W28" s="141">
        <v>0.77083333333333337</v>
      </c>
      <c r="X28" s="140">
        <v>4790</v>
      </c>
      <c r="Y28" s="141">
        <v>0.75</v>
      </c>
      <c r="Z28" s="140">
        <v>0</v>
      </c>
      <c r="AA28" s="141">
        <v>0</v>
      </c>
      <c r="AB28" s="55">
        <f t="shared" si="51"/>
        <v>46164</v>
      </c>
      <c r="AC28" s="75">
        <f t="shared" si="93"/>
        <v>1</v>
      </c>
      <c r="AD28" s="161">
        <f t="shared" si="94"/>
        <v>0</v>
      </c>
      <c r="AE28" s="162">
        <v>7680</v>
      </c>
      <c r="AF28" s="117">
        <f t="shared" si="37"/>
        <v>7680</v>
      </c>
      <c r="AG28" s="146">
        <v>0</v>
      </c>
      <c r="AH28" s="147">
        <v>4090</v>
      </c>
      <c r="AI28" s="148">
        <v>0.77083333333333337</v>
      </c>
      <c r="AJ28" s="147">
        <v>0</v>
      </c>
      <c r="AK28" s="164">
        <v>0</v>
      </c>
      <c r="AL28" s="55">
        <f t="shared" si="38"/>
        <v>46164</v>
      </c>
      <c r="AM28" s="76">
        <f t="shared" si="95"/>
        <v>0.62417374881964116</v>
      </c>
      <c r="AN28" s="75">
        <f t="shared" si="96"/>
        <v>0.37582625118035884</v>
      </c>
      <c r="AO28" s="149">
        <v>10590</v>
      </c>
      <c r="AP28" s="116">
        <f t="shared" si="41"/>
        <v>6610</v>
      </c>
      <c r="AQ28" s="150">
        <v>3980</v>
      </c>
      <c r="AR28" s="151">
        <v>3820</v>
      </c>
      <c r="AS28" s="152">
        <v>0.77430555555555558</v>
      </c>
      <c r="AT28" s="151">
        <v>189</v>
      </c>
      <c r="AU28" s="153">
        <v>0.73958333333333337</v>
      </c>
      <c r="AV28" s="55">
        <f t="shared" si="52"/>
        <v>46164</v>
      </c>
      <c r="AW28" s="109">
        <f t="shared" si="97"/>
        <v>0.61079365079365078</v>
      </c>
      <c r="AX28" s="109">
        <f t="shared" si="98"/>
        <v>0.38920634920634922</v>
      </c>
      <c r="AY28" s="110">
        <f t="shared" si="54"/>
        <v>9450</v>
      </c>
      <c r="AZ28" s="111">
        <v>9450</v>
      </c>
      <c r="BA28" s="119">
        <f t="shared" si="45"/>
        <v>5772</v>
      </c>
      <c r="BB28" s="112">
        <f>2980+698</f>
        <v>3678</v>
      </c>
      <c r="BC28" s="111">
        <v>4105</v>
      </c>
      <c r="BD28" s="113">
        <v>0.77083333333333337</v>
      </c>
      <c r="BE28" s="114">
        <v>0</v>
      </c>
      <c r="BF28" s="113">
        <v>0</v>
      </c>
      <c r="BG28" s="114">
        <v>165</v>
      </c>
      <c r="BH28" s="113">
        <v>0.77083333333333337</v>
      </c>
      <c r="BI28" s="55">
        <f t="shared" si="53"/>
        <v>46164</v>
      </c>
      <c r="BJ28" s="77">
        <f t="shared" si="99"/>
        <v>0.61137820512820518</v>
      </c>
      <c r="BK28" s="75">
        <f t="shared" si="100"/>
        <v>0.38862179487179488</v>
      </c>
      <c r="BL28" s="78">
        <f t="shared" si="101"/>
        <v>37440</v>
      </c>
      <c r="BM28" s="154">
        <v>22890</v>
      </c>
      <c r="BN28" s="154">
        <v>14550</v>
      </c>
      <c r="BO28" s="155">
        <v>4050</v>
      </c>
      <c r="BP28" s="156">
        <v>0.72916666666666663</v>
      </c>
      <c r="BQ28" s="157">
        <v>3050</v>
      </c>
      <c r="BR28" s="156">
        <v>0.76041666666666663</v>
      </c>
    </row>
    <row r="29" spans="1:70" ht="15.75" thickBot="1" x14ac:dyDescent="0.3">
      <c r="A29" s="14"/>
      <c r="B29" s="55">
        <f t="shared" si="49"/>
        <v>46165</v>
      </c>
      <c r="C29" s="163"/>
      <c r="D29" s="86">
        <f t="shared" si="82"/>
        <v>34888</v>
      </c>
      <c r="E29" s="158">
        <f t="shared" si="83"/>
        <v>0.78301994955285481</v>
      </c>
      <c r="F29" s="86">
        <f t="shared" si="24"/>
        <v>27318</v>
      </c>
      <c r="G29" s="158">
        <f t="shared" si="84"/>
        <v>0.21698005044714516</v>
      </c>
      <c r="H29" s="145">
        <f t="shared" si="26"/>
        <v>7570</v>
      </c>
      <c r="I29" s="159">
        <f t="shared" si="85"/>
        <v>7.9365839639812238E-2</v>
      </c>
      <c r="J29" s="158">
        <f t="shared" si="86"/>
        <v>0.15578599482709071</v>
      </c>
      <c r="K29" s="158">
        <f t="shared" si="87"/>
        <v>0.15750184940258694</v>
      </c>
      <c r="L29" s="160">
        <f t="shared" si="88"/>
        <v>0.59658492192738766</v>
      </c>
      <c r="M29" s="145">
        <f t="shared" si="89"/>
        <v>2657.2476769805535</v>
      </c>
      <c r="N29" s="145">
        <f t="shared" si="90"/>
        <v>5215.870892805824</v>
      </c>
      <c r="O29" s="145">
        <f t="shared" si="91"/>
        <v>5273.3194198480132</v>
      </c>
      <c r="P29" s="145">
        <f t="shared" si="92"/>
        <v>19974.259771050867</v>
      </c>
      <c r="Q29" s="55">
        <f t="shared" si="50"/>
        <v>46165</v>
      </c>
      <c r="R29" s="138">
        <v>34888</v>
      </c>
      <c r="S29" s="139">
        <v>0</v>
      </c>
      <c r="T29" s="139">
        <v>33481</v>
      </c>
      <c r="U29" s="139">
        <v>0</v>
      </c>
      <c r="V29" s="140">
        <v>5869</v>
      </c>
      <c r="W29" s="141">
        <v>0.97916666666666663</v>
      </c>
      <c r="X29" s="140">
        <v>2259</v>
      </c>
      <c r="Y29" s="141">
        <v>0.70833333333333337</v>
      </c>
      <c r="Z29" s="140">
        <v>0</v>
      </c>
      <c r="AA29" s="141">
        <v>0</v>
      </c>
      <c r="AB29" s="55">
        <f t="shared" si="51"/>
        <v>46165</v>
      </c>
      <c r="AC29" s="75">
        <f t="shared" si="93"/>
        <v>1</v>
      </c>
      <c r="AD29" s="161">
        <f t="shared" si="94"/>
        <v>0</v>
      </c>
      <c r="AE29" s="162">
        <v>3314</v>
      </c>
      <c r="AF29" s="117">
        <f t="shared" si="37"/>
        <v>3314</v>
      </c>
      <c r="AG29" s="146">
        <v>0</v>
      </c>
      <c r="AH29" s="147">
        <v>1726</v>
      </c>
      <c r="AI29" s="148">
        <v>0.34236111111111112</v>
      </c>
      <c r="AJ29" s="147">
        <v>0</v>
      </c>
      <c r="AK29" s="164">
        <v>0</v>
      </c>
      <c r="AL29" s="55">
        <f t="shared" si="38"/>
        <v>46165</v>
      </c>
      <c r="AM29" s="76">
        <f t="shared" si="95"/>
        <v>0.38370484242890085</v>
      </c>
      <c r="AN29" s="75">
        <f t="shared" si="96"/>
        <v>0.61629515757109921</v>
      </c>
      <c r="AO29" s="149">
        <v>6505</v>
      </c>
      <c r="AP29" s="116">
        <f t="shared" si="41"/>
        <v>2496</v>
      </c>
      <c r="AQ29" s="150">
        <v>4009</v>
      </c>
      <c r="AR29" s="151">
        <v>1713</v>
      </c>
      <c r="AS29" s="152">
        <v>0.50208333333333333</v>
      </c>
      <c r="AT29" s="151">
        <v>186</v>
      </c>
      <c r="AU29" s="153">
        <v>0.29166666666666669</v>
      </c>
      <c r="AV29" s="55">
        <f t="shared" si="52"/>
        <v>46165</v>
      </c>
      <c r="AW29" s="109">
        <f t="shared" si="97"/>
        <v>0.49316823228010248</v>
      </c>
      <c r="AX29" s="109">
        <f t="shared" si="98"/>
        <v>0.50683176771989757</v>
      </c>
      <c r="AY29" s="110">
        <f t="shared" si="54"/>
        <v>7026</v>
      </c>
      <c r="AZ29" s="111">
        <v>7026</v>
      </c>
      <c r="BA29" s="119">
        <f t="shared" si="45"/>
        <v>3465</v>
      </c>
      <c r="BB29" s="112">
        <f>2863+698</f>
        <v>3561</v>
      </c>
      <c r="BC29" s="111">
        <v>2173</v>
      </c>
      <c r="BD29" s="113">
        <v>0.36458333333333331</v>
      </c>
      <c r="BE29" s="114">
        <v>0</v>
      </c>
      <c r="BF29" s="113">
        <v>0</v>
      </c>
      <c r="BG29" s="114">
        <v>162</v>
      </c>
      <c r="BH29" s="113">
        <v>0.84375</v>
      </c>
      <c r="BI29" s="55">
        <f t="shared" si="53"/>
        <v>46165</v>
      </c>
      <c r="BJ29" s="77">
        <f t="shared" si="99"/>
        <v>0.99341656296415237</v>
      </c>
      <c r="BK29" s="75">
        <f t="shared" si="100"/>
        <v>6.5834370358476176E-3</v>
      </c>
      <c r="BL29" s="78">
        <f t="shared" si="101"/>
        <v>24911</v>
      </c>
      <c r="BM29" s="154">
        <v>24747</v>
      </c>
      <c r="BN29" s="154">
        <v>164</v>
      </c>
      <c r="BO29" s="155">
        <v>3944</v>
      </c>
      <c r="BP29" s="156">
        <v>0.66111111111111109</v>
      </c>
      <c r="BQ29" s="157">
        <v>15</v>
      </c>
      <c r="BR29" s="156">
        <v>5.5555555555555558E-3</v>
      </c>
    </row>
    <row r="30" spans="1:70" ht="15.75" thickBot="1" x14ac:dyDescent="0.3">
      <c r="A30" s="14"/>
      <c r="B30" s="55">
        <f t="shared" si="49"/>
        <v>46166</v>
      </c>
      <c r="C30" s="163"/>
      <c r="D30" s="86">
        <f t="shared" si="82"/>
        <v>28428</v>
      </c>
      <c r="E30" s="158">
        <f t="shared" si="83"/>
        <v>0.73403405093569718</v>
      </c>
      <c r="F30" s="86">
        <f t="shared" si="24"/>
        <v>20867.12</v>
      </c>
      <c r="G30" s="158">
        <f t="shared" si="84"/>
        <v>0.26596594906430282</v>
      </c>
      <c r="H30" s="145">
        <f t="shared" si="26"/>
        <v>7560.88</v>
      </c>
      <c r="I30" s="159">
        <f t="shared" si="85"/>
        <v>6.6457336273728379E-2</v>
      </c>
      <c r="J30" s="158">
        <f t="shared" si="86"/>
        <v>0.1696267199464343</v>
      </c>
      <c r="K30" s="158">
        <f t="shared" si="87"/>
        <v>0.16600083396465323</v>
      </c>
      <c r="L30" s="160">
        <f t="shared" si="88"/>
        <v>0.58913638405276503</v>
      </c>
      <c r="M30" s="145">
        <f t="shared" si="89"/>
        <v>1816.1460856884491</v>
      </c>
      <c r="N30" s="145">
        <f t="shared" si="90"/>
        <v>4635.5590026961563</v>
      </c>
      <c r="O30" s="145">
        <f t="shared" si="91"/>
        <v>4536.4707905860432</v>
      </c>
      <c r="P30" s="145">
        <f t="shared" si="92"/>
        <v>16099.919103393962</v>
      </c>
      <c r="Q30" s="55">
        <f t="shared" si="50"/>
        <v>46166</v>
      </c>
      <c r="R30" s="138">
        <v>28428</v>
      </c>
      <c r="S30" s="139">
        <v>0</v>
      </c>
      <c r="T30" s="139">
        <v>27328</v>
      </c>
      <c r="U30" s="139">
        <v>0</v>
      </c>
      <c r="V30" s="140">
        <v>6151.16</v>
      </c>
      <c r="W30" s="141">
        <v>0.875</v>
      </c>
      <c r="X30" s="140">
        <v>1983.75</v>
      </c>
      <c r="Y30" s="141">
        <v>0.71875</v>
      </c>
      <c r="Z30" s="140">
        <v>0</v>
      </c>
      <c r="AA30" s="141">
        <v>0</v>
      </c>
      <c r="AB30" s="55">
        <f t="shared" si="51"/>
        <v>46166</v>
      </c>
      <c r="AC30" s="75">
        <f t="shared" si="93"/>
        <v>1</v>
      </c>
      <c r="AD30" s="161">
        <f t="shared" si="94"/>
        <v>0</v>
      </c>
      <c r="AE30" s="162">
        <v>2231.2199999999998</v>
      </c>
      <c r="AF30" s="117">
        <f t="shared" si="37"/>
        <v>2231.2199999999998</v>
      </c>
      <c r="AG30" s="146">
        <v>0</v>
      </c>
      <c r="AH30" s="147">
        <v>1414.07</v>
      </c>
      <c r="AI30" s="148">
        <v>0.69930555555555551</v>
      </c>
      <c r="AJ30" s="147">
        <v>0</v>
      </c>
      <c r="AK30" s="164">
        <v>0</v>
      </c>
      <c r="AL30" s="55">
        <f t="shared" si="38"/>
        <v>46166</v>
      </c>
      <c r="AM30" s="76">
        <f t="shared" si="95"/>
        <v>0.30921861281826163</v>
      </c>
      <c r="AN30" s="75">
        <f t="shared" si="96"/>
        <v>0.69078138718173832</v>
      </c>
      <c r="AO30" s="149">
        <v>5695</v>
      </c>
      <c r="AP30" s="116">
        <f t="shared" si="41"/>
        <v>1761</v>
      </c>
      <c r="AQ30" s="150">
        <v>3934</v>
      </c>
      <c r="AR30" s="151">
        <v>1512.05</v>
      </c>
      <c r="AS30" s="152">
        <v>0.63055555555555554</v>
      </c>
      <c r="AT30" s="151">
        <v>186.7</v>
      </c>
      <c r="AU30" s="153">
        <v>0.78125</v>
      </c>
      <c r="AV30" s="55">
        <f t="shared" si="52"/>
        <v>46166</v>
      </c>
      <c r="AW30" s="109">
        <f t="shared" si="97"/>
        <v>0.38192229038854802</v>
      </c>
      <c r="AX30" s="109">
        <f t="shared" si="98"/>
        <v>0.61807770961145192</v>
      </c>
      <c r="AY30" s="110">
        <f t="shared" si="54"/>
        <v>5868</v>
      </c>
      <c r="AZ30" s="111">
        <v>5868</v>
      </c>
      <c r="BA30" s="119">
        <f t="shared" si="45"/>
        <v>2241.12</v>
      </c>
      <c r="BB30" s="112">
        <f>2928.88+698</f>
        <v>3626.88</v>
      </c>
      <c r="BC30" s="111">
        <v>2212.1999999999998</v>
      </c>
      <c r="BD30" s="113">
        <v>0.67708333333333337</v>
      </c>
      <c r="BE30" s="114">
        <v>0</v>
      </c>
      <c r="BF30" s="113">
        <v>0</v>
      </c>
      <c r="BG30" s="114">
        <v>165.36</v>
      </c>
      <c r="BH30" s="113">
        <v>0.83333333333333337</v>
      </c>
      <c r="BI30" s="55">
        <f t="shared" si="53"/>
        <v>46166</v>
      </c>
      <c r="BJ30" s="77">
        <f t="shared" si="99"/>
        <v>0.99198665284764531</v>
      </c>
      <c r="BK30" s="75">
        <f t="shared" si="100"/>
        <v>8.013347152354711E-3</v>
      </c>
      <c r="BL30" s="78">
        <f t="shared" si="101"/>
        <v>19779.5</v>
      </c>
      <c r="BM30" s="154">
        <v>19621</v>
      </c>
      <c r="BN30" s="154">
        <v>158.5</v>
      </c>
      <c r="BO30" s="155">
        <v>4161.49</v>
      </c>
      <c r="BP30" s="156">
        <v>0.67152777777777772</v>
      </c>
      <c r="BQ30" s="157">
        <v>7.1280000000000001</v>
      </c>
      <c r="BR30" s="156">
        <v>8.0555555555555561E-2</v>
      </c>
    </row>
    <row r="31" spans="1:70" ht="15.75" thickBot="1" x14ac:dyDescent="0.3">
      <c r="A31" s="14"/>
      <c r="B31" s="55">
        <f t="shared" si="49"/>
        <v>46167</v>
      </c>
      <c r="C31" s="163"/>
      <c r="D31" s="86">
        <f t="shared" si="82"/>
        <v>58336</v>
      </c>
      <c r="E31" s="158">
        <f t="shared" si="83"/>
        <v>0.86596612726275368</v>
      </c>
      <c r="F31" s="86">
        <f t="shared" si="24"/>
        <v>50517</v>
      </c>
      <c r="G31" s="158">
        <f t="shared" si="84"/>
        <v>0.13403387273724629</v>
      </c>
      <c r="H31" s="145">
        <f t="shared" si="26"/>
        <v>7819</v>
      </c>
      <c r="I31" s="159">
        <f t="shared" si="85"/>
        <v>0.12371674322532909</v>
      </c>
      <c r="J31" s="158">
        <f t="shared" si="86"/>
        <v>0.16234546967968677</v>
      </c>
      <c r="K31" s="158">
        <f t="shared" si="87"/>
        <v>0.17277859903467682</v>
      </c>
      <c r="L31" s="160">
        <f t="shared" si="88"/>
        <v>0.5644017634183186</v>
      </c>
      <c r="M31" s="145">
        <f t="shared" si="89"/>
        <v>7022.6572124425802</v>
      </c>
      <c r="N31" s="145">
        <f t="shared" si="90"/>
        <v>9215.3782408977404</v>
      </c>
      <c r="O31" s="145">
        <f t="shared" si="91"/>
        <v>9807.6043956043959</v>
      </c>
      <c r="P31" s="145">
        <f t="shared" si="92"/>
        <v>32037.701698677436</v>
      </c>
      <c r="Q31" s="55">
        <f t="shared" si="50"/>
        <v>46167</v>
      </c>
      <c r="R31" s="138">
        <v>58336</v>
      </c>
      <c r="S31" s="139">
        <v>0</v>
      </c>
      <c r="T31" s="139">
        <v>56764</v>
      </c>
      <c r="U31" s="139">
        <v>0</v>
      </c>
      <c r="V31" s="140">
        <v>15176</v>
      </c>
      <c r="W31" s="141">
        <v>0.42708333333333331</v>
      </c>
      <c r="X31" s="140">
        <v>4957</v>
      </c>
      <c r="Y31" s="141">
        <v>0.41666666666666669</v>
      </c>
      <c r="Z31" s="140">
        <v>0</v>
      </c>
      <c r="AA31" s="141">
        <v>0</v>
      </c>
      <c r="AB31" s="55">
        <f t="shared" si="51"/>
        <v>46167</v>
      </c>
      <c r="AC31" s="75">
        <f t="shared" si="93"/>
        <v>1</v>
      </c>
      <c r="AD31" s="161">
        <f t="shared" si="94"/>
        <v>0</v>
      </c>
      <c r="AE31" s="162">
        <v>8026</v>
      </c>
      <c r="AF31" s="117">
        <f t="shared" si="37"/>
        <v>8026</v>
      </c>
      <c r="AG31" s="146">
        <v>0</v>
      </c>
      <c r="AH31" s="147">
        <v>4339</v>
      </c>
      <c r="AI31" s="148">
        <v>0.34791666666666665</v>
      </c>
      <c r="AJ31" s="147">
        <v>0</v>
      </c>
      <c r="AK31" s="164">
        <v>0</v>
      </c>
      <c r="AL31" s="55">
        <f t="shared" si="38"/>
        <v>46167</v>
      </c>
      <c r="AM31" s="76">
        <f t="shared" si="95"/>
        <v>0.61071021648309909</v>
      </c>
      <c r="AN31" s="75">
        <f t="shared" si="96"/>
        <v>0.38928978351690086</v>
      </c>
      <c r="AO31" s="149">
        <v>10532</v>
      </c>
      <c r="AP31" s="116">
        <f t="shared" si="41"/>
        <v>6432</v>
      </c>
      <c r="AQ31" s="150">
        <v>4100</v>
      </c>
      <c r="AR31" s="151">
        <v>4307</v>
      </c>
      <c r="AS31" s="152">
        <v>0.3659722222222222</v>
      </c>
      <c r="AT31" s="151">
        <v>198</v>
      </c>
      <c r="AU31" s="153">
        <v>0.79166666666666663</v>
      </c>
      <c r="AV31" s="55">
        <f t="shared" si="52"/>
        <v>46167</v>
      </c>
      <c r="AW31" s="109">
        <f t="shared" si="97"/>
        <v>0.61663746005566433</v>
      </c>
      <c r="AX31" s="109">
        <f t="shared" si="98"/>
        <v>0.38336253994433561</v>
      </c>
      <c r="AY31" s="110">
        <f t="shared" si="54"/>
        <v>9701</v>
      </c>
      <c r="AZ31" s="111">
        <v>9701</v>
      </c>
      <c r="BA31" s="119">
        <f t="shared" si="45"/>
        <v>5982</v>
      </c>
      <c r="BB31" s="112">
        <f>3021+698</f>
        <v>3719</v>
      </c>
      <c r="BC31" s="111">
        <v>3879</v>
      </c>
      <c r="BD31" s="113">
        <v>0.38541666666666669</v>
      </c>
      <c r="BE31" s="114">
        <v>0</v>
      </c>
      <c r="BF31" s="113">
        <v>0</v>
      </c>
      <c r="BG31" s="114">
        <v>167</v>
      </c>
      <c r="BH31" s="113">
        <v>0.26041666666666669</v>
      </c>
      <c r="BI31" s="55">
        <f t="shared" si="53"/>
        <v>46167</v>
      </c>
      <c r="BJ31" s="77">
        <f t="shared" si="99"/>
        <v>0.60868496517820569</v>
      </c>
      <c r="BK31" s="75">
        <f t="shared" si="100"/>
        <v>0.39131503482179436</v>
      </c>
      <c r="BL31" s="78">
        <f t="shared" si="101"/>
        <v>36615</v>
      </c>
      <c r="BM31" s="154">
        <v>22287</v>
      </c>
      <c r="BN31" s="154">
        <v>14328</v>
      </c>
      <c r="BO31" s="155">
        <v>3958</v>
      </c>
      <c r="BP31" s="156">
        <v>0.73124999999999996</v>
      </c>
      <c r="BQ31" s="157">
        <v>2645</v>
      </c>
      <c r="BR31" s="156">
        <v>0.73124999999999996</v>
      </c>
    </row>
    <row r="32" spans="1:70" ht="15.75" thickBot="1" x14ac:dyDescent="0.3">
      <c r="A32" s="14"/>
      <c r="B32" s="55">
        <f t="shared" si="49"/>
        <v>46168</v>
      </c>
      <c r="C32" s="163"/>
      <c r="D32" s="86">
        <f t="shared" si="82"/>
        <v>58474</v>
      </c>
      <c r="E32" s="158">
        <f t="shared" si="83"/>
        <v>0.86843725416424389</v>
      </c>
      <c r="F32" s="86">
        <f t="shared" si="24"/>
        <v>50781</v>
      </c>
      <c r="G32" s="158">
        <f t="shared" si="84"/>
        <v>0.13156274583575606</v>
      </c>
      <c r="H32" s="145">
        <f t="shared" si="26"/>
        <v>7693</v>
      </c>
      <c r="I32" s="159">
        <f t="shared" si="85"/>
        <v>0.12367944811371827</v>
      </c>
      <c r="J32" s="158">
        <f t="shared" si="86"/>
        <v>0.16312199347264544</v>
      </c>
      <c r="K32" s="158">
        <f t="shared" si="87"/>
        <v>0.17327985739750446</v>
      </c>
      <c r="L32" s="160">
        <f t="shared" si="88"/>
        <v>0.56283738843946729</v>
      </c>
      <c r="M32" s="145">
        <f t="shared" si="89"/>
        <v>7062.5912050857678</v>
      </c>
      <c r="N32" s="145">
        <f t="shared" si="90"/>
        <v>9314.9183152619462</v>
      </c>
      <c r="O32" s="145">
        <f t="shared" si="91"/>
        <v>9894.9729768270936</v>
      </c>
      <c r="P32" s="145">
        <f t="shared" si="92"/>
        <v>32140.266229447341</v>
      </c>
      <c r="Q32" s="55">
        <f t="shared" si="50"/>
        <v>46168</v>
      </c>
      <c r="R32" s="138">
        <v>58474</v>
      </c>
      <c r="S32" s="139">
        <v>0</v>
      </c>
      <c r="T32" s="139">
        <v>57104</v>
      </c>
      <c r="U32" s="139">
        <v>0</v>
      </c>
      <c r="V32" s="140">
        <v>13962</v>
      </c>
      <c r="W32" s="141">
        <v>0.80208333333333337</v>
      </c>
      <c r="X32" s="140">
        <v>4969</v>
      </c>
      <c r="Y32" s="141">
        <v>0.40625</v>
      </c>
      <c r="Z32" s="140">
        <v>0</v>
      </c>
      <c r="AA32" s="141">
        <v>0</v>
      </c>
      <c r="AB32" s="167">
        <f t="shared" si="51"/>
        <v>46168</v>
      </c>
      <c r="AC32" s="75">
        <f t="shared" si="93"/>
        <v>1</v>
      </c>
      <c r="AD32" s="161">
        <f t="shared" si="94"/>
        <v>0</v>
      </c>
      <c r="AE32" s="162">
        <v>7996</v>
      </c>
      <c r="AF32" s="117">
        <f t="shared" si="37"/>
        <v>7996</v>
      </c>
      <c r="AG32" s="146">
        <v>0</v>
      </c>
      <c r="AH32" s="147">
        <v>4433</v>
      </c>
      <c r="AI32" s="148">
        <v>0.34375</v>
      </c>
      <c r="AJ32" s="147">
        <v>0</v>
      </c>
      <c r="AK32" s="164">
        <v>0</v>
      </c>
      <c r="AL32" s="167">
        <f t="shared" si="38"/>
        <v>46168</v>
      </c>
      <c r="AM32" s="76">
        <f t="shared" si="95"/>
        <v>0.61976104684240474</v>
      </c>
      <c r="AN32" s="75">
        <f t="shared" si="96"/>
        <v>0.38023895315759532</v>
      </c>
      <c r="AO32" s="149">
        <v>10546</v>
      </c>
      <c r="AP32" s="116">
        <f t="shared" si="41"/>
        <v>6536</v>
      </c>
      <c r="AQ32" s="150">
        <v>4010</v>
      </c>
      <c r="AR32" s="151">
        <v>3778</v>
      </c>
      <c r="AS32" s="152">
        <v>0.73055555555555551</v>
      </c>
      <c r="AT32" s="151">
        <v>181</v>
      </c>
      <c r="AU32" s="153">
        <v>0.13541666666666666</v>
      </c>
      <c r="AV32" s="167">
        <f t="shared" si="52"/>
        <v>46168</v>
      </c>
      <c r="AW32" s="168">
        <f t="shared" si="97"/>
        <v>0.62112951342454481</v>
      </c>
      <c r="AX32" s="168">
        <f t="shared" si="98"/>
        <v>0.37887048657545519</v>
      </c>
      <c r="AY32" s="110">
        <f t="shared" si="54"/>
        <v>9721</v>
      </c>
      <c r="AZ32" s="111">
        <v>9721</v>
      </c>
      <c r="BA32" s="119">
        <f t="shared" si="45"/>
        <v>6038</v>
      </c>
      <c r="BB32" s="112">
        <f>2985+698</f>
        <v>3683</v>
      </c>
      <c r="BC32" s="111">
        <v>4291</v>
      </c>
      <c r="BD32" s="113">
        <v>0.34375</v>
      </c>
      <c r="BE32" s="114">
        <v>0</v>
      </c>
      <c r="BF32" s="113">
        <v>0</v>
      </c>
      <c r="BG32" s="114">
        <v>175</v>
      </c>
      <c r="BH32" s="113">
        <v>0.80208333333333337</v>
      </c>
      <c r="BI32" s="167">
        <f t="shared" si="53"/>
        <v>46168</v>
      </c>
      <c r="BJ32" s="169">
        <f t="shared" si="99"/>
        <v>0.60805760140705722</v>
      </c>
      <c r="BK32" s="75">
        <f t="shared" si="100"/>
        <v>0.39194239859294272</v>
      </c>
      <c r="BL32" s="78">
        <f t="shared" si="101"/>
        <v>36388</v>
      </c>
      <c r="BM32" s="154">
        <v>22126</v>
      </c>
      <c r="BN32" s="154">
        <v>14262</v>
      </c>
      <c r="BO32" s="155">
        <v>4451</v>
      </c>
      <c r="BP32" s="156">
        <v>0.75972222222222219</v>
      </c>
      <c r="BQ32" s="157">
        <v>2969</v>
      </c>
      <c r="BR32" s="156">
        <v>0.76041666666666663</v>
      </c>
    </row>
    <row r="33" spans="1:70" ht="15.75" thickBot="1" x14ac:dyDescent="0.3">
      <c r="A33" s="14"/>
      <c r="B33" s="55">
        <f t="shared" si="49"/>
        <v>46169</v>
      </c>
      <c r="C33" s="163"/>
      <c r="D33" s="86">
        <f t="shared" si="82"/>
        <v>57772</v>
      </c>
      <c r="E33" s="158">
        <f t="shared" si="83"/>
        <v>0.86914076022986919</v>
      </c>
      <c r="F33" s="86">
        <f t="shared" si="24"/>
        <v>50212</v>
      </c>
      <c r="G33" s="158">
        <f t="shared" si="84"/>
        <v>0.13085923977013086</v>
      </c>
      <c r="H33" s="145">
        <f t="shared" si="26"/>
        <v>7560</v>
      </c>
      <c r="I33" s="159">
        <f t="shared" si="85"/>
        <v>0.12368425168525267</v>
      </c>
      <c r="J33" s="158">
        <f t="shared" si="86"/>
        <v>0.15989176845957739</v>
      </c>
      <c r="K33" s="158">
        <f t="shared" si="87"/>
        <v>0.19636422856910205</v>
      </c>
      <c r="L33" s="160">
        <f t="shared" si="88"/>
        <v>0.56555671989614775</v>
      </c>
      <c r="M33" s="145">
        <f t="shared" si="89"/>
        <v>6978.7602170886967</v>
      </c>
      <c r="N33" s="145">
        <f t="shared" si="90"/>
        <v>9021.733143563195</v>
      </c>
      <c r="O33" s="145">
        <f t="shared" si="91"/>
        <v>11079.655232783014</v>
      </c>
      <c r="P33" s="145">
        <f t="shared" si="92"/>
        <v>31910.972363420242</v>
      </c>
      <c r="Q33" s="55">
        <f t="shared" si="50"/>
        <v>46169</v>
      </c>
      <c r="R33" s="138">
        <v>57772</v>
      </c>
      <c r="S33" s="139">
        <v>0</v>
      </c>
      <c r="T33" s="139">
        <v>56424</v>
      </c>
      <c r="U33" s="139">
        <v>0</v>
      </c>
      <c r="V33" s="140">
        <v>16728</v>
      </c>
      <c r="W33" s="141">
        <v>0.79166666666666663</v>
      </c>
      <c r="X33" s="140">
        <v>4910</v>
      </c>
      <c r="Y33" s="141">
        <v>0.39583333333333331</v>
      </c>
      <c r="Z33" s="140">
        <v>0</v>
      </c>
      <c r="AA33" s="141">
        <v>0</v>
      </c>
      <c r="AB33" s="55">
        <f t="shared" si="51"/>
        <v>46169</v>
      </c>
      <c r="AC33" s="75">
        <f t="shared" si="93"/>
        <v>1</v>
      </c>
      <c r="AD33" s="161">
        <f t="shared" si="94"/>
        <v>0</v>
      </c>
      <c r="AE33" s="162">
        <v>7908</v>
      </c>
      <c r="AF33" s="117">
        <f t="shared" si="37"/>
        <v>7908</v>
      </c>
      <c r="AG33" s="146">
        <v>0</v>
      </c>
      <c r="AH33" s="147">
        <v>4209</v>
      </c>
      <c r="AI33" s="148">
        <v>0.34166666666666667</v>
      </c>
      <c r="AJ33" s="147">
        <v>0</v>
      </c>
      <c r="AK33" s="164">
        <v>0</v>
      </c>
      <c r="AL33" s="167">
        <f t="shared" si="38"/>
        <v>46169</v>
      </c>
      <c r="AM33" s="76">
        <f t="shared" si="95"/>
        <v>0</v>
      </c>
      <c r="AN33" s="75">
        <f t="shared" si="96"/>
        <v>0.37777560403012816</v>
      </c>
      <c r="AO33" s="149">
        <v>10223</v>
      </c>
      <c r="AP33" s="116">
        <v>0</v>
      </c>
      <c r="AQ33" s="150">
        <v>3862</v>
      </c>
      <c r="AR33" s="151">
        <v>3831</v>
      </c>
      <c r="AS33" s="152">
        <v>0.3576388888888889</v>
      </c>
      <c r="AT33" s="151">
        <v>182</v>
      </c>
      <c r="AU33" s="153">
        <v>0.33333333333333331</v>
      </c>
      <c r="AV33" s="55">
        <f t="shared" si="52"/>
        <v>46169</v>
      </c>
      <c r="AW33" s="168">
        <f t="shared" si="97"/>
        <v>0.61662865436450343</v>
      </c>
      <c r="AX33" s="168">
        <f t="shared" si="98"/>
        <v>0.38337134563549657</v>
      </c>
      <c r="AY33" s="110">
        <f t="shared" si="54"/>
        <v>9646</v>
      </c>
      <c r="AZ33" s="111">
        <v>9646</v>
      </c>
      <c r="BA33" s="119">
        <f t="shared" si="45"/>
        <v>5948</v>
      </c>
      <c r="BB33" s="112">
        <f>3000+698</f>
        <v>3698</v>
      </c>
      <c r="BC33" s="111">
        <v>4751</v>
      </c>
      <c r="BD33" s="113">
        <v>0.39583333333333331</v>
      </c>
      <c r="BE33" s="114">
        <v>0</v>
      </c>
      <c r="BF33" s="113">
        <v>0</v>
      </c>
      <c r="BG33" s="114">
        <v>170</v>
      </c>
      <c r="BH33" s="113">
        <v>0.79166666666666663</v>
      </c>
      <c r="BI33" s="55">
        <f t="shared" si="53"/>
        <v>46169</v>
      </c>
      <c r="BJ33" s="169">
        <f t="shared" si="99"/>
        <v>0.6062776548672566</v>
      </c>
      <c r="BK33" s="75">
        <f t="shared" si="100"/>
        <v>0.39372234513274335</v>
      </c>
      <c r="BL33" s="78">
        <f t="shared" si="101"/>
        <v>36160</v>
      </c>
      <c r="BM33" s="154">
        <v>21923</v>
      </c>
      <c r="BN33" s="154">
        <v>14237</v>
      </c>
      <c r="BO33" s="155">
        <v>4495</v>
      </c>
      <c r="BP33" s="156">
        <v>0.73124999999999996</v>
      </c>
      <c r="BQ33" s="157">
        <v>3016</v>
      </c>
      <c r="BR33" s="156">
        <v>0.73124999999999996</v>
      </c>
    </row>
    <row r="34" spans="1:70" ht="15.75" thickBot="1" x14ac:dyDescent="0.3">
      <c r="A34" s="14"/>
      <c r="B34" s="55">
        <f t="shared" si="49"/>
        <v>46170</v>
      </c>
      <c r="C34" s="163"/>
      <c r="D34" s="86">
        <f t="shared" si="82"/>
        <v>58924</v>
      </c>
      <c r="E34" s="158">
        <f t="shared" si="83"/>
        <v>0.87115606544022806</v>
      </c>
      <c r="F34" s="86">
        <f t="shared" si="24"/>
        <v>51332</v>
      </c>
      <c r="G34" s="158">
        <f t="shared" si="84"/>
        <v>0.12884393455977192</v>
      </c>
      <c r="H34" s="145">
        <f t="shared" si="26"/>
        <v>7592</v>
      </c>
      <c r="I34" s="159">
        <f t="shared" si="85"/>
        <v>0.12205055964721555</v>
      </c>
      <c r="J34" s="158">
        <f t="shared" si="86"/>
        <v>0.15800272550490743</v>
      </c>
      <c r="K34" s="158">
        <f t="shared" si="87"/>
        <v>0.17506911549771964</v>
      </c>
      <c r="L34" s="160">
        <f t="shared" si="88"/>
        <v>0.56771654748962619</v>
      </c>
      <c r="M34" s="145">
        <f t="shared" si="89"/>
        <v>7042.8054938829264</v>
      </c>
      <c r="N34" s="145">
        <f t="shared" si="90"/>
        <v>9117.389272535178</v>
      </c>
      <c r="O34" s="145">
        <f t="shared" si="91"/>
        <v>10102.188240680414</v>
      </c>
      <c r="P34" s="145">
        <f t="shared" si="92"/>
        <v>32759.515656341391</v>
      </c>
      <c r="Q34" s="55">
        <f t="shared" si="50"/>
        <v>46170</v>
      </c>
      <c r="R34" s="138">
        <v>58924</v>
      </c>
      <c r="S34" s="139">
        <v>0</v>
      </c>
      <c r="T34" s="139">
        <v>57704</v>
      </c>
      <c r="U34" s="139">
        <v>0</v>
      </c>
      <c r="V34" s="140">
        <v>13877</v>
      </c>
      <c r="W34" s="141">
        <v>0.42708333333333331</v>
      </c>
      <c r="X34" s="140">
        <v>4837</v>
      </c>
      <c r="Y34" s="141">
        <v>0.39583333333333331</v>
      </c>
      <c r="Z34" s="140">
        <v>0</v>
      </c>
      <c r="AA34" s="141">
        <v>0</v>
      </c>
      <c r="AB34" s="55">
        <f t="shared" si="51"/>
        <v>46170</v>
      </c>
      <c r="AC34" s="75">
        <f t="shared" si="93"/>
        <v>1</v>
      </c>
      <c r="AD34" s="161">
        <f t="shared" si="94"/>
        <v>0</v>
      </c>
      <c r="AE34" s="162">
        <v>7971</v>
      </c>
      <c r="AF34" s="117">
        <f t="shared" si="37"/>
        <v>7971</v>
      </c>
      <c r="AG34" s="146">
        <v>0</v>
      </c>
      <c r="AH34" s="147">
        <v>3980</v>
      </c>
      <c r="AI34" s="148">
        <v>0.33055555555555555</v>
      </c>
      <c r="AJ34" s="147">
        <v>0</v>
      </c>
      <c r="AK34" s="164">
        <v>0</v>
      </c>
      <c r="AL34" s="55">
        <f t="shared" si="38"/>
        <v>46170</v>
      </c>
      <c r="AM34" s="76">
        <f t="shared" si="95"/>
        <v>0.63039054171915887</v>
      </c>
      <c r="AN34" s="75">
        <f t="shared" si="96"/>
        <v>0.36960945828084119</v>
      </c>
      <c r="AO34" s="149">
        <v>10319</v>
      </c>
      <c r="AP34" s="116">
        <f t="shared" si="41"/>
        <v>6505</v>
      </c>
      <c r="AQ34" s="150">
        <v>3814</v>
      </c>
      <c r="AR34" s="151">
        <v>3902</v>
      </c>
      <c r="AS34" s="152">
        <v>0.69305555555555554</v>
      </c>
      <c r="AT34" s="151">
        <v>180</v>
      </c>
      <c r="AU34" s="153">
        <v>0.78125</v>
      </c>
      <c r="AV34" s="55">
        <f t="shared" si="52"/>
        <v>46170</v>
      </c>
      <c r="AW34" s="109">
        <f t="shared" si="97"/>
        <v>0.619995976664655</v>
      </c>
      <c r="AX34" s="109">
        <f t="shared" si="98"/>
        <v>0.380004023335345</v>
      </c>
      <c r="AY34" s="110">
        <f t="shared" si="54"/>
        <v>9942</v>
      </c>
      <c r="AZ34" s="111">
        <v>9942</v>
      </c>
      <c r="BA34" s="119">
        <f t="shared" si="45"/>
        <v>6164</v>
      </c>
      <c r="BB34" s="112">
        <f>3080+698</f>
        <v>3778</v>
      </c>
      <c r="BC34" s="111">
        <v>4325</v>
      </c>
      <c r="BD34" s="113">
        <v>0.66666666666666663</v>
      </c>
      <c r="BE34" s="114">
        <v>0</v>
      </c>
      <c r="BF34" s="113">
        <v>0</v>
      </c>
      <c r="BG34" s="114">
        <v>176</v>
      </c>
      <c r="BH34" s="113">
        <v>0.84375</v>
      </c>
      <c r="BI34" s="55">
        <f t="shared" si="53"/>
        <v>46170</v>
      </c>
      <c r="BJ34" s="77">
        <f t="shared" si="99"/>
        <v>0.6049302802276344</v>
      </c>
      <c r="BK34" s="75">
        <f t="shared" si="100"/>
        <v>0.3950697197723656</v>
      </c>
      <c r="BL34" s="78">
        <f t="shared" si="101"/>
        <v>37077</v>
      </c>
      <c r="BM34" s="154">
        <v>22429</v>
      </c>
      <c r="BN34" s="154">
        <v>14648</v>
      </c>
      <c r="BO34" s="155">
        <v>3936</v>
      </c>
      <c r="BP34" s="156">
        <v>0.81666666666666665</v>
      </c>
      <c r="BQ34" s="157">
        <v>2633</v>
      </c>
      <c r="BR34" s="156">
        <v>0.81666666666666665</v>
      </c>
    </row>
    <row r="35" spans="1:70" ht="15.75" thickBot="1" x14ac:dyDescent="0.3">
      <c r="A35" s="14"/>
      <c r="B35" s="55">
        <f t="shared" si="49"/>
        <v>46171</v>
      </c>
      <c r="C35" s="163"/>
      <c r="D35" s="86">
        <f t="shared" ref="D35" si="102">R35+S35</f>
        <v>57977</v>
      </c>
      <c r="E35" s="158">
        <f t="shared" ref="E35" si="103">F35/D35</f>
        <v>0.86905152043051559</v>
      </c>
      <c r="F35" s="86">
        <f t="shared" ref="F35" si="104">D35-H35</f>
        <v>50385</v>
      </c>
      <c r="G35" s="158">
        <f t="shared" ref="G35" si="105">H35/D35</f>
        <v>0.13094847956948444</v>
      </c>
      <c r="H35" s="145">
        <f t="shared" ref="H35" si="106">U35+AG35+AQ35+BB35</f>
        <v>7592</v>
      </c>
      <c r="I35" s="159">
        <f t="shared" ref="I35" si="107">AE35/(AE35+AO35+BL35+AY35)</f>
        <v>0.12205055964721555</v>
      </c>
      <c r="J35" s="158">
        <f t="shared" ref="J35" si="108">AO35/(AE35+AO35+BL35+AY35)</f>
        <v>0.15800272550490743</v>
      </c>
      <c r="K35" s="158">
        <f t="shared" ref="K35" si="109">AY35/(AF35+AP35+BM35+AZ35+AY35)</f>
        <v>0.17506911549771964</v>
      </c>
      <c r="L35" s="160">
        <f t="shared" ref="L35" si="110">BL35/(AE35+AO35+BL35+AY35)</f>
        <v>0.56771654748962619</v>
      </c>
      <c r="M35" s="145">
        <f t="shared" ref="M35" si="111">(S35+T35)*I35</f>
        <v>7042.8054938829264</v>
      </c>
      <c r="N35" s="145">
        <f t="shared" ref="N35" si="112">(S35+T35)*J35</f>
        <v>9117.389272535178</v>
      </c>
      <c r="O35" s="145">
        <f t="shared" ref="O35" si="113">(S35+T35)*K35</f>
        <v>10102.188240680414</v>
      </c>
      <c r="P35" s="145">
        <f t="shared" ref="P35" si="114">(S35+T35)*L35</f>
        <v>32759.515656341391</v>
      </c>
      <c r="Q35" s="55">
        <f t="shared" si="50"/>
        <v>46171</v>
      </c>
      <c r="R35" s="138">
        <v>57977</v>
      </c>
      <c r="S35" s="139">
        <v>0</v>
      </c>
      <c r="T35" s="139">
        <v>57704</v>
      </c>
      <c r="U35" s="139">
        <v>0</v>
      </c>
      <c r="V35" s="140">
        <v>13877</v>
      </c>
      <c r="W35" s="141">
        <v>0.42708333333333331</v>
      </c>
      <c r="X35" s="140">
        <v>4837</v>
      </c>
      <c r="Y35" s="141">
        <v>0.39583333333333331</v>
      </c>
      <c r="Z35" s="140">
        <v>0</v>
      </c>
      <c r="AA35" s="141">
        <v>0</v>
      </c>
      <c r="AB35" s="55">
        <f t="shared" si="51"/>
        <v>46171</v>
      </c>
      <c r="AC35" s="75">
        <f t="shared" ref="AC35" si="115">+AF35/AE35</f>
        <v>1</v>
      </c>
      <c r="AD35" s="161">
        <f t="shared" ref="AD35" si="116">+AG35/AE35</f>
        <v>0</v>
      </c>
      <c r="AE35" s="162">
        <v>7971</v>
      </c>
      <c r="AF35" s="117">
        <f t="shared" ref="AF35" si="117">AE35-AG35</f>
        <v>7971</v>
      </c>
      <c r="AG35" s="146">
        <v>0</v>
      </c>
      <c r="AH35" s="147">
        <v>3980</v>
      </c>
      <c r="AI35" s="148">
        <v>0.33055555555555555</v>
      </c>
      <c r="AJ35" s="147">
        <v>0</v>
      </c>
      <c r="AK35" s="164">
        <v>0</v>
      </c>
      <c r="AL35" s="55">
        <f t="shared" si="38"/>
        <v>46171</v>
      </c>
      <c r="AM35" s="76">
        <f t="shared" ref="AM35" si="118">+AP35/AO35</f>
        <v>0.63039054171915887</v>
      </c>
      <c r="AN35" s="75">
        <f t="shared" ref="AN35" si="119">+AQ35/AO35</f>
        <v>0.36960945828084119</v>
      </c>
      <c r="AO35" s="149">
        <v>10319</v>
      </c>
      <c r="AP35" s="116">
        <f t="shared" ref="AP35" si="120">AO35-AQ35</f>
        <v>6505</v>
      </c>
      <c r="AQ35" s="150">
        <v>3814</v>
      </c>
      <c r="AR35" s="151">
        <v>3902</v>
      </c>
      <c r="AS35" s="152">
        <v>0.69305555555555554</v>
      </c>
      <c r="AT35" s="151">
        <v>180</v>
      </c>
      <c r="AU35" s="153">
        <v>0.78125</v>
      </c>
      <c r="AV35" s="55">
        <f t="shared" si="52"/>
        <v>46171</v>
      </c>
      <c r="AW35" s="109">
        <f t="shared" ref="AW35" si="121">BA35/AZ35</f>
        <v>0.619995976664655</v>
      </c>
      <c r="AX35" s="109">
        <f t="shared" ref="AX35" si="122">BB35/AZ35</f>
        <v>0.380004023335345</v>
      </c>
      <c r="AY35" s="110">
        <f t="shared" ref="AY35" si="123">BA35+BB35</f>
        <v>9942</v>
      </c>
      <c r="AZ35" s="111">
        <v>9942</v>
      </c>
      <c r="BA35" s="119">
        <f t="shared" ref="BA35" si="124">AZ35-BB35</f>
        <v>6164</v>
      </c>
      <c r="BB35" s="112">
        <f>3080+698</f>
        <v>3778</v>
      </c>
      <c r="BC35" s="111">
        <v>4325</v>
      </c>
      <c r="BD35" s="113">
        <v>0.66666666666666663</v>
      </c>
      <c r="BE35" s="114">
        <v>0</v>
      </c>
      <c r="BF35" s="113">
        <v>0</v>
      </c>
      <c r="BG35" s="114">
        <v>176</v>
      </c>
      <c r="BH35" s="113">
        <v>0.84375</v>
      </c>
      <c r="BI35" s="55">
        <f t="shared" si="53"/>
        <v>46171</v>
      </c>
      <c r="BJ35" s="77">
        <f t="shared" ref="BJ35" si="125">+BM35/BL35</f>
        <v>0.6049302802276344</v>
      </c>
      <c r="BK35" s="75">
        <f t="shared" ref="BK35" si="126">+BN35/BL35</f>
        <v>0.3950697197723656</v>
      </c>
      <c r="BL35" s="78">
        <f t="shared" ref="BL35" si="127">BM35+BN35</f>
        <v>37077</v>
      </c>
      <c r="BM35" s="154">
        <v>22429</v>
      </c>
      <c r="BN35" s="154">
        <v>14648</v>
      </c>
      <c r="BO35" s="155">
        <v>3936</v>
      </c>
      <c r="BP35" s="156">
        <v>0.81666666666666665</v>
      </c>
      <c r="BQ35" s="157">
        <v>2633</v>
      </c>
      <c r="BR35" s="156">
        <v>0.81666666666666665</v>
      </c>
    </row>
    <row r="36" spans="1:70" ht="15.75" thickBot="1" x14ac:dyDescent="0.3">
      <c r="A36" s="14"/>
      <c r="B36" s="55">
        <f t="shared" si="49"/>
        <v>46172</v>
      </c>
      <c r="C36" s="163"/>
      <c r="D36" s="86">
        <f t="shared" si="82"/>
        <v>33260</v>
      </c>
      <c r="E36" s="158">
        <f t="shared" si="83"/>
        <v>0.78328322309079979</v>
      </c>
      <c r="F36" s="86">
        <f t="shared" si="24"/>
        <v>26052</v>
      </c>
      <c r="G36" s="158">
        <f t="shared" si="84"/>
        <v>0.21671677690920024</v>
      </c>
      <c r="H36" s="145">
        <f t="shared" si="26"/>
        <v>7208</v>
      </c>
      <c r="I36" s="159">
        <f t="shared" si="85"/>
        <v>8.2658911964006473E-2</v>
      </c>
      <c r="J36" s="158">
        <f t="shared" si="86"/>
        <v>0.16773202381278976</v>
      </c>
      <c r="K36" s="158">
        <f t="shared" si="87"/>
        <v>0.15870570107858242</v>
      </c>
      <c r="L36" s="160">
        <f t="shared" si="88"/>
        <v>0.62810348138597016</v>
      </c>
      <c r="M36" s="145">
        <f>(S36+T36)*I36</f>
        <v>2604.0863625140601</v>
      </c>
      <c r="N36" s="145">
        <f>(S36+T36)*J36</f>
        <v>5284.2296781981286</v>
      </c>
      <c r="O36" s="145">
        <f>(S36+T36)*K36</f>
        <v>4999.8644067796604</v>
      </c>
      <c r="P36" s="145">
        <f>(S36+T36)*L36</f>
        <v>19787.772077583602</v>
      </c>
      <c r="Q36" s="55">
        <f t="shared" si="50"/>
        <v>46172</v>
      </c>
      <c r="R36" s="138">
        <v>33260</v>
      </c>
      <c r="S36" s="139">
        <v>0</v>
      </c>
      <c r="T36" s="139">
        <v>31504</v>
      </c>
      <c r="U36" s="139">
        <v>0</v>
      </c>
      <c r="V36" s="140">
        <v>7178</v>
      </c>
      <c r="W36" s="141">
        <v>0.29166666666666669</v>
      </c>
      <c r="X36" s="140">
        <v>2217</v>
      </c>
      <c r="Y36" s="141">
        <v>0.48958333333333331</v>
      </c>
      <c r="Z36" s="140">
        <v>0</v>
      </c>
      <c r="AA36" s="141">
        <v>0</v>
      </c>
      <c r="AB36" s="55">
        <f t="shared" si="51"/>
        <v>46172</v>
      </c>
      <c r="AC36" s="75">
        <f t="shared" si="93"/>
        <v>1</v>
      </c>
      <c r="AD36" s="161">
        <f t="shared" si="94"/>
        <v>0</v>
      </c>
      <c r="AE36" s="162">
        <v>3013</v>
      </c>
      <c r="AF36" s="117">
        <f t="shared" si="37"/>
        <v>3013</v>
      </c>
      <c r="AG36" s="146">
        <v>0</v>
      </c>
      <c r="AH36" s="147">
        <v>1865</v>
      </c>
      <c r="AI36" s="148">
        <v>0.94652777777777775</v>
      </c>
      <c r="AJ36" s="147">
        <v>0</v>
      </c>
      <c r="AK36" s="164">
        <v>0</v>
      </c>
      <c r="AL36" s="55">
        <f t="shared" si="38"/>
        <v>46172</v>
      </c>
      <c r="AM36" s="76">
        <f t="shared" si="95"/>
        <v>0.34609093882891723</v>
      </c>
      <c r="AN36" s="75">
        <f t="shared" si="96"/>
        <v>0.65390906117108272</v>
      </c>
      <c r="AO36" s="149">
        <v>6114</v>
      </c>
      <c r="AP36" s="116">
        <f t="shared" si="41"/>
        <v>2116</v>
      </c>
      <c r="AQ36" s="150">
        <v>3998</v>
      </c>
      <c r="AR36" s="151">
        <v>1962</v>
      </c>
      <c r="AS36" s="152">
        <v>0.94305555555555554</v>
      </c>
      <c r="AT36" s="151">
        <v>191</v>
      </c>
      <c r="AU36" s="153">
        <v>0.77083333333333337</v>
      </c>
      <c r="AV36" s="55">
        <f t="shared" si="52"/>
        <v>46172</v>
      </c>
      <c r="AW36" s="109">
        <f t="shared" si="97"/>
        <v>0.27523142921652743</v>
      </c>
      <c r="AX36" s="109">
        <f t="shared" si="98"/>
        <v>0.72476857078347257</v>
      </c>
      <c r="AY36" s="110">
        <f t="shared" si="54"/>
        <v>4429</v>
      </c>
      <c r="AZ36" s="111">
        <v>4429</v>
      </c>
      <c r="BA36" s="119">
        <f t="shared" si="45"/>
        <v>1219</v>
      </c>
      <c r="BB36" s="112">
        <f>2512+698</f>
        <v>3210</v>
      </c>
      <c r="BC36" s="111">
        <v>1858</v>
      </c>
      <c r="BD36" s="113">
        <v>1.78125</v>
      </c>
      <c r="BE36" s="114">
        <v>0</v>
      </c>
      <c r="BF36" s="113">
        <v>0</v>
      </c>
      <c r="BG36" s="114">
        <v>198</v>
      </c>
      <c r="BH36" s="113">
        <v>0.15625</v>
      </c>
      <c r="BI36" s="55">
        <f t="shared" si="53"/>
        <v>46172</v>
      </c>
      <c r="BJ36" s="77">
        <f t="shared" si="99"/>
        <v>0.60799301157457963</v>
      </c>
      <c r="BK36" s="75">
        <f t="shared" si="100"/>
        <v>0.39200698842542042</v>
      </c>
      <c r="BL36" s="78">
        <f t="shared" si="101"/>
        <v>22895</v>
      </c>
      <c r="BM36" s="154">
        <v>13920</v>
      </c>
      <c r="BN36" s="154">
        <v>8975</v>
      </c>
      <c r="BO36" s="155">
        <v>2734</v>
      </c>
      <c r="BP36" s="156">
        <v>0.48472222222222222</v>
      </c>
      <c r="BQ36" s="157">
        <v>1863</v>
      </c>
      <c r="BR36" s="156">
        <v>0.48541666666666666</v>
      </c>
    </row>
    <row r="37" spans="1:70" ht="15.75" thickBot="1" x14ac:dyDescent="0.3">
      <c r="B37" s="55">
        <f t="shared" si="49"/>
        <v>46173</v>
      </c>
      <c r="D37" s="86">
        <f t="shared" si="82"/>
        <v>28662</v>
      </c>
      <c r="E37" s="158">
        <f t="shared" ref="E37" si="128">F37/D37</f>
        <v>0.73627102086386154</v>
      </c>
      <c r="F37" s="86">
        <f t="shared" si="24"/>
        <v>21103</v>
      </c>
      <c r="G37" s="158">
        <f t="shared" ref="G37" si="129">H37/D37</f>
        <v>0.26372897913613846</v>
      </c>
      <c r="H37" s="145">
        <f t="shared" si="26"/>
        <v>7559</v>
      </c>
      <c r="I37" s="159">
        <f t="shared" ref="I37" si="130">AE37/(AE37+AO37+BL37+AY37)</f>
        <v>4.9045194143857412E-2</v>
      </c>
      <c r="J37" s="158">
        <f t="shared" ref="J37" si="131">AO37/(AE37+AO37+BL37+AY37)</f>
        <v>0.18427753023551877</v>
      </c>
      <c r="K37" s="158">
        <f t="shared" ref="K37" si="132">AY37/(AF37+AP37+BM37+AZ37+AY37)</f>
        <v>0.18499347896967722</v>
      </c>
      <c r="L37" s="160">
        <f t="shared" ref="L37" si="133">BL37/(AE37+AO37+BL37+AY37)</f>
        <v>0.62221514958625079</v>
      </c>
      <c r="M37" s="145">
        <f>(S37+T37)*I37</f>
        <v>1339.424252068746</v>
      </c>
      <c r="N37" s="145">
        <f>(S37+T37)*J37</f>
        <v>5032.6193507320177</v>
      </c>
      <c r="O37" s="145">
        <f>(S37+T37)*K37</f>
        <v>5052.1719106618848</v>
      </c>
      <c r="P37" s="145">
        <f>(S37+T37)*L37</f>
        <v>16992.695735200508</v>
      </c>
      <c r="Q37" s="55">
        <f t="shared" si="50"/>
        <v>46173</v>
      </c>
      <c r="R37" s="138">
        <v>28662</v>
      </c>
      <c r="S37" s="139">
        <v>0</v>
      </c>
      <c r="T37" s="139">
        <v>27310</v>
      </c>
      <c r="U37" s="139">
        <v>0</v>
      </c>
      <c r="V37" s="140">
        <v>6482</v>
      </c>
      <c r="W37" s="141">
        <v>0.77083333333333337</v>
      </c>
      <c r="X37" s="140">
        <v>1850</v>
      </c>
      <c r="Y37" s="141">
        <v>0.80208333333333337</v>
      </c>
      <c r="Z37" s="140">
        <v>0</v>
      </c>
      <c r="AA37" s="141">
        <v>0</v>
      </c>
      <c r="AB37" s="55">
        <f t="shared" si="51"/>
        <v>46173</v>
      </c>
      <c r="AC37" s="75">
        <f t="shared" ref="AC37" si="134">+AF37/AE37</f>
        <v>1</v>
      </c>
      <c r="AD37" s="161">
        <f t="shared" ref="AD37" si="135">+AG37/AE37</f>
        <v>0</v>
      </c>
      <c r="AE37" s="162">
        <v>1541</v>
      </c>
      <c r="AF37" s="117">
        <f t="shared" si="37"/>
        <v>1541</v>
      </c>
      <c r="AG37" s="146">
        <v>0</v>
      </c>
      <c r="AH37" s="147">
        <v>1310</v>
      </c>
      <c r="AI37" s="148">
        <v>0.59236111111111112</v>
      </c>
      <c r="AJ37" s="147">
        <v>0</v>
      </c>
      <c r="AK37" s="164">
        <v>0</v>
      </c>
      <c r="AL37" s="55">
        <f t="shared" si="38"/>
        <v>46173</v>
      </c>
      <c r="AM37" s="76">
        <f t="shared" ref="AM37" si="136">+AP37/AO37</f>
        <v>0.31744386873920555</v>
      </c>
      <c r="AN37" s="75">
        <f t="shared" ref="AN37" si="137">+AQ37/AO37</f>
        <v>0.68255613126079451</v>
      </c>
      <c r="AO37" s="149">
        <v>5790</v>
      </c>
      <c r="AP37" s="116">
        <f t="shared" ref="AP37" si="138">AO37-AQ37</f>
        <v>1838</v>
      </c>
      <c r="AQ37" s="150">
        <v>3952</v>
      </c>
      <c r="AR37" s="151">
        <v>1892</v>
      </c>
      <c r="AS37" s="152">
        <v>0.58888888888888891</v>
      </c>
      <c r="AT37" s="151">
        <v>183</v>
      </c>
      <c r="AU37" s="153">
        <v>0.88541666666666663</v>
      </c>
      <c r="AV37" s="55">
        <f t="shared" si="52"/>
        <v>46173</v>
      </c>
      <c r="AW37" s="109">
        <f t="shared" ref="AW37" si="139">BA37/AZ37</f>
        <v>0.20533157083057943</v>
      </c>
      <c r="AX37" s="109">
        <f t="shared" ref="AX37" si="140">BB37/AZ37</f>
        <v>0.7946684291694206</v>
      </c>
      <c r="AY37" s="110">
        <f t="shared" si="54"/>
        <v>4539</v>
      </c>
      <c r="AZ37" s="111">
        <v>4539</v>
      </c>
      <c r="BA37" s="119">
        <f t="shared" si="45"/>
        <v>932</v>
      </c>
      <c r="BB37" s="112">
        <f>2909+698</f>
        <v>3607</v>
      </c>
      <c r="BC37" s="111">
        <v>1492</v>
      </c>
      <c r="BD37" s="113">
        <v>0.61458333333333337</v>
      </c>
      <c r="BE37" s="114">
        <v>0</v>
      </c>
      <c r="BF37" s="113">
        <v>0</v>
      </c>
      <c r="BG37" s="114">
        <v>161</v>
      </c>
      <c r="BH37" s="113">
        <v>0.35416666666666669</v>
      </c>
      <c r="BI37" s="55">
        <f t="shared" si="53"/>
        <v>46173</v>
      </c>
      <c r="BJ37" s="77">
        <f t="shared" ref="BJ37" si="141">+BM37/BL37</f>
        <v>0.61785166240409206</v>
      </c>
      <c r="BK37" s="75">
        <f t="shared" ref="BK37" si="142">+BN37/BL37</f>
        <v>0.38214833759590794</v>
      </c>
      <c r="BL37" s="78">
        <f t="shared" ref="BL37" si="143">BM37+BN37</f>
        <v>19550</v>
      </c>
      <c r="BM37" s="154">
        <v>12079</v>
      </c>
      <c r="BN37" s="154">
        <v>7471</v>
      </c>
      <c r="BO37" s="155">
        <v>2413</v>
      </c>
      <c r="BP37" s="156">
        <v>0.72222222222222221</v>
      </c>
      <c r="BQ37" s="157">
        <v>1602</v>
      </c>
      <c r="BR37" s="156">
        <v>0.41249999999999998</v>
      </c>
    </row>
    <row r="38" spans="1:70" ht="15.75" thickBot="1" x14ac:dyDescent="0.3">
      <c r="R38" s="174" t="e">
        <f>#REF!-S39</f>
        <v>#REF!</v>
      </c>
      <c r="AF38" s="117">
        <f t="shared" si="37"/>
        <v>0</v>
      </c>
      <c r="AY38" s="110">
        <f t="shared" si="54"/>
        <v>0</v>
      </c>
      <c r="BA38" s="119">
        <f t="shared" si="45"/>
        <v>0</v>
      </c>
    </row>
    <row r="39" spans="1:70" ht="15.75" thickBot="1" x14ac:dyDescent="0.3">
      <c r="S39" s="175">
        <f>R36-T36</f>
        <v>1756</v>
      </c>
      <c r="T39" s="175"/>
      <c r="U39" s="174"/>
      <c r="AF39" s="117">
        <f t="shared" si="37"/>
        <v>0</v>
      </c>
      <c r="AY39" s="110">
        <f t="shared" si="54"/>
        <v>0</v>
      </c>
      <c r="BA39" s="119">
        <f t="shared" si="45"/>
        <v>0</v>
      </c>
    </row>
    <row r="41" spans="1:70" x14ac:dyDescent="0.25">
      <c r="S41" s="175"/>
      <c r="T41" s="174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A32" zoomScaleNormal="100" zoomScaleSheetLayoutView="100" workbookViewId="0">
      <selection activeCell="A45" sqref="A45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18" t="s">
        <v>0</v>
      </c>
      <c r="D2" s="221" t="s">
        <v>37</v>
      </c>
      <c r="E2" s="222"/>
      <c r="F2" s="222"/>
      <c r="G2" s="222"/>
      <c r="H2" s="223"/>
      <c r="J2" s="221" t="s">
        <v>38</v>
      </c>
      <c r="K2" s="222"/>
      <c r="L2" s="223"/>
      <c r="N2" s="221" t="s">
        <v>39</v>
      </c>
      <c r="O2" s="222"/>
      <c r="P2" s="222"/>
      <c r="Q2" s="222"/>
      <c r="R2" s="222"/>
      <c r="S2" s="222"/>
      <c r="T2" s="223"/>
      <c r="V2" s="227" t="s">
        <v>40</v>
      </c>
      <c r="W2" s="228"/>
      <c r="X2" s="229"/>
    </row>
    <row r="3" spans="2:27" ht="15.75" thickBot="1" x14ac:dyDescent="0.3">
      <c r="B3" s="219"/>
      <c r="D3" s="224"/>
      <c r="E3" s="225"/>
      <c r="F3" s="225"/>
      <c r="G3" s="225"/>
      <c r="H3" s="226"/>
      <c r="J3" s="224"/>
      <c r="K3" s="225"/>
      <c r="L3" s="226"/>
      <c r="N3" s="224"/>
      <c r="O3" s="225"/>
      <c r="P3" s="225"/>
      <c r="Q3" s="225"/>
      <c r="R3" s="225"/>
      <c r="S3" s="225"/>
      <c r="T3" s="226"/>
      <c r="V3" s="230"/>
      <c r="W3" s="231"/>
      <c r="X3" s="232"/>
    </row>
    <row r="4" spans="2:27" ht="23.25" customHeight="1" x14ac:dyDescent="0.25">
      <c r="B4" s="219"/>
      <c r="D4" s="233" t="s">
        <v>41</v>
      </c>
      <c r="E4" s="234"/>
      <c r="F4" s="233" t="s">
        <v>42</v>
      </c>
      <c r="G4" s="235"/>
      <c r="H4" s="236"/>
      <c r="J4" s="233" t="s">
        <v>41</v>
      </c>
      <c r="K4" s="234"/>
      <c r="L4" s="16" t="s">
        <v>42</v>
      </c>
      <c r="N4" s="216" t="s">
        <v>41</v>
      </c>
      <c r="O4" s="237"/>
      <c r="P4" s="238"/>
      <c r="Q4" s="239"/>
      <c r="R4" s="233" t="s">
        <v>42</v>
      </c>
      <c r="S4" s="240"/>
      <c r="T4" s="236"/>
      <c r="V4" s="216" t="s">
        <v>41</v>
      </c>
      <c r="W4" s="217"/>
      <c r="X4" s="16" t="s">
        <v>42</v>
      </c>
    </row>
    <row r="5" spans="2:27" ht="23.25" thickBot="1" x14ac:dyDescent="0.3">
      <c r="B5" s="220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46142</v>
      </c>
      <c r="C14" s="13"/>
      <c r="D14" s="170">
        <v>104</v>
      </c>
      <c r="E14" s="171">
        <v>0.76041666666666663</v>
      </c>
      <c r="F14" s="172">
        <v>1280</v>
      </c>
      <c r="G14" s="92">
        <v>784</v>
      </c>
      <c r="H14" s="172">
        <v>496</v>
      </c>
      <c r="I14" s="89">
        <f>B14</f>
        <v>46142</v>
      </c>
      <c r="J14" s="170">
        <v>31</v>
      </c>
      <c r="K14" s="171">
        <v>0.84375</v>
      </c>
      <c r="L14" s="172">
        <v>579</v>
      </c>
      <c r="M14" s="89">
        <f>B14</f>
        <v>46142</v>
      </c>
      <c r="N14" s="170">
        <v>24</v>
      </c>
      <c r="O14" s="171">
        <v>0.55208333333333337</v>
      </c>
      <c r="P14" s="170">
        <v>13</v>
      </c>
      <c r="Q14" s="171">
        <v>0.66666666666666663</v>
      </c>
      <c r="R14" s="91">
        <v>591</v>
      </c>
      <c r="S14" s="172">
        <v>347</v>
      </c>
      <c r="T14" s="172">
        <v>244</v>
      </c>
      <c r="U14" s="89">
        <f>B14</f>
        <v>46142</v>
      </c>
      <c r="V14" s="170">
        <v>27</v>
      </c>
      <c r="W14" s="171">
        <v>0.29166666666666669</v>
      </c>
      <c r="X14" s="172">
        <v>501</v>
      </c>
    </row>
    <row r="15" spans="2:27" s="52" customFormat="1" ht="15.75" thickBot="1" x14ac:dyDescent="0.3">
      <c r="B15" s="89">
        <v>46143</v>
      </c>
      <c r="C15" s="13"/>
      <c r="D15" s="170">
        <v>74</v>
      </c>
      <c r="E15" s="171">
        <v>0.19791666666666666</v>
      </c>
      <c r="F15" s="172">
        <v>743</v>
      </c>
      <c r="G15" s="92">
        <f t="shared" ref="G15:G45" si="0">F15-H15</f>
        <v>293</v>
      </c>
      <c r="H15" s="172">
        <v>450</v>
      </c>
      <c r="I15" s="89">
        <f t="shared" ref="I15:I45" si="1">I14+1</f>
        <v>46143</v>
      </c>
      <c r="J15" s="170">
        <v>30</v>
      </c>
      <c r="K15" s="171">
        <v>0.20833333333333334</v>
      </c>
      <c r="L15" s="172">
        <v>606</v>
      </c>
      <c r="M15" s="89">
        <f t="shared" ref="M15:M44" si="2">B15</f>
        <v>46143</v>
      </c>
      <c r="N15" s="170">
        <v>18</v>
      </c>
      <c r="O15" s="171">
        <v>0.60416666666666663</v>
      </c>
      <c r="P15" s="170">
        <v>11</v>
      </c>
      <c r="Q15" s="171">
        <v>0.57291666666666663</v>
      </c>
      <c r="R15" s="91">
        <f t="shared" ref="R15:R25" si="3">S15+T15</f>
        <v>539</v>
      </c>
      <c r="S15" s="172">
        <v>328</v>
      </c>
      <c r="T15" s="172">
        <v>211</v>
      </c>
      <c r="U15" s="89">
        <f t="shared" ref="U15:U45" si="4">U14+1</f>
        <v>46143</v>
      </c>
      <c r="V15" s="170">
        <v>30</v>
      </c>
      <c r="W15" s="171">
        <v>7.2916666666666671E-2</v>
      </c>
      <c r="X15" s="172">
        <v>498</v>
      </c>
    </row>
    <row r="16" spans="2:27" s="52" customFormat="1" ht="15.75" thickBot="1" x14ac:dyDescent="0.3">
      <c r="B16" s="89">
        <v>46144</v>
      </c>
      <c r="C16" s="13"/>
      <c r="D16" s="50">
        <v>63</v>
      </c>
      <c r="E16" s="11">
        <v>0.35416666666666669</v>
      </c>
      <c r="F16" s="10">
        <v>787</v>
      </c>
      <c r="G16" s="92">
        <f t="shared" si="0"/>
        <v>310</v>
      </c>
      <c r="H16" s="10">
        <v>477</v>
      </c>
      <c r="I16" s="89">
        <f t="shared" si="1"/>
        <v>46144</v>
      </c>
      <c r="J16" s="50">
        <v>29</v>
      </c>
      <c r="K16" s="54">
        <v>0.8125</v>
      </c>
      <c r="L16" s="53">
        <v>600</v>
      </c>
      <c r="M16" s="89">
        <f t="shared" si="2"/>
        <v>46144</v>
      </c>
      <c r="N16" s="50">
        <v>21</v>
      </c>
      <c r="O16" s="11">
        <v>0.76041666666666663</v>
      </c>
      <c r="P16" s="50">
        <v>14</v>
      </c>
      <c r="Q16" s="11">
        <v>0.29166666666666669</v>
      </c>
      <c r="R16" s="91">
        <f t="shared" si="3"/>
        <v>538</v>
      </c>
      <c r="S16" s="10">
        <v>329</v>
      </c>
      <c r="T16" s="10">
        <v>209</v>
      </c>
      <c r="U16" s="89">
        <f t="shared" si="4"/>
        <v>46144</v>
      </c>
      <c r="V16" s="50">
        <v>28</v>
      </c>
      <c r="W16" s="11">
        <v>0.14583333333333334</v>
      </c>
      <c r="X16" s="10">
        <v>491</v>
      </c>
    </row>
    <row r="17" spans="2:24" ht="15.75" thickBot="1" x14ac:dyDescent="0.3">
      <c r="B17" s="89">
        <v>46145</v>
      </c>
      <c r="D17" s="50">
        <v>55</v>
      </c>
      <c r="E17" s="54">
        <v>0.88541666666666663</v>
      </c>
      <c r="F17" s="53">
        <v>778</v>
      </c>
      <c r="G17" s="92">
        <f t="shared" si="0"/>
        <v>301</v>
      </c>
      <c r="H17" s="53">
        <v>477</v>
      </c>
      <c r="I17" s="89">
        <f t="shared" si="1"/>
        <v>46145</v>
      </c>
      <c r="J17" s="50">
        <v>31</v>
      </c>
      <c r="K17" s="54">
        <v>0</v>
      </c>
      <c r="L17" s="53">
        <v>599</v>
      </c>
      <c r="M17" s="89">
        <f t="shared" si="2"/>
        <v>46145</v>
      </c>
      <c r="N17" s="50">
        <v>22</v>
      </c>
      <c r="O17" s="54">
        <v>0.73958333333333337</v>
      </c>
      <c r="P17" s="50">
        <v>9</v>
      </c>
      <c r="Q17" s="54">
        <v>0.22916666666666666</v>
      </c>
      <c r="R17" s="91">
        <f t="shared" si="3"/>
        <v>503</v>
      </c>
      <c r="S17" s="53">
        <v>316</v>
      </c>
      <c r="T17" s="53">
        <v>187</v>
      </c>
      <c r="U17" s="89">
        <f t="shared" si="4"/>
        <v>46145</v>
      </c>
      <c r="V17" s="50">
        <v>28</v>
      </c>
      <c r="W17" s="54">
        <v>0.21875</v>
      </c>
      <c r="X17" s="53">
        <v>476</v>
      </c>
    </row>
    <row r="18" spans="2:24" ht="15.75" thickBot="1" x14ac:dyDescent="0.3">
      <c r="B18" s="89">
        <v>46146</v>
      </c>
      <c r="D18" s="50">
        <v>111</v>
      </c>
      <c r="E18" s="54">
        <v>0.65625</v>
      </c>
      <c r="F18" s="53">
        <v>1236</v>
      </c>
      <c r="G18" s="92">
        <f t="shared" si="0"/>
        <v>720</v>
      </c>
      <c r="H18" s="53">
        <v>516</v>
      </c>
      <c r="I18" s="89">
        <f t="shared" si="1"/>
        <v>46146</v>
      </c>
      <c r="J18" s="50">
        <v>31</v>
      </c>
      <c r="K18" s="54">
        <v>0.92708333333333337</v>
      </c>
      <c r="L18" s="53">
        <v>612</v>
      </c>
      <c r="M18" s="89">
        <f t="shared" si="2"/>
        <v>46146</v>
      </c>
      <c r="N18" s="50">
        <v>21</v>
      </c>
      <c r="O18" s="54">
        <v>0.48958333333333331</v>
      </c>
      <c r="P18" s="50">
        <v>14</v>
      </c>
      <c r="Q18" s="54">
        <v>0.75</v>
      </c>
      <c r="R18" s="51">
        <f t="shared" si="3"/>
        <v>557</v>
      </c>
      <c r="S18" s="53">
        <v>330</v>
      </c>
      <c r="T18" s="53">
        <v>227</v>
      </c>
      <c r="U18" s="89">
        <f t="shared" si="4"/>
        <v>46146</v>
      </c>
      <c r="V18" s="50">
        <v>29</v>
      </c>
      <c r="W18" s="54">
        <v>0.95833333333333337</v>
      </c>
      <c r="X18" s="53">
        <v>499</v>
      </c>
    </row>
    <row r="19" spans="2:24" ht="15.75" thickBot="1" x14ac:dyDescent="0.3">
      <c r="B19" s="89">
        <v>46147</v>
      </c>
      <c r="D19" s="90">
        <v>91</v>
      </c>
      <c r="E19" s="88">
        <v>0.38541666666666669</v>
      </c>
      <c r="F19" s="87">
        <v>1197</v>
      </c>
      <c r="G19" s="92">
        <f t="shared" si="0"/>
        <v>709</v>
      </c>
      <c r="H19" s="87">
        <v>488</v>
      </c>
      <c r="I19" s="89">
        <f t="shared" si="1"/>
        <v>46147</v>
      </c>
      <c r="J19" s="90">
        <v>32</v>
      </c>
      <c r="K19" s="88">
        <v>0.27083333333333331</v>
      </c>
      <c r="L19" s="87">
        <v>662</v>
      </c>
      <c r="M19" s="89">
        <f t="shared" si="2"/>
        <v>46147</v>
      </c>
      <c r="N19" s="90">
        <v>21</v>
      </c>
      <c r="O19" s="88">
        <v>0.875</v>
      </c>
      <c r="P19" s="90">
        <v>14</v>
      </c>
      <c r="Q19" s="88">
        <v>0.33333333333333331</v>
      </c>
      <c r="R19" s="91">
        <f t="shared" si="3"/>
        <v>565</v>
      </c>
      <c r="S19" s="87">
        <v>331</v>
      </c>
      <c r="T19" s="87">
        <v>234</v>
      </c>
      <c r="U19" s="89">
        <f t="shared" si="4"/>
        <v>46147</v>
      </c>
      <c r="V19" s="90">
        <v>29</v>
      </c>
      <c r="W19" s="88">
        <v>0.67708333333333337</v>
      </c>
      <c r="X19" s="87">
        <v>548</v>
      </c>
    </row>
    <row r="20" spans="2:24" ht="15.75" thickBot="1" x14ac:dyDescent="0.3">
      <c r="B20" s="89">
        <v>46148</v>
      </c>
      <c r="D20" s="170">
        <v>88.53</v>
      </c>
      <c r="E20" s="171">
        <v>0.35416666666666669</v>
      </c>
      <c r="F20" s="172">
        <v>1371.32</v>
      </c>
      <c r="G20" s="92">
        <f t="shared" si="0"/>
        <v>856.51</v>
      </c>
      <c r="H20" s="172">
        <v>514.80999999999995</v>
      </c>
      <c r="I20" s="89">
        <f t="shared" si="1"/>
        <v>46148</v>
      </c>
      <c r="J20" s="170">
        <v>34.14</v>
      </c>
      <c r="K20" s="171">
        <v>0</v>
      </c>
      <c r="L20" s="172">
        <v>639.49</v>
      </c>
      <c r="M20" s="89">
        <f t="shared" si="2"/>
        <v>46148</v>
      </c>
      <c r="N20" s="170">
        <v>19.940000000000001</v>
      </c>
      <c r="O20" s="171">
        <v>0.64583333333333337</v>
      </c>
      <c r="P20" s="170">
        <v>14.52</v>
      </c>
      <c r="Q20" s="171">
        <v>0.375</v>
      </c>
      <c r="R20" s="91">
        <f t="shared" si="3"/>
        <v>573.51</v>
      </c>
      <c r="S20" s="172">
        <v>335.87</v>
      </c>
      <c r="T20" s="172">
        <v>237.64</v>
      </c>
      <c r="U20" s="173">
        <f t="shared" si="4"/>
        <v>46148</v>
      </c>
      <c r="V20" s="170">
        <v>30.64</v>
      </c>
      <c r="W20" s="171">
        <v>0.54166666666666663</v>
      </c>
      <c r="X20" s="172">
        <v>568.54999999999995</v>
      </c>
    </row>
    <row r="21" spans="2:24" ht="15.75" thickBot="1" x14ac:dyDescent="0.3">
      <c r="B21" s="89">
        <v>46149</v>
      </c>
      <c r="D21" s="170">
        <v>91.59</v>
      </c>
      <c r="E21" s="171" t="s">
        <v>70</v>
      </c>
      <c r="F21" s="87">
        <v>1225.3399999999999</v>
      </c>
      <c r="G21" s="92">
        <f t="shared" si="0"/>
        <v>722.69999999999993</v>
      </c>
      <c r="H21" s="87">
        <v>502.64</v>
      </c>
      <c r="I21" s="89">
        <f t="shared" si="1"/>
        <v>46149</v>
      </c>
      <c r="J21" s="90">
        <v>32.42</v>
      </c>
      <c r="K21" s="88">
        <v>0.41666666666666669</v>
      </c>
      <c r="L21" s="87">
        <v>641.49</v>
      </c>
      <c r="M21" s="89">
        <f t="shared" si="2"/>
        <v>46149</v>
      </c>
      <c r="N21" s="90">
        <v>23.21</v>
      </c>
      <c r="O21" s="88">
        <v>0.64583333333333337</v>
      </c>
      <c r="P21" s="90">
        <v>14.6</v>
      </c>
      <c r="Q21" s="88">
        <v>0.80208333333333337</v>
      </c>
      <c r="R21" s="91">
        <f t="shared" si="3"/>
        <v>569.52</v>
      </c>
      <c r="S21" s="87">
        <v>335.01</v>
      </c>
      <c r="T21" s="87">
        <v>234.51</v>
      </c>
      <c r="U21" s="89">
        <f t="shared" si="4"/>
        <v>46149</v>
      </c>
      <c r="V21" s="90">
        <v>29.55</v>
      </c>
      <c r="W21" s="88">
        <v>0.98958333333333337</v>
      </c>
      <c r="X21" s="87">
        <v>504.81</v>
      </c>
    </row>
    <row r="22" spans="2:24" ht="15.75" thickBot="1" x14ac:dyDescent="0.3">
      <c r="B22" s="89">
        <v>46150</v>
      </c>
      <c r="D22" s="170">
        <v>79</v>
      </c>
      <c r="E22" s="88">
        <v>0.34375</v>
      </c>
      <c r="F22" s="87">
        <v>1156</v>
      </c>
      <c r="G22" s="92">
        <f t="shared" si="0"/>
        <v>643</v>
      </c>
      <c r="H22" s="87">
        <v>513</v>
      </c>
      <c r="I22" s="89">
        <f t="shared" si="1"/>
        <v>46150</v>
      </c>
      <c r="J22" s="90">
        <v>30</v>
      </c>
      <c r="K22" s="88">
        <v>0.32291666666666669</v>
      </c>
      <c r="L22" s="87">
        <v>620</v>
      </c>
      <c r="M22" s="89">
        <f t="shared" si="2"/>
        <v>46150</v>
      </c>
      <c r="N22" s="90">
        <v>26</v>
      </c>
      <c r="O22" s="88">
        <v>0.70833333333333337</v>
      </c>
      <c r="P22" s="90">
        <v>14</v>
      </c>
      <c r="Q22" s="88">
        <v>0.51041666666666663</v>
      </c>
      <c r="R22" s="91">
        <f t="shared" si="3"/>
        <v>579</v>
      </c>
      <c r="S22" s="87">
        <v>347</v>
      </c>
      <c r="T22" s="87">
        <v>232</v>
      </c>
      <c r="U22" s="89">
        <f t="shared" si="4"/>
        <v>46150</v>
      </c>
      <c r="V22" s="90">
        <v>28</v>
      </c>
      <c r="W22" s="88">
        <v>0.22916666666666666</v>
      </c>
      <c r="X22" s="87">
        <v>514</v>
      </c>
    </row>
    <row r="23" spans="2:24" ht="15.75" thickBot="1" x14ac:dyDescent="0.3">
      <c r="B23" s="89">
        <v>46151</v>
      </c>
      <c r="D23" s="170">
        <v>76</v>
      </c>
      <c r="E23" s="88">
        <v>0.17708333333333334</v>
      </c>
      <c r="F23" s="87">
        <v>844</v>
      </c>
      <c r="G23" s="92">
        <f t="shared" si="0"/>
        <v>377</v>
      </c>
      <c r="H23" s="87">
        <v>467</v>
      </c>
      <c r="I23" s="89">
        <f t="shared" si="1"/>
        <v>46151</v>
      </c>
      <c r="J23" s="90">
        <v>30</v>
      </c>
      <c r="K23" s="88">
        <v>0.3125</v>
      </c>
      <c r="L23" s="87">
        <v>603</v>
      </c>
      <c r="M23" s="89">
        <f t="shared" si="2"/>
        <v>46151</v>
      </c>
      <c r="N23" s="90">
        <v>26</v>
      </c>
      <c r="O23" s="88">
        <v>0.78125</v>
      </c>
      <c r="P23" s="90">
        <v>13</v>
      </c>
      <c r="Q23" s="88">
        <v>0.4375</v>
      </c>
      <c r="R23" s="91">
        <f t="shared" si="3"/>
        <v>532</v>
      </c>
      <c r="S23" s="87">
        <v>330</v>
      </c>
      <c r="T23" s="87">
        <v>202</v>
      </c>
      <c r="U23" s="89">
        <f t="shared" si="4"/>
        <v>46151</v>
      </c>
      <c r="V23" s="90">
        <v>30</v>
      </c>
      <c r="W23" s="88">
        <v>6.25E-2</v>
      </c>
      <c r="X23" s="87">
        <v>523</v>
      </c>
    </row>
    <row r="24" spans="2:24" ht="15.75" thickBot="1" x14ac:dyDescent="0.3">
      <c r="B24" s="89">
        <v>46152</v>
      </c>
      <c r="D24" s="170">
        <v>60</v>
      </c>
      <c r="E24" s="88">
        <v>0.22916666666666666</v>
      </c>
      <c r="F24" s="87">
        <v>773</v>
      </c>
      <c r="G24" s="92">
        <f t="shared" si="0"/>
        <v>309</v>
      </c>
      <c r="H24" s="87">
        <v>464</v>
      </c>
      <c r="I24" s="89">
        <f t="shared" si="1"/>
        <v>46152</v>
      </c>
      <c r="J24" s="90">
        <v>34</v>
      </c>
      <c r="K24" s="88">
        <v>0.29166666666666669</v>
      </c>
      <c r="L24" s="87">
        <v>625</v>
      </c>
      <c r="M24" s="89">
        <f t="shared" si="2"/>
        <v>46152</v>
      </c>
      <c r="N24" s="90">
        <v>25</v>
      </c>
      <c r="O24" s="88">
        <v>0.76041666666666663</v>
      </c>
      <c r="P24" s="90">
        <v>9</v>
      </c>
      <c r="Q24" s="88">
        <v>0</v>
      </c>
      <c r="R24" s="91">
        <f t="shared" si="3"/>
        <v>498</v>
      </c>
      <c r="S24" s="87">
        <v>320</v>
      </c>
      <c r="T24" s="87">
        <v>178</v>
      </c>
      <c r="U24" s="89">
        <f t="shared" si="4"/>
        <v>46152</v>
      </c>
      <c r="V24" s="90">
        <v>28</v>
      </c>
      <c r="W24" s="88">
        <v>0</v>
      </c>
      <c r="X24" s="87">
        <v>494</v>
      </c>
    </row>
    <row r="25" spans="2:24" ht="15.75" thickBot="1" x14ac:dyDescent="0.3">
      <c r="B25" s="89">
        <v>46153</v>
      </c>
      <c r="D25" s="170">
        <v>102</v>
      </c>
      <c r="E25" s="88">
        <v>0.59375</v>
      </c>
      <c r="F25" s="87">
        <v>1282</v>
      </c>
      <c r="G25" s="92">
        <f t="shared" si="0"/>
        <v>805</v>
      </c>
      <c r="H25" s="87">
        <v>477</v>
      </c>
      <c r="I25" s="89">
        <f t="shared" si="1"/>
        <v>46153</v>
      </c>
      <c r="J25" s="90">
        <v>32</v>
      </c>
      <c r="K25" s="88">
        <v>0.91666666666666663</v>
      </c>
      <c r="L25" s="87">
        <v>653</v>
      </c>
      <c r="M25" s="89">
        <f t="shared" si="2"/>
        <v>46153</v>
      </c>
      <c r="N25" s="90">
        <v>24</v>
      </c>
      <c r="O25" s="88">
        <v>0.39583333333333331</v>
      </c>
      <c r="P25" s="90">
        <v>14</v>
      </c>
      <c r="Q25" s="88">
        <v>0.35416666666666669</v>
      </c>
      <c r="R25" s="91">
        <f t="shared" si="3"/>
        <v>576</v>
      </c>
      <c r="S25" s="87">
        <v>346</v>
      </c>
      <c r="T25" s="87">
        <v>230</v>
      </c>
      <c r="U25" s="89">
        <f t="shared" si="4"/>
        <v>46153</v>
      </c>
      <c r="V25" s="90">
        <v>33</v>
      </c>
      <c r="W25" s="88">
        <v>0.58333333333333337</v>
      </c>
      <c r="X25" s="87">
        <v>609</v>
      </c>
    </row>
    <row r="26" spans="2:24" ht="15.75" thickBot="1" x14ac:dyDescent="0.3">
      <c r="B26" s="89">
        <v>46154</v>
      </c>
      <c r="D26" s="170">
        <v>104</v>
      </c>
      <c r="E26" s="88">
        <v>0.5625</v>
      </c>
      <c r="F26" s="87">
        <v>1280</v>
      </c>
      <c r="G26" s="92">
        <f t="shared" si="0"/>
        <v>795</v>
      </c>
      <c r="H26" s="87">
        <v>485</v>
      </c>
      <c r="I26" s="89">
        <f t="shared" si="1"/>
        <v>46154</v>
      </c>
      <c r="J26" s="90">
        <v>32</v>
      </c>
      <c r="K26" s="88">
        <v>0.89583333333333337</v>
      </c>
      <c r="L26" s="87">
        <v>645</v>
      </c>
      <c r="M26" s="89">
        <f t="shared" si="2"/>
        <v>46154</v>
      </c>
      <c r="N26" s="90">
        <v>25</v>
      </c>
      <c r="O26" s="88">
        <v>0.75</v>
      </c>
      <c r="P26" s="90">
        <v>14</v>
      </c>
      <c r="Q26" s="88">
        <v>0.39583333333333331</v>
      </c>
      <c r="R26" s="91">
        <f t="shared" ref="R26:R44" si="5">S26+T26</f>
        <v>565</v>
      </c>
      <c r="S26" s="87">
        <v>340</v>
      </c>
      <c r="T26" s="87">
        <v>225</v>
      </c>
      <c r="U26" s="89">
        <f t="shared" si="4"/>
        <v>46154</v>
      </c>
      <c r="V26" s="90">
        <v>30</v>
      </c>
      <c r="W26" s="88">
        <v>2.0833333333333332E-2</v>
      </c>
      <c r="X26" s="87">
        <v>568</v>
      </c>
    </row>
    <row r="27" spans="2:24" ht="15.75" thickBot="1" x14ac:dyDescent="0.3">
      <c r="B27" s="89">
        <v>46155</v>
      </c>
      <c r="D27" s="170">
        <v>109</v>
      </c>
      <c r="E27" s="88" t="s">
        <v>75</v>
      </c>
      <c r="F27" s="87">
        <v>1283</v>
      </c>
      <c r="G27" s="92">
        <f t="shared" si="0"/>
        <v>809</v>
      </c>
      <c r="H27" s="87">
        <v>474</v>
      </c>
      <c r="I27" s="89">
        <f t="shared" si="1"/>
        <v>46155</v>
      </c>
      <c r="J27" s="90">
        <v>36</v>
      </c>
      <c r="K27" s="88">
        <v>0.21875</v>
      </c>
      <c r="L27" s="87">
        <v>641</v>
      </c>
      <c r="M27" s="89">
        <f t="shared" si="2"/>
        <v>46155</v>
      </c>
      <c r="N27" s="90">
        <v>19</v>
      </c>
      <c r="O27" s="88">
        <v>0.80208333333333337</v>
      </c>
      <c r="P27" s="90">
        <v>15</v>
      </c>
      <c r="Q27" s="88">
        <v>0.3125</v>
      </c>
      <c r="R27" s="91">
        <f t="shared" si="5"/>
        <v>578</v>
      </c>
      <c r="S27" s="87">
        <v>342</v>
      </c>
      <c r="T27" s="87">
        <v>236</v>
      </c>
      <c r="U27" s="89">
        <f t="shared" si="4"/>
        <v>46155</v>
      </c>
      <c r="V27" s="90">
        <v>31</v>
      </c>
      <c r="W27" s="88">
        <v>0.72916666666666663</v>
      </c>
      <c r="X27" s="87">
        <v>562</v>
      </c>
    </row>
    <row r="28" spans="2:24" ht="15.75" thickBot="1" x14ac:dyDescent="0.3">
      <c r="B28" s="89">
        <v>46156</v>
      </c>
      <c r="D28" s="170">
        <v>102</v>
      </c>
      <c r="E28" s="88">
        <v>0.55208333333333337</v>
      </c>
      <c r="F28" s="87">
        <v>1251</v>
      </c>
      <c r="G28" s="92">
        <f t="shared" si="0"/>
        <v>783</v>
      </c>
      <c r="H28" s="87">
        <v>468</v>
      </c>
      <c r="I28" s="89">
        <f t="shared" si="1"/>
        <v>46156</v>
      </c>
      <c r="J28" s="90">
        <v>32</v>
      </c>
      <c r="K28" s="88">
        <v>8.3333333333333329E-2</v>
      </c>
      <c r="L28" s="87">
        <v>607</v>
      </c>
      <c r="M28" s="89">
        <f t="shared" si="2"/>
        <v>46156</v>
      </c>
      <c r="N28" s="90">
        <v>23</v>
      </c>
      <c r="O28" s="88">
        <v>0.73958333333333337</v>
      </c>
      <c r="P28" s="90">
        <v>15</v>
      </c>
      <c r="Q28" s="88">
        <v>0.41666666666666669</v>
      </c>
      <c r="R28" s="91">
        <f t="shared" si="5"/>
        <v>576</v>
      </c>
      <c r="S28" s="87">
        <v>339</v>
      </c>
      <c r="T28" s="87">
        <v>237</v>
      </c>
      <c r="U28" s="89">
        <f t="shared" si="4"/>
        <v>46156</v>
      </c>
      <c r="V28" s="90">
        <v>31</v>
      </c>
      <c r="W28" s="88">
        <v>0.5625</v>
      </c>
      <c r="X28" s="87">
        <v>565</v>
      </c>
    </row>
    <row r="29" spans="2:24" ht="15.75" thickBot="1" x14ac:dyDescent="0.3">
      <c r="B29" s="89">
        <v>46157</v>
      </c>
      <c r="D29" s="170">
        <v>91</v>
      </c>
      <c r="E29" s="88">
        <v>0.55208333333333337</v>
      </c>
      <c r="F29" s="87">
        <v>924</v>
      </c>
      <c r="G29" s="92">
        <f t="shared" si="0"/>
        <v>545</v>
      </c>
      <c r="H29" s="87">
        <v>379</v>
      </c>
      <c r="I29" s="89">
        <f t="shared" si="1"/>
        <v>46157</v>
      </c>
      <c r="J29" s="90">
        <v>33</v>
      </c>
      <c r="K29" s="88">
        <v>0.375</v>
      </c>
      <c r="L29" s="87">
        <v>631</v>
      </c>
      <c r="M29" s="89">
        <f t="shared" si="2"/>
        <v>46157</v>
      </c>
      <c r="N29" s="90">
        <v>25</v>
      </c>
      <c r="O29" s="88">
        <v>0.47916666666666669</v>
      </c>
      <c r="P29" s="90">
        <v>15</v>
      </c>
      <c r="Q29" s="88">
        <v>0.57291666666666663</v>
      </c>
      <c r="R29" s="91">
        <f t="shared" si="5"/>
        <v>582</v>
      </c>
      <c r="S29" s="87">
        <v>340</v>
      </c>
      <c r="T29" s="87">
        <v>242</v>
      </c>
      <c r="U29" s="89">
        <f t="shared" si="4"/>
        <v>46157</v>
      </c>
      <c r="V29" s="90">
        <v>29</v>
      </c>
      <c r="W29" s="88">
        <v>0.72916666666666663</v>
      </c>
      <c r="X29" s="87">
        <v>564</v>
      </c>
    </row>
    <row r="30" spans="2:24" ht="15.75" thickBot="1" x14ac:dyDescent="0.3">
      <c r="B30" s="89">
        <v>46158</v>
      </c>
      <c r="D30" s="170">
        <v>71</v>
      </c>
      <c r="E30" s="88">
        <v>0.63541666666666663</v>
      </c>
      <c r="F30" s="87">
        <v>869</v>
      </c>
      <c r="G30" s="92">
        <f t="shared" si="0"/>
        <v>411</v>
      </c>
      <c r="H30" s="87">
        <v>458</v>
      </c>
      <c r="I30" s="89">
        <f t="shared" si="1"/>
        <v>46158</v>
      </c>
      <c r="J30" s="90">
        <v>30</v>
      </c>
      <c r="K30" s="88">
        <v>6.25E-2</v>
      </c>
      <c r="L30" s="87">
        <v>607</v>
      </c>
      <c r="M30" s="89">
        <f t="shared" si="2"/>
        <v>46158</v>
      </c>
      <c r="N30" s="90">
        <v>22</v>
      </c>
      <c r="O30" s="88">
        <v>0.35416666666666669</v>
      </c>
      <c r="P30" s="90">
        <v>12</v>
      </c>
      <c r="Q30" s="88">
        <v>0.5</v>
      </c>
      <c r="R30" s="91">
        <f t="shared" si="5"/>
        <v>502</v>
      </c>
      <c r="S30" s="87">
        <v>319</v>
      </c>
      <c r="T30" s="87">
        <v>183</v>
      </c>
      <c r="U30" s="89">
        <f t="shared" si="4"/>
        <v>46158</v>
      </c>
      <c r="V30" s="90">
        <v>28</v>
      </c>
      <c r="W30" s="88">
        <v>0.30208333333333331</v>
      </c>
      <c r="X30" s="87">
        <v>486</v>
      </c>
    </row>
    <row r="31" spans="2:24" ht="15.75" thickBot="1" x14ac:dyDescent="0.3">
      <c r="B31" s="89">
        <v>46159</v>
      </c>
      <c r="D31" s="170">
        <v>62</v>
      </c>
      <c r="E31" s="88">
        <v>0.85416666666666663</v>
      </c>
      <c r="F31" s="87">
        <v>756</v>
      </c>
      <c r="G31" s="92">
        <f t="shared" si="0"/>
        <v>319</v>
      </c>
      <c r="H31" s="87">
        <v>437</v>
      </c>
      <c r="I31" s="89">
        <f t="shared" si="1"/>
        <v>46159</v>
      </c>
      <c r="J31" s="90">
        <v>33</v>
      </c>
      <c r="K31" s="88">
        <v>0.77083333333333337</v>
      </c>
      <c r="L31" s="87">
        <v>593</v>
      </c>
      <c r="M31" s="89">
        <f t="shared" si="2"/>
        <v>46159</v>
      </c>
      <c r="N31" s="90">
        <v>21</v>
      </c>
      <c r="O31" s="88">
        <v>0.90625</v>
      </c>
      <c r="P31" s="90">
        <v>8</v>
      </c>
      <c r="Q31" s="88">
        <v>0.73958333333333337</v>
      </c>
      <c r="R31" s="91">
        <f t="shared" si="5"/>
        <v>480</v>
      </c>
      <c r="S31" s="87">
        <v>317</v>
      </c>
      <c r="T31" s="87">
        <v>163</v>
      </c>
      <c r="U31" s="89">
        <f t="shared" si="4"/>
        <v>46159</v>
      </c>
      <c r="V31" s="90">
        <v>28</v>
      </c>
      <c r="W31" s="88">
        <v>0</v>
      </c>
      <c r="X31" s="87">
        <v>464</v>
      </c>
    </row>
    <row r="32" spans="2:24" ht="15.75" thickBot="1" x14ac:dyDescent="0.3">
      <c r="B32" s="89">
        <v>46160</v>
      </c>
      <c r="D32" s="170">
        <v>100.08</v>
      </c>
      <c r="E32" s="88">
        <v>0.54166666666666663</v>
      </c>
      <c r="F32" s="87">
        <v>1308.0999999999999</v>
      </c>
      <c r="G32" s="92">
        <f t="shared" si="0"/>
        <v>814.3599999999999</v>
      </c>
      <c r="H32" s="87">
        <v>493.74</v>
      </c>
      <c r="I32" s="89">
        <f t="shared" si="1"/>
        <v>46160</v>
      </c>
      <c r="J32" s="90">
        <v>32.44</v>
      </c>
      <c r="K32" s="88">
        <v>0.36458333333333331</v>
      </c>
      <c r="L32" s="87">
        <v>641.72</v>
      </c>
      <c r="M32" s="89">
        <f t="shared" si="2"/>
        <v>46160</v>
      </c>
      <c r="N32" s="90">
        <v>22.68</v>
      </c>
      <c r="O32" s="88">
        <v>0.375</v>
      </c>
      <c r="P32" s="90">
        <v>15.46</v>
      </c>
      <c r="Q32" s="88">
        <v>0.73958333333333337</v>
      </c>
      <c r="R32" s="91">
        <f t="shared" si="5"/>
        <v>556.83000000000004</v>
      </c>
      <c r="S32" s="87">
        <v>334.43</v>
      </c>
      <c r="T32" s="87">
        <v>222.4</v>
      </c>
      <c r="U32" s="89">
        <f t="shared" si="4"/>
        <v>46160</v>
      </c>
      <c r="V32" s="90">
        <v>29.23</v>
      </c>
      <c r="W32" s="88">
        <v>0.29166666666666669</v>
      </c>
      <c r="X32" s="87">
        <v>510.62</v>
      </c>
    </row>
    <row r="33" spans="2:24" ht="15.75" thickBot="1" x14ac:dyDescent="0.3">
      <c r="B33" s="89">
        <v>46161</v>
      </c>
      <c r="D33" s="170">
        <v>139.46</v>
      </c>
      <c r="E33" s="171">
        <v>0.5</v>
      </c>
      <c r="F33" s="172">
        <v>1534.1</v>
      </c>
      <c r="G33" s="181">
        <f t="shared" si="0"/>
        <v>1009.81</v>
      </c>
      <c r="H33" s="172">
        <v>524.29</v>
      </c>
      <c r="I33" s="173">
        <f t="shared" si="1"/>
        <v>46161</v>
      </c>
      <c r="J33" s="170">
        <v>33.840000000000003</v>
      </c>
      <c r="K33" s="171">
        <v>19.149999999999999</v>
      </c>
      <c r="L33" s="172">
        <v>661.38</v>
      </c>
      <c r="M33" s="173">
        <f t="shared" si="2"/>
        <v>46161</v>
      </c>
      <c r="N33" s="170">
        <v>25.81</v>
      </c>
      <c r="O33" s="171">
        <v>0.45833333333333331</v>
      </c>
      <c r="P33" s="170">
        <v>13.48</v>
      </c>
      <c r="Q33" s="171">
        <v>0.47916666666666669</v>
      </c>
      <c r="R33" s="91">
        <f t="shared" si="5"/>
        <v>579.93000000000006</v>
      </c>
      <c r="S33" s="172">
        <v>341.44</v>
      </c>
      <c r="T33" s="172">
        <v>238.49</v>
      </c>
      <c r="U33" s="173">
        <f t="shared" si="4"/>
        <v>46161</v>
      </c>
      <c r="V33" s="170">
        <v>31.68</v>
      </c>
      <c r="W33" s="171">
        <v>0.4375</v>
      </c>
      <c r="X33" s="172">
        <v>587.34</v>
      </c>
    </row>
    <row r="34" spans="2:24" ht="15.75" thickBot="1" x14ac:dyDescent="0.3">
      <c r="B34" s="89">
        <v>46162</v>
      </c>
      <c r="D34" s="170">
        <v>105</v>
      </c>
      <c r="E34" s="88">
        <v>0.5625</v>
      </c>
      <c r="F34" s="87">
        <v>1290</v>
      </c>
      <c r="G34" s="92">
        <f t="shared" si="0"/>
        <v>835</v>
      </c>
      <c r="H34" s="87">
        <v>455</v>
      </c>
      <c r="I34" s="89">
        <f t="shared" si="1"/>
        <v>46162</v>
      </c>
      <c r="J34" s="90">
        <v>33</v>
      </c>
      <c r="K34" s="88">
        <v>0.70833333333333337</v>
      </c>
      <c r="L34" s="87">
        <v>630</v>
      </c>
      <c r="M34" s="89">
        <f t="shared" si="2"/>
        <v>46162</v>
      </c>
      <c r="N34" s="90">
        <v>23</v>
      </c>
      <c r="O34" s="88">
        <v>0.39583333333333331</v>
      </c>
      <c r="P34" s="90">
        <v>12</v>
      </c>
      <c r="Q34" s="88">
        <v>0.54166666666666663</v>
      </c>
      <c r="R34" s="91">
        <f t="shared" si="5"/>
        <v>568</v>
      </c>
      <c r="S34" s="87">
        <v>338</v>
      </c>
      <c r="T34" s="87">
        <v>230</v>
      </c>
      <c r="U34" s="89">
        <f t="shared" si="4"/>
        <v>46162</v>
      </c>
      <c r="V34" s="90">
        <v>29</v>
      </c>
      <c r="W34" s="88">
        <v>0.39583333333333331</v>
      </c>
      <c r="X34" s="87">
        <v>550</v>
      </c>
    </row>
    <row r="35" spans="2:24" ht="15.75" thickBot="1" x14ac:dyDescent="0.3">
      <c r="B35" s="89">
        <v>46163</v>
      </c>
      <c r="D35" s="170">
        <v>92</v>
      </c>
      <c r="E35" s="88">
        <v>0.60416666666666663</v>
      </c>
      <c r="F35" s="87">
        <v>805</v>
      </c>
      <c r="G35" s="92">
        <f t="shared" si="0"/>
        <v>355</v>
      </c>
      <c r="H35" s="87">
        <v>450</v>
      </c>
      <c r="I35" s="89">
        <f t="shared" si="1"/>
        <v>46163</v>
      </c>
      <c r="J35" s="90">
        <v>30</v>
      </c>
      <c r="K35" s="88">
        <v>0.77083333333333337</v>
      </c>
      <c r="L35" s="87">
        <v>618</v>
      </c>
      <c r="M35" s="89">
        <f t="shared" si="2"/>
        <v>46163</v>
      </c>
      <c r="N35" s="90">
        <v>21</v>
      </c>
      <c r="O35" s="88">
        <v>0.36458333333333331</v>
      </c>
      <c r="P35" s="90">
        <v>12</v>
      </c>
      <c r="Q35" s="88">
        <v>0.39583333333333331</v>
      </c>
      <c r="R35" s="91">
        <f t="shared" si="5"/>
        <v>548</v>
      </c>
      <c r="S35" s="87">
        <v>330</v>
      </c>
      <c r="T35" s="87">
        <v>218</v>
      </c>
      <c r="U35" s="89">
        <f t="shared" si="4"/>
        <v>46163</v>
      </c>
      <c r="V35" s="90">
        <v>29</v>
      </c>
      <c r="W35" s="88">
        <v>0.60416666666666663</v>
      </c>
      <c r="X35" s="87">
        <v>525</v>
      </c>
    </row>
    <row r="36" spans="2:24" ht="15.75" thickBot="1" x14ac:dyDescent="0.3">
      <c r="B36" s="89">
        <v>46164</v>
      </c>
      <c r="D36" s="170">
        <v>95</v>
      </c>
      <c r="E36" s="88">
        <v>0.54166666666666663</v>
      </c>
      <c r="F36" s="87">
        <v>1280</v>
      </c>
      <c r="G36" s="92">
        <f t="shared" si="0"/>
        <v>810</v>
      </c>
      <c r="H36" s="87">
        <v>470</v>
      </c>
      <c r="I36" s="89">
        <f t="shared" si="1"/>
        <v>46164</v>
      </c>
      <c r="J36" s="90">
        <v>32</v>
      </c>
      <c r="K36" s="88">
        <v>0.73958333333333337</v>
      </c>
      <c r="L36" s="87">
        <v>632</v>
      </c>
      <c r="M36" s="89">
        <f t="shared" si="2"/>
        <v>46164</v>
      </c>
      <c r="N36" s="90">
        <v>23</v>
      </c>
      <c r="O36" s="88">
        <v>0.375</v>
      </c>
      <c r="P36" s="90">
        <v>14</v>
      </c>
      <c r="Q36" s="88">
        <v>0.4375</v>
      </c>
      <c r="R36" s="91">
        <f t="shared" si="5"/>
        <v>567</v>
      </c>
      <c r="S36" s="87">
        <v>338</v>
      </c>
      <c r="T36" s="87">
        <v>229</v>
      </c>
      <c r="U36" s="89">
        <f t="shared" si="4"/>
        <v>46164</v>
      </c>
      <c r="V36" s="90">
        <v>30</v>
      </c>
      <c r="W36" s="88">
        <v>0.54166666666666663</v>
      </c>
      <c r="X36" s="87">
        <v>560</v>
      </c>
    </row>
    <row r="37" spans="2:24" ht="15.75" thickBot="1" x14ac:dyDescent="0.3">
      <c r="B37" s="89">
        <v>46165</v>
      </c>
      <c r="D37" s="170">
        <v>61</v>
      </c>
      <c r="E37" s="88">
        <v>4.1666666666666664E-2</v>
      </c>
      <c r="F37" s="87">
        <v>890</v>
      </c>
      <c r="G37" s="92">
        <f t="shared" si="0"/>
        <v>394</v>
      </c>
      <c r="H37" s="87">
        <v>496</v>
      </c>
      <c r="I37" s="89">
        <f t="shared" si="1"/>
        <v>46165</v>
      </c>
      <c r="J37" s="90">
        <v>37</v>
      </c>
      <c r="K37" s="88">
        <v>0.125</v>
      </c>
      <c r="L37" s="87">
        <v>631</v>
      </c>
      <c r="M37" s="89">
        <f t="shared" si="2"/>
        <v>46165</v>
      </c>
      <c r="N37" s="90">
        <v>19</v>
      </c>
      <c r="O37" s="88">
        <v>0.76041666666666663</v>
      </c>
      <c r="P37" s="90">
        <v>13</v>
      </c>
      <c r="Q37" s="88">
        <v>0.41666666666666669</v>
      </c>
      <c r="R37" s="91">
        <f t="shared" si="5"/>
        <v>526</v>
      </c>
      <c r="S37" s="87">
        <v>320</v>
      </c>
      <c r="T37" s="87">
        <v>206</v>
      </c>
      <c r="U37" s="89">
        <f t="shared" si="4"/>
        <v>46165</v>
      </c>
      <c r="V37" s="90">
        <v>31</v>
      </c>
      <c r="W37" s="88">
        <v>0.17708333333333334</v>
      </c>
      <c r="X37" s="87">
        <v>561</v>
      </c>
    </row>
    <row r="38" spans="2:24" ht="15.75" thickBot="1" x14ac:dyDescent="0.3">
      <c r="B38" s="89">
        <v>46166</v>
      </c>
      <c r="D38" s="170">
        <v>80.400000000000006</v>
      </c>
      <c r="E38" s="88">
        <v>0</v>
      </c>
      <c r="F38" s="87">
        <v>851.38</v>
      </c>
      <c r="G38" s="92">
        <f t="shared" si="0"/>
        <v>351.01</v>
      </c>
      <c r="H38" s="87">
        <v>500.37</v>
      </c>
      <c r="I38" s="89">
        <f t="shared" si="1"/>
        <v>46166</v>
      </c>
      <c r="J38" s="90">
        <v>33.53</v>
      </c>
      <c r="K38" s="88">
        <v>0.26041666666666669</v>
      </c>
      <c r="L38" s="87">
        <v>644.73</v>
      </c>
      <c r="M38" s="89">
        <f t="shared" si="2"/>
        <v>46166</v>
      </c>
      <c r="N38" s="90">
        <v>20.54</v>
      </c>
      <c r="O38" s="88">
        <v>0.77083333333333337</v>
      </c>
      <c r="P38" s="90">
        <v>9.93</v>
      </c>
      <c r="Q38" s="88">
        <v>0.41666666666666669</v>
      </c>
      <c r="R38" s="91">
        <f t="shared" si="5"/>
        <v>513.62</v>
      </c>
      <c r="S38" s="87">
        <v>316.36</v>
      </c>
      <c r="T38" s="87">
        <v>197.26</v>
      </c>
      <c r="U38" s="89">
        <f t="shared" si="4"/>
        <v>46166</v>
      </c>
      <c r="V38" s="90">
        <v>27.51</v>
      </c>
      <c r="W38" s="88">
        <v>0.96875</v>
      </c>
      <c r="X38" s="87">
        <v>560.12</v>
      </c>
    </row>
    <row r="39" spans="2:24" ht="15.75" thickBot="1" x14ac:dyDescent="0.3">
      <c r="B39" s="89">
        <v>46167</v>
      </c>
      <c r="D39" s="170">
        <v>85</v>
      </c>
      <c r="E39" s="88">
        <v>0.35416666666666669</v>
      </c>
      <c r="F39" s="87">
        <v>1200</v>
      </c>
      <c r="G39" s="92">
        <f t="shared" si="0"/>
        <v>683</v>
      </c>
      <c r="H39" s="87">
        <v>517</v>
      </c>
      <c r="I39" s="89">
        <f t="shared" si="1"/>
        <v>46167</v>
      </c>
      <c r="J39" s="90">
        <v>34</v>
      </c>
      <c r="K39" s="88">
        <v>2.0833333333333332E-2</v>
      </c>
      <c r="L39" s="87">
        <v>688</v>
      </c>
      <c r="M39" s="89">
        <f t="shared" si="2"/>
        <v>46167</v>
      </c>
      <c r="N39" s="90">
        <v>22</v>
      </c>
      <c r="O39" s="88">
        <v>0.86458333333333337</v>
      </c>
      <c r="P39" s="90">
        <v>15</v>
      </c>
      <c r="Q39" s="88">
        <v>0.54166666666666663</v>
      </c>
      <c r="R39" s="91">
        <f t="shared" si="5"/>
        <v>580</v>
      </c>
      <c r="S39" s="87">
        <v>338</v>
      </c>
      <c r="T39" s="87">
        <v>242</v>
      </c>
      <c r="U39" s="89">
        <f t="shared" si="4"/>
        <v>46167</v>
      </c>
      <c r="V39" s="90">
        <v>30</v>
      </c>
      <c r="W39" s="88">
        <v>0.84375</v>
      </c>
      <c r="X39" s="87">
        <v>518</v>
      </c>
    </row>
    <row r="40" spans="2:24" ht="15.75" thickBot="1" x14ac:dyDescent="0.3">
      <c r="B40" s="89">
        <v>46168</v>
      </c>
      <c r="D40" s="170">
        <v>107</v>
      </c>
      <c r="E40" s="171">
        <v>0.33333333333333331</v>
      </c>
      <c r="F40" s="172">
        <v>1248</v>
      </c>
      <c r="G40" s="92">
        <f t="shared" si="0"/>
        <v>734</v>
      </c>
      <c r="H40" s="172">
        <v>514</v>
      </c>
      <c r="I40" s="173">
        <f t="shared" si="1"/>
        <v>46168</v>
      </c>
      <c r="J40" s="170">
        <v>36</v>
      </c>
      <c r="K40" s="171">
        <v>0.28125</v>
      </c>
      <c r="L40" s="172">
        <v>658</v>
      </c>
      <c r="M40" s="173">
        <f t="shared" si="2"/>
        <v>46168</v>
      </c>
      <c r="N40" s="170">
        <v>25</v>
      </c>
      <c r="O40" s="171">
        <v>0.32291666666666669</v>
      </c>
      <c r="P40" s="170">
        <v>14</v>
      </c>
      <c r="Q40" s="171">
        <v>0.3125</v>
      </c>
      <c r="R40" s="91">
        <f t="shared" si="5"/>
        <v>579</v>
      </c>
      <c r="S40" s="172">
        <v>341</v>
      </c>
      <c r="T40" s="172">
        <v>238</v>
      </c>
      <c r="U40" s="173">
        <f t="shared" si="4"/>
        <v>46168</v>
      </c>
      <c r="V40" s="170">
        <v>31</v>
      </c>
      <c r="W40" s="171">
        <v>7.2916666666666671E-2</v>
      </c>
      <c r="X40" s="172">
        <v>541</v>
      </c>
    </row>
    <row r="41" spans="2:24" ht="15.75" thickBot="1" x14ac:dyDescent="0.3">
      <c r="B41" s="89">
        <v>46169</v>
      </c>
      <c r="D41" s="170">
        <v>149</v>
      </c>
      <c r="E41" s="88">
        <v>0.41666666666666669</v>
      </c>
      <c r="F41" s="87">
        <v>1363</v>
      </c>
      <c r="G41" s="92">
        <f t="shared" si="0"/>
        <v>848</v>
      </c>
      <c r="H41" s="87">
        <v>515</v>
      </c>
      <c r="I41" s="89">
        <f t="shared" si="1"/>
        <v>46169</v>
      </c>
      <c r="J41" s="90">
        <v>34</v>
      </c>
      <c r="K41" s="88">
        <v>0.3125</v>
      </c>
      <c r="L41" s="87">
        <v>663</v>
      </c>
      <c r="M41" s="89">
        <f t="shared" si="2"/>
        <v>46169</v>
      </c>
      <c r="N41" s="90">
        <v>22</v>
      </c>
      <c r="O41" s="88">
        <v>0.55208333333333337</v>
      </c>
      <c r="P41" s="90">
        <v>14</v>
      </c>
      <c r="Q41" s="88">
        <v>0.375</v>
      </c>
      <c r="R41" s="91">
        <f t="shared" si="5"/>
        <v>571</v>
      </c>
      <c r="S41" s="87">
        <v>340</v>
      </c>
      <c r="T41" s="87">
        <v>231</v>
      </c>
      <c r="U41" s="89">
        <f t="shared" si="4"/>
        <v>46169</v>
      </c>
      <c r="V41" s="90">
        <v>29</v>
      </c>
      <c r="W41" s="88">
        <v>0.55208333333333337</v>
      </c>
      <c r="X41" s="87">
        <v>545</v>
      </c>
    </row>
    <row r="42" spans="2:24" ht="15.75" thickBot="1" x14ac:dyDescent="0.3">
      <c r="B42" s="89">
        <v>46170</v>
      </c>
      <c r="D42" s="170">
        <v>110</v>
      </c>
      <c r="E42" s="88">
        <v>0.64583333333333337</v>
      </c>
      <c r="F42" s="87">
        <v>1378</v>
      </c>
      <c r="G42" s="92">
        <f t="shared" si="0"/>
        <v>855</v>
      </c>
      <c r="H42" s="87">
        <v>523</v>
      </c>
      <c r="I42" s="89">
        <f t="shared" si="1"/>
        <v>46170</v>
      </c>
      <c r="J42" s="90">
        <v>33</v>
      </c>
      <c r="K42" s="88">
        <v>0.15625</v>
      </c>
      <c r="L42" s="87">
        <v>659</v>
      </c>
      <c r="M42" s="89">
        <f t="shared" si="2"/>
        <v>46170</v>
      </c>
      <c r="N42" s="90">
        <v>24</v>
      </c>
      <c r="O42" s="88">
        <v>0.77083333333333337</v>
      </c>
      <c r="P42" s="90">
        <v>15</v>
      </c>
      <c r="Q42" s="88">
        <v>0.40625</v>
      </c>
      <c r="R42" s="91">
        <f t="shared" si="5"/>
        <v>573</v>
      </c>
      <c r="S42" s="87">
        <v>338</v>
      </c>
      <c r="T42" s="87">
        <v>235</v>
      </c>
      <c r="U42" s="89">
        <f t="shared" si="4"/>
        <v>46170</v>
      </c>
      <c r="V42" s="90">
        <v>29</v>
      </c>
      <c r="W42" s="88">
        <v>0.72916666666666663</v>
      </c>
      <c r="X42" s="87">
        <v>509</v>
      </c>
    </row>
    <row r="43" spans="2:24" ht="15.75" thickBot="1" x14ac:dyDescent="0.3">
      <c r="B43" s="89">
        <v>46171</v>
      </c>
      <c r="D43" s="170"/>
      <c r="E43" s="88"/>
      <c r="F43" s="87"/>
      <c r="G43" s="92">
        <f t="shared" si="0"/>
        <v>0</v>
      </c>
      <c r="H43" s="87"/>
      <c r="I43" s="89">
        <f t="shared" si="1"/>
        <v>46171</v>
      </c>
      <c r="J43" s="90"/>
      <c r="K43" s="88"/>
      <c r="L43" s="87"/>
      <c r="M43" s="173">
        <f t="shared" si="2"/>
        <v>46171</v>
      </c>
      <c r="N43" s="90"/>
      <c r="O43" s="88"/>
      <c r="P43" s="90"/>
      <c r="Q43" s="88"/>
      <c r="R43" s="91">
        <f t="shared" si="5"/>
        <v>0</v>
      </c>
      <c r="S43" s="87"/>
      <c r="T43" s="87"/>
      <c r="U43" s="89">
        <f t="shared" si="4"/>
        <v>46171</v>
      </c>
      <c r="V43" s="90"/>
      <c r="W43" s="88"/>
      <c r="X43" s="87"/>
    </row>
    <row r="44" spans="2:24" ht="15.75" thickBot="1" x14ac:dyDescent="0.3">
      <c r="B44" s="89">
        <v>46172</v>
      </c>
      <c r="D44" s="170">
        <v>54</v>
      </c>
      <c r="E44" s="88">
        <v>0.57291666666666663</v>
      </c>
      <c r="F44" s="87">
        <v>841</v>
      </c>
      <c r="G44" s="92">
        <f t="shared" si="0"/>
        <v>394</v>
      </c>
      <c r="H44" s="87">
        <v>447</v>
      </c>
      <c r="I44" s="89">
        <f t="shared" si="1"/>
        <v>46172</v>
      </c>
      <c r="J44" s="90">
        <v>33</v>
      </c>
      <c r="K44" s="88">
        <v>0.73958333333333337</v>
      </c>
      <c r="L44" s="87">
        <v>618</v>
      </c>
      <c r="M44" s="89">
        <f t="shared" si="2"/>
        <v>46172</v>
      </c>
      <c r="N44" s="90">
        <v>21</v>
      </c>
      <c r="O44" s="88">
        <v>0.44791666666666669</v>
      </c>
      <c r="P44" s="90">
        <v>12</v>
      </c>
      <c r="Q44" s="88">
        <v>0.40625</v>
      </c>
      <c r="R44" s="91">
        <f t="shared" si="5"/>
        <v>495</v>
      </c>
      <c r="S44" s="87">
        <v>319</v>
      </c>
      <c r="T44" s="87">
        <v>176</v>
      </c>
      <c r="U44" s="89">
        <f t="shared" si="4"/>
        <v>46172</v>
      </c>
      <c r="V44" s="90">
        <v>30</v>
      </c>
      <c r="W44" s="88">
        <v>0.48958333333333331</v>
      </c>
      <c r="X44" s="87">
        <v>568</v>
      </c>
    </row>
    <row r="45" spans="2:24" x14ac:dyDescent="0.25">
      <c r="B45" s="89">
        <v>46173</v>
      </c>
      <c r="D45" s="170">
        <v>87</v>
      </c>
      <c r="E45" s="171">
        <v>0.16666666666666666</v>
      </c>
      <c r="F45" s="172">
        <v>754</v>
      </c>
      <c r="G45" s="92">
        <f t="shared" si="0"/>
        <v>321</v>
      </c>
      <c r="H45" s="172">
        <v>433</v>
      </c>
      <c r="I45" s="89">
        <f t="shared" si="1"/>
        <v>46173</v>
      </c>
      <c r="J45" s="170">
        <v>35</v>
      </c>
      <c r="K45" s="171">
        <v>0.15625</v>
      </c>
      <c r="L45" s="172">
        <v>647</v>
      </c>
      <c r="M45" s="89">
        <f t="shared" ref="M45" si="6">B45</f>
        <v>46173</v>
      </c>
      <c r="N45" s="170">
        <v>21</v>
      </c>
      <c r="O45" s="171">
        <v>0.70833333333333337</v>
      </c>
      <c r="P45" s="170">
        <v>8</v>
      </c>
      <c r="Q45" s="171">
        <v>0.84375</v>
      </c>
      <c r="R45" s="91">
        <f t="shared" ref="R45" si="7">S45+T45</f>
        <v>475</v>
      </c>
      <c r="S45" s="172">
        <v>317</v>
      </c>
      <c r="T45" s="172">
        <v>158</v>
      </c>
      <c r="U45" s="89">
        <f t="shared" si="4"/>
        <v>46173</v>
      </c>
      <c r="V45" s="170">
        <v>29</v>
      </c>
      <c r="W45" s="171">
        <v>0.8125</v>
      </c>
      <c r="X45" s="172">
        <v>554</v>
      </c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 t="shared" ref="E48:E78" si="8">F14/J48</f>
        <v>0.43375127075567604</v>
      </c>
      <c r="F48" s="177">
        <f t="shared" ref="F48:F78" si="9">L14/J48</f>
        <v>0.19620467638088784</v>
      </c>
      <c r="G48" s="177">
        <f t="shared" ref="G48:G78" si="10">S14/J48</f>
        <v>0.11758725855642155</v>
      </c>
      <c r="H48" s="177">
        <f t="shared" ref="H48:H78" si="11">T14/J48</f>
        <v>8.2683835987800741E-2</v>
      </c>
      <c r="I48" s="177">
        <f t="shared" ref="I48:I78" si="12">X14/J48</f>
        <v>0.16977295831921382</v>
      </c>
      <c r="J48" s="178">
        <f>F14+L14+S14+T14+X14</f>
        <v>2951</v>
      </c>
    </row>
    <row r="49" spans="4:10" x14ac:dyDescent="0.25">
      <c r="D49" s="179">
        <v>45839</v>
      </c>
      <c r="E49" s="177">
        <f t="shared" si="8"/>
        <v>0.31139983235540653</v>
      </c>
      <c r="F49" s="177">
        <f t="shared" si="9"/>
        <v>0.2539815590947192</v>
      </c>
      <c r="G49" s="177">
        <f t="shared" si="10"/>
        <v>0.13746856663872589</v>
      </c>
      <c r="H49" s="177">
        <f t="shared" si="11"/>
        <v>8.8432523051131598E-2</v>
      </c>
      <c r="I49" s="177">
        <f t="shared" si="12"/>
        <v>0.20871751886001677</v>
      </c>
      <c r="J49" s="178">
        <f t="shared" ref="J49:J78" si="13">F15+L15+S15+T15+X15</f>
        <v>2386</v>
      </c>
    </row>
    <row r="50" spans="4:10" x14ac:dyDescent="0.25">
      <c r="D50" s="179">
        <v>45840</v>
      </c>
      <c r="E50" s="177">
        <f t="shared" si="8"/>
        <v>0.32574503311258279</v>
      </c>
      <c r="F50" s="177">
        <f t="shared" si="9"/>
        <v>0.24834437086092714</v>
      </c>
      <c r="G50" s="177">
        <f t="shared" si="10"/>
        <v>0.13617549668874171</v>
      </c>
      <c r="H50" s="177">
        <f t="shared" si="11"/>
        <v>8.6506622516556289E-2</v>
      </c>
      <c r="I50" s="177">
        <f t="shared" si="12"/>
        <v>0.20322847682119205</v>
      </c>
      <c r="J50" s="178">
        <f t="shared" si="13"/>
        <v>2416</v>
      </c>
    </row>
    <row r="51" spans="4:10" x14ac:dyDescent="0.25">
      <c r="D51" s="179">
        <v>45841</v>
      </c>
      <c r="E51" s="177">
        <f t="shared" si="8"/>
        <v>0.3302207130730051</v>
      </c>
      <c r="F51" s="177">
        <f t="shared" si="9"/>
        <v>0.25424448217317486</v>
      </c>
      <c r="G51" s="177">
        <f t="shared" si="10"/>
        <v>0.13412563667232597</v>
      </c>
      <c r="H51" s="177">
        <f t="shared" si="11"/>
        <v>7.9371816638370118E-2</v>
      </c>
      <c r="I51" s="177">
        <f t="shared" si="12"/>
        <v>0.20203735144312393</v>
      </c>
      <c r="J51" s="178">
        <f t="shared" si="13"/>
        <v>2356</v>
      </c>
    </row>
    <row r="52" spans="4:10" x14ac:dyDescent="0.25">
      <c r="D52" s="179">
        <v>45842</v>
      </c>
      <c r="E52" s="177">
        <f t="shared" si="8"/>
        <v>0.42561983471074383</v>
      </c>
      <c r="F52" s="177">
        <f t="shared" si="9"/>
        <v>0.21074380165289255</v>
      </c>
      <c r="G52" s="177">
        <f t="shared" si="10"/>
        <v>0.11363636363636363</v>
      </c>
      <c r="H52" s="177">
        <f t="shared" si="11"/>
        <v>7.8168044077134985E-2</v>
      </c>
      <c r="I52" s="177">
        <f t="shared" si="12"/>
        <v>0.17183195592286502</v>
      </c>
      <c r="J52" s="178">
        <f t="shared" si="13"/>
        <v>2904</v>
      </c>
    </row>
    <row r="53" spans="4:10" x14ac:dyDescent="0.25">
      <c r="D53" s="179">
        <v>45843</v>
      </c>
      <c r="E53" s="177">
        <f t="shared" si="8"/>
        <v>0.40275908479138628</v>
      </c>
      <c r="F53" s="177">
        <f t="shared" si="9"/>
        <v>0.22274562584118437</v>
      </c>
      <c r="G53" s="177">
        <f t="shared" si="10"/>
        <v>0.11137281292059219</v>
      </c>
      <c r="H53" s="177">
        <f t="shared" si="11"/>
        <v>7.8734858681022882E-2</v>
      </c>
      <c r="I53" s="177">
        <f t="shared" si="12"/>
        <v>0.18438761776581428</v>
      </c>
      <c r="J53" s="178">
        <f t="shared" si="13"/>
        <v>2972</v>
      </c>
    </row>
    <row r="54" spans="4:10" x14ac:dyDescent="0.25">
      <c r="D54" s="179">
        <v>45844</v>
      </c>
      <c r="E54" s="177">
        <f t="shared" si="8"/>
        <v>0.43494340077453242</v>
      </c>
      <c r="F54" s="177">
        <f t="shared" si="9"/>
        <v>0.20282789965967515</v>
      </c>
      <c r="G54" s="177">
        <f t="shared" si="10"/>
        <v>0.10652833767329449</v>
      </c>
      <c r="H54" s="177">
        <f t="shared" si="11"/>
        <v>7.5372597030641919E-2</v>
      </c>
      <c r="I54" s="177">
        <f t="shared" si="12"/>
        <v>0.180327764861856</v>
      </c>
      <c r="J54" s="178">
        <f t="shared" si="13"/>
        <v>3152.87</v>
      </c>
    </row>
    <row r="55" spans="4:10" x14ac:dyDescent="0.25">
      <c r="D55" s="179">
        <v>45845</v>
      </c>
      <c r="E55" s="177">
        <f t="shared" si="8"/>
        <v>0.41661793306042505</v>
      </c>
      <c r="F55" s="177">
        <f t="shared" si="9"/>
        <v>0.21810782140379983</v>
      </c>
      <c r="G55" s="177">
        <f t="shared" si="10"/>
        <v>0.11390403786261201</v>
      </c>
      <c r="H55" s="177">
        <f t="shared" si="11"/>
        <v>7.9733846509540449E-2</v>
      </c>
      <c r="I55" s="177">
        <f t="shared" si="12"/>
        <v>0.17163636116362249</v>
      </c>
      <c r="J55" s="178">
        <f t="shared" si="13"/>
        <v>2941.1600000000003</v>
      </c>
    </row>
    <row r="56" spans="4:10" x14ac:dyDescent="0.25">
      <c r="D56" s="179">
        <v>45846</v>
      </c>
      <c r="E56" s="177">
        <f t="shared" si="8"/>
        <v>0.40292784942488674</v>
      </c>
      <c r="F56" s="177">
        <f t="shared" si="9"/>
        <v>0.21610317183687697</v>
      </c>
      <c r="G56" s="177">
        <f t="shared" si="10"/>
        <v>0.12094806552805856</v>
      </c>
      <c r="H56" s="177">
        <f t="shared" si="11"/>
        <v>8.0864412687347509E-2</v>
      </c>
      <c r="I56" s="177">
        <f t="shared" si="12"/>
        <v>0.17915650052283025</v>
      </c>
      <c r="J56" s="178">
        <f t="shared" si="13"/>
        <v>2869</v>
      </c>
    </row>
    <row r="57" spans="4:10" x14ac:dyDescent="0.25">
      <c r="D57" s="179">
        <v>45847</v>
      </c>
      <c r="E57" s="177">
        <f t="shared" si="8"/>
        <v>0.33733013589128696</v>
      </c>
      <c r="F57" s="177">
        <f t="shared" si="9"/>
        <v>0.24100719424460432</v>
      </c>
      <c r="G57" s="177">
        <f t="shared" si="10"/>
        <v>0.13189448441247004</v>
      </c>
      <c r="H57" s="177">
        <f t="shared" si="11"/>
        <v>8.0735411670663476E-2</v>
      </c>
      <c r="I57" s="177">
        <f t="shared" si="12"/>
        <v>0.20903277378097521</v>
      </c>
      <c r="J57" s="178">
        <f t="shared" si="13"/>
        <v>2502</v>
      </c>
    </row>
    <row r="58" spans="4:10" x14ac:dyDescent="0.25">
      <c r="D58" s="179">
        <v>45848</v>
      </c>
      <c r="E58" s="177">
        <f t="shared" si="8"/>
        <v>0.32343096234309621</v>
      </c>
      <c r="F58" s="177">
        <f t="shared" si="9"/>
        <v>0.2615062761506276</v>
      </c>
      <c r="G58" s="177">
        <f t="shared" si="10"/>
        <v>0.13389121338912133</v>
      </c>
      <c r="H58" s="177">
        <f t="shared" si="11"/>
        <v>7.4476987447698748E-2</v>
      </c>
      <c r="I58" s="177">
        <f t="shared" si="12"/>
        <v>0.20669456066945607</v>
      </c>
      <c r="J58" s="178">
        <f t="shared" si="13"/>
        <v>2390</v>
      </c>
    </row>
    <row r="59" spans="4:10" x14ac:dyDescent="0.25">
      <c r="D59" s="179">
        <v>45849</v>
      </c>
      <c r="E59" s="177">
        <f t="shared" si="8"/>
        <v>0.41089743589743588</v>
      </c>
      <c r="F59" s="177">
        <f t="shared" si="9"/>
        <v>0.2092948717948718</v>
      </c>
      <c r="G59" s="177">
        <f t="shared" si="10"/>
        <v>0.11089743589743589</v>
      </c>
      <c r="H59" s="177">
        <f t="shared" si="11"/>
        <v>7.371794871794872E-2</v>
      </c>
      <c r="I59" s="177">
        <f t="shared" si="12"/>
        <v>0.19519230769230769</v>
      </c>
      <c r="J59" s="178">
        <f t="shared" si="13"/>
        <v>3120</v>
      </c>
    </row>
    <row r="60" spans="4:10" x14ac:dyDescent="0.25">
      <c r="D60" s="179">
        <v>45850</v>
      </c>
      <c r="E60" s="177">
        <f t="shared" si="8"/>
        <v>0.4185742315238718</v>
      </c>
      <c r="F60" s="177">
        <f t="shared" si="9"/>
        <v>0.21092217135382604</v>
      </c>
      <c r="G60" s="177">
        <f t="shared" si="10"/>
        <v>0.11118378024852844</v>
      </c>
      <c r="H60" s="177">
        <f t="shared" si="11"/>
        <v>7.3577501635055595E-2</v>
      </c>
      <c r="I60" s="177">
        <f t="shared" si="12"/>
        <v>0.18574231523871812</v>
      </c>
      <c r="J60" s="178">
        <f t="shared" si="13"/>
        <v>3058</v>
      </c>
    </row>
    <row r="61" spans="4:10" x14ac:dyDescent="0.25">
      <c r="D61" s="179">
        <v>45851</v>
      </c>
      <c r="E61" s="177">
        <f t="shared" si="8"/>
        <v>0.41873368146214102</v>
      </c>
      <c r="F61" s="177">
        <f t="shared" si="9"/>
        <v>0.20920365535248042</v>
      </c>
      <c r="G61" s="177">
        <f t="shared" si="10"/>
        <v>0.11161879895561358</v>
      </c>
      <c r="H61" s="177">
        <f t="shared" si="11"/>
        <v>7.7023498694516968E-2</v>
      </c>
      <c r="I61" s="177">
        <f t="shared" si="12"/>
        <v>0.18342036553524804</v>
      </c>
      <c r="J61" s="178">
        <f t="shared" si="13"/>
        <v>3064</v>
      </c>
    </row>
    <row r="62" spans="4:10" x14ac:dyDescent="0.25">
      <c r="D62" s="179">
        <v>45852</v>
      </c>
      <c r="E62" s="177">
        <f t="shared" si="8"/>
        <v>0.4171390463487829</v>
      </c>
      <c r="F62" s="177">
        <f t="shared" si="9"/>
        <v>0.20240080026675558</v>
      </c>
      <c r="G62" s="177">
        <f t="shared" si="10"/>
        <v>0.1130376792264088</v>
      </c>
      <c r="H62" s="177">
        <f t="shared" si="11"/>
        <v>7.9026342114038015E-2</v>
      </c>
      <c r="I62" s="177">
        <f t="shared" si="12"/>
        <v>0.18839613204401467</v>
      </c>
      <c r="J62" s="178">
        <f t="shared" si="13"/>
        <v>2999</v>
      </c>
    </row>
    <row r="63" spans="4:10" x14ac:dyDescent="0.25">
      <c r="D63" s="179">
        <v>45853</v>
      </c>
      <c r="E63" s="177">
        <f t="shared" si="8"/>
        <v>0.34209552017771194</v>
      </c>
      <c r="F63" s="177">
        <f t="shared" si="9"/>
        <v>0.23361717882265828</v>
      </c>
      <c r="G63" s="177">
        <f t="shared" si="10"/>
        <v>0.12587930396149574</v>
      </c>
      <c r="H63" s="177">
        <f t="shared" si="11"/>
        <v>8.9596445760829327E-2</v>
      </c>
      <c r="I63" s="177">
        <f t="shared" si="12"/>
        <v>0.20881155127730469</v>
      </c>
      <c r="J63" s="178">
        <f t="shared" si="13"/>
        <v>2701</v>
      </c>
    </row>
    <row r="64" spans="4:10" x14ac:dyDescent="0.25">
      <c r="D64" s="179">
        <v>45854</v>
      </c>
      <c r="E64" s="177">
        <f t="shared" si="8"/>
        <v>0.35267857142857145</v>
      </c>
      <c r="F64" s="177">
        <f t="shared" si="9"/>
        <v>0.24634740259740259</v>
      </c>
      <c r="G64" s="177">
        <f t="shared" si="10"/>
        <v>0.12946428571428573</v>
      </c>
      <c r="H64" s="177">
        <f t="shared" si="11"/>
        <v>7.4269480519480513E-2</v>
      </c>
      <c r="I64" s="177">
        <f t="shared" si="12"/>
        <v>0.19724025974025974</v>
      </c>
      <c r="J64" s="178">
        <f t="shared" si="13"/>
        <v>2464</v>
      </c>
    </row>
    <row r="65" spans="4:10" x14ac:dyDescent="0.25">
      <c r="D65" s="179">
        <v>45855</v>
      </c>
      <c r="E65" s="177">
        <f t="shared" si="8"/>
        <v>0.32969908416921062</v>
      </c>
      <c r="F65" s="177">
        <f t="shared" si="9"/>
        <v>0.25861317051897076</v>
      </c>
      <c r="G65" s="177">
        <f t="shared" si="10"/>
        <v>0.13824683820322722</v>
      </c>
      <c r="H65" s="177">
        <f t="shared" si="11"/>
        <v>7.1085913650239863E-2</v>
      </c>
      <c r="I65" s="177">
        <f t="shared" si="12"/>
        <v>0.20235499345835151</v>
      </c>
      <c r="J65" s="178">
        <f t="shared" si="13"/>
        <v>2293</v>
      </c>
    </row>
    <row r="66" spans="4:10" x14ac:dyDescent="0.25">
      <c r="D66" s="179">
        <v>45856</v>
      </c>
      <c r="E66" s="177">
        <f t="shared" si="8"/>
        <v>0.43353760187189078</v>
      </c>
      <c r="F66" s="177">
        <f t="shared" si="9"/>
        <v>0.21268232541337037</v>
      </c>
      <c r="G66" s="177">
        <f t="shared" si="10"/>
        <v>0.11083860575951109</v>
      </c>
      <c r="H66" s="177">
        <f t="shared" si="11"/>
        <v>7.3709015103056733E-2</v>
      </c>
      <c r="I66" s="177">
        <f t="shared" si="12"/>
        <v>0.16923245185217101</v>
      </c>
      <c r="J66" s="178">
        <f t="shared" si="13"/>
        <v>3017.27</v>
      </c>
    </row>
    <row r="67" spans="4:10" x14ac:dyDescent="0.25">
      <c r="D67" s="179">
        <v>45857</v>
      </c>
      <c r="E67" s="177">
        <f t="shared" si="8"/>
        <v>0.45620399970262432</v>
      </c>
      <c r="F67" s="177">
        <f t="shared" si="9"/>
        <v>0.19667831388000892</v>
      </c>
      <c r="G67" s="177">
        <f t="shared" si="10"/>
        <v>0.1015359452828786</v>
      </c>
      <c r="H67" s="177">
        <f t="shared" si="11"/>
        <v>7.0921121106237453E-2</v>
      </c>
      <c r="I67" s="177">
        <f t="shared" si="12"/>
        <v>0.1746606200282507</v>
      </c>
      <c r="J67" s="178">
        <f t="shared" si="13"/>
        <v>3362.75</v>
      </c>
    </row>
    <row r="68" spans="4:10" x14ac:dyDescent="0.25">
      <c r="D68" s="179">
        <v>45858</v>
      </c>
      <c r="E68" s="177">
        <f t="shared" si="8"/>
        <v>0.42462146148782093</v>
      </c>
      <c r="F68" s="177">
        <f t="shared" si="9"/>
        <v>0.20737327188940091</v>
      </c>
      <c r="G68" s="177">
        <f t="shared" si="10"/>
        <v>0.11125740618828177</v>
      </c>
      <c r="H68" s="177">
        <f t="shared" si="11"/>
        <v>7.570770243581304E-2</v>
      </c>
      <c r="I68" s="177">
        <f t="shared" si="12"/>
        <v>0.18104015799868334</v>
      </c>
      <c r="J68" s="178">
        <f t="shared" si="13"/>
        <v>3038</v>
      </c>
    </row>
    <row r="69" spans="4:10" x14ac:dyDescent="0.25">
      <c r="D69" s="179">
        <v>45859</v>
      </c>
      <c r="E69" s="177">
        <f t="shared" si="8"/>
        <v>0.32251602564102566</v>
      </c>
      <c r="F69" s="177">
        <f t="shared" si="9"/>
        <v>0.24759615384615385</v>
      </c>
      <c r="G69" s="177">
        <f t="shared" si="10"/>
        <v>0.13221153846153846</v>
      </c>
      <c r="H69" s="177">
        <f t="shared" si="11"/>
        <v>8.7339743589743585E-2</v>
      </c>
      <c r="I69" s="177">
        <f t="shared" si="12"/>
        <v>0.21033653846153846</v>
      </c>
      <c r="J69" s="178">
        <f t="shared" si="13"/>
        <v>2496</v>
      </c>
    </row>
    <row r="70" spans="4:10" x14ac:dyDescent="0.25">
      <c r="D70" s="179">
        <v>45860</v>
      </c>
      <c r="E70" s="177">
        <f t="shared" si="8"/>
        <v>0.42119118130964134</v>
      </c>
      <c r="F70" s="177">
        <f t="shared" si="9"/>
        <v>0.20796314577163541</v>
      </c>
      <c r="G70" s="177">
        <f t="shared" si="10"/>
        <v>0.11122079631457717</v>
      </c>
      <c r="H70" s="177">
        <f t="shared" si="11"/>
        <v>7.5353734781178017E-2</v>
      </c>
      <c r="I70" s="177">
        <f t="shared" si="12"/>
        <v>0.18427114182296808</v>
      </c>
      <c r="J70" s="178">
        <f t="shared" si="13"/>
        <v>3039</v>
      </c>
    </row>
    <row r="71" spans="4:10" x14ac:dyDescent="0.25">
      <c r="D71" s="179">
        <v>45861</v>
      </c>
      <c r="E71" s="177">
        <f t="shared" si="8"/>
        <v>0.34125766871165641</v>
      </c>
      <c r="F71" s="177">
        <f t="shared" si="9"/>
        <v>0.24194785276073619</v>
      </c>
      <c r="G71" s="177">
        <f t="shared" si="10"/>
        <v>0.12269938650306748</v>
      </c>
      <c r="H71" s="177">
        <f t="shared" si="11"/>
        <v>7.8987730061349695E-2</v>
      </c>
      <c r="I71" s="177">
        <f t="shared" si="12"/>
        <v>0.21510736196319019</v>
      </c>
      <c r="J71" s="178">
        <f t="shared" si="13"/>
        <v>2608</v>
      </c>
    </row>
    <row r="72" spans="4:10" x14ac:dyDescent="0.25">
      <c r="D72" s="179">
        <v>45862</v>
      </c>
      <c r="E72" s="177">
        <f t="shared" si="8"/>
        <v>0.33129560091055893</v>
      </c>
      <c r="F72" s="177">
        <f t="shared" si="9"/>
        <v>0.25088234721870922</v>
      </c>
      <c r="G72" s="177">
        <f t="shared" si="10"/>
        <v>0.12310446134988422</v>
      </c>
      <c r="H72" s="177">
        <f t="shared" si="11"/>
        <v>7.6759343930579593E-2</v>
      </c>
      <c r="I72" s="177">
        <f t="shared" si="12"/>
        <v>0.21795824659026788</v>
      </c>
      <c r="J72" s="178">
        <f t="shared" si="13"/>
        <v>2569.8500000000004</v>
      </c>
    </row>
    <row r="73" spans="4:10" x14ac:dyDescent="0.25">
      <c r="D73" s="179">
        <v>45863</v>
      </c>
      <c r="E73" s="177">
        <f t="shared" si="8"/>
        <v>0.40187541862022774</v>
      </c>
      <c r="F73" s="177">
        <f t="shared" si="9"/>
        <v>0.23040857334226389</v>
      </c>
      <c r="G73" s="177">
        <f t="shared" si="10"/>
        <v>0.11319490957803081</v>
      </c>
      <c r="H73" s="177">
        <f t="shared" si="11"/>
        <v>8.1044876088412598E-2</v>
      </c>
      <c r="I73" s="177">
        <f t="shared" si="12"/>
        <v>0.17347622237106497</v>
      </c>
      <c r="J73" s="178">
        <f t="shared" si="13"/>
        <v>2986</v>
      </c>
    </row>
    <row r="74" spans="4:10" x14ac:dyDescent="0.25">
      <c r="D74" s="179">
        <v>45864</v>
      </c>
      <c r="E74" s="177">
        <f t="shared" si="8"/>
        <v>0.4124256444150694</v>
      </c>
      <c r="F74" s="177">
        <f t="shared" si="9"/>
        <v>0.21744877726371448</v>
      </c>
      <c r="G74" s="177">
        <f t="shared" si="10"/>
        <v>0.11269001982815598</v>
      </c>
      <c r="H74" s="177">
        <f t="shared" si="11"/>
        <v>7.8651685393258425E-2</v>
      </c>
      <c r="I74" s="177">
        <f t="shared" si="12"/>
        <v>0.17878387309980173</v>
      </c>
      <c r="J74" s="178">
        <f t="shared" si="13"/>
        <v>3026</v>
      </c>
    </row>
    <row r="75" spans="4:10" x14ac:dyDescent="0.25">
      <c r="D75" s="179">
        <v>45865</v>
      </c>
      <c r="E75" s="177">
        <f t="shared" si="8"/>
        <v>0.43380012730744749</v>
      </c>
      <c r="F75" s="177">
        <f t="shared" si="9"/>
        <v>0.21101209420751113</v>
      </c>
      <c r="G75" s="177">
        <f t="shared" si="10"/>
        <v>0.10821133036282622</v>
      </c>
      <c r="H75" s="177">
        <f t="shared" si="11"/>
        <v>7.3520050922978988E-2</v>
      </c>
      <c r="I75" s="177">
        <f t="shared" si="12"/>
        <v>0.17345639719923617</v>
      </c>
      <c r="J75" s="178">
        <f t="shared" si="13"/>
        <v>3142</v>
      </c>
    </row>
    <row r="76" spans="4:10" x14ac:dyDescent="0.25">
      <c r="D76" s="179">
        <v>45866</v>
      </c>
      <c r="E76" s="177">
        <f t="shared" si="8"/>
        <v>0.44180827188201349</v>
      </c>
      <c r="F76" s="177">
        <f t="shared" si="9"/>
        <v>0.21128566848348829</v>
      </c>
      <c r="G76" s="177">
        <f t="shared" si="10"/>
        <v>0.10836806668804104</v>
      </c>
      <c r="H76" s="177">
        <f t="shared" si="11"/>
        <v>7.5344661750561079E-2</v>
      </c>
      <c r="I76" s="177">
        <f t="shared" si="12"/>
        <v>0.16319333119589613</v>
      </c>
      <c r="J76" s="178">
        <f t="shared" si="13"/>
        <v>3119</v>
      </c>
    </row>
    <row r="77" spans="4:10" x14ac:dyDescent="0.25">
      <c r="D77" s="179">
        <v>45867</v>
      </c>
      <c r="E77" s="177" t="e">
        <f t="shared" si="8"/>
        <v>#DIV/0!</v>
      </c>
      <c r="F77" s="177" t="e">
        <f t="shared" si="9"/>
        <v>#DIV/0!</v>
      </c>
      <c r="G77" s="177" t="e">
        <f t="shared" si="10"/>
        <v>#DIV/0!</v>
      </c>
      <c r="H77" s="177" t="e">
        <f t="shared" si="11"/>
        <v>#DIV/0!</v>
      </c>
      <c r="I77" s="177" t="e">
        <f t="shared" si="12"/>
        <v>#DIV/0!</v>
      </c>
      <c r="J77" s="178">
        <f t="shared" si="13"/>
        <v>0</v>
      </c>
    </row>
    <row r="78" spans="4:10" x14ac:dyDescent="0.25">
      <c r="D78" s="179">
        <v>45868</v>
      </c>
      <c r="E78" s="177">
        <f t="shared" si="8"/>
        <v>0.33346550356859633</v>
      </c>
      <c r="F78" s="177">
        <f t="shared" si="9"/>
        <v>0.24504361617763679</v>
      </c>
      <c r="G78" s="177">
        <f t="shared" si="10"/>
        <v>0.12648691514670896</v>
      </c>
      <c r="H78" s="177">
        <f t="shared" si="11"/>
        <v>6.9785884218873911E-2</v>
      </c>
      <c r="I78" s="177">
        <f t="shared" si="12"/>
        <v>0.22521808088818399</v>
      </c>
      <c r="J78" s="178">
        <f t="shared" si="13"/>
        <v>2522</v>
      </c>
    </row>
    <row r="79" spans="4:10" x14ac:dyDescent="0.25">
      <c r="D79" s="179">
        <v>45869</v>
      </c>
      <c r="E79" s="177">
        <f t="shared" ref="E79" si="14">F45/J79</f>
        <v>0.3102880658436214</v>
      </c>
      <c r="F79" s="177">
        <f t="shared" ref="F79" si="15">L45/J79</f>
        <v>0.26625514403292183</v>
      </c>
      <c r="G79" s="177">
        <f t="shared" ref="G79" si="16">S45/J79</f>
        <v>0.13045267489711934</v>
      </c>
      <c r="H79" s="177">
        <f t="shared" ref="H79" si="17">T45/J79</f>
        <v>6.5020576131687241E-2</v>
      </c>
      <c r="I79" s="177">
        <f t="shared" ref="I79" si="18">X45/J79</f>
        <v>0.22798353909465022</v>
      </c>
      <c r="J79" s="178">
        <f t="shared" ref="J79" si="19">F45+L45+S45+T45+X45</f>
        <v>2430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94" priority="300" operator="equal">
      <formula>MAX($L$14:$L$16)</formula>
    </cfRule>
  </conditionalFormatting>
  <conditionalFormatting sqref="T16:T19 T27:T32 T21:T25 T41:T43 T34:T39">
    <cfRule type="cellIs" dxfId="93" priority="301" operator="equal">
      <formula>MAX($T$14:$T$16)</formula>
    </cfRule>
  </conditionalFormatting>
  <conditionalFormatting sqref="X16:X19 X27:X32 X21:X25 X41:X43 X34:X39">
    <cfRule type="cellIs" dxfId="92" priority="302" operator="equal">
      <formula>MAX($X$14:$X$16)</formula>
    </cfRule>
  </conditionalFormatting>
  <conditionalFormatting sqref="J16:J19 J27:J32 J21:J25 J41:J42 J34:J39">
    <cfRule type="cellIs" dxfId="91" priority="303" operator="equal">
      <formula>MAX($J$14:$J$16)</formula>
    </cfRule>
  </conditionalFormatting>
  <conditionalFormatting sqref="V16:V19 V27:V32 V21:V23 V41:V43 V34:V39">
    <cfRule type="cellIs" dxfId="90" priority="304" operator="equal">
      <formula>MAX($V$14:$V$16)</formula>
    </cfRule>
  </conditionalFormatting>
  <conditionalFormatting sqref="D16:D19">
    <cfRule type="cellIs" dxfId="89" priority="305" operator="equal">
      <formula>MAX($D$14:$D$16)</formula>
    </cfRule>
  </conditionalFormatting>
  <conditionalFormatting sqref="S16:S19 S27:S32 S21:S25 S41:S43 S34:S39">
    <cfRule type="cellIs" dxfId="88" priority="306" operator="equal">
      <formula>MAX($S$14:$S$16)</formula>
    </cfRule>
  </conditionalFormatting>
  <conditionalFormatting sqref="N16:N19 N27:N32 N21:N25 N41:N42 N34:N39">
    <cfRule type="cellIs" dxfId="87" priority="307" operator="equal">
      <formula>MAX($N$14:$N$16)</formula>
    </cfRule>
  </conditionalFormatting>
  <conditionalFormatting sqref="P16:P19 P27:P32 P21:P25 P41:P42 P39 P34:P37">
    <cfRule type="cellIs" dxfId="86" priority="308" operator="equal">
      <formula>MAX($P$14:$P$16)</formula>
    </cfRule>
  </conditionalFormatting>
  <conditionalFormatting sqref="L26">
    <cfRule type="cellIs" dxfId="85" priority="232" operator="equal">
      <formula>MAX($L$14:$L$16)</formula>
    </cfRule>
  </conditionalFormatting>
  <conditionalFormatting sqref="T26">
    <cfRule type="cellIs" dxfId="84" priority="233" operator="equal">
      <formula>MAX($T$14:$T$16)</formula>
    </cfRule>
  </conditionalFormatting>
  <conditionalFormatting sqref="X26">
    <cfRule type="cellIs" dxfId="83" priority="234" operator="equal">
      <formula>MAX($X$14:$X$16)</formula>
    </cfRule>
  </conditionalFormatting>
  <conditionalFormatting sqref="J26">
    <cfRule type="cellIs" dxfId="82" priority="235" operator="equal">
      <formula>MAX($J$14:$J$16)</formula>
    </cfRule>
  </conditionalFormatting>
  <conditionalFormatting sqref="V26">
    <cfRule type="cellIs" dxfId="81" priority="236" operator="equal">
      <formula>MAX($V$14:$V$16)</formula>
    </cfRule>
  </conditionalFormatting>
  <conditionalFormatting sqref="S26">
    <cfRule type="cellIs" dxfId="80" priority="238" operator="equal">
      <formula>MAX($S$14:$S$16)</formula>
    </cfRule>
  </conditionalFormatting>
  <conditionalFormatting sqref="N26">
    <cfRule type="cellIs" dxfId="79" priority="239" operator="equal">
      <formula>MAX($N$14:$N$16)</formula>
    </cfRule>
  </conditionalFormatting>
  <conditionalFormatting sqref="P26">
    <cfRule type="cellIs" dxfId="78" priority="240" operator="equal">
      <formula>MAX($P$14:$P$16)</formula>
    </cfRule>
  </conditionalFormatting>
  <conditionalFormatting sqref="L40">
    <cfRule type="cellIs" dxfId="77" priority="222" operator="equal">
      <formula>MAX($L$14:$L$16)</formula>
    </cfRule>
  </conditionalFormatting>
  <conditionalFormatting sqref="T40">
    <cfRule type="cellIs" dxfId="76" priority="223" operator="equal">
      <formula>MAX($T$14:$T$16)</formula>
    </cfRule>
  </conditionalFormatting>
  <conditionalFormatting sqref="X40">
    <cfRule type="cellIs" dxfId="75" priority="224" operator="equal">
      <formula>MAX($X$14:$X$16)</formula>
    </cfRule>
  </conditionalFormatting>
  <conditionalFormatting sqref="J40">
    <cfRule type="cellIs" dxfId="74" priority="225" operator="equal">
      <formula>MAX($J$14:$J$16)</formula>
    </cfRule>
  </conditionalFormatting>
  <conditionalFormatting sqref="V40">
    <cfRule type="cellIs" dxfId="73" priority="226" operator="equal">
      <formula>MAX($V$14:$V$16)</formula>
    </cfRule>
  </conditionalFormatting>
  <conditionalFormatting sqref="S40">
    <cfRule type="cellIs" dxfId="72" priority="228" operator="equal">
      <formula>MAX($S$14:$S$16)</formula>
    </cfRule>
  </conditionalFormatting>
  <conditionalFormatting sqref="N40">
    <cfRule type="cellIs" dxfId="71" priority="229" operator="equal">
      <formula>MAX($N$14:$N$16)</formula>
    </cfRule>
  </conditionalFormatting>
  <conditionalFormatting sqref="P40">
    <cfRule type="cellIs" dxfId="70" priority="230" operator="equal">
      <formula>MAX($P$14:$P$16)</formula>
    </cfRule>
  </conditionalFormatting>
  <conditionalFormatting sqref="D20:D32 D45 D34:D42">
    <cfRule type="cellIs" dxfId="69" priority="218" operator="equal">
      <formula>MAX($D$14:$D$42)</formula>
    </cfRule>
  </conditionalFormatting>
  <conditionalFormatting sqref="L20">
    <cfRule type="cellIs" dxfId="68" priority="209" operator="equal">
      <formula>MAX($L$14:$L$42)</formula>
    </cfRule>
  </conditionalFormatting>
  <conditionalFormatting sqref="T20">
    <cfRule type="cellIs" dxfId="67" priority="210" operator="equal">
      <formula>MAX($T$14:$T$42)</formula>
    </cfRule>
  </conditionalFormatting>
  <conditionalFormatting sqref="X20">
    <cfRule type="cellIs" dxfId="66" priority="211" operator="equal">
      <formula>MAX($X$14:$X$42)</formula>
    </cfRule>
  </conditionalFormatting>
  <conditionalFormatting sqref="J20">
    <cfRule type="cellIs" dxfId="65" priority="212" operator="equal">
      <formula>MAX($J$14:$J$42)</formula>
    </cfRule>
  </conditionalFormatting>
  <conditionalFormatting sqref="V20">
    <cfRule type="cellIs" dxfId="64" priority="213" operator="equal">
      <formula>MAX($V$14:$V$42)</formula>
    </cfRule>
  </conditionalFormatting>
  <conditionalFormatting sqref="S20">
    <cfRule type="cellIs" dxfId="63" priority="214" operator="equal">
      <formula>MAX($S$14:$S$42)</formula>
    </cfRule>
  </conditionalFormatting>
  <conditionalFormatting sqref="N20">
    <cfRule type="cellIs" dxfId="62" priority="215" operator="equal">
      <formula>MAX($N$14:$N$42)</formula>
    </cfRule>
  </conditionalFormatting>
  <conditionalFormatting sqref="P20">
    <cfRule type="cellIs" dxfId="61" priority="216" operator="equal">
      <formula>MAX($P$14:$P$42)</formula>
    </cfRule>
  </conditionalFormatting>
  <conditionalFormatting sqref="E48:E64">
    <cfRule type="top10" dxfId="60" priority="208" rank="2"/>
  </conditionalFormatting>
  <conditionalFormatting sqref="F48:F79">
    <cfRule type="top10" dxfId="59" priority="207" rank="2"/>
  </conditionalFormatting>
  <conditionalFormatting sqref="G48:G64">
    <cfRule type="top10" dxfId="58" priority="206" rank="2"/>
  </conditionalFormatting>
  <conditionalFormatting sqref="H48:H64">
    <cfRule type="top10" dxfId="57" priority="205" rank="2"/>
  </conditionalFormatting>
  <conditionalFormatting sqref="I48:I64">
    <cfRule type="top10" dxfId="56" priority="204" rank="2"/>
  </conditionalFormatting>
  <conditionalFormatting sqref="V24">
    <cfRule type="cellIs" dxfId="55" priority="174" operator="equal">
      <formula>MAX($J$14:$J$16)</formula>
    </cfRule>
  </conditionalFormatting>
  <conditionalFormatting sqref="V25">
    <cfRule type="cellIs" dxfId="54" priority="173" operator="equal">
      <formula>MAX($J$14:$J$16)</formula>
    </cfRule>
  </conditionalFormatting>
  <conditionalFormatting sqref="G18:G32 G34:G45">
    <cfRule type="cellIs" dxfId="53" priority="162" operator="equal">
      <formula>MAX($G$14:$G$16)</formula>
    </cfRule>
  </conditionalFormatting>
  <conditionalFormatting sqref="L45">
    <cfRule type="cellIs" dxfId="52" priority="152" operator="equal">
      <formula>MAX($L$14:$L$16)</formula>
    </cfRule>
  </conditionalFormatting>
  <conditionalFormatting sqref="T45">
    <cfRule type="cellIs" dxfId="51" priority="153" operator="equal">
      <formula>MAX($T$14:$T$16)</formula>
    </cfRule>
  </conditionalFormatting>
  <conditionalFormatting sqref="X45">
    <cfRule type="cellIs" dxfId="50" priority="154" operator="equal">
      <formula>MAX($X$14:$X$16)</formula>
    </cfRule>
  </conditionalFormatting>
  <conditionalFormatting sqref="J45">
    <cfRule type="cellIs" dxfId="49" priority="155" operator="equal">
      <formula>MAX($J$14:$J$16)</formula>
    </cfRule>
  </conditionalFormatting>
  <conditionalFormatting sqref="V45">
    <cfRule type="cellIs" dxfId="48" priority="156" operator="equal">
      <formula>MAX($V$14:$V$16)</formula>
    </cfRule>
  </conditionalFormatting>
  <conditionalFormatting sqref="S45">
    <cfRule type="cellIs" dxfId="47" priority="158" operator="equal">
      <formula>MAX($S$14:$S$16)</formula>
    </cfRule>
  </conditionalFormatting>
  <conditionalFormatting sqref="N45">
    <cfRule type="cellIs" dxfId="46" priority="159" operator="equal">
      <formula>MAX($N$14:$N$16)</formula>
    </cfRule>
  </conditionalFormatting>
  <conditionalFormatting sqref="P45">
    <cfRule type="cellIs" dxfId="45" priority="160" operator="equal">
      <formula>MAX($P$14:$P$16)</formula>
    </cfRule>
  </conditionalFormatting>
  <conditionalFormatting sqref="D15">
    <cfRule type="cellIs" dxfId="44" priority="141" operator="equal">
      <formula>MAX($D$14:$D$16)</formula>
    </cfRule>
  </conditionalFormatting>
  <conditionalFormatting sqref="L15">
    <cfRule type="cellIs" dxfId="43" priority="138" operator="equal">
      <formula>MAX($L$14:$L$16)</formula>
    </cfRule>
  </conditionalFormatting>
  <conditionalFormatting sqref="J15">
    <cfRule type="cellIs" dxfId="42" priority="139" operator="equal">
      <formula>MAX($J$14:$J$16)</formula>
    </cfRule>
  </conditionalFormatting>
  <conditionalFormatting sqref="N15">
    <cfRule type="cellIs" dxfId="41" priority="134" operator="equal">
      <formula>MAX($N$14:$N$16)</formula>
    </cfRule>
  </conditionalFormatting>
  <conditionalFormatting sqref="P15">
    <cfRule type="cellIs" dxfId="40" priority="135" operator="equal">
      <formula>MAX($P$14:$P$16)</formula>
    </cfRule>
  </conditionalFormatting>
  <conditionalFormatting sqref="T15">
    <cfRule type="cellIs" dxfId="39" priority="130" operator="equal">
      <formula>MAX($T$14:$T$16)</formula>
    </cfRule>
  </conditionalFormatting>
  <conditionalFormatting sqref="S15">
    <cfRule type="cellIs" dxfId="38" priority="131" operator="equal">
      <formula>MAX($S$14:$S$16)</formula>
    </cfRule>
  </conditionalFormatting>
  <conditionalFormatting sqref="X15">
    <cfRule type="cellIs" dxfId="37" priority="126" operator="equal">
      <formula>MAX($X$14:$X$16)</formula>
    </cfRule>
  </conditionalFormatting>
  <conditionalFormatting sqref="V15">
    <cfRule type="cellIs" dxfId="36" priority="127" operator="equal">
      <formula>MAX($V$14:$V$16)</formula>
    </cfRule>
  </conditionalFormatting>
  <conditionalFormatting sqref="N43">
    <cfRule type="cellIs" dxfId="35" priority="111" operator="equal">
      <formula>MAX($N$14:$N$16)</formula>
    </cfRule>
  </conditionalFormatting>
  <conditionalFormatting sqref="P43">
    <cfRule type="cellIs" dxfId="34" priority="112" operator="equal">
      <formula>MAX($P$14:$P$16)</formula>
    </cfRule>
  </conditionalFormatting>
  <conditionalFormatting sqref="L43">
    <cfRule type="cellIs" dxfId="33" priority="107" operator="equal">
      <formula>MAX($L$14:$L$16)</formula>
    </cfRule>
  </conditionalFormatting>
  <conditionalFormatting sqref="J43">
    <cfRule type="cellIs" dxfId="32" priority="108" operator="equal">
      <formula>MAX($J$14:$J$16)</formula>
    </cfRule>
  </conditionalFormatting>
  <conditionalFormatting sqref="D43">
    <cfRule type="cellIs" dxfId="31" priority="105" operator="equal">
      <formula>MAX($D$14:$D$42)</formula>
    </cfRule>
  </conditionalFormatting>
  <conditionalFormatting sqref="L33">
    <cfRule type="cellIs" dxfId="30" priority="60" operator="equal">
      <formula>MAX($L$14:$L$16)</formula>
    </cfRule>
  </conditionalFormatting>
  <conditionalFormatting sqref="T33">
    <cfRule type="cellIs" dxfId="29" priority="61" operator="equal">
      <formula>MAX($T$14:$T$16)</formula>
    </cfRule>
  </conditionalFormatting>
  <conditionalFormatting sqref="X33">
    <cfRule type="cellIs" dxfId="28" priority="62" operator="equal">
      <formula>MAX($X$14:$X$16)</formula>
    </cfRule>
  </conditionalFormatting>
  <conditionalFormatting sqref="J33">
    <cfRule type="cellIs" dxfId="27" priority="63" operator="equal">
      <formula>MAX($J$14:$J$16)</formula>
    </cfRule>
  </conditionalFormatting>
  <conditionalFormatting sqref="V33">
    <cfRule type="cellIs" dxfId="26" priority="64" operator="equal">
      <formula>MAX($V$14:$V$16)</formula>
    </cfRule>
  </conditionalFormatting>
  <conditionalFormatting sqref="S33">
    <cfRule type="cellIs" dxfId="25" priority="65" operator="equal">
      <formula>MAX($S$14:$S$16)</formula>
    </cfRule>
  </conditionalFormatting>
  <conditionalFormatting sqref="N33">
    <cfRule type="cellIs" dxfId="24" priority="66" operator="equal">
      <formula>MAX($N$14:$N$16)</formula>
    </cfRule>
  </conditionalFormatting>
  <conditionalFormatting sqref="P33">
    <cfRule type="cellIs" dxfId="23" priority="67" operator="equal">
      <formula>MAX($P$14:$P$16)</formula>
    </cfRule>
  </conditionalFormatting>
  <conditionalFormatting sqref="D33">
    <cfRule type="cellIs" dxfId="22" priority="59" operator="equal">
      <formula>MAX($D$14:$D$42)</formula>
    </cfRule>
  </conditionalFormatting>
  <conditionalFormatting sqref="G33">
    <cfRule type="cellIs" dxfId="21" priority="58" operator="equal">
      <formula>MAX($G$14:$G$16)</formula>
    </cfRule>
  </conditionalFormatting>
  <conditionalFormatting sqref="P38">
    <cfRule type="cellIs" dxfId="20" priority="57" operator="equal">
      <formula>MAX($P$14:$P$16)</formula>
    </cfRule>
  </conditionalFormatting>
  <conditionalFormatting sqref="G15:G17">
    <cfRule type="cellIs" dxfId="19" priority="46" operator="equal">
      <formula>MAX($G$14:$G$16)</formula>
    </cfRule>
  </conditionalFormatting>
  <conditionalFormatting sqref="D14">
    <cfRule type="cellIs" dxfId="18" priority="28" operator="equal">
      <formula>MAX($D$14:$D$42)</formula>
    </cfRule>
  </conditionalFormatting>
  <conditionalFormatting sqref="G14">
    <cfRule type="cellIs" dxfId="17" priority="27" operator="equal">
      <formula>MAX($G$14:$G$16)</formula>
    </cfRule>
  </conditionalFormatting>
  <conditionalFormatting sqref="L14">
    <cfRule type="cellIs" dxfId="16" priority="19" operator="equal">
      <formula>MAX($L$14:$L$16)</formula>
    </cfRule>
  </conditionalFormatting>
  <conditionalFormatting sqref="T14">
    <cfRule type="cellIs" dxfId="15" priority="20" operator="equal">
      <formula>MAX($T$14:$T$16)</formula>
    </cfRule>
  </conditionalFormatting>
  <conditionalFormatting sqref="X14">
    <cfRule type="cellIs" dxfId="14" priority="21" operator="equal">
      <formula>MAX($X$14:$X$16)</formula>
    </cfRule>
  </conditionalFormatting>
  <conditionalFormatting sqref="J14">
    <cfRule type="cellIs" dxfId="13" priority="22" operator="equal">
      <formula>MAX($J$14:$J$16)</formula>
    </cfRule>
  </conditionalFormatting>
  <conditionalFormatting sqref="V14">
    <cfRule type="cellIs" dxfId="12" priority="23" operator="equal">
      <formula>MAX($V$14:$V$16)</formula>
    </cfRule>
  </conditionalFormatting>
  <conditionalFormatting sqref="S14">
    <cfRule type="cellIs" dxfId="11" priority="24" operator="equal">
      <formula>MAX($S$14:$S$16)</formula>
    </cfRule>
  </conditionalFormatting>
  <conditionalFormatting sqref="N14">
    <cfRule type="cellIs" dxfId="10" priority="25" operator="equal">
      <formula>MAX($N$14:$N$16)</formula>
    </cfRule>
  </conditionalFormatting>
  <conditionalFormatting sqref="P14">
    <cfRule type="cellIs" dxfId="9" priority="26" operator="equal">
      <formula>MAX($P$14:$P$16)</formula>
    </cfRule>
  </conditionalFormatting>
  <conditionalFormatting sqref="D44">
    <cfRule type="cellIs" dxfId="8" priority="17" operator="equal">
      <formula>MAX($D$14:$D$42)</formula>
    </cfRule>
  </conditionalFormatting>
  <conditionalFormatting sqref="L44">
    <cfRule type="cellIs" dxfId="7" priority="13" operator="equal">
      <formula>MAX($L$14:$L$16)</formula>
    </cfRule>
  </conditionalFormatting>
  <conditionalFormatting sqref="J44">
    <cfRule type="cellIs" dxfId="6" priority="14" operator="equal">
      <formula>MAX($J$14:$J$16)</formula>
    </cfRule>
  </conditionalFormatting>
  <conditionalFormatting sqref="N44">
    <cfRule type="cellIs" dxfId="5" priority="9" operator="equal">
      <formula>MAX($N$14:$N$16)</formula>
    </cfRule>
  </conditionalFormatting>
  <conditionalFormatting sqref="P44">
    <cfRule type="cellIs" dxfId="4" priority="10" operator="equal">
      <formula>MAX($P$14:$P$16)</formula>
    </cfRule>
  </conditionalFormatting>
  <conditionalFormatting sqref="T44">
    <cfRule type="cellIs" dxfId="3" priority="5" operator="equal">
      <formula>MAX($T$14:$T$16)</formula>
    </cfRule>
  </conditionalFormatting>
  <conditionalFormatting sqref="S44">
    <cfRule type="cellIs" dxfId="2" priority="6" operator="equal">
      <formula>MAX($S$14:$S$16)</formula>
    </cfRule>
  </conditionalFormatting>
  <conditionalFormatting sqref="X44">
    <cfRule type="cellIs" dxfId="1" priority="1" operator="equal">
      <formula>MAX($X$14:$X$16)</formula>
    </cfRule>
  </conditionalFormatting>
  <conditionalFormatting sqref="V44">
    <cfRule type="cellIs" dxfId="0" priority="2" operator="equal">
      <formula>MAX($V$14:$V$16)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CA4DF3-E0D3-49AF-B438-8BD78918604D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2.xml><?xml version="1.0" encoding="utf-8"?>
<ds:datastoreItem xmlns:ds="http://schemas.openxmlformats.org/officeDocument/2006/customXml" ds:itemID="{2F6CD966-312F-4DCA-8C69-58CB492BFB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5D77FA-E0FF-4A11-A689-C362ECE8E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2026-07-21T21:41:37Z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