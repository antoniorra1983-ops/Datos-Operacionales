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Filezilla/2021/Energia/2026/Febrero/28-02-2025/"/>
    </mc:Choice>
  </mc:AlternateContent>
  <xr:revisionPtr revIDLastSave="7" documentId="13_ncr:1_{35F57E0A-C92F-4218-AA83-EBB438455458}" xr6:coauthVersionLast="47" xr6:coauthVersionMax="47" xr10:uidLastSave="{81496967-C2E3-4BBB-83F1-F61D7DC460CC}"/>
  <bookViews>
    <workbookView xWindow="-120" yWindow="-120" windowWidth="29040" windowHeight="15720" activeTab="1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4" i="1" l="1"/>
  <c r="BB33" i="1"/>
  <c r="BB32" i="1"/>
  <c r="BB31" i="1"/>
  <c r="BB30" i="1"/>
  <c r="BA30" i="1" s="1"/>
  <c r="AY30" i="1" s="1"/>
  <c r="BB29" i="1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AY15" i="1"/>
  <c r="AY16" i="1"/>
  <c r="AY19" i="1"/>
  <c r="AY35" i="1"/>
  <c r="AY36" i="1"/>
  <c r="AY37" i="1"/>
  <c r="AY13" i="1"/>
  <c r="AY14" i="1"/>
  <c r="G23" i="2"/>
  <c r="AY8" i="1"/>
  <c r="AY9" i="1"/>
  <c r="AY10" i="1"/>
  <c r="AY11" i="1"/>
  <c r="AY12" i="1"/>
  <c r="BA15" i="1"/>
  <c r="BA16" i="1"/>
  <c r="BA17" i="1"/>
  <c r="AY17" i="1" s="1"/>
  <c r="BA18" i="1"/>
  <c r="AY18" i="1" s="1"/>
  <c r="BA19" i="1"/>
  <c r="BA20" i="1"/>
  <c r="AY20" i="1" s="1"/>
  <c r="BA21" i="1"/>
  <c r="AY21" i="1" s="1"/>
  <c r="BA22" i="1"/>
  <c r="AY22" i="1" s="1"/>
  <c r="BA23" i="1"/>
  <c r="AY23" i="1" s="1"/>
  <c r="BA24" i="1"/>
  <c r="AY24" i="1" s="1"/>
  <c r="BA25" i="1"/>
  <c r="AY25" i="1" s="1"/>
  <c r="BA26" i="1"/>
  <c r="AY26" i="1" s="1"/>
  <c r="BA27" i="1"/>
  <c r="AY27" i="1" s="1"/>
  <c r="BA28" i="1"/>
  <c r="AY28" i="1" s="1"/>
  <c r="BA29" i="1"/>
  <c r="AY29" i="1" s="1"/>
  <c r="BA31" i="1"/>
  <c r="AY31" i="1" s="1"/>
  <c r="BA32" i="1"/>
  <c r="AY32" i="1" s="1"/>
  <c r="BA33" i="1"/>
  <c r="AY33" i="1" s="1"/>
  <c r="BA34" i="1"/>
  <c r="AY34" i="1" s="1"/>
  <c r="BA35" i="1"/>
  <c r="BA36" i="1"/>
  <c r="BA12" i="1"/>
  <c r="BA13" i="1"/>
  <c r="BA14" i="1"/>
  <c r="BA11" i="1"/>
  <c r="G22" i="2"/>
  <c r="G21" i="2"/>
  <c r="G20" i="2"/>
  <c r="G19" i="2"/>
  <c r="BA10" i="1"/>
  <c r="G18" i="2"/>
  <c r="BA9" i="1"/>
  <c r="G17" i="2"/>
  <c r="G15" i="2"/>
  <c r="G16" i="2"/>
  <c r="AY7" i="1"/>
  <c r="BA7" i="1"/>
  <c r="BA8" i="1"/>
  <c r="U14" i="2"/>
  <c r="M14" i="2"/>
  <c r="I14" i="2"/>
  <c r="R14" i="2"/>
  <c r="G14" i="2"/>
  <c r="BI6" i="1"/>
  <c r="AV6" i="1"/>
  <c r="AL6" i="1"/>
  <c r="AB6" i="1"/>
  <c r="Q6" i="1"/>
  <c r="BL6" i="1"/>
  <c r="BJ6" i="1" s="1"/>
  <c r="BK6" i="1"/>
  <c r="BA6" i="1"/>
  <c r="AY6" i="1"/>
  <c r="J6" i="1" s="1"/>
  <c r="N6" i="1" s="1"/>
  <c r="AX6" i="1"/>
  <c r="AW6" i="1"/>
  <c r="AP6" i="1"/>
  <c r="AM6" i="1" s="1"/>
  <c r="AN6" i="1"/>
  <c r="AF6" i="1"/>
  <c r="AD6" i="1"/>
  <c r="AC6" i="1"/>
  <c r="L6" i="1"/>
  <c r="P6" i="1" s="1"/>
  <c r="K6" i="1"/>
  <c r="O6" i="1" s="1"/>
  <c r="I6" i="1"/>
  <c r="M6" i="1" s="1"/>
  <c r="H6" i="1"/>
  <c r="D6" i="1"/>
  <c r="G6" i="1" s="1"/>
  <c r="J79" i="2"/>
  <c r="E79" i="2" s="1"/>
  <c r="R36" i="2"/>
  <c r="R35" i="2"/>
  <c r="F6" i="1" l="1"/>
  <c r="E6" i="1" s="1"/>
  <c r="I79" i="2"/>
  <c r="H79" i="2"/>
  <c r="G79" i="2"/>
  <c r="F79" i="2"/>
  <c r="BL32" i="1"/>
  <c r="BK32" i="1" s="1"/>
  <c r="AW32" i="1"/>
  <c r="AX32" i="1"/>
  <c r="AP32" i="1"/>
  <c r="AM32" i="1" s="1"/>
  <c r="AN32" i="1"/>
  <c r="AF32" i="1"/>
  <c r="AC32" i="1" s="1"/>
  <c r="AD32" i="1"/>
  <c r="R33" i="2"/>
  <c r="BL25" i="1"/>
  <c r="BJ25" i="1" s="1"/>
  <c r="AX25" i="1"/>
  <c r="AP25" i="1"/>
  <c r="AM25" i="1" s="1"/>
  <c r="AN25" i="1"/>
  <c r="AF25" i="1"/>
  <c r="AC25" i="1" s="1"/>
  <c r="AD25" i="1"/>
  <c r="BK25" i="1" l="1"/>
  <c r="AW25" i="1"/>
  <c r="BJ32" i="1"/>
  <c r="BL13" i="1" l="1"/>
  <c r="BJ13" i="1" s="1"/>
  <c r="AX13" i="1"/>
  <c r="AP13" i="1"/>
  <c r="AN13" i="1"/>
  <c r="AM13" i="1"/>
  <c r="AF13" i="1"/>
  <c r="AC13" i="1" s="1"/>
  <c r="AD13" i="1"/>
  <c r="AP14" i="1"/>
  <c r="AF14" i="1"/>
  <c r="H35" i="1"/>
  <c r="H34" i="1"/>
  <c r="AN30" i="1"/>
  <c r="H25" i="1"/>
  <c r="H24" i="1"/>
  <c r="H29" i="1"/>
  <c r="H23" i="1"/>
  <c r="H11" i="1"/>
  <c r="H12" i="1"/>
  <c r="H13" i="1"/>
  <c r="H14" i="1"/>
  <c r="H15" i="1"/>
  <c r="H16" i="1"/>
  <c r="H17" i="1"/>
  <c r="H18" i="1"/>
  <c r="H19" i="1"/>
  <c r="H20" i="1"/>
  <c r="H21" i="1"/>
  <c r="H22" i="1"/>
  <c r="H26" i="1"/>
  <c r="H27" i="1"/>
  <c r="H28" i="1"/>
  <c r="H30" i="1"/>
  <c r="H31" i="1"/>
  <c r="H32" i="1"/>
  <c r="H33" i="1"/>
  <c r="H36" i="1"/>
  <c r="H37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R45" i="2"/>
  <c r="AD37" i="1"/>
  <c r="AF37" i="1"/>
  <c r="AC37" i="1" s="1"/>
  <c r="AN37" i="1"/>
  <c r="AP37" i="1"/>
  <c r="AM37" i="1" s="1"/>
  <c r="AX37" i="1"/>
  <c r="BL37" i="1"/>
  <c r="BK37" i="1" s="1"/>
  <c r="H10" i="1"/>
  <c r="AF36" i="1"/>
  <c r="H9" i="1"/>
  <c r="H8" i="1"/>
  <c r="BK13" i="1" l="1"/>
  <c r="F37" i="1"/>
  <c r="E37" i="1" s="1"/>
  <c r="F29" i="1"/>
  <c r="F26" i="1"/>
  <c r="F22" i="1"/>
  <c r="AW13" i="1"/>
  <c r="F17" i="1"/>
  <c r="F35" i="1"/>
  <c r="F16" i="1"/>
  <c r="F36" i="1"/>
  <c r="F21" i="1"/>
  <c r="F20" i="1"/>
  <c r="F11" i="1"/>
  <c r="F34" i="1"/>
  <c r="F33" i="1"/>
  <c r="F32" i="1"/>
  <c r="F31" i="1"/>
  <c r="F30" i="1"/>
  <c r="F28" i="1"/>
  <c r="F27" i="1"/>
  <c r="F25" i="1"/>
  <c r="F24" i="1"/>
  <c r="F23" i="1"/>
  <c r="F19" i="1"/>
  <c r="F18" i="1"/>
  <c r="F15" i="1"/>
  <c r="F14" i="1"/>
  <c r="F13" i="1"/>
  <c r="F12" i="1"/>
  <c r="I37" i="1"/>
  <c r="M37" i="1" s="1"/>
  <c r="G37" i="1"/>
  <c r="AW37" i="1"/>
  <c r="J37" i="1"/>
  <c r="N37" i="1" s="1"/>
  <c r="L37" i="1"/>
  <c r="P37" i="1" s="1"/>
  <c r="K37" i="1"/>
  <c r="O37" i="1" s="1"/>
  <c r="BJ37" i="1"/>
  <c r="BL26" i="1"/>
  <c r="AP27" i="1" l="1"/>
  <c r="AF22" i="1"/>
  <c r="AF7" i="1"/>
  <c r="AF8" i="1"/>
  <c r="AF9" i="1"/>
  <c r="AF10" i="1"/>
  <c r="AF11" i="1"/>
  <c r="AF12" i="1"/>
  <c r="AF15" i="1"/>
  <c r="AF16" i="1"/>
  <c r="AF17" i="1"/>
  <c r="AF18" i="1"/>
  <c r="AF19" i="1"/>
  <c r="AF20" i="1"/>
  <c r="AF21" i="1"/>
  <c r="AF23" i="1"/>
  <c r="AF24" i="1"/>
  <c r="AF26" i="1"/>
  <c r="AF27" i="1"/>
  <c r="AF28" i="1"/>
  <c r="AF29" i="1"/>
  <c r="AF30" i="1"/>
  <c r="AF31" i="1"/>
  <c r="AF33" i="1"/>
  <c r="AF34" i="1"/>
  <c r="AF35" i="1"/>
  <c r="AP7" i="1"/>
  <c r="AP8" i="1"/>
  <c r="AP9" i="1"/>
  <c r="AP10" i="1"/>
  <c r="AP11" i="1"/>
  <c r="AP12" i="1"/>
  <c r="AP15" i="1"/>
  <c r="AP16" i="1"/>
  <c r="AP17" i="1"/>
  <c r="AP18" i="1"/>
  <c r="AP19" i="1"/>
  <c r="AP20" i="1"/>
  <c r="AP21" i="1"/>
  <c r="AP22" i="1"/>
  <c r="AP23" i="1"/>
  <c r="AP24" i="1"/>
  <c r="AP26" i="1"/>
  <c r="AP28" i="1"/>
  <c r="AP29" i="1"/>
  <c r="AP30" i="1"/>
  <c r="AP31" i="1"/>
  <c r="AP34" i="1"/>
  <c r="AP35" i="1"/>
  <c r="AP36" i="1"/>
  <c r="AX7" i="1"/>
  <c r="AW7" i="1"/>
  <c r="AX8" i="1"/>
  <c r="AX9" i="1"/>
  <c r="AX10" i="1"/>
  <c r="AX11" i="1"/>
  <c r="AX12" i="1"/>
  <c r="AW12" i="1"/>
  <c r="AX14" i="1"/>
  <c r="AX15" i="1"/>
  <c r="AW15" i="1"/>
  <c r="AX16" i="1"/>
  <c r="AX17" i="1"/>
  <c r="AW17" i="1"/>
  <c r="AX18" i="1"/>
  <c r="AX19" i="1"/>
  <c r="AW19" i="1"/>
  <c r="AX20" i="1"/>
  <c r="AX21" i="1"/>
  <c r="AW21" i="1"/>
  <c r="AX22" i="1"/>
  <c r="AX23" i="1"/>
  <c r="AW23" i="1"/>
  <c r="AX24" i="1"/>
  <c r="AX26" i="1"/>
  <c r="AW27" i="1"/>
  <c r="AX27" i="1"/>
  <c r="AX29" i="1"/>
  <c r="AW29" i="1"/>
  <c r="AX30" i="1"/>
  <c r="AX31" i="1"/>
  <c r="AW31" i="1"/>
  <c r="AX33" i="1"/>
  <c r="AW33" i="1"/>
  <c r="AX34" i="1"/>
  <c r="AX35" i="1"/>
  <c r="AW35" i="1"/>
  <c r="AX36" i="1"/>
  <c r="AW36" i="1" l="1"/>
  <c r="AW30" i="1"/>
  <c r="AW34" i="1"/>
  <c r="AW10" i="1"/>
  <c r="AX28" i="1"/>
  <c r="AW28" i="1"/>
  <c r="AW26" i="1"/>
  <c r="AW24" i="1"/>
  <c r="AW22" i="1"/>
  <c r="AW20" i="1"/>
  <c r="AW18" i="1"/>
  <c r="AW16" i="1"/>
  <c r="AW14" i="1"/>
  <c r="AW9" i="1" l="1"/>
  <c r="AW8" i="1"/>
  <c r="AW11" i="1"/>
  <c r="R44" i="2" l="1"/>
  <c r="BL36" i="1"/>
  <c r="AM36" i="1"/>
  <c r="AN36" i="1"/>
  <c r="AD36" i="1"/>
  <c r="AC36" i="1"/>
  <c r="E36" i="1" l="1"/>
  <c r="L36" i="1"/>
  <c r="P36" i="1" s="1"/>
  <c r="K36" i="1"/>
  <c r="O36" i="1" s="1"/>
  <c r="G36" i="1"/>
  <c r="I36" i="1"/>
  <c r="M36" i="1" s="1"/>
  <c r="J36" i="1"/>
  <c r="N36" i="1" s="1"/>
  <c r="BJ36" i="1"/>
  <c r="BK36" i="1"/>
  <c r="AB7" i="1" l="1"/>
  <c r="AB8" i="1" s="1"/>
  <c r="AB9" i="1" s="1"/>
  <c r="AB10" i="1" s="1"/>
  <c r="AB11" i="1" s="1"/>
  <c r="AB12" i="1" s="1"/>
  <c r="AL7" i="1"/>
  <c r="AV7" i="1"/>
  <c r="AV8" i="1" s="1"/>
  <c r="AV9" i="1" s="1"/>
  <c r="AV10" i="1" s="1"/>
  <c r="AV11" i="1" s="1"/>
  <c r="AV12" i="1" s="1"/>
  <c r="BI7" i="1"/>
  <c r="BI8" i="1" s="1"/>
  <c r="BI9" i="1" s="1"/>
  <c r="BI10" i="1" s="1"/>
  <c r="BI11" i="1" s="1"/>
  <c r="BI12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AD11" i="1"/>
  <c r="AC15" i="1"/>
  <c r="AM15" i="1"/>
  <c r="H7" i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BL15" i="1"/>
  <c r="BK15" i="1" s="1"/>
  <c r="AN15" i="1"/>
  <c r="AD15" i="1"/>
  <c r="AB13" i="1" l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V13" i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BI13" i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Q36" i="1"/>
  <c r="Q37" i="1" s="1"/>
  <c r="E48" i="2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BJ15" i="1"/>
  <c r="AB25" i="1" l="1"/>
  <c r="AB26" i="1" s="1"/>
  <c r="AB27" i="1" s="1"/>
  <c r="AB28" i="1" s="1"/>
  <c r="AB29" i="1" s="1"/>
  <c r="AB30" i="1" s="1"/>
  <c r="AB31" i="1" s="1"/>
  <c r="AV25" i="1"/>
  <c r="AV26" i="1" s="1"/>
  <c r="AV27" i="1" s="1"/>
  <c r="AV28" i="1" s="1"/>
  <c r="AV29" i="1" s="1"/>
  <c r="AV30" i="1" s="1"/>
  <c r="AV31" i="1" s="1"/>
  <c r="BI25" i="1"/>
  <c r="BI26" i="1" s="1"/>
  <c r="BI27" i="1" s="1"/>
  <c r="BI28" i="1" s="1"/>
  <c r="BI29" i="1" s="1"/>
  <c r="BI30" i="1" s="1"/>
  <c r="BI31" i="1" s="1"/>
  <c r="R20" i="2"/>
  <c r="AB32" i="1" l="1"/>
  <c r="AB33" i="1" s="1"/>
  <c r="AB34" i="1" s="1"/>
  <c r="AB35" i="1" s="1"/>
  <c r="AB36" i="1" s="1"/>
  <c r="AB37" i="1" s="1"/>
  <c r="AV32" i="1"/>
  <c r="AV33" i="1" s="1"/>
  <c r="AV34" i="1" s="1"/>
  <c r="AV35" i="1" s="1"/>
  <c r="AV36" i="1" s="1"/>
  <c r="AV37" i="1" s="1"/>
  <c r="BI32" i="1"/>
  <c r="BI33" i="1" s="1"/>
  <c r="BI34" i="1" s="1"/>
  <c r="BI35" i="1" s="1"/>
  <c r="BI36" i="1" s="1"/>
  <c r="BI37" i="1" s="1"/>
  <c r="S39" i="1"/>
  <c r="R38" i="1" s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4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AD24" i="1"/>
  <c r="AC24" i="1"/>
  <c r="AN24" i="1"/>
  <c r="AM24" i="1"/>
  <c r="BL24" i="1"/>
  <c r="BJ24" i="1" s="1"/>
  <c r="AD26" i="1"/>
  <c r="AC26" i="1"/>
  <c r="AN26" i="1"/>
  <c r="BJ26" i="1"/>
  <c r="AD27" i="1"/>
  <c r="AC27" i="1"/>
  <c r="AN27" i="1"/>
  <c r="BL27" i="1"/>
  <c r="BK27" i="1" s="1"/>
  <c r="AD28" i="1"/>
  <c r="AC28" i="1"/>
  <c r="AN28" i="1"/>
  <c r="BL28" i="1"/>
  <c r="BJ28" i="1" s="1"/>
  <c r="AD29" i="1"/>
  <c r="AC29" i="1"/>
  <c r="AN29" i="1"/>
  <c r="BL29" i="1"/>
  <c r="BK29" i="1" s="1"/>
  <c r="AD30" i="1"/>
  <c r="AC30" i="1"/>
  <c r="BL30" i="1"/>
  <c r="BJ30" i="1" s="1"/>
  <c r="AC31" i="1"/>
  <c r="AN31" i="1"/>
  <c r="BL31" i="1"/>
  <c r="BK31" i="1" s="1"/>
  <c r="AD34" i="1"/>
  <c r="AC34" i="1"/>
  <c r="AN34" i="1"/>
  <c r="BL34" i="1"/>
  <c r="BK34" i="1" s="1"/>
  <c r="AD35" i="1"/>
  <c r="AC35" i="1"/>
  <c r="AN35" i="1"/>
  <c r="BL35" i="1"/>
  <c r="BK35" i="1" s="1"/>
  <c r="AC11" i="1"/>
  <c r="AN11" i="1"/>
  <c r="AM11" i="1"/>
  <c r="BL11" i="1"/>
  <c r="AD12" i="1"/>
  <c r="AC12" i="1"/>
  <c r="AN12" i="1"/>
  <c r="AM12" i="1"/>
  <c r="BL12" i="1"/>
  <c r="BK12" i="1" s="1"/>
  <c r="AD14" i="1"/>
  <c r="AC14" i="1"/>
  <c r="AN14" i="1"/>
  <c r="AM14" i="1"/>
  <c r="BL14" i="1"/>
  <c r="BK14" i="1" s="1"/>
  <c r="AD16" i="1"/>
  <c r="AC16" i="1"/>
  <c r="AN16" i="1"/>
  <c r="AM16" i="1"/>
  <c r="BL16" i="1"/>
  <c r="BK16" i="1" s="1"/>
  <c r="AD17" i="1"/>
  <c r="AC17" i="1"/>
  <c r="AN17" i="1"/>
  <c r="AM17" i="1"/>
  <c r="BL17" i="1"/>
  <c r="AD18" i="1"/>
  <c r="AC18" i="1"/>
  <c r="AN18" i="1"/>
  <c r="AM18" i="1"/>
  <c r="BL18" i="1"/>
  <c r="BK18" i="1" s="1"/>
  <c r="AD19" i="1"/>
  <c r="AD20" i="1"/>
  <c r="AC20" i="1"/>
  <c r="AN20" i="1"/>
  <c r="AM20" i="1"/>
  <c r="BL20" i="1"/>
  <c r="AD21" i="1"/>
  <c r="AC21" i="1"/>
  <c r="AN21" i="1"/>
  <c r="AM21" i="1"/>
  <c r="BL21" i="1"/>
  <c r="AD22" i="1"/>
  <c r="AC22" i="1"/>
  <c r="AN22" i="1"/>
  <c r="AM22" i="1"/>
  <c r="BL22" i="1"/>
  <c r="AD23" i="1"/>
  <c r="AC23" i="1"/>
  <c r="AN23" i="1"/>
  <c r="AM23" i="1"/>
  <c r="BL23" i="1"/>
  <c r="BK23" i="1" s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E13" i="1"/>
  <c r="G24" i="1"/>
  <c r="I19" i="1"/>
  <c r="M19" i="1" s="1"/>
  <c r="G15" i="1"/>
  <c r="BK19" i="1"/>
  <c r="E16" i="1"/>
  <c r="BJ35" i="1"/>
  <c r="BJ34" i="1"/>
  <c r="E35" i="1"/>
  <c r="E34" i="1"/>
  <c r="E33" i="1"/>
  <c r="E32" i="1"/>
  <c r="BJ31" i="1"/>
  <c r="E31" i="1"/>
  <c r="BK30" i="1"/>
  <c r="E30" i="1"/>
  <c r="BJ29" i="1"/>
  <c r="E29" i="1"/>
  <c r="BJ27" i="1"/>
  <c r="G18" i="1"/>
  <c r="E18" i="1"/>
  <c r="G19" i="1"/>
  <c r="E17" i="1"/>
  <c r="E19" i="1"/>
  <c r="G17" i="1"/>
  <c r="G16" i="1"/>
  <c r="E15" i="1"/>
  <c r="G14" i="1"/>
  <c r="E14" i="1"/>
  <c r="G13" i="1"/>
  <c r="K12" i="1"/>
  <c r="O12" i="1" s="1"/>
  <c r="L12" i="1"/>
  <c r="P12" i="1" s="1"/>
  <c r="E12" i="1"/>
  <c r="I11" i="1"/>
  <c r="M11" i="1" s="1"/>
  <c r="E11" i="1"/>
  <c r="F10" i="1"/>
  <c r="E10" i="1" s="1"/>
  <c r="F9" i="1"/>
  <c r="E9" i="1" s="1"/>
  <c r="G8" i="1"/>
  <c r="I15" i="1"/>
  <c r="M15" i="1" s="1"/>
  <c r="I13" i="1"/>
  <c r="M13" i="1" s="1"/>
  <c r="G35" i="1"/>
  <c r="K33" i="1"/>
  <c r="O33" i="1" s="1"/>
  <c r="G33" i="1"/>
  <c r="G31" i="1"/>
  <c r="G29" i="1"/>
  <c r="E27" i="1"/>
  <c r="E25" i="1"/>
  <c r="F8" i="1"/>
  <c r="E8" i="1" s="1"/>
  <c r="E23" i="1"/>
  <c r="E22" i="1"/>
  <c r="E21" i="1"/>
  <c r="E20" i="1"/>
  <c r="G11" i="1"/>
  <c r="G34" i="1"/>
  <c r="G32" i="1"/>
  <c r="G30" i="1"/>
  <c r="BK28" i="1"/>
  <c r="E28" i="1"/>
  <c r="BK26" i="1"/>
  <c r="E26" i="1"/>
  <c r="BK24" i="1"/>
  <c r="BK22" i="1"/>
  <c r="L19" i="1"/>
  <c r="P19" i="1" s="1"/>
  <c r="BK17" i="1"/>
  <c r="BK21" i="1"/>
  <c r="BK20" i="1"/>
  <c r="BJ10" i="1"/>
  <c r="BK11" i="1"/>
  <c r="E24" i="1"/>
  <c r="BJ9" i="1"/>
  <c r="L33" i="1"/>
  <c r="P33" i="1" s="1"/>
  <c r="I33" i="1"/>
  <c r="M33" i="1" s="1"/>
  <c r="J33" i="1"/>
  <c r="N33" i="1" s="1"/>
  <c r="AM35" i="1"/>
  <c r="AM34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3" i="1" l="1"/>
  <c r="AL14" i="1" s="1"/>
  <c r="AL15" i="1" s="1"/>
  <c r="AL16" i="1" s="1"/>
  <c r="AL17" i="1" s="1"/>
  <c r="AL18" i="1" s="1"/>
  <c r="AL19" i="1" s="1"/>
  <c r="U20" i="2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I32" i="1"/>
  <c r="M32" i="1" s="1"/>
  <c r="L34" i="1"/>
  <c r="P34" i="1" s="1"/>
  <c r="J35" i="1"/>
  <c r="N35" i="1" s="1"/>
  <c r="K34" i="1"/>
  <c r="O34" i="1" s="1"/>
  <c r="J34" i="1"/>
  <c r="N34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L13" i="1"/>
  <c r="P13" i="1" s="1"/>
  <c r="J22" i="1"/>
  <c r="N22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I33" i="2" l="1"/>
  <c r="I34" i="2" s="1"/>
  <c r="I35" i="2" s="1"/>
  <c r="I36" i="2" s="1"/>
  <c r="I37" i="2" s="1"/>
  <c r="I38" i="2" s="1"/>
  <c r="I39" i="2" s="1"/>
  <c r="I40" i="2" s="1"/>
  <c r="U33" i="2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AL20" i="1"/>
  <c r="AL21" i="1" s="1"/>
  <c r="AL22" i="1" s="1"/>
  <c r="AL23" i="1" s="1"/>
  <c r="AL24" i="1" s="1"/>
  <c r="B15" i="2"/>
  <c r="AL25" i="1" l="1"/>
  <c r="AL26" i="1" s="1"/>
  <c r="I41" i="2"/>
  <c r="I42" i="2" s="1"/>
  <c r="I43" i="2" s="1"/>
  <c r="I44" i="2" s="1"/>
  <c r="I45" i="2" s="1"/>
  <c r="U44" i="2"/>
  <c r="U45" i="2" s="1"/>
  <c r="B16" i="2"/>
  <c r="M15" i="2"/>
  <c r="AL27" i="1" l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B17" i="2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3" i="2" s="1"/>
  <c r="M32" i="2"/>
  <c r="B34" i="2" l="1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B45" i="2" s="1"/>
  <c r="M45" i="2" s="1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<sst xmlns="http://schemas.openxmlformats.org/spreadsheetml/2006/main" count="123" uniqueCount="70">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</sst>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3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5" fontId="9" fillId="9" borderId="47" xfId="0" applyNumberFormat="1" applyFont="1" applyFill="1" applyBorder="1" applyAlignment="1">
      <alignment horizontal="center"/>
    </xf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8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28850</c:v>
                </c:pt>
                <c:pt idx="1">
                  <c:v>45320</c:v>
                </c:pt>
                <c:pt idx="2">
                  <c:v>46058</c:v>
                </c:pt>
                <c:pt idx="3">
                  <c:v>47904</c:v>
                </c:pt>
                <c:pt idx="4">
                  <c:v>46720</c:v>
                </c:pt>
                <c:pt idx="5">
                  <c:v>46552</c:v>
                </c:pt>
                <c:pt idx="6">
                  <c:v>33950</c:v>
                </c:pt>
                <c:pt idx="7">
                  <c:v>27010</c:v>
                </c:pt>
                <c:pt idx="8">
                  <c:v>45540</c:v>
                </c:pt>
                <c:pt idx="9">
                  <c:v>45492</c:v>
                </c:pt>
                <c:pt idx="10">
                  <c:v>45800</c:v>
                </c:pt>
                <c:pt idx="11">
                  <c:v>46888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23410</c:v>
                </c:pt>
                <c:pt idx="1">
                  <c:v>38647</c:v>
                </c:pt>
                <c:pt idx="2">
                  <c:v>39214</c:v>
                </c:pt>
                <c:pt idx="3">
                  <c:v>40919</c:v>
                </c:pt>
                <c:pt idx="4">
                  <c:v>39560</c:v>
                </c:pt>
                <c:pt idx="5">
                  <c:v>39407</c:v>
                </c:pt>
                <c:pt idx="6">
                  <c:v>28130</c:v>
                </c:pt>
                <c:pt idx="7">
                  <c:v>21214</c:v>
                </c:pt>
                <c:pt idx="8">
                  <c:v>38830</c:v>
                </c:pt>
                <c:pt idx="9">
                  <c:v>38469</c:v>
                </c:pt>
                <c:pt idx="10">
                  <c:v>38750</c:v>
                </c:pt>
                <c:pt idx="11">
                  <c:v>39845.440000000002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5440</c:v>
                </c:pt>
                <c:pt idx="1">
                  <c:v>6673</c:v>
                </c:pt>
                <c:pt idx="2">
                  <c:v>6844</c:v>
                </c:pt>
                <c:pt idx="3">
                  <c:v>6985</c:v>
                </c:pt>
                <c:pt idx="4">
                  <c:v>7160</c:v>
                </c:pt>
                <c:pt idx="5">
                  <c:v>7145</c:v>
                </c:pt>
                <c:pt idx="6">
                  <c:v>5820</c:v>
                </c:pt>
                <c:pt idx="7">
                  <c:v>5796</c:v>
                </c:pt>
                <c:pt idx="8">
                  <c:v>6710</c:v>
                </c:pt>
                <c:pt idx="9">
                  <c:v>7023</c:v>
                </c:pt>
                <c:pt idx="10">
                  <c:v>7050</c:v>
                </c:pt>
                <c:pt idx="11">
                  <c:v>7042.5599999999995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2456</c:v>
                </c:pt>
                <c:pt idx="1">
                  <c:v>2436</c:v>
                </c:pt>
                <c:pt idx="2">
                  <c:v>2820</c:v>
                </c:pt>
                <c:pt idx="3">
                  <c:v>3085</c:v>
                </c:pt>
                <c:pt idx="4">
                  <c:v>3026</c:v>
                </c:pt>
                <c:pt idx="5">
                  <c:v>3179</c:v>
                </c:pt>
                <c:pt idx="6">
                  <c:v>3068</c:v>
                </c:pt>
                <c:pt idx="7">
                  <c:v>2474</c:v>
                </c:pt>
                <c:pt idx="8">
                  <c:v>2470</c:v>
                </c:pt>
                <c:pt idx="9">
                  <c:v>2734</c:v>
                </c:pt>
                <c:pt idx="10">
                  <c:v>3025</c:v>
                </c:pt>
                <c:pt idx="11">
                  <c:v>3014</c:v>
                </c:pt>
                <c:pt idx="12">
                  <c:v>3139.62</c:v>
                </c:pt>
                <c:pt idx="13">
                  <c:v>3187</c:v>
                </c:pt>
                <c:pt idx="14">
                  <c:v>2577.7400000000002</c:v>
                </c:pt>
                <c:pt idx="15">
                  <c:v>2481</c:v>
                </c:pt>
                <c:pt idx="16">
                  <c:v>2946</c:v>
                </c:pt>
                <c:pt idx="17">
                  <c:v>3174</c:v>
                </c:pt>
                <c:pt idx="18">
                  <c:v>3213</c:v>
                </c:pt>
                <c:pt idx="19">
                  <c:v>2969</c:v>
                </c:pt>
                <c:pt idx="20">
                  <c:v>2868</c:v>
                </c:pt>
                <c:pt idx="21">
                  <c:v>2582</c:v>
                </c:pt>
                <c:pt idx="22">
                  <c:v>2361</c:v>
                </c:pt>
                <c:pt idx="23">
                  <c:v>2823.55</c:v>
                </c:pt>
                <c:pt idx="24">
                  <c:v>2865.85</c:v>
                </c:pt>
                <c:pt idx="25">
                  <c:v>2908</c:v>
                </c:pt>
                <c:pt idx="26">
                  <c:v>2911</c:v>
                </c:pt>
                <c:pt idx="27">
                  <c:v>2878</c:v>
                </c:pt>
                <c:pt idx="28">
                  <c:v>2575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topLeftCell="A13" zoomScale="110" zoomScaleNormal="110" zoomScaleSheetLayoutView="120" workbookViewId="0">
      <selection activeCell="H29" sqref="H29:H34"/>
    </sheetView>
  </sheetViews>
  <sheetFormatPr baseColWidth="10" defaultColWidth="11.42578125" defaultRowHeight="15" x14ac:dyDescent="0.25"/>
  <cols>
    <col min="1" max="1" width="2.28515625" style="134" customWidth="1"/>
    <col min="2" max="2" width="10.42578125" style="14" customWidth="1"/>
    <col min="3" max="3" width="2.28515625" style="167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3" customFormat="1" ht="14.65" customHeight="1" x14ac:dyDescent="0.25">
      <c r="A1" s="127">
        <v>1.1111111E+55</v>
      </c>
      <c r="B1" s="202" t="s">
        <v>0</v>
      </c>
      <c r="C1" s="128"/>
      <c r="D1" s="204" t="s">
        <v>1</v>
      </c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  <c r="P1" s="207"/>
      <c r="Q1" s="129"/>
      <c r="R1" s="184" t="s">
        <v>2</v>
      </c>
      <c r="S1" s="185"/>
      <c r="T1" s="185"/>
      <c r="U1" s="185"/>
      <c r="V1" s="185"/>
      <c r="W1" s="185"/>
      <c r="X1" s="185"/>
      <c r="Y1" s="185"/>
      <c r="Z1" s="185"/>
      <c r="AA1" s="186"/>
      <c r="AB1" s="130"/>
      <c r="AC1" s="184" t="s">
        <v>3</v>
      </c>
      <c r="AD1" s="185"/>
      <c r="AE1" s="185"/>
      <c r="AF1" s="185"/>
      <c r="AG1" s="185"/>
      <c r="AH1" s="185"/>
      <c r="AI1" s="185"/>
      <c r="AJ1" s="185"/>
      <c r="AK1" s="186"/>
      <c r="AL1" s="131"/>
      <c r="AM1" s="184" t="s">
        <v>4</v>
      </c>
      <c r="AN1" s="185"/>
      <c r="AO1" s="185"/>
      <c r="AP1" s="185"/>
      <c r="AQ1" s="185"/>
      <c r="AR1" s="185"/>
      <c r="AS1" s="185"/>
      <c r="AT1" s="185"/>
      <c r="AU1" s="186"/>
      <c r="AV1" s="131"/>
      <c r="AW1" s="184" t="s">
        <v>57</v>
      </c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6"/>
      <c r="BI1" s="131"/>
      <c r="BJ1" s="184" t="s">
        <v>5</v>
      </c>
      <c r="BK1" s="185"/>
      <c r="BL1" s="185"/>
      <c r="BM1" s="185"/>
      <c r="BN1" s="185"/>
      <c r="BO1" s="185"/>
      <c r="BP1" s="185"/>
      <c r="BQ1" s="185"/>
      <c r="BR1" s="186"/>
      <c r="BS1" s="132"/>
    </row>
    <row r="2" spans="1:71" ht="15" customHeight="1" thickBot="1" x14ac:dyDescent="0.3">
      <c r="B2" s="202"/>
      <c r="C2" s="1"/>
      <c r="D2" s="208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  <c r="P2" s="211"/>
      <c r="Q2" s="58"/>
      <c r="R2" s="187"/>
      <c r="S2" s="188"/>
      <c r="T2" s="188"/>
      <c r="U2" s="188"/>
      <c r="V2" s="188"/>
      <c r="W2" s="188"/>
      <c r="X2" s="188"/>
      <c r="Y2" s="188"/>
      <c r="Z2" s="188"/>
      <c r="AA2" s="189"/>
      <c r="AB2" s="60"/>
      <c r="AC2" s="187"/>
      <c r="AD2" s="188"/>
      <c r="AE2" s="188"/>
      <c r="AF2" s="188"/>
      <c r="AG2" s="188"/>
      <c r="AH2" s="188"/>
      <c r="AI2" s="188"/>
      <c r="AJ2" s="188"/>
      <c r="AK2" s="189"/>
      <c r="AL2" s="59"/>
      <c r="AM2" s="187"/>
      <c r="AN2" s="188"/>
      <c r="AO2" s="188"/>
      <c r="AP2" s="188"/>
      <c r="AQ2" s="188"/>
      <c r="AR2" s="188"/>
      <c r="AS2" s="188"/>
      <c r="AT2" s="188"/>
      <c r="AU2" s="189"/>
      <c r="AV2" s="59"/>
      <c r="AW2" s="187"/>
      <c r="AX2" s="188"/>
      <c r="AY2" s="188"/>
      <c r="AZ2" s="188"/>
      <c r="BA2" s="188"/>
      <c r="BB2" s="188"/>
      <c r="BC2" s="188"/>
      <c r="BD2" s="188"/>
      <c r="BE2" s="188"/>
      <c r="BF2" s="188"/>
      <c r="BG2" s="188"/>
      <c r="BH2" s="189"/>
      <c r="BI2" s="59"/>
      <c r="BJ2" s="187"/>
      <c r="BK2" s="188"/>
      <c r="BL2" s="188"/>
      <c r="BM2" s="188"/>
      <c r="BN2" s="188"/>
      <c r="BO2" s="188"/>
      <c r="BP2" s="188"/>
      <c r="BQ2" s="188"/>
      <c r="BR2" s="189"/>
      <c r="BS2" s="135"/>
    </row>
    <row r="3" spans="1:71" ht="30" customHeight="1" thickBot="1" x14ac:dyDescent="0.3">
      <c r="B3" s="202"/>
      <c r="C3" s="1"/>
      <c r="D3" s="190" t="s">
        <v>6</v>
      </c>
      <c r="E3" s="190" t="s">
        <v>7</v>
      </c>
      <c r="F3" s="190" t="s">
        <v>8</v>
      </c>
      <c r="G3" s="190" t="s">
        <v>9</v>
      </c>
      <c r="H3" s="190" t="s">
        <v>10</v>
      </c>
      <c r="I3" s="212" t="s">
        <v>11</v>
      </c>
      <c r="J3" s="213"/>
      <c r="K3" s="214"/>
      <c r="L3" s="215"/>
      <c r="M3" s="212" t="s">
        <v>12</v>
      </c>
      <c r="N3" s="213"/>
      <c r="O3" s="214"/>
      <c r="P3" s="215"/>
      <c r="Q3" s="58"/>
      <c r="R3" s="194" t="s">
        <v>13</v>
      </c>
      <c r="S3" s="195"/>
      <c r="T3" s="216"/>
      <c r="U3" s="216"/>
      <c r="V3" s="194" t="s">
        <v>14</v>
      </c>
      <c r="W3" s="195"/>
      <c r="X3" s="195"/>
      <c r="Y3" s="195"/>
      <c r="Z3" s="195"/>
      <c r="AA3" s="196"/>
      <c r="AB3" s="60"/>
      <c r="AC3" s="192" t="s">
        <v>15</v>
      </c>
      <c r="AD3" s="217" t="s">
        <v>9</v>
      </c>
      <c r="AE3" s="194" t="s">
        <v>13</v>
      </c>
      <c r="AF3" s="195"/>
      <c r="AG3" s="196"/>
      <c r="AH3" s="194" t="s">
        <v>14</v>
      </c>
      <c r="AI3" s="195"/>
      <c r="AJ3" s="195"/>
      <c r="AK3" s="196"/>
      <c r="AL3" s="59"/>
      <c r="AM3" s="197" t="s">
        <v>15</v>
      </c>
      <c r="AN3" s="192" t="s">
        <v>9</v>
      </c>
      <c r="AO3" s="201" t="s">
        <v>13</v>
      </c>
      <c r="AP3" s="195"/>
      <c r="AQ3" s="196"/>
      <c r="AR3" s="194" t="s">
        <v>14</v>
      </c>
      <c r="AS3" s="195"/>
      <c r="AT3" s="195"/>
      <c r="AU3" s="196"/>
      <c r="AV3" s="59"/>
      <c r="AW3" s="192" t="s">
        <v>15</v>
      </c>
      <c r="AX3" s="192" t="s">
        <v>9</v>
      </c>
      <c r="AY3" s="201" t="s">
        <v>13</v>
      </c>
      <c r="AZ3" s="201"/>
      <c r="BA3" s="195"/>
      <c r="BB3" s="196"/>
      <c r="BC3" s="194" t="s">
        <v>14</v>
      </c>
      <c r="BD3" s="201"/>
      <c r="BE3" s="201"/>
      <c r="BF3" s="195"/>
      <c r="BG3" s="195"/>
      <c r="BH3" s="196"/>
      <c r="BI3" s="59"/>
      <c r="BJ3" s="197" t="s">
        <v>16</v>
      </c>
      <c r="BK3" s="192" t="s">
        <v>17</v>
      </c>
      <c r="BL3" s="198" t="s">
        <v>18</v>
      </c>
      <c r="BM3" s="199"/>
      <c r="BN3" s="200"/>
      <c r="BO3" s="201" t="s">
        <v>14</v>
      </c>
      <c r="BP3" s="195"/>
      <c r="BQ3" s="195"/>
      <c r="BR3" s="196"/>
      <c r="BS3" s="135"/>
    </row>
    <row r="4" spans="1:71" ht="56.25" customHeight="1" thickBot="1" x14ac:dyDescent="0.3">
      <c r="B4" s="203"/>
      <c r="C4" s="2"/>
      <c r="D4" s="191"/>
      <c r="E4" s="191"/>
      <c r="F4" s="191"/>
      <c r="G4" s="191"/>
      <c r="H4" s="191"/>
      <c r="I4" s="80" t="s">
        <v>3</v>
      </c>
      <c r="J4" s="81" t="s">
        <v>4</v>
      </c>
      <c r="K4" s="82" t="s">
        <v>57</v>
      </c>
      <c r="L4" s="82" t="s">
        <v>5</v>
      </c>
      <c r="M4" s="81" t="s">
        <v>3</v>
      </c>
      <c r="N4" s="81" t="s">
        <v>4</v>
      </c>
      <c r="O4" s="81" t="s">
        <v>57</v>
      </c>
      <c r="P4" s="81" t="s">
        <v>19</v>
      </c>
      <c r="Q4" s="60"/>
      <c r="R4" s="122" t="s">
        <v>20</v>
      </c>
      <c r="S4" s="62" t="s">
        <v>21</v>
      </c>
      <c r="T4" s="62" t="s">
        <v>59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193"/>
      <c r="AD4" s="185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84"/>
      <c r="AN4" s="193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193"/>
      <c r="AX4" s="193"/>
      <c r="AY4" s="123" t="s">
        <v>27</v>
      </c>
      <c r="AZ4" s="62" t="s">
        <v>58</v>
      </c>
      <c r="BA4" s="123" t="s">
        <v>60</v>
      </c>
      <c r="BB4" s="62" t="s">
        <v>29</v>
      </c>
      <c r="BC4" s="123" t="s">
        <v>55</v>
      </c>
      <c r="BD4" s="62" t="s">
        <v>24</v>
      </c>
      <c r="BE4" s="123" t="s">
        <v>56</v>
      </c>
      <c r="BF4" s="62" t="s">
        <v>24</v>
      </c>
      <c r="BG4" s="123" t="s">
        <v>31</v>
      </c>
      <c r="BH4" s="62" t="s">
        <v>24</v>
      </c>
      <c r="BI4" s="61"/>
      <c r="BJ4" s="184"/>
      <c r="BK4" s="193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6"/>
    </row>
    <row r="5" spans="1:71" ht="15.75" thickBot="1" x14ac:dyDescent="0.3">
      <c r="B5" s="137"/>
      <c r="C5" s="138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9"/>
      <c r="S5" s="140"/>
      <c r="T5" s="140"/>
      <c r="U5" s="140"/>
      <c r="V5" s="141"/>
      <c r="W5" s="142"/>
      <c r="X5" s="141"/>
      <c r="Y5" s="142"/>
      <c r="Z5" s="141"/>
      <c r="AA5" s="142"/>
      <c r="AB5" s="64"/>
      <c r="AC5" s="143"/>
      <c r="AD5" s="144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5"/>
    </row>
    <row r="6" spans="1:71" ht="15.75" thickBot="1" x14ac:dyDescent="0.3">
      <c r="B6" s="56">
        <v>46053</v>
      </c>
      <c r="D6" s="87">
        <f t="shared" ref="D6" si="0">R6</f>
        <v>32388</v>
      </c>
      <c r="E6" s="159">
        <f t="shared" ref="E6" si="1">F6/D6</f>
        <v>0.82592318142521925</v>
      </c>
      <c r="F6" s="87">
        <f t="shared" ref="F6" si="2">D6-H6</f>
        <v>26750</v>
      </c>
      <c r="G6" s="159">
        <f t="shared" ref="G6" si="3">H6/D6</f>
        <v>0.17407681857478077</v>
      </c>
      <c r="H6" s="146">
        <f t="shared" ref="H6" si="4">U6+AG6+AQ6+BB6</f>
        <v>5638</v>
      </c>
      <c r="I6" s="160">
        <f t="shared" ref="I6" si="5">AE6/(AE6+AO6+BL6+AY6)</f>
        <v>8.3172573444303594E-2</v>
      </c>
      <c r="J6" s="159">
        <f t="shared" ref="J6" si="6">AO6/(AE6+AO6+BL6+AY6)</f>
        <v>0.13864851457862537</v>
      </c>
      <c r="K6" s="159">
        <f t="shared" ref="K6" si="7">AY6/(AF6+AP6+BM6+AZ6+AY6)</f>
        <v>0.17017044480263382</v>
      </c>
      <c r="L6" s="161">
        <f t="shared" ref="L6" si="8">BL6/(AE6+AO6+BL6+AY6)</f>
        <v>0.64143195722868329</v>
      </c>
      <c r="M6" s="146">
        <f>(S6+T6)*I6</f>
        <v>2625.924488783553</v>
      </c>
      <c r="N6" s="146">
        <f>(S6+T6)*J6</f>
        <v>4377.4109022763605</v>
      </c>
      <c r="O6" s="146">
        <f>(S6+T6)*K6</f>
        <v>5372.6212833087548</v>
      </c>
      <c r="P6" s="146">
        <f>(S6+T6)*L6</f>
        <v>20251.289753623991</v>
      </c>
      <c r="Q6" s="56">
        <f>B6</f>
        <v>46053</v>
      </c>
      <c r="R6" s="139">
        <v>32388</v>
      </c>
      <c r="S6" s="140">
        <v>0</v>
      </c>
      <c r="T6" s="140">
        <v>31572</v>
      </c>
      <c r="U6" s="140">
        <v>0</v>
      </c>
      <c r="V6" s="141">
        <v>6796</v>
      </c>
      <c r="W6" s="142">
        <v>0.39583333333333331</v>
      </c>
      <c r="X6" s="141">
        <v>2147</v>
      </c>
      <c r="Y6" s="142">
        <v>0.88541666666666663</v>
      </c>
      <c r="Z6" s="141">
        <v>0</v>
      </c>
      <c r="AA6" s="142">
        <v>0</v>
      </c>
      <c r="AB6" s="56">
        <f>Q6</f>
        <v>46053</v>
      </c>
      <c r="AC6" s="76">
        <f t="shared" ref="AC6" si="9">+AF6/AE6</f>
        <v>1</v>
      </c>
      <c r="AD6" s="162">
        <f t="shared" ref="AD6" si="10">+AG6/AE6</f>
        <v>0</v>
      </c>
      <c r="AE6" s="163">
        <v>3018</v>
      </c>
      <c r="AF6" s="118">
        <f t="shared" ref="AF6" si="11">+AE6-AG6</f>
        <v>3018</v>
      </c>
      <c r="AG6" s="147">
        <v>0</v>
      </c>
      <c r="AH6" s="148">
        <v>1643</v>
      </c>
      <c r="AI6" s="149">
        <v>0.93263888888888891</v>
      </c>
      <c r="AJ6" s="148">
        <v>0</v>
      </c>
      <c r="AK6" s="165">
        <v>0</v>
      </c>
      <c r="AL6" s="56">
        <f>Q6</f>
        <v>46053</v>
      </c>
      <c r="AM6" s="77">
        <f t="shared" ref="AM6" si="12">+AP6/AO6</f>
        <v>0.41800834824090638</v>
      </c>
      <c r="AN6" s="76">
        <f t="shared" ref="AN6" si="13">+AQ6/AO6</f>
        <v>0.58199165175909362</v>
      </c>
      <c r="AO6" s="150">
        <v>5031</v>
      </c>
      <c r="AP6" s="117">
        <f t="shared" ref="AP6" si="14">AO6-AQ6</f>
        <v>2103</v>
      </c>
      <c r="AQ6" s="151">
        <v>2928</v>
      </c>
      <c r="AR6" s="152">
        <v>1858</v>
      </c>
      <c r="AS6" s="153">
        <v>0.35208333333333336</v>
      </c>
      <c r="AT6" s="152">
        <v>190</v>
      </c>
      <c r="AU6" s="154">
        <v>0.89583333333333337</v>
      </c>
      <c r="AV6" s="56">
        <f>Q6</f>
        <v>46053</v>
      </c>
      <c r="AW6" s="110">
        <f t="shared" ref="AW6" si="15">BA6/AZ6</f>
        <v>0.45384925433293027</v>
      </c>
      <c r="AX6" s="110">
        <f t="shared" ref="AX6" si="16">BB6/AZ6</f>
        <v>0.54615074566706978</v>
      </c>
      <c r="AY6" s="111">
        <f t="shared" ref="AY6:AY37" si="17">BA6+BB6</f>
        <v>4962</v>
      </c>
      <c r="AZ6" s="112">
        <v>4962</v>
      </c>
      <c r="BA6" s="120">
        <f t="shared" ref="BA6:BA36" si="18">AZ6-BB6</f>
        <v>2252</v>
      </c>
      <c r="BB6" s="113">
        <v>2710</v>
      </c>
      <c r="BC6" s="112">
        <v>1583</v>
      </c>
      <c r="BD6" s="114">
        <v>0.88541666666666663</v>
      </c>
      <c r="BE6" s="115">
        <v>0</v>
      </c>
      <c r="BF6" s="114">
        <v>0</v>
      </c>
      <c r="BG6" s="115">
        <v>158</v>
      </c>
      <c r="BH6" s="114">
        <v>0.23958333333333334</v>
      </c>
      <c r="BI6" s="56">
        <f>Q6</f>
        <v>46053</v>
      </c>
      <c r="BJ6" s="78">
        <f t="shared" ref="BJ6" si="19">+BM6/BL6</f>
        <v>0.60640171858216974</v>
      </c>
      <c r="BK6" s="76">
        <f t="shared" ref="BK6" si="20">+BN6/BL6</f>
        <v>0.39359828141783026</v>
      </c>
      <c r="BL6" s="79">
        <f t="shared" ref="BL6" si="21">BM6+BN6</f>
        <v>23275</v>
      </c>
      <c r="BM6" s="155">
        <v>14114</v>
      </c>
      <c r="BN6" s="155">
        <v>9161</v>
      </c>
      <c r="BO6" s="156">
        <v>2561</v>
      </c>
      <c r="BP6" s="157">
        <v>0.37430555555555556</v>
      </c>
      <c r="BQ6" s="158">
        <v>1677</v>
      </c>
      <c r="BR6" s="157">
        <v>0.80972222222222223</v>
      </c>
    </row>
    <row r="7" spans="1:71" ht="15.75" thickBot="1" x14ac:dyDescent="0.3">
      <c r="A7" s="166"/>
      <c r="B7" s="56">
        <f>B6+1</f>
        <v>46054</v>
      </c>
      <c r="C7" s="126"/>
      <c r="D7" s="87">
        <f t="shared" ref="D7:D37" si="22">R7</f>
        <v>28850</v>
      </c>
      <c r="E7" s="159">
        <f t="shared" ref="E7:E10" si="23">F7/D7</f>
        <v>0.8114384748700173</v>
      </c>
      <c r="F7" s="87">
        <f t="shared" ref="F7:F37" si="24">D7-H7</f>
        <v>23410</v>
      </c>
      <c r="G7" s="159">
        <f t="shared" ref="G7:G10" si="25">H7/D7</f>
        <v>0.18856152512998267</v>
      </c>
      <c r="H7" s="146">
        <f t="shared" ref="H7:H37" si="26">U7+AG7+AQ7+BB7</f>
        <v>5440</v>
      </c>
      <c r="I7" s="160">
        <f t="shared" ref="I7:I10" si="27">AE7/(AE7+AO7+BL7+AY7)</f>
        <v>8.4030065028291523E-2</v>
      </c>
      <c r="J7" s="159">
        <f t="shared" ref="J7:J10" si="28">AO7/(AE7+AO7+BL7+AY7)</f>
        <v>0.14061312389156322</v>
      </c>
      <c r="K7" s="159">
        <f t="shared" ref="K7:K10" si="29">AY7/(AF7+AP7+BM7+AZ7+AY7)</f>
        <v>0.15834102036472009</v>
      </c>
      <c r="L7" s="161">
        <f t="shared" ref="L7:L10" si="30">BL7/(AE7+AO7+BL7+AY7)</f>
        <v>0.64971989978323907</v>
      </c>
      <c r="M7" s="146">
        <f t="shared" ref="M7:M10" si="31">(S7+T7)*I7</f>
        <v>2617.5365256312812</v>
      </c>
      <c r="N7" s="146">
        <f t="shared" ref="N7:N10" si="32">(S7+T7)*J7</f>
        <v>4380.0988092221942</v>
      </c>
      <c r="O7" s="146">
        <f t="shared" ref="O7:O10" si="33">(S7+T7)*K7</f>
        <v>4932.3227843610302</v>
      </c>
      <c r="P7" s="146">
        <f t="shared" ref="P7:P10" si="34">(S7+T7)*L7</f>
        <v>20238.774878247896</v>
      </c>
      <c r="Q7" s="56">
        <f>Q6+1</f>
        <v>46054</v>
      </c>
      <c r="R7" s="139">
        <v>28850</v>
      </c>
      <c r="S7" s="140">
        <v>0</v>
      </c>
      <c r="T7" s="140">
        <v>31150</v>
      </c>
      <c r="U7" s="140">
        <v>0</v>
      </c>
      <c r="V7" s="141">
        <v>6490</v>
      </c>
      <c r="W7" s="142">
        <v>0.41666666666666669</v>
      </c>
      <c r="X7" s="141">
        <v>2135</v>
      </c>
      <c r="Y7" s="142">
        <v>0.85416666666666663</v>
      </c>
      <c r="Z7" s="141">
        <v>0</v>
      </c>
      <c r="AA7" s="142">
        <v>0</v>
      </c>
      <c r="AB7" s="56">
        <f>AB6+1</f>
        <v>46054</v>
      </c>
      <c r="AC7" s="76">
        <f t="shared" ref="AC7:AC10" si="35">+AF7/AE7</f>
        <v>1</v>
      </c>
      <c r="AD7" s="162">
        <f t="shared" ref="AD7:AD10" si="36">+AG7/AE7</f>
        <v>0</v>
      </c>
      <c r="AE7" s="163">
        <v>2985</v>
      </c>
      <c r="AF7" s="118">
        <f t="shared" ref="AF7:AF36" si="37">+AE7-AG7</f>
        <v>2985</v>
      </c>
      <c r="AG7" s="147">
        <v>0</v>
      </c>
      <c r="AH7" s="148">
        <v>1590</v>
      </c>
      <c r="AI7" s="149">
        <v>0.875</v>
      </c>
      <c r="AJ7" s="148">
        <v>0</v>
      </c>
      <c r="AK7" s="165">
        <v>0</v>
      </c>
      <c r="AL7" s="56">
        <f t="shared" ref="AL7:AL37" si="38">AL6+1</f>
        <v>46054</v>
      </c>
      <c r="AM7" s="77">
        <f t="shared" ref="AM7:AM10" si="39">+AP7/AO7</f>
        <v>0.44944944944944942</v>
      </c>
      <c r="AN7" s="76">
        <f t="shared" ref="AN7:AN10" si="40">+AQ7/AO7</f>
        <v>0.55055055055055058</v>
      </c>
      <c r="AO7" s="150">
        <v>4995</v>
      </c>
      <c r="AP7" s="117">
        <f t="shared" ref="AP7:AP36" si="41">AO7-AQ7</f>
        <v>2245</v>
      </c>
      <c r="AQ7" s="151">
        <v>2750</v>
      </c>
      <c r="AR7" s="152">
        <v>1720</v>
      </c>
      <c r="AS7" s="153">
        <v>0.39583333333333331</v>
      </c>
      <c r="AT7" s="152">
        <v>185</v>
      </c>
      <c r="AU7" s="154">
        <v>0.83333333333333337</v>
      </c>
      <c r="AV7" s="56">
        <f>AV6+1</f>
        <v>46054</v>
      </c>
      <c r="AW7" s="110">
        <f t="shared" ref="AW7:AW10" si="42">BA7/AZ7</f>
        <v>0.39726641272686536</v>
      </c>
      <c r="AX7" s="110">
        <f t="shared" ref="AX7:AX10" si="43">BB7/AZ7</f>
        <v>0.60273358727313464</v>
      </c>
      <c r="AY7" s="111">
        <f t="shared" si="17"/>
        <v>4463</v>
      </c>
      <c r="AZ7" s="112">
        <v>4463</v>
      </c>
      <c r="BA7" s="120">
        <f t="shared" si="18"/>
        <v>1773</v>
      </c>
      <c r="BB7" s="113">
        <v>2690</v>
      </c>
      <c r="BC7" s="112">
        <v>1520</v>
      </c>
      <c r="BD7" s="114">
        <v>0.83333333333333337</v>
      </c>
      <c r="BE7" s="115">
        <v>0</v>
      </c>
      <c r="BF7" s="114">
        <v>0</v>
      </c>
      <c r="BG7" s="115">
        <v>158</v>
      </c>
      <c r="BH7" s="114">
        <v>0.3125</v>
      </c>
      <c r="BI7" s="56">
        <f>BI6+1</f>
        <v>46054</v>
      </c>
      <c r="BJ7" s="78">
        <f t="shared" ref="BJ7:BJ10" si="44">+BM7/BL7</f>
        <v>0.6078856152512998</v>
      </c>
      <c r="BK7" s="76">
        <f t="shared" ref="BK7:BK10" si="45">+BN7/BL7</f>
        <v>0.3921143847487002</v>
      </c>
      <c r="BL7" s="79">
        <f t="shared" ref="BL7:BL10" si="46">BM7+BN7</f>
        <v>23080</v>
      </c>
      <c r="BM7" s="155">
        <v>14030</v>
      </c>
      <c r="BN7" s="155">
        <v>9050</v>
      </c>
      <c r="BO7" s="156">
        <v>2470</v>
      </c>
      <c r="BP7" s="157">
        <v>0.39583333333333331</v>
      </c>
      <c r="BQ7" s="158">
        <v>1630</v>
      </c>
      <c r="BR7" s="157">
        <v>0.83333333333333337</v>
      </c>
    </row>
    <row r="8" spans="1:71" ht="15.75" thickBot="1" x14ac:dyDescent="0.3">
      <c r="A8" s="166"/>
      <c r="B8" s="56">
        <f t="shared" ref="B8:B37" si="47">B7+1</f>
        <v>46055</v>
      </c>
      <c r="C8" s="164"/>
      <c r="D8" s="87">
        <f t="shared" si="22"/>
        <v>45320</v>
      </c>
      <c r="E8" s="159">
        <f t="shared" si="23"/>
        <v>0.8527581641659312</v>
      </c>
      <c r="F8" s="87">
        <f t="shared" si="24"/>
        <v>38647</v>
      </c>
      <c r="G8" s="159">
        <f t="shared" si="25"/>
        <v>0.14724183583406886</v>
      </c>
      <c r="H8" s="146">
        <f t="shared" si="26"/>
        <v>6673</v>
      </c>
      <c r="I8" s="160">
        <f t="shared" si="27"/>
        <v>0.10777909738717339</v>
      </c>
      <c r="J8" s="159">
        <f t="shared" si="28"/>
        <v>0.15696753760886778</v>
      </c>
      <c r="K8" s="159">
        <f t="shared" si="29"/>
        <v>0.16325742024295409</v>
      </c>
      <c r="L8" s="161">
        <f t="shared" si="30"/>
        <v>0.60144497228820271</v>
      </c>
      <c r="M8" s="146">
        <f t="shared" si="31"/>
        <v>4801.1276722090261</v>
      </c>
      <c r="N8" s="146">
        <f t="shared" si="32"/>
        <v>6992.2759303246239</v>
      </c>
      <c r="O8" s="146">
        <f t="shared" si="33"/>
        <v>7272.4650421426331</v>
      </c>
      <c r="P8" s="146">
        <f t="shared" si="34"/>
        <v>26791.967735550279</v>
      </c>
      <c r="Q8" s="56">
        <f t="shared" ref="Q8:Q37" si="48">Q7+1</f>
        <v>46055</v>
      </c>
      <c r="R8" s="139">
        <v>45320</v>
      </c>
      <c r="S8" s="140">
        <v>0</v>
      </c>
      <c r="T8" s="140">
        <v>44546</v>
      </c>
      <c r="U8" s="140">
        <v>0</v>
      </c>
      <c r="V8" s="141">
        <v>10259</v>
      </c>
      <c r="W8" s="142">
        <v>0.40625</v>
      </c>
      <c r="X8" s="141">
        <v>3498</v>
      </c>
      <c r="Y8" s="142">
        <v>0.80208333333333337</v>
      </c>
      <c r="Z8" s="141">
        <v>0</v>
      </c>
      <c r="AA8" s="142">
        <v>0</v>
      </c>
      <c r="AB8" s="56">
        <f t="shared" ref="AB8:AB37" si="49">AB7+1</f>
        <v>46055</v>
      </c>
      <c r="AC8" s="76">
        <f t="shared" si="35"/>
        <v>0.98549127640036727</v>
      </c>
      <c r="AD8" s="162">
        <f t="shared" si="36"/>
        <v>1.450872359963269E-2</v>
      </c>
      <c r="AE8" s="163">
        <v>5445</v>
      </c>
      <c r="AF8" s="118">
        <f t="shared" si="37"/>
        <v>5366</v>
      </c>
      <c r="AG8" s="147">
        <v>79</v>
      </c>
      <c r="AH8" s="148">
        <v>3037</v>
      </c>
      <c r="AI8" s="149">
        <v>0.36875000000000002</v>
      </c>
      <c r="AJ8" s="148">
        <v>0</v>
      </c>
      <c r="AK8" s="165">
        <v>0</v>
      </c>
      <c r="AL8" s="56">
        <f t="shared" si="38"/>
        <v>46055</v>
      </c>
      <c r="AM8" s="77">
        <f t="shared" si="39"/>
        <v>0.51588902900378308</v>
      </c>
      <c r="AN8" s="76">
        <f t="shared" si="40"/>
        <v>0.48411097099621692</v>
      </c>
      <c r="AO8" s="150">
        <v>7930</v>
      </c>
      <c r="AP8" s="117">
        <f t="shared" si="41"/>
        <v>4091</v>
      </c>
      <c r="AQ8" s="151">
        <v>3839</v>
      </c>
      <c r="AR8" s="152">
        <v>3193</v>
      </c>
      <c r="AS8" s="153">
        <v>0.35</v>
      </c>
      <c r="AT8" s="152">
        <v>185</v>
      </c>
      <c r="AU8" s="154">
        <v>0.26041666666666669</v>
      </c>
      <c r="AV8" s="56">
        <f t="shared" ref="AV8:AV37" si="50">AV7+1</f>
        <v>46055</v>
      </c>
      <c r="AW8" s="110">
        <f t="shared" si="42"/>
        <v>0.59245562130177509</v>
      </c>
      <c r="AX8" s="110">
        <f t="shared" si="43"/>
        <v>0.40754437869822485</v>
      </c>
      <c r="AY8" s="111">
        <f t="shared" si="17"/>
        <v>6760</v>
      </c>
      <c r="AZ8" s="112">
        <v>6760</v>
      </c>
      <c r="BA8" s="120">
        <f t="shared" si="18"/>
        <v>4005</v>
      </c>
      <c r="BB8" s="113">
        <v>2755</v>
      </c>
      <c r="BC8" s="112">
        <v>2724</v>
      </c>
      <c r="BD8" s="114">
        <v>0.69791666666666663</v>
      </c>
      <c r="BE8" s="115">
        <v>0</v>
      </c>
      <c r="BF8" s="114">
        <v>0</v>
      </c>
      <c r="BG8" s="115">
        <v>157</v>
      </c>
      <c r="BH8" s="114">
        <v>0.88541666666666663</v>
      </c>
      <c r="BI8" s="56">
        <f t="shared" ref="BI8:BI37" si="51">BI7+1</f>
        <v>46055</v>
      </c>
      <c r="BJ8" s="78">
        <f t="shared" si="44"/>
        <v>0.60654928418627607</v>
      </c>
      <c r="BK8" s="76">
        <f t="shared" si="45"/>
        <v>0.39345071581372387</v>
      </c>
      <c r="BL8" s="79">
        <f t="shared" si="46"/>
        <v>30385</v>
      </c>
      <c r="BM8" s="155">
        <v>18430</v>
      </c>
      <c r="BN8" s="155">
        <v>11955</v>
      </c>
      <c r="BO8" s="156">
        <v>3370</v>
      </c>
      <c r="BP8" s="157">
        <v>0.71805555555555556</v>
      </c>
      <c r="BQ8" s="158">
        <v>2258</v>
      </c>
      <c r="BR8" s="157">
        <v>0.71805555555555556</v>
      </c>
    </row>
    <row r="9" spans="1:71" ht="15.75" thickBot="1" x14ac:dyDescent="0.3">
      <c r="A9" s="166" t="s">
        <v>67</v>
      </c>
      <c r="B9" s="56">
        <f t="shared" si="47"/>
        <v>46056</v>
      </c>
      <c r="C9" s="164"/>
      <c r="D9" s="87">
        <f t="shared" si="22"/>
        <v>46058</v>
      </c>
      <c r="E9" s="159">
        <f t="shared" si="23"/>
        <v>0.85140475053193798</v>
      </c>
      <c r="F9" s="87">
        <f t="shared" si="24"/>
        <v>39214</v>
      </c>
      <c r="G9" s="159">
        <f t="shared" si="25"/>
        <v>0.14859524946806202</v>
      </c>
      <c r="H9" s="146">
        <f t="shared" si="26"/>
        <v>6844</v>
      </c>
      <c r="I9" s="160">
        <f t="shared" si="27"/>
        <v>0.10063242621694135</v>
      </c>
      <c r="J9" s="159">
        <f t="shared" si="28"/>
        <v>0.14802606362591031</v>
      </c>
      <c r="K9" s="159">
        <f t="shared" si="29"/>
        <v>0.17964936404262632</v>
      </c>
      <c r="L9" s="161">
        <f t="shared" si="30"/>
        <v>0.60111153698735142</v>
      </c>
      <c r="M9" s="146">
        <f t="shared" si="31"/>
        <v>4558.2463779225754</v>
      </c>
      <c r="N9" s="146">
        <f t="shared" si="32"/>
        <v>6704.9885779992337</v>
      </c>
      <c r="O9" s="146">
        <f t="shared" si="33"/>
        <v>8137.397593674802</v>
      </c>
      <c r="P9" s="146">
        <f t="shared" si="34"/>
        <v>27227.948179379069</v>
      </c>
      <c r="Q9" s="56">
        <f t="shared" si="48"/>
        <v>46056</v>
      </c>
      <c r="R9" s="139">
        <v>46058</v>
      </c>
      <c r="S9" s="140">
        <v>0</v>
      </c>
      <c r="T9" s="140">
        <v>45296</v>
      </c>
      <c r="U9" s="140">
        <v>0</v>
      </c>
      <c r="V9" s="141">
        <v>10190</v>
      </c>
      <c r="W9" s="142">
        <v>0.78125</v>
      </c>
      <c r="X9" s="141">
        <v>3414</v>
      </c>
      <c r="Y9" s="142">
        <v>0.85416666666666663</v>
      </c>
      <c r="Z9" s="141">
        <v>0</v>
      </c>
      <c r="AA9" s="142">
        <v>0</v>
      </c>
      <c r="AB9" s="56">
        <f t="shared" si="49"/>
        <v>46056</v>
      </c>
      <c r="AC9" s="76">
        <f t="shared" si="35"/>
        <v>1</v>
      </c>
      <c r="AD9" s="162">
        <f t="shared" si="36"/>
        <v>0</v>
      </c>
      <c r="AE9" s="163">
        <v>5251</v>
      </c>
      <c r="AF9" s="118">
        <f t="shared" si="37"/>
        <v>5251</v>
      </c>
      <c r="AG9" s="147">
        <v>0</v>
      </c>
      <c r="AH9" s="148">
        <v>2471</v>
      </c>
      <c r="AI9" s="149">
        <v>0.73819444444444449</v>
      </c>
      <c r="AJ9" s="148">
        <v>0</v>
      </c>
      <c r="AK9" s="165">
        <v>0</v>
      </c>
      <c r="AL9" s="56">
        <f t="shared" si="38"/>
        <v>46056</v>
      </c>
      <c r="AM9" s="77">
        <f t="shared" si="39"/>
        <v>0.47656654583117558</v>
      </c>
      <c r="AN9" s="76">
        <f t="shared" si="40"/>
        <v>0.52343345416882447</v>
      </c>
      <c r="AO9" s="150">
        <v>7724</v>
      </c>
      <c r="AP9" s="117">
        <f t="shared" si="41"/>
        <v>3681</v>
      </c>
      <c r="AQ9" s="151">
        <v>4043</v>
      </c>
      <c r="AR9" s="152">
        <v>2557</v>
      </c>
      <c r="AS9" s="153">
        <v>0.73472222222222228</v>
      </c>
      <c r="AT9" s="152">
        <v>200</v>
      </c>
      <c r="AU9" s="154">
        <v>0.70833333333333337</v>
      </c>
      <c r="AV9" s="56">
        <f t="shared" si="50"/>
        <v>46056</v>
      </c>
      <c r="AW9" s="110">
        <f t="shared" si="42"/>
        <v>0.64268401581834422</v>
      </c>
      <c r="AX9" s="110">
        <f t="shared" si="43"/>
        <v>0.35731598418165583</v>
      </c>
      <c r="AY9" s="111">
        <f t="shared" si="17"/>
        <v>7839</v>
      </c>
      <c r="AZ9" s="112">
        <v>7839</v>
      </c>
      <c r="BA9" s="120">
        <f t="shared" si="18"/>
        <v>5038</v>
      </c>
      <c r="BB9" s="113">
        <v>2801</v>
      </c>
      <c r="BC9" s="112">
        <v>3707</v>
      </c>
      <c r="BD9" s="114">
        <v>0.85416666666666663</v>
      </c>
      <c r="BE9" s="115">
        <v>0</v>
      </c>
      <c r="BF9" s="114">
        <v>0</v>
      </c>
      <c r="BG9" s="115">
        <v>164</v>
      </c>
      <c r="BH9" s="114">
        <v>0.86458333333333337</v>
      </c>
      <c r="BI9" s="56">
        <f t="shared" si="51"/>
        <v>46056</v>
      </c>
      <c r="BJ9" s="78">
        <f t="shared" si="44"/>
        <v>0.60654849199770455</v>
      </c>
      <c r="BK9" s="76">
        <f t="shared" si="45"/>
        <v>0.3934515080022955</v>
      </c>
      <c r="BL9" s="79">
        <f t="shared" si="46"/>
        <v>31366</v>
      </c>
      <c r="BM9" s="155">
        <v>19025</v>
      </c>
      <c r="BN9" s="155">
        <v>12341</v>
      </c>
      <c r="BO9" s="156">
        <v>3456</v>
      </c>
      <c r="BP9" s="157">
        <v>0.58402777777777781</v>
      </c>
      <c r="BQ9" s="158">
        <v>2303</v>
      </c>
      <c r="BR9" s="157">
        <v>0.58472222222222225</v>
      </c>
    </row>
    <row r="10" spans="1:71" ht="15.75" thickBot="1" x14ac:dyDescent="0.3">
      <c r="B10" s="56">
        <f t="shared" si="47"/>
        <v>46057</v>
      </c>
      <c r="C10" s="164"/>
      <c r="D10" s="87">
        <f t="shared" si="22"/>
        <v>47904</v>
      </c>
      <c r="E10" s="159">
        <f t="shared" si="23"/>
        <v>0.85418754175016698</v>
      </c>
      <c r="F10" s="87">
        <f t="shared" si="24"/>
        <v>40919</v>
      </c>
      <c r="G10" s="159">
        <f t="shared" si="25"/>
        <v>0.14581245824983299</v>
      </c>
      <c r="H10" s="146">
        <f t="shared" si="26"/>
        <v>6985</v>
      </c>
      <c r="I10" s="160">
        <f t="shared" si="27"/>
        <v>9.9291727916610992E-2</v>
      </c>
      <c r="J10" s="159">
        <f t="shared" si="28"/>
        <v>0.13426624157614403</v>
      </c>
      <c r="K10" s="159">
        <f t="shared" si="29"/>
        <v>0.16637884128598804</v>
      </c>
      <c r="L10" s="161">
        <f t="shared" si="30"/>
        <v>0.63217578893110093</v>
      </c>
      <c r="M10" s="146">
        <f t="shared" si="31"/>
        <v>4680.0163036215426</v>
      </c>
      <c r="N10" s="146">
        <f t="shared" si="32"/>
        <v>6328.5050304499728</v>
      </c>
      <c r="O10" s="146">
        <f t="shared" si="33"/>
        <v>7842.1003051737598</v>
      </c>
      <c r="P10" s="146">
        <f t="shared" si="34"/>
        <v>29796.973635478513</v>
      </c>
      <c r="Q10" s="56">
        <f t="shared" si="48"/>
        <v>46057</v>
      </c>
      <c r="R10" s="139">
        <v>47904</v>
      </c>
      <c r="S10" s="140">
        <v>0</v>
      </c>
      <c r="T10" s="140">
        <v>47134</v>
      </c>
      <c r="U10" s="140">
        <v>0</v>
      </c>
      <c r="V10" s="141">
        <v>11035</v>
      </c>
      <c r="W10" s="142">
        <v>0.78125</v>
      </c>
      <c r="X10" s="141">
        <v>3573</v>
      </c>
      <c r="Y10" s="142">
        <v>0.80208333333333337</v>
      </c>
      <c r="Z10" s="141">
        <v>0</v>
      </c>
      <c r="AA10" s="142">
        <v>0</v>
      </c>
      <c r="AB10" s="56">
        <f t="shared" si="49"/>
        <v>46057</v>
      </c>
      <c r="AC10" s="76">
        <f t="shared" si="35"/>
        <v>1</v>
      </c>
      <c r="AD10" s="162">
        <f t="shared" si="36"/>
        <v>0</v>
      </c>
      <c r="AE10" s="163">
        <v>5201</v>
      </c>
      <c r="AF10" s="118">
        <f t="shared" si="37"/>
        <v>5201</v>
      </c>
      <c r="AG10" s="147">
        <v>0</v>
      </c>
      <c r="AH10" s="148">
        <v>2775</v>
      </c>
      <c r="AI10" s="149">
        <v>0.7368055555555556</v>
      </c>
      <c r="AJ10" s="148">
        <v>0</v>
      </c>
      <c r="AK10" s="165">
        <v>0</v>
      </c>
      <c r="AL10" s="56">
        <f t="shared" si="38"/>
        <v>46057</v>
      </c>
      <c r="AM10" s="77">
        <f t="shared" si="39"/>
        <v>0.41874022465519695</v>
      </c>
      <c r="AN10" s="76">
        <f t="shared" si="40"/>
        <v>0.58125977534480311</v>
      </c>
      <c r="AO10" s="150">
        <v>7033</v>
      </c>
      <c r="AP10" s="117">
        <f t="shared" si="41"/>
        <v>2945</v>
      </c>
      <c r="AQ10" s="151">
        <v>4088</v>
      </c>
      <c r="AR10" s="152">
        <v>3261</v>
      </c>
      <c r="AS10" s="153">
        <v>0.73333333333333328</v>
      </c>
      <c r="AT10" s="152">
        <v>190</v>
      </c>
      <c r="AU10" s="154">
        <v>0.86458333333333337</v>
      </c>
      <c r="AV10" s="56">
        <f t="shared" si="50"/>
        <v>46057</v>
      </c>
      <c r="AW10" s="110">
        <f t="shared" si="42"/>
        <v>0.5880847433527655</v>
      </c>
      <c r="AX10" s="110">
        <f t="shared" si="43"/>
        <v>0.41191525664723444</v>
      </c>
      <c r="AY10" s="111">
        <f t="shared" si="17"/>
        <v>7033</v>
      </c>
      <c r="AZ10" s="112">
        <v>7033</v>
      </c>
      <c r="BA10" s="120">
        <f t="shared" si="18"/>
        <v>4136</v>
      </c>
      <c r="BB10" s="113">
        <v>2897</v>
      </c>
      <c r="BC10" s="112">
        <v>2932</v>
      </c>
      <c r="BD10" s="114">
        <v>0.75</v>
      </c>
      <c r="BE10" s="115">
        <v>0</v>
      </c>
      <c r="BF10" s="114">
        <v>0</v>
      </c>
      <c r="BG10" s="115">
        <v>172</v>
      </c>
      <c r="BH10" s="114">
        <v>0.89583333333333337</v>
      </c>
      <c r="BI10" s="56">
        <f t="shared" si="51"/>
        <v>46057</v>
      </c>
      <c r="BJ10" s="78">
        <f t="shared" si="44"/>
        <v>0.60575587364860783</v>
      </c>
      <c r="BK10" s="76">
        <f t="shared" si="45"/>
        <v>0.39424412635139217</v>
      </c>
      <c r="BL10" s="79">
        <f t="shared" si="46"/>
        <v>33114</v>
      </c>
      <c r="BM10" s="155">
        <v>20059</v>
      </c>
      <c r="BN10" s="155">
        <v>13055</v>
      </c>
      <c r="BO10" s="156">
        <v>3630</v>
      </c>
      <c r="BP10" s="157">
        <v>0.75138888888888888</v>
      </c>
      <c r="BQ10" s="158">
        <v>2293</v>
      </c>
      <c r="BR10" s="157">
        <v>0.75138888888888888</v>
      </c>
      <c r="BS10" s="14" t="s">
        <v>68</v>
      </c>
    </row>
    <row r="11" spans="1:71" ht="15.75" thickBot="1" x14ac:dyDescent="0.3">
      <c r="B11" s="56">
        <f t="shared" si="47"/>
        <v>46058</v>
      </c>
      <c r="C11" s="164"/>
      <c r="D11" s="87">
        <f t="shared" si="22"/>
        <v>46720</v>
      </c>
      <c r="E11" s="159">
        <f t="shared" ref="E11:E24" si="52">F11/D11</f>
        <v>0.84674657534246578</v>
      </c>
      <c r="F11" s="87">
        <f t="shared" si="24"/>
        <v>39560</v>
      </c>
      <c r="G11" s="159">
        <f t="shared" ref="G11:G24" si="53">H11/D11</f>
        <v>0.15325342465753425</v>
      </c>
      <c r="H11" s="146">
        <f t="shared" si="26"/>
        <v>7160</v>
      </c>
      <c r="I11" s="160">
        <f t="shared" ref="I11:I24" si="54">AE11/(AE11+AO11+BL11+AY11)</f>
        <v>0.10197918870573754</v>
      </c>
      <c r="J11" s="159">
        <f t="shared" ref="J11:J24" si="55">AO11/(AE11+AO11+BL11+AY11)</f>
        <v>0.1561808774595603</v>
      </c>
      <c r="K11" s="159">
        <f t="shared" ref="K11:K24" si="56">AY11/(AF11+AP11+BM11+AZ11+AY11)</f>
        <v>0.16490995887885807</v>
      </c>
      <c r="L11" s="161">
        <f t="shared" ref="L11:L24" si="57">BL11/(AE11+AO11+BL11+AY11)</f>
        <v>0.60762439653016864</v>
      </c>
      <c r="M11" s="146">
        <f t="shared" ref="M11:M24" si="58">(S11+T11)*I11</f>
        <v>4685.6377834625227</v>
      </c>
      <c r="N11" s="146">
        <f t="shared" ref="N11:N24" si="59">(S11+T11)*J11</f>
        <v>7176.0427766344174</v>
      </c>
      <c r="O11" s="146">
        <f t="shared" ref="O11:O24" si="60">(S11+T11)*K11</f>
        <v>7577.117880606892</v>
      </c>
      <c r="P11" s="146">
        <f t="shared" ref="P11:P24" si="61">(S11+T11)*L11</f>
        <v>27918.518147371658</v>
      </c>
      <c r="Q11" s="56">
        <f t="shared" si="48"/>
        <v>46058</v>
      </c>
      <c r="R11" s="139">
        <v>46720</v>
      </c>
      <c r="S11" s="140">
        <v>0</v>
      </c>
      <c r="T11" s="140">
        <v>45947</v>
      </c>
      <c r="U11" s="140">
        <v>0</v>
      </c>
      <c r="V11" s="141">
        <v>9848</v>
      </c>
      <c r="W11" s="142">
        <v>0.88541666666666663</v>
      </c>
      <c r="X11" s="141">
        <v>3562</v>
      </c>
      <c r="Y11" s="142">
        <v>0.80208333333333337</v>
      </c>
      <c r="Z11" s="141">
        <v>0</v>
      </c>
      <c r="AA11" s="142">
        <v>0</v>
      </c>
      <c r="AB11" s="56">
        <f t="shared" si="49"/>
        <v>46058</v>
      </c>
      <c r="AC11" s="76">
        <f t="shared" ref="AC11:AC25" si="62">+AF11/AE11</f>
        <v>1</v>
      </c>
      <c r="AD11" s="162">
        <f t="shared" ref="AD11:AD25" si="63">+AG11/AE11</f>
        <v>0</v>
      </c>
      <c r="AE11" s="163">
        <v>5302</v>
      </c>
      <c r="AF11" s="118">
        <f t="shared" si="37"/>
        <v>5302</v>
      </c>
      <c r="AG11" s="147">
        <v>0</v>
      </c>
      <c r="AH11" s="148">
        <v>2181</v>
      </c>
      <c r="AI11" s="149">
        <v>0.39374999999999999</v>
      </c>
      <c r="AJ11" s="148">
        <v>0</v>
      </c>
      <c r="AK11" s="165">
        <v>0</v>
      </c>
      <c r="AL11" s="56">
        <f t="shared" si="38"/>
        <v>46058</v>
      </c>
      <c r="AM11" s="77">
        <f t="shared" ref="AM11:AM25" si="64">+AP11/AO11</f>
        <v>0.48325123152709359</v>
      </c>
      <c r="AN11" s="76">
        <f t="shared" ref="AN11:AN25" si="65">+AQ11/AO11</f>
        <v>0.51674876847290641</v>
      </c>
      <c r="AO11" s="150">
        <v>8120</v>
      </c>
      <c r="AP11" s="117">
        <f t="shared" si="41"/>
        <v>3924</v>
      </c>
      <c r="AQ11" s="151">
        <v>4196</v>
      </c>
      <c r="AR11" s="152">
        <v>2321</v>
      </c>
      <c r="AS11" s="153">
        <v>0.69652777777777775</v>
      </c>
      <c r="AT11" s="152">
        <v>206</v>
      </c>
      <c r="AU11" s="154">
        <v>0.6875</v>
      </c>
      <c r="AV11" s="56">
        <f t="shared" si="50"/>
        <v>46058</v>
      </c>
      <c r="AW11" s="110">
        <f t="shared" ref="AW11:AW25" si="66">BA11/AZ11</f>
        <v>0.57523645743766127</v>
      </c>
      <c r="AX11" s="110">
        <f t="shared" ref="AX11:AX25" si="67">BB11/AZ11</f>
        <v>0.42476354256233878</v>
      </c>
      <c r="AY11" s="111">
        <f t="shared" si="17"/>
        <v>6978</v>
      </c>
      <c r="AZ11" s="112">
        <v>6978</v>
      </c>
      <c r="BA11" s="120">
        <f t="shared" si="18"/>
        <v>4014</v>
      </c>
      <c r="BB11" s="113">
        <v>2964</v>
      </c>
      <c r="BC11" s="112">
        <v>2884</v>
      </c>
      <c r="BD11" s="114">
        <v>0.84375</v>
      </c>
      <c r="BE11" s="115">
        <v>0</v>
      </c>
      <c r="BF11" s="114">
        <v>0</v>
      </c>
      <c r="BG11" s="115">
        <v>185</v>
      </c>
      <c r="BH11" s="114">
        <v>0.88541666666666663</v>
      </c>
      <c r="BI11" s="56">
        <f t="shared" si="51"/>
        <v>46058</v>
      </c>
      <c r="BJ11" s="78">
        <f t="shared" ref="BJ11:BJ25" si="68">+BM11/BL11</f>
        <v>0.60561552340856573</v>
      </c>
      <c r="BK11" s="76">
        <f t="shared" ref="BK11:BK25" si="69">+BN11/BL11</f>
        <v>0.39438447659143427</v>
      </c>
      <c r="BL11" s="79">
        <f t="shared" ref="BL11:BL25" si="70">BM11+BN11</f>
        <v>31591</v>
      </c>
      <c r="BM11" s="155">
        <v>19132</v>
      </c>
      <c r="BN11" s="155">
        <v>12459</v>
      </c>
      <c r="BO11" s="156">
        <v>3634</v>
      </c>
      <c r="BP11" s="157">
        <v>0.84375</v>
      </c>
      <c r="BQ11" s="158">
        <v>2414</v>
      </c>
      <c r="BR11" s="157">
        <v>0.84375</v>
      </c>
    </row>
    <row r="12" spans="1:71" ht="15.75" thickBot="1" x14ac:dyDescent="0.3">
      <c r="B12" s="56">
        <f t="shared" si="47"/>
        <v>46059</v>
      </c>
      <c r="C12" s="164"/>
      <c r="D12" s="87">
        <f t="shared" si="22"/>
        <v>46552</v>
      </c>
      <c r="E12" s="159">
        <f t="shared" si="52"/>
        <v>0.8465157243512631</v>
      </c>
      <c r="F12" s="87">
        <f t="shared" si="24"/>
        <v>39407</v>
      </c>
      <c r="G12" s="159">
        <f>H12/D12</f>
        <v>0.1534842756487369</v>
      </c>
      <c r="H12" s="146">
        <f t="shared" si="26"/>
        <v>7145</v>
      </c>
      <c r="I12" s="160">
        <f t="shared" si="54"/>
        <v>0.10106167748896897</v>
      </c>
      <c r="J12" s="159">
        <f t="shared" si="55"/>
        <v>0.1544923794292761</v>
      </c>
      <c r="K12" s="159">
        <f t="shared" si="56"/>
        <v>0.16367426216305841</v>
      </c>
      <c r="L12" s="161">
        <f t="shared" si="57"/>
        <v>0.61130272259581109</v>
      </c>
      <c r="M12" s="146">
        <f t="shared" si="58"/>
        <v>4624.7844852501976</v>
      </c>
      <c r="N12" s="146">
        <f t="shared" si="59"/>
        <v>7069.8802674425333</v>
      </c>
      <c r="O12" s="146">
        <f t="shared" si="60"/>
        <v>7490.0615851058792</v>
      </c>
      <c r="P12" s="146">
        <f t="shared" si="61"/>
        <v>27974.435191429508</v>
      </c>
      <c r="Q12" s="56">
        <f t="shared" si="48"/>
        <v>46059</v>
      </c>
      <c r="R12" s="139">
        <v>46552</v>
      </c>
      <c r="S12" s="140">
        <v>0</v>
      </c>
      <c r="T12" s="140">
        <v>45762</v>
      </c>
      <c r="U12" s="140">
        <v>0</v>
      </c>
      <c r="V12" s="141">
        <v>9694</v>
      </c>
      <c r="W12" s="142">
        <v>0.39583333333333331</v>
      </c>
      <c r="X12" s="141">
        <v>3650</v>
      </c>
      <c r="Y12" s="142">
        <v>0.79166666666666663</v>
      </c>
      <c r="Z12" s="141">
        <v>0</v>
      </c>
      <c r="AA12" s="142">
        <v>0</v>
      </c>
      <c r="AB12" s="56">
        <f t="shared" si="49"/>
        <v>46059</v>
      </c>
      <c r="AC12" s="76">
        <f t="shared" si="62"/>
        <v>1</v>
      </c>
      <c r="AD12" s="162">
        <f t="shared" si="63"/>
        <v>0</v>
      </c>
      <c r="AE12" s="163">
        <v>5245</v>
      </c>
      <c r="AF12" s="118">
        <f t="shared" si="37"/>
        <v>5245</v>
      </c>
      <c r="AG12" s="147">
        <v>0</v>
      </c>
      <c r="AH12" s="148">
        <v>2241</v>
      </c>
      <c r="AI12" s="149">
        <v>0.35486111111111113</v>
      </c>
      <c r="AJ12" s="148">
        <v>0</v>
      </c>
      <c r="AK12" s="165">
        <v>0</v>
      </c>
      <c r="AL12" s="56">
        <f t="shared" si="38"/>
        <v>46059</v>
      </c>
      <c r="AM12" s="77">
        <f t="shared" si="64"/>
        <v>0.48191568969817911</v>
      </c>
      <c r="AN12" s="76">
        <f t="shared" si="65"/>
        <v>0.51808431030182089</v>
      </c>
      <c r="AO12" s="150">
        <v>8018</v>
      </c>
      <c r="AP12" s="117">
        <f t="shared" si="41"/>
        <v>3864</v>
      </c>
      <c r="AQ12" s="151">
        <v>4154</v>
      </c>
      <c r="AR12" s="152">
        <v>2366</v>
      </c>
      <c r="AS12" s="153">
        <v>0.78888888888888886</v>
      </c>
      <c r="AT12" s="152">
        <v>204</v>
      </c>
      <c r="AU12" s="154">
        <v>0.71875</v>
      </c>
      <c r="AV12" s="56">
        <f t="shared" si="50"/>
        <v>46059</v>
      </c>
      <c r="AW12" s="110">
        <f t="shared" si="66"/>
        <v>0.56714905933429816</v>
      </c>
      <c r="AX12" s="110">
        <f t="shared" si="67"/>
        <v>0.4328509406657019</v>
      </c>
      <c r="AY12" s="111">
        <f t="shared" si="17"/>
        <v>6910</v>
      </c>
      <c r="AZ12" s="112">
        <v>6910</v>
      </c>
      <c r="BA12" s="120">
        <f t="shared" si="18"/>
        <v>3919</v>
      </c>
      <c r="BB12" s="113">
        <v>2991</v>
      </c>
      <c r="BC12" s="112">
        <v>2715</v>
      </c>
      <c r="BD12" s="114">
        <v>0.35416666666666669</v>
      </c>
      <c r="BE12" s="115">
        <v>0</v>
      </c>
      <c r="BF12" s="114">
        <v>0</v>
      </c>
      <c r="BG12" s="115">
        <v>173</v>
      </c>
      <c r="BH12" s="114">
        <v>0.90625</v>
      </c>
      <c r="BI12" s="56">
        <f t="shared" si="51"/>
        <v>46059</v>
      </c>
      <c r="BJ12" s="78">
        <f t="shared" si="68"/>
        <v>0.60798713988526765</v>
      </c>
      <c r="BK12" s="76">
        <f t="shared" si="69"/>
        <v>0.39201286011473241</v>
      </c>
      <c r="BL12" s="79">
        <f t="shared" si="70"/>
        <v>31726</v>
      </c>
      <c r="BM12" s="155">
        <v>19289</v>
      </c>
      <c r="BN12" s="155">
        <v>12437</v>
      </c>
      <c r="BO12" s="156">
        <v>3437</v>
      </c>
      <c r="BP12" s="157">
        <v>0.74305555555555558</v>
      </c>
      <c r="BQ12" s="158">
        <v>2284</v>
      </c>
      <c r="BR12" s="157">
        <v>0.74305555555555558</v>
      </c>
    </row>
    <row r="13" spans="1:71" ht="15.75" thickBot="1" x14ac:dyDescent="0.3">
      <c r="B13" s="56">
        <f t="shared" si="47"/>
        <v>46060</v>
      </c>
      <c r="C13" s="164"/>
      <c r="D13" s="87">
        <f t="shared" si="22"/>
        <v>33950</v>
      </c>
      <c r="E13" s="159">
        <f t="shared" si="52"/>
        <v>0.82857142857142863</v>
      </c>
      <c r="F13" s="87">
        <f t="shared" si="24"/>
        <v>28130</v>
      </c>
      <c r="G13" s="159">
        <f t="shared" si="53"/>
        <v>0.17142857142857143</v>
      </c>
      <c r="H13" s="146">
        <f t="shared" si="26"/>
        <v>5820</v>
      </c>
      <c r="I13" s="160">
        <f t="shared" si="54"/>
        <v>8.4999338011386205E-2</v>
      </c>
      <c r="J13" s="159">
        <f t="shared" si="55"/>
        <v>0.13848801800609029</v>
      </c>
      <c r="K13" s="159">
        <f t="shared" si="56"/>
        <v>0.16355599214145383</v>
      </c>
      <c r="L13" s="161">
        <f t="shared" si="57"/>
        <v>0.64424731894611409</v>
      </c>
      <c r="M13" s="146">
        <f t="shared" si="58"/>
        <v>2687.6790679200317</v>
      </c>
      <c r="N13" s="146">
        <f t="shared" si="59"/>
        <v>4378.9911293525747</v>
      </c>
      <c r="O13" s="146">
        <f t="shared" si="60"/>
        <v>5171.6404715127701</v>
      </c>
      <c r="P13" s="146">
        <f t="shared" si="61"/>
        <v>20371.100225076127</v>
      </c>
      <c r="Q13" s="56">
        <f t="shared" si="48"/>
        <v>46060</v>
      </c>
      <c r="R13" s="139">
        <v>33950</v>
      </c>
      <c r="S13" s="140">
        <v>0</v>
      </c>
      <c r="T13" s="140">
        <v>31620</v>
      </c>
      <c r="U13" s="140">
        <v>0</v>
      </c>
      <c r="V13" s="141">
        <v>6810</v>
      </c>
      <c r="W13" s="142">
        <v>0.35416666666666669</v>
      </c>
      <c r="X13" s="141">
        <v>2185</v>
      </c>
      <c r="Y13" s="142">
        <v>0.75</v>
      </c>
      <c r="Z13" s="141">
        <v>0</v>
      </c>
      <c r="AA13" s="142">
        <v>0</v>
      </c>
      <c r="AB13" s="168">
        <f t="shared" si="49"/>
        <v>46060</v>
      </c>
      <c r="AC13" s="76">
        <f t="shared" si="62"/>
        <v>1</v>
      </c>
      <c r="AD13" s="162">
        <f t="shared" si="63"/>
        <v>0</v>
      </c>
      <c r="AE13" s="163">
        <v>3210</v>
      </c>
      <c r="AF13" s="118">
        <f t="shared" si="37"/>
        <v>3210</v>
      </c>
      <c r="AG13" s="147">
        <v>0</v>
      </c>
      <c r="AH13" s="148">
        <v>1790</v>
      </c>
      <c r="AI13" s="149">
        <v>0.89583333333333337</v>
      </c>
      <c r="AJ13" s="148">
        <v>0</v>
      </c>
      <c r="AK13" s="165">
        <v>0</v>
      </c>
      <c r="AL13" s="168">
        <f t="shared" si="38"/>
        <v>46060</v>
      </c>
      <c r="AM13" s="77">
        <f t="shared" si="64"/>
        <v>0.42829827915869984</v>
      </c>
      <c r="AN13" s="76">
        <f t="shared" si="65"/>
        <v>0.57170172084130022</v>
      </c>
      <c r="AO13" s="150">
        <v>5230</v>
      </c>
      <c r="AP13" s="117">
        <f t="shared" si="41"/>
        <v>2240</v>
      </c>
      <c r="AQ13" s="151">
        <v>2990</v>
      </c>
      <c r="AR13" s="152">
        <v>1875</v>
      </c>
      <c r="AS13" s="153">
        <v>0.8125</v>
      </c>
      <c r="AT13" s="152">
        <v>190</v>
      </c>
      <c r="AU13" s="154">
        <v>0.75</v>
      </c>
      <c r="AV13" s="168">
        <f t="shared" si="50"/>
        <v>46060</v>
      </c>
      <c r="AW13" s="169">
        <f t="shared" si="66"/>
        <v>0.43343343343343343</v>
      </c>
      <c r="AX13" s="169">
        <f t="shared" si="67"/>
        <v>0.56656656656656657</v>
      </c>
      <c r="AY13" s="111">
        <f t="shared" si="17"/>
        <v>4995</v>
      </c>
      <c r="AZ13" s="112">
        <v>4995</v>
      </c>
      <c r="BA13" s="120">
        <f t="shared" si="18"/>
        <v>2165</v>
      </c>
      <c r="BB13" s="113">
        <v>2830</v>
      </c>
      <c r="BC13" s="112">
        <v>1598</v>
      </c>
      <c r="BD13" s="114">
        <v>0.79166666666666663</v>
      </c>
      <c r="BE13" s="115">
        <v>0</v>
      </c>
      <c r="BF13" s="114">
        <v>0</v>
      </c>
      <c r="BG13" s="115">
        <v>162</v>
      </c>
      <c r="BH13" s="114">
        <v>0.85416666666666663</v>
      </c>
      <c r="BI13" s="168">
        <f t="shared" si="51"/>
        <v>46060</v>
      </c>
      <c r="BJ13" s="170">
        <f t="shared" si="68"/>
        <v>0.62063296341964658</v>
      </c>
      <c r="BK13" s="76">
        <f t="shared" si="69"/>
        <v>0.37936703658035348</v>
      </c>
      <c r="BL13" s="79">
        <f t="shared" si="70"/>
        <v>24330</v>
      </c>
      <c r="BM13" s="155">
        <v>15100</v>
      </c>
      <c r="BN13" s="155">
        <v>9230</v>
      </c>
      <c r="BO13" s="156">
        <v>2585</v>
      </c>
      <c r="BP13" s="157">
        <v>0.39583333333333331</v>
      </c>
      <c r="BQ13" s="158">
        <v>1692</v>
      </c>
      <c r="BR13" s="157">
        <v>0.75</v>
      </c>
    </row>
    <row r="14" spans="1:71" ht="15.75" thickBot="1" x14ac:dyDescent="0.3">
      <c r="B14" s="56">
        <f t="shared" si="47"/>
        <v>46061</v>
      </c>
      <c r="C14" s="164"/>
      <c r="D14" s="87">
        <f t="shared" si="22"/>
        <v>27010</v>
      </c>
      <c r="E14" s="159">
        <f t="shared" si="52"/>
        <v>0.78541281007034436</v>
      </c>
      <c r="F14" s="87">
        <f t="shared" si="24"/>
        <v>21214</v>
      </c>
      <c r="G14" s="159">
        <f t="shared" si="53"/>
        <v>0.21458718992965567</v>
      </c>
      <c r="H14" s="146">
        <f t="shared" si="26"/>
        <v>5796</v>
      </c>
      <c r="I14" s="160">
        <f t="shared" si="54"/>
        <v>6.7932404228102067E-2</v>
      </c>
      <c r="J14" s="159">
        <f t="shared" si="55"/>
        <v>0.16064094795664174</v>
      </c>
      <c r="K14" s="159">
        <f t="shared" si="56"/>
        <v>0.16994891052792455</v>
      </c>
      <c r="L14" s="161">
        <f t="shared" si="57"/>
        <v>0.64040934491348545</v>
      </c>
      <c r="M14" s="146">
        <f t="shared" si="58"/>
        <v>1640.9072241298054</v>
      </c>
      <c r="N14" s="146">
        <f t="shared" si="59"/>
        <v>3880.2820978926811</v>
      </c>
      <c r="O14" s="146">
        <f t="shared" si="60"/>
        <v>4105.115933802017</v>
      </c>
      <c r="P14" s="146">
        <f t="shared" si="61"/>
        <v>15469.087726385242</v>
      </c>
      <c r="Q14" s="56">
        <f t="shared" si="48"/>
        <v>46061</v>
      </c>
      <c r="R14" s="139">
        <v>27010</v>
      </c>
      <c r="S14" s="140">
        <v>533</v>
      </c>
      <c r="T14" s="140">
        <v>23622</v>
      </c>
      <c r="U14" s="140">
        <v>163</v>
      </c>
      <c r="V14" s="141">
        <v>6275</v>
      </c>
      <c r="W14" s="142">
        <v>0.98958333333333337</v>
      </c>
      <c r="X14" s="141">
        <v>1839</v>
      </c>
      <c r="Y14" s="142">
        <v>0.90625</v>
      </c>
      <c r="Z14" s="141">
        <v>188</v>
      </c>
      <c r="AA14" s="142">
        <v>0.13541666666666666</v>
      </c>
      <c r="AB14" s="56">
        <f t="shared" si="49"/>
        <v>46061</v>
      </c>
      <c r="AC14" s="76">
        <f t="shared" si="62"/>
        <v>1</v>
      </c>
      <c r="AD14" s="162">
        <f t="shared" si="63"/>
        <v>0</v>
      </c>
      <c r="AE14" s="163">
        <v>2018</v>
      </c>
      <c r="AF14" s="118">
        <f t="shared" ref="AF14" si="71">+AE14-AG14</f>
        <v>2018</v>
      </c>
      <c r="AG14" s="147">
        <v>0</v>
      </c>
      <c r="AH14" s="148">
        <v>1544</v>
      </c>
      <c r="AI14" s="149">
        <v>0.92291666666666672</v>
      </c>
      <c r="AJ14" s="148">
        <v>0</v>
      </c>
      <c r="AK14" s="165">
        <v>0</v>
      </c>
      <c r="AL14" s="56">
        <f t="shared" si="38"/>
        <v>46061</v>
      </c>
      <c r="AM14" s="77">
        <f t="shared" si="64"/>
        <v>0.32041072925398156</v>
      </c>
      <c r="AN14" s="76">
        <f t="shared" si="65"/>
        <v>0.67958927074601849</v>
      </c>
      <c r="AO14" s="150">
        <v>4772</v>
      </c>
      <c r="AP14" s="117">
        <f t="shared" ref="AP14" si="72">AO14-AQ14</f>
        <v>1529</v>
      </c>
      <c r="AQ14" s="151">
        <v>3243</v>
      </c>
      <c r="AR14" s="152">
        <v>1987</v>
      </c>
      <c r="AS14" s="153">
        <v>0.94374999999999998</v>
      </c>
      <c r="AT14" s="152">
        <v>183</v>
      </c>
      <c r="AU14" s="154">
        <v>0.88541666666666663</v>
      </c>
      <c r="AV14" s="56">
        <f t="shared" si="50"/>
        <v>46061</v>
      </c>
      <c r="AW14" s="110">
        <f t="shared" si="66"/>
        <v>0.38591983556012333</v>
      </c>
      <c r="AX14" s="110">
        <f t="shared" si="67"/>
        <v>0.61408016443987667</v>
      </c>
      <c r="AY14" s="111">
        <f t="shared" si="17"/>
        <v>3892</v>
      </c>
      <c r="AZ14" s="112">
        <v>3892</v>
      </c>
      <c r="BA14" s="120">
        <f t="shared" si="18"/>
        <v>1502</v>
      </c>
      <c r="BB14" s="113">
        <v>2390</v>
      </c>
      <c r="BC14" s="112">
        <v>1495</v>
      </c>
      <c r="BD14" s="114">
        <v>0.95833333333333337</v>
      </c>
      <c r="BE14" s="115">
        <v>0</v>
      </c>
      <c r="BF14" s="114">
        <v>0</v>
      </c>
      <c r="BG14" s="115">
        <v>182</v>
      </c>
      <c r="BH14" s="114">
        <v>0.17708333333333334</v>
      </c>
      <c r="BI14" s="56">
        <f t="shared" si="51"/>
        <v>46061</v>
      </c>
      <c r="BJ14" s="78">
        <f t="shared" si="68"/>
        <v>0.60817914213624891</v>
      </c>
      <c r="BK14" s="76">
        <f t="shared" si="69"/>
        <v>0.39182085786375104</v>
      </c>
      <c r="BL14" s="79">
        <f t="shared" si="70"/>
        <v>19024</v>
      </c>
      <c r="BM14" s="155">
        <v>11570</v>
      </c>
      <c r="BN14" s="155">
        <v>7454</v>
      </c>
      <c r="BO14" s="156">
        <v>2438</v>
      </c>
      <c r="BP14" s="157">
        <v>0.41736111111111113</v>
      </c>
      <c r="BQ14" s="158">
        <v>1634</v>
      </c>
      <c r="BR14" s="157">
        <v>0.41736111111111113</v>
      </c>
    </row>
    <row r="15" spans="1:71" ht="15.75" thickBot="1" x14ac:dyDescent="0.3">
      <c r="B15" s="56">
        <f t="shared" si="47"/>
        <v>46062</v>
      </c>
      <c r="C15" s="164"/>
      <c r="D15" s="87">
        <f t="shared" si="22"/>
        <v>45540</v>
      </c>
      <c r="E15" s="159">
        <f t="shared" si="52"/>
        <v>0.85265700483091789</v>
      </c>
      <c r="F15" s="87">
        <f t="shared" si="24"/>
        <v>38830</v>
      </c>
      <c r="G15" s="159">
        <f t="shared" si="53"/>
        <v>0.14734299516908211</v>
      </c>
      <c r="H15" s="146">
        <f t="shared" si="26"/>
        <v>6710</v>
      </c>
      <c r="I15" s="160">
        <f t="shared" si="54"/>
        <v>0.10986635220125786</v>
      </c>
      <c r="J15" s="159">
        <f t="shared" si="55"/>
        <v>0.1566430817610063</v>
      </c>
      <c r="K15" s="159">
        <f t="shared" si="56"/>
        <v>0.1630408797513746</v>
      </c>
      <c r="L15" s="161">
        <f t="shared" si="57"/>
        <v>0.59944968553459121</v>
      </c>
      <c r="M15" s="146">
        <f t="shared" si="58"/>
        <v>4919.8152515723268</v>
      </c>
      <c r="N15" s="146">
        <f t="shared" si="59"/>
        <v>7014.4772012578624</v>
      </c>
      <c r="O15" s="146">
        <f t="shared" si="60"/>
        <v>7300.9705952665545</v>
      </c>
      <c r="P15" s="146">
        <f t="shared" si="61"/>
        <v>26843.356918238995</v>
      </c>
      <c r="Q15" s="56">
        <f t="shared" si="48"/>
        <v>46062</v>
      </c>
      <c r="R15" s="139">
        <v>45540</v>
      </c>
      <c r="S15" s="140">
        <v>0</v>
      </c>
      <c r="T15" s="140">
        <v>44780</v>
      </c>
      <c r="U15" s="140">
        <v>0</v>
      </c>
      <c r="V15" s="141">
        <v>10450</v>
      </c>
      <c r="W15" s="142">
        <v>0.89583333333333337</v>
      </c>
      <c r="X15" s="141">
        <v>3650</v>
      </c>
      <c r="Y15" s="142">
        <v>0.91666666666666663</v>
      </c>
      <c r="Z15" s="141">
        <v>0</v>
      </c>
      <c r="AA15" s="142">
        <v>0</v>
      </c>
      <c r="AB15" s="56">
        <f t="shared" si="49"/>
        <v>46062</v>
      </c>
      <c r="AC15" s="76">
        <f t="shared" si="62"/>
        <v>1</v>
      </c>
      <c r="AD15" s="162">
        <f t="shared" si="63"/>
        <v>0</v>
      </c>
      <c r="AE15" s="163">
        <v>5590</v>
      </c>
      <c r="AF15" s="118">
        <f t="shared" si="37"/>
        <v>5590</v>
      </c>
      <c r="AG15" s="147">
        <v>0</v>
      </c>
      <c r="AH15" s="148">
        <v>3190</v>
      </c>
      <c r="AI15" s="149">
        <v>0.875</v>
      </c>
      <c r="AJ15" s="148">
        <v>0</v>
      </c>
      <c r="AK15" s="165">
        <v>0</v>
      </c>
      <c r="AL15" s="168">
        <f t="shared" si="38"/>
        <v>46062</v>
      </c>
      <c r="AM15" s="77">
        <f t="shared" si="64"/>
        <v>0.51191969887076538</v>
      </c>
      <c r="AN15" s="76">
        <f t="shared" si="65"/>
        <v>0.48808030112923462</v>
      </c>
      <c r="AO15" s="150">
        <v>7970</v>
      </c>
      <c r="AP15" s="117">
        <f t="shared" si="41"/>
        <v>4080</v>
      </c>
      <c r="AQ15" s="151">
        <v>3890</v>
      </c>
      <c r="AR15" s="152">
        <v>3200</v>
      </c>
      <c r="AS15" s="153">
        <v>0.82291666666666663</v>
      </c>
      <c r="AT15" s="152">
        <v>185</v>
      </c>
      <c r="AU15" s="154">
        <v>0.83333333333333337</v>
      </c>
      <c r="AV15" s="56">
        <f t="shared" si="50"/>
        <v>46062</v>
      </c>
      <c r="AW15" s="169">
        <f t="shared" si="66"/>
        <v>0.5865102639296188</v>
      </c>
      <c r="AX15" s="169">
        <f t="shared" si="67"/>
        <v>0.41348973607038125</v>
      </c>
      <c r="AY15" s="111">
        <f t="shared" si="17"/>
        <v>6820</v>
      </c>
      <c r="AZ15" s="112">
        <v>6820</v>
      </c>
      <c r="BA15" s="120">
        <f t="shared" si="18"/>
        <v>4000</v>
      </c>
      <c r="BB15" s="113">
        <v>2820</v>
      </c>
      <c r="BC15" s="112">
        <v>2790</v>
      </c>
      <c r="BD15" s="114">
        <v>0.89583333333333337</v>
      </c>
      <c r="BE15" s="115">
        <v>0</v>
      </c>
      <c r="BF15" s="114">
        <v>0</v>
      </c>
      <c r="BG15" s="115">
        <v>170</v>
      </c>
      <c r="BH15" s="114">
        <v>0.85416666666666663</v>
      </c>
      <c r="BI15" s="56">
        <f t="shared" si="51"/>
        <v>46062</v>
      </c>
      <c r="BJ15" s="170">
        <f t="shared" si="68"/>
        <v>0.60721311475409834</v>
      </c>
      <c r="BK15" s="76">
        <f t="shared" si="69"/>
        <v>0.39278688524590166</v>
      </c>
      <c r="BL15" s="79">
        <f t="shared" si="70"/>
        <v>30500</v>
      </c>
      <c r="BM15" s="155">
        <v>18520</v>
      </c>
      <c r="BN15" s="155">
        <v>11980</v>
      </c>
      <c r="BO15" s="156">
        <v>3390</v>
      </c>
      <c r="BP15" s="157">
        <v>0.72916666666666663</v>
      </c>
      <c r="BQ15" s="158">
        <v>2290</v>
      </c>
      <c r="BR15" s="157">
        <v>0.72916666666666663</v>
      </c>
    </row>
    <row r="16" spans="1:71" ht="15.75" thickBot="1" x14ac:dyDescent="0.3">
      <c r="B16" s="56">
        <f t="shared" si="47"/>
        <v>46063</v>
      </c>
      <c r="C16" s="164"/>
      <c r="D16" s="87">
        <f t="shared" si="22"/>
        <v>45492</v>
      </c>
      <c r="E16" s="159">
        <f t="shared" si="52"/>
        <v>0.84562120812450536</v>
      </c>
      <c r="F16" s="87">
        <f t="shared" si="24"/>
        <v>38469</v>
      </c>
      <c r="G16" s="159">
        <f t="shared" si="53"/>
        <v>0.15437879187549458</v>
      </c>
      <c r="H16" s="146">
        <f t="shared" si="26"/>
        <v>7023</v>
      </c>
      <c r="I16" s="160">
        <f t="shared" si="54"/>
        <v>9.994279966074282E-2</v>
      </c>
      <c r="J16" s="159">
        <f t="shared" si="55"/>
        <v>0.15380973983707766</v>
      </c>
      <c r="K16" s="159">
        <f t="shared" si="56"/>
        <v>0.16615362241559009</v>
      </c>
      <c r="L16" s="161">
        <f t="shared" si="57"/>
        <v>0.61103769305114497</v>
      </c>
      <c r="M16" s="146">
        <f t="shared" si="58"/>
        <v>4425.5671117773527</v>
      </c>
      <c r="N16" s="146">
        <f t="shared" si="59"/>
        <v>6810.8490897256361</v>
      </c>
      <c r="O16" s="146">
        <f t="shared" si="60"/>
        <v>7357.4485541847453</v>
      </c>
      <c r="P16" s="146">
        <f t="shared" si="61"/>
        <v>27057.360085997749</v>
      </c>
      <c r="Q16" s="56">
        <f t="shared" si="48"/>
        <v>46063</v>
      </c>
      <c r="R16" s="139">
        <v>45492</v>
      </c>
      <c r="S16" s="140">
        <v>0</v>
      </c>
      <c r="T16" s="140">
        <v>44281</v>
      </c>
      <c r="U16" s="140">
        <v>0</v>
      </c>
      <c r="V16" s="141">
        <v>10733</v>
      </c>
      <c r="W16" s="142">
        <v>0.80208333333333337</v>
      </c>
      <c r="X16" s="141">
        <v>3775</v>
      </c>
      <c r="Y16" s="142">
        <v>0.79166666666666663</v>
      </c>
      <c r="Z16" s="141">
        <v>0</v>
      </c>
      <c r="AA16" s="142">
        <v>0</v>
      </c>
      <c r="AB16" s="56">
        <f t="shared" si="49"/>
        <v>46063</v>
      </c>
      <c r="AC16" s="76">
        <f t="shared" si="62"/>
        <v>1</v>
      </c>
      <c r="AD16" s="162">
        <f t="shared" si="63"/>
        <v>0</v>
      </c>
      <c r="AE16" s="163">
        <v>5067</v>
      </c>
      <c r="AF16" s="118">
        <f t="shared" si="37"/>
        <v>5067</v>
      </c>
      <c r="AG16" s="147">
        <v>0</v>
      </c>
      <c r="AH16" s="148">
        <v>2937</v>
      </c>
      <c r="AI16" s="149">
        <v>0.74652777777777779</v>
      </c>
      <c r="AJ16" s="148">
        <v>0</v>
      </c>
      <c r="AK16" s="165">
        <v>0</v>
      </c>
      <c r="AL16" s="56">
        <f t="shared" si="38"/>
        <v>46063</v>
      </c>
      <c r="AM16" s="77">
        <f t="shared" si="64"/>
        <v>0.47884072839189534</v>
      </c>
      <c r="AN16" s="76">
        <f t="shared" si="65"/>
        <v>0.5211592716081046</v>
      </c>
      <c r="AO16" s="150">
        <v>7798</v>
      </c>
      <c r="AP16" s="117">
        <f t="shared" si="41"/>
        <v>3734</v>
      </c>
      <c r="AQ16" s="151">
        <v>4064</v>
      </c>
      <c r="AR16" s="152">
        <v>2488</v>
      </c>
      <c r="AS16" s="153">
        <v>0.75347222222222221</v>
      </c>
      <c r="AT16" s="152">
        <v>195</v>
      </c>
      <c r="AU16" s="154">
        <v>0.70833333333333337</v>
      </c>
      <c r="AV16" s="56">
        <f t="shared" si="50"/>
        <v>46063</v>
      </c>
      <c r="AW16" s="110">
        <f t="shared" si="66"/>
        <v>0.56834427425237055</v>
      </c>
      <c r="AX16" s="110">
        <f t="shared" si="67"/>
        <v>0.43165572574762945</v>
      </c>
      <c r="AY16" s="111">
        <f t="shared" si="17"/>
        <v>6855</v>
      </c>
      <c r="AZ16" s="112">
        <v>6855</v>
      </c>
      <c r="BA16" s="120">
        <f t="shared" si="18"/>
        <v>3896</v>
      </c>
      <c r="BB16" s="113">
        <v>2959</v>
      </c>
      <c r="BC16" s="112">
        <v>2813</v>
      </c>
      <c r="BD16" s="114">
        <v>0.76041666666666663</v>
      </c>
      <c r="BE16" s="115">
        <v>0</v>
      </c>
      <c r="BF16" s="114">
        <v>0</v>
      </c>
      <c r="BG16" s="115">
        <v>173</v>
      </c>
      <c r="BH16" s="114">
        <v>0.89583333333333337</v>
      </c>
      <c r="BI16" s="56">
        <f t="shared" si="51"/>
        <v>46063</v>
      </c>
      <c r="BJ16" s="78">
        <f t="shared" si="68"/>
        <v>0.60511959714645402</v>
      </c>
      <c r="BK16" s="76">
        <f t="shared" si="69"/>
        <v>0.39488040285354598</v>
      </c>
      <c r="BL16" s="79">
        <f t="shared" si="70"/>
        <v>30979</v>
      </c>
      <c r="BM16" s="155">
        <v>18746</v>
      </c>
      <c r="BN16" s="155">
        <v>12233</v>
      </c>
      <c r="BO16" s="156">
        <v>3360</v>
      </c>
      <c r="BP16" s="157">
        <v>0.72638888888888886</v>
      </c>
      <c r="BQ16" s="158">
        <v>2399</v>
      </c>
      <c r="BR16" s="157">
        <v>0.7270833333333333</v>
      </c>
    </row>
    <row r="17" spans="1:70" ht="15.75" thickBot="1" x14ac:dyDescent="0.3">
      <c r="B17" s="56">
        <f t="shared" si="47"/>
        <v>46064</v>
      </c>
      <c r="C17" s="164"/>
      <c r="D17" s="87">
        <f t="shared" si="22"/>
        <v>45800</v>
      </c>
      <c r="E17" s="159">
        <f t="shared" si="52"/>
        <v>0.84606986899563319</v>
      </c>
      <c r="F17" s="87">
        <f t="shared" si="24"/>
        <v>38750</v>
      </c>
      <c r="G17" s="159">
        <f t="shared" si="53"/>
        <v>0.15393013100436681</v>
      </c>
      <c r="H17" s="146">
        <f t="shared" si="26"/>
        <v>7050</v>
      </c>
      <c r="I17" s="160">
        <f t="shared" si="54"/>
        <v>0.10031440361564158</v>
      </c>
      <c r="J17" s="159">
        <f t="shared" si="55"/>
        <v>0.15346826488504617</v>
      </c>
      <c r="K17" s="159">
        <f t="shared" si="56"/>
        <v>0.16664651106542508</v>
      </c>
      <c r="L17" s="161">
        <f t="shared" si="57"/>
        <v>0.61082727451365693</v>
      </c>
      <c r="M17" s="146">
        <f t="shared" si="58"/>
        <v>4458.9752407152682</v>
      </c>
      <c r="N17" s="146">
        <f t="shared" si="59"/>
        <v>6821.6643741403022</v>
      </c>
      <c r="O17" s="146">
        <f t="shared" si="60"/>
        <v>7407.4374168581444</v>
      </c>
      <c r="P17" s="146">
        <f t="shared" si="61"/>
        <v>27151.272352132051</v>
      </c>
      <c r="Q17" s="56">
        <f t="shared" si="48"/>
        <v>46064</v>
      </c>
      <c r="R17" s="139">
        <v>45800</v>
      </c>
      <c r="S17" s="140">
        <v>0</v>
      </c>
      <c r="T17" s="140">
        <v>44450</v>
      </c>
      <c r="U17" s="140">
        <v>0</v>
      </c>
      <c r="V17" s="141">
        <v>10850</v>
      </c>
      <c r="W17" s="142">
        <v>0.85416666666666663</v>
      </c>
      <c r="X17" s="141">
        <v>3790</v>
      </c>
      <c r="Y17" s="142">
        <v>0.83333333333333337</v>
      </c>
      <c r="Z17" s="141">
        <v>0</v>
      </c>
      <c r="AA17" s="142">
        <v>0</v>
      </c>
      <c r="AB17" s="56">
        <f t="shared" si="49"/>
        <v>46064</v>
      </c>
      <c r="AC17" s="76">
        <f t="shared" si="62"/>
        <v>1</v>
      </c>
      <c r="AD17" s="162">
        <f t="shared" si="63"/>
        <v>0</v>
      </c>
      <c r="AE17" s="163">
        <v>5105</v>
      </c>
      <c r="AF17" s="118">
        <f t="shared" si="37"/>
        <v>5105</v>
      </c>
      <c r="AG17" s="147">
        <v>0</v>
      </c>
      <c r="AH17" s="148">
        <v>2995</v>
      </c>
      <c r="AI17" s="149">
        <v>0.77083333333333337</v>
      </c>
      <c r="AJ17" s="148">
        <v>0</v>
      </c>
      <c r="AK17" s="165">
        <v>0</v>
      </c>
      <c r="AL17" s="56">
        <f t="shared" si="38"/>
        <v>46064</v>
      </c>
      <c r="AM17" s="77">
        <f t="shared" si="64"/>
        <v>0.47503201024327785</v>
      </c>
      <c r="AN17" s="76">
        <f t="shared" si="65"/>
        <v>0.5249679897567221</v>
      </c>
      <c r="AO17" s="150">
        <v>7810</v>
      </c>
      <c r="AP17" s="117">
        <f t="shared" si="41"/>
        <v>3710</v>
      </c>
      <c r="AQ17" s="151">
        <v>4100</v>
      </c>
      <c r="AR17" s="152">
        <v>2530</v>
      </c>
      <c r="AS17" s="153">
        <v>0.8125</v>
      </c>
      <c r="AT17" s="152">
        <v>190</v>
      </c>
      <c r="AU17" s="154">
        <v>0.75</v>
      </c>
      <c r="AV17" s="56">
        <f t="shared" si="50"/>
        <v>46064</v>
      </c>
      <c r="AW17" s="110">
        <f t="shared" si="66"/>
        <v>0.57184325108853407</v>
      </c>
      <c r="AX17" s="110">
        <f t="shared" si="67"/>
        <v>0.42815674891146588</v>
      </c>
      <c r="AY17" s="111">
        <f t="shared" si="17"/>
        <v>6890</v>
      </c>
      <c r="AZ17" s="112">
        <v>6890</v>
      </c>
      <c r="BA17" s="120">
        <f t="shared" si="18"/>
        <v>3940</v>
      </c>
      <c r="BB17" s="113">
        <v>2950</v>
      </c>
      <c r="BC17" s="112">
        <v>2830</v>
      </c>
      <c r="BD17" s="114">
        <v>0.77083333333333337</v>
      </c>
      <c r="BE17" s="115">
        <v>0</v>
      </c>
      <c r="BF17" s="114">
        <v>0</v>
      </c>
      <c r="BG17" s="115">
        <v>170</v>
      </c>
      <c r="BH17" s="114">
        <v>0.83333333333333337</v>
      </c>
      <c r="BI17" s="56">
        <f t="shared" si="51"/>
        <v>46064</v>
      </c>
      <c r="BJ17" s="78">
        <f t="shared" si="68"/>
        <v>0.60318481582756955</v>
      </c>
      <c r="BK17" s="76">
        <f t="shared" si="69"/>
        <v>0.39681518417243045</v>
      </c>
      <c r="BL17" s="79">
        <f t="shared" si="70"/>
        <v>31085</v>
      </c>
      <c r="BM17" s="155">
        <v>18750</v>
      </c>
      <c r="BN17" s="155">
        <v>12335</v>
      </c>
      <c r="BO17" s="156">
        <v>3370</v>
      </c>
      <c r="BP17" s="157">
        <v>0.75</v>
      </c>
      <c r="BQ17" s="158">
        <v>2398</v>
      </c>
      <c r="BR17" s="157">
        <v>0.77083333333333337</v>
      </c>
    </row>
    <row r="18" spans="1:70" ht="15.75" thickBot="1" x14ac:dyDescent="0.3">
      <c r="B18" s="56">
        <f t="shared" si="47"/>
        <v>46065</v>
      </c>
      <c r="C18" s="164"/>
      <c r="D18" s="87">
        <f t="shared" si="22"/>
        <v>46888</v>
      </c>
      <c r="E18" s="159">
        <f t="shared" si="52"/>
        <v>0.84980037536256614</v>
      </c>
      <c r="F18" s="87">
        <f t="shared" si="24"/>
        <v>39845.440000000002</v>
      </c>
      <c r="G18" s="159">
        <f t="shared" si="53"/>
        <v>0.15019962463743389</v>
      </c>
      <c r="H18" s="146">
        <f t="shared" si="26"/>
        <v>7042.5599999999995</v>
      </c>
      <c r="I18" s="160">
        <f t="shared" si="54"/>
        <v>9.8391438890964661E-2</v>
      </c>
      <c r="J18" s="159">
        <f t="shared" si="55"/>
        <v>0.15010682225351843</v>
      </c>
      <c r="K18" s="159">
        <f t="shared" si="56"/>
        <v>0.1639651069980001</v>
      </c>
      <c r="L18" s="161">
        <f t="shared" si="57"/>
        <v>0.61838109198210367</v>
      </c>
      <c r="M18" s="146">
        <f t="shared" si="58"/>
        <v>4477.9911668055838</v>
      </c>
      <c r="N18" s="146">
        <f t="shared" si="59"/>
        <v>6831.6616944021307</v>
      </c>
      <c r="O18" s="146">
        <f t="shared" si="60"/>
        <v>7462.3799496929805</v>
      </c>
      <c r="P18" s="146">
        <f t="shared" si="61"/>
        <v>28143.760258289502</v>
      </c>
      <c r="Q18" s="56">
        <f t="shared" si="48"/>
        <v>46065</v>
      </c>
      <c r="R18" s="139">
        <v>46888</v>
      </c>
      <c r="S18" s="140">
        <v>0</v>
      </c>
      <c r="T18" s="140">
        <v>45512</v>
      </c>
      <c r="U18" s="140">
        <v>0</v>
      </c>
      <c r="V18" s="141">
        <v>9647.44</v>
      </c>
      <c r="W18" s="142">
        <v>0.80208333333333337</v>
      </c>
      <c r="X18" s="141">
        <v>3782.78</v>
      </c>
      <c r="Y18" s="142">
        <v>0.80208333333333337</v>
      </c>
      <c r="Z18" s="141">
        <v>0</v>
      </c>
      <c r="AA18" s="142">
        <v>0</v>
      </c>
      <c r="AB18" s="56">
        <f t="shared" si="49"/>
        <v>46065</v>
      </c>
      <c r="AC18" s="76">
        <f t="shared" si="62"/>
        <v>1</v>
      </c>
      <c r="AD18" s="162">
        <f t="shared" si="63"/>
        <v>0</v>
      </c>
      <c r="AE18" s="163">
        <v>5135</v>
      </c>
      <c r="AF18" s="118">
        <f t="shared" si="37"/>
        <v>5135</v>
      </c>
      <c r="AG18" s="147">
        <v>0</v>
      </c>
      <c r="AH18" s="148">
        <v>2539.8200000000002</v>
      </c>
      <c r="AI18" s="149">
        <v>0.80208333333333337</v>
      </c>
      <c r="AJ18" s="148">
        <v>0</v>
      </c>
      <c r="AK18" s="165">
        <v>0</v>
      </c>
      <c r="AL18" s="56">
        <f t="shared" si="38"/>
        <v>46065</v>
      </c>
      <c r="AM18" s="77">
        <f t="shared" si="64"/>
        <v>0.48446770487618079</v>
      </c>
      <c r="AN18" s="76">
        <f t="shared" si="65"/>
        <v>0.51553229512381926</v>
      </c>
      <c r="AO18" s="150">
        <v>7834</v>
      </c>
      <c r="AP18" s="117">
        <f t="shared" si="41"/>
        <v>3795.32</v>
      </c>
      <c r="AQ18" s="151">
        <v>4038.68</v>
      </c>
      <c r="AR18" s="152">
        <v>2339.27</v>
      </c>
      <c r="AS18" s="153">
        <v>0.34722222222222221</v>
      </c>
      <c r="AT18" s="152">
        <v>192.78</v>
      </c>
      <c r="AU18" s="154">
        <v>0.73958333333333337</v>
      </c>
      <c r="AV18" s="56">
        <f t="shared" si="50"/>
        <v>46065</v>
      </c>
      <c r="AW18" s="110">
        <f t="shared" si="66"/>
        <v>0.56763152213026269</v>
      </c>
      <c r="AX18" s="110">
        <f t="shared" si="67"/>
        <v>0.43236847786973731</v>
      </c>
      <c r="AY18" s="111">
        <f t="shared" si="17"/>
        <v>6947.5</v>
      </c>
      <c r="AZ18" s="112">
        <v>6947.5</v>
      </c>
      <c r="BA18" s="120">
        <f t="shared" si="18"/>
        <v>3943.62</v>
      </c>
      <c r="BB18" s="113">
        <v>3003.88</v>
      </c>
      <c r="BC18" s="112">
        <v>2596.62</v>
      </c>
      <c r="BD18" s="114">
        <v>0.84375</v>
      </c>
      <c r="BE18" s="115">
        <v>0</v>
      </c>
      <c r="BF18" s="114">
        <v>0</v>
      </c>
      <c r="BG18" s="115">
        <v>177.12</v>
      </c>
      <c r="BH18" s="114">
        <v>0.88541666666666663</v>
      </c>
      <c r="BI18" s="56">
        <f t="shared" si="51"/>
        <v>46065</v>
      </c>
      <c r="BJ18" s="78">
        <f t="shared" si="68"/>
        <v>0.60566107892045984</v>
      </c>
      <c r="BK18" s="76">
        <f t="shared" si="69"/>
        <v>0.39433892107954016</v>
      </c>
      <c r="BL18" s="79">
        <f t="shared" si="70"/>
        <v>32273</v>
      </c>
      <c r="BM18" s="155">
        <v>19546.5</v>
      </c>
      <c r="BN18" s="155">
        <v>12726.5</v>
      </c>
      <c r="BO18" s="156">
        <v>3512.69</v>
      </c>
      <c r="BP18" s="157">
        <v>0.75277777777777777</v>
      </c>
      <c r="BQ18" s="158">
        <v>2379.98</v>
      </c>
      <c r="BR18" s="157">
        <v>0.75277777777777777</v>
      </c>
    </row>
    <row r="19" spans="1:70" ht="15.75" thickBot="1" x14ac:dyDescent="0.3">
      <c r="B19" s="56">
        <f t="shared" si="47"/>
        <v>46066</v>
      </c>
      <c r="C19" s="164"/>
      <c r="D19" s="87">
        <f t="shared" si="22"/>
        <v>45902</v>
      </c>
      <c r="E19" s="159">
        <f t="shared" si="52"/>
        <v>0.84242516665940481</v>
      </c>
      <c r="F19" s="87">
        <f t="shared" si="24"/>
        <v>38669</v>
      </c>
      <c r="G19" s="159">
        <f t="shared" si="53"/>
        <v>0.15757483334059519</v>
      </c>
      <c r="H19" s="146">
        <f t="shared" si="26"/>
        <v>7233</v>
      </c>
      <c r="I19" s="160">
        <f t="shared" si="54"/>
        <v>0.10248660530292622</v>
      </c>
      <c r="J19" s="159">
        <f t="shared" si="55"/>
        <v>0.15653641591270387</v>
      </c>
      <c r="K19" s="159">
        <f t="shared" si="56"/>
        <v>0.1678802395209581</v>
      </c>
      <c r="L19" s="161">
        <f t="shared" si="57"/>
        <v>0.60341883696740128</v>
      </c>
      <c r="M19" s="146">
        <f t="shared" si="58"/>
        <v>4566.9056189036955</v>
      </c>
      <c r="N19" s="146">
        <f t="shared" si="59"/>
        <v>6975.4192294859968</v>
      </c>
      <c r="O19" s="146">
        <f t="shared" si="60"/>
        <v>7480.9113532934134</v>
      </c>
      <c r="P19" s="146">
        <f t="shared" si="61"/>
        <v>26888.946794104369</v>
      </c>
      <c r="Q19" s="56">
        <f t="shared" si="48"/>
        <v>46066</v>
      </c>
      <c r="R19" s="139">
        <v>45902</v>
      </c>
      <c r="S19" s="140">
        <v>0</v>
      </c>
      <c r="T19" s="140">
        <v>44561</v>
      </c>
      <c r="U19" s="140">
        <v>0</v>
      </c>
      <c r="V19" s="141">
        <v>9308</v>
      </c>
      <c r="W19" s="142">
        <v>0.79166666666666663</v>
      </c>
      <c r="X19" s="141">
        <v>3542</v>
      </c>
      <c r="Y19" s="142">
        <v>0.79166666666666663</v>
      </c>
      <c r="Z19" s="141">
        <v>0</v>
      </c>
      <c r="AA19" s="142">
        <v>0</v>
      </c>
      <c r="AB19" s="56">
        <f t="shared" si="49"/>
        <v>46066</v>
      </c>
      <c r="AC19" s="76">
        <f t="shared" si="62"/>
        <v>1</v>
      </c>
      <c r="AD19" s="162">
        <f t="shared" si="63"/>
        <v>0</v>
      </c>
      <c r="AE19" s="163">
        <v>5222</v>
      </c>
      <c r="AF19" s="118">
        <f t="shared" si="37"/>
        <v>5222</v>
      </c>
      <c r="AG19" s="147">
        <v>0</v>
      </c>
      <c r="AH19" s="148">
        <v>2341</v>
      </c>
      <c r="AI19" s="149">
        <v>0.74236111111111114</v>
      </c>
      <c r="AJ19" s="148">
        <v>0</v>
      </c>
      <c r="AK19" s="165">
        <v>0</v>
      </c>
      <c r="AL19" s="56">
        <f t="shared" si="38"/>
        <v>46066</v>
      </c>
      <c r="AM19" s="77">
        <f t="shared" ref="AM19" si="73">+AP19/AO19</f>
        <v>0.48182046138415247</v>
      </c>
      <c r="AN19" s="76">
        <f t="shared" ref="AN19" si="74">+AQ19/AO19</f>
        <v>0.51817953861584753</v>
      </c>
      <c r="AO19" s="150">
        <v>7976</v>
      </c>
      <c r="AP19" s="117">
        <f t="shared" si="41"/>
        <v>3843</v>
      </c>
      <c r="AQ19" s="151">
        <v>4133</v>
      </c>
      <c r="AR19" s="152">
        <v>2434</v>
      </c>
      <c r="AS19" s="153">
        <v>0.73958333333333337</v>
      </c>
      <c r="AT19" s="152">
        <v>204</v>
      </c>
      <c r="AU19" s="154">
        <v>0.97569444444444442</v>
      </c>
      <c r="AV19" s="56">
        <f t="shared" si="50"/>
        <v>46066</v>
      </c>
      <c r="AW19" s="110">
        <f t="shared" ref="AW19" si="75">BA19/AZ19</f>
        <v>0.55771151376801253</v>
      </c>
      <c r="AX19" s="110">
        <f t="shared" ref="AX19" si="76">BB19/AZ19</f>
        <v>0.44228848623198747</v>
      </c>
      <c r="AY19" s="111">
        <f t="shared" si="17"/>
        <v>7009</v>
      </c>
      <c r="AZ19" s="112">
        <v>7009</v>
      </c>
      <c r="BA19" s="120">
        <f t="shared" si="18"/>
        <v>3909</v>
      </c>
      <c r="BB19" s="113">
        <v>3100</v>
      </c>
      <c r="BC19" s="182">
        <v>2555</v>
      </c>
      <c r="BD19" s="114">
        <v>0.85416666666666663</v>
      </c>
      <c r="BE19" s="115">
        <v>0</v>
      </c>
      <c r="BF19" s="114">
        <v>0</v>
      </c>
      <c r="BG19" s="115">
        <v>179</v>
      </c>
      <c r="BH19" s="114">
        <v>0.89583333333333337</v>
      </c>
      <c r="BI19" s="56">
        <f t="shared" si="51"/>
        <v>46066</v>
      </c>
      <c r="BJ19" s="78">
        <f t="shared" ref="BJ19" si="77">+BM19/BL19</f>
        <v>0.60713588759513437</v>
      </c>
      <c r="BK19" s="76">
        <f t="shared" ref="BK19" si="78">+BN19/BL19</f>
        <v>0.39286411240486568</v>
      </c>
      <c r="BL19" s="79">
        <f t="shared" ref="BL19" si="79">BM19+BN19</f>
        <v>30746</v>
      </c>
      <c r="BM19" s="155">
        <v>18667</v>
      </c>
      <c r="BN19" s="155">
        <v>12079</v>
      </c>
      <c r="BO19" s="156">
        <v>3382</v>
      </c>
      <c r="BP19" s="157">
        <v>0.33263888888888887</v>
      </c>
      <c r="BQ19" s="158">
        <v>2269</v>
      </c>
      <c r="BR19" s="157">
        <v>0.33333333333333331</v>
      </c>
    </row>
    <row r="20" spans="1:70" ht="15.75" thickBot="1" x14ac:dyDescent="0.3">
      <c r="B20" s="56">
        <f t="shared" si="47"/>
        <v>46067</v>
      </c>
      <c r="C20" s="164"/>
      <c r="D20" s="87">
        <f t="shared" si="22"/>
        <v>32850</v>
      </c>
      <c r="E20" s="159">
        <f t="shared" si="52"/>
        <v>0.8076687975646879</v>
      </c>
      <c r="F20" s="87">
        <f t="shared" si="24"/>
        <v>26531.919999999998</v>
      </c>
      <c r="G20" s="159">
        <f t="shared" si="53"/>
        <v>0.19233120243531202</v>
      </c>
      <c r="H20" s="146">
        <f t="shared" si="26"/>
        <v>6318.08</v>
      </c>
      <c r="I20" s="160">
        <f t="shared" si="54"/>
        <v>7.8304909560723515E-2</v>
      </c>
      <c r="J20" s="159">
        <f t="shared" si="55"/>
        <v>0.16024806201550387</v>
      </c>
      <c r="K20" s="159">
        <f t="shared" si="56"/>
        <v>0.1686971809909337</v>
      </c>
      <c r="L20" s="161">
        <f t="shared" si="57"/>
        <v>0.62783807062876829</v>
      </c>
      <c r="M20" s="146">
        <f t="shared" si="58"/>
        <v>2439.550304909561</v>
      </c>
      <c r="N20" s="146">
        <f t="shared" si="59"/>
        <v>4992.4482480620154</v>
      </c>
      <c r="O20" s="146">
        <f t="shared" si="60"/>
        <v>5255.6763251820439</v>
      </c>
      <c r="P20" s="146">
        <f t="shared" si="61"/>
        <v>19559.981171403961</v>
      </c>
      <c r="Q20" s="56">
        <f t="shared" si="48"/>
        <v>46067</v>
      </c>
      <c r="R20" s="139">
        <v>32850</v>
      </c>
      <c r="S20" s="140">
        <v>0</v>
      </c>
      <c r="T20" s="140">
        <v>31154.5</v>
      </c>
      <c r="U20" s="140">
        <v>0</v>
      </c>
      <c r="V20" s="141">
        <v>6855.5</v>
      </c>
      <c r="W20" s="142">
        <v>0.55208333333333337</v>
      </c>
      <c r="X20" s="141">
        <v>2072.0500000000002</v>
      </c>
      <c r="Y20" s="142">
        <v>0.88541666666666663</v>
      </c>
      <c r="Z20" s="141">
        <v>0</v>
      </c>
      <c r="AA20" s="142">
        <v>0</v>
      </c>
      <c r="AB20" s="56">
        <f t="shared" si="49"/>
        <v>46067</v>
      </c>
      <c r="AC20" s="76">
        <f t="shared" si="62"/>
        <v>1</v>
      </c>
      <c r="AD20" s="162">
        <f t="shared" si="63"/>
        <v>0</v>
      </c>
      <c r="AE20" s="163">
        <v>2841</v>
      </c>
      <c r="AF20" s="118">
        <f t="shared" si="37"/>
        <v>2841</v>
      </c>
      <c r="AG20" s="147">
        <v>0</v>
      </c>
      <c r="AH20" s="148">
        <v>1813.7</v>
      </c>
      <c r="AI20" s="149">
        <v>0.34236111111111112</v>
      </c>
      <c r="AJ20" s="148">
        <v>0</v>
      </c>
      <c r="AK20" s="165">
        <v>0</v>
      </c>
      <c r="AL20" s="56">
        <f t="shared" si="38"/>
        <v>46067</v>
      </c>
      <c r="AM20" s="77">
        <f t="shared" si="64"/>
        <v>0.3979480564155487</v>
      </c>
      <c r="AN20" s="76">
        <f t="shared" si="65"/>
        <v>0.60205194358445135</v>
      </c>
      <c r="AO20" s="150">
        <v>5814</v>
      </c>
      <c r="AP20" s="117">
        <f t="shared" si="41"/>
        <v>2313.67</v>
      </c>
      <c r="AQ20" s="151">
        <v>3500.33</v>
      </c>
      <c r="AR20" s="152">
        <v>1672.59</v>
      </c>
      <c r="AS20" s="153">
        <v>0.35555555555555557</v>
      </c>
      <c r="AT20" s="152">
        <v>186.61</v>
      </c>
      <c r="AU20" s="154">
        <v>0.88541666666666663</v>
      </c>
      <c r="AV20" s="56">
        <f t="shared" si="50"/>
        <v>46067</v>
      </c>
      <c r="AW20" s="110">
        <f t="shared" si="66"/>
        <v>0.41872099020113462</v>
      </c>
      <c r="AX20" s="110">
        <f t="shared" si="67"/>
        <v>0.58127900979886538</v>
      </c>
      <c r="AY20" s="111">
        <f t="shared" si="17"/>
        <v>4847.5</v>
      </c>
      <c r="AZ20" s="112">
        <v>4847.5</v>
      </c>
      <c r="BA20" s="120">
        <f t="shared" si="18"/>
        <v>2029.75</v>
      </c>
      <c r="BB20" s="113">
        <v>2817.75</v>
      </c>
      <c r="BC20" s="112">
        <v>1946.53</v>
      </c>
      <c r="BD20" s="114">
        <v>0.36458333333333331</v>
      </c>
      <c r="BE20" s="115">
        <v>0</v>
      </c>
      <c r="BF20" s="114">
        <v>0</v>
      </c>
      <c r="BG20" s="115">
        <v>191.5</v>
      </c>
      <c r="BH20" s="114">
        <v>0.10416666666666667</v>
      </c>
      <c r="BI20" s="56">
        <f t="shared" si="51"/>
        <v>46067</v>
      </c>
      <c r="BJ20" s="78">
        <f t="shared" si="68"/>
        <v>0.60957032321791138</v>
      </c>
      <c r="BK20" s="76">
        <f t="shared" si="69"/>
        <v>0.39042967678208856</v>
      </c>
      <c r="BL20" s="79">
        <f t="shared" si="70"/>
        <v>22778.75</v>
      </c>
      <c r="BM20" s="155">
        <v>13885.25</v>
      </c>
      <c r="BN20" s="155">
        <v>8893.5</v>
      </c>
      <c r="BO20" s="156">
        <v>2677.22</v>
      </c>
      <c r="BP20" s="157">
        <v>0.7895833333333333</v>
      </c>
      <c r="BQ20" s="158">
        <v>1795.73</v>
      </c>
      <c r="BR20" s="157">
        <v>0.79027777777777775</v>
      </c>
    </row>
    <row r="21" spans="1:70" ht="15.75" thickBot="1" x14ac:dyDescent="0.3">
      <c r="A21" s="14"/>
      <c r="B21" s="56">
        <f t="shared" si="47"/>
        <v>46068</v>
      </c>
      <c r="C21" s="164"/>
      <c r="D21" s="87">
        <f t="shared" si="22"/>
        <v>30268</v>
      </c>
      <c r="E21" s="159">
        <f t="shared" si="52"/>
        <v>0.77950310559006208</v>
      </c>
      <c r="F21" s="87">
        <f t="shared" si="24"/>
        <v>23594</v>
      </c>
      <c r="G21" s="159">
        <f t="shared" si="53"/>
        <v>0.22049689440993789</v>
      </c>
      <c r="H21" s="146">
        <f t="shared" si="26"/>
        <v>6674</v>
      </c>
      <c r="I21" s="160">
        <f t="shared" si="54"/>
        <v>7.5826941151502292E-2</v>
      </c>
      <c r="J21" s="159">
        <f t="shared" si="55"/>
        <v>0.1706333565776309</v>
      </c>
      <c r="K21" s="159">
        <f t="shared" si="56"/>
        <v>0.1851170632639767</v>
      </c>
      <c r="L21" s="161">
        <f t="shared" si="57"/>
        <v>0.60707030894703329</v>
      </c>
      <c r="M21" s="146">
        <f t="shared" si="58"/>
        <v>2211.568565624716</v>
      </c>
      <c r="N21" s="146">
        <f t="shared" si="59"/>
        <v>4976.6924779431829</v>
      </c>
      <c r="O21" s="146">
        <f t="shared" si="60"/>
        <v>5399.1242671571445</v>
      </c>
      <c r="P21" s="146">
        <f t="shared" si="61"/>
        <v>17705.812630749173</v>
      </c>
      <c r="Q21" s="56">
        <f t="shared" si="48"/>
        <v>46068</v>
      </c>
      <c r="R21" s="139">
        <v>30268</v>
      </c>
      <c r="S21" s="140">
        <v>0</v>
      </c>
      <c r="T21" s="140">
        <v>29166</v>
      </c>
      <c r="U21" s="140">
        <v>0</v>
      </c>
      <c r="V21" s="141">
        <v>8220</v>
      </c>
      <c r="W21" s="142">
        <v>0.78125</v>
      </c>
      <c r="X21" s="141">
        <v>2441</v>
      </c>
      <c r="Y21" s="142">
        <v>0.76041666666666663</v>
      </c>
      <c r="Z21" s="141">
        <v>0</v>
      </c>
      <c r="AA21" s="142">
        <v>0</v>
      </c>
      <c r="AB21" s="56">
        <f t="shared" si="49"/>
        <v>46068</v>
      </c>
      <c r="AC21" s="76">
        <f t="shared" si="62"/>
        <v>1</v>
      </c>
      <c r="AD21" s="162">
        <f t="shared" si="63"/>
        <v>0</v>
      </c>
      <c r="AE21" s="163">
        <v>2501</v>
      </c>
      <c r="AF21" s="118">
        <f t="shared" si="37"/>
        <v>2501</v>
      </c>
      <c r="AG21" s="147">
        <v>0</v>
      </c>
      <c r="AH21" s="148">
        <v>2697</v>
      </c>
      <c r="AI21" s="149">
        <v>0.7</v>
      </c>
      <c r="AJ21" s="148">
        <v>0</v>
      </c>
      <c r="AK21" s="165">
        <v>0</v>
      </c>
      <c r="AL21" s="56">
        <f t="shared" si="38"/>
        <v>46068</v>
      </c>
      <c r="AM21" s="77">
        <f t="shared" si="64"/>
        <v>0.3272921108742004</v>
      </c>
      <c r="AN21" s="76">
        <f t="shared" si="65"/>
        <v>0.6727078891257996</v>
      </c>
      <c r="AO21" s="150">
        <v>5628</v>
      </c>
      <c r="AP21" s="117">
        <f t="shared" si="41"/>
        <v>1842</v>
      </c>
      <c r="AQ21" s="151">
        <v>3786</v>
      </c>
      <c r="AR21" s="152">
        <v>2141</v>
      </c>
      <c r="AS21" s="153">
        <v>0.71319444444444446</v>
      </c>
      <c r="AT21" s="152">
        <v>185</v>
      </c>
      <c r="AU21" s="154">
        <v>0.86458333333333337</v>
      </c>
      <c r="AV21" s="56">
        <f t="shared" si="50"/>
        <v>46068</v>
      </c>
      <c r="AW21" s="110">
        <f t="shared" si="66"/>
        <v>0.40219416269923414</v>
      </c>
      <c r="AX21" s="110">
        <f t="shared" si="67"/>
        <v>0.59780583730076586</v>
      </c>
      <c r="AY21" s="111">
        <f t="shared" si="17"/>
        <v>4831</v>
      </c>
      <c r="AZ21" s="112">
        <v>4831</v>
      </c>
      <c r="BA21" s="120">
        <f t="shared" si="18"/>
        <v>1943</v>
      </c>
      <c r="BB21" s="113">
        <v>2888</v>
      </c>
      <c r="BC21" s="112">
        <v>2290</v>
      </c>
      <c r="BD21" s="114">
        <v>0.66666666666666663</v>
      </c>
      <c r="BE21" s="115">
        <v>0</v>
      </c>
      <c r="BF21" s="114">
        <v>0</v>
      </c>
      <c r="BG21" s="115">
        <v>174</v>
      </c>
      <c r="BH21" s="114">
        <v>0.86458333333333337</v>
      </c>
      <c r="BI21" s="56">
        <f>BI20+1</f>
        <v>46068</v>
      </c>
      <c r="BJ21" s="78">
        <f t="shared" si="68"/>
        <v>0.60390550866503523</v>
      </c>
      <c r="BK21" s="76">
        <f t="shared" si="69"/>
        <v>0.39609449133496477</v>
      </c>
      <c r="BL21" s="79">
        <f t="shared" si="70"/>
        <v>20023</v>
      </c>
      <c r="BM21" s="155">
        <v>12092</v>
      </c>
      <c r="BN21" s="155">
        <v>7931</v>
      </c>
      <c r="BO21" s="156">
        <v>3229</v>
      </c>
      <c r="BP21" s="157">
        <v>0.74444444444444446</v>
      </c>
      <c r="BQ21" s="158">
        <v>2177</v>
      </c>
      <c r="BR21" s="157">
        <v>0.79027777777777775</v>
      </c>
    </row>
    <row r="22" spans="1:70" ht="15.75" thickBot="1" x14ac:dyDescent="0.3">
      <c r="A22" s="14"/>
      <c r="B22" s="56">
        <f t="shared" si="47"/>
        <v>46069</v>
      </c>
      <c r="C22" s="164"/>
      <c r="D22" s="87">
        <f t="shared" si="22"/>
        <v>44068</v>
      </c>
      <c r="E22" s="159">
        <f t="shared" si="52"/>
        <v>0.8443995643097032</v>
      </c>
      <c r="F22" s="87">
        <f t="shared" si="24"/>
        <v>37211</v>
      </c>
      <c r="G22" s="159">
        <f t="shared" si="53"/>
        <v>0.1556004356902968</v>
      </c>
      <c r="H22" s="146">
        <f t="shared" si="26"/>
        <v>6857</v>
      </c>
      <c r="I22" s="160">
        <f t="shared" si="54"/>
        <v>0.10255424222797928</v>
      </c>
      <c r="J22" s="159">
        <f t="shared" si="55"/>
        <v>0.15434747409326424</v>
      </c>
      <c r="K22" s="159">
        <f t="shared" si="56"/>
        <v>0.16354954237962593</v>
      </c>
      <c r="L22" s="161">
        <f t="shared" si="57"/>
        <v>0.6100024287564767</v>
      </c>
      <c r="M22" s="146">
        <f t="shared" si="58"/>
        <v>4342.5568329015541</v>
      </c>
      <c r="N22" s="146">
        <f t="shared" si="59"/>
        <v>6535.6894430051807</v>
      </c>
      <c r="O22" s="146">
        <f t="shared" si="60"/>
        <v>6925.3418225228806</v>
      </c>
      <c r="P22" s="146">
        <f t="shared" si="61"/>
        <v>25829.942843264249</v>
      </c>
      <c r="Q22" s="56">
        <f t="shared" si="48"/>
        <v>46069</v>
      </c>
      <c r="R22" s="139">
        <v>44068</v>
      </c>
      <c r="S22" s="140">
        <v>0</v>
      </c>
      <c r="T22" s="140">
        <v>42344</v>
      </c>
      <c r="U22" s="140">
        <v>0</v>
      </c>
      <c r="V22" s="141">
        <v>9539</v>
      </c>
      <c r="W22" s="142">
        <v>0.80208333333333337</v>
      </c>
      <c r="X22" s="141">
        <v>3377</v>
      </c>
      <c r="Y22" s="142">
        <v>0.79166666666666663</v>
      </c>
      <c r="Z22" s="141">
        <v>0</v>
      </c>
      <c r="AA22" s="142">
        <v>0</v>
      </c>
      <c r="AB22" s="56">
        <f t="shared" si="49"/>
        <v>46069</v>
      </c>
      <c r="AC22" s="76">
        <f t="shared" si="62"/>
        <v>1</v>
      </c>
      <c r="AD22" s="162">
        <f t="shared" si="63"/>
        <v>0</v>
      </c>
      <c r="AE22" s="163">
        <v>5067</v>
      </c>
      <c r="AF22" s="118">
        <f t="shared" si="37"/>
        <v>5067</v>
      </c>
      <c r="AG22" s="147">
        <v>0</v>
      </c>
      <c r="AH22" s="148">
        <v>2342</v>
      </c>
      <c r="AI22" s="149">
        <v>0.7631944444444444</v>
      </c>
      <c r="AJ22" s="148">
        <v>0</v>
      </c>
      <c r="AK22" s="165">
        <v>0</v>
      </c>
      <c r="AL22" s="56">
        <f t="shared" si="38"/>
        <v>46069</v>
      </c>
      <c r="AM22" s="77">
        <f t="shared" si="64"/>
        <v>0.4864935746131655</v>
      </c>
      <c r="AN22" s="76">
        <f t="shared" si="65"/>
        <v>0.51350642538683455</v>
      </c>
      <c r="AO22" s="150">
        <v>7626</v>
      </c>
      <c r="AP22" s="117">
        <f t="shared" si="41"/>
        <v>3710</v>
      </c>
      <c r="AQ22" s="151">
        <v>3916</v>
      </c>
      <c r="AR22" s="152">
        <v>2518</v>
      </c>
      <c r="AS22" s="153">
        <v>0.73472222222222228</v>
      </c>
      <c r="AT22" s="152">
        <v>182</v>
      </c>
      <c r="AU22" s="154">
        <v>0.69791666666666663</v>
      </c>
      <c r="AV22" s="56">
        <f t="shared" si="50"/>
        <v>46069</v>
      </c>
      <c r="AW22" s="110">
        <f t="shared" si="66"/>
        <v>0.55276763990267641</v>
      </c>
      <c r="AX22" s="110">
        <f t="shared" si="67"/>
        <v>0.44723236009732359</v>
      </c>
      <c r="AY22" s="111">
        <f t="shared" si="17"/>
        <v>6576</v>
      </c>
      <c r="AZ22" s="112">
        <v>6576</v>
      </c>
      <c r="BA22" s="120">
        <f t="shared" si="18"/>
        <v>3635</v>
      </c>
      <c r="BB22" s="113">
        <v>2941</v>
      </c>
      <c r="BC22" s="112">
        <v>2799</v>
      </c>
      <c r="BD22" s="114">
        <v>0.76041666666666663</v>
      </c>
      <c r="BE22" s="115">
        <v>0</v>
      </c>
      <c r="BF22" s="114">
        <v>0</v>
      </c>
      <c r="BG22" s="115">
        <v>178</v>
      </c>
      <c r="BH22" s="114">
        <v>0.88541666666666663</v>
      </c>
      <c r="BI22" s="56">
        <f t="shared" si="51"/>
        <v>46069</v>
      </c>
      <c r="BJ22" s="78">
        <f t="shared" si="68"/>
        <v>0.60648992999104145</v>
      </c>
      <c r="BK22" s="76">
        <f t="shared" si="69"/>
        <v>0.39351007000895849</v>
      </c>
      <c r="BL22" s="79">
        <f t="shared" si="70"/>
        <v>30139</v>
      </c>
      <c r="BM22" s="155">
        <v>18279</v>
      </c>
      <c r="BN22" s="155">
        <v>11860</v>
      </c>
      <c r="BO22" s="156">
        <v>3079</v>
      </c>
      <c r="BP22" s="157">
        <v>0.83263888888888893</v>
      </c>
      <c r="BQ22" s="158">
        <v>2110</v>
      </c>
      <c r="BR22" s="157">
        <v>0.83333333333333337</v>
      </c>
    </row>
    <row r="23" spans="1:70" ht="15.75" thickBot="1" x14ac:dyDescent="0.3">
      <c r="A23" s="14"/>
      <c r="B23" s="56">
        <f t="shared" si="47"/>
        <v>46070</v>
      </c>
      <c r="C23" s="164"/>
      <c r="D23" s="87">
        <f t="shared" si="22"/>
        <v>49142</v>
      </c>
      <c r="E23" s="159">
        <f t="shared" si="52"/>
        <v>0.85246835700622681</v>
      </c>
      <c r="F23" s="87">
        <f t="shared" si="24"/>
        <v>41892</v>
      </c>
      <c r="G23" s="159">
        <f t="shared" si="53"/>
        <v>0.14753164299377314</v>
      </c>
      <c r="H23" s="146">
        <f t="shared" si="26"/>
        <v>7250</v>
      </c>
      <c r="I23" s="160">
        <f t="shared" si="54"/>
        <v>9.4310966348881045E-2</v>
      </c>
      <c r="J23" s="159">
        <f t="shared" si="55"/>
        <v>0.14466870391041006</v>
      </c>
      <c r="K23" s="159">
        <f t="shared" si="56"/>
        <v>0.16708138340372103</v>
      </c>
      <c r="L23" s="161">
        <f t="shared" si="57"/>
        <v>0.62709290197441858</v>
      </c>
      <c r="M23" s="146">
        <f t="shared" si="58"/>
        <v>4513.5342275247494</v>
      </c>
      <c r="N23" s="146">
        <f t="shared" si="59"/>
        <v>6923.5548317444045</v>
      </c>
      <c r="O23" s="146">
        <f t="shared" si="60"/>
        <v>7996.1808469352809</v>
      </c>
      <c r="P23" s="146">
        <f t="shared" si="61"/>
        <v>30011.412102691724</v>
      </c>
      <c r="Q23" s="56">
        <f t="shared" si="48"/>
        <v>46070</v>
      </c>
      <c r="R23" s="139">
        <v>49142</v>
      </c>
      <c r="S23" s="140">
        <v>0</v>
      </c>
      <c r="T23" s="140">
        <v>47858</v>
      </c>
      <c r="U23" s="140">
        <v>0</v>
      </c>
      <c r="V23" s="141">
        <v>8932</v>
      </c>
      <c r="W23" s="142">
        <v>0.79166666666666663</v>
      </c>
      <c r="X23" s="141">
        <v>3423</v>
      </c>
      <c r="Y23" s="142">
        <v>0.78125</v>
      </c>
      <c r="Z23" s="141">
        <v>0</v>
      </c>
      <c r="AA23" s="142">
        <v>0</v>
      </c>
      <c r="AB23" s="56">
        <f t="shared" si="49"/>
        <v>46070</v>
      </c>
      <c r="AC23" s="76">
        <f t="shared" si="62"/>
        <v>1</v>
      </c>
      <c r="AD23" s="162">
        <f t="shared" si="63"/>
        <v>0</v>
      </c>
      <c r="AE23" s="163">
        <v>5154</v>
      </c>
      <c r="AF23" s="118">
        <f t="shared" si="37"/>
        <v>5154</v>
      </c>
      <c r="AG23" s="147">
        <v>0</v>
      </c>
      <c r="AH23" s="148">
        <v>2414</v>
      </c>
      <c r="AI23" s="149">
        <v>0.72569444444444442</v>
      </c>
      <c r="AJ23" s="148">
        <v>0</v>
      </c>
      <c r="AK23" s="165">
        <v>0</v>
      </c>
      <c r="AL23" s="56">
        <f t="shared" si="38"/>
        <v>46070</v>
      </c>
      <c r="AM23" s="77">
        <f t="shared" si="64"/>
        <v>0.48026815077156593</v>
      </c>
      <c r="AN23" s="76">
        <f t="shared" si="65"/>
        <v>0.51973184922843407</v>
      </c>
      <c r="AO23" s="150">
        <v>7906</v>
      </c>
      <c r="AP23" s="117">
        <f t="shared" si="41"/>
        <v>3797</v>
      </c>
      <c r="AQ23" s="151">
        <v>4109</v>
      </c>
      <c r="AR23" s="152">
        <v>2431</v>
      </c>
      <c r="AS23" s="153">
        <v>0.71527777777777779</v>
      </c>
      <c r="AT23" s="152">
        <v>209</v>
      </c>
      <c r="AU23" s="154">
        <v>0.72916666666666663</v>
      </c>
      <c r="AV23" s="56">
        <f t="shared" si="50"/>
        <v>46070</v>
      </c>
      <c r="AW23" s="110">
        <f t="shared" si="66"/>
        <v>0.5708430113403471</v>
      </c>
      <c r="AX23" s="110">
        <f t="shared" si="67"/>
        <v>0.42915698865965296</v>
      </c>
      <c r="AY23" s="111">
        <f t="shared" si="17"/>
        <v>7319</v>
      </c>
      <c r="AZ23" s="112">
        <v>7319</v>
      </c>
      <c r="BA23" s="120">
        <f t="shared" si="18"/>
        <v>4178</v>
      </c>
      <c r="BB23" s="113">
        <v>3141</v>
      </c>
      <c r="BC23" s="112">
        <v>3016</v>
      </c>
      <c r="BD23" s="114">
        <v>3.125E-2</v>
      </c>
      <c r="BE23" s="115">
        <v>0</v>
      </c>
      <c r="BF23" s="114">
        <v>0</v>
      </c>
      <c r="BG23" s="115">
        <v>173</v>
      </c>
      <c r="BH23" s="114">
        <v>0.92708333333333337</v>
      </c>
      <c r="BI23" s="56">
        <f t="shared" si="51"/>
        <v>46070</v>
      </c>
      <c r="BJ23" s="78">
        <f t="shared" si="68"/>
        <v>0.58990370586518825</v>
      </c>
      <c r="BK23" s="76">
        <f t="shared" si="69"/>
        <v>0.4100962941348118</v>
      </c>
      <c r="BL23" s="79">
        <f t="shared" si="70"/>
        <v>34270</v>
      </c>
      <c r="BM23" s="155">
        <v>20216</v>
      </c>
      <c r="BN23" s="155">
        <v>14054</v>
      </c>
      <c r="BO23" s="156">
        <v>4305</v>
      </c>
      <c r="BP23" s="157">
        <v>8.7499999999999994E-2</v>
      </c>
      <c r="BQ23" s="158">
        <v>2954</v>
      </c>
      <c r="BR23" s="157">
        <v>0.14027777777777778</v>
      </c>
    </row>
    <row r="24" spans="1:70" ht="15.75" thickBot="1" x14ac:dyDescent="0.3">
      <c r="A24" s="14"/>
      <c r="B24" s="56">
        <f t="shared" si="47"/>
        <v>46071</v>
      </c>
      <c r="C24" s="164"/>
      <c r="D24" s="87">
        <f t="shared" si="22"/>
        <v>53800</v>
      </c>
      <c r="E24" s="159">
        <f t="shared" si="52"/>
        <v>0.86412639405204461</v>
      </c>
      <c r="F24" s="87">
        <f t="shared" si="24"/>
        <v>46490</v>
      </c>
      <c r="G24" s="159">
        <f t="shared" si="53"/>
        <v>0.13587360594795539</v>
      </c>
      <c r="H24" s="146">
        <f t="shared" si="26"/>
        <v>7310</v>
      </c>
      <c r="I24" s="160">
        <f t="shared" si="54"/>
        <v>9.4425276920283283E-2</v>
      </c>
      <c r="J24" s="159">
        <f t="shared" si="55"/>
        <v>0.14454330851643363</v>
      </c>
      <c r="K24" s="159">
        <f t="shared" si="56"/>
        <v>0.16858757062146892</v>
      </c>
      <c r="L24" s="161">
        <f t="shared" si="57"/>
        <v>0.62556745959687665</v>
      </c>
      <c r="M24" s="146">
        <f t="shared" si="58"/>
        <v>4534.3962229889239</v>
      </c>
      <c r="N24" s="146">
        <f t="shared" si="59"/>
        <v>6941.1142182676595</v>
      </c>
      <c r="O24" s="146">
        <f t="shared" si="60"/>
        <v>8095.7437288135588</v>
      </c>
      <c r="P24" s="146">
        <f t="shared" si="61"/>
        <v>30040.374977301613</v>
      </c>
      <c r="Q24" s="56">
        <f t="shared" si="48"/>
        <v>46071</v>
      </c>
      <c r="R24" s="139">
        <v>53800</v>
      </c>
      <c r="S24" s="140">
        <v>0</v>
      </c>
      <c r="T24" s="140">
        <v>48021</v>
      </c>
      <c r="U24" s="140">
        <v>0</v>
      </c>
      <c r="V24" s="141">
        <v>9350</v>
      </c>
      <c r="W24" s="142">
        <v>0.77083333333333337</v>
      </c>
      <c r="X24" s="141">
        <v>3540</v>
      </c>
      <c r="Y24" s="142">
        <v>0.8125</v>
      </c>
      <c r="Z24" s="141">
        <v>0</v>
      </c>
      <c r="AA24" s="142">
        <v>0</v>
      </c>
      <c r="AB24" s="56">
        <f t="shared" si="49"/>
        <v>46071</v>
      </c>
      <c r="AC24" s="76">
        <f t="shared" si="62"/>
        <v>1</v>
      </c>
      <c r="AD24" s="162">
        <f t="shared" si="63"/>
        <v>0</v>
      </c>
      <c r="AE24" s="163">
        <v>5200</v>
      </c>
      <c r="AF24" s="118">
        <f t="shared" si="37"/>
        <v>5200</v>
      </c>
      <c r="AG24" s="147">
        <v>0</v>
      </c>
      <c r="AH24" s="148">
        <v>2430</v>
      </c>
      <c r="AI24" s="149">
        <v>0.75</v>
      </c>
      <c r="AJ24" s="148">
        <v>0</v>
      </c>
      <c r="AK24" s="165">
        <v>0</v>
      </c>
      <c r="AL24" s="56">
        <f t="shared" si="38"/>
        <v>46071</v>
      </c>
      <c r="AM24" s="77">
        <f t="shared" si="64"/>
        <v>0.47738693467336685</v>
      </c>
      <c r="AN24" s="76">
        <f t="shared" si="65"/>
        <v>0.52261306532663321</v>
      </c>
      <c r="AO24" s="150">
        <v>7960</v>
      </c>
      <c r="AP24" s="117">
        <f t="shared" si="41"/>
        <v>3800</v>
      </c>
      <c r="AQ24" s="151">
        <v>4160</v>
      </c>
      <c r="AR24" s="152">
        <v>2500</v>
      </c>
      <c r="AS24" s="153">
        <v>0.77083333333333337</v>
      </c>
      <c r="AT24" s="152">
        <v>210</v>
      </c>
      <c r="AU24" s="154">
        <v>0.75</v>
      </c>
      <c r="AV24" s="56">
        <f t="shared" si="50"/>
        <v>46071</v>
      </c>
      <c r="AW24" s="110">
        <f t="shared" si="66"/>
        <v>0.57774798927613946</v>
      </c>
      <c r="AX24" s="110">
        <f t="shared" si="67"/>
        <v>0.42225201072386059</v>
      </c>
      <c r="AY24" s="111">
        <f t="shared" si="17"/>
        <v>7460</v>
      </c>
      <c r="AZ24" s="112">
        <v>7460</v>
      </c>
      <c r="BA24" s="120">
        <f t="shared" si="18"/>
        <v>4310</v>
      </c>
      <c r="BB24" s="113">
        <v>3150</v>
      </c>
      <c r="BC24" s="112">
        <v>3105</v>
      </c>
      <c r="BD24" s="114">
        <v>0.8125</v>
      </c>
      <c r="BE24" s="115">
        <v>0</v>
      </c>
      <c r="BF24" s="114">
        <v>0</v>
      </c>
      <c r="BG24" s="115">
        <v>178</v>
      </c>
      <c r="BH24" s="114">
        <v>0.875</v>
      </c>
      <c r="BI24" s="56">
        <f t="shared" si="51"/>
        <v>46071</v>
      </c>
      <c r="BJ24" s="78">
        <f t="shared" si="68"/>
        <v>0.59013062409288819</v>
      </c>
      <c r="BK24" s="76">
        <f t="shared" si="69"/>
        <v>0.40986937590711175</v>
      </c>
      <c r="BL24" s="79">
        <f t="shared" si="70"/>
        <v>34450</v>
      </c>
      <c r="BM24" s="155">
        <v>20330</v>
      </c>
      <c r="BN24" s="155">
        <v>14120</v>
      </c>
      <c r="BO24" s="156">
        <v>4398</v>
      </c>
      <c r="BP24" s="157">
        <v>0.77083333333333337</v>
      </c>
      <c r="BQ24" s="158">
        <v>2998</v>
      </c>
      <c r="BR24" s="157">
        <v>0.83333333333333337</v>
      </c>
    </row>
    <row r="25" spans="1:70" ht="15.75" thickBot="1" x14ac:dyDescent="0.3">
      <c r="A25" s="14"/>
      <c r="B25" s="56">
        <f t="shared" si="47"/>
        <v>46072</v>
      </c>
      <c r="C25" s="164"/>
      <c r="D25" s="87">
        <f t="shared" si="22"/>
        <v>52026</v>
      </c>
      <c r="E25" s="159">
        <f t="shared" ref="E25:E36" si="80">F25/D25</f>
        <v>0.86429861992080881</v>
      </c>
      <c r="F25" s="87">
        <f t="shared" si="24"/>
        <v>44966</v>
      </c>
      <c r="G25" s="159">
        <f t="shared" ref="G25:G36" si="81">H25/D25</f>
        <v>0.13570138007919116</v>
      </c>
      <c r="H25" s="146">
        <f t="shared" si="26"/>
        <v>7060</v>
      </c>
      <c r="I25" s="160">
        <f t="shared" ref="I25:I36" si="82">AE25/(AE25+AO25+BL25+AY25)</f>
        <v>0.10099160945842868</v>
      </c>
      <c r="J25" s="159">
        <f t="shared" ref="J25:J36" si="83">AO25/(AE25+AO25+BL25+AY25)</f>
        <v>0.14847020933977456</v>
      </c>
      <c r="K25" s="159">
        <f t="shared" ref="K25:K36" si="84">AY25/(AF25+AP25+BM25+AZ25+AY25)</f>
        <v>0.1541948742746615</v>
      </c>
      <c r="L25" s="161">
        <f t="shared" ref="L25:L36" si="85">BL25/(AE25+AO25+BL25+AY25)</f>
        <v>0.62081532333248579</v>
      </c>
      <c r="M25" s="146">
        <f t="shared" ref="M25:M35" si="86">(S25+T25)*I25</f>
        <v>5116.6389016018311</v>
      </c>
      <c r="N25" s="146">
        <f t="shared" ref="N25:N35" si="87">(S25+T25)*J25</f>
        <v>7522.0946859903388</v>
      </c>
      <c r="O25" s="146">
        <f t="shared" ref="O25:O35" si="88">(S25+T25)*K25</f>
        <v>7812.1291102514497</v>
      </c>
      <c r="P25" s="146">
        <f t="shared" ref="P25:P35" si="89">(S25+T25)*L25</f>
        <v>31452.987541317059</v>
      </c>
      <c r="Q25" s="56">
        <f t="shared" si="48"/>
        <v>46072</v>
      </c>
      <c r="R25" s="139">
        <v>52026</v>
      </c>
      <c r="S25" s="140">
        <v>0</v>
      </c>
      <c r="T25" s="140">
        <v>50664</v>
      </c>
      <c r="U25" s="140">
        <v>0</v>
      </c>
      <c r="V25" s="141">
        <v>13159</v>
      </c>
      <c r="W25" s="142">
        <v>0.80208333333333337</v>
      </c>
      <c r="X25" s="141">
        <v>4413</v>
      </c>
      <c r="Y25" s="142">
        <v>0.80208333333333337</v>
      </c>
      <c r="Z25" s="141">
        <v>0</v>
      </c>
      <c r="AA25" s="142">
        <v>0</v>
      </c>
      <c r="AB25" s="168">
        <f t="shared" si="49"/>
        <v>46072</v>
      </c>
      <c r="AC25" s="76">
        <f t="shared" si="62"/>
        <v>1</v>
      </c>
      <c r="AD25" s="162">
        <f t="shared" si="63"/>
        <v>0</v>
      </c>
      <c r="AE25" s="163">
        <v>5958</v>
      </c>
      <c r="AF25" s="118">
        <f t="shared" si="37"/>
        <v>5958</v>
      </c>
      <c r="AG25" s="147">
        <v>0</v>
      </c>
      <c r="AH25" s="148">
        <v>4072</v>
      </c>
      <c r="AI25" s="149">
        <v>0.79236111111111107</v>
      </c>
      <c r="AJ25" s="148">
        <v>0</v>
      </c>
      <c r="AK25" s="165">
        <v>0</v>
      </c>
      <c r="AL25" s="168">
        <f t="shared" si="38"/>
        <v>46072</v>
      </c>
      <c r="AM25" s="77">
        <f t="shared" si="64"/>
        <v>0.545610229478251</v>
      </c>
      <c r="AN25" s="76">
        <f t="shared" si="65"/>
        <v>0.45438977052174906</v>
      </c>
      <c r="AO25" s="150">
        <v>8759</v>
      </c>
      <c r="AP25" s="117">
        <f t="shared" si="41"/>
        <v>4779</v>
      </c>
      <c r="AQ25" s="151">
        <v>3980</v>
      </c>
      <c r="AR25" s="152">
        <v>3430</v>
      </c>
      <c r="AS25" s="153">
        <v>0.80069444444444449</v>
      </c>
      <c r="AT25" s="152">
        <v>188</v>
      </c>
      <c r="AU25" s="154">
        <v>0.875</v>
      </c>
      <c r="AV25" s="168">
        <f t="shared" si="50"/>
        <v>46072</v>
      </c>
      <c r="AW25" s="169">
        <f t="shared" si="66"/>
        <v>0.59754344701424278</v>
      </c>
      <c r="AX25" s="169">
        <f t="shared" si="67"/>
        <v>0.40245655298575722</v>
      </c>
      <c r="AY25" s="111">
        <f t="shared" si="17"/>
        <v>7653</v>
      </c>
      <c r="AZ25" s="112">
        <v>7653</v>
      </c>
      <c r="BA25" s="120">
        <f t="shared" si="18"/>
        <v>4573</v>
      </c>
      <c r="BB25" s="113">
        <v>3080</v>
      </c>
      <c r="BC25" s="112">
        <v>4183</v>
      </c>
      <c r="BD25" s="114">
        <v>0.75</v>
      </c>
      <c r="BE25" s="115">
        <v>0</v>
      </c>
      <c r="BF25" s="114">
        <v>0</v>
      </c>
      <c r="BG25" s="115">
        <v>179</v>
      </c>
      <c r="BH25" s="114">
        <v>0.90625</v>
      </c>
      <c r="BI25" s="168">
        <f t="shared" si="51"/>
        <v>46072</v>
      </c>
      <c r="BJ25" s="170">
        <f t="shared" si="68"/>
        <v>0.64406825938566548</v>
      </c>
      <c r="BK25" s="76">
        <f t="shared" si="69"/>
        <v>0.35593174061433447</v>
      </c>
      <c r="BL25" s="79">
        <f t="shared" si="70"/>
        <v>36625</v>
      </c>
      <c r="BM25" s="155">
        <v>23589</v>
      </c>
      <c r="BN25" s="155">
        <v>13036</v>
      </c>
      <c r="BO25" s="156">
        <v>4335</v>
      </c>
      <c r="BP25" s="157">
        <v>4.1666666666666664E-2</v>
      </c>
      <c r="BQ25" s="158">
        <v>2677</v>
      </c>
      <c r="BR25" s="157">
        <v>0.79791666666666672</v>
      </c>
    </row>
    <row r="26" spans="1:70" ht="15.75" thickBot="1" x14ac:dyDescent="0.3">
      <c r="A26" s="14"/>
      <c r="B26" s="56">
        <f t="shared" si="47"/>
        <v>46073</v>
      </c>
      <c r="C26" s="164"/>
      <c r="D26" s="87">
        <f t="shared" si="22"/>
        <v>48966</v>
      </c>
      <c r="E26" s="159">
        <f t="shared" si="80"/>
        <v>0.85937180901033372</v>
      </c>
      <c r="F26" s="87">
        <f t="shared" si="24"/>
        <v>42080</v>
      </c>
      <c r="G26" s="159">
        <f t="shared" si="81"/>
        <v>0.14062819098966631</v>
      </c>
      <c r="H26" s="146">
        <f t="shared" si="26"/>
        <v>6886</v>
      </c>
      <c r="I26" s="160">
        <f t="shared" si="82"/>
        <v>9.4780295385744423E-2</v>
      </c>
      <c r="J26" s="159">
        <f t="shared" si="83"/>
        <v>0.1430144023484084</v>
      </c>
      <c r="K26" s="159">
        <f t="shared" si="84"/>
        <v>0.15682559970784926</v>
      </c>
      <c r="L26" s="161">
        <f t="shared" si="85"/>
        <v>0.63614347307586461</v>
      </c>
      <c r="M26" s="146">
        <f t="shared" si="86"/>
        <v>4529.9294376662692</v>
      </c>
      <c r="N26" s="146">
        <f t="shared" si="87"/>
        <v>6835.230345839831</v>
      </c>
      <c r="O26" s="146">
        <f t="shared" si="88"/>
        <v>7495.3227124369478</v>
      </c>
      <c r="P26" s="146">
        <f t="shared" si="89"/>
        <v>30403.841152187873</v>
      </c>
      <c r="Q26" s="56">
        <f t="shared" si="48"/>
        <v>46073</v>
      </c>
      <c r="R26" s="139">
        <v>48966</v>
      </c>
      <c r="S26" s="140">
        <v>0</v>
      </c>
      <c r="T26" s="140">
        <v>47794</v>
      </c>
      <c r="U26" s="140">
        <v>0</v>
      </c>
      <c r="V26" s="141">
        <v>9087</v>
      </c>
      <c r="W26" s="142">
        <v>0.80208333333333337</v>
      </c>
      <c r="X26" s="141">
        <v>3387</v>
      </c>
      <c r="Y26" s="142">
        <v>0.73958333333333337</v>
      </c>
      <c r="Z26" s="141">
        <v>0</v>
      </c>
      <c r="AA26" s="142">
        <v>0</v>
      </c>
      <c r="AB26" s="56">
        <f t="shared" si="49"/>
        <v>46073</v>
      </c>
      <c r="AC26" s="76">
        <f t="shared" ref="AC26:AC36" si="90">+AF26/AE26</f>
        <v>1</v>
      </c>
      <c r="AD26" s="162">
        <f t="shared" ref="AD26:AD36" si="91">+AG26/AE26</f>
        <v>0</v>
      </c>
      <c r="AE26" s="163">
        <v>5166</v>
      </c>
      <c r="AF26" s="118">
        <f t="shared" si="37"/>
        <v>5166</v>
      </c>
      <c r="AG26" s="147">
        <v>0</v>
      </c>
      <c r="AH26" s="148">
        <v>2615</v>
      </c>
      <c r="AI26" s="149">
        <v>0.77569444444444446</v>
      </c>
      <c r="AJ26" s="148">
        <v>0</v>
      </c>
      <c r="AK26" s="165">
        <v>0</v>
      </c>
      <c r="AL26" s="56">
        <f t="shared" si="38"/>
        <v>46073</v>
      </c>
      <c r="AM26" s="77">
        <f t="shared" ref="AM26:AM36" si="92">+AP26/AO26</f>
        <v>0.49275176395125081</v>
      </c>
      <c r="AN26" s="76">
        <f t="shared" ref="AN26:AN36" si="93">+AQ26/AO26</f>
        <v>0.50724823604874925</v>
      </c>
      <c r="AO26" s="150">
        <v>7795</v>
      </c>
      <c r="AP26" s="117">
        <f t="shared" si="41"/>
        <v>3841</v>
      </c>
      <c r="AQ26" s="151">
        <v>3954</v>
      </c>
      <c r="AR26" s="152">
        <v>2194</v>
      </c>
      <c r="AS26" s="153">
        <v>0.85833333333333328</v>
      </c>
      <c r="AT26" s="152">
        <v>184</v>
      </c>
      <c r="AU26" s="154">
        <v>0.26041666666666669</v>
      </c>
      <c r="AV26" s="56">
        <f t="shared" si="50"/>
        <v>46073</v>
      </c>
      <c r="AW26" s="110">
        <f t="shared" ref="AW26:AW36" si="94">BA26/AZ26</f>
        <v>0.57327899869014698</v>
      </c>
      <c r="AX26" s="110">
        <f t="shared" ref="AX26:AX36" si="95">BB26/AZ26</f>
        <v>0.42672100130985302</v>
      </c>
      <c r="AY26" s="111">
        <f t="shared" si="17"/>
        <v>6871</v>
      </c>
      <c r="AZ26" s="112">
        <v>6871</v>
      </c>
      <c r="BA26" s="120">
        <f t="shared" si="18"/>
        <v>3939</v>
      </c>
      <c r="BB26" s="113">
        <v>2932</v>
      </c>
      <c r="BC26" s="112">
        <v>2940</v>
      </c>
      <c r="BD26" s="114">
        <v>4.1666666666666664E-2</v>
      </c>
      <c r="BE26" s="115">
        <v>0</v>
      </c>
      <c r="BF26" s="114">
        <v>0</v>
      </c>
      <c r="BG26" s="115">
        <v>180</v>
      </c>
      <c r="BH26" s="114">
        <v>0.88541666666666663</v>
      </c>
      <c r="BI26" s="56">
        <f t="shared" si="51"/>
        <v>46073</v>
      </c>
      <c r="BJ26" s="78">
        <f t="shared" ref="BJ26:BJ36" si="96">+BM26/BL26</f>
        <v>0.60750439823493785</v>
      </c>
      <c r="BK26" s="76">
        <f t="shared" ref="BK26:BK36" si="97">+BN26/BL26</f>
        <v>0.39249560176506215</v>
      </c>
      <c r="BL26" s="79">
        <f t="shared" ref="BL26:BL36" si="98">BM26+BN26</f>
        <v>34673</v>
      </c>
      <c r="BM26" s="155">
        <v>21064</v>
      </c>
      <c r="BN26" s="155">
        <v>13609</v>
      </c>
      <c r="BO26" s="156">
        <v>3936</v>
      </c>
      <c r="BP26" s="157">
        <v>5.9722222222222225E-2</v>
      </c>
      <c r="BQ26" s="158">
        <v>2047</v>
      </c>
      <c r="BR26" s="157">
        <v>0.6791666666666667</v>
      </c>
    </row>
    <row r="27" spans="1:70" ht="15.75" thickBot="1" x14ac:dyDescent="0.3">
      <c r="A27" s="14"/>
      <c r="B27" s="56">
        <f t="shared" si="47"/>
        <v>46074</v>
      </c>
      <c r="C27" s="164"/>
      <c r="D27" s="87">
        <f t="shared" si="22"/>
        <v>33742</v>
      </c>
      <c r="E27" s="159">
        <f t="shared" si="80"/>
        <v>0.80312370339636063</v>
      </c>
      <c r="F27" s="87">
        <f t="shared" si="24"/>
        <v>27099</v>
      </c>
      <c r="G27" s="159">
        <f t="shared" si="81"/>
        <v>0.19687629660363939</v>
      </c>
      <c r="H27" s="146">
        <f t="shared" si="26"/>
        <v>6643</v>
      </c>
      <c r="I27" s="160">
        <f t="shared" si="82"/>
        <v>8.0100931468606557E-2</v>
      </c>
      <c r="J27" s="159">
        <f t="shared" si="83"/>
        <v>0.15918181086087027</v>
      </c>
      <c r="K27" s="159">
        <f t="shared" si="84"/>
        <v>0.1697216332672184</v>
      </c>
      <c r="L27" s="161">
        <f t="shared" si="85"/>
        <v>0.62749308780500901</v>
      </c>
      <c r="M27" s="146">
        <f t="shared" si="86"/>
        <v>2587.0197836415859</v>
      </c>
      <c r="N27" s="146">
        <f t="shared" si="87"/>
        <v>5141.0949453735275</v>
      </c>
      <c r="O27" s="146">
        <f t="shared" si="88"/>
        <v>5481.4995896313521</v>
      </c>
      <c r="P27" s="146">
        <f t="shared" si="89"/>
        <v>20266.144256838375</v>
      </c>
      <c r="Q27" s="56">
        <f t="shared" si="48"/>
        <v>46074</v>
      </c>
      <c r="R27" s="139">
        <v>33742</v>
      </c>
      <c r="S27" s="140">
        <v>0</v>
      </c>
      <c r="T27" s="140">
        <v>32297</v>
      </c>
      <c r="U27" s="140">
        <v>0</v>
      </c>
      <c r="V27" s="141">
        <v>6897</v>
      </c>
      <c r="W27" s="142">
        <v>0.67708333333333337</v>
      </c>
      <c r="X27" s="141">
        <v>2092</v>
      </c>
      <c r="Y27" s="142">
        <v>0.59375</v>
      </c>
      <c r="Z27" s="141">
        <v>0</v>
      </c>
      <c r="AA27" s="142">
        <v>0</v>
      </c>
      <c r="AB27" s="56">
        <f t="shared" si="49"/>
        <v>46074</v>
      </c>
      <c r="AC27" s="76">
        <f t="shared" si="90"/>
        <v>1</v>
      </c>
      <c r="AD27" s="162">
        <f t="shared" si="91"/>
        <v>0</v>
      </c>
      <c r="AE27" s="163">
        <v>2984</v>
      </c>
      <c r="AF27" s="118">
        <f t="shared" si="37"/>
        <v>2984</v>
      </c>
      <c r="AG27" s="147">
        <v>0</v>
      </c>
      <c r="AH27" s="148">
        <v>1448</v>
      </c>
      <c r="AI27" s="149">
        <v>0.86111111111111116</v>
      </c>
      <c r="AJ27" s="148">
        <v>0</v>
      </c>
      <c r="AK27" s="165">
        <v>0</v>
      </c>
      <c r="AL27" s="56">
        <f t="shared" si="38"/>
        <v>46074</v>
      </c>
      <c r="AM27" s="77">
        <f t="shared" si="92"/>
        <v>0.36357504215851599</v>
      </c>
      <c r="AN27" s="76">
        <f t="shared" si="93"/>
        <v>0.63642495784148401</v>
      </c>
      <c r="AO27" s="150">
        <v>5930</v>
      </c>
      <c r="AP27" s="117">
        <f t="shared" si="41"/>
        <v>2156</v>
      </c>
      <c r="AQ27" s="151">
        <v>3774</v>
      </c>
      <c r="AR27" s="152">
        <v>1660</v>
      </c>
      <c r="AS27" s="153">
        <v>0.82152777777777775</v>
      </c>
      <c r="AT27" s="152">
        <v>185</v>
      </c>
      <c r="AU27" s="154">
        <v>0.89583333333333337</v>
      </c>
      <c r="AV27" s="56">
        <f t="shared" si="50"/>
        <v>46074</v>
      </c>
      <c r="AW27" s="110">
        <f t="shared" si="94"/>
        <v>0.42192222446101146</v>
      </c>
      <c r="AX27" s="110">
        <f t="shared" si="95"/>
        <v>0.57807777553898854</v>
      </c>
      <c r="AY27" s="111">
        <f t="shared" si="17"/>
        <v>4963</v>
      </c>
      <c r="AZ27" s="112">
        <v>4963</v>
      </c>
      <c r="BA27" s="120">
        <f t="shared" si="18"/>
        <v>2094</v>
      </c>
      <c r="BB27" s="113">
        <v>2869</v>
      </c>
      <c r="BC27" s="112">
        <v>1596</v>
      </c>
      <c r="BD27" s="114" t="s">
        <v>69</v>
      </c>
      <c r="BE27" s="115">
        <v>0</v>
      </c>
      <c r="BF27" s="114">
        <v>0</v>
      </c>
      <c r="BG27" s="115">
        <v>175</v>
      </c>
      <c r="BH27" s="114">
        <v>0.86458333333333337</v>
      </c>
      <c r="BI27" s="56">
        <f t="shared" si="51"/>
        <v>46074</v>
      </c>
      <c r="BJ27" s="78">
        <f t="shared" si="96"/>
        <v>0.60643394934976047</v>
      </c>
      <c r="BK27" s="76">
        <f t="shared" si="97"/>
        <v>0.39356605065023959</v>
      </c>
      <c r="BL27" s="79">
        <f t="shared" si="98"/>
        <v>23376</v>
      </c>
      <c r="BM27" s="155">
        <v>14176</v>
      </c>
      <c r="BN27" s="155">
        <v>9200</v>
      </c>
      <c r="BO27" s="156">
        <v>2829</v>
      </c>
      <c r="BP27" s="157">
        <v>0.37638888888888888</v>
      </c>
      <c r="BQ27" s="158">
        <v>1891</v>
      </c>
      <c r="BR27" s="157">
        <v>0.37638888888888888</v>
      </c>
    </row>
    <row r="28" spans="1:70" ht="15.75" thickBot="1" x14ac:dyDescent="0.3">
      <c r="A28" s="14"/>
      <c r="B28" s="56">
        <f t="shared" si="47"/>
        <v>46075</v>
      </c>
      <c r="C28" s="164"/>
      <c r="D28" s="87">
        <f t="shared" si="22"/>
        <v>31256</v>
      </c>
      <c r="E28" s="159">
        <f t="shared" si="80"/>
        <v>0.79491937547990787</v>
      </c>
      <c r="F28" s="87">
        <f t="shared" si="24"/>
        <v>24846</v>
      </c>
      <c r="G28" s="159">
        <f t="shared" si="81"/>
        <v>0.20508062452009215</v>
      </c>
      <c r="H28" s="146">
        <f t="shared" si="26"/>
        <v>6410</v>
      </c>
      <c r="I28" s="160">
        <f t="shared" si="82"/>
        <v>7.6279257698634875E-2</v>
      </c>
      <c r="J28" s="159">
        <f t="shared" si="83"/>
        <v>0.16404513838783227</v>
      </c>
      <c r="K28" s="159">
        <f t="shared" si="84"/>
        <v>0.17469548995939865</v>
      </c>
      <c r="L28" s="161">
        <f t="shared" si="85"/>
        <v>0.6218361280267829</v>
      </c>
      <c r="M28" s="146">
        <f t="shared" si="86"/>
        <v>2282.3516696008542</v>
      </c>
      <c r="N28" s="146">
        <f t="shared" si="87"/>
        <v>4908.3945857023291</v>
      </c>
      <c r="O28" s="146">
        <f t="shared" si="88"/>
        <v>5227.0637550751671</v>
      </c>
      <c r="P28" s="146">
        <f t="shared" si="89"/>
        <v>18605.958786689371</v>
      </c>
      <c r="Q28" s="56">
        <f t="shared" si="48"/>
        <v>46075</v>
      </c>
      <c r="R28" s="139">
        <v>31256</v>
      </c>
      <c r="S28" s="140">
        <v>0</v>
      </c>
      <c r="T28" s="140">
        <v>29921</v>
      </c>
      <c r="U28" s="140">
        <v>0</v>
      </c>
      <c r="V28" s="141">
        <v>8020</v>
      </c>
      <c r="W28" s="142">
        <v>0.85416666666666663</v>
      </c>
      <c r="X28" s="141">
        <v>2501</v>
      </c>
      <c r="Y28" s="142">
        <v>0.80208333333333337</v>
      </c>
      <c r="Z28" s="141">
        <v>0</v>
      </c>
      <c r="AA28" s="142">
        <v>0</v>
      </c>
      <c r="AB28" s="56">
        <f t="shared" si="49"/>
        <v>46075</v>
      </c>
      <c r="AC28" s="76">
        <f t="shared" si="90"/>
        <v>1</v>
      </c>
      <c r="AD28" s="162">
        <f t="shared" si="91"/>
        <v>0</v>
      </c>
      <c r="AE28" s="163">
        <v>2643</v>
      </c>
      <c r="AF28" s="118">
        <f t="shared" si="37"/>
        <v>2643</v>
      </c>
      <c r="AG28" s="147">
        <v>0</v>
      </c>
      <c r="AH28" s="148">
        <v>2335</v>
      </c>
      <c r="AI28" s="149">
        <v>0.8041666666666667</v>
      </c>
      <c r="AJ28" s="148">
        <v>0</v>
      </c>
      <c r="AK28" s="165">
        <v>0</v>
      </c>
      <c r="AL28" s="56">
        <f t="shared" si="38"/>
        <v>46075</v>
      </c>
      <c r="AM28" s="77">
        <f t="shared" si="92"/>
        <v>0.35837438423645318</v>
      </c>
      <c r="AN28" s="76">
        <f t="shared" si="93"/>
        <v>0.64162561576354682</v>
      </c>
      <c r="AO28" s="150">
        <v>5684</v>
      </c>
      <c r="AP28" s="117">
        <f t="shared" si="41"/>
        <v>2037</v>
      </c>
      <c r="AQ28" s="151">
        <v>3647</v>
      </c>
      <c r="AR28" s="152">
        <v>2541</v>
      </c>
      <c r="AS28" s="153">
        <v>0.86944444444444446</v>
      </c>
      <c r="AT28" s="152">
        <v>178</v>
      </c>
      <c r="AU28" s="154">
        <v>0.90625</v>
      </c>
      <c r="AV28" s="56">
        <f t="shared" si="50"/>
        <v>46075</v>
      </c>
      <c r="AW28" s="110">
        <f t="shared" si="94"/>
        <v>0.42148241206030151</v>
      </c>
      <c r="AX28" s="110">
        <f t="shared" si="95"/>
        <v>0.57851758793969854</v>
      </c>
      <c r="AY28" s="111">
        <f t="shared" si="17"/>
        <v>4776</v>
      </c>
      <c r="AZ28" s="112">
        <v>4776</v>
      </c>
      <c r="BA28" s="120">
        <f t="shared" si="18"/>
        <v>2013</v>
      </c>
      <c r="BB28" s="113">
        <v>2763</v>
      </c>
      <c r="BC28" s="112">
        <v>2739</v>
      </c>
      <c r="BD28" s="114">
        <v>0.80208333333333337</v>
      </c>
      <c r="BE28" s="115">
        <v>0</v>
      </c>
      <c r="BF28" s="114">
        <v>0</v>
      </c>
      <c r="BG28" s="115">
        <v>168</v>
      </c>
      <c r="BH28" s="114">
        <v>0.88541666666666663</v>
      </c>
      <c r="BI28" s="56">
        <f t="shared" si="51"/>
        <v>46075</v>
      </c>
      <c r="BJ28" s="78">
        <f t="shared" si="96"/>
        <v>0.60832637148426627</v>
      </c>
      <c r="BK28" s="76">
        <f t="shared" si="97"/>
        <v>0.39167362851573378</v>
      </c>
      <c r="BL28" s="79">
        <f t="shared" si="98"/>
        <v>21546</v>
      </c>
      <c r="BM28" s="155">
        <v>13107</v>
      </c>
      <c r="BN28" s="155">
        <v>8439</v>
      </c>
      <c r="BO28" s="156">
        <v>3292</v>
      </c>
      <c r="BP28" s="157">
        <v>0.8041666666666667</v>
      </c>
      <c r="BQ28" s="158">
        <v>2193</v>
      </c>
      <c r="BR28" s="157">
        <v>0.8041666666666667</v>
      </c>
    </row>
    <row r="29" spans="1:70" ht="15.75" thickBot="1" x14ac:dyDescent="0.3">
      <c r="A29" s="14"/>
      <c r="B29" s="56">
        <f t="shared" si="47"/>
        <v>46076</v>
      </c>
      <c r="C29" s="164"/>
      <c r="D29" s="87">
        <f t="shared" si="22"/>
        <v>46672</v>
      </c>
      <c r="E29" s="159">
        <f t="shared" si="80"/>
        <v>0.84299087247171756</v>
      </c>
      <c r="F29" s="87">
        <f t="shared" si="24"/>
        <v>39344.07</v>
      </c>
      <c r="G29" s="159">
        <f t="shared" si="81"/>
        <v>0.1570091275282825</v>
      </c>
      <c r="H29" s="146">
        <f t="shared" si="26"/>
        <v>7327.93</v>
      </c>
      <c r="I29" s="160">
        <f t="shared" si="82"/>
        <v>9.8640661122539913E-2</v>
      </c>
      <c r="J29" s="159">
        <f t="shared" si="83"/>
        <v>0.15092366317359068</v>
      </c>
      <c r="K29" s="159">
        <f t="shared" si="84"/>
        <v>0.15876480696084005</v>
      </c>
      <c r="L29" s="161">
        <f t="shared" si="85"/>
        <v>0.62184230994030931</v>
      </c>
      <c r="M29" s="146">
        <f t="shared" si="86"/>
        <v>4483.1687276888779</v>
      </c>
      <c r="N29" s="146">
        <f t="shared" si="87"/>
        <v>6859.4050294081098</v>
      </c>
      <c r="O29" s="146">
        <f t="shared" si="88"/>
        <v>7215.7810939666997</v>
      </c>
      <c r="P29" s="146">
        <f t="shared" si="89"/>
        <v>28262.422065632087</v>
      </c>
      <c r="Q29" s="56">
        <f t="shared" si="48"/>
        <v>46076</v>
      </c>
      <c r="R29" s="139">
        <v>46672</v>
      </c>
      <c r="S29" s="140">
        <v>0</v>
      </c>
      <c r="T29" s="140">
        <v>45449.5</v>
      </c>
      <c r="U29" s="140">
        <v>0</v>
      </c>
      <c r="V29" s="141">
        <v>11518.69</v>
      </c>
      <c r="W29" s="142">
        <v>0.82291666666666663</v>
      </c>
      <c r="X29" s="141">
        <v>3561.72</v>
      </c>
      <c r="Y29" s="142">
        <v>0.82291666666666663</v>
      </c>
      <c r="Z29" s="141">
        <v>0</v>
      </c>
      <c r="AA29" s="142">
        <v>0</v>
      </c>
      <c r="AB29" s="56">
        <f t="shared" si="49"/>
        <v>46076</v>
      </c>
      <c r="AC29" s="76">
        <f t="shared" si="90"/>
        <v>1</v>
      </c>
      <c r="AD29" s="162">
        <f t="shared" si="91"/>
        <v>0</v>
      </c>
      <c r="AE29" s="163">
        <v>5144</v>
      </c>
      <c r="AF29" s="118">
        <f t="shared" si="37"/>
        <v>5144</v>
      </c>
      <c r="AG29" s="147">
        <v>0</v>
      </c>
      <c r="AH29" s="148">
        <v>2619.2800000000002</v>
      </c>
      <c r="AI29" s="149">
        <v>0.8354166666666667</v>
      </c>
      <c r="AJ29" s="148">
        <v>0</v>
      </c>
      <c r="AK29" s="165">
        <v>0</v>
      </c>
      <c r="AL29" s="56">
        <f t="shared" si="38"/>
        <v>46076</v>
      </c>
      <c r="AM29" s="77">
        <f t="shared" si="92"/>
        <v>0.50291595197255567</v>
      </c>
      <c r="AN29" s="76">
        <f t="shared" si="93"/>
        <v>0.49708404802744427</v>
      </c>
      <c r="AO29" s="150">
        <v>7870.5</v>
      </c>
      <c r="AP29" s="117">
        <f t="shared" si="41"/>
        <v>3958.2</v>
      </c>
      <c r="AQ29" s="151">
        <v>3912.3</v>
      </c>
      <c r="AR29" s="152">
        <v>3102.91</v>
      </c>
      <c r="AS29" s="153">
        <v>0.81041666666666667</v>
      </c>
      <c r="AT29" s="152">
        <v>186.08</v>
      </c>
      <c r="AU29" s="154">
        <v>0.33333333333333331</v>
      </c>
      <c r="AV29" s="56">
        <f t="shared" si="50"/>
        <v>46076</v>
      </c>
      <c r="AW29" s="110">
        <f t="shared" si="94"/>
        <v>0.49066060244557114</v>
      </c>
      <c r="AX29" s="110">
        <f t="shared" si="95"/>
        <v>0.50933939755442892</v>
      </c>
      <c r="AY29" s="111">
        <f t="shared" si="17"/>
        <v>6706</v>
      </c>
      <c r="AZ29" s="112">
        <v>6706</v>
      </c>
      <c r="BA29" s="120">
        <f t="shared" si="18"/>
        <v>3290.37</v>
      </c>
      <c r="BB29" s="181">
        <f>2844.63+BB40</f>
        <v>3415.63</v>
      </c>
      <c r="BC29" s="112">
        <v>2793.52</v>
      </c>
      <c r="BD29" s="114">
        <v>0.8125</v>
      </c>
      <c r="BE29" s="115">
        <v>0</v>
      </c>
      <c r="BF29" s="114">
        <v>0</v>
      </c>
      <c r="BG29" s="115">
        <v>175.81</v>
      </c>
      <c r="BH29" s="114">
        <v>0.88541666666666663</v>
      </c>
      <c r="BI29" s="56">
        <f t="shared" si="51"/>
        <v>46076</v>
      </c>
      <c r="BJ29" s="78">
        <f t="shared" si="96"/>
        <v>0.60824438346904786</v>
      </c>
      <c r="BK29" s="76">
        <f t="shared" si="97"/>
        <v>0.3917556165309522</v>
      </c>
      <c r="BL29" s="79">
        <f t="shared" si="98"/>
        <v>32428.38</v>
      </c>
      <c r="BM29" s="155">
        <v>19724.38</v>
      </c>
      <c r="BN29" s="155">
        <v>12704</v>
      </c>
      <c r="BO29" s="156">
        <v>3374.81</v>
      </c>
      <c r="BP29" s="157">
        <v>0.78472222222222221</v>
      </c>
      <c r="BQ29" s="158">
        <v>2253.4499999999998</v>
      </c>
      <c r="BR29" s="157">
        <v>0.78472222222222221</v>
      </c>
    </row>
    <row r="30" spans="1:70" ht="15.75" thickBot="1" x14ac:dyDescent="0.3">
      <c r="A30" s="14"/>
      <c r="B30" s="56">
        <f t="shared" si="47"/>
        <v>46077</v>
      </c>
      <c r="C30" s="164"/>
      <c r="D30" s="87">
        <f t="shared" si="22"/>
        <v>46694</v>
      </c>
      <c r="E30" s="159">
        <f t="shared" si="80"/>
        <v>0.84268299995716789</v>
      </c>
      <c r="F30" s="87">
        <f t="shared" si="24"/>
        <v>39348.239999999998</v>
      </c>
      <c r="G30" s="159">
        <f t="shared" si="81"/>
        <v>0.15731700004283206</v>
      </c>
      <c r="H30" s="146">
        <f t="shared" si="26"/>
        <v>7345.76</v>
      </c>
      <c r="I30" s="160">
        <f t="shared" si="82"/>
        <v>0.1000699508766747</v>
      </c>
      <c r="J30" s="159">
        <f t="shared" si="83"/>
        <v>0.15247060072551194</v>
      </c>
      <c r="K30" s="159">
        <f t="shared" si="84"/>
        <v>0.16212505044296649</v>
      </c>
      <c r="L30" s="161">
        <f t="shared" si="85"/>
        <v>0.61525094516385948</v>
      </c>
      <c r="M30" s="146">
        <f t="shared" si="86"/>
        <v>4550.3808062641519</v>
      </c>
      <c r="N30" s="146">
        <f t="shared" si="87"/>
        <v>6933.1431561904792</v>
      </c>
      <c r="O30" s="146">
        <f t="shared" si="88"/>
        <v>7372.1502937425721</v>
      </c>
      <c r="P30" s="146">
        <f t="shared" si="89"/>
        <v>27976.690978491017</v>
      </c>
      <c r="Q30" s="56">
        <f t="shared" si="48"/>
        <v>46077</v>
      </c>
      <c r="R30" s="139">
        <v>46694</v>
      </c>
      <c r="S30" s="140">
        <v>0</v>
      </c>
      <c r="T30" s="140">
        <v>45472</v>
      </c>
      <c r="U30" s="140">
        <v>0</v>
      </c>
      <c r="V30" s="141">
        <v>9842</v>
      </c>
      <c r="W30" s="142">
        <v>0.85416666666666663</v>
      </c>
      <c r="X30" s="141">
        <v>3751.22</v>
      </c>
      <c r="Y30" s="142">
        <v>0.82291666666666663</v>
      </c>
      <c r="Z30" s="141">
        <v>0</v>
      </c>
      <c r="AA30" s="142">
        <v>0</v>
      </c>
      <c r="AB30" s="56">
        <f t="shared" si="49"/>
        <v>46077</v>
      </c>
      <c r="AC30" s="76">
        <f t="shared" si="90"/>
        <v>1</v>
      </c>
      <c r="AD30" s="162">
        <f t="shared" si="91"/>
        <v>0</v>
      </c>
      <c r="AE30" s="163">
        <v>5203</v>
      </c>
      <c r="AF30" s="118">
        <f t="shared" si="37"/>
        <v>5203</v>
      </c>
      <c r="AG30" s="147">
        <v>0</v>
      </c>
      <c r="AH30" s="148">
        <v>2773.26</v>
      </c>
      <c r="AI30" s="149">
        <v>0.76180555555555551</v>
      </c>
      <c r="AJ30" s="148">
        <v>0</v>
      </c>
      <c r="AK30" s="165">
        <v>0</v>
      </c>
      <c r="AL30" s="56">
        <f t="shared" si="38"/>
        <v>46077</v>
      </c>
      <c r="AM30" s="77">
        <f t="shared" si="92"/>
        <v>0.50340460422579625</v>
      </c>
      <c r="AN30" s="76">
        <f t="shared" si="93"/>
        <v>0.49659539577420375</v>
      </c>
      <c r="AO30" s="150">
        <v>7927.5</v>
      </c>
      <c r="AP30" s="117">
        <f t="shared" si="41"/>
        <v>3990.74</v>
      </c>
      <c r="AQ30" s="151">
        <v>3936.76</v>
      </c>
      <c r="AR30" s="152">
        <v>2765.29</v>
      </c>
      <c r="AS30" s="153">
        <v>0.77222222222222225</v>
      </c>
      <c r="AT30" s="152">
        <v>180.46</v>
      </c>
      <c r="AU30" s="154">
        <v>0.875</v>
      </c>
      <c r="AV30" s="56">
        <f t="shared" si="50"/>
        <v>46077</v>
      </c>
      <c r="AW30" s="110">
        <f t="shared" si="94"/>
        <v>0.50407331975560077</v>
      </c>
      <c r="AX30" s="110">
        <f t="shared" si="95"/>
        <v>0.49592668024439918</v>
      </c>
      <c r="AY30" s="111">
        <f t="shared" si="17"/>
        <v>6874</v>
      </c>
      <c r="AZ30" s="112">
        <v>6874</v>
      </c>
      <c r="BA30" s="120">
        <f t="shared" si="18"/>
        <v>3465</v>
      </c>
      <c r="BB30" s="113">
        <f>2838+BB40</f>
        <v>3409</v>
      </c>
      <c r="BC30" s="112">
        <v>2737.25</v>
      </c>
      <c r="BD30" s="114">
        <v>0.78125</v>
      </c>
      <c r="BE30" s="115">
        <v>0</v>
      </c>
      <c r="BF30" s="114">
        <v>0</v>
      </c>
      <c r="BG30" s="115">
        <v>174.13</v>
      </c>
      <c r="BH30" s="114">
        <v>0.90625</v>
      </c>
      <c r="BI30" s="56">
        <f t="shared" si="51"/>
        <v>46077</v>
      </c>
      <c r="BJ30" s="78">
        <f t="shared" si="96"/>
        <v>0.6082575549882101</v>
      </c>
      <c r="BK30" s="76">
        <f t="shared" si="97"/>
        <v>0.39174244501178995</v>
      </c>
      <c r="BL30" s="79">
        <f t="shared" si="98"/>
        <v>31989.13</v>
      </c>
      <c r="BM30" s="155">
        <v>19457.63</v>
      </c>
      <c r="BN30" s="155">
        <v>12531.5</v>
      </c>
      <c r="BO30" s="156">
        <v>3939.13</v>
      </c>
      <c r="BP30" s="157">
        <v>0.69791666666666663</v>
      </c>
      <c r="BQ30" s="158">
        <v>2648.48</v>
      </c>
      <c r="BR30" s="157">
        <v>0.69791666666666663</v>
      </c>
    </row>
    <row r="31" spans="1:70" ht="15.75" thickBot="1" x14ac:dyDescent="0.3">
      <c r="A31" s="14"/>
      <c r="B31" s="56">
        <f t="shared" si="47"/>
        <v>46078</v>
      </c>
      <c r="C31" s="164"/>
      <c r="D31" s="87">
        <f t="shared" si="22"/>
        <v>46606</v>
      </c>
      <c r="E31" s="159">
        <f t="shared" si="80"/>
        <v>0.83914088314809254</v>
      </c>
      <c r="F31" s="87">
        <f t="shared" si="24"/>
        <v>39109</v>
      </c>
      <c r="G31" s="159">
        <f t="shared" si="81"/>
        <v>0.16085911685190749</v>
      </c>
      <c r="H31" s="146">
        <f t="shared" si="26"/>
        <v>7497</v>
      </c>
      <c r="I31" s="160">
        <f t="shared" si="82"/>
        <v>0.10209090206384788</v>
      </c>
      <c r="J31" s="159">
        <f t="shared" si="83"/>
        <v>0.15389966762000465</v>
      </c>
      <c r="K31" s="159">
        <f t="shared" si="84"/>
        <v>0.17977347393571805</v>
      </c>
      <c r="L31" s="161">
        <f t="shared" si="85"/>
        <v>0.59279585684470892</v>
      </c>
      <c r="M31" s="146">
        <f t="shared" si="86"/>
        <v>4612.2627734405196</v>
      </c>
      <c r="N31" s="146">
        <f t="shared" si="87"/>
        <v>6952.8791837365698</v>
      </c>
      <c r="O31" s="146">
        <f t="shared" si="88"/>
        <v>8121.8060054678699</v>
      </c>
      <c r="P31" s="146">
        <f t="shared" si="89"/>
        <v>26781.331220530261</v>
      </c>
      <c r="Q31" s="56">
        <f t="shared" si="48"/>
        <v>46078</v>
      </c>
      <c r="R31" s="139">
        <v>46606</v>
      </c>
      <c r="S31" s="140">
        <v>0</v>
      </c>
      <c r="T31" s="140">
        <v>45178</v>
      </c>
      <c r="U31" s="140">
        <v>0</v>
      </c>
      <c r="V31" s="141">
        <v>10321</v>
      </c>
      <c r="W31" s="142">
        <v>0.86458333333333337</v>
      </c>
      <c r="X31" s="141">
        <v>3492</v>
      </c>
      <c r="Y31" s="142">
        <v>1.1083333333333334</v>
      </c>
      <c r="Z31" s="141">
        <v>0</v>
      </c>
      <c r="AA31" s="142">
        <v>0</v>
      </c>
      <c r="AB31" s="56">
        <f t="shared" si="49"/>
        <v>46078</v>
      </c>
      <c r="AC31" s="76">
        <f t="shared" si="90"/>
        <v>1</v>
      </c>
      <c r="AD31" s="162">
        <f t="shared" si="91"/>
        <v>0</v>
      </c>
      <c r="AE31" s="163">
        <v>5283</v>
      </c>
      <c r="AF31" s="118">
        <f t="shared" si="37"/>
        <v>5283</v>
      </c>
      <c r="AG31" s="147">
        <v>0</v>
      </c>
      <c r="AH31" s="148">
        <v>2845</v>
      </c>
      <c r="AI31" s="149">
        <v>0.74652777777777779</v>
      </c>
      <c r="AJ31" s="148">
        <v>0</v>
      </c>
      <c r="AK31" s="165">
        <v>0</v>
      </c>
      <c r="AL31" s="56">
        <f t="shared" si="38"/>
        <v>46078</v>
      </c>
      <c r="AM31" s="77">
        <f t="shared" si="92"/>
        <v>0.50113008538422898</v>
      </c>
      <c r="AN31" s="76">
        <f t="shared" si="93"/>
        <v>0.49886991461577096</v>
      </c>
      <c r="AO31" s="150">
        <v>7964</v>
      </c>
      <c r="AP31" s="117">
        <f t="shared" si="41"/>
        <v>3991</v>
      </c>
      <c r="AQ31" s="151">
        <v>3973</v>
      </c>
      <c r="AR31" s="152">
        <v>2464</v>
      </c>
      <c r="AS31" s="153">
        <v>0.81874999999999998</v>
      </c>
      <c r="AT31" s="152">
        <v>185</v>
      </c>
      <c r="AU31" s="154">
        <v>0.28125</v>
      </c>
      <c r="AV31" s="56">
        <f t="shared" si="50"/>
        <v>46078</v>
      </c>
      <c r="AW31" s="110">
        <f t="shared" si="94"/>
        <v>0.54964856230031944</v>
      </c>
      <c r="AX31" s="110">
        <f t="shared" si="95"/>
        <v>0.4503514376996805</v>
      </c>
      <c r="AY31" s="111">
        <f t="shared" si="17"/>
        <v>7825</v>
      </c>
      <c r="AZ31" s="112">
        <v>7825</v>
      </c>
      <c r="BA31" s="120">
        <f t="shared" si="18"/>
        <v>4301</v>
      </c>
      <c r="BB31" s="113">
        <f>2953+BB40</f>
        <v>3524</v>
      </c>
      <c r="BC31" s="112">
        <v>3651</v>
      </c>
      <c r="BD31" s="114">
        <v>0.82291666666666663</v>
      </c>
      <c r="BE31" s="115">
        <v>0</v>
      </c>
      <c r="BF31" s="114">
        <v>0</v>
      </c>
      <c r="BG31" s="115">
        <v>179</v>
      </c>
      <c r="BH31" s="114">
        <v>0.86458333333333337</v>
      </c>
      <c r="BI31" s="56">
        <f t="shared" si="51"/>
        <v>46078</v>
      </c>
      <c r="BJ31" s="78">
        <f t="shared" si="96"/>
        <v>0.60643499804407353</v>
      </c>
      <c r="BK31" s="76">
        <f t="shared" si="97"/>
        <v>0.39356500195592647</v>
      </c>
      <c r="BL31" s="79">
        <f t="shared" si="98"/>
        <v>30676</v>
      </c>
      <c r="BM31" s="155">
        <v>18603</v>
      </c>
      <c r="BN31" s="155">
        <v>12073</v>
      </c>
      <c r="BO31" s="156">
        <v>3061</v>
      </c>
      <c r="BP31" s="157">
        <v>0.65902777777777777</v>
      </c>
      <c r="BQ31" s="158">
        <v>2038</v>
      </c>
      <c r="BR31" s="157">
        <v>0.65902777777777777</v>
      </c>
    </row>
    <row r="32" spans="1:70" ht="15.75" thickBot="1" x14ac:dyDescent="0.3">
      <c r="A32" s="14"/>
      <c r="B32" s="56">
        <f t="shared" si="47"/>
        <v>46079</v>
      </c>
      <c r="C32" s="164"/>
      <c r="D32" s="87">
        <f t="shared" si="22"/>
        <v>45560</v>
      </c>
      <c r="E32" s="159">
        <f t="shared" si="80"/>
        <v>0.83382352941176474</v>
      </c>
      <c r="F32" s="87">
        <f t="shared" si="24"/>
        <v>37989</v>
      </c>
      <c r="G32" s="159">
        <f t="shared" si="81"/>
        <v>0.16617647058823529</v>
      </c>
      <c r="H32" s="146">
        <f t="shared" si="26"/>
        <v>7571</v>
      </c>
      <c r="I32" s="160">
        <f t="shared" si="82"/>
        <v>0.1025390625</v>
      </c>
      <c r="J32" s="159">
        <f t="shared" si="83"/>
        <v>0.15546874999999999</v>
      </c>
      <c r="K32" s="159">
        <f t="shared" si="84"/>
        <v>0.17122641509433961</v>
      </c>
      <c r="L32" s="161">
        <f t="shared" si="85"/>
        <v>0.60019531250000002</v>
      </c>
      <c r="M32" s="146">
        <f t="shared" si="86"/>
        <v>4582.470703125</v>
      </c>
      <c r="N32" s="146">
        <f t="shared" si="87"/>
        <v>6947.8984374999991</v>
      </c>
      <c r="O32" s="146">
        <f t="shared" si="88"/>
        <v>7652.1084905660373</v>
      </c>
      <c r="P32" s="146">
        <f t="shared" si="89"/>
        <v>26822.728515625</v>
      </c>
      <c r="Q32" s="56">
        <f t="shared" si="48"/>
        <v>46079</v>
      </c>
      <c r="R32" s="139">
        <v>45560</v>
      </c>
      <c r="S32" s="140">
        <v>0</v>
      </c>
      <c r="T32" s="140">
        <v>44690</v>
      </c>
      <c r="U32" s="140">
        <v>0</v>
      </c>
      <c r="V32" s="141">
        <v>9850</v>
      </c>
      <c r="W32" s="142">
        <v>0.875</v>
      </c>
      <c r="X32" s="141">
        <v>3550</v>
      </c>
      <c r="Y32" s="142">
        <v>0.8125</v>
      </c>
      <c r="Z32" s="141">
        <v>0</v>
      </c>
      <c r="AA32" s="142">
        <v>0</v>
      </c>
      <c r="AB32" s="168">
        <f t="shared" si="49"/>
        <v>46079</v>
      </c>
      <c r="AC32" s="76">
        <f t="shared" si="90"/>
        <v>1</v>
      </c>
      <c r="AD32" s="162">
        <f t="shared" si="91"/>
        <v>0</v>
      </c>
      <c r="AE32" s="163">
        <v>5250</v>
      </c>
      <c r="AF32" s="118">
        <f t="shared" si="37"/>
        <v>5250</v>
      </c>
      <c r="AG32" s="147">
        <v>0</v>
      </c>
      <c r="AH32" s="148">
        <v>2450</v>
      </c>
      <c r="AI32" s="149">
        <v>0.77083333333333337</v>
      </c>
      <c r="AJ32" s="148">
        <v>0</v>
      </c>
      <c r="AK32" s="165">
        <v>0</v>
      </c>
      <c r="AL32" s="168">
        <f t="shared" si="38"/>
        <v>46079</v>
      </c>
      <c r="AM32" s="77">
        <f t="shared" si="92"/>
        <v>0.5</v>
      </c>
      <c r="AN32" s="76">
        <f t="shared" si="93"/>
        <v>0.5</v>
      </c>
      <c r="AO32" s="150">
        <v>7960</v>
      </c>
      <c r="AP32" s="117">
        <f t="shared" si="41"/>
        <v>3980</v>
      </c>
      <c r="AQ32" s="151">
        <v>3980</v>
      </c>
      <c r="AR32" s="152">
        <v>2450</v>
      </c>
      <c r="AS32" s="153">
        <v>0.77083333333333337</v>
      </c>
      <c r="AT32" s="152">
        <v>188</v>
      </c>
      <c r="AU32" s="154">
        <v>0.85416666666666663</v>
      </c>
      <c r="AV32" s="168">
        <f t="shared" si="50"/>
        <v>46079</v>
      </c>
      <c r="AW32" s="169">
        <f t="shared" si="94"/>
        <v>0.50537190082644623</v>
      </c>
      <c r="AX32" s="169">
        <f t="shared" si="95"/>
        <v>0.49462809917355371</v>
      </c>
      <c r="AY32" s="111">
        <f t="shared" si="17"/>
        <v>7260</v>
      </c>
      <c r="AZ32" s="112">
        <v>7260</v>
      </c>
      <c r="BA32" s="120">
        <f t="shared" si="18"/>
        <v>3669</v>
      </c>
      <c r="BB32" s="113">
        <f>3020+BB40</f>
        <v>3591</v>
      </c>
      <c r="BC32" s="112">
        <v>2780</v>
      </c>
      <c r="BD32" s="114">
        <v>0.75</v>
      </c>
      <c r="BE32" s="115">
        <v>0</v>
      </c>
      <c r="BF32" s="114">
        <v>0</v>
      </c>
      <c r="BG32" s="115">
        <v>179</v>
      </c>
      <c r="BH32" s="114">
        <v>0.875</v>
      </c>
      <c r="BI32" s="168">
        <f t="shared" si="51"/>
        <v>46079</v>
      </c>
      <c r="BJ32" s="170">
        <f t="shared" si="96"/>
        <v>0.60689879596485519</v>
      </c>
      <c r="BK32" s="76">
        <f t="shared" si="97"/>
        <v>0.39310120403514481</v>
      </c>
      <c r="BL32" s="79">
        <f t="shared" si="98"/>
        <v>30730</v>
      </c>
      <c r="BM32" s="155">
        <v>18650</v>
      </c>
      <c r="BN32" s="155">
        <v>12080</v>
      </c>
      <c r="BO32" s="156">
        <v>3090</v>
      </c>
      <c r="BP32" s="157">
        <v>0.72916666666666663</v>
      </c>
      <c r="BQ32" s="158">
        <v>2150</v>
      </c>
      <c r="BR32" s="157">
        <v>0.75</v>
      </c>
    </row>
    <row r="33" spans="1:70" ht="15.75" thickBot="1" x14ac:dyDescent="0.3">
      <c r="A33" s="14"/>
      <c r="B33" s="56">
        <f t="shared" si="47"/>
        <v>46080</v>
      </c>
      <c r="C33" s="164"/>
      <c r="D33" s="87">
        <f t="shared" si="22"/>
        <v>48322</v>
      </c>
      <c r="E33" s="159">
        <f t="shared" si="80"/>
        <v>0.84566036173999426</v>
      </c>
      <c r="F33" s="87">
        <f t="shared" si="24"/>
        <v>40864</v>
      </c>
      <c r="G33" s="159">
        <f t="shared" si="81"/>
        <v>0.1543396382600058</v>
      </c>
      <c r="H33" s="146">
        <f t="shared" si="26"/>
        <v>7458</v>
      </c>
      <c r="I33" s="160">
        <f t="shared" si="82"/>
        <v>0.11647043457167913</v>
      </c>
      <c r="J33" s="159">
        <f t="shared" si="83"/>
        <v>0.16459239079730562</v>
      </c>
      <c r="K33" s="159">
        <f t="shared" si="84"/>
        <v>0.15716684546853865</v>
      </c>
      <c r="L33" s="161">
        <f t="shared" si="85"/>
        <v>0.5931931408952662</v>
      </c>
      <c r="M33" s="146">
        <f t="shared" si="86"/>
        <v>5470.6163118317691</v>
      </c>
      <c r="N33" s="146">
        <f t="shared" si="87"/>
        <v>7730.9045957494445</v>
      </c>
      <c r="O33" s="146">
        <f t="shared" si="88"/>
        <v>7382.1267316572603</v>
      </c>
      <c r="P33" s="146">
        <f t="shared" si="89"/>
        <v>27862.281827850653</v>
      </c>
      <c r="Q33" s="56">
        <f t="shared" si="48"/>
        <v>46080</v>
      </c>
      <c r="R33" s="139">
        <v>48322</v>
      </c>
      <c r="S33" s="140">
        <v>0</v>
      </c>
      <c r="T33" s="140">
        <v>46970</v>
      </c>
      <c r="U33" s="140">
        <v>0</v>
      </c>
      <c r="V33" s="141">
        <v>10634</v>
      </c>
      <c r="W33" s="142">
        <v>0.82291666666666663</v>
      </c>
      <c r="X33" s="141">
        <v>3614</v>
      </c>
      <c r="Y33" s="142">
        <v>0.78125</v>
      </c>
      <c r="Z33" s="141">
        <v>0</v>
      </c>
      <c r="AA33" s="142">
        <v>0</v>
      </c>
      <c r="AB33" s="56">
        <f t="shared" si="49"/>
        <v>46080</v>
      </c>
      <c r="AC33" s="76">
        <f t="shared" si="90"/>
        <v>1</v>
      </c>
      <c r="AD33" s="162">
        <f t="shared" si="91"/>
        <v>0</v>
      </c>
      <c r="AE33" s="163">
        <v>6242</v>
      </c>
      <c r="AF33" s="118">
        <f t="shared" si="37"/>
        <v>6242</v>
      </c>
      <c r="AG33" s="147">
        <v>0</v>
      </c>
      <c r="AH33" s="148">
        <v>2494</v>
      </c>
      <c r="AI33" s="149">
        <v>0.82986111111111116</v>
      </c>
      <c r="AJ33" s="148">
        <v>0</v>
      </c>
      <c r="AK33" s="165">
        <v>0</v>
      </c>
      <c r="AL33" s="168">
        <f t="shared" si="38"/>
        <v>46080</v>
      </c>
      <c r="AM33" s="77">
        <f t="shared" si="92"/>
        <v>0.44484752295658087</v>
      </c>
      <c r="AN33" s="76">
        <f t="shared" si="93"/>
        <v>0.44484752295658087</v>
      </c>
      <c r="AO33" s="150">
        <v>8821</v>
      </c>
      <c r="AP33" s="117">
        <v>3924</v>
      </c>
      <c r="AQ33" s="151">
        <v>3924</v>
      </c>
      <c r="AR33" s="152">
        <v>2855</v>
      </c>
      <c r="AS33" s="153">
        <v>0.73333333333333328</v>
      </c>
      <c r="AT33" s="152">
        <v>183</v>
      </c>
      <c r="AU33" s="154">
        <v>0.72916666666666663</v>
      </c>
      <c r="AV33" s="56">
        <f t="shared" si="50"/>
        <v>46080</v>
      </c>
      <c r="AW33" s="169">
        <f t="shared" si="94"/>
        <v>0.47558985012613147</v>
      </c>
      <c r="AX33" s="169">
        <f t="shared" si="95"/>
        <v>0.52441014987386858</v>
      </c>
      <c r="AY33" s="111">
        <f t="shared" si="17"/>
        <v>6739</v>
      </c>
      <c r="AZ33" s="112">
        <v>6739</v>
      </c>
      <c r="BA33" s="120">
        <f t="shared" si="18"/>
        <v>3205</v>
      </c>
      <c r="BB33" s="113">
        <f>2963+BB40</f>
        <v>3534</v>
      </c>
      <c r="BC33" s="112">
        <v>3131</v>
      </c>
      <c r="BD33" s="114">
        <v>0.73958333333333337</v>
      </c>
      <c r="BE33" s="115">
        <v>0</v>
      </c>
      <c r="BF33" s="114">
        <v>0</v>
      </c>
      <c r="BG33" s="115">
        <v>180</v>
      </c>
      <c r="BH33" s="114">
        <v>0.89583333333333337</v>
      </c>
      <c r="BI33" s="56">
        <f t="shared" si="51"/>
        <v>46080</v>
      </c>
      <c r="BJ33" s="170">
        <f t="shared" si="96"/>
        <v>0.60501399767229724</v>
      </c>
      <c r="BK33" s="76">
        <f t="shared" si="97"/>
        <v>0.39498600232770281</v>
      </c>
      <c r="BL33" s="79">
        <f t="shared" si="98"/>
        <v>31791</v>
      </c>
      <c r="BM33" s="155">
        <v>19234</v>
      </c>
      <c r="BN33" s="155">
        <v>12557</v>
      </c>
      <c r="BO33" s="156">
        <v>3256</v>
      </c>
      <c r="BP33" s="157">
        <v>0.28958333333333336</v>
      </c>
      <c r="BQ33" s="158">
        <v>2160</v>
      </c>
      <c r="BR33" s="157">
        <v>0.28958333333333336</v>
      </c>
    </row>
    <row r="34" spans="1:70" ht="15.75" thickBot="1" x14ac:dyDescent="0.3">
      <c r="A34" s="14"/>
      <c r="B34" s="56">
        <f t="shared" si="47"/>
        <v>46081</v>
      </c>
      <c r="C34" s="164"/>
      <c r="D34" s="87">
        <f t="shared" si="22"/>
        <v>36178</v>
      </c>
      <c r="E34" s="159">
        <f t="shared" si="80"/>
        <v>0.79766709049698714</v>
      </c>
      <c r="F34" s="87">
        <f t="shared" si="24"/>
        <v>28858</v>
      </c>
      <c r="G34" s="159">
        <f t="shared" si="81"/>
        <v>0.20233290950301289</v>
      </c>
      <c r="H34" s="146">
        <f t="shared" si="26"/>
        <v>7320</v>
      </c>
      <c r="I34" s="160">
        <f t="shared" si="82"/>
        <v>9.8424997467841585E-2</v>
      </c>
      <c r="J34" s="159">
        <f t="shared" si="83"/>
        <v>0.17441507140686721</v>
      </c>
      <c r="K34" s="159">
        <f t="shared" si="84"/>
        <v>0.1638432364096081</v>
      </c>
      <c r="L34" s="161">
        <f t="shared" si="85"/>
        <v>0.59589283905601131</v>
      </c>
      <c r="M34" s="146">
        <f t="shared" si="86"/>
        <v>3425.4851868732908</v>
      </c>
      <c r="N34" s="146">
        <f t="shared" si="87"/>
        <v>6070.1677301731997</v>
      </c>
      <c r="O34" s="146">
        <f t="shared" si="88"/>
        <v>5702.2361567635908</v>
      </c>
      <c r="P34" s="146">
        <f t="shared" si="89"/>
        <v>20738.858477666363</v>
      </c>
      <c r="Q34" s="56">
        <f t="shared" si="48"/>
        <v>46081</v>
      </c>
      <c r="R34" s="139">
        <v>36178</v>
      </c>
      <c r="S34" s="140">
        <v>0</v>
      </c>
      <c r="T34" s="140">
        <v>34803</v>
      </c>
      <c r="U34" s="140">
        <v>0</v>
      </c>
      <c r="V34" s="141">
        <v>6617</v>
      </c>
      <c r="W34" s="142">
        <v>0.71875</v>
      </c>
      <c r="X34" s="141">
        <v>2481</v>
      </c>
      <c r="Y34" s="142">
        <v>0.71875</v>
      </c>
      <c r="Z34" s="141">
        <v>0</v>
      </c>
      <c r="AA34" s="142">
        <v>0</v>
      </c>
      <c r="AB34" s="56">
        <f t="shared" si="49"/>
        <v>46081</v>
      </c>
      <c r="AC34" s="76">
        <f t="shared" si="90"/>
        <v>1</v>
      </c>
      <c r="AD34" s="162">
        <f t="shared" si="91"/>
        <v>0</v>
      </c>
      <c r="AE34" s="163">
        <v>3887</v>
      </c>
      <c r="AF34" s="118">
        <f t="shared" si="37"/>
        <v>3887</v>
      </c>
      <c r="AG34" s="147">
        <v>0</v>
      </c>
      <c r="AH34" s="148">
        <v>2760</v>
      </c>
      <c r="AI34" s="149">
        <v>0.13055555555555556</v>
      </c>
      <c r="AJ34" s="148">
        <v>0</v>
      </c>
      <c r="AK34" s="165">
        <v>0</v>
      </c>
      <c r="AL34" s="56">
        <f t="shared" si="38"/>
        <v>46081</v>
      </c>
      <c r="AM34" s="77">
        <f t="shared" si="92"/>
        <v>0.45165505226480834</v>
      </c>
      <c r="AN34" s="76">
        <f t="shared" si="93"/>
        <v>0.5483449477351916</v>
      </c>
      <c r="AO34" s="150">
        <v>6888</v>
      </c>
      <c r="AP34" s="117">
        <f t="shared" si="41"/>
        <v>3111</v>
      </c>
      <c r="AQ34" s="151">
        <v>3777</v>
      </c>
      <c r="AR34" s="152">
        <v>2847</v>
      </c>
      <c r="AS34" s="153">
        <v>0.14652777777777778</v>
      </c>
      <c r="AT34" s="152">
        <v>154</v>
      </c>
      <c r="AU34" s="154">
        <v>0.92708333333333337</v>
      </c>
      <c r="AV34" s="56">
        <f t="shared" si="50"/>
        <v>46081</v>
      </c>
      <c r="AW34" s="110">
        <f t="shared" si="94"/>
        <v>0.31655092592592593</v>
      </c>
      <c r="AX34" s="110">
        <f t="shared" si="95"/>
        <v>0.68344907407407407</v>
      </c>
      <c r="AY34" s="111">
        <f t="shared" si="17"/>
        <v>5184</v>
      </c>
      <c r="AZ34" s="112">
        <v>5184</v>
      </c>
      <c r="BA34" s="120">
        <f t="shared" si="18"/>
        <v>1641</v>
      </c>
      <c r="BB34" s="113">
        <f>2972+BB40</f>
        <v>3543</v>
      </c>
      <c r="BC34" s="112">
        <v>1604</v>
      </c>
      <c r="BD34" s="114">
        <v>0.64583333333333337</v>
      </c>
      <c r="BE34" s="115">
        <v>0</v>
      </c>
      <c r="BF34" s="114">
        <v>0</v>
      </c>
      <c r="BG34" s="115">
        <v>176</v>
      </c>
      <c r="BH34" s="114">
        <v>0.90625</v>
      </c>
      <c r="BI34" s="56">
        <f t="shared" si="51"/>
        <v>46081</v>
      </c>
      <c r="BJ34" s="78">
        <f t="shared" si="96"/>
        <v>0.60655250074363665</v>
      </c>
      <c r="BK34" s="76">
        <f t="shared" si="97"/>
        <v>0.39344749925636341</v>
      </c>
      <c r="BL34" s="79">
        <f t="shared" si="98"/>
        <v>23533</v>
      </c>
      <c r="BM34" s="155">
        <v>14274</v>
      </c>
      <c r="BN34" s="155">
        <v>9259</v>
      </c>
      <c r="BO34" s="156">
        <v>2856</v>
      </c>
      <c r="BP34" s="157">
        <v>0.65347222222222223</v>
      </c>
      <c r="BQ34" s="158">
        <v>1905</v>
      </c>
      <c r="BR34" s="157">
        <v>0.65416666666666667</v>
      </c>
    </row>
    <row r="35" spans="1:70" ht="15.75" thickBot="1" x14ac:dyDescent="0.3">
      <c r="A35" s="14"/>
      <c r="B35" s="56">
        <f t="shared" si="47"/>
        <v>46082</v>
      </c>
      <c r="C35" s="164"/>
      <c r="D35" s="87">
        <f t="shared" si="22"/>
        <v>0</v>
      </c>
      <c r="E35" s="159" t="e">
        <f t="shared" si="80"/>
        <v>#DIV/0!</v>
      </c>
      <c r="F35" s="87">
        <f t="shared" si="24"/>
        <v>0</v>
      </c>
      <c r="G35" s="159" t="e">
        <f t="shared" si="81"/>
        <v>#DIV/0!</v>
      </c>
      <c r="H35" s="146">
        <f t="shared" si="26"/>
        <v>0</v>
      </c>
      <c r="I35" s="160" t="e">
        <f t="shared" si="82"/>
        <v>#DIV/0!</v>
      </c>
      <c r="J35" s="159" t="e">
        <f t="shared" si="83"/>
        <v>#DIV/0!</v>
      </c>
      <c r="K35" s="159" t="e">
        <f t="shared" si="84"/>
        <v>#DIV/0!</v>
      </c>
      <c r="L35" s="161" t="e">
        <f t="shared" si="85"/>
        <v>#DIV/0!</v>
      </c>
      <c r="M35" s="146" t="e">
        <f t="shared" si="86"/>
        <v>#DIV/0!</v>
      </c>
      <c r="N35" s="146" t="e">
        <f t="shared" si="87"/>
        <v>#DIV/0!</v>
      </c>
      <c r="O35" s="146" t="e">
        <f t="shared" si="88"/>
        <v>#DIV/0!</v>
      </c>
      <c r="P35" s="146" t="e">
        <f t="shared" si="89"/>
        <v>#DIV/0!</v>
      </c>
      <c r="Q35" s="56">
        <f t="shared" si="48"/>
        <v>46082</v>
      </c>
      <c r="R35" s="139"/>
      <c r="S35" s="140"/>
      <c r="T35" s="140"/>
      <c r="U35" s="140"/>
      <c r="V35" s="141"/>
      <c r="W35" s="142"/>
      <c r="X35" s="141"/>
      <c r="Y35" s="142"/>
      <c r="Z35" s="141"/>
      <c r="AA35" s="142"/>
      <c r="AB35" s="56">
        <f t="shared" si="49"/>
        <v>46082</v>
      </c>
      <c r="AC35" s="76" t="e">
        <f t="shared" si="90"/>
        <v>#DIV/0!</v>
      </c>
      <c r="AD35" s="162" t="e">
        <f t="shared" si="91"/>
        <v>#DIV/0!</v>
      </c>
      <c r="AE35" s="163"/>
      <c r="AF35" s="118">
        <f t="shared" si="37"/>
        <v>0</v>
      </c>
      <c r="AG35" s="147"/>
      <c r="AH35" s="148"/>
      <c r="AI35" s="149"/>
      <c r="AJ35" s="148"/>
      <c r="AK35" s="165"/>
      <c r="AL35" s="56">
        <f t="shared" si="38"/>
        <v>46082</v>
      </c>
      <c r="AM35" s="77" t="e">
        <f t="shared" si="92"/>
        <v>#DIV/0!</v>
      </c>
      <c r="AN35" s="76" t="e">
        <f t="shared" si="93"/>
        <v>#DIV/0!</v>
      </c>
      <c r="AO35" s="150"/>
      <c r="AP35" s="117">
        <f t="shared" si="41"/>
        <v>0</v>
      </c>
      <c r="AQ35" s="151"/>
      <c r="AR35" s="152"/>
      <c r="AS35" s="153"/>
      <c r="AT35" s="152"/>
      <c r="AU35" s="154"/>
      <c r="AV35" s="56">
        <f t="shared" si="50"/>
        <v>46082</v>
      </c>
      <c r="AW35" s="110" t="e">
        <f t="shared" si="94"/>
        <v>#DIV/0!</v>
      </c>
      <c r="AX35" s="110" t="e">
        <f t="shared" si="95"/>
        <v>#DIV/0!</v>
      </c>
      <c r="AY35" s="111">
        <f t="shared" si="17"/>
        <v>0</v>
      </c>
      <c r="AZ35" s="112"/>
      <c r="BA35" s="120">
        <f t="shared" si="18"/>
        <v>0</v>
      </c>
      <c r="BB35" s="113"/>
      <c r="BC35" s="112"/>
      <c r="BD35" s="114"/>
      <c r="BE35" s="115"/>
      <c r="BF35" s="114"/>
      <c r="BG35" s="115"/>
      <c r="BH35" s="114"/>
      <c r="BI35" s="56">
        <f t="shared" si="51"/>
        <v>46082</v>
      </c>
      <c r="BJ35" s="78" t="e">
        <f t="shared" si="96"/>
        <v>#DIV/0!</v>
      </c>
      <c r="BK35" s="76" t="e">
        <f t="shared" si="97"/>
        <v>#DIV/0!</v>
      </c>
      <c r="BL35" s="79">
        <f t="shared" si="98"/>
        <v>0</v>
      </c>
      <c r="BM35" s="155"/>
      <c r="BN35" s="155"/>
      <c r="BO35" s="156"/>
      <c r="BP35" s="157"/>
      <c r="BQ35" s="158"/>
      <c r="BR35" s="157"/>
    </row>
    <row r="36" spans="1:70" ht="15.75" thickBot="1" x14ac:dyDescent="0.3">
      <c r="A36" s="14"/>
      <c r="B36" s="56">
        <f t="shared" si="47"/>
        <v>46083</v>
      </c>
      <c r="C36" s="164"/>
      <c r="D36" s="87">
        <f t="shared" si="22"/>
        <v>0</v>
      </c>
      <c r="E36" s="159" t="e">
        <f t="shared" si="80"/>
        <v>#DIV/0!</v>
      </c>
      <c r="F36" s="87">
        <f t="shared" si="24"/>
        <v>0</v>
      </c>
      <c r="G36" s="159" t="e">
        <f t="shared" si="81"/>
        <v>#DIV/0!</v>
      </c>
      <c r="H36" s="146">
        <f t="shared" si="26"/>
        <v>0</v>
      </c>
      <c r="I36" s="160" t="e">
        <f t="shared" si="82"/>
        <v>#DIV/0!</v>
      </c>
      <c r="J36" s="159" t="e">
        <f t="shared" si="83"/>
        <v>#DIV/0!</v>
      </c>
      <c r="K36" s="159" t="e">
        <f t="shared" si="84"/>
        <v>#DIV/0!</v>
      </c>
      <c r="L36" s="161" t="e">
        <f t="shared" si="85"/>
        <v>#DIV/0!</v>
      </c>
      <c r="M36" s="146" t="e">
        <f>(S36+T36)*I36</f>
        <v>#DIV/0!</v>
      </c>
      <c r="N36" s="146" t="e">
        <f>(S36+T36)*J36</f>
        <v>#DIV/0!</v>
      </c>
      <c r="O36" s="146" t="e">
        <f>(S36+T36)*K36</f>
        <v>#DIV/0!</v>
      </c>
      <c r="P36" s="146" t="e">
        <f>(S36+T36)*L36</f>
        <v>#DIV/0!</v>
      </c>
      <c r="Q36" s="56">
        <f t="shared" si="48"/>
        <v>46083</v>
      </c>
      <c r="R36" s="139"/>
      <c r="S36" s="140"/>
      <c r="T36" s="140"/>
      <c r="U36" s="140"/>
      <c r="V36" s="141"/>
      <c r="W36" s="142"/>
      <c r="X36" s="141"/>
      <c r="Y36" s="142"/>
      <c r="Z36" s="141"/>
      <c r="AA36" s="142"/>
      <c r="AB36" s="56">
        <f t="shared" si="49"/>
        <v>46083</v>
      </c>
      <c r="AC36" s="76" t="e">
        <f t="shared" si="90"/>
        <v>#DIV/0!</v>
      </c>
      <c r="AD36" s="162" t="e">
        <f t="shared" si="91"/>
        <v>#DIV/0!</v>
      </c>
      <c r="AE36" s="163"/>
      <c r="AF36" s="118">
        <f t="shared" si="37"/>
        <v>0</v>
      </c>
      <c r="AG36" s="147"/>
      <c r="AH36" s="148"/>
      <c r="AI36" s="149"/>
      <c r="AJ36" s="148"/>
      <c r="AK36" s="165"/>
      <c r="AL36" s="56">
        <f t="shared" si="38"/>
        <v>46083</v>
      </c>
      <c r="AM36" s="77" t="e">
        <f t="shared" si="92"/>
        <v>#DIV/0!</v>
      </c>
      <c r="AN36" s="76" t="e">
        <f t="shared" si="93"/>
        <v>#DIV/0!</v>
      </c>
      <c r="AO36" s="150"/>
      <c r="AP36" s="117">
        <f t="shared" si="41"/>
        <v>0</v>
      </c>
      <c r="AQ36" s="151"/>
      <c r="AR36" s="152"/>
      <c r="AS36" s="153"/>
      <c r="AT36" s="152"/>
      <c r="AU36" s="154"/>
      <c r="AV36" s="56">
        <f t="shared" si="50"/>
        <v>46083</v>
      </c>
      <c r="AW36" s="110" t="e">
        <f t="shared" si="94"/>
        <v>#DIV/0!</v>
      </c>
      <c r="AX36" s="110" t="e">
        <f t="shared" si="95"/>
        <v>#DIV/0!</v>
      </c>
      <c r="AY36" s="111">
        <f t="shared" si="17"/>
        <v>0</v>
      </c>
      <c r="AZ36" s="112"/>
      <c r="BA36" s="120">
        <f t="shared" si="18"/>
        <v>0</v>
      </c>
      <c r="BB36" s="113"/>
      <c r="BC36" s="112"/>
      <c r="BD36" s="114"/>
      <c r="BE36" s="115"/>
      <c r="BF36" s="114"/>
      <c r="BG36" s="115"/>
      <c r="BH36" s="114"/>
      <c r="BI36" s="56">
        <f t="shared" si="51"/>
        <v>46083</v>
      </c>
      <c r="BJ36" s="78" t="e">
        <f t="shared" si="96"/>
        <v>#DIV/0!</v>
      </c>
      <c r="BK36" s="76" t="e">
        <f t="shared" si="97"/>
        <v>#DIV/0!</v>
      </c>
      <c r="BL36" s="79">
        <f t="shared" si="98"/>
        <v>0</v>
      </c>
      <c r="BM36" s="155"/>
      <c r="BN36" s="155"/>
      <c r="BO36" s="156"/>
      <c r="BP36" s="157"/>
      <c r="BQ36" s="158"/>
      <c r="BR36" s="157"/>
    </row>
    <row r="37" spans="1:70" ht="15.75" thickBot="1" x14ac:dyDescent="0.3">
      <c r="B37" s="56">
        <f t="shared" si="47"/>
        <v>46084</v>
      </c>
      <c r="D37" s="87">
        <f t="shared" si="22"/>
        <v>0</v>
      </c>
      <c r="E37" s="159" t="e">
        <f t="shared" ref="E37" si="99">F37/D37</f>
        <v>#DIV/0!</v>
      </c>
      <c r="F37" s="87">
        <f t="shared" si="24"/>
        <v>0</v>
      </c>
      <c r="G37" s="159" t="e">
        <f t="shared" ref="G37" si="100">H37/D37</f>
        <v>#DIV/0!</v>
      </c>
      <c r="H37" s="146">
        <f t="shared" si="26"/>
        <v>0</v>
      </c>
      <c r="I37" s="160" t="e">
        <f t="shared" ref="I37" si="101">AE37/(AE37+AO37+BL37+AY37)</f>
        <v>#DIV/0!</v>
      </c>
      <c r="J37" s="159" t="e">
        <f t="shared" ref="J37" si="102">AO37/(AE37+AO37+BL37+AY37)</f>
        <v>#DIV/0!</v>
      </c>
      <c r="K37" s="159" t="e">
        <f t="shared" ref="K37" si="103">AY37/(AF37+AP37+BM37+AZ37+AY37)</f>
        <v>#DIV/0!</v>
      </c>
      <c r="L37" s="161" t="e">
        <f t="shared" ref="L37" si="104">BL37/(AE37+AO37+BL37+AY37)</f>
        <v>#DIV/0!</v>
      </c>
      <c r="M37" s="146" t="e">
        <f>(S37+T37)*I37</f>
        <v>#DIV/0!</v>
      </c>
      <c r="N37" s="146" t="e">
        <f>(S37+T37)*J37</f>
        <v>#DIV/0!</v>
      </c>
      <c r="O37" s="146" t="e">
        <f>(S37+T37)*K37</f>
        <v>#DIV/0!</v>
      </c>
      <c r="P37" s="146" t="e">
        <f>(S37+T37)*L37</f>
        <v>#DIV/0!</v>
      </c>
      <c r="Q37" s="56">
        <f t="shared" si="48"/>
        <v>46084</v>
      </c>
      <c r="R37" s="139"/>
      <c r="S37" s="140"/>
      <c r="T37" s="140"/>
      <c r="U37" s="140"/>
      <c r="V37" s="141"/>
      <c r="W37" s="142"/>
      <c r="X37" s="141"/>
      <c r="Y37" s="142"/>
      <c r="Z37" s="141"/>
      <c r="AA37" s="142"/>
      <c r="AB37" s="56">
        <f t="shared" si="49"/>
        <v>46084</v>
      </c>
      <c r="AC37" s="76" t="e">
        <f t="shared" ref="AC37" si="105">+AF37/AE37</f>
        <v>#DIV/0!</v>
      </c>
      <c r="AD37" s="162" t="e">
        <f t="shared" ref="AD37" si="106">+AG37/AE37</f>
        <v>#DIV/0!</v>
      </c>
      <c r="AE37" s="163"/>
      <c r="AF37" s="118">
        <f t="shared" ref="AF37" si="107">+AE37-AG37</f>
        <v>0</v>
      </c>
      <c r="AG37" s="147"/>
      <c r="AH37" s="148"/>
      <c r="AI37" s="149"/>
      <c r="AJ37" s="148"/>
      <c r="AK37" s="165"/>
      <c r="AL37" s="56">
        <f t="shared" si="38"/>
        <v>46084</v>
      </c>
      <c r="AM37" s="77" t="e">
        <f t="shared" ref="AM37" si="108">+AP37/AO37</f>
        <v>#DIV/0!</v>
      </c>
      <c r="AN37" s="76" t="e">
        <f t="shared" ref="AN37" si="109">+AQ37/AO37</f>
        <v>#DIV/0!</v>
      </c>
      <c r="AO37" s="150"/>
      <c r="AP37" s="117">
        <f t="shared" ref="AP37" si="110">AO37-AQ37</f>
        <v>0</v>
      </c>
      <c r="AQ37" s="151"/>
      <c r="AR37" s="152"/>
      <c r="AS37" s="153"/>
      <c r="AT37" s="152"/>
      <c r="AU37" s="154"/>
      <c r="AV37" s="56">
        <f t="shared" si="50"/>
        <v>46084</v>
      </c>
      <c r="AW37" s="110" t="e">
        <f t="shared" ref="AW37" si="111">BA37/AZ37</f>
        <v>#DIV/0!</v>
      </c>
      <c r="AX37" s="110" t="e">
        <f t="shared" ref="AX37" si="112">BB37/AZ37</f>
        <v>#DIV/0!</v>
      </c>
      <c r="AY37" s="111">
        <f t="shared" si="17"/>
        <v>0</v>
      </c>
      <c r="AZ37" s="112"/>
      <c r="BA37" s="120"/>
      <c r="BB37" s="113"/>
      <c r="BC37" s="112"/>
      <c r="BD37" s="114"/>
      <c r="BE37" s="115"/>
      <c r="BF37" s="114"/>
      <c r="BG37" s="115"/>
      <c r="BH37" s="114"/>
      <c r="BI37" s="56">
        <f t="shared" si="51"/>
        <v>46084</v>
      </c>
      <c r="BJ37" s="78" t="e">
        <f t="shared" ref="BJ37" si="113">+BM37/BL37</f>
        <v>#DIV/0!</v>
      </c>
      <c r="BK37" s="76" t="e">
        <f t="shared" ref="BK37" si="114">+BN37/BL37</f>
        <v>#DIV/0!</v>
      </c>
      <c r="BL37" s="79">
        <f t="shared" ref="BL37" si="115">BM37+BN37</f>
        <v>0</v>
      </c>
      <c r="BM37" s="155"/>
      <c r="BN37" s="155"/>
      <c r="BO37" s="156"/>
      <c r="BP37" s="157"/>
      <c r="BQ37" s="158"/>
      <c r="BR37" s="157"/>
    </row>
    <row r="38" spans="1:70" x14ac:dyDescent="0.25">
      <c r="R38" s="175" t="e">
        <f>#REF!-S39</f>
        <v>#REF!</v>
      </c>
    </row>
    <row r="39" spans="1:70" x14ac:dyDescent="0.25">
      <c r="S39" s="176">
        <f>R36-T36</f>
        <v>0</v>
      </c>
      <c r="T39" s="176"/>
      <c r="U39" s="175"/>
    </row>
    <row r="40" spans="1:70" x14ac:dyDescent="0.25">
      <c r="BB40" s="52">
        <v>571</v>
      </c>
    </row>
    <row r="41" spans="1:70" x14ac:dyDescent="0.25">
      <c r="S41" s="176"/>
      <c r="T41" s="175"/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tabSelected="1" topLeftCell="A23" zoomScale="142" zoomScaleNormal="142" workbookViewId="0">
      <selection activeCell="H37" sqref="H37:H42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20" t="s">
        <v>0</v>
      </c>
      <c r="D2" s="223" t="s">
        <v>37</v>
      </c>
      <c r="E2" s="224"/>
      <c r="F2" s="224"/>
      <c r="G2" s="224"/>
      <c r="H2" s="225"/>
      <c r="J2" s="223" t="s">
        <v>38</v>
      </c>
      <c r="K2" s="224"/>
      <c r="L2" s="225"/>
      <c r="N2" s="223" t="s">
        <v>39</v>
      </c>
      <c r="O2" s="224"/>
      <c r="P2" s="224"/>
      <c r="Q2" s="224"/>
      <c r="R2" s="224"/>
      <c r="S2" s="224"/>
      <c r="T2" s="225"/>
      <c r="V2" s="229" t="s">
        <v>40</v>
      </c>
      <c r="W2" s="230"/>
      <c r="X2" s="231"/>
    </row>
    <row r="3" spans="2:27" ht="15.75" thickBot="1" x14ac:dyDescent="0.3">
      <c r="B3" s="221"/>
      <c r="D3" s="226"/>
      <c r="E3" s="227"/>
      <c r="F3" s="227"/>
      <c r="G3" s="227"/>
      <c r="H3" s="228"/>
      <c r="J3" s="226"/>
      <c r="K3" s="227"/>
      <c r="L3" s="228"/>
      <c r="N3" s="226"/>
      <c r="O3" s="227"/>
      <c r="P3" s="227"/>
      <c r="Q3" s="227"/>
      <c r="R3" s="227"/>
      <c r="S3" s="227"/>
      <c r="T3" s="228"/>
      <c r="V3" s="232"/>
      <c r="W3" s="233"/>
      <c r="X3" s="234"/>
    </row>
    <row r="4" spans="2:27" ht="23.25" customHeight="1" x14ac:dyDescent="0.25">
      <c r="B4" s="221"/>
      <c r="D4" s="235" t="s">
        <v>41</v>
      </c>
      <c r="E4" s="236"/>
      <c r="F4" s="235" t="s">
        <v>42</v>
      </c>
      <c r="G4" s="237"/>
      <c r="H4" s="238"/>
      <c r="J4" s="235" t="s">
        <v>41</v>
      </c>
      <c r="K4" s="236"/>
      <c r="L4" s="16" t="s">
        <v>42</v>
      </c>
      <c r="N4" s="218" t="s">
        <v>41</v>
      </c>
      <c r="O4" s="239"/>
      <c r="P4" s="240"/>
      <c r="Q4" s="241"/>
      <c r="R4" s="235" t="s">
        <v>42</v>
      </c>
      <c r="S4" s="242"/>
      <c r="T4" s="238"/>
      <c r="V4" s="218" t="s">
        <v>41</v>
      </c>
      <c r="W4" s="219"/>
      <c r="X4" s="16" t="s">
        <v>42</v>
      </c>
    </row>
    <row r="5" spans="2:27" ht="23.25" thickBot="1" x14ac:dyDescent="0.3">
      <c r="B5" s="222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90">
        <v>46053</v>
      </c>
      <c r="C14" s="13"/>
      <c r="D14" s="171">
        <v>59</v>
      </c>
      <c r="E14" s="172">
        <v>0.77083333333333337</v>
      </c>
      <c r="F14" s="173">
        <v>785</v>
      </c>
      <c r="G14" s="93">
        <f t="shared" ref="G14:G42" si="0">F14-H14</f>
        <v>332</v>
      </c>
      <c r="H14" s="173">
        <v>453</v>
      </c>
      <c r="I14" s="90">
        <f>B14</f>
        <v>46053</v>
      </c>
      <c r="J14" s="171">
        <v>33</v>
      </c>
      <c r="K14" s="172">
        <v>0.26041666666666669</v>
      </c>
      <c r="L14" s="173">
        <v>599</v>
      </c>
      <c r="M14" s="90">
        <f>B14</f>
        <v>46053</v>
      </c>
      <c r="N14" s="171">
        <v>22</v>
      </c>
      <c r="O14" s="172">
        <v>0.89583333333333337</v>
      </c>
      <c r="P14" s="171">
        <v>12</v>
      </c>
      <c r="Q14" s="172">
        <v>0.52083333333333337</v>
      </c>
      <c r="R14" s="92">
        <f t="shared" ref="R14" si="1">S14+T14</f>
        <v>560</v>
      </c>
      <c r="S14" s="173">
        <v>354</v>
      </c>
      <c r="T14" s="173">
        <v>206</v>
      </c>
      <c r="U14" s="90">
        <f>B14</f>
        <v>46053</v>
      </c>
      <c r="V14" s="171">
        <v>27</v>
      </c>
      <c r="W14" s="172">
        <v>0.5</v>
      </c>
      <c r="X14" s="173">
        <v>512</v>
      </c>
    </row>
    <row r="15" spans="2:27" s="52" customFormat="1" ht="15.75" thickBot="1" x14ac:dyDescent="0.3">
      <c r="B15" s="55">
        <f t="shared" ref="B15:B16" si="2">B14+1</f>
        <v>46054</v>
      </c>
      <c r="C15" s="13"/>
      <c r="D15" s="171">
        <v>70</v>
      </c>
      <c r="E15" s="172">
        <v>0.61805555555555558</v>
      </c>
      <c r="F15" s="173">
        <v>780</v>
      </c>
      <c r="G15" s="93">
        <f t="shared" si="0"/>
        <v>330</v>
      </c>
      <c r="H15" s="173">
        <v>450</v>
      </c>
      <c r="I15" s="90">
        <f t="shared" ref="I15:I45" si="3">I14+1</f>
        <v>46054</v>
      </c>
      <c r="J15" s="171">
        <v>32</v>
      </c>
      <c r="K15" s="172">
        <v>0.3125</v>
      </c>
      <c r="L15" s="173">
        <v>580</v>
      </c>
      <c r="M15" s="90">
        <f t="shared" ref="M15:M44" si="4">B15</f>
        <v>46054</v>
      </c>
      <c r="N15" s="171">
        <v>23</v>
      </c>
      <c r="O15" s="172">
        <v>0.83333333333333337</v>
      </c>
      <c r="P15" s="171">
        <v>12</v>
      </c>
      <c r="Q15" s="172">
        <v>0.58333333333333337</v>
      </c>
      <c r="R15" s="92">
        <f t="shared" ref="R15:R25" si="5">S15+T15</f>
        <v>562</v>
      </c>
      <c r="S15" s="173">
        <v>352</v>
      </c>
      <c r="T15" s="173">
        <v>210</v>
      </c>
      <c r="U15" s="90">
        <f t="shared" ref="U15:U45" si="6">U14+1</f>
        <v>46054</v>
      </c>
      <c r="V15" s="171">
        <v>28</v>
      </c>
      <c r="W15" s="172">
        <v>0.47916666666666669</v>
      </c>
      <c r="X15" s="173">
        <v>514</v>
      </c>
    </row>
    <row r="16" spans="2:27" s="52" customFormat="1" ht="15.75" thickBot="1" x14ac:dyDescent="0.3">
      <c r="B16" s="55">
        <f t="shared" si="2"/>
        <v>46055</v>
      </c>
      <c r="C16" s="13"/>
      <c r="D16" s="50">
        <v>90</v>
      </c>
      <c r="E16" s="11">
        <v>0.67708333333333337</v>
      </c>
      <c r="F16" s="10">
        <v>1126</v>
      </c>
      <c r="G16" s="93">
        <f t="shared" si="0"/>
        <v>635</v>
      </c>
      <c r="H16" s="10">
        <v>491</v>
      </c>
      <c r="I16" s="90">
        <f t="shared" si="3"/>
        <v>46055</v>
      </c>
      <c r="J16" s="50">
        <v>39</v>
      </c>
      <c r="K16" s="54">
        <v>0.63541666666666663</v>
      </c>
      <c r="L16" s="53">
        <v>641</v>
      </c>
      <c r="M16" s="90">
        <f t="shared" si="4"/>
        <v>46055</v>
      </c>
      <c r="N16" s="50">
        <v>21</v>
      </c>
      <c r="O16" s="11">
        <v>0.47916666666666669</v>
      </c>
      <c r="P16" s="50">
        <v>14</v>
      </c>
      <c r="Q16" s="11">
        <v>0.6875</v>
      </c>
      <c r="R16" s="92">
        <f t="shared" si="5"/>
        <v>595</v>
      </c>
      <c r="S16" s="10">
        <v>361</v>
      </c>
      <c r="T16" s="10">
        <v>234</v>
      </c>
      <c r="U16" s="90">
        <f t="shared" si="6"/>
        <v>46055</v>
      </c>
      <c r="V16" s="50">
        <v>26</v>
      </c>
      <c r="W16" s="11">
        <v>0.32291666666666669</v>
      </c>
      <c r="X16" s="10">
        <v>458</v>
      </c>
    </row>
    <row r="17" spans="2:24" ht="15.75" thickBot="1" x14ac:dyDescent="0.3">
      <c r="B17" s="55">
        <f t="shared" ref="B17:B45" si="7">B16+1</f>
        <v>46056</v>
      </c>
      <c r="D17" s="50">
        <v>114</v>
      </c>
      <c r="E17" s="54">
        <v>0.72916666666666663</v>
      </c>
      <c r="F17" s="53">
        <v>1328</v>
      </c>
      <c r="G17" s="93">
        <f t="shared" si="0"/>
        <v>818</v>
      </c>
      <c r="H17" s="53">
        <v>510</v>
      </c>
      <c r="I17" s="90">
        <f t="shared" si="3"/>
        <v>46056</v>
      </c>
      <c r="J17" s="50">
        <v>35</v>
      </c>
      <c r="K17" s="54">
        <v>0.5</v>
      </c>
      <c r="L17" s="53">
        <v>629</v>
      </c>
      <c r="M17" s="90">
        <f t="shared" si="4"/>
        <v>46056</v>
      </c>
      <c r="N17" s="50">
        <v>21</v>
      </c>
      <c r="O17" s="54">
        <v>0.55208333333333337</v>
      </c>
      <c r="P17" s="50">
        <v>15</v>
      </c>
      <c r="Q17" s="54">
        <v>0.76041666666666663</v>
      </c>
      <c r="R17" s="92">
        <f t="shared" si="5"/>
        <v>608</v>
      </c>
      <c r="S17" s="53">
        <v>360</v>
      </c>
      <c r="T17" s="53">
        <v>248</v>
      </c>
      <c r="U17" s="90">
        <f t="shared" si="6"/>
        <v>46056</v>
      </c>
      <c r="V17" s="50">
        <v>26</v>
      </c>
      <c r="W17" s="54">
        <v>0.33333333333333331</v>
      </c>
      <c r="X17" s="53">
        <v>520</v>
      </c>
    </row>
    <row r="18" spans="2:24" ht="15.75" thickBot="1" x14ac:dyDescent="0.3">
      <c r="B18" s="55">
        <f t="shared" si="7"/>
        <v>46057</v>
      </c>
      <c r="D18" s="50">
        <v>104</v>
      </c>
      <c r="E18" s="54">
        <v>0.67708333333333337</v>
      </c>
      <c r="F18" s="53">
        <v>1238</v>
      </c>
      <c r="G18" s="93">
        <f t="shared" si="0"/>
        <v>735</v>
      </c>
      <c r="H18" s="53">
        <v>503</v>
      </c>
      <c r="I18" s="90">
        <f t="shared" si="3"/>
        <v>46057</v>
      </c>
      <c r="J18" s="50">
        <v>31</v>
      </c>
      <c r="K18" s="54">
        <v>0.63541666666666663</v>
      </c>
      <c r="L18" s="53">
        <v>622</v>
      </c>
      <c r="M18" s="90">
        <f t="shared" si="4"/>
        <v>46057</v>
      </c>
      <c r="N18" s="50">
        <v>23</v>
      </c>
      <c r="O18" s="54">
        <v>0.52083333333333337</v>
      </c>
      <c r="P18" s="50">
        <v>14</v>
      </c>
      <c r="Q18" s="54">
        <v>0.46875</v>
      </c>
      <c r="R18" s="51">
        <f t="shared" si="5"/>
        <v>613</v>
      </c>
      <c r="S18" s="53">
        <v>365</v>
      </c>
      <c r="T18" s="53">
        <v>248</v>
      </c>
      <c r="U18" s="90">
        <f t="shared" si="6"/>
        <v>46057</v>
      </c>
      <c r="V18" s="50">
        <v>32</v>
      </c>
      <c r="W18" s="54">
        <v>0.79166666666666663</v>
      </c>
      <c r="X18" s="53">
        <v>553</v>
      </c>
    </row>
    <row r="19" spans="2:24" ht="15.75" thickBot="1" x14ac:dyDescent="0.3">
      <c r="B19" s="90">
        <f t="shared" si="7"/>
        <v>46058</v>
      </c>
      <c r="D19" s="91">
        <v>97</v>
      </c>
      <c r="E19" s="89">
        <v>0.51041666666666663</v>
      </c>
      <c r="F19" s="88">
        <v>1291</v>
      </c>
      <c r="G19" s="93">
        <f t="shared" si="0"/>
        <v>781</v>
      </c>
      <c r="H19" s="88">
        <v>510</v>
      </c>
      <c r="I19" s="90">
        <f t="shared" si="3"/>
        <v>46058</v>
      </c>
      <c r="J19" s="91">
        <v>37</v>
      </c>
      <c r="K19" s="89">
        <v>0.52083333333333337</v>
      </c>
      <c r="L19" s="88">
        <v>664</v>
      </c>
      <c r="M19" s="90">
        <f t="shared" si="4"/>
        <v>46058</v>
      </c>
      <c r="N19" s="91">
        <v>25</v>
      </c>
      <c r="O19" s="89">
        <v>0.55208333333333337</v>
      </c>
      <c r="P19" s="91">
        <v>15</v>
      </c>
      <c r="Q19" s="89">
        <v>0.57291666666666663</v>
      </c>
      <c r="R19" s="92">
        <f t="shared" si="5"/>
        <v>619</v>
      </c>
      <c r="S19" s="88">
        <v>364</v>
      </c>
      <c r="T19" s="88">
        <v>255</v>
      </c>
      <c r="U19" s="90">
        <f t="shared" si="6"/>
        <v>46058</v>
      </c>
      <c r="V19" s="91">
        <v>29</v>
      </c>
      <c r="W19" s="89">
        <v>0.85416666666666663</v>
      </c>
      <c r="X19" s="88">
        <v>605</v>
      </c>
    </row>
    <row r="20" spans="2:24" ht="15.75" thickBot="1" x14ac:dyDescent="0.3">
      <c r="B20" s="90">
        <f t="shared" si="7"/>
        <v>46059</v>
      </c>
      <c r="D20" s="171">
        <v>101</v>
      </c>
      <c r="E20" s="172">
        <v>0.55208333333333337</v>
      </c>
      <c r="F20" s="173">
        <v>1239</v>
      </c>
      <c r="G20" s="93">
        <f t="shared" si="0"/>
        <v>698</v>
      </c>
      <c r="H20" s="173">
        <v>541</v>
      </c>
      <c r="I20" s="90">
        <f t="shared" si="3"/>
        <v>46059</v>
      </c>
      <c r="J20" s="171">
        <v>33</v>
      </c>
      <c r="K20" s="172">
        <v>0.55208333333333337</v>
      </c>
      <c r="L20" s="173">
        <v>626</v>
      </c>
      <c r="M20" s="90">
        <f t="shared" si="4"/>
        <v>46059</v>
      </c>
      <c r="N20" s="171">
        <v>22</v>
      </c>
      <c r="O20" s="172">
        <v>0.55208333333333337</v>
      </c>
      <c r="P20" s="171">
        <v>16</v>
      </c>
      <c r="Q20" s="172">
        <v>0.59375</v>
      </c>
      <c r="R20" s="92">
        <f t="shared" si="5"/>
        <v>622</v>
      </c>
      <c r="S20" s="173">
        <v>360</v>
      </c>
      <c r="T20" s="173">
        <v>262</v>
      </c>
      <c r="U20" s="174">
        <f t="shared" si="6"/>
        <v>46059</v>
      </c>
      <c r="V20" s="171">
        <v>30</v>
      </c>
      <c r="W20" s="172">
        <v>0.84375</v>
      </c>
      <c r="X20" s="173">
        <v>581</v>
      </c>
    </row>
    <row r="21" spans="2:24" ht="15.75" thickBot="1" x14ac:dyDescent="0.3">
      <c r="B21" s="90">
        <f t="shared" si="7"/>
        <v>46060</v>
      </c>
      <c r="D21" s="171">
        <v>80</v>
      </c>
      <c r="E21" s="172">
        <v>0.60416666666666663</v>
      </c>
      <c r="F21" s="88">
        <v>795</v>
      </c>
      <c r="G21" s="93">
        <f t="shared" si="0"/>
        <v>335</v>
      </c>
      <c r="H21" s="88">
        <v>460</v>
      </c>
      <c r="I21" s="90">
        <f t="shared" si="3"/>
        <v>46060</v>
      </c>
      <c r="J21" s="91">
        <v>33</v>
      </c>
      <c r="K21" s="89">
        <v>0.52083333333333337</v>
      </c>
      <c r="L21" s="88">
        <v>601</v>
      </c>
      <c r="M21" s="90">
        <f t="shared" si="4"/>
        <v>46060</v>
      </c>
      <c r="N21" s="91">
        <v>22</v>
      </c>
      <c r="O21" s="89">
        <v>0.58333333333333337</v>
      </c>
      <c r="P21" s="91">
        <v>12</v>
      </c>
      <c r="Q21" s="89">
        <v>0.5625</v>
      </c>
      <c r="R21" s="92">
        <f t="shared" si="5"/>
        <v>564</v>
      </c>
      <c r="S21" s="88">
        <v>355</v>
      </c>
      <c r="T21" s="88">
        <v>209</v>
      </c>
      <c r="U21" s="90">
        <f t="shared" si="6"/>
        <v>46060</v>
      </c>
      <c r="V21" s="91">
        <v>28</v>
      </c>
      <c r="W21" s="89">
        <v>0.5625</v>
      </c>
      <c r="X21" s="88">
        <v>514</v>
      </c>
    </row>
    <row r="22" spans="2:24" ht="15.75" thickBot="1" x14ac:dyDescent="0.3">
      <c r="B22" s="90">
        <f t="shared" si="7"/>
        <v>46061</v>
      </c>
      <c r="D22" s="171">
        <v>72</v>
      </c>
      <c r="E22" s="89">
        <v>0.48958333333333331</v>
      </c>
      <c r="F22" s="88">
        <v>955</v>
      </c>
      <c r="G22" s="93">
        <f t="shared" si="0"/>
        <v>422</v>
      </c>
      <c r="H22" s="88">
        <v>533</v>
      </c>
      <c r="I22" s="90">
        <f t="shared" si="3"/>
        <v>46061</v>
      </c>
      <c r="J22" s="91">
        <v>37</v>
      </c>
      <c r="K22" s="89">
        <v>0.13541666666666666</v>
      </c>
      <c r="L22" s="88">
        <v>510</v>
      </c>
      <c r="M22" s="90">
        <f t="shared" si="4"/>
        <v>46061</v>
      </c>
      <c r="N22" s="91">
        <v>25</v>
      </c>
      <c r="O22" s="89">
        <v>0.79166666666666663</v>
      </c>
      <c r="P22" s="91">
        <v>9</v>
      </c>
      <c r="Q22" s="89">
        <v>0.46875</v>
      </c>
      <c r="R22" s="92">
        <f t="shared" si="5"/>
        <v>516</v>
      </c>
      <c r="S22" s="88">
        <v>344</v>
      </c>
      <c r="T22" s="88">
        <v>172</v>
      </c>
      <c r="U22" s="90">
        <f t="shared" si="6"/>
        <v>46061</v>
      </c>
      <c r="V22" s="91">
        <v>29</v>
      </c>
      <c r="W22" s="89">
        <v>0.88541666666666663</v>
      </c>
      <c r="X22" s="88">
        <v>489</v>
      </c>
    </row>
    <row r="23" spans="2:24" ht="15.75" thickBot="1" x14ac:dyDescent="0.3">
      <c r="B23" s="90">
        <f t="shared" si="7"/>
        <v>46062</v>
      </c>
      <c r="D23" s="171">
        <v>92</v>
      </c>
      <c r="E23" s="89">
        <v>0.58333333333333337</v>
      </c>
      <c r="F23" s="88">
        <v>1050</v>
      </c>
      <c r="G23" s="93">
        <f t="shared" si="0"/>
        <v>545</v>
      </c>
      <c r="H23" s="88">
        <v>505</v>
      </c>
      <c r="I23" s="90">
        <f t="shared" si="3"/>
        <v>46062</v>
      </c>
      <c r="J23" s="91">
        <v>37</v>
      </c>
      <c r="K23" s="89">
        <v>0.625</v>
      </c>
      <c r="L23" s="88">
        <v>610</v>
      </c>
      <c r="M23" s="90">
        <f t="shared" si="4"/>
        <v>46062</v>
      </c>
      <c r="N23" s="91">
        <v>25</v>
      </c>
      <c r="O23" s="89">
        <v>0.72916666666666663</v>
      </c>
      <c r="P23" s="91">
        <v>12</v>
      </c>
      <c r="Q23" s="89">
        <v>0.54166666666666663</v>
      </c>
      <c r="R23" s="92">
        <f t="shared" si="5"/>
        <v>572</v>
      </c>
      <c r="S23" s="88">
        <v>360</v>
      </c>
      <c r="T23" s="88">
        <v>212</v>
      </c>
      <c r="U23" s="90">
        <f t="shared" si="6"/>
        <v>46062</v>
      </c>
      <c r="V23" s="91">
        <v>29</v>
      </c>
      <c r="W23" s="89">
        <v>0.83333333333333337</v>
      </c>
      <c r="X23" s="88">
        <v>502</v>
      </c>
    </row>
    <row r="24" spans="2:24" ht="15.75" thickBot="1" x14ac:dyDescent="0.3">
      <c r="B24" s="90">
        <f t="shared" si="7"/>
        <v>46063</v>
      </c>
      <c r="D24" s="171">
        <v>100</v>
      </c>
      <c r="E24" s="89">
        <v>0.4375</v>
      </c>
      <c r="F24" s="88">
        <v>1276</v>
      </c>
      <c r="G24" s="93">
        <f t="shared" si="0"/>
        <v>769</v>
      </c>
      <c r="H24" s="88">
        <v>507</v>
      </c>
      <c r="I24" s="90">
        <f t="shared" si="3"/>
        <v>46063</v>
      </c>
      <c r="J24" s="91">
        <v>35</v>
      </c>
      <c r="K24" s="89">
        <v>0.64583333333333337</v>
      </c>
      <c r="L24" s="88">
        <v>630</v>
      </c>
      <c r="M24" s="90">
        <f t="shared" si="4"/>
        <v>46063</v>
      </c>
      <c r="N24" s="91">
        <v>22</v>
      </c>
      <c r="O24" s="89">
        <v>0.55208333333333337</v>
      </c>
      <c r="P24" s="91">
        <v>15</v>
      </c>
      <c r="Q24" s="89">
        <v>0.70833333333333337</v>
      </c>
      <c r="R24" s="92">
        <f t="shared" si="5"/>
        <v>604</v>
      </c>
      <c r="S24" s="88">
        <v>357</v>
      </c>
      <c r="T24" s="88">
        <v>247</v>
      </c>
      <c r="U24" s="90">
        <f t="shared" si="6"/>
        <v>46063</v>
      </c>
      <c r="V24" s="91">
        <v>30</v>
      </c>
      <c r="W24" s="89">
        <v>0.64583333333333337</v>
      </c>
      <c r="X24" s="88">
        <v>515</v>
      </c>
    </row>
    <row r="25" spans="2:24" ht="15.75" thickBot="1" x14ac:dyDescent="0.3">
      <c r="B25" s="90">
        <f t="shared" si="7"/>
        <v>46064</v>
      </c>
      <c r="D25" s="171">
        <v>101</v>
      </c>
      <c r="E25" s="89">
        <v>0.5</v>
      </c>
      <c r="F25" s="88">
        <v>1274</v>
      </c>
      <c r="G25" s="93">
        <f t="shared" si="0"/>
        <v>765</v>
      </c>
      <c r="H25" s="88">
        <v>509</v>
      </c>
      <c r="I25" s="90">
        <f t="shared" si="3"/>
        <v>46064</v>
      </c>
      <c r="J25" s="91">
        <v>35</v>
      </c>
      <c r="K25" s="89">
        <v>0.53125</v>
      </c>
      <c r="L25" s="88">
        <v>620</v>
      </c>
      <c r="M25" s="90">
        <f t="shared" si="4"/>
        <v>46064</v>
      </c>
      <c r="N25" s="91">
        <v>23</v>
      </c>
      <c r="O25" s="89">
        <v>0.58333333333333337</v>
      </c>
      <c r="P25" s="91">
        <v>14</v>
      </c>
      <c r="Q25" s="89">
        <v>0.77083333333333337</v>
      </c>
      <c r="R25" s="92">
        <f t="shared" si="5"/>
        <v>603</v>
      </c>
      <c r="S25" s="88">
        <v>355</v>
      </c>
      <c r="T25" s="88">
        <v>248</v>
      </c>
      <c r="U25" s="90">
        <f t="shared" si="6"/>
        <v>46064</v>
      </c>
      <c r="V25" s="91">
        <v>30</v>
      </c>
      <c r="W25" s="89">
        <v>0.5625</v>
      </c>
      <c r="X25" s="88">
        <v>517</v>
      </c>
    </row>
    <row r="26" spans="2:24" ht="15.75" thickBot="1" x14ac:dyDescent="0.3">
      <c r="B26" s="90">
        <f t="shared" si="7"/>
        <v>46065</v>
      </c>
      <c r="D26" s="171">
        <v>119.95</v>
      </c>
      <c r="E26" s="89">
        <v>0.6875</v>
      </c>
      <c r="F26" s="88">
        <v>1358.32</v>
      </c>
      <c r="G26" s="93">
        <f t="shared" si="0"/>
        <v>762.93999999999994</v>
      </c>
      <c r="H26" s="88">
        <v>595.38</v>
      </c>
      <c r="I26" s="90">
        <f t="shared" si="3"/>
        <v>46065</v>
      </c>
      <c r="J26" s="91">
        <v>35.299999999999997</v>
      </c>
      <c r="K26" s="89">
        <v>0.64583333333333337</v>
      </c>
      <c r="L26" s="88">
        <v>625.45000000000005</v>
      </c>
      <c r="M26" s="90">
        <f t="shared" si="4"/>
        <v>46065</v>
      </c>
      <c r="N26" s="91">
        <v>25</v>
      </c>
      <c r="O26" s="89">
        <v>0.42708333333333331</v>
      </c>
      <c r="P26" s="91">
        <v>15.88</v>
      </c>
      <c r="Q26" s="89">
        <v>0.76041666666666663</v>
      </c>
      <c r="R26" s="92">
        <f t="shared" ref="R26:R44" si="8">S26+T26</f>
        <v>619.63</v>
      </c>
      <c r="S26" s="88">
        <v>361.96</v>
      </c>
      <c r="T26" s="88">
        <v>257.67</v>
      </c>
      <c r="U26" s="90">
        <f t="shared" si="6"/>
        <v>46065</v>
      </c>
      <c r="V26" s="91">
        <v>29.82</v>
      </c>
      <c r="W26" s="89">
        <v>0.82291666666666663</v>
      </c>
      <c r="X26" s="88">
        <v>536.22</v>
      </c>
    </row>
    <row r="27" spans="2:24" ht="15.75" thickBot="1" x14ac:dyDescent="0.3">
      <c r="B27" s="90">
        <f t="shared" si="7"/>
        <v>46066</v>
      </c>
      <c r="D27" s="171">
        <v>98</v>
      </c>
      <c r="E27" s="89">
        <v>0.19791666666666666</v>
      </c>
      <c r="F27" s="88">
        <v>1376</v>
      </c>
      <c r="G27" s="93">
        <f t="shared" si="0"/>
        <v>762</v>
      </c>
      <c r="H27" s="88">
        <v>614</v>
      </c>
      <c r="I27" s="90">
        <f t="shared" si="3"/>
        <v>46066</v>
      </c>
      <c r="J27" s="91">
        <v>34</v>
      </c>
      <c r="K27" s="89">
        <v>0.53125</v>
      </c>
      <c r="L27" s="88">
        <v>641</v>
      </c>
      <c r="M27" s="90">
        <f t="shared" si="4"/>
        <v>46066</v>
      </c>
      <c r="N27" s="91">
        <v>25</v>
      </c>
      <c r="O27" s="89">
        <v>0.38541666666666669</v>
      </c>
      <c r="P27" s="91">
        <v>16</v>
      </c>
      <c r="Q27" s="89">
        <v>0.69791666666666663</v>
      </c>
      <c r="R27" s="92">
        <f t="shared" si="8"/>
        <v>619</v>
      </c>
      <c r="S27" s="88">
        <v>364</v>
      </c>
      <c r="T27" s="88">
        <v>255</v>
      </c>
      <c r="U27" s="90">
        <f t="shared" si="6"/>
        <v>46066</v>
      </c>
      <c r="V27" s="91">
        <v>30</v>
      </c>
      <c r="W27" s="89">
        <v>0.72916666666666663</v>
      </c>
      <c r="X27" s="88">
        <v>551</v>
      </c>
    </row>
    <row r="28" spans="2:24" ht="15.75" thickBot="1" x14ac:dyDescent="0.3">
      <c r="B28" s="90">
        <f t="shared" si="7"/>
        <v>46067</v>
      </c>
      <c r="D28" s="171">
        <v>55.06</v>
      </c>
      <c r="E28" s="89">
        <v>0.6875</v>
      </c>
      <c r="F28" s="88">
        <v>971.44</v>
      </c>
      <c r="G28" s="93">
        <f t="shared" si="0"/>
        <v>414.81000000000006</v>
      </c>
      <c r="H28" s="88">
        <v>556.63</v>
      </c>
      <c r="I28" s="90">
        <f t="shared" si="3"/>
        <v>46067</v>
      </c>
      <c r="J28" s="91">
        <v>36.14</v>
      </c>
      <c r="K28" s="89">
        <v>0.10416666666666667</v>
      </c>
      <c r="L28" s="88">
        <v>571.71</v>
      </c>
      <c r="M28" s="90">
        <f t="shared" si="4"/>
        <v>46067</v>
      </c>
      <c r="N28" s="91">
        <v>22.16</v>
      </c>
      <c r="O28" s="89">
        <v>0.78125</v>
      </c>
      <c r="P28" s="91">
        <v>11.24</v>
      </c>
      <c r="Q28" s="89">
        <v>0.42708333333333331</v>
      </c>
      <c r="R28" s="92">
        <f t="shared" si="8"/>
        <v>544.96</v>
      </c>
      <c r="S28" s="88">
        <v>354.61</v>
      </c>
      <c r="T28" s="88">
        <v>190.35</v>
      </c>
      <c r="U28" s="90">
        <f t="shared" si="6"/>
        <v>46067</v>
      </c>
      <c r="V28" s="91">
        <v>27.79</v>
      </c>
      <c r="W28" s="89">
        <v>0.83333333333333337</v>
      </c>
      <c r="X28" s="88">
        <v>489.63</v>
      </c>
    </row>
    <row r="29" spans="2:24" ht="15.75" thickBot="1" x14ac:dyDescent="0.3">
      <c r="B29" s="90">
        <f t="shared" si="7"/>
        <v>46068</v>
      </c>
      <c r="D29" s="171">
        <v>67</v>
      </c>
      <c r="E29" s="89">
        <v>0.64583333333333337</v>
      </c>
      <c r="F29" s="88">
        <v>879</v>
      </c>
      <c r="G29" s="93">
        <f t="shared" si="0"/>
        <v>349</v>
      </c>
      <c r="H29" s="88">
        <v>530</v>
      </c>
      <c r="I29" s="90">
        <f t="shared" si="3"/>
        <v>46068</v>
      </c>
      <c r="J29" s="91">
        <v>29</v>
      </c>
      <c r="K29" s="89">
        <v>9.375E-2</v>
      </c>
      <c r="L29" s="88">
        <v>582</v>
      </c>
      <c r="M29" s="90">
        <f t="shared" si="4"/>
        <v>46068</v>
      </c>
      <c r="N29" s="91">
        <v>22</v>
      </c>
      <c r="O29" s="89">
        <v>0.5625</v>
      </c>
      <c r="P29" s="91">
        <v>9</v>
      </c>
      <c r="Q29" s="89">
        <v>0.21875</v>
      </c>
      <c r="R29" s="92">
        <f t="shared" si="8"/>
        <v>526</v>
      </c>
      <c r="S29" s="88">
        <v>347</v>
      </c>
      <c r="T29" s="88">
        <v>179</v>
      </c>
      <c r="U29" s="90">
        <f t="shared" si="6"/>
        <v>46068</v>
      </c>
      <c r="V29" s="91">
        <v>27</v>
      </c>
      <c r="W29" s="89">
        <v>0.90625</v>
      </c>
      <c r="X29" s="88">
        <v>494</v>
      </c>
    </row>
    <row r="30" spans="2:24" ht="15.75" thickBot="1" x14ac:dyDescent="0.3">
      <c r="B30" s="90">
        <f t="shared" si="7"/>
        <v>46069</v>
      </c>
      <c r="D30" s="171">
        <v>103</v>
      </c>
      <c r="E30" s="89">
        <v>0.70833333333333337</v>
      </c>
      <c r="F30" s="88">
        <v>1224</v>
      </c>
      <c r="G30" s="93">
        <f t="shared" si="0"/>
        <v>667</v>
      </c>
      <c r="H30" s="88">
        <v>557</v>
      </c>
      <c r="I30" s="90">
        <f t="shared" si="3"/>
        <v>46069</v>
      </c>
      <c r="J30" s="91">
        <v>33</v>
      </c>
      <c r="K30" s="89">
        <v>0.55208333333333337</v>
      </c>
      <c r="L30" s="88">
        <v>609</v>
      </c>
      <c r="M30" s="90">
        <f t="shared" si="4"/>
        <v>46069</v>
      </c>
      <c r="N30" s="91">
        <v>20</v>
      </c>
      <c r="O30" s="89">
        <v>0.89583333333333337</v>
      </c>
      <c r="P30" s="91">
        <v>15</v>
      </c>
      <c r="Q30" s="89">
        <v>0.71875</v>
      </c>
      <c r="R30" s="92">
        <f t="shared" si="8"/>
        <v>596</v>
      </c>
      <c r="S30" s="88">
        <v>357</v>
      </c>
      <c r="T30" s="88">
        <v>239</v>
      </c>
      <c r="U30" s="90">
        <f t="shared" si="6"/>
        <v>46069</v>
      </c>
      <c r="V30" s="91">
        <v>28</v>
      </c>
      <c r="W30" s="89">
        <v>0.92708333333333337</v>
      </c>
      <c r="X30" s="88">
        <v>517</v>
      </c>
    </row>
    <row r="31" spans="2:24" ht="15.75" thickBot="1" x14ac:dyDescent="0.3">
      <c r="B31" s="90">
        <f t="shared" si="7"/>
        <v>46070</v>
      </c>
      <c r="D31" s="171">
        <v>129</v>
      </c>
      <c r="E31" s="89">
        <v>0.64583333333333337</v>
      </c>
      <c r="F31" s="88">
        <v>1366</v>
      </c>
      <c r="G31" s="93">
        <f t="shared" si="0"/>
        <v>782</v>
      </c>
      <c r="H31" s="88">
        <v>584</v>
      </c>
      <c r="I31" s="90">
        <f t="shared" si="3"/>
        <v>46070</v>
      </c>
      <c r="J31" s="91">
        <v>40</v>
      </c>
      <c r="K31" s="89">
        <v>0.61458333333333337</v>
      </c>
      <c r="L31" s="88">
        <v>654</v>
      </c>
      <c r="M31" s="90">
        <f t="shared" si="4"/>
        <v>46070</v>
      </c>
      <c r="N31" s="91">
        <v>24</v>
      </c>
      <c r="O31" s="89">
        <v>0.51041666666666663</v>
      </c>
      <c r="P31" s="91">
        <v>16</v>
      </c>
      <c r="Q31" s="89">
        <v>0.63541666666666663</v>
      </c>
      <c r="R31" s="92">
        <f t="shared" si="8"/>
        <v>612</v>
      </c>
      <c r="S31" s="88">
        <v>356</v>
      </c>
      <c r="T31" s="88">
        <v>256</v>
      </c>
      <c r="U31" s="90">
        <f t="shared" si="6"/>
        <v>46070</v>
      </c>
      <c r="V31" s="91">
        <v>31</v>
      </c>
      <c r="W31" s="89">
        <v>0.625</v>
      </c>
      <c r="X31" s="88">
        <v>542</v>
      </c>
    </row>
    <row r="32" spans="2:24" ht="15.75" thickBot="1" x14ac:dyDescent="0.3">
      <c r="B32" s="90">
        <f t="shared" si="7"/>
        <v>46071</v>
      </c>
      <c r="D32" s="171">
        <v>126</v>
      </c>
      <c r="E32" s="89">
        <v>0.69791666666666663</v>
      </c>
      <c r="F32" s="88">
        <v>1390</v>
      </c>
      <c r="G32" s="93">
        <f t="shared" si="0"/>
        <v>795</v>
      </c>
      <c r="H32" s="88">
        <v>595</v>
      </c>
      <c r="I32" s="90">
        <f t="shared" si="3"/>
        <v>46071</v>
      </c>
      <c r="J32" s="91">
        <v>40</v>
      </c>
      <c r="K32" s="89">
        <v>0.5625</v>
      </c>
      <c r="L32" s="88">
        <v>655</v>
      </c>
      <c r="M32" s="90">
        <f t="shared" si="4"/>
        <v>46071</v>
      </c>
      <c r="N32" s="91">
        <v>25</v>
      </c>
      <c r="O32" s="89">
        <v>0.54166666666666663</v>
      </c>
      <c r="P32" s="91">
        <v>16</v>
      </c>
      <c r="Q32" s="89">
        <v>0.60416666666666663</v>
      </c>
      <c r="R32" s="92">
        <f t="shared" si="8"/>
        <v>618</v>
      </c>
      <c r="S32" s="88">
        <v>360</v>
      </c>
      <c r="T32" s="88">
        <v>258</v>
      </c>
      <c r="U32" s="90">
        <f t="shared" si="6"/>
        <v>46071</v>
      </c>
      <c r="V32" s="91">
        <v>30</v>
      </c>
      <c r="W32" s="89">
        <v>0.6875</v>
      </c>
      <c r="X32" s="88">
        <v>550</v>
      </c>
    </row>
    <row r="33" spans="2:24" ht="15.75" thickBot="1" x14ac:dyDescent="0.3">
      <c r="B33" s="90">
        <f t="shared" si="7"/>
        <v>46072</v>
      </c>
      <c r="D33" s="171">
        <v>96</v>
      </c>
      <c r="E33" s="172">
        <v>0.54166666666666663</v>
      </c>
      <c r="F33" s="173">
        <v>1258</v>
      </c>
      <c r="G33" s="183">
        <f t="shared" si="0"/>
        <v>705</v>
      </c>
      <c r="H33" s="173">
        <v>553</v>
      </c>
      <c r="I33" s="174">
        <f t="shared" si="3"/>
        <v>46072</v>
      </c>
      <c r="J33" s="171">
        <v>33</v>
      </c>
      <c r="K33" s="172">
        <v>0.71875</v>
      </c>
      <c r="L33" s="173">
        <v>577</v>
      </c>
      <c r="M33" s="174">
        <f t="shared" si="4"/>
        <v>46072</v>
      </c>
      <c r="N33" s="171">
        <v>23</v>
      </c>
      <c r="O33" s="172">
        <v>0.59375</v>
      </c>
      <c r="P33" s="171">
        <v>16</v>
      </c>
      <c r="Q33" s="172">
        <v>0.36458333333333331</v>
      </c>
      <c r="R33" s="92">
        <f t="shared" si="8"/>
        <v>618</v>
      </c>
      <c r="S33" s="173">
        <v>359</v>
      </c>
      <c r="T33" s="173">
        <v>259</v>
      </c>
      <c r="U33" s="174">
        <f t="shared" si="6"/>
        <v>46072</v>
      </c>
      <c r="V33" s="171">
        <v>29</v>
      </c>
      <c r="W33" s="172">
        <v>0.875</v>
      </c>
      <c r="X33" s="173">
        <v>516</v>
      </c>
    </row>
    <row r="34" spans="2:24" ht="15.75" thickBot="1" x14ac:dyDescent="0.3">
      <c r="B34" s="90">
        <f t="shared" si="7"/>
        <v>46073</v>
      </c>
      <c r="D34" s="171">
        <v>96</v>
      </c>
      <c r="E34" s="89">
        <v>0.55208333333333337</v>
      </c>
      <c r="F34" s="88">
        <v>1130</v>
      </c>
      <c r="G34" s="93">
        <f t="shared" si="0"/>
        <v>604</v>
      </c>
      <c r="H34" s="88">
        <v>526</v>
      </c>
      <c r="I34" s="90">
        <f t="shared" si="3"/>
        <v>46073</v>
      </c>
      <c r="J34" s="91">
        <v>30</v>
      </c>
      <c r="K34" s="89">
        <v>0.84375</v>
      </c>
      <c r="L34" s="88">
        <v>573</v>
      </c>
      <c r="M34" s="90">
        <f t="shared" si="4"/>
        <v>46073</v>
      </c>
      <c r="N34" s="91">
        <v>23</v>
      </c>
      <c r="O34" s="89">
        <v>0.75</v>
      </c>
      <c r="P34" s="91">
        <v>15</v>
      </c>
      <c r="Q34" s="89">
        <v>0.61458333333333337</v>
      </c>
      <c r="R34" s="92">
        <f t="shared" si="8"/>
        <v>610</v>
      </c>
      <c r="S34" s="88">
        <v>356</v>
      </c>
      <c r="T34" s="88">
        <v>254</v>
      </c>
      <c r="U34" s="90">
        <f t="shared" si="6"/>
        <v>46073</v>
      </c>
      <c r="V34" s="91">
        <v>30</v>
      </c>
      <c r="W34" s="89">
        <v>0.71875</v>
      </c>
      <c r="X34" s="88">
        <v>555</v>
      </c>
    </row>
    <row r="35" spans="2:24" ht="15.75" thickBot="1" x14ac:dyDescent="0.3">
      <c r="B35" s="90">
        <f t="shared" si="7"/>
        <v>46074</v>
      </c>
      <c r="D35" s="171">
        <v>74</v>
      </c>
      <c r="E35" s="89">
        <v>0.82291666666666663</v>
      </c>
      <c r="F35" s="88">
        <v>964</v>
      </c>
      <c r="G35" s="93">
        <f t="shared" si="0"/>
        <v>468</v>
      </c>
      <c r="H35" s="88">
        <v>496</v>
      </c>
      <c r="I35" s="90">
        <f t="shared" si="3"/>
        <v>46074</v>
      </c>
      <c r="J35" s="91">
        <v>30</v>
      </c>
      <c r="K35" s="89">
        <v>0.86458333333333337</v>
      </c>
      <c r="L35" s="88">
        <v>522</v>
      </c>
      <c r="M35" s="90">
        <f t="shared" si="4"/>
        <v>46074</v>
      </c>
      <c r="N35" s="91">
        <v>22</v>
      </c>
      <c r="O35" s="89">
        <v>0.91666666666666663</v>
      </c>
      <c r="P35" s="91">
        <v>12</v>
      </c>
      <c r="Q35" s="89">
        <v>0.45833333333333331</v>
      </c>
      <c r="R35" s="92">
        <f t="shared" si="8"/>
        <v>567</v>
      </c>
      <c r="S35" s="88">
        <v>350</v>
      </c>
      <c r="T35" s="88">
        <v>217</v>
      </c>
      <c r="U35" s="90">
        <f t="shared" si="6"/>
        <v>46074</v>
      </c>
      <c r="V35" s="91">
        <v>29</v>
      </c>
      <c r="W35" s="89">
        <v>0.82291666666666663</v>
      </c>
      <c r="X35" s="88">
        <v>529</v>
      </c>
    </row>
    <row r="36" spans="2:24" ht="15.75" thickBot="1" x14ac:dyDescent="0.3">
      <c r="B36" s="90">
        <f t="shared" si="7"/>
        <v>46075</v>
      </c>
      <c r="D36" s="171">
        <v>63</v>
      </c>
      <c r="E36" s="89">
        <v>0.40625</v>
      </c>
      <c r="F36" s="88">
        <v>821</v>
      </c>
      <c r="G36" s="93">
        <f t="shared" si="0"/>
        <v>338</v>
      </c>
      <c r="H36" s="88">
        <v>483</v>
      </c>
      <c r="I36" s="90">
        <f t="shared" si="3"/>
        <v>46075</v>
      </c>
      <c r="J36" s="91">
        <v>29</v>
      </c>
      <c r="K36" s="89">
        <v>0.23958333333333334</v>
      </c>
      <c r="L36" s="88">
        <v>492</v>
      </c>
      <c r="M36" s="90">
        <f t="shared" si="4"/>
        <v>46075</v>
      </c>
      <c r="N36" s="91">
        <v>23</v>
      </c>
      <c r="O36" s="89">
        <v>0.37083333333333335</v>
      </c>
      <c r="P36" s="91">
        <v>10</v>
      </c>
      <c r="Q36" s="89">
        <v>0.91666666666666663</v>
      </c>
      <c r="R36" s="92">
        <f t="shared" si="8"/>
        <v>546</v>
      </c>
      <c r="S36" s="88">
        <v>351</v>
      </c>
      <c r="T36" s="88">
        <v>195</v>
      </c>
      <c r="U36" s="90">
        <f t="shared" si="6"/>
        <v>46075</v>
      </c>
      <c r="V36" s="91">
        <v>28</v>
      </c>
      <c r="W36" s="89">
        <v>0.875</v>
      </c>
      <c r="X36" s="88">
        <v>502</v>
      </c>
    </row>
    <row r="37" spans="2:24" ht="15.75" thickBot="1" x14ac:dyDescent="0.3">
      <c r="B37" s="90">
        <f t="shared" si="7"/>
        <v>46076</v>
      </c>
      <c r="D37" s="171">
        <v>103.7</v>
      </c>
      <c r="E37" s="89">
        <v>0.69791666666666663</v>
      </c>
      <c r="F37" s="88">
        <v>1159.2</v>
      </c>
      <c r="G37" s="93">
        <f t="shared" si="0"/>
        <v>658.31000000000006</v>
      </c>
      <c r="H37" s="88">
        <v>500.89</v>
      </c>
      <c r="I37" s="90">
        <f t="shared" si="3"/>
        <v>46076</v>
      </c>
      <c r="J37" s="91">
        <v>28.62</v>
      </c>
      <c r="K37" s="89">
        <v>0.80208333333333337</v>
      </c>
      <c r="L37" s="88">
        <v>531.98</v>
      </c>
      <c r="M37" s="90">
        <f t="shared" si="4"/>
        <v>46076</v>
      </c>
      <c r="N37" s="91">
        <v>23.82</v>
      </c>
      <c r="O37" s="89">
        <v>0.55208333333333337</v>
      </c>
      <c r="P37" s="91">
        <v>15.53</v>
      </c>
      <c r="Q37" s="89">
        <v>0.625</v>
      </c>
      <c r="R37" s="92">
        <f t="shared" si="8"/>
        <v>598.56999999999994</v>
      </c>
      <c r="S37" s="88">
        <v>355.13</v>
      </c>
      <c r="T37" s="88">
        <v>243.44</v>
      </c>
      <c r="U37" s="90">
        <f t="shared" si="6"/>
        <v>46076</v>
      </c>
      <c r="V37" s="91">
        <v>27.28</v>
      </c>
      <c r="W37" s="89">
        <v>0.33333333333333331</v>
      </c>
      <c r="X37" s="88">
        <v>533.79999999999995</v>
      </c>
    </row>
    <row r="38" spans="2:24" ht="15.75" thickBot="1" x14ac:dyDescent="0.3">
      <c r="B38" s="90">
        <f t="shared" si="7"/>
        <v>46077</v>
      </c>
      <c r="D38" s="171">
        <v>95.86</v>
      </c>
      <c r="E38" s="89">
        <v>0.54166666666666663</v>
      </c>
      <c r="F38" s="88">
        <v>1195.05</v>
      </c>
      <c r="G38" s="93">
        <f t="shared" si="0"/>
        <v>691.84999999999991</v>
      </c>
      <c r="H38" s="88">
        <v>503.2</v>
      </c>
      <c r="I38" s="90">
        <f t="shared" si="3"/>
        <v>46077</v>
      </c>
      <c r="J38" s="91">
        <v>29.47</v>
      </c>
      <c r="K38" s="89">
        <v>0.30208333333333331</v>
      </c>
      <c r="L38" s="88">
        <v>537.26</v>
      </c>
      <c r="M38" s="90">
        <f t="shared" si="4"/>
        <v>46077</v>
      </c>
      <c r="N38" s="91">
        <v>21.73</v>
      </c>
      <c r="O38" s="89">
        <v>0.29166666666666669</v>
      </c>
      <c r="P38" s="91">
        <v>13.78</v>
      </c>
      <c r="Q38" s="89">
        <v>0.38541666666666669</v>
      </c>
      <c r="R38" s="92">
        <f t="shared" si="8"/>
        <v>601.79</v>
      </c>
      <c r="S38" s="88">
        <v>357.59</v>
      </c>
      <c r="T38" s="88">
        <v>244.2</v>
      </c>
      <c r="U38" s="90">
        <f t="shared" si="6"/>
        <v>46077</v>
      </c>
      <c r="V38" s="91">
        <v>27.98</v>
      </c>
      <c r="W38" s="89">
        <v>0.84375</v>
      </c>
      <c r="X38" s="88">
        <v>531.75</v>
      </c>
    </row>
    <row r="39" spans="2:24" ht="15.75" thickBot="1" x14ac:dyDescent="0.3">
      <c r="B39" s="90">
        <f t="shared" si="7"/>
        <v>46078</v>
      </c>
      <c r="D39" s="171">
        <v>115</v>
      </c>
      <c r="E39" s="89">
        <v>0.71875</v>
      </c>
      <c r="F39" s="88">
        <v>1194</v>
      </c>
      <c r="G39" s="93">
        <f t="shared" si="0"/>
        <v>693</v>
      </c>
      <c r="H39" s="88">
        <v>501</v>
      </c>
      <c r="I39" s="90">
        <f t="shared" si="3"/>
        <v>46078</v>
      </c>
      <c r="J39" s="91">
        <v>31</v>
      </c>
      <c r="K39" s="89">
        <v>0</v>
      </c>
      <c r="L39" s="88">
        <v>568</v>
      </c>
      <c r="M39" s="90">
        <f t="shared" si="4"/>
        <v>46078</v>
      </c>
      <c r="N39" s="91">
        <v>22</v>
      </c>
      <c r="O39" s="89">
        <v>0.72916666666666663</v>
      </c>
      <c r="P39" s="91">
        <v>15</v>
      </c>
      <c r="Q39" s="89">
        <v>0.6875</v>
      </c>
      <c r="R39" s="92">
        <f t="shared" si="8"/>
        <v>607</v>
      </c>
      <c r="S39" s="88">
        <v>359</v>
      </c>
      <c r="T39" s="88">
        <v>248</v>
      </c>
      <c r="U39" s="90">
        <f t="shared" si="6"/>
        <v>46078</v>
      </c>
      <c r="V39" s="91">
        <v>28</v>
      </c>
      <c r="W39" s="89">
        <v>0.54166666666666663</v>
      </c>
      <c r="X39" s="88">
        <v>539</v>
      </c>
    </row>
    <row r="40" spans="2:24" ht="15.75" thickBot="1" x14ac:dyDescent="0.3">
      <c r="B40" s="90">
        <f t="shared" si="7"/>
        <v>46079</v>
      </c>
      <c r="D40" s="171">
        <v>105</v>
      </c>
      <c r="E40" s="172">
        <v>0.75</v>
      </c>
      <c r="F40" s="173">
        <v>1190</v>
      </c>
      <c r="G40" s="93">
        <f t="shared" si="0"/>
        <v>675</v>
      </c>
      <c r="H40" s="173">
        <v>515</v>
      </c>
      <c r="I40" s="174">
        <f t="shared" si="3"/>
        <v>46079</v>
      </c>
      <c r="J40" s="171">
        <v>31</v>
      </c>
      <c r="K40" s="172">
        <v>0.70833333333333337</v>
      </c>
      <c r="L40" s="173">
        <v>570</v>
      </c>
      <c r="M40" s="174">
        <f t="shared" si="4"/>
        <v>46079</v>
      </c>
      <c r="N40" s="171">
        <v>23</v>
      </c>
      <c r="O40" s="172">
        <v>0.78125</v>
      </c>
      <c r="P40" s="171">
        <v>15</v>
      </c>
      <c r="Q40" s="172">
        <v>0.72916666666666663</v>
      </c>
      <c r="R40" s="92">
        <f t="shared" si="8"/>
        <v>610</v>
      </c>
      <c r="S40" s="173">
        <v>360</v>
      </c>
      <c r="T40" s="173">
        <v>250</v>
      </c>
      <c r="U40" s="174">
        <f t="shared" si="6"/>
        <v>46079</v>
      </c>
      <c r="V40" s="171">
        <v>30</v>
      </c>
      <c r="W40" s="172">
        <v>0.60416666666666663</v>
      </c>
      <c r="X40" s="173">
        <v>541</v>
      </c>
    </row>
    <row r="41" spans="2:24" ht="15.75" thickBot="1" x14ac:dyDescent="0.3">
      <c r="B41" s="90">
        <f t="shared" si="7"/>
        <v>46080</v>
      </c>
      <c r="D41" s="171">
        <v>107</v>
      </c>
      <c r="E41" s="89">
        <v>0.66666666666666663</v>
      </c>
      <c r="F41" s="88">
        <v>1203</v>
      </c>
      <c r="G41" s="93">
        <f t="shared" si="0"/>
        <v>690</v>
      </c>
      <c r="H41" s="88">
        <v>513</v>
      </c>
      <c r="I41" s="90">
        <f t="shared" si="3"/>
        <v>46080</v>
      </c>
      <c r="J41" s="91">
        <v>29</v>
      </c>
      <c r="K41" s="89">
        <v>0.84375</v>
      </c>
      <c r="L41" s="88">
        <v>547</v>
      </c>
      <c r="M41" s="90">
        <f t="shared" si="4"/>
        <v>46080</v>
      </c>
      <c r="N41" s="91">
        <v>24</v>
      </c>
      <c r="O41" s="89">
        <v>0.72916666666666663</v>
      </c>
      <c r="P41" s="91">
        <v>15</v>
      </c>
      <c r="Q41" s="89">
        <v>0.76041666666666663</v>
      </c>
      <c r="R41" s="92">
        <f t="shared" si="8"/>
        <v>603</v>
      </c>
      <c r="S41" s="88">
        <v>354</v>
      </c>
      <c r="T41" s="88">
        <v>249</v>
      </c>
      <c r="U41" s="90">
        <f t="shared" si="6"/>
        <v>46080</v>
      </c>
      <c r="V41" s="91">
        <v>27</v>
      </c>
      <c r="W41" s="89">
        <v>0.34375</v>
      </c>
      <c r="X41" s="88">
        <v>525</v>
      </c>
    </row>
    <row r="42" spans="2:24" ht="15.75" thickBot="1" x14ac:dyDescent="0.3">
      <c r="B42" s="90">
        <f t="shared" si="7"/>
        <v>46081</v>
      </c>
      <c r="D42" s="171">
        <v>73</v>
      </c>
      <c r="E42" s="89">
        <v>0.19791666666666666</v>
      </c>
      <c r="F42" s="88">
        <v>1025</v>
      </c>
      <c r="G42" s="93">
        <f t="shared" si="0"/>
        <v>494</v>
      </c>
      <c r="H42" s="88">
        <v>531</v>
      </c>
      <c r="I42" s="90">
        <f t="shared" si="3"/>
        <v>46081</v>
      </c>
      <c r="J42" s="91">
        <v>30</v>
      </c>
      <c r="K42" s="89">
        <v>0.91666666666666663</v>
      </c>
      <c r="L42" s="88">
        <v>553</v>
      </c>
      <c r="M42" s="90">
        <f t="shared" si="4"/>
        <v>46081</v>
      </c>
      <c r="N42" s="91">
        <v>21</v>
      </c>
      <c r="O42" s="89">
        <v>0.64583333333333337</v>
      </c>
      <c r="P42" s="91">
        <v>13</v>
      </c>
      <c r="Q42" s="89">
        <v>0.53125</v>
      </c>
      <c r="R42" s="92">
        <f t="shared" si="8"/>
        <v>462</v>
      </c>
      <c r="S42" s="88">
        <v>245</v>
      </c>
      <c r="T42" s="88">
        <v>217</v>
      </c>
      <c r="U42" s="90">
        <f t="shared" si="6"/>
        <v>46081</v>
      </c>
      <c r="V42" s="91">
        <v>29</v>
      </c>
      <c r="W42" s="89">
        <v>0.84375</v>
      </c>
      <c r="X42" s="88">
        <v>535</v>
      </c>
    </row>
    <row r="43" spans="2:24" ht="15.75" thickBot="1" x14ac:dyDescent="0.3">
      <c r="B43" s="90">
        <f t="shared" si="7"/>
        <v>46082</v>
      </c>
      <c r="D43" s="171"/>
      <c r="E43" s="89"/>
      <c r="F43" s="88"/>
      <c r="G43" s="93"/>
      <c r="H43" s="88"/>
      <c r="I43" s="90">
        <f t="shared" si="3"/>
        <v>46082</v>
      </c>
      <c r="J43" s="91"/>
      <c r="K43" s="89"/>
      <c r="L43" s="88"/>
      <c r="M43" s="174">
        <f t="shared" si="4"/>
        <v>46082</v>
      </c>
      <c r="N43" s="91"/>
      <c r="O43" s="89"/>
      <c r="P43" s="91"/>
      <c r="Q43" s="89"/>
      <c r="R43" s="92">
        <f t="shared" si="8"/>
        <v>0</v>
      </c>
      <c r="S43" s="88"/>
      <c r="T43" s="88"/>
      <c r="U43" s="90">
        <f t="shared" si="6"/>
        <v>46082</v>
      </c>
      <c r="V43" s="91"/>
      <c r="W43" s="89"/>
      <c r="X43" s="88"/>
    </row>
    <row r="44" spans="2:24" ht="15.75" thickBot="1" x14ac:dyDescent="0.3">
      <c r="B44" s="90">
        <f t="shared" si="7"/>
        <v>46083</v>
      </c>
      <c r="D44" s="171"/>
      <c r="E44" s="172"/>
      <c r="F44" s="173"/>
      <c r="G44" s="93"/>
      <c r="H44" s="173"/>
      <c r="I44" s="90">
        <f t="shared" si="3"/>
        <v>46083</v>
      </c>
      <c r="J44" s="171"/>
      <c r="K44" s="172"/>
      <c r="L44" s="173"/>
      <c r="M44" s="90">
        <f t="shared" si="4"/>
        <v>46083</v>
      </c>
      <c r="N44" s="171"/>
      <c r="O44" s="172"/>
      <c r="P44" s="171"/>
      <c r="Q44" s="172"/>
      <c r="R44" s="92">
        <f t="shared" si="8"/>
        <v>0</v>
      </c>
      <c r="S44" s="173"/>
      <c r="T44" s="173"/>
      <c r="U44" s="90">
        <f t="shared" si="6"/>
        <v>46083</v>
      </c>
      <c r="V44" s="171"/>
      <c r="W44" s="172"/>
      <c r="X44" s="173"/>
    </row>
    <row r="45" spans="2:24" x14ac:dyDescent="0.25">
      <c r="B45" s="90">
        <f t="shared" si="7"/>
        <v>46084</v>
      </c>
      <c r="D45" s="171"/>
      <c r="E45" s="172"/>
      <c r="F45" s="173"/>
      <c r="G45" s="93"/>
      <c r="H45" s="173"/>
      <c r="I45" s="90">
        <f t="shared" si="3"/>
        <v>46084</v>
      </c>
      <c r="J45" s="171"/>
      <c r="K45" s="172"/>
      <c r="L45" s="173"/>
      <c r="M45" s="90">
        <f t="shared" ref="M45" si="9">B45</f>
        <v>46084</v>
      </c>
      <c r="N45" s="171"/>
      <c r="O45" s="172"/>
      <c r="P45" s="171"/>
      <c r="Q45" s="172"/>
      <c r="R45" s="92">
        <f t="shared" ref="R45" si="10">S45+T45</f>
        <v>0</v>
      </c>
      <c r="S45" s="173"/>
      <c r="T45" s="173"/>
      <c r="U45" s="90">
        <f t="shared" si="6"/>
        <v>46084</v>
      </c>
      <c r="V45" s="171"/>
      <c r="W45" s="172"/>
      <c r="X45" s="173"/>
    </row>
    <row r="47" spans="2:24" x14ac:dyDescent="0.25">
      <c r="E47" s="177" t="s">
        <v>61</v>
      </c>
      <c r="F47" s="177" t="s">
        <v>62</v>
      </c>
      <c r="G47" s="177" t="s">
        <v>63</v>
      </c>
      <c r="H47" s="177" t="s">
        <v>64</v>
      </c>
      <c r="I47" s="177" t="s">
        <v>65</v>
      </c>
      <c r="J47" s="177" t="s">
        <v>66</v>
      </c>
    </row>
    <row r="48" spans="2:24" x14ac:dyDescent="0.25">
      <c r="D48" s="180">
        <v>45838</v>
      </c>
      <c r="E48" s="178">
        <f t="shared" ref="E48:E78" si="11">F14/J48</f>
        <v>0.31962540716612375</v>
      </c>
      <c r="F48" s="178">
        <f t="shared" ref="F48:F78" si="12">L14/J48</f>
        <v>0.24389250814332247</v>
      </c>
      <c r="G48" s="178">
        <f t="shared" ref="G48:G78" si="13">S14/J48</f>
        <v>0.14413680781758959</v>
      </c>
      <c r="H48" s="178">
        <f t="shared" ref="H48:H78" si="14">T14/J48</f>
        <v>8.3876221498371331E-2</v>
      </c>
      <c r="I48" s="178">
        <f t="shared" ref="I48:I78" si="15">X14/J48</f>
        <v>0.20846905537459284</v>
      </c>
      <c r="J48" s="179">
        <f>F14+L14+S14+T14+X14</f>
        <v>2456</v>
      </c>
    </row>
    <row r="49" spans="4:10" x14ac:dyDescent="0.25">
      <c r="D49" s="180">
        <v>45839</v>
      </c>
      <c r="E49" s="178">
        <f t="shared" si="11"/>
        <v>0.32019704433497537</v>
      </c>
      <c r="F49" s="178">
        <f t="shared" si="12"/>
        <v>0.23809523809523808</v>
      </c>
      <c r="G49" s="178">
        <f t="shared" si="13"/>
        <v>0.14449917898193759</v>
      </c>
      <c r="H49" s="178">
        <f t="shared" si="14"/>
        <v>8.6206896551724144E-2</v>
      </c>
      <c r="I49" s="178">
        <f t="shared" si="15"/>
        <v>0.21100164203612479</v>
      </c>
      <c r="J49" s="179">
        <f t="shared" ref="J49:J78" si="16">F15+L15+S15+T15+X15</f>
        <v>2436</v>
      </c>
    </row>
    <row r="50" spans="4:10" x14ac:dyDescent="0.25">
      <c r="D50" s="180">
        <v>45840</v>
      </c>
      <c r="E50" s="178">
        <f t="shared" si="11"/>
        <v>0.39929078014184399</v>
      </c>
      <c r="F50" s="178">
        <f t="shared" si="12"/>
        <v>0.22730496453900709</v>
      </c>
      <c r="G50" s="178">
        <f t="shared" si="13"/>
        <v>0.12801418439716311</v>
      </c>
      <c r="H50" s="178">
        <f t="shared" si="14"/>
        <v>8.2978723404255314E-2</v>
      </c>
      <c r="I50" s="178">
        <f t="shared" si="15"/>
        <v>0.16241134751773051</v>
      </c>
      <c r="J50" s="179">
        <f t="shared" si="16"/>
        <v>2820</v>
      </c>
    </row>
    <row r="51" spans="4:10" x14ac:dyDescent="0.25">
      <c r="D51" s="180">
        <v>45841</v>
      </c>
      <c r="E51" s="178">
        <f t="shared" si="11"/>
        <v>0.43047001620745545</v>
      </c>
      <c r="F51" s="178">
        <f t="shared" si="12"/>
        <v>0.20388978930307941</v>
      </c>
      <c r="G51" s="178">
        <f t="shared" si="13"/>
        <v>0.1166936790923825</v>
      </c>
      <c r="H51" s="178">
        <f t="shared" si="14"/>
        <v>8.0388978930307942E-2</v>
      </c>
      <c r="I51" s="178">
        <f t="shared" si="15"/>
        <v>0.16855753646677471</v>
      </c>
      <c r="J51" s="179">
        <f t="shared" si="16"/>
        <v>3085</v>
      </c>
    </row>
    <row r="52" spans="4:10" x14ac:dyDescent="0.25">
      <c r="D52" s="180">
        <v>45842</v>
      </c>
      <c r="E52" s="178">
        <f t="shared" si="11"/>
        <v>0.40912095175148711</v>
      </c>
      <c r="F52" s="178">
        <f t="shared" si="12"/>
        <v>0.20555188367481825</v>
      </c>
      <c r="G52" s="178">
        <f t="shared" si="13"/>
        <v>0.12062128222075347</v>
      </c>
      <c r="H52" s="178">
        <f t="shared" si="14"/>
        <v>8.1956378056840709E-2</v>
      </c>
      <c r="I52" s="178">
        <f t="shared" si="15"/>
        <v>0.18274950429610046</v>
      </c>
      <c r="J52" s="179">
        <f t="shared" si="16"/>
        <v>3026</v>
      </c>
    </row>
    <row r="53" spans="4:10" x14ac:dyDescent="0.25">
      <c r="D53" s="180">
        <v>45843</v>
      </c>
      <c r="E53" s="178">
        <f t="shared" si="11"/>
        <v>0.4061025479710601</v>
      </c>
      <c r="F53" s="178">
        <f t="shared" si="12"/>
        <v>0.20887071406102548</v>
      </c>
      <c r="G53" s="178">
        <f t="shared" si="13"/>
        <v>0.11450141553947782</v>
      </c>
      <c r="H53" s="178">
        <f t="shared" si="14"/>
        <v>8.0213903743315509E-2</v>
      </c>
      <c r="I53" s="178">
        <f t="shared" si="15"/>
        <v>0.19031141868512111</v>
      </c>
      <c r="J53" s="179">
        <f t="shared" si="16"/>
        <v>3179</v>
      </c>
    </row>
    <row r="54" spans="4:10" x14ac:dyDescent="0.25">
      <c r="D54" s="180">
        <v>45844</v>
      </c>
      <c r="E54" s="178">
        <f t="shared" si="11"/>
        <v>0.40384615384615385</v>
      </c>
      <c r="F54" s="178">
        <f t="shared" si="12"/>
        <v>0.20404172099087353</v>
      </c>
      <c r="G54" s="178">
        <f t="shared" si="13"/>
        <v>0.11734028683181226</v>
      </c>
      <c r="H54" s="178">
        <f t="shared" si="14"/>
        <v>8.5397653194263359E-2</v>
      </c>
      <c r="I54" s="178">
        <f t="shared" si="15"/>
        <v>0.18937418513689699</v>
      </c>
      <c r="J54" s="179">
        <f t="shared" si="16"/>
        <v>3068</v>
      </c>
    </row>
    <row r="55" spans="4:10" x14ac:dyDescent="0.25">
      <c r="D55" s="180">
        <v>45845</v>
      </c>
      <c r="E55" s="178">
        <f t="shared" si="11"/>
        <v>0.32134195634599838</v>
      </c>
      <c r="F55" s="178">
        <f t="shared" si="12"/>
        <v>0.24292643492320129</v>
      </c>
      <c r="G55" s="178">
        <f t="shared" si="13"/>
        <v>0.14349232012934518</v>
      </c>
      <c r="H55" s="178">
        <f t="shared" si="14"/>
        <v>8.4478577202910271E-2</v>
      </c>
      <c r="I55" s="178">
        <f t="shared" si="15"/>
        <v>0.20776071139854488</v>
      </c>
      <c r="J55" s="179">
        <f t="shared" si="16"/>
        <v>2474</v>
      </c>
    </row>
    <row r="56" spans="4:10" x14ac:dyDescent="0.25">
      <c r="D56" s="180">
        <v>45846</v>
      </c>
      <c r="E56" s="178">
        <f t="shared" si="11"/>
        <v>0.38663967611336031</v>
      </c>
      <c r="F56" s="178">
        <f t="shared" si="12"/>
        <v>0.20647773279352227</v>
      </c>
      <c r="G56" s="178">
        <f t="shared" si="13"/>
        <v>0.13927125506072874</v>
      </c>
      <c r="H56" s="178">
        <f t="shared" si="14"/>
        <v>6.9635627530364369E-2</v>
      </c>
      <c r="I56" s="178">
        <f t="shared" si="15"/>
        <v>0.19797570850202428</v>
      </c>
      <c r="J56" s="179">
        <f t="shared" si="16"/>
        <v>2470</v>
      </c>
    </row>
    <row r="57" spans="4:10" x14ac:dyDescent="0.25">
      <c r="D57" s="180">
        <v>45847</v>
      </c>
      <c r="E57" s="178">
        <f t="shared" si="11"/>
        <v>0.38405267008046817</v>
      </c>
      <c r="F57" s="178">
        <f t="shared" si="12"/>
        <v>0.22311631309436722</v>
      </c>
      <c r="G57" s="178">
        <f t="shared" si="13"/>
        <v>0.13167520117044623</v>
      </c>
      <c r="H57" s="178">
        <f t="shared" si="14"/>
        <v>7.7542062911485007E-2</v>
      </c>
      <c r="I57" s="178">
        <f t="shared" si="15"/>
        <v>0.18361375274323335</v>
      </c>
      <c r="J57" s="179">
        <f t="shared" si="16"/>
        <v>2734</v>
      </c>
    </row>
    <row r="58" spans="4:10" x14ac:dyDescent="0.25">
      <c r="D58" s="180">
        <v>45848</v>
      </c>
      <c r="E58" s="178">
        <f t="shared" si="11"/>
        <v>0.42181818181818181</v>
      </c>
      <c r="F58" s="178">
        <f t="shared" si="12"/>
        <v>0.20826446280991737</v>
      </c>
      <c r="G58" s="178">
        <f t="shared" si="13"/>
        <v>0.11801652892561984</v>
      </c>
      <c r="H58" s="178">
        <f t="shared" si="14"/>
        <v>8.1652892561983464E-2</v>
      </c>
      <c r="I58" s="178">
        <f t="shared" si="15"/>
        <v>0.17024793388429751</v>
      </c>
      <c r="J58" s="179">
        <f t="shared" si="16"/>
        <v>3025</v>
      </c>
    </row>
    <row r="59" spans="4:10" x14ac:dyDescent="0.25">
      <c r="D59" s="180">
        <v>45849</v>
      </c>
      <c r="E59" s="178">
        <f t="shared" si="11"/>
        <v>0.42269409422694093</v>
      </c>
      <c r="F59" s="178">
        <f t="shared" si="12"/>
        <v>0.20570670205706701</v>
      </c>
      <c r="G59" s="178">
        <f t="shared" si="13"/>
        <v>0.11778367617783676</v>
      </c>
      <c r="H59" s="178">
        <f t="shared" si="14"/>
        <v>8.2282680822826804E-2</v>
      </c>
      <c r="I59" s="178">
        <f t="shared" si="15"/>
        <v>0.17153284671532848</v>
      </c>
      <c r="J59" s="179">
        <f t="shared" si="16"/>
        <v>3014</v>
      </c>
    </row>
    <row r="60" spans="4:10" x14ac:dyDescent="0.25">
      <c r="D60" s="180">
        <v>45850</v>
      </c>
      <c r="E60" s="178">
        <f t="shared" si="11"/>
        <v>0.43263834476783813</v>
      </c>
      <c r="F60" s="178">
        <f t="shared" si="12"/>
        <v>0.19921200654856322</v>
      </c>
      <c r="G60" s="178">
        <f t="shared" si="13"/>
        <v>0.11528783738159395</v>
      </c>
      <c r="H60" s="178">
        <f t="shared" si="14"/>
        <v>8.2070441645804279E-2</v>
      </c>
      <c r="I60" s="178">
        <f t="shared" si="15"/>
        <v>0.17079136965620045</v>
      </c>
      <c r="J60" s="179">
        <f t="shared" si="16"/>
        <v>3139.62</v>
      </c>
    </row>
    <row r="61" spans="4:10" x14ac:dyDescent="0.25">
      <c r="D61" s="180">
        <v>45851</v>
      </c>
      <c r="E61" s="178">
        <f t="shared" si="11"/>
        <v>0.43175400062754943</v>
      </c>
      <c r="F61" s="178">
        <f t="shared" si="12"/>
        <v>0.20112958895513022</v>
      </c>
      <c r="G61" s="178">
        <f t="shared" si="13"/>
        <v>0.11421399435205522</v>
      </c>
      <c r="H61" s="178">
        <f t="shared" si="14"/>
        <v>8.001255098839033E-2</v>
      </c>
      <c r="I61" s="178">
        <f t="shared" si="15"/>
        <v>0.17288986507687482</v>
      </c>
      <c r="J61" s="179">
        <f t="shared" si="16"/>
        <v>3187</v>
      </c>
    </row>
    <row r="62" spans="4:10" x14ac:dyDescent="0.25">
      <c r="D62" s="180">
        <v>45852</v>
      </c>
      <c r="E62" s="178">
        <f t="shared" si="11"/>
        <v>0.37685724704586188</v>
      </c>
      <c r="F62" s="178">
        <f t="shared" si="12"/>
        <v>0.22178730205528874</v>
      </c>
      <c r="G62" s="178">
        <f t="shared" si="13"/>
        <v>0.13756624019489941</v>
      </c>
      <c r="H62" s="178">
        <f t="shared" si="14"/>
        <v>7.3843754606748538E-2</v>
      </c>
      <c r="I62" s="178">
        <f t="shared" si="15"/>
        <v>0.1899454560972014</v>
      </c>
      <c r="J62" s="179">
        <f t="shared" si="16"/>
        <v>2577.7400000000002</v>
      </c>
    </row>
    <row r="63" spans="4:10" x14ac:dyDescent="0.25">
      <c r="D63" s="180">
        <v>45853</v>
      </c>
      <c r="E63" s="178">
        <f t="shared" si="11"/>
        <v>0.35429262394195887</v>
      </c>
      <c r="F63" s="178">
        <f t="shared" si="12"/>
        <v>0.23458282950423218</v>
      </c>
      <c r="G63" s="178">
        <f t="shared" si="13"/>
        <v>0.13986295848448208</v>
      </c>
      <c r="H63" s="178">
        <f t="shared" si="14"/>
        <v>7.2148327287384115E-2</v>
      </c>
      <c r="I63" s="178">
        <f t="shared" si="15"/>
        <v>0.19911326078194277</v>
      </c>
      <c r="J63" s="179">
        <f t="shared" si="16"/>
        <v>2481</v>
      </c>
    </row>
    <row r="64" spans="4:10" x14ac:dyDescent="0.25">
      <c r="D64" s="180">
        <v>45854</v>
      </c>
      <c r="E64" s="178">
        <f t="shared" si="11"/>
        <v>0.41547861507128309</v>
      </c>
      <c r="F64" s="178">
        <f t="shared" si="12"/>
        <v>0.20672097759674135</v>
      </c>
      <c r="G64" s="178">
        <f t="shared" si="13"/>
        <v>0.12118126272912423</v>
      </c>
      <c r="H64" s="178">
        <f t="shared" si="14"/>
        <v>8.1126951799049565E-2</v>
      </c>
      <c r="I64" s="178">
        <f t="shared" si="15"/>
        <v>0.17549219280380177</v>
      </c>
      <c r="J64" s="179">
        <f t="shared" si="16"/>
        <v>2946</v>
      </c>
    </row>
    <row r="65" spans="4:10" x14ac:dyDescent="0.25">
      <c r="D65" s="180">
        <v>45855</v>
      </c>
      <c r="E65" s="178">
        <f t="shared" si="11"/>
        <v>0.4303717706364209</v>
      </c>
      <c r="F65" s="178">
        <f t="shared" si="12"/>
        <v>0.20604914933837429</v>
      </c>
      <c r="G65" s="178">
        <f t="shared" si="13"/>
        <v>0.11216131064902331</v>
      </c>
      <c r="H65" s="178">
        <f t="shared" si="14"/>
        <v>8.0655324511657217E-2</v>
      </c>
      <c r="I65" s="178">
        <f t="shared" si="15"/>
        <v>0.17076244486452427</v>
      </c>
      <c r="J65" s="179">
        <f t="shared" si="16"/>
        <v>3174</v>
      </c>
    </row>
    <row r="66" spans="4:10" x14ac:dyDescent="0.25">
      <c r="D66" s="180">
        <v>45856</v>
      </c>
      <c r="E66" s="178">
        <f t="shared" si="11"/>
        <v>0.43261749144102085</v>
      </c>
      <c r="F66" s="178">
        <f t="shared" si="12"/>
        <v>0.20385932150638034</v>
      </c>
      <c r="G66" s="178">
        <f t="shared" si="13"/>
        <v>0.11204481792717087</v>
      </c>
      <c r="H66" s="178">
        <f t="shared" si="14"/>
        <v>8.0298786181139128E-2</v>
      </c>
      <c r="I66" s="178">
        <f t="shared" si="15"/>
        <v>0.17117958294428884</v>
      </c>
      <c r="J66" s="179">
        <f t="shared" si="16"/>
        <v>3213</v>
      </c>
    </row>
    <row r="67" spans="4:10" x14ac:dyDescent="0.25">
      <c r="D67" s="180">
        <v>45857</v>
      </c>
      <c r="E67" s="178">
        <f t="shared" si="11"/>
        <v>0.42371168743684745</v>
      </c>
      <c r="F67" s="178">
        <f t="shared" si="12"/>
        <v>0.19434152913438868</v>
      </c>
      <c r="G67" s="178">
        <f t="shared" si="13"/>
        <v>0.12091613337824184</v>
      </c>
      <c r="H67" s="178">
        <f t="shared" si="14"/>
        <v>8.723475917817447E-2</v>
      </c>
      <c r="I67" s="178">
        <f t="shared" si="15"/>
        <v>0.17379589087234759</v>
      </c>
      <c r="J67" s="179">
        <f t="shared" si="16"/>
        <v>2969</v>
      </c>
    </row>
    <row r="68" spans="4:10" x14ac:dyDescent="0.25">
      <c r="D68" s="180">
        <v>45858</v>
      </c>
      <c r="E68" s="178">
        <f t="shared" si="11"/>
        <v>0.39400278940027894</v>
      </c>
      <c r="F68" s="178">
        <f t="shared" si="12"/>
        <v>0.19979079497907951</v>
      </c>
      <c r="G68" s="178">
        <f t="shared" si="13"/>
        <v>0.12412831241283125</v>
      </c>
      <c r="H68" s="178">
        <f t="shared" si="14"/>
        <v>8.8563458856345881E-2</v>
      </c>
      <c r="I68" s="178">
        <f t="shared" si="15"/>
        <v>0.19351464435146443</v>
      </c>
      <c r="J68" s="179">
        <f t="shared" si="16"/>
        <v>2868</v>
      </c>
    </row>
    <row r="69" spans="4:10" x14ac:dyDescent="0.25">
      <c r="D69" s="180">
        <v>45859</v>
      </c>
      <c r="E69" s="178">
        <f t="shared" si="11"/>
        <v>0.37335398915569323</v>
      </c>
      <c r="F69" s="178">
        <f t="shared" si="12"/>
        <v>0.20216886134779241</v>
      </c>
      <c r="G69" s="178">
        <f t="shared" si="13"/>
        <v>0.13555383423702555</v>
      </c>
      <c r="H69" s="178">
        <f t="shared" si="14"/>
        <v>8.4043377226955845E-2</v>
      </c>
      <c r="I69" s="178">
        <f t="shared" si="15"/>
        <v>0.20487993803253293</v>
      </c>
      <c r="J69" s="179">
        <f t="shared" si="16"/>
        <v>2582</v>
      </c>
    </row>
    <row r="70" spans="4:10" x14ac:dyDescent="0.25">
      <c r="D70" s="180">
        <v>45860</v>
      </c>
      <c r="E70" s="178">
        <f t="shared" si="11"/>
        <v>0.34773401101228291</v>
      </c>
      <c r="F70" s="178">
        <f t="shared" si="12"/>
        <v>0.20838627700127066</v>
      </c>
      <c r="G70" s="178">
        <f t="shared" si="13"/>
        <v>0.14866581956797967</v>
      </c>
      <c r="H70" s="178">
        <f t="shared" si="14"/>
        <v>8.2592121982210928E-2</v>
      </c>
      <c r="I70" s="178">
        <f t="shared" si="15"/>
        <v>0.21262177043625582</v>
      </c>
      <c r="J70" s="179">
        <f t="shared" si="16"/>
        <v>2361</v>
      </c>
    </row>
    <row r="71" spans="4:10" x14ac:dyDescent="0.25">
      <c r="D71" s="180">
        <v>45861</v>
      </c>
      <c r="E71" s="178">
        <f t="shared" si="11"/>
        <v>0.41054700642807812</v>
      </c>
      <c r="F71" s="178">
        <f t="shared" si="12"/>
        <v>0.18840820952347223</v>
      </c>
      <c r="G71" s="178">
        <f t="shared" si="13"/>
        <v>0.12577429122912645</v>
      </c>
      <c r="H71" s="178">
        <f t="shared" si="14"/>
        <v>8.6217704662570158E-2</v>
      </c>
      <c r="I71" s="178">
        <f t="shared" si="15"/>
        <v>0.189052788156753</v>
      </c>
      <c r="J71" s="179">
        <f t="shared" si="16"/>
        <v>2823.55</v>
      </c>
    </row>
    <row r="72" spans="4:10" x14ac:dyDescent="0.25">
      <c r="D72" s="180">
        <v>45862</v>
      </c>
      <c r="E72" s="178">
        <f t="shared" si="11"/>
        <v>0.41699670254898197</v>
      </c>
      <c r="F72" s="178">
        <f t="shared" si="12"/>
        <v>0.18746968613151421</v>
      </c>
      <c r="G72" s="178">
        <f t="shared" si="13"/>
        <v>0.12477624439520561</v>
      </c>
      <c r="H72" s="178">
        <f t="shared" si="14"/>
        <v>8.5210321545091339E-2</v>
      </c>
      <c r="I72" s="178">
        <f t="shared" si="15"/>
        <v>0.18554704537920688</v>
      </c>
      <c r="J72" s="179">
        <f t="shared" si="16"/>
        <v>2865.85</v>
      </c>
    </row>
    <row r="73" spans="4:10" x14ac:dyDescent="0.25">
      <c r="D73" s="180">
        <v>45863</v>
      </c>
      <c r="E73" s="178">
        <f t="shared" si="11"/>
        <v>0.41059147180192573</v>
      </c>
      <c r="F73" s="178">
        <f t="shared" si="12"/>
        <v>0.19532324621733149</v>
      </c>
      <c r="G73" s="178">
        <f t="shared" si="13"/>
        <v>0.1234525447042641</v>
      </c>
      <c r="H73" s="178">
        <f t="shared" si="14"/>
        <v>8.528198074277854E-2</v>
      </c>
      <c r="I73" s="178">
        <f t="shared" si="15"/>
        <v>0.18535075653370015</v>
      </c>
      <c r="J73" s="179">
        <f t="shared" si="16"/>
        <v>2908</v>
      </c>
    </row>
    <row r="74" spans="4:10" x14ac:dyDescent="0.25">
      <c r="D74" s="180">
        <v>45864</v>
      </c>
      <c r="E74" s="178">
        <f t="shared" si="11"/>
        <v>0.40879422878735827</v>
      </c>
      <c r="F74" s="178">
        <f t="shared" si="12"/>
        <v>0.19580900034352455</v>
      </c>
      <c r="G74" s="178">
        <f t="shared" si="13"/>
        <v>0.12366884232222604</v>
      </c>
      <c r="H74" s="178">
        <f t="shared" si="14"/>
        <v>8.5881140501545855E-2</v>
      </c>
      <c r="I74" s="178">
        <f t="shared" si="15"/>
        <v>0.18584678804534524</v>
      </c>
      <c r="J74" s="179">
        <f t="shared" si="16"/>
        <v>2911</v>
      </c>
    </row>
    <row r="75" spans="4:10" x14ac:dyDescent="0.25">
      <c r="D75" s="180">
        <v>45865</v>
      </c>
      <c r="E75" s="178">
        <f t="shared" si="11"/>
        <v>0.4179986101459347</v>
      </c>
      <c r="F75" s="178">
        <f t="shared" si="12"/>
        <v>0.19006254343293955</v>
      </c>
      <c r="G75" s="178">
        <f t="shared" si="13"/>
        <v>0.12300208478109799</v>
      </c>
      <c r="H75" s="178">
        <f t="shared" si="14"/>
        <v>8.6518415566365525E-2</v>
      </c>
      <c r="I75" s="178">
        <f t="shared" si="15"/>
        <v>0.18241834607366225</v>
      </c>
      <c r="J75" s="179">
        <f t="shared" si="16"/>
        <v>2878</v>
      </c>
    </row>
    <row r="76" spans="4:10" x14ac:dyDescent="0.25">
      <c r="D76" s="180">
        <v>45866</v>
      </c>
      <c r="E76" s="178">
        <f t="shared" si="11"/>
        <v>0.39805825242718446</v>
      </c>
      <c r="F76" s="178">
        <f t="shared" si="12"/>
        <v>0.21475728155339807</v>
      </c>
      <c r="G76" s="178">
        <f t="shared" si="13"/>
        <v>9.5145631067961159E-2</v>
      </c>
      <c r="H76" s="178">
        <f t="shared" si="14"/>
        <v>8.4271844660194176E-2</v>
      </c>
      <c r="I76" s="178">
        <f t="shared" si="15"/>
        <v>0.20776699029126214</v>
      </c>
      <c r="J76" s="179">
        <f t="shared" si="16"/>
        <v>2575</v>
      </c>
    </row>
    <row r="77" spans="4:10" x14ac:dyDescent="0.25">
      <c r="D77" s="180">
        <v>45867</v>
      </c>
      <c r="E77" s="178" t="e">
        <f t="shared" si="11"/>
        <v>#DIV/0!</v>
      </c>
      <c r="F77" s="178" t="e">
        <f t="shared" si="12"/>
        <v>#DIV/0!</v>
      </c>
      <c r="G77" s="178" t="e">
        <f t="shared" si="13"/>
        <v>#DIV/0!</v>
      </c>
      <c r="H77" s="178" t="e">
        <f t="shared" si="14"/>
        <v>#DIV/0!</v>
      </c>
      <c r="I77" s="178" t="e">
        <f t="shared" si="15"/>
        <v>#DIV/0!</v>
      </c>
      <c r="J77" s="179">
        <f t="shared" si="16"/>
        <v>0</v>
      </c>
    </row>
    <row r="78" spans="4:10" x14ac:dyDescent="0.25">
      <c r="D78" s="180">
        <v>45868</v>
      </c>
      <c r="E78" s="178" t="e">
        <f t="shared" si="11"/>
        <v>#DIV/0!</v>
      </c>
      <c r="F78" s="178" t="e">
        <f t="shared" si="12"/>
        <v>#DIV/0!</v>
      </c>
      <c r="G78" s="178" t="e">
        <f t="shared" si="13"/>
        <v>#DIV/0!</v>
      </c>
      <c r="H78" s="178" t="e">
        <f t="shared" si="14"/>
        <v>#DIV/0!</v>
      </c>
      <c r="I78" s="178" t="e">
        <f t="shared" si="15"/>
        <v>#DIV/0!</v>
      </c>
      <c r="J78" s="179">
        <f t="shared" si="16"/>
        <v>0</v>
      </c>
    </row>
    <row r="79" spans="4:10" x14ac:dyDescent="0.25">
      <c r="D79" s="180">
        <v>45869</v>
      </c>
      <c r="E79" s="178" t="e">
        <f t="shared" ref="E79" si="17">F45/J79</f>
        <v>#DIV/0!</v>
      </c>
      <c r="F79" s="178" t="e">
        <f t="shared" ref="F79" si="18">L45/J79</f>
        <v>#DIV/0!</v>
      </c>
      <c r="G79" s="178" t="e">
        <f t="shared" ref="G79" si="19">S45/J79</f>
        <v>#DIV/0!</v>
      </c>
      <c r="H79" s="178" t="e">
        <f t="shared" ref="H79" si="20">T45/J79</f>
        <v>#DIV/0!</v>
      </c>
      <c r="I79" s="178" t="e">
        <f t="shared" ref="I79" si="21">X45/J79</f>
        <v>#DIV/0!</v>
      </c>
      <c r="J79" s="179">
        <f t="shared" ref="J79" si="22">F45+L45+S45+T45+X45</f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2 L21:L25 L41:L42 L34:L39">
    <cfRule type="cellIs" dxfId="84" priority="263" operator="equal">
      <formula>MAX($L$14:$L$16)</formula>
    </cfRule>
  </conditionalFormatting>
  <conditionalFormatting sqref="T16:T19 T27:T32 T21:T25 T41:T43 T34:T39">
    <cfRule type="cellIs" dxfId="83" priority="264" operator="equal">
      <formula>MAX($T$14:$T$16)</formula>
    </cfRule>
  </conditionalFormatting>
  <conditionalFormatting sqref="X16:X19 X27:X32 X21:X25 X41:X43 X34:X39">
    <cfRule type="cellIs" dxfId="82" priority="265" operator="equal">
      <formula>MAX($X$14:$X$16)</formula>
    </cfRule>
  </conditionalFormatting>
  <conditionalFormatting sqref="J16:J19 J27:J32 J21:J25 J41:J42 J34:J39">
    <cfRule type="cellIs" dxfId="81" priority="266" operator="equal">
      <formula>MAX($J$14:$J$16)</formula>
    </cfRule>
  </conditionalFormatting>
  <conditionalFormatting sqref="V16:V19 V27:V32 V21:V23 V41:V43 V34:V39">
    <cfRule type="cellIs" dxfId="80" priority="267" operator="equal">
      <formula>MAX($V$14:$V$16)</formula>
    </cfRule>
  </conditionalFormatting>
  <conditionalFormatting sqref="D16:D19">
    <cfRule type="cellIs" dxfId="79" priority="268" operator="equal">
      <formula>MAX($D$14:$D$16)</formula>
    </cfRule>
  </conditionalFormatting>
  <conditionalFormatting sqref="S16:S19 S27:S32 S21:S25 S41:S43 S34:S39">
    <cfRule type="cellIs" dxfId="78" priority="269" operator="equal">
      <formula>MAX($S$14:$S$16)</formula>
    </cfRule>
  </conditionalFormatting>
  <conditionalFormatting sqref="N16:N19 N27:N32 N21:N25 N41:N42 N34:N39">
    <cfRule type="cellIs" dxfId="77" priority="270" operator="equal">
      <formula>MAX($N$14:$N$16)</formula>
    </cfRule>
  </conditionalFormatting>
  <conditionalFormatting sqref="P16:P19 P27:P32 P21:P25 P41:P42 P39 P34:P37">
    <cfRule type="cellIs" dxfId="76" priority="271" operator="equal">
      <formula>MAX($P$14:$P$16)</formula>
    </cfRule>
  </conditionalFormatting>
  <conditionalFormatting sqref="L26">
    <cfRule type="cellIs" dxfId="75" priority="195" operator="equal">
      <formula>MAX($L$14:$L$16)</formula>
    </cfRule>
  </conditionalFormatting>
  <conditionalFormatting sqref="T26">
    <cfRule type="cellIs" dxfId="74" priority="196" operator="equal">
      <formula>MAX($T$14:$T$16)</formula>
    </cfRule>
  </conditionalFormatting>
  <conditionalFormatting sqref="X26">
    <cfRule type="cellIs" dxfId="73" priority="197" operator="equal">
      <formula>MAX($X$14:$X$16)</formula>
    </cfRule>
  </conditionalFormatting>
  <conditionalFormatting sqref="J26">
    <cfRule type="cellIs" dxfId="72" priority="198" operator="equal">
      <formula>MAX($J$14:$J$16)</formula>
    </cfRule>
  </conditionalFormatting>
  <conditionalFormatting sqref="V26">
    <cfRule type="cellIs" dxfId="71" priority="199" operator="equal">
      <formula>MAX($V$14:$V$16)</formula>
    </cfRule>
  </conditionalFormatting>
  <conditionalFormatting sqref="S26">
    <cfRule type="cellIs" dxfId="70" priority="201" operator="equal">
      <formula>MAX($S$14:$S$16)</formula>
    </cfRule>
  </conditionalFormatting>
  <conditionalFormatting sqref="N26">
    <cfRule type="cellIs" dxfId="69" priority="202" operator="equal">
      <formula>MAX($N$14:$N$16)</formula>
    </cfRule>
  </conditionalFormatting>
  <conditionalFormatting sqref="P26">
    <cfRule type="cellIs" dxfId="68" priority="203" operator="equal">
      <formula>MAX($P$14:$P$16)</formula>
    </cfRule>
  </conditionalFormatting>
  <conditionalFormatting sqref="L40">
    <cfRule type="cellIs" dxfId="67" priority="185" operator="equal">
      <formula>MAX($L$14:$L$16)</formula>
    </cfRule>
  </conditionalFormatting>
  <conditionalFormatting sqref="T40">
    <cfRule type="cellIs" dxfId="66" priority="186" operator="equal">
      <formula>MAX($T$14:$T$16)</formula>
    </cfRule>
  </conditionalFormatting>
  <conditionalFormatting sqref="X40">
    <cfRule type="cellIs" dxfId="65" priority="187" operator="equal">
      <formula>MAX($X$14:$X$16)</formula>
    </cfRule>
  </conditionalFormatting>
  <conditionalFormatting sqref="J40">
    <cfRule type="cellIs" dxfId="64" priority="188" operator="equal">
      <formula>MAX($J$14:$J$16)</formula>
    </cfRule>
  </conditionalFormatting>
  <conditionalFormatting sqref="V40">
    <cfRule type="cellIs" dxfId="63" priority="189" operator="equal">
      <formula>MAX($V$14:$V$16)</formula>
    </cfRule>
  </conditionalFormatting>
  <conditionalFormatting sqref="S40">
    <cfRule type="cellIs" dxfId="62" priority="191" operator="equal">
      <formula>MAX($S$14:$S$16)</formula>
    </cfRule>
  </conditionalFormatting>
  <conditionalFormatting sqref="N40">
    <cfRule type="cellIs" dxfId="61" priority="192" operator="equal">
      <formula>MAX($N$14:$N$16)</formula>
    </cfRule>
  </conditionalFormatting>
  <conditionalFormatting sqref="P40">
    <cfRule type="cellIs" dxfId="60" priority="193" operator="equal">
      <formula>MAX($P$14:$P$16)</formula>
    </cfRule>
  </conditionalFormatting>
  <conditionalFormatting sqref="D20:D32 D44:D45 D34:D42">
    <cfRule type="cellIs" dxfId="59" priority="181" operator="equal">
      <formula>MAX($D$14:$D$42)</formula>
    </cfRule>
  </conditionalFormatting>
  <conditionalFormatting sqref="L20">
    <cfRule type="cellIs" dxfId="58" priority="172" operator="equal">
      <formula>MAX($L$14:$L$42)</formula>
    </cfRule>
  </conditionalFormatting>
  <conditionalFormatting sqref="T20">
    <cfRule type="cellIs" dxfId="57" priority="173" operator="equal">
      <formula>MAX($T$14:$T$42)</formula>
    </cfRule>
  </conditionalFormatting>
  <conditionalFormatting sqref="X20">
    <cfRule type="cellIs" dxfId="56" priority="174" operator="equal">
      <formula>MAX($X$14:$X$42)</formula>
    </cfRule>
  </conditionalFormatting>
  <conditionalFormatting sqref="J20">
    <cfRule type="cellIs" dxfId="55" priority="175" operator="equal">
      <formula>MAX($J$14:$J$42)</formula>
    </cfRule>
  </conditionalFormatting>
  <conditionalFormatting sqref="V20">
    <cfRule type="cellIs" dxfId="54" priority="176" operator="equal">
      <formula>MAX($V$14:$V$42)</formula>
    </cfRule>
  </conditionalFormatting>
  <conditionalFormatting sqref="S20">
    <cfRule type="cellIs" dxfId="53" priority="177" operator="equal">
      <formula>MAX($S$14:$S$42)</formula>
    </cfRule>
  </conditionalFormatting>
  <conditionalFormatting sqref="N20">
    <cfRule type="cellIs" dxfId="52" priority="178" operator="equal">
      <formula>MAX($N$14:$N$42)</formula>
    </cfRule>
  </conditionalFormatting>
  <conditionalFormatting sqref="P20">
    <cfRule type="cellIs" dxfId="51" priority="179" operator="equal">
      <formula>MAX($P$14:$P$42)</formula>
    </cfRule>
  </conditionalFormatting>
  <conditionalFormatting sqref="E48:E64">
    <cfRule type="top10" dxfId="50" priority="171" rank="2"/>
  </conditionalFormatting>
  <conditionalFormatting sqref="F48:F79">
    <cfRule type="top10" dxfId="49" priority="170" rank="2"/>
  </conditionalFormatting>
  <conditionalFormatting sqref="G48:G64">
    <cfRule type="top10" dxfId="48" priority="169" rank="2"/>
  </conditionalFormatting>
  <conditionalFormatting sqref="H48:H64">
    <cfRule type="top10" dxfId="47" priority="168" rank="2"/>
  </conditionalFormatting>
  <conditionalFormatting sqref="I48:I64">
    <cfRule type="top10" dxfId="46" priority="167" rank="2"/>
  </conditionalFormatting>
  <conditionalFormatting sqref="V24">
    <cfRule type="cellIs" dxfId="45" priority="137" operator="equal">
      <formula>MAX($J$14:$J$16)</formula>
    </cfRule>
  </conditionalFormatting>
  <conditionalFormatting sqref="V25">
    <cfRule type="cellIs" dxfId="44" priority="136" operator="equal">
      <formula>MAX($J$14:$J$16)</formula>
    </cfRule>
  </conditionalFormatting>
  <conditionalFormatting sqref="G18:G32 G34:G45">
    <cfRule type="cellIs" dxfId="43" priority="125" operator="equal">
      <formula>MAX($G$14:$G$16)</formula>
    </cfRule>
  </conditionalFormatting>
  <conditionalFormatting sqref="L44:L45">
    <cfRule type="cellIs" dxfId="42" priority="115" operator="equal">
      <formula>MAX($L$14:$L$16)</formula>
    </cfRule>
  </conditionalFormatting>
  <conditionalFormatting sqref="T44:T45">
    <cfRule type="cellIs" dxfId="41" priority="116" operator="equal">
      <formula>MAX($T$14:$T$16)</formula>
    </cfRule>
  </conditionalFormatting>
  <conditionalFormatting sqref="X44:X45">
    <cfRule type="cellIs" dxfId="40" priority="117" operator="equal">
      <formula>MAX($X$14:$X$16)</formula>
    </cfRule>
  </conditionalFormatting>
  <conditionalFormatting sqref="J44:J45">
    <cfRule type="cellIs" dxfId="39" priority="118" operator="equal">
      <formula>MAX($J$14:$J$16)</formula>
    </cfRule>
  </conditionalFormatting>
  <conditionalFormatting sqref="V44:V45">
    <cfRule type="cellIs" dxfId="38" priority="119" operator="equal">
      <formula>MAX($V$14:$V$16)</formula>
    </cfRule>
  </conditionalFormatting>
  <conditionalFormatting sqref="S44:S45">
    <cfRule type="cellIs" dxfId="37" priority="121" operator="equal">
      <formula>MAX($S$14:$S$16)</formula>
    </cfRule>
  </conditionalFormatting>
  <conditionalFormatting sqref="N44:N45">
    <cfRule type="cellIs" dxfId="36" priority="122" operator="equal">
      <formula>MAX($N$14:$N$16)</formula>
    </cfRule>
  </conditionalFormatting>
  <conditionalFormatting sqref="P44:P45">
    <cfRule type="cellIs" dxfId="35" priority="123" operator="equal">
      <formula>MAX($P$14:$P$16)</formula>
    </cfRule>
  </conditionalFormatting>
  <conditionalFormatting sqref="D15">
    <cfRule type="cellIs" dxfId="34" priority="104" operator="equal">
      <formula>MAX($D$14:$D$16)</formula>
    </cfRule>
  </conditionalFormatting>
  <conditionalFormatting sqref="L15">
    <cfRule type="cellIs" dxfId="33" priority="101" operator="equal">
      <formula>MAX($L$14:$L$16)</formula>
    </cfRule>
  </conditionalFormatting>
  <conditionalFormatting sqref="J15">
    <cfRule type="cellIs" dxfId="32" priority="102" operator="equal">
      <formula>MAX($J$14:$J$16)</formula>
    </cfRule>
  </conditionalFormatting>
  <conditionalFormatting sqref="N15">
    <cfRule type="cellIs" dxfId="31" priority="97" operator="equal">
      <formula>MAX($N$14:$N$16)</formula>
    </cfRule>
  </conditionalFormatting>
  <conditionalFormatting sqref="P15">
    <cfRule type="cellIs" dxfId="30" priority="98" operator="equal">
      <formula>MAX($P$14:$P$16)</formula>
    </cfRule>
  </conditionalFormatting>
  <conditionalFormatting sqref="T15">
    <cfRule type="cellIs" dxfId="29" priority="93" operator="equal">
      <formula>MAX($T$14:$T$16)</formula>
    </cfRule>
  </conditionalFormatting>
  <conditionalFormatting sqref="S15">
    <cfRule type="cellIs" dxfId="28" priority="94" operator="equal">
      <formula>MAX($S$14:$S$16)</formula>
    </cfRule>
  </conditionalFormatting>
  <conditionalFormatting sqref="X15">
    <cfRule type="cellIs" dxfId="27" priority="89" operator="equal">
      <formula>MAX($X$14:$X$16)</formula>
    </cfRule>
  </conditionalFormatting>
  <conditionalFormatting sqref="V15">
    <cfRule type="cellIs" dxfId="26" priority="90" operator="equal">
      <formula>MAX($V$14:$V$16)</formula>
    </cfRule>
  </conditionalFormatting>
  <conditionalFormatting sqref="N43">
    <cfRule type="cellIs" dxfId="25" priority="74" operator="equal">
      <formula>MAX($N$14:$N$16)</formula>
    </cfRule>
  </conditionalFormatting>
  <conditionalFormatting sqref="P43">
    <cfRule type="cellIs" dxfId="24" priority="75" operator="equal">
      <formula>MAX($P$14:$P$16)</formula>
    </cfRule>
  </conditionalFormatting>
  <conditionalFormatting sqref="L43">
    <cfRule type="cellIs" dxfId="23" priority="70" operator="equal">
      <formula>MAX($L$14:$L$16)</formula>
    </cfRule>
  </conditionalFormatting>
  <conditionalFormatting sqref="J43">
    <cfRule type="cellIs" dxfId="22" priority="71" operator="equal">
      <formula>MAX($J$14:$J$16)</formula>
    </cfRule>
  </conditionalFormatting>
  <conditionalFormatting sqref="D43">
    <cfRule type="cellIs" dxfId="21" priority="68" operator="equal">
      <formula>MAX($D$14:$D$42)</formula>
    </cfRule>
  </conditionalFormatting>
  <conditionalFormatting sqref="L33">
    <cfRule type="cellIs" dxfId="20" priority="23" operator="equal">
      <formula>MAX($L$14:$L$16)</formula>
    </cfRule>
  </conditionalFormatting>
  <conditionalFormatting sqref="T33">
    <cfRule type="cellIs" dxfId="19" priority="24" operator="equal">
      <formula>MAX($T$14:$T$16)</formula>
    </cfRule>
  </conditionalFormatting>
  <conditionalFormatting sqref="X33">
    <cfRule type="cellIs" dxfId="18" priority="25" operator="equal">
      <formula>MAX($X$14:$X$16)</formula>
    </cfRule>
  </conditionalFormatting>
  <conditionalFormatting sqref="J33">
    <cfRule type="cellIs" dxfId="17" priority="26" operator="equal">
      <formula>MAX($J$14:$J$16)</formula>
    </cfRule>
  </conditionalFormatting>
  <conditionalFormatting sqref="V33">
    <cfRule type="cellIs" dxfId="16" priority="27" operator="equal">
      <formula>MAX($V$14:$V$16)</formula>
    </cfRule>
  </conditionalFormatting>
  <conditionalFormatting sqref="S33">
    <cfRule type="cellIs" dxfId="15" priority="28" operator="equal">
      <formula>MAX($S$14:$S$16)</formula>
    </cfRule>
  </conditionalFormatting>
  <conditionalFormatting sqref="N33">
    <cfRule type="cellIs" dxfId="14" priority="29" operator="equal">
      <formula>MAX($N$14:$N$16)</formula>
    </cfRule>
  </conditionalFormatting>
  <conditionalFormatting sqref="P33">
    <cfRule type="cellIs" dxfId="13" priority="30" operator="equal">
      <formula>MAX($P$14:$P$16)</formula>
    </cfRule>
  </conditionalFormatting>
  <conditionalFormatting sqref="D33">
    <cfRule type="cellIs" dxfId="12" priority="22" operator="equal">
      <formula>MAX($D$14:$D$42)</formula>
    </cfRule>
  </conditionalFormatting>
  <conditionalFormatting sqref="G33">
    <cfRule type="cellIs" dxfId="11" priority="21" operator="equal">
      <formula>MAX($G$14:$G$16)</formula>
    </cfRule>
  </conditionalFormatting>
  <conditionalFormatting sqref="P38">
    <cfRule type="cellIs" dxfId="10" priority="20" operator="equal">
      <formula>MAX($P$14:$P$16)</formula>
    </cfRule>
  </conditionalFormatting>
  <conditionalFormatting sqref="D14">
    <cfRule type="cellIs" dxfId="9" priority="10" operator="equal">
      <formula>MAX($D$14:$D$42)</formula>
    </cfRule>
  </conditionalFormatting>
  <conditionalFormatting sqref="G14:G17">
    <cfRule type="cellIs" dxfId="8" priority="9" operator="equal">
      <formula>MAX($G$14:$G$16)</formula>
    </cfRule>
  </conditionalFormatting>
  <conditionalFormatting sqref="L14">
    <cfRule type="cellIs" dxfId="7" priority="1" operator="equal">
      <formula>MAX($L$14:$L$16)</formula>
    </cfRule>
  </conditionalFormatting>
  <conditionalFormatting sqref="T14">
    <cfRule type="cellIs" dxfId="6" priority="2" operator="equal">
      <formula>MAX($T$14:$T$16)</formula>
    </cfRule>
  </conditionalFormatting>
  <conditionalFormatting sqref="X14">
    <cfRule type="cellIs" dxfId="5" priority="3" operator="equal">
      <formula>MAX($X$14:$X$16)</formula>
    </cfRule>
  </conditionalFormatting>
  <conditionalFormatting sqref="J14">
    <cfRule type="cellIs" dxfId="4" priority="4" operator="equal">
      <formula>MAX($J$14:$J$16)</formula>
    </cfRule>
  </conditionalFormatting>
  <conditionalFormatting sqref="V14">
    <cfRule type="cellIs" dxfId="3" priority="5" operator="equal">
      <formula>MAX($V$14:$V$16)</formula>
    </cfRule>
  </conditionalFormatting>
  <conditionalFormatting sqref="S14">
    <cfRule type="cellIs" dxfId="2" priority="6" operator="equal">
      <formula>MAX($S$14:$S$16)</formula>
    </cfRule>
  </conditionalFormatting>
  <conditionalFormatting sqref="N14">
    <cfRule type="cellIs" dxfId="1" priority="7" operator="equal">
      <formula>MAX($N$14:$N$16)</formula>
    </cfRule>
  </conditionalFormatting>
  <conditionalFormatting sqref="P14">
    <cfRule type="cellIs" dxfId="0" priority="8" operator="equal">
      <formula>MAX($P$14:$P$16)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9276BEC0-A699-496F-9D0D-FC21BE20BC34}"/>
</file>

<file path=customXml/itemProps2.xml><?xml version="1.0" encoding="utf-8"?>
<ds:datastoreItem xmlns:ds="http://schemas.openxmlformats.org/officeDocument/2006/customXml" ds:itemID="{595F6CD4-808F-449C-9B9B-391474399047}"/>
</file>

<file path=customXml/itemProps3.xml><?xml version="1.0" encoding="utf-8"?>
<ds:datastoreItem xmlns:ds="http://schemas.openxmlformats.org/officeDocument/2006/customXml" ds:itemID="{9B2FF829-496F-411A-A9F9-F094E298C3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2026-03-03T11:21:48Z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