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grupoefe-my.sharepoint.com/personal/mvara_efevalparaiso_cl/Documents/Filezilla/2021/Energia/2026/Enero/31-01-2026/"/>
    </mc:Choice>
  </mc:AlternateContent>
  <xr:revisionPtr revIDLastSave="1" documentId="13_ncr:1_{420E2FE5-4BF0-45A0-82CB-E4E7EB31347A}" xr6:coauthVersionLast="47" xr6:coauthVersionMax="47" xr10:uidLastSave="{BAD0D524-0BAD-45B2-AFE0-08A8C173D8CA}"/>
  <bookViews>
    <workbookView xWindow="-120" yWindow="-16320" windowWidth="29040" windowHeight="15720" xr2:uid="{00000000-000D-0000-FFFF-FFFF00000000}"/>
  </bookViews>
  <sheets>
    <sheet name="SEAT-SERs" sheetId="1" r:id="rId1"/>
    <sheet name="SAFs" sheetId="2" r:id="rId2"/>
    <sheet name="Hoja2" sheetId="5" r:id="rId3"/>
    <sheet name="Hoja1" sheetId="4" r:id="rId4"/>
    <sheet name="Hoja3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Q42" i="1" l="1"/>
  <c r="AQ41" i="1"/>
  <c r="AQ40" i="1"/>
  <c r="J79" i="2"/>
  <c r="E79" i="2" s="1"/>
  <c r="R36" i="2"/>
  <c r="R35" i="2"/>
  <c r="BB10" i="1"/>
  <c r="I79" i="2" l="1"/>
  <c r="H79" i="2"/>
  <c r="G79" i="2"/>
  <c r="F79" i="2"/>
  <c r="BL32" i="1"/>
  <c r="BK32" i="1" s="1"/>
  <c r="BA32" i="1"/>
  <c r="AW32" i="1" s="1"/>
  <c r="AX32" i="1"/>
  <c r="AP32" i="1"/>
  <c r="AN32" i="1"/>
  <c r="AM32" i="1"/>
  <c r="AF32" i="1"/>
  <c r="AC32" i="1" s="1"/>
  <c r="AD32" i="1"/>
  <c r="R33" i="2"/>
  <c r="G33" i="2"/>
  <c r="BL25" i="1"/>
  <c r="BJ25" i="1" s="1"/>
  <c r="BA25" i="1"/>
  <c r="AY25" i="1" s="1"/>
  <c r="AX25" i="1"/>
  <c r="AP25" i="1"/>
  <c r="AM25" i="1" s="1"/>
  <c r="AN25" i="1"/>
  <c r="AF25" i="1"/>
  <c r="AC25" i="1" s="1"/>
  <c r="AD25" i="1"/>
  <c r="BK25" i="1" l="1"/>
  <c r="AW25" i="1"/>
  <c r="AY32" i="1"/>
  <c r="BJ32" i="1"/>
  <c r="G28" i="2"/>
  <c r="BL13" i="1" l="1"/>
  <c r="BJ13" i="1" s="1"/>
  <c r="BA13" i="1"/>
  <c r="AY13" i="1" s="1"/>
  <c r="AX13" i="1"/>
  <c r="AP13" i="1"/>
  <c r="AN13" i="1"/>
  <c r="AM13" i="1"/>
  <c r="AF13" i="1"/>
  <c r="AC13" i="1" s="1"/>
  <c r="AD13" i="1"/>
  <c r="BA14" i="1"/>
  <c r="AP14" i="1"/>
  <c r="AF14" i="1"/>
  <c r="H35" i="1"/>
  <c r="H34" i="1"/>
  <c r="BA33" i="1"/>
  <c r="AN30" i="1"/>
  <c r="H25" i="1"/>
  <c r="H24" i="1"/>
  <c r="H29" i="1"/>
  <c r="H23" i="1"/>
  <c r="H11" i="1"/>
  <c r="H12" i="1"/>
  <c r="H13" i="1"/>
  <c r="H14" i="1"/>
  <c r="H15" i="1"/>
  <c r="H16" i="1"/>
  <c r="H17" i="1"/>
  <c r="H18" i="1"/>
  <c r="H19" i="1"/>
  <c r="H20" i="1"/>
  <c r="H21" i="1"/>
  <c r="H22" i="1"/>
  <c r="H26" i="1"/>
  <c r="H27" i="1"/>
  <c r="H28" i="1"/>
  <c r="H30" i="1"/>
  <c r="H31" i="1"/>
  <c r="H32" i="1"/>
  <c r="H33" i="1"/>
  <c r="H36" i="1"/>
  <c r="H37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R45" i="2"/>
  <c r="G45" i="2"/>
  <c r="AD37" i="1"/>
  <c r="AF37" i="1"/>
  <c r="AC37" i="1" s="1"/>
  <c r="AN37" i="1"/>
  <c r="AP37" i="1"/>
  <c r="AM37" i="1" s="1"/>
  <c r="AX37" i="1"/>
  <c r="BA37" i="1"/>
  <c r="AY37" i="1" s="1"/>
  <c r="BL37" i="1"/>
  <c r="BK37" i="1" s="1"/>
  <c r="H10" i="1"/>
  <c r="R14" i="2"/>
  <c r="M14" i="2"/>
  <c r="G14" i="2"/>
  <c r="BL6" i="1"/>
  <c r="BK6" i="1" s="1"/>
  <c r="BA6" i="1"/>
  <c r="AW6" i="1" s="1"/>
  <c r="AX6" i="1"/>
  <c r="AP6" i="1"/>
  <c r="AM6" i="1" s="1"/>
  <c r="AN6" i="1"/>
  <c r="AF6" i="1"/>
  <c r="AC6" i="1" s="1"/>
  <c r="AD6" i="1"/>
  <c r="H6" i="1"/>
  <c r="D6" i="1"/>
  <c r="AF36" i="1"/>
  <c r="H9" i="1"/>
  <c r="H8" i="1"/>
  <c r="BK13" i="1" l="1"/>
  <c r="BJ6" i="1"/>
  <c r="G6" i="1"/>
  <c r="F37" i="1"/>
  <c r="E37" i="1" s="1"/>
  <c r="F29" i="1"/>
  <c r="F26" i="1"/>
  <c r="F22" i="1"/>
  <c r="AW13" i="1"/>
  <c r="F17" i="1"/>
  <c r="F35" i="1"/>
  <c r="F16" i="1"/>
  <c r="F36" i="1"/>
  <c r="F21" i="1"/>
  <c r="F20" i="1"/>
  <c r="F11" i="1"/>
  <c r="AY6" i="1"/>
  <c r="I6" i="1" s="1"/>
  <c r="M6" i="1" s="1"/>
  <c r="F34" i="1"/>
  <c r="F33" i="1"/>
  <c r="F32" i="1"/>
  <c r="F31" i="1"/>
  <c r="F30" i="1"/>
  <c r="F28" i="1"/>
  <c r="F27" i="1"/>
  <c r="F25" i="1"/>
  <c r="F24" i="1"/>
  <c r="F23" i="1"/>
  <c r="F19" i="1"/>
  <c r="F18" i="1"/>
  <c r="F15" i="1"/>
  <c r="F14" i="1"/>
  <c r="F13" i="1"/>
  <c r="F12" i="1"/>
  <c r="I37" i="1"/>
  <c r="M37" i="1" s="1"/>
  <c r="F6" i="1"/>
  <c r="E6" i="1" s="1"/>
  <c r="G37" i="1"/>
  <c r="AW37" i="1"/>
  <c r="J37" i="1"/>
  <c r="N37" i="1" s="1"/>
  <c r="L37" i="1"/>
  <c r="P37" i="1" s="1"/>
  <c r="K37" i="1"/>
  <c r="O37" i="1" s="1"/>
  <c r="BJ37" i="1"/>
  <c r="BL26" i="1"/>
  <c r="BA19" i="1"/>
  <c r="L6" i="1" l="1"/>
  <c r="P6" i="1" s="1"/>
  <c r="J6" i="1"/>
  <c r="N6" i="1" s="1"/>
  <c r="K6" i="1"/>
  <c r="O6" i="1" s="1"/>
  <c r="AP27" i="1"/>
  <c r="AF22" i="1"/>
  <c r="G19" i="2"/>
  <c r="G20" i="2"/>
  <c r="G21" i="2"/>
  <c r="G22" i="2"/>
  <c r="G23" i="2"/>
  <c r="G24" i="2"/>
  <c r="G25" i="2"/>
  <c r="G26" i="2"/>
  <c r="G27" i="2"/>
  <c r="G29" i="2"/>
  <c r="G30" i="2"/>
  <c r="G31" i="2"/>
  <c r="G32" i="2"/>
  <c r="G34" i="2"/>
  <c r="G35" i="2"/>
  <c r="G36" i="2"/>
  <c r="G37" i="2"/>
  <c r="G38" i="2"/>
  <c r="G39" i="2"/>
  <c r="G40" i="2"/>
  <c r="G41" i="2"/>
  <c r="G42" i="2"/>
  <c r="G43" i="2"/>
  <c r="G44" i="2"/>
  <c r="G15" i="2"/>
  <c r="G16" i="2"/>
  <c r="G17" i="2"/>
  <c r="G18" i="2"/>
  <c r="AF7" i="1"/>
  <c r="AF8" i="1"/>
  <c r="AF9" i="1"/>
  <c r="AF10" i="1"/>
  <c r="AF11" i="1"/>
  <c r="AF12" i="1"/>
  <c r="AF15" i="1"/>
  <c r="AF16" i="1"/>
  <c r="AF17" i="1"/>
  <c r="AF18" i="1"/>
  <c r="AF19" i="1"/>
  <c r="AF20" i="1"/>
  <c r="AF21" i="1"/>
  <c r="AF23" i="1"/>
  <c r="AF24" i="1"/>
  <c r="AF26" i="1"/>
  <c r="AF27" i="1"/>
  <c r="AF28" i="1"/>
  <c r="AF29" i="1"/>
  <c r="AF30" i="1"/>
  <c r="AF31" i="1"/>
  <c r="AF33" i="1"/>
  <c r="AF34" i="1"/>
  <c r="AF35" i="1"/>
  <c r="AP7" i="1"/>
  <c r="AP8" i="1"/>
  <c r="AP9" i="1"/>
  <c r="AP10" i="1"/>
  <c r="AP11" i="1"/>
  <c r="AP12" i="1"/>
  <c r="AP15" i="1"/>
  <c r="AP16" i="1"/>
  <c r="AP17" i="1"/>
  <c r="AP18" i="1"/>
  <c r="AP19" i="1"/>
  <c r="AP20" i="1"/>
  <c r="AP21" i="1"/>
  <c r="AP22" i="1"/>
  <c r="AP23" i="1"/>
  <c r="AP24" i="1"/>
  <c r="AP26" i="1"/>
  <c r="AP28" i="1"/>
  <c r="AP29" i="1"/>
  <c r="AP30" i="1"/>
  <c r="AP31" i="1"/>
  <c r="AP33" i="1"/>
  <c r="AP34" i="1"/>
  <c r="AP35" i="1"/>
  <c r="AP36" i="1"/>
  <c r="AX7" i="1"/>
  <c r="BA7" i="1"/>
  <c r="AW7" i="1" s="1"/>
  <c r="AX8" i="1"/>
  <c r="AX9" i="1"/>
  <c r="AX10" i="1"/>
  <c r="BA10" i="1"/>
  <c r="AY10" i="1" s="1"/>
  <c r="AX11" i="1"/>
  <c r="AX12" i="1"/>
  <c r="BA12" i="1"/>
  <c r="AW12" i="1" s="1"/>
  <c r="AX14" i="1"/>
  <c r="AY14" i="1"/>
  <c r="AX15" i="1"/>
  <c r="BA15" i="1"/>
  <c r="AW15" i="1" s="1"/>
  <c r="AX16" i="1"/>
  <c r="BA16" i="1"/>
  <c r="AY16" i="1" s="1"/>
  <c r="AX17" i="1"/>
  <c r="BA17" i="1"/>
  <c r="AW17" i="1" s="1"/>
  <c r="AX18" i="1"/>
  <c r="BA18" i="1"/>
  <c r="AY18" i="1" s="1"/>
  <c r="AX19" i="1"/>
  <c r="AW19" i="1"/>
  <c r="AX20" i="1"/>
  <c r="BA20" i="1"/>
  <c r="AY20" i="1" s="1"/>
  <c r="AX21" i="1"/>
  <c r="BA21" i="1"/>
  <c r="AW21" i="1" s="1"/>
  <c r="AX22" i="1"/>
  <c r="BA22" i="1"/>
  <c r="AY22" i="1" s="1"/>
  <c r="AX23" i="1"/>
  <c r="BA23" i="1"/>
  <c r="AW23" i="1" s="1"/>
  <c r="AX24" i="1"/>
  <c r="BA24" i="1"/>
  <c r="AY24" i="1" s="1"/>
  <c r="AX26" i="1"/>
  <c r="BA26" i="1"/>
  <c r="AY26" i="1" s="1"/>
  <c r="BA27" i="1"/>
  <c r="AW27" i="1" s="1"/>
  <c r="AX27" i="1"/>
  <c r="BA28" i="1"/>
  <c r="AX29" i="1"/>
  <c r="BA29" i="1"/>
  <c r="AW29" i="1" s="1"/>
  <c r="AX30" i="1"/>
  <c r="BA30" i="1"/>
  <c r="AY30" i="1" s="1"/>
  <c r="AX31" i="1"/>
  <c r="BA31" i="1"/>
  <c r="AW31" i="1" s="1"/>
  <c r="AX33" i="1"/>
  <c r="AW33" i="1"/>
  <c r="AX34" i="1"/>
  <c r="BA34" i="1"/>
  <c r="AY34" i="1" s="1"/>
  <c r="AX35" i="1"/>
  <c r="BA35" i="1"/>
  <c r="AW35" i="1" s="1"/>
  <c r="AX36" i="1"/>
  <c r="BA36" i="1"/>
  <c r="AY36" i="1" s="1"/>
  <c r="AY29" i="1" l="1"/>
  <c r="AW36" i="1"/>
  <c r="AY31" i="1"/>
  <c r="AW30" i="1"/>
  <c r="BA8" i="1"/>
  <c r="AW34" i="1"/>
  <c r="AW10" i="1"/>
  <c r="BA9" i="1"/>
  <c r="AY7" i="1"/>
  <c r="AX28" i="1"/>
  <c r="AY12" i="1"/>
  <c r="AY33" i="1"/>
  <c r="AY35" i="1"/>
  <c r="AW28" i="1"/>
  <c r="AY28" i="1"/>
  <c r="AW26" i="1"/>
  <c r="AW24" i="1"/>
  <c r="AW22" i="1"/>
  <c r="AW20" i="1"/>
  <c r="AW18" i="1"/>
  <c r="AW16" i="1"/>
  <c r="AW14" i="1"/>
  <c r="AY27" i="1"/>
  <c r="AY23" i="1"/>
  <c r="AY21" i="1"/>
  <c r="AY19" i="1"/>
  <c r="AY17" i="1"/>
  <c r="AY15" i="1"/>
  <c r="BA11" i="1"/>
  <c r="AY9" i="1" l="1"/>
  <c r="AW9" i="1"/>
  <c r="AW8" i="1"/>
  <c r="AY8" i="1"/>
  <c r="AW11" i="1"/>
  <c r="AY11" i="1"/>
  <c r="R44" i="2" l="1"/>
  <c r="BL36" i="1"/>
  <c r="AM36" i="1"/>
  <c r="AN36" i="1"/>
  <c r="AD36" i="1"/>
  <c r="AC36" i="1"/>
  <c r="E36" i="1" l="1"/>
  <c r="L36" i="1"/>
  <c r="P36" i="1" s="1"/>
  <c r="K36" i="1"/>
  <c r="O36" i="1" s="1"/>
  <c r="G36" i="1"/>
  <c r="I36" i="1"/>
  <c r="M36" i="1" s="1"/>
  <c r="J36" i="1"/>
  <c r="N36" i="1" s="1"/>
  <c r="BJ36" i="1"/>
  <c r="BK36" i="1"/>
  <c r="AB7" i="1" l="1"/>
  <c r="AB8" i="1" s="1"/>
  <c r="AB9" i="1" s="1"/>
  <c r="AB10" i="1" s="1"/>
  <c r="AB11" i="1" s="1"/>
  <c r="AB12" i="1" s="1"/>
  <c r="AL7" i="1"/>
  <c r="AV7" i="1"/>
  <c r="AV8" i="1" s="1"/>
  <c r="AV9" i="1" s="1"/>
  <c r="AV10" i="1" s="1"/>
  <c r="AV11" i="1" s="1"/>
  <c r="AV12" i="1" s="1"/>
  <c r="BI7" i="1"/>
  <c r="BI8" i="1" s="1"/>
  <c r="BI9" i="1" s="1"/>
  <c r="BI10" i="1" s="1"/>
  <c r="BI11" i="1" s="1"/>
  <c r="BI12" i="1" s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AD11" i="1"/>
  <c r="AC15" i="1"/>
  <c r="AM15" i="1"/>
  <c r="H7" i="1"/>
  <c r="J49" i="2"/>
  <c r="I49" i="2" s="1"/>
  <c r="J50" i="2"/>
  <c r="F50" i="2" s="1"/>
  <c r="J51" i="2"/>
  <c r="G51" i="2" s="1"/>
  <c r="J52" i="2"/>
  <c r="H52" i="2" s="1"/>
  <c r="J53" i="2"/>
  <c r="G53" i="2" s="1"/>
  <c r="J54" i="2"/>
  <c r="I54" i="2" s="1"/>
  <c r="J55" i="2"/>
  <c r="I55" i="2" s="1"/>
  <c r="J56" i="2"/>
  <c r="F56" i="2" s="1"/>
  <c r="J57" i="2"/>
  <c r="I57" i="2" s="1"/>
  <c r="J58" i="2"/>
  <c r="F58" i="2" s="1"/>
  <c r="J59" i="2"/>
  <c r="G59" i="2" s="1"/>
  <c r="J60" i="2"/>
  <c r="H60" i="2" s="1"/>
  <c r="J61" i="2"/>
  <c r="E61" i="2" s="1"/>
  <c r="J62" i="2"/>
  <c r="I62" i="2" s="1"/>
  <c r="J63" i="2"/>
  <c r="I63" i="2" s="1"/>
  <c r="J64" i="2"/>
  <c r="F64" i="2" s="1"/>
  <c r="J65" i="2"/>
  <c r="H65" i="2" s="1"/>
  <c r="J66" i="2"/>
  <c r="G66" i="2" s="1"/>
  <c r="J67" i="2"/>
  <c r="E67" i="2" s="1"/>
  <c r="J68" i="2"/>
  <c r="G68" i="2" s="1"/>
  <c r="J69" i="2"/>
  <c r="G69" i="2" s="1"/>
  <c r="J70" i="2"/>
  <c r="F70" i="2" s="1"/>
  <c r="J71" i="2"/>
  <c r="E71" i="2" s="1"/>
  <c r="J72" i="2"/>
  <c r="I72" i="2" s="1"/>
  <c r="J73" i="2"/>
  <c r="H73" i="2" s="1"/>
  <c r="J74" i="2"/>
  <c r="E74" i="2" s="1"/>
  <c r="J75" i="2"/>
  <c r="F75" i="2" s="1"/>
  <c r="J76" i="2"/>
  <c r="F76" i="2" s="1"/>
  <c r="J77" i="2"/>
  <c r="F77" i="2" s="1"/>
  <c r="J78" i="2"/>
  <c r="E78" i="2" s="1"/>
  <c r="J48" i="2"/>
  <c r="H48" i="2" s="1"/>
  <c r="BL15" i="1"/>
  <c r="BK15" i="1" s="1"/>
  <c r="AN15" i="1"/>
  <c r="AD15" i="1"/>
  <c r="AB13" i="1" l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V14" i="1"/>
  <c r="AV15" i="1" s="1"/>
  <c r="AV16" i="1" s="1"/>
  <c r="AV17" i="1" s="1"/>
  <c r="AV18" i="1" s="1"/>
  <c r="AV19" i="1" s="1"/>
  <c r="AV20" i="1" s="1"/>
  <c r="AV21" i="1" s="1"/>
  <c r="AV22" i="1" s="1"/>
  <c r="AV23" i="1" s="1"/>
  <c r="AV24" i="1" s="1"/>
  <c r="AV13" i="1"/>
  <c r="BI14" i="1"/>
  <c r="BI15" i="1" s="1"/>
  <c r="BI16" i="1" s="1"/>
  <c r="BI17" i="1" s="1"/>
  <c r="BI18" i="1" s="1"/>
  <c r="BI19" i="1" s="1"/>
  <c r="BI20" i="1" s="1"/>
  <c r="BI21" i="1" s="1"/>
  <c r="BI22" i="1" s="1"/>
  <c r="BI23" i="1" s="1"/>
  <c r="BI24" i="1" s="1"/>
  <c r="BI13" i="1"/>
  <c r="Q36" i="1"/>
  <c r="Q37" i="1" s="1"/>
  <c r="E48" i="2"/>
  <c r="I48" i="2"/>
  <c r="F48" i="2"/>
  <c r="H59" i="2"/>
  <c r="H63" i="2"/>
  <c r="I53" i="2"/>
  <c r="I52" i="2"/>
  <c r="H51" i="2"/>
  <c r="I61" i="2"/>
  <c r="F59" i="2"/>
  <c r="I60" i="2"/>
  <c r="F55" i="2"/>
  <c r="F63" i="2"/>
  <c r="I59" i="2"/>
  <c r="F51" i="2"/>
  <c r="H55" i="2"/>
  <c r="I51" i="2"/>
  <c r="E50" i="2"/>
  <c r="G50" i="2"/>
  <c r="E57" i="2"/>
  <c r="E49" i="2"/>
  <c r="G57" i="2"/>
  <c r="G49" i="2"/>
  <c r="H58" i="2"/>
  <c r="H50" i="2"/>
  <c r="F62" i="2"/>
  <c r="F54" i="2"/>
  <c r="E64" i="2"/>
  <c r="E56" i="2"/>
  <c r="G64" i="2"/>
  <c r="G56" i="2"/>
  <c r="H74" i="2"/>
  <c r="H57" i="2"/>
  <c r="H49" i="2"/>
  <c r="F61" i="2"/>
  <c r="F53" i="2"/>
  <c r="E63" i="2"/>
  <c r="E55" i="2"/>
  <c r="G63" i="2"/>
  <c r="G55" i="2"/>
  <c r="H64" i="2"/>
  <c r="H56" i="2"/>
  <c r="I58" i="2"/>
  <c r="I50" i="2"/>
  <c r="F60" i="2"/>
  <c r="F52" i="2"/>
  <c r="E58" i="2"/>
  <c r="E54" i="2"/>
  <c r="G54" i="2"/>
  <c r="G61" i="2"/>
  <c r="H54" i="2"/>
  <c r="E60" i="2"/>
  <c r="E52" i="2"/>
  <c r="G60" i="2"/>
  <c r="G52" i="2"/>
  <c r="H61" i="2"/>
  <c r="H53" i="2"/>
  <c r="F74" i="2"/>
  <c r="F57" i="2"/>
  <c r="F49" i="2"/>
  <c r="G58" i="2"/>
  <c r="E62" i="2"/>
  <c r="G62" i="2"/>
  <c r="I74" i="2"/>
  <c r="E53" i="2"/>
  <c r="H62" i="2"/>
  <c r="I64" i="2"/>
  <c r="I56" i="2"/>
  <c r="E59" i="2"/>
  <c r="E51" i="2"/>
  <c r="G48" i="2"/>
  <c r="G78" i="2"/>
  <c r="F78" i="2"/>
  <c r="H78" i="2"/>
  <c r="I78" i="2"/>
  <c r="E77" i="2"/>
  <c r="I77" i="2"/>
  <c r="G77" i="2"/>
  <c r="H77" i="2"/>
  <c r="E76" i="2"/>
  <c r="G76" i="2"/>
  <c r="H76" i="2"/>
  <c r="I76" i="2"/>
  <c r="I70" i="2"/>
  <c r="H70" i="2"/>
  <c r="E70" i="2"/>
  <c r="G70" i="2"/>
  <c r="H69" i="2"/>
  <c r="G75" i="2"/>
  <c r="H75" i="2"/>
  <c r="I75" i="2"/>
  <c r="E75" i="2"/>
  <c r="G74" i="2"/>
  <c r="F73" i="2"/>
  <c r="I73" i="2"/>
  <c r="E73" i="2"/>
  <c r="G73" i="2"/>
  <c r="F72" i="2"/>
  <c r="E72" i="2"/>
  <c r="G72" i="2"/>
  <c r="H72" i="2"/>
  <c r="G71" i="2"/>
  <c r="H71" i="2"/>
  <c r="I71" i="2"/>
  <c r="F71" i="2"/>
  <c r="I69" i="2"/>
  <c r="E69" i="2"/>
  <c r="F69" i="2"/>
  <c r="E68" i="2"/>
  <c r="H68" i="2"/>
  <c r="F68" i="2"/>
  <c r="I68" i="2"/>
  <c r="F67" i="2"/>
  <c r="G67" i="2"/>
  <c r="H67" i="2"/>
  <c r="I67" i="2"/>
  <c r="F66" i="2"/>
  <c r="H66" i="2"/>
  <c r="I66" i="2"/>
  <c r="E66" i="2"/>
  <c r="G65" i="2"/>
  <c r="F65" i="2"/>
  <c r="I65" i="2"/>
  <c r="E65" i="2"/>
  <c r="BJ15" i="1"/>
  <c r="AB25" i="1" l="1"/>
  <c r="AB26" i="1" s="1"/>
  <c r="AB27" i="1" s="1"/>
  <c r="AB28" i="1" s="1"/>
  <c r="AB29" i="1" s="1"/>
  <c r="AB30" i="1" s="1"/>
  <c r="AB31" i="1" s="1"/>
  <c r="AV25" i="1"/>
  <c r="AV26" i="1" s="1"/>
  <c r="AV27" i="1" s="1"/>
  <c r="AV28" i="1" s="1"/>
  <c r="AV29" i="1" s="1"/>
  <c r="AV30" i="1" s="1"/>
  <c r="AV31" i="1" s="1"/>
  <c r="BI25" i="1"/>
  <c r="BI26" i="1" s="1"/>
  <c r="BI27" i="1" s="1"/>
  <c r="BI28" i="1" s="1"/>
  <c r="BI29" i="1" s="1"/>
  <c r="BI30" i="1" s="1"/>
  <c r="BI31" i="1" s="1"/>
  <c r="R20" i="2"/>
  <c r="AB32" i="1" l="1"/>
  <c r="AB33" i="1" s="1"/>
  <c r="AB34" i="1" s="1"/>
  <c r="AB35" i="1" s="1"/>
  <c r="AB36" i="1" s="1"/>
  <c r="AB37" i="1" s="1"/>
  <c r="AV32" i="1"/>
  <c r="AV33" i="1" s="1"/>
  <c r="AV34" i="1" s="1"/>
  <c r="AV35" i="1" s="1"/>
  <c r="AV36" i="1" s="1"/>
  <c r="AV37" i="1" s="1"/>
  <c r="BI32" i="1"/>
  <c r="BI33" i="1" s="1"/>
  <c r="BI34" i="1" s="1"/>
  <c r="BI35" i="1" s="1"/>
  <c r="BI36" i="1" s="1"/>
  <c r="BI37" i="1" s="1"/>
  <c r="S39" i="1"/>
  <c r="R38" i="1" s="1"/>
  <c r="R43" i="2"/>
  <c r="R41" i="2"/>
  <c r="R42" i="2"/>
  <c r="R40" i="2"/>
  <c r="BL33" i="1"/>
  <c r="BJ33" i="1" s="1"/>
  <c r="AM33" i="1"/>
  <c r="AN33" i="1"/>
  <c r="AC33" i="1"/>
  <c r="AD33" i="1"/>
  <c r="R39" i="2"/>
  <c r="AD31" i="1"/>
  <c r="R38" i="2"/>
  <c r="R37" i="2"/>
  <c r="R34" i="2"/>
  <c r="R32" i="2"/>
  <c r="R31" i="2"/>
  <c r="R30" i="2"/>
  <c r="BK33" i="1" l="1"/>
  <c r="R29" i="2"/>
  <c r="R25" i="2"/>
  <c r="R28" i="2"/>
  <c r="R27" i="2"/>
  <c r="R26" i="2"/>
  <c r="R24" i="2"/>
  <c r="BL19" i="1"/>
  <c r="BJ19" i="1" s="1"/>
  <c r="AM19" i="1"/>
  <c r="AN19" i="1"/>
  <c r="AC19" i="1"/>
  <c r="R23" i="2"/>
  <c r="R22" i="2"/>
  <c r="R21" i="2"/>
  <c r="R19" i="2"/>
  <c r="R18" i="2"/>
  <c r="AD24" i="1"/>
  <c r="AC24" i="1"/>
  <c r="AN24" i="1"/>
  <c r="AM24" i="1"/>
  <c r="BL24" i="1"/>
  <c r="BJ24" i="1" s="1"/>
  <c r="AD26" i="1"/>
  <c r="AC26" i="1"/>
  <c r="AN26" i="1"/>
  <c r="BJ26" i="1"/>
  <c r="AD27" i="1"/>
  <c r="AC27" i="1"/>
  <c r="AN27" i="1"/>
  <c r="BL27" i="1"/>
  <c r="BK27" i="1" s="1"/>
  <c r="AD28" i="1"/>
  <c r="AC28" i="1"/>
  <c r="AN28" i="1"/>
  <c r="BL28" i="1"/>
  <c r="BJ28" i="1" s="1"/>
  <c r="AD29" i="1"/>
  <c r="AC29" i="1"/>
  <c r="AN29" i="1"/>
  <c r="BL29" i="1"/>
  <c r="BK29" i="1" s="1"/>
  <c r="AD30" i="1"/>
  <c r="AC30" i="1"/>
  <c r="BL30" i="1"/>
  <c r="BJ30" i="1" s="1"/>
  <c r="AC31" i="1"/>
  <c r="AN31" i="1"/>
  <c r="BL31" i="1"/>
  <c r="BK31" i="1" s="1"/>
  <c r="AD34" i="1"/>
  <c r="AC34" i="1"/>
  <c r="AN34" i="1"/>
  <c r="BL34" i="1"/>
  <c r="BK34" i="1" s="1"/>
  <c r="AD35" i="1"/>
  <c r="AC35" i="1"/>
  <c r="AN35" i="1"/>
  <c r="BL35" i="1"/>
  <c r="BK35" i="1" s="1"/>
  <c r="AC11" i="1"/>
  <c r="AN11" i="1"/>
  <c r="AM11" i="1"/>
  <c r="BL11" i="1"/>
  <c r="AD12" i="1"/>
  <c r="AC12" i="1"/>
  <c r="AN12" i="1"/>
  <c r="AM12" i="1"/>
  <c r="BL12" i="1"/>
  <c r="BK12" i="1" s="1"/>
  <c r="AD14" i="1"/>
  <c r="AC14" i="1"/>
  <c r="AN14" i="1"/>
  <c r="AM14" i="1"/>
  <c r="BL14" i="1"/>
  <c r="BK14" i="1" s="1"/>
  <c r="AD16" i="1"/>
  <c r="AC16" i="1"/>
  <c r="AN16" i="1"/>
  <c r="AM16" i="1"/>
  <c r="BL16" i="1"/>
  <c r="BK16" i="1" s="1"/>
  <c r="AD17" i="1"/>
  <c r="AC17" i="1"/>
  <c r="AN17" i="1"/>
  <c r="AM17" i="1"/>
  <c r="BL17" i="1"/>
  <c r="AD18" i="1"/>
  <c r="AC18" i="1"/>
  <c r="AN18" i="1"/>
  <c r="AM18" i="1"/>
  <c r="BL18" i="1"/>
  <c r="BK18" i="1" s="1"/>
  <c r="AD19" i="1"/>
  <c r="AD20" i="1"/>
  <c r="AC20" i="1"/>
  <c r="AN20" i="1"/>
  <c r="AM20" i="1"/>
  <c r="BL20" i="1"/>
  <c r="AD21" i="1"/>
  <c r="AC21" i="1"/>
  <c r="AN21" i="1"/>
  <c r="AM21" i="1"/>
  <c r="BL21" i="1"/>
  <c r="AD22" i="1"/>
  <c r="AC22" i="1"/>
  <c r="AN22" i="1"/>
  <c r="AM22" i="1"/>
  <c r="BL22" i="1"/>
  <c r="AD23" i="1"/>
  <c r="AC23" i="1"/>
  <c r="AN23" i="1"/>
  <c r="AM23" i="1"/>
  <c r="BL23" i="1"/>
  <c r="BK23" i="1" s="1"/>
  <c r="D7" i="1"/>
  <c r="D8" i="1"/>
  <c r="D9" i="1"/>
  <c r="D10" i="1"/>
  <c r="R15" i="2"/>
  <c r="R16" i="2"/>
  <c r="R17" i="2"/>
  <c r="AC8" i="1"/>
  <c r="AC9" i="1"/>
  <c r="AC10" i="1"/>
  <c r="AD7" i="1"/>
  <c r="AD8" i="1"/>
  <c r="AD9" i="1"/>
  <c r="AD10" i="1"/>
  <c r="AN7" i="1"/>
  <c r="AN8" i="1"/>
  <c r="AN9" i="1"/>
  <c r="AN10" i="1"/>
  <c r="BL7" i="1"/>
  <c r="BK7" i="1" s="1"/>
  <c r="BL8" i="1"/>
  <c r="BK8" i="1" s="1"/>
  <c r="BL9" i="1"/>
  <c r="BK9" i="1" s="1"/>
  <c r="BL10" i="1"/>
  <c r="BK10" i="1" s="1"/>
  <c r="AM7" i="1"/>
  <c r="AM8" i="1"/>
  <c r="AM9" i="1"/>
  <c r="AM10" i="1"/>
  <c r="G12" i="1" l="1"/>
  <c r="L35" i="1"/>
  <c r="P35" i="1" s="1"/>
  <c r="I34" i="1"/>
  <c r="M34" i="1" s="1"/>
  <c r="K32" i="1"/>
  <c r="O32" i="1" s="1"/>
  <c r="K31" i="1"/>
  <c r="O31" i="1" s="1"/>
  <c r="L30" i="1"/>
  <c r="P30" i="1" s="1"/>
  <c r="J29" i="1"/>
  <c r="N29" i="1" s="1"/>
  <c r="J27" i="1"/>
  <c r="N27" i="1" s="1"/>
  <c r="I26" i="1"/>
  <c r="M26" i="1" s="1"/>
  <c r="K25" i="1"/>
  <c r="O25" i="1" s="1"/>
  <c r="K24" i="1"/>
  <c r="O24" i="1" s="1"/>
  <c r="I23" i="1"/>
  <c r="M23" i="1" s="1"/>
  <c r="I22" i="1"/>
  <c r="M22" i="1" s="1"/>
  <c r="I21" i="1"/>
  <c r="M21" i="1" s="1"/>
  <c r="K20" i="1"/>
  <c r="O20" i="1" s="1"/>
  <c r="I18" i="1"/>
  <c r="M18" i="1" s="1"/>
  <c r="I17" i="1"/>
  <c r="M17" i="1" s="1"/>
  <c r="I16" i="1"/>
  <c r="M16" i="1" s="1"/>
  <c r="I14" i="1"/>
  <c r="M14" i="1" s="1"/>
  <c r="J10" i="1"/>
  <c r="N10" i="1" s="1"/>
  <c r="I9" i="1"/>
  <c r="M9" i="1" s="1"/>
  <c r="L28" i="1"/>
  <c r="P28" i="1" s="1"/>
  <c r="E13" i="1"/>
  <c r="G24" i="1"/>
  <c r="I19" i="1"/>
  <c r="M19" i="1" s="1"/>
  <c r="G15" i="1"/>
  <c r="BK19" i="1"/>
  <c r="E16" i="1"/>
  <c r="BJ35" i="1"/>
  <c r="BJ34" i="1"/>
  <c r="E35" i="1"/>
  <c r="E34" i="1"/>
  <c r="E33" i="1"/>
  <c r="E32" i="1"/>
  <c r="BJ31" i="1"/>
  <c r="E31" i="1"/>
  <c r="BK30" i="1"/>
  <c r="E30" i="1"/>
  <c r="BJ29" i="1"/>
  <c r="E29" i="1"/>
  <c r="BJ27" i="1"/>
  <c r="G18" i="1"/>
  <c r="E18" i="1"/>
  <c r="G19" i="1"/>
  <c r="E17" i="1"/>
  <c r="E19" i="1"/>
  <c r="G17" i="1"/>
  <c r="G16" i="1"/>
  <c r="E15" i="1"/>
  <c r="G14" i="1"/>
  <c r="E14" i="1"/>
  <c r="G13" i="1"/>
  <c r="K12" i="1"/>
  <c r="O12" i="1" s="1"/>
  <c r="L12" i="1"/>
  <c r="P12" i="1" s="1"/>
  <c r="E12" i="1"/>
  <c r="I11" i="1"/>
  <c r="M11" i="1" s="1"/>
  <c r="E11" i="1"/>
  <c r="F10" i="1"/>
  <c r="E10" i="1" s="1"/>
  <c r="F9" i="1"/>
  <c r="E9" i="1" s="1"/>
  <c r="G8" i="1"/>
  <c r="I15" i="1"/>
  <c r="M15" i="1" s="1"/>
  <c r="I13" i="1"/>
  <c r="M13" i="1" s="1"/>
  <c r="G35" i="1"/>
  <c r="K33" i="1"/>
  <c r="O33" i="1" s="1"/>
  <c r="G33" i="1"/>
  <c r="G31" i="1"/>
  <c r="G29" i="1"/>
  <c r="E27" i="1"/>
  <c r="E25" i="1"/>
  <c r="F8" i="1"/>
  <c r="E8" i="1" s="1"/>
  <c r="E23" i="1"/>
  <c r="E22" i="1"/>
  <c r="E21" i="1"/>
  <c r="E20" i="1"/>
  <c r="G11" i="1"/>
  <c r="G34" i="1"/>
  <c r="G32" i="1"/>
  <c r="G30" i="1"/>
  <c r="BK28" i="1"/>
  <c r="E28" i="1"/>
  <c r="BK26" i="1"/>
  <c r="E26" i="1"/>
  <c r="BK24" i="1"/>
  <c r="BK22" i="1"/>
  <c r="L19" i="1"/>
  <c r="P19" i="1" s="1"/>
  <c r="BK17" i="1"/>
  <c r="BK21" i="1"/>
  <c r="BK20" i="1"/>
  <c r="BJ10" i="1"/>
  <c r="BK11" i="1"/>
  <c r="E24" i="1"/>
  <c r="BJ9" i="1"/>
  <c r="L33" i="1"/>
  <c r="P33" i="1" s="1"/>
  <c r="I33" i="1"/>
  <c r="M33" i="1" s="1"/>
  <c r="J33" i="1"/>
  <c r="N33" i="1" s="1"/>
  <c r="AM35" i="1"/>
  <c r="AM34" i="1"/>
  <c r="AM31" i="1"/>
  <c r="AM30" i="1"/>
  <c r="AM29" i="1"/>
  <c r="AM28" i="1"/>
  <c r="G28" i="1"/>
  <c r="AM27" i="1"/>
  <c r="G27" i="1"/>
  <c r="AM26" i="1"/>
  <c r="G26" i="1"/>
  <c r="G25" i="1"/>
  <c r="K19" i="1"/>
  <c r="O19" i="1" s="1"/>
  <c r="J19" i="1"/>
  <c r="N19" i="1" s="1"/>
  <c r="BJ23" i="1"/>
  <c r="BJ22" i="1"/>
  <c r="BJ21" i="1"/>
  <c r="BJ20" i="1"/>
  <c r="BJ18" i="1"/>
  <c r="BJ17" i="1"/>
  <c r="BJ16" i="1"/>
  <c r="BJ14" i="1"/>
  <c r="BJ12" i="1"/>
  <c r="BJ11" i="1"/>
  <c r="G23" i="1"/>
  <c r="G22" i="1"/>
  <c r="G21" i="1"/>
  <c r="G20" i="1"/>
  <c r="J8" i="1"/>
  <c r="N8" i="1" s="1"/>
  <c r="L8" i="1"/>
  <c r="P8" i="1" s="1"/>
  <c r="K8" i="1"/>
  <c r="O8" i="1" s="1"/>
  <c r="G10" i="1"/>
  <c r="I8" i="1"/>
  <c r="M8" i="1" s="1"/>
  <c r="G9" i="1"/>
  <c r="I7" i="1"/>
  <c r="M7" i="1" s="1"/>
  <c r="J7" i="1"/>
  <c r="N7" i="1" s="1"/>
  <c r="L7" i="1"/>
  <c r="P7" i="1" s="1"/>
  <c r="K7" i="1"/>
  <c r="O7" i="1" s="1"/>
  <c r="AC7" i="1"/>
  <c r="G7" i="1"/>
  <c r="F7" i="1"/>
  <c r="E7" i="1" s="1"/>
  <c r="BJ8" i="1"/>
  <c r="BJ7" i="1"/>
  <c r="U15" i="2"/>
  <c r="U16" i="2" s="1"/>
  <c r="U17" i="2" s="1"/>
  <c r="U18" i="2" s="1"/>
  <c r="U19" i="2" s="1"/>
  <c r="I15" i="2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AL8" i="1"/>
  <c r="AL9" i="1" s="1"/>
  <c r="AL10" i="1" s="1"/>
  <c r="AL11" i="1" s="1"/>
  <c r="AL12" i="1" s="1"/>
  <c r="AL13" i="1" l="1"/>
  <c r="AL14" i="1" s="1"/>
  <c r="AL15" i="1" s="1"/>
  <c r="AL16" i="1" s="1"/>
  <c r="AL17" i="1" s="1"/>
  <c r="AL18" i="1" s="1"/>
  <c r="AL19" i="1" s="1"/>
  <c r="U20" i="2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I32" i="1"/>
  <c r="M32" i="1" s="1"/>
  <c r="L34" i="1"/>
  <c r="P34" i="1" s="1"/>
  <c r="J35" i="1"/>
  <c r="N35" i="1" s="1"/>
  <c r="K34" i="1"/>
  <c r="O34" i="1" s="1"/>
  <c r="J34" i="1"/>
  <c r="N34" i="1" s="1"/>
  <c r="K22" i="1"/>
  <c r="O22" i="1" s="1"/>
  <c r="L9" i="1"/>
  <c r="P9" i="1" s="1"/>
  <c r="K9" i="1"/>
  <c r="O9" i="1" s="1"/>
  <c r="J9" i="1"/>
  <c r="N9" i="1" s="1"/>
  <c r="I26" i="2"/>
  <c r="I27" i="2" s="1"/>
  <c r="I28" i="2" s="1"/>
  <c r="I29" i="2" s="1"/>
  <c r="I30" i="2" s="1"/>
  <c r="I31" i="2" s="1"/>
  <c r="I32" i="2" s="1"/>
  <c r="K11" i="1"/>
  <c r="O11" i="1" s="1"/>
  <c r="K23" i="1"/>
  <c r="O23" i="1" s="1"/>
  <c r="J24" i="1"/>
  <c r="N24" i="1" s="1"/>
  <c r="K18" i="1"/>
  <c r="O18" i="1" s="1"/>
  <c r="J26" i="1"/>
  <c r="N26" i="1" s="1"/>
  <c r="L26" i="1"/>
  <c r="P26" i="1" s="1"/>
  <c r="K35" i="1"/>
  <c r="O35" i="1" s="1"/>
  <c r="I35" i="1"/>
  <c r="M35" i="1" s="1"/>
  <c r="J30" i="1"/>
  <c r="N30" i="1" s="1"/>
  <c r="L29" i="1"/>
  <c r="P29" i="1" s="1"/>
  <c r="I29" i="1"/>
  <c r="M29" i="1" s="1"/>
  <c r="K29" i="1"/>
  <c r="O29" i="1" s="1"/>
  <c r="I28" i="1"/>
  <c r="M28" i="1" s="1"/>
  <c r="K26" i="1"/>
  <c r="O26" i="1" s="1"/>
  <c r="I25" i="1"/>
  <c r="M25" i="1" s="1"/>
  <c r="L25" i="1"/>
  <c r="P25" i="1" s="1"/>
  <c r="I20" i="1"/>
  <c r="M20" i="1" s="1"/>
  <c r="J20" i="1"/>
  <c r="N20" i="1" s="1"/>
  <c r="L20" i="1"/>
  <c r="P20" i="1" s="1"/>
  <c r="L24" i="1"/>
  <c r="P24" i="1" s="1"/>
  <c r="J18" i="1"/>
  <c r="N18" i="1" s="1"/>
  <c r="L18" i="1"/>
  <c r="P18" i="1" s="1"/>
  <c r="L21" i="1"/>
  <c r="P21" i="1" s="1"/>
  <c r="K21" i="1"/>
  <c r="O21" i="1" s="1"/>
  <c r="K17" i="1"/>
  <c r="O17" i="1" s="1"/>
  <c r="J17" i="1"/>
  <c r="N17" i="1" s="1"/>
  <c r="J16" i="1"/>
  <c r="N16" i="1" s="1"/>
  <c r="K16" i="1"/>
  <c r="O16" i="1" s="1"/>
  <c r="L16" i="1"/>
  <c r="P16" i="1" s="1"/>
  <c r="L15" i="1"/>
  <c r="P15" i="1" s="1"/>
  <c r="K15" i="1"/>
  <c r="O15" i="1" s="1"/>
  <c r="J15" i="1"/>
  <c r="N15" i="1" s="1"/>
  <c r="L14" i="1"/>
  <c r="P14" i="1" s="1"/>
  <c r="J14" i="1"/>
  <c r="N14" i="1" s="1"/>
  <c r="K14" i="1"/>
  <c r="O14" i="1" s="1"/>
  <c r="K13" i="1"/>
  <c r="O13" i="1" s="1"/>
  <c r="J12" i="1"/>
  <c r="N12" i="1" s="1"/>
  <c r="I12" i="1"/>
  <c r="M12" i="1" s="1"/>
  <c r="L11" i="1"/>
  <c r="P11" i="1" s="1"/>
  <c r="J11" i="1"/>
  <c r="N11" i="1" s="1"/>
  <c r="L10" i="1"/>
  <c r="P10" i="1" s="1"/>
  <c r="I10" i="1"/>
  <c r="M10" i="1" s="1"/>
  <c r="K10" i="1"/>
  <c r="O10" i="1" s="1"/>
  <c r="L32" i="1"/>
  <c r="P32" i="1" s="1"/>
  <c r="K27" i="1"/>
  <c r="O27" i="1" s="1"/>
  <c r="J32" i="1"/>
  <c r="N32" i="1" s="1"/>
  <c r="I27" i="1"/>
  <c r="M27" i="1" s="1"/>
  <c r="L22" i="1"/>
  <c r="P22" i="1" s="1"/>
  <c r="J25" i="1"/>
  <c r="N25" i="1" s="1"/>
  <c r="L27" i="1"/>
  <c r="P27" i="1" s="1"/>
  <c r="I24" i="1"/>
  <c r="M24" i="1" s="1"/>
  <c r="K28" i="1"/>
  <c r="O28" i="1" s="1"/>
  <c r="J31" i="1"/>
  <c r="N31" i="1" s="1"/>
  <c r="J13" i="1"/>
  <c r="N13" i="1" s="1"/>
  <c r="L13" i="1"/>
  <c r="P13" i="1" s="1"/>
  <c r="J22" i="1"/>
  <c r="N22" i="1" s="1"/>
  <c r="L23" i="1"/>
  <c r="P23" i="1" s="1"/>
  <c r="J23" i="1"/>
  <c r="N23" i="1" s="1"/>
  <c r="J28" i="1"/>
  <c r="N28" i="1" s="1"/>
  <c r="I31" i="1"/>
  <c r="M31" i="1" s="1"/>
  <c r="L17" i="1"/>
  <c r="P17" i="1" s="1"/>
  <c r="I30" i="1"/>
  <c r="M30" i="1" s="1"/>
  <c r="J21" i="1"/>
  <c r="N21" i="1" s="1"/>
  <c r="L31" i="1"/>
  <c r="P31" i="1" s="1"/>
  <c r="K30" i="1"/>
  <c r="O30" i="1" s="1"/>
  <c r="I33" i="2" l="1"/>
  <c r="I34" i="2" s="1"/>
  <c r="I35" i="2" s="1"/>
  <c r="I36" i="2" s="1"/>
  <c r="I37" i="2" s="1"/>
  <c r="I38" i="2" s="1"/>
  <c r="I39" i="2" s="1"/>
  <c r="I40" i="2" s="1"/>
  <c r="U34" i="2"/>
  <c r="U35" i="2" s="1"/>
  <c r="U36" i="2" s="1"/>
  <c r="U37" i="2" s="1"/>
  <c r="U38" i="2" s="1"/>
  <c r="U39" i="2" s="1"/>
  <c r="U40" i="2" s="1"/>
  <c r="U41" i="2" s="1"/>
  <c r="U42" i="2" s="1"/>
  <c r="U43" i="2" s="1"/>
  <c r="U33" i="2"/>
  <c r="AL20" i="1"/>
  <c r="AL21" i="1" s="1"/>
  <c r="AL22" i="1" s="1"/>
  <c r="AL23" i="1" s="1"/>
  <c r="AL24" i="1" s="1"/>
  <c r="B15" i="2"/>
  <c r="AL25" i="1" l="1"/>
  <c r="AL26" i="1" s="1"/>
  <c r="I41" i="2"/>
  <c r="I42" i="2" s="1"/>
  <c r="I43" i="2" s="1"/>
  <c r="I44" i="2" s="1"/>
  <c r="I45" i="2" s="1"/>
  <c r="U44" i="2"/>
  <c r="U45" i="2" s="1"/>
  <c r="B16" i="2"/>
  <c r="M15" i="2"/>
  <c r="AL27" i="1" l="1"/>
  <c r="AL28" i="1" s="1"/>
  <c r="AL29" i="1" s="1"/>
  <c r="AL30" i="1" s="1"/>
  <c r="AL31" i="1" s="1"/>
  <c r="AL32" i="1" s="1"/>
  <c r="AL33" i="1" s="1"/>
  <c r="AL34" i="1" s="1"/>
  <c r="AL35" i="1" s="1"/>
  <c r="AL36" i="1" s="1"/>
  <c r="AL37" i="1" s="1"/>
  <c r="B17" i="2"/>
  <c r="M16" i="2"/>
  <c r="B18" i="2" l="1"/>
  <c r="M17" i="2"/>
  <c r="B19" i="2" l="1"/>
  <c r="M18" i="2"/>
  <c r="B20" i="2" l="1"/>
  <c r="M20" i="2" s="1"/>
  <c r="M19" i="2"/>
  <c r="B21" i="2" l="1"/>
  <c r="B22" i="2" l="1"/>
  <c r="M21" i="2"/>
  <c r="B23" i="2" l="1"/>
  <c r="M22" i="2"/>
  <c r="B24" i="2" l="1"/>
  <c r="M23" i="2"/>
  <c r="B25" i="2" l="1"/>
  <c r="M24" i="2"/>
  <c r="B26" i="2" l="1"/>
  <c r="M25" i="2"/>
  <c r="B27" i="2" l="1"/>
  <c r="M26" i="2"/>
  <c r="B28" i="2" l="1"/>
  <c r="M27" i="2"/>
  <c r="B29" i="2" l="1"/>
  <c r="M28" i="2"/>
  <c r="B30" i="2" l="1"/>
  <c r="M29" i="2"/>
  <c r="B31" i="2" l="1"/>
  <c r="M30" i="2"/>
  <c r="B32" i="2" l="1"/>
  <c r="M31" i="2"/>
  <c r="B33" i="2" l="1"/>
  <c r="M33" i="2" s="1"/>
  <c r="M32" i="2"/>
  <c r="B34" i="2" l="1"/>
  <c r="B35" i="2" l="1"/>
  <c r="M34" i="2"/>
  <c r="B36" i="2" l="1"/>
  <c r="M35" i="2"/>
  <c r="B37" i="2" l="1"/>
  <c r="M36" i="2"/>
  <c r="B38" i="2" l="1"/>
  <c r="M37" i="2"/>
  <c r="B39" i="2" l="1"/>
  <c r="M38" i="2"/>
  <c r="B40" i="2" l="1"/>
  <c r="M39" i="2"/>
  <c r="B41" i="2" l="1"/>
  <c r="M40" i="2"/>
  <c r="B42" i="2" l="1"/>
  <c r="M41" i="2"/>
  <c r="B43" i="2" l="1"/>
  <c r="M42" i="2"/>
  <c r="M43" i="2" l="1"/>
  <c r="B44" i="2"/>
  <c r="B45" i="2" s="1"/>
  <c r="M45" i="2" s="1"/>
  <c r="M4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Rojas Saavedra</author>
    <author>Gilbet Gustavo Manriquez Henriquez</author>
    <author>Freddy Juarez Espinoza</author>
  </authors>
  <commentList>
    <comment ref="R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De grafico de energiaconsumo diario L1+L2 "Reporte SEAT"</t>
        </r>
      </text>
    </comment>
    <comment ref="T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SEREB GRAFICA ENERGIA Seleccionar EL_SALTO EMM-PQ-03</t>
        </r>
      </text>
    </comment>
    <comment ref="BC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MINUTOS(PQ-01 REAL POWER"KW") 
</t>
        </r>
      </text>
    </comment>
    <comment ref="BG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MINUTOS(PQ-06 + PQ-07 REAL POWER"KW") </t>
        </r>
      </text>
    </comment>
    <comment ref="R21" authorId="2" shapeId="0" xr:uid="{58A32D44-44B8-4097-AA46-59D9A08B3443}">
      <text>
        <r>
          <rPr>
            <b/>
            <sz val="9"/>
            <color indexed="81"/>
            <rFont val="Tahoma"/>
            <charset val="1"/>
          </rPr>
          <t>Freddy Juarez Espinoza:</t>
        </r>
        <r>
          <rPr>
            <sz val="9"/>
            <color indexed="81"/>
            <rFont val="Tahoma"/>
            <charset val="1"/>
          </rPr>
          <t xml:space="preserve">
Prueba trenes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Munoz</author>
  </authors>
  <commentList>
    <comment ref="D5" authorId="0" shapeId="0" xr:uid="{00000000-0006-0000-0100-000001000000}">
      <text>
        <r>
          <rPr>
            <sz val="9"/>
            <color indexed="81"/>
            <rFont val="Tahoma"/>
            <family val="2"/>
          </rPr>
          <t>De Tabla de registro de datos, SAF LI, Potencia máxima
Reporte SAF</t>
        </r>
      </text>
    </comment>
    <comment ref="F5" authorId="0" shapeId="0" xr:uid="{00000000-0006-0000-0100-000002000000}">
      <text>
        <r>
          <rPr>
            <sz val="9"/>
            <color indexed="81"/>
            <rFont val="Tahoma"/>
            <family val="2"/>
          </rPr>
          <t>De grafico consumo energía diaria LI  "SAF LI Principal"
Reporte SAF</t>
        </r>
      </text>
    </comment>
    <comment ref="H5" authorId="0" shapeId="0" xr:uid="{00000000-0006-0000-0100-000003000000}">
      <text>
        <r>
          <rPr>
            <sz val="9"/>
            <color indexed="81"/>
            <rFont val="Tahoma"/>
            <family val="2"/>
          </rPr>
          <t>De grafico consumo energía diaria LI  "SAF LI TGSN"
Reporte SAF</t>
        </r>
      </text>
    </comment>
    <comment ref="J5" authorId="0" shapeId="0" xr:uid="{00000000-0006-0000-0100-000004000000}">
      <text>
        <r>
          <rPr>
            <sz val="9"/>
            <color indexed="81"/>
            <rFont val="Tahoma"/>
            <family val="2"/>
          </rPr>
          <t>De Tabla de registro de datos, SAF QU TGSN, Potencia máxima
Reporte SAF</t>
        </r>
      </text>
    </comment>
    <comment ref="L5" authorId="0" shapeId="0" xr:uid="{00000000-0006-0000-0100-000005000000}">
      <text>
        <r>
          <rPr>
            <sz val="9"/>
            <color indexed="81"/>
            <rFont val="Tahoma"/>
            <family val="2"/>
          </rPr>
          <t>De grafico consumo energía diaria QU  "SAF QU TGSN"
Reporte SAF</t>
        </r>
      </text>
    </comment>
    <comment ref="N5" authorId="0" shapeId="0" xr:uid="{00000000-0006-0000-0100-000006000000}">
      <text>
        <r>
          <rPr>
            <sz val="9"/>
            <color indexed="81"/>
            <rFont val="Tahoma"/>
            <family val="2"/>
          </rPr>
          <t>De Tabla de registro de datos, SAF VM TGSN1, Potencia máxima
Reporte SAF</t>
        </r>
      </text>
    </comment>
    <comment ref="P5" authorId="0" shapeId="0" xr:uid="{00000000-0006-0000-0100-000007000000}">
      <text>
        <r>
          <rPr>
            <sz val="9"/>
            <color indexed="81"/>
            <rFont val="Tahoma"/>
            <family val="2"/>
          </rPr>
          <t>De Tabla de registro de datos, SAF VM TGSN2, Potencia máxima
Reporte SAF</t>
        </r>
      </text>
    </comment>
    <comment ref="S5" authorId="0" shapeId="0" xr:uid="{00000000-0006-0000-0100-000008000000}">
      <text>
        <r>
          <rPr>
            <sz val="9"/>
            <color indexed="81"/>
            <rFont val="Tahoma"/>
            <family val="2"/>
          </rPr>
          <t>De grafico consumo energía diaria VM  "SAF VM TGSN1"
Reporte SAF</t>
        </r>
      </text>
    </comment>
    <comment ref="T5" authorId="0" shapeId="0" xr:uid="{00000000-0006-0000-0100-000009000000}">
      <text>
        <r>
          <rPr>
            <sz val="9"/>
            <color indexed="81"/>
            <rFont val="Tahoma"/>
            <family val="2"/>
          </rPr>
          <t>De grafico consumo energía diaria VM "SAF VM TGSN2"
Reporte SAF</t>
        </r>
      </text>
    </comment>
    <comment ref="V5" authorId="0" shapeId="0" xr:uid="{00000000-0006-0000-0100-00000A000000}">
      <text>
        <r>
          <rPr>
            <sz val="9"/>
            <color indexed="81"/>
            <rFont val="Tahoma"/>
            <family val="2"/>
          </rPr>
          <t>De Tabla de registro de datos, SAF PU TGSN, Potencia máxima
Reporte SAF</t>
        </r>
      </text>
    </comment>
    <comment ref="X5" authorId="0" shapeId="0" xr:uid="{00000000-0006-0000-0100-00000B000000}">
      <text>
        <r>
          <rPr>
            <sz val="9"/>
            <color indexed="81"/>
            <rFont val="Tahoma"/>
            <family val="2"/>
          </rPr>
          <t>De grafico consumo energía diaria PU  "SAF PU TGSN"
Reporte SAF</t>
        </r>
      </text>
    </comment>
  </commentList>
</comments>
</file>

<file path=xl/sharedStrings.xml><?xml version="1.0" encoding="utf-8"?>
<sst xmlns="http://schemas.openxmlformats.org/spreadsheetml/2006/main" count="128" uniqueCount="75">
  <si>
    <t>Fecha</t>
  </si>
  <si>
    <t>RESUMEN CONSUMO ENERGÍA DIARIO</t>
  </si>
  <si>
    <t>SEAT SO</t>
  </si>
  <si>
    <t>SER PO</t>
  </si>
  <si>
    <t>SER ES</t>
  </si>
  <si>
    <t>SER VA</t>
  </si>
  <si>
    <t>TOTAL (KWh)</t>
  </si>
  <si>
    <t xml:space="preserve">% Energía Tracción </t>
  </si>
  <si>
    <t xml:space="preserve">Energía Tracción </t>
  </si>
  <si>
    <t>% Energía 12 KV</t>
  </si>
  <si>
    <t>Energía 12 KV</t>
  </si>
  <si>
    <t>Aporte energía SER 's en %</t>
  </si>
  <si>
    <t>Aporte energía SER 's en Kwh</t>
  </si>
  <si>
    <t>Energía ( Kwh)</t>
  </si>
  <si>
    <t>Potencia (KW)</t>
  </si>
  <si>
    <t>% Energía Tracción</t>
  </si>
  <si>
    <t>% Energía RVA1</t>
  </si>
  <si>
    <t>% Energía RVA2</t>
  </si>
  <si>
    <t>Energia ( Kwh)</t>
  </si>
  <si>
    <t xml:space="preserve">SER VA </t>
  </si>
  <si>
    <t xml:space="preserve"> Consumo Diario           SEAT </t>
  </si>
  <si>
    <t xml:space="preserve">Consumo Diario         52-7 </t>
  </si>
  <si>
    <t>Consumo Diario         Barra 12 KV</t>
  </si>
  <si>
    <t>Potencia SEAT Instantanea Máxima</t>
  </si>
  <si>
    <t>Hora</t>
  </si>
  <si>
    <t>DDA Max SEAT          (15 min)</t>
  </si>
  <si>
    <t>Potencia    12 KV Instantanea Máxima</t>
  </si>
  <si>
    <t>TOTAL</t>
  </si>
  <si>
    <t>Tracción</t>
  </si>
  <si>
    <t>12 KV</t>
  </si>
  <si>
    <t>DDA Max  Instantanea     Total</t>
  </si>
  <si>
    <t>DDA Max 12 KV</t>
  </si>
  <si>
    <t xml:space="preserve">TOTAL </t>
  </si>
  <si>
    <t xml:space="preserve">RVA1 </t>
  </si>
  <si>
    <t xml:space="preserve">RVA2 </t>
  </si>
  <si>
    <t>DDA Max RV1</t>
  </si>
  <si>
    <t>DDA Max RV2</t>
  </si>
  <si>
    <t>SAF LI</t>
  </si>
  <si>
    <t>SAF QU</t>
  </si>
  <si>
    <t>SAF VM</t>
  </si>
  <si>
    <t>SAF PU</t>
  </si>
  <si>
    <t>Potencia (kW) kW tot mean</t>
  </si>
  <si>
    <t>ENERGIA ( Kwh)</t>
  </si>
  <si>
    <t xml:space="preserve"> SAF LI Principal</t>
  </si>
  <si>
    <t>hora</t>
  </si>
  <si>
    <t xml:space="preserve"> SAF LI PRINCIPAL</t>
  </si>
  <si>
    <t>Taller</t>
  </si>
  <si>
    <t xml:space="preserve">  SAF LI TGSN</t>
  </si>
  <si>
    <t xml:space="preserve"> SAF QU</t>
  </si>
  <si>
    <t>TGSN1</t>
  </si>
  <si>
    <t>TGSN2</t>
  </si>
  <si>
    <t>Total</t>
  </si>
  <si>
    <t xml:space="preserve"> SAF PU</t>
  </si>
  <si>
    <t>Máx. Potencia Mes</t>
  </si>
  <si>
    <t>Máx. Energía Mes</t>
  </si>
  <si>
    <t>DDA Max  Instantanea     Total A1a2</t>
  </si>
  <si>
    <t>DDA Max  Instantanea     Total A2a2</t>
  </si>
  <si>
    <t>SER EB</t>
  </si>
  <si>
    <t xml:space="preserve"> A1a2</t>
  </si>
  <si>
    <t>Consumo Diario         52-8</t>
  </si>
  <si>
    <t xml:space="preserve"> Traccion</t>
  </si>
  <si>
    <t>LIMACHE</t>
  </si>
  <si>
    <t>QUILPUE</t>
  </si>
  <si>
    <t>VIÑA TGSN1</t>
  </si>
  <si>
    <t>VIÑA TGSN2</t>
  </si>
  <si>
    <t>PUERTO</t>
  </si>
  <si>
    <t>KWH TOTAL</t>
  </si>
  <si>
    <t>.--------------------------------------------------------------</t>
  </si>
  <si>
    <t xml:space="preserve"> </t>
  </si>
  <si>
    <t>19:052</t>
  </si>
  <si>
    <t>21.30</t>
  </si>
  <si>
    <t>17.45</t>
  </si>
  <si>
    <t>L</t>
  </si>
  <si>
    <t>S</t>
  </si>
  <si>
    <t>D/F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</si>
</sst>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/mm/yy;@"/>
    <numFmt numFmtId="165" formatCode="#,##0\ &quot;Kwh&quot;"/>
    <numFmt numFmtId="166" formatCode="#,##0\ &quot;Kw&quot;"/>
    <numFmt numFmtId="167" formatCode="h:mm\ &quot;hrs&quot;\ "/>
    <numFmt numFmtId="168" formatCode="[h]:mm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6">
    <xf numFmtId="0" fontId="0" fillId="0" borderId="0" xfId="0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/>
    </xf>
    <xf numFmtId="165" fontId="4" fillId="5" borderId="16" xfId="2" applyNumberFormat="1" applyFont="1" applyFill="1" applyBorder="1" applyAlignment="1">
      <alignment horizontal="center"/>
    </xf>
    <xf numFmtId="165" fontId="4" fillId="5" borderId="11" xfId="2" applyNumberFormat="1" applyFont="1" applyFill="1" applyBorder="1" applyAlignment="1">
      <alignment horizontal="center"/>
    </xf>
    <xf numFmtId="167" fontId="4" fillId="5" borderId="11" xfId="0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/>
    </xf>
    <xf numFmtId="164" fontId="5" fillId="3" borderId="30" xfId="0" applyNumberFormat="1" applyFont="1" applyFill="1" applyBorder="1" applyAlignment="1">
      <alignment horizontal="center"/>
    </xf>
    <xf numFmtId="165" fontId="4" fillId="3" borderId="34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20" fontId="4" fillId="5" borderId="36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166" fontId="4" fillId="5" borderId="32" xfId="2" applyNumberFormat="1" applyFont="1" applyFill="1" applyBorder="1" applyAlignment="1">
      <alignment horizontal="center"/>
    </xf>
    <xf numFmtId="165" fontId="4" fillId="5" borderId="12" xfId="2" applyNumberFormat="1" applyFont="1" applyFill="1" applyBorder="1" applyAlignment="1">
      <alignment horizontal="center"/>
    </xf>
    <xf numFmtId="165" fontId="4" fillId="5" borderId="1" xfId="2" applyNumberFormat="1" applyFont="1" applyFill="1" applyBorder="1" applyAlignment="1">
      <alignment horizontal="center"/>
    </xf>
    <xf numFmtId="167" fontId="4" fillId="5" borderId="17" xfId="0" applyNumberFormat="1" applyFont="1" applyFill="1" applyBorder="1" applyAlignment="1">
      <alignment horizontal="center"/>
    </xf>
    <xf numFmtId="165" fontId="4" fillId="0" borderId="16" xfId="2" applyNumberFormat="1" applyFont="1" applyFill="1" applyBorder="1" applyAlignment="1">
      <alignment horizontal="center"/>
    </xf>
    <xf numFmtId="0" fontId="0" fillId="2" borderId="2" xfId="0" applyFill="1" applyBorder="1"/>
    <xf numFmtId="0" fontId="0" fillId="0" borderId="4" xfId="0" applyBorder="1"/>
    <xf numFmtId="166" fontId="4" fillId="5" borderId="33" xfId="2" applyNumberFormat="1" applyFont="1" applyFill="1" applyBorder="1" applyAlignment="1">
      <alignment horizontal="center"/>
    </xf>
    <xf numFmtId="165" fontId="4" fillId="5" borderId="33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5" fontId="4" fillId="5" borderId="5" xfId="2" applyNumberFormat="1" applyFont="1" applyFill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8" xfId="0" applyBorder="1"/>
    <xf numFmtId="0" fontId="0" fillId="5" borderId="33" xfId="0" applyFill="1" applyBorder="1"/>
    <xf numFmtId="0" fontId="0" fillId="5" borderId="36" xfId="0" applyFill="1" applyBorder="1"/>
    <xf numFmtId="0" fontId="0" fillId="5" borderId="35" xfId="0" applyFill="1" applyBorder="1"/>
    <xf numFmtId="0" fontId="0" fillId="5" borderId="5" xfId="0" applyFill="1" applyBorder="1"/>
    <xf numFmtId="0" fontId="0" fillId="5" borderId="34" xfId="0" applyFill="1" applyBorder="1"/>
    <xf numFmtId="0" fontId="0" fillId="5" borderId="27" xfId="0" applyFill="1" applyBorder="1"/>
    <xf numFmtId="0" fontId="0" fillId="5" borderId="26" xfId="0" applyFill="1" applyBorder="1"/>
    <xf numFmtId="0" fontId="0" fillId="5" borderId="28" xfId="0" applyFill="1" applyBorder="1"/>
    <xf numFmtId="0" fontId="0" fillId="5" borderId="45" xfId="0" applyFill="1" applyBorder="1"/>
    <xf numFmtId="167" fontId="4" fillId="5" borderId="14" xfId="0" applyNumberFormat="1" applyFont="1" applyFill="1" applyBorder="1" applyAlignment="1">
      <alignment horizontal="center"/>
    </xf>
    <xf numFmtId="0" fontId="0" fillId="5" borderId="37" xfId="0" applyFill="1" applyBorder="1"/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0" fontId="0" fillId="0" borderId="0" xfId="0"/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4" fontId="5" fillId="0" borderId="19" xfId="0" applyNumberFormat="1" applyFont="1" applyFill="1" applyBorder="1" applyAlignment="1">
      <alignment horizontal="center"/>
    </xf>
    <xf numFmtId="0" fontId="0" fillId="6" borderId="6" xfId="0" applyFill="1" applyBorder="1"/>
    <xf numFmtId="0" fontId="8" fillId="0" borderId="0" xfId="0" applyFont="1" applyFill="1" applyBorder="1"/>
    <xf numFmtId="0" fontId="8" fillId="0" borderId="0" xfId="0" applyFont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8" fillId="4" borderId="5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20" fontId="8" fillId="0" borderId="0" xfId="1" applyNumberFormat="1" applyFont="1" applyFill="1" applyBorder="1" applyAlignment="1">
      <alignment horizontal="center"/>
    </xf>
    <xf numFmtId="3" fontId="8" fillId="5" borderId="1" xfId="0" applyNumberFormat="1" applyFont="1" applyFill="1" applyBorder="1"/>
    <xf numFmtId="20" fontId="8" fillId="5" borderId="1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9" fontId="8" fillId="3" borderId="9" xfId="2" applyFont="1" applyFill="1" applyBorder="1" applyAlignment="1">
      <alignment horizontal="center"/>
    </xf>
    <xf numFmtId="9" fontId="8" fillId="3" borderId="1" xfId="2" applyFont="1" applyFill="1" applyBorder="1" applyAlignment="1">
      <alignment horizontal="center"/>
    </xf>
    <xf numFmtId="3" fontId="8" fillId="5" borderId="9" xfId="0" applyNumberFormat="1" applyFont="1" applyFill="1" applyBorder="1"/>
    <xf numFmtId="9" fontId="8" fillId="3" borderId="30" xfId="2" applyFont="1" applyFill="1" applyBorder="1" applyAlignment="1">
      <alignment horizontal="center"/>
    </xf>
    <xf numFmtId="9" fontId="8" fillId="3" borderId="9" xfId="2" applyNumberFormat="1" applyFont="1" applyFill="1" applyBorder="1" applyAlignment="1">
      <alignment horizontal="center"/>
    </xf>
    <xf numFmtId="165" fontId="8" fillId="3" borderId="38" xfId="2" applyNumberFormat="1" applyFont="1" applyFill="1" applyBorder="1" applyAlignment="1">
      <alignment horizontal="center"/>
    </xf>
    <xf numFmtId="20" fontId="8" fillId="5" borderId="1" xfId="0" applyNumberFormat="1" applyFont="1" applyFill="1" applyBorder="1" applyAlignment="1"/>
    <xf numFmtId="3" fontId="8" fillId="5" borderId="38" xfId="0" applyNumberFormat="1" applyFont="1" applyFill="1" applyBorder="1" applyAlignment="1">
      <alignment horizontal="center"/>
    </xf>
    <xf numFmtId="9" fontId="8" fillId="0" borderId="19" xfId="2" applyFont="1" applyFill="1" applyBorder="1" applyAlignment="1">
      <alignment horizontal="center"/>
    </xf>
    <xf numFmtId="9" fontId="8" fillId="0" borderId="52" xfId="2" applyFont="1" applyFill="1" applyBorder="1" applyAlignment="1">
      <alignment horizontal="center"/>
    </xf>
    <xf numFmtId="9" fontId="8" fillId="0" borderId="20" xfId="2" applyNumberFormat="1" applyFont="1" applyFill="1" applyBorder="1" applyAlignment="1">
      <alignment horizontal="center"/>
    </xf>
    <xf numFmtId="165" fontId="8" fillId="0" borderId="52" xfId="2" applyNumberFormat="1" applyFont="1" applyFill="1" applyBorder="1" applyAlignment="1">
      <alignment horizontal="center"/>
    </xf>
    <xf numFmtId="0" fontId="8" fillId="2" borderId="48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165" fontId="8" fillId="3" borderId="30" xfId="2" applyNumberFormat="1" applyFont="1" applyFill="1" applyBorder="1" applyAlignment="1">
      <alignment horizontal="center"/>
    </xf>
    <xf numFmtId="165" fontId="8" fillId="0" borderId="30" xfId="2" applyNumberFormat="1" applyFont="1" applyFill="1" applyBorder="1" applyAlignment="1">
      <alignment horizontal="center"/>
    </xf>
    <xf numFmtId="9" fontId="8" fillId="3" borderId="31" xfId="2" applyFont="1" applyFill="1" applyBorder="1" applyAlignment="1">
      <alignment horizontal="center"/>
    </xf>
    <xf numFmtId="9" fontId="8" fillId="3" borderId="46" xfId="2" applyFont="1" applyFill="1" applyBorder="1" applyAlignment="1">
      <alignment horizontal="center"/>
    </xf>
    <xf numFmtId="165" fontId="8" fillId="0" borderId="19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34" xfId="2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20" fontId="8" fillId="8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3" fontId="8" fillId="7" borderId="38" xfId="0" applyNumberFormat="1" applyFont="1" applyFill="1" applyBorder="1"/>
    <xf numFmtId="3" fontId="8" fillId="7" borderId="9" xfId="0" applyNumberFormat="1" applyFont="1" applyFill="1" applyBorder="1"/>
    <xf numFmtId="3" fontId="8" fillId="7" borderId="1" xfId="0" applyNumberFormat="1" applyFont="1" applyFill="1" applyBorder="1"/>
    <xf numFmtId="20" fontId="8" fillId="7" borderId="38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9" fontId="8" fillId="3" borderId="47" xfId="2" applyFont="1" applyFill="1" applyBorder="1" applyAlignment="1">
      <alignment horizontal="center"/>
    </xf>
    <xf numFmtId="1" fontId="8" fillId="0" borderId="47" xfId="0" applyNumberFormat="1" applyFont="1" applyFill="1" applyBorder="1" applyAlignment="1">
      <alignment horizontal="center"/>
    </xf>
    <xf numFmtId="1" fontId="8" fillId="3" borderId="47" xfId="0" applyNumberFormat="1" applyFont="1" applyFill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1" fontId="8" fillId="9" borderId="47" xfId="0" applyNumberFormat="1" applyFont="1" applyFill="1" applyBorder="1"/>
    <xf numFmtId="168" fontId="8" fillId="9" borderId="47" xfId="0" applyNumberFormat="1" applyFont="1" applyFill="1" applyBorder="1"/>
    <xf numFmtId="9" fontId="8" fillId="0" borderId="47" xfId="0" applyNumberFormat="1" applyFont="1" applyFill="1" applyBorder="1" applyAlignment="1">
      <alignment horizontal="center"/>
    </xf>
    <xf numFmtId="165" fontId="8" fillId="3" borderId="47" xfId="0" applyNumberFormat="1" applyFont="1" applyFill="1" applyBorder="1" applyAlignment="1">
      <alignment horizontal="center"/>
    </xf>
    <xf numFmtId="166" fontId="8" fillId="9" borderId="47" xfId="0" applyNumberFormat="1" applyFont="1" applyFill="1" applyBorder="1" applyAlignment="1">
      <alignment horizontal="center"/>
    </xf>
    <xf numFmtId="165" fontId="8" fillId="9" borderId="47" xfId="0" applyNumberFormat="1" applyFont="1" applyFill="1" applyBorder="1" applyAlignment="1">
      <alignment horizontal="center"/>
    </xf>
    <xf numFmtId="168" fontId="8" fillId="9" borderId="47" xfId="0" applyNumberFormat="1" applyFont="1" applyFill="1" applyBorder="1" applyAlignment="1">
      <alignment horizontal="center"/>
    </xf>
    <xf numFmtId="1" fontId="8" fillId="9" borderId="47" xfId="0" applyNumberFormat="1" applyFont="1" applyFill="1" applyBorder="1" applyAlignment="1">
      <alignment horizontal="center"/>
    </xf>
    <xf numFmtId="166" fontId="8" fillId="0" borderId="1" xfId="1" applyNumberFormat="1" applyFont="1" applyFill="1" applyBorder="1" applyAlignment="1">
      <alignment horizontal="center"/>
    </xf>
    <xf numFmtId="166" fontId="8" fillId="0" borderId="30" xfId="1" applyNumberFormat="1" applyFont="1" applyFill="1" applyBorder="1" applyAlignment="1">
      <alignment horizontal="center"/>
    </xf>
    <xf numFmtId="166" fontId="8" fillId="0" borderId="50" xfId="1" applyNumberFormat="1" applyFont="1" applyFill="1" applyBorder="1" applyAlignment="1">
      <alignment horizontal="center"/>
    </xf>
    <xf numFmtId="166" fontId="8" fillId="0" borderId="38" xfId="1" applyNumberFormat="1" applyFont="1" applyFill="1" applyBorder="1" applyAlignment="1">
      <alignment horizontal="center"/>
    </xf>
    <xf numFmtId="165" fontId="8" fillId="0" borderId="50" xfId="0" applyNumberFormat="1" applyFont="1" applyFill="1" applyBorder="1" applyAlignment="1">
      <alignment horizontal="center"/>
    </xf>
    <xf numFmtId="166" fontId="8" fillId="0" borderId="47" xfId="1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0" fillId="0" borderId="54" xfId="0" applyBorder="1"/>
    <xf numFmtId="0" fontId="4" fillId="3" borderId="56" xfId="0" applyFont="1" applyFill="1" applyBorder="1" applyAlignment="1">
      <alignment horizontal="center"/>
    </xf>
    <xf numFmtId="0" fontId="8" fillId="0" borderId="56" xfId="0" applyFont="1" applyFill="1" applyBorder="1"/>
    <xf numFmtId="0" fontId="8" fillId="0" borderId="56" xfId="0" applyFont="1" applyFill="1" applyBorder="1" applyAlignment="1">
      <alignment horizontal="center" vertical="center" wrapText="1"/>
    </xf>
    <xf numFmtId="0" fontId="8" fillId="0" borderId="56" xfId="0" applyFont="1" applyBorder="1"/>
    <xf numFmtId="0" fontId="4" fillId="0" borderId="56" xfId="0" applyFont="1" applyBorder="1"/>
    <xf numFmtId="0" fontId="0" fillId="0" borderId="56" xfId="0" applyBorder="1"/>
    <xf numFmtId="0" fontId="0" fillId="0" borderId="63" xfId="0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164" fontId="5" fillId="3" borderId="55" xfId="0" applyNumberFormat="1" applyFont="1" applyFill="1" applyBorder="1" applyAlignment="1">
      <alignment horizontal="center"/>
    </xf>
    <xf numFmtId="0" fontId="4" fillId="3" borderId="65" xfId="0" applyFont="1" applyFill="1" applyBorder="1" applyAlignment="1">
      <alignment horizontal="center"/>
    </xf>
    <xf numFmtId="165" fontId="8" fillId="5" borderId="66" xfId="2" applyNumberFormat="1" applyFont="1" applyFill="1" applyBorder="1"/>
    <xf numFmtId="165" fontId="8" fillId="5" borderId="55" xfId="2" applyNumberFormat="1" applyFont="1" applyFill="1" applyBorder="1"/>
    <xf numFmtId="166" fontId="8" fillId="5" borderId="65" xfId="1" applyNumberFormat="1" applyFont="1" applyFill="1" applyBorder="1"/>
    <xf numFmtId="167" fontId="8" fillId="5" borderId="55" xfId="1" applyNumberFormat="1" applyFont="1" applyFill="1" applyBorder="1" applyAlignment="1">
      <alignment horizontal="center"/>
    </xf>
    <xf numFmtId="9" fontId="8" fillId="3" borderId="55" xfId="2" applyFont="1" applyFill="1" applyBorder="1" applyAlignment="1">
      <alignment horizontal="center"/>
    </xf>
    <xf numFmtId="9" fontId="8" fillId="3" borderId="65" xfId="2" applyFont="1" applyFill="1" applyBorder="1" applyAlignment="1">
      <alignment horizontal="center"/>
    </xf>
    <xf numFmtId="0" fontId="4" fillId="3" borderId="0" xfId="0" applyFont="1" applyFill="1" applyBorder="1"/>
    <xf numFmtId="165" fontId="8" fillId="0" borderId="55" xfId="2" applyNumberFormat="1" applyFont="1" applyFill="1" applyBorder="1" applyAlignment="1">
      <alignment horizontal="center"/>
    </xf>
    <xf numFmtId="165" fontId="8" fillId="8" borderId="55" xfId="2" applyNumberFormat="1" applyFont="1" applyFill="1" applyBorder="1" applyAlignment="1">
      <alignment horizontal="center"/>
    </xf>
    <xf numFmtId="166" fontId="8" fillId="8" borderId="55" xfId="1" applyNumberFormat="1" applyFont="1" applyFill="1" applyBorder="1" applyAlignment="1">
      <alignment horizontal="center"/>
    </xf>
    <xf numFmtId="167" fontId="8" fillId="8" borderId="55" xfId="0" applyNumberFormat="1" applyFont="1" applyFill="1" applyBorder="1" applyAlignment="1">
      <alignment horizontal="center"/>
    </xf>
    <xf numFmtId="165" fontId="8" fillId="7" borderId="65" xfId="2" applyNumberFormat="1" applyFont="1" applyFill="1" applyBorder="1" applyAlignment="1">
      <alignment horizontal="center"/>
    </xf>
    <xf numFmtId="165" fontId="8" fillId="7" borderId="66" xfId="2" applyNumberFormat="1" applyFont="1" applyFill="1" applyBorder="1" applyAlignment="1">
      <alignment horizontal="center"/>
    </xf>
    <xf numFmtId="166" fontId="8" fillId="7" borderId="55" xfId="1" applyNumberFormat="1" applyFont="1" applyFill="1" applyBorder="1" applyAlignment="1">
      <alignment horizontal="center"/>
    </xf>
    <xf numFmtId="167" fontId="8" fillId="7" borderId="65" xfId="0" applyNumberFormat="1" applyFont="1" applyFill="1" applyBorder="1" applyAlignment="1">
      <alignment horizontal="center"/>
    </xf>
    <xf numFmtId="167" fontId="8" fillId="7" borderId="67" xfId="0" applyNumberFormat="1" applyFont="1" applyFill="1" applyBorder="1" applyAlignment="1">
      <alignment horizontal="center"/>
    </xf>
    <xf numFmtId="165" fontId="8" fillId="5" borderId="55" xfId="2" applyNumberFormat="1" applyFont="1" applyFill="1" applyBorder="1" applyAlignment="1">
      <alignment horizontal="center"/>
    </xf>
    <xf numFmtId="166" fontId="8" fillId="5" borderId="66" xfId="1" applyNumberFormat="1" applyFont="1" applyFill="1" applyBorder="1" applyAlignment="1">
      <alignment horizontal="center"/>
    </xf>
    <xf numFmtId="167" fontId="8" fillId="5" borderId="55" xfId="0" applyNumberFormat="1" applyFont="1" applyFill="1" applyBorder="1" applyAlignment="1">
      <alignment horizontal="center"/>
    </xf>
    <xf numFmtId="166" fontId="8" fillId="5" borderId="65" xfId="1" applyNumberFormat="1" applyFont="1" applyFill="1" applyBorder="1" applyAlignment="1">
      <alignment horizontal="center"/>
    </xf>
    <xf numFmtId="9" fontId="8" fillId="0" borderId="55" xfId="2" applyFont="1" applyFill="1" applyBorder="1" applyAlignment="1">
      <alignment horizontal="center"/>
    </xf>
    <xf numFmtId="9" fontId="8" fillId="0" borderId="66" xfId="2" applyFont="1" applyFill="1" applyBorder="1" applyAlignment="1">
      <alignment horizontal="center"/>
    </xf>
    <xf numFmtId="9" fontId="8" fillId="0" borderId="67" xfId="2" applyFont="1" applyFill="1" applyBorder="1" applyAlignment="1">
      <alignment horizontal="center"/>
    </xf>
    <xf numFmtId="9" fontId="8" fillId="0" borderId="65" xfId="2" applyFont="1" applyFill="1" applyBorder="1" applyAlignment="1">
      <alignment horizontal="center"/>
    </xf>
    <xf numFmtId="165" fontId="8" fillId="8" borderId="55" xfId="0" applyNumberFormat="1" applyFont="1" applyFill="1" applyBorder="1"/>
    <xf numFmtId="0" fontId="4" fillId="0" borderId="65" xfId="0" applyFont="1" applyFill="1" applyBorder="1" applyAlignment="1">
      <alignment horizontal="center"/>
    </xf>
    <xf numFmtId="20" fontId="8" fillId="8" borderId="55" xfId="0" applyNumberFormat="1" applyFont="1" applyFill="1" applyBorder="1" applyAlignment="1">
      <alignment horizontal="center"/>
    </xf>
    <xf numFmtId="0" fontId="0" fillId="0" borderId="63" xfId="0" applyFill="1" applyBorder="1"/>
    <xf numFmtId="0" fontId="0" fillId="0" borderId="0" xfId="0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9" fontId="8" fillId="0" borderId="47" xfId="0" applyNumberFormat="1" applyFont="1" applyBorder="1" applyAlignment="1">
      <alignment horizontal="center"/>
    </xf>
    <xf numFmtId="165" fontId="8" fillId="0" borderId="50" xfId="0" applyNumberFormat="1" applyFont="1" applyBorder="1" applyAlignment="1">
      <alignment horizontal="center"/>
    </xf>
    <xf numFmtId="9" fontId="8" fillId="0" borderId="20" xfId="2" applyFont="1" applyFill="1" applyBorder="1" applyAlignment="1">
      <alignment horizontal="center"/>
    </xf>
    <xf numFmtId="166" fontId="4" fillId="5" borderId="58" xfId="2" applyNumberFormat="1" applyFont="1" applyFill="1" applyBorder="1" applyAlignment="1">
      <alignment horizontal="center"/>
    </xf>
    <xf numFmtId="167" fontId="4" fillId="5" borderId="58" xfId="0" applyNumberFormat="1" applyFont="1" applyFill="1" applyBorder="1" applyAlignment="1">
      <alignment horizontal="center"/>
    </xf>
    <xf numFmtId="165" fontId="4" fillId="5" borderId="58" xfId="2" applyNumberFormat="1" applyFont="1" applyFill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65" fontId="0" fillId="0" borderId="0" xfId="0" applyNumberFormat="1" applyBorder="1"/>
    <xf numFmtId="165" fontId="8" fillId="3" borderId="0" xfId="2" applyNumberFormat="1" applyFont="1" applyFill="1" applyBorder="1"/>
    <xf numFmtId="0" fontId="0" fillId="0" borderId="58" xfId="0" applyBorder="1"/>
    <xf numFmtId="9" fontId="0" fillId="0" borderId="58" xfId="2" applyFont="1" applyBorder="1"/>
    <xf numFmtId="165" fontId="0" fillId="0" borderId="58" xfId="0" applyNumberFormat="1" applyBorder="1"/>
    <xf numFmtId="14" fontId="0" fillId="0" borderId="58" xfId="0" applyNumberFormat="1" applyBorder="1"/>
    <xf numFmtId="165" fontId="9" fillId="9" borderId="47" xfId="0" applyNumberFormat="1" applyFont="1" applyFill="1" applyBorder="1" applyAlignment="1">
      <alignment horizontal="center"/>
    </xf>
    <xf numFmtId="0" fontId="4" fillId="0" borderId="65" xfId="0" applyFont="1" applyBorder="1" applyAlignment="1">
      <alignment horizontal="center"/>
    </xf>
    <xf numFmtId="166" fontId="8" fillId="9" borderId="55" xfId="1" applyNumberFormat="1" applyFont="1" applyFill="1" applyBorder="1" applyAlignment="1">
      <alignment horizontal="center"/>
    </xf>
    <xf numFmtId="165" fontId="4" fillId="0" borderId="58" xfId="2" applyNumberFormat="1" applyFont="1" applyFill="1" applyBorder="1" applyAlignment="1">
      <alignment horizontal="center"/>
    </xf>
    <xf numFmtId="0" fontId="8" fillId="4" borderId="61" xfId="0" applyFont="1" applyFill="1" applyBorder="1" applyAlignment="1">
      <alignment horizontal="center" vertical="center" wrapText="1"/>
    </xf>
    <xf numFmtId="0" fontId="8" fillId="4" borderId="56" xfId="0" applyFont="1" applyFill="1" applyBorder="1" applyAlignment="1">
      <alignment horizontal="center" vertical="center" wrapText="1"/>
    </xf>
    <xf numFmtId="0" fontId="8" fillId="4" borderId="6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3" fillId="2" borderId="55" xfId="0" applyFont="1" applyFill="1" applyBorder="1" applyAlignment="1">
      <alignment horizontal="center" vertical="center" wrapText="1"/>
    </xf>
    <xf numFmtId="0" fontId="3" fillId="2" borderId="64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53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  <xf numFmtId="0" fontId="0" fillId="5" borderId="63" xfId="0" applyFill="1" applyBorder="1"/>
    <xf numFmtId="164" fontId="5" fillId="5" borderId="19" xfId="0" applyNumberFormat="1" applyFont="1" applyFill="1" applyBorder="1" applyAlignment="1">
      <alignment horizontal="center"/>
    </xf>
    <xf numFmtId="0" fontId="4" fillId="5" borderId="50" xfId="0" applyFont="1" applyFill="1" applyBorder="1" applyAlignment="1">
      <alignment horizontal="center"/>
    </xf>
    <xf numFmtId="165" fontId="8" fillId="5" borderId="19" xfId="2" applyNumberFormat="1" applyFont="1" applyFill="1" applyBorder="1" applyAlignment="1">
      <alignment horizontal="center"/>
    </xf>
    <xf numFmtId="9" fontId="8" fillId="5" borderId="55" xfId="2" applyFont="1" applyFill="1" applyBorder="1" applyAlignment="1">
      <alignment horizontal="center"/>
    </xf>
    <xf numFmtId="9" fontId="8" fillId="5" borderId="66" xfId="2" applyFont="1" applyFill="1" applyBorder="1" applyAlignment="1">
      <alignment horizontal="center"/>
    </xf>
    <xf numFmtId="9" fontId="8" fillId="5" borderId="67" xfId="2" applyFont="1" applyFill="1" applyBorder="1" applyAlignment="1">
      <alignment horizontal="center"/>
    </xf>
    <xf numFmtId="9" fontId="8" fillId="5" borderId="19" xfId="2" applyFont="1" applyFill="1" applyBorder="1" applyAlignment="1">
      <alignment horizontal="center"/>
    </xf>
    <xf numFmtId="9" fontId="8" fillId="5" borderId="65" xfId="2" applyFont="1" applyFill="1" applyBorder="1" applyAlignment="1">
      <alignment horizontal="center"/>
    </xf>
    <xf numFmtId="165" fontId="8" fillId="5" borderId="55" xfId="0" applyNumberFormat="1" applyFont="1" applyFill="1" applyBorder="1"/>
    <xf numFmtId="166" fontId="8" fillId="5" borderId="50" xfId="1" applyNumberFormat="1" applyFont="1" applyFill="1" applyBorder="1" applyAlignment="1">
      <alignment horizontal="center"/>
    </xf>
    <xf numFmtId="166" fontId="8" fillId="5" borderId="55" xfId="1" applyNumberFormat="1" applyFont="1" applyFill="1" applyBorder="1" applyAlignment="1">
      <alignment horizontal="center"/>
    </xf>
    <xf numFmtId="20" fontId="8" fillId="5" borderId="55" xfId="0" applyNumberFormat="1" applyFont="1" applyFill="1" applyBorder="1" applyAlignment="1">
      <alignment horizontal="center"/>
    </xf>
    <xf numFmtId="9" fontId="8" fillId="5" borderId="52" xfId="2" applyFont="1" applyFill="1" applyBorder="1" applyAlignment="1">
      <alignment horizontal="center"/>
    </xf>
    <xf numFmtId="165" fontId="8" fillId="5" borderId="65" xfId="2" applyNumberFormat="1" applyFont="1" applyFill="1" applyBorder="1" applyAlignment="1">
      <alignment horizontal="center"/>
    </xf>
    <xf numFmtId="166" fontId="8" fillId="5" borderId="30" xfId="1" applyNumberFormat="1" applyFont="1" applyFill="1" applyBorder="1" applyAlignment="1">
      <alignment horizontal="center"/>
    </xf>
    <xf numFmtId="165" fontId="8" fillId="5" borderId="66" xfId="2" applyNumberFormat="1" applyFont="1" applyFill="1" applyBorder="1" applyAlignment="1">
      <alignment horizontal="center"/>
    </xf>
    <xf numFmtId="167" fontId="8" fillId="5" borderId="65" xfId="0" applyNumberFormat="1" applyFont="1" applyFill="1" applyBorder="1" applyAlignment="1">
      <alignment horizontal="center"/>
    </xf>
    <xf numFmtId="167" fontId="8" fillId="5" borderId="67" xfId="0" applyNumberFormat="1" applyFont="1" applyFill="1" applyBorder="1" applyAlignment="1">
      <alignment horizontal="center"/>
    </xf>
    <xf numFmtId="9" fontId="8" fillId="5" borderId="47" xfId="0" applyNumberFormat="1" applyFont="1" applyFill="1" applyBorder="1" applyAlignment="1">
      <alignment horizontal="center"/>
    </xf>
    <xf numFmtId="165" fontId="8" fillId="5" borderId="47" xfId="0" applyNumberFormat="1" applyFont="1" applyFill="1" applyBorder="1" applyAlignment="1">
      <alignment horizontal="center"/>
    </xf>
    <xf numFmtId="166" fontId="8" fillId="5" borderId="47" xfId="0" applyNumberFormat="1" applyFont="1" applyFill="1" applyBorder="1" applyAlignment="1">
      <alignment horizontal="center"/>
    </xf>
    <xf numFmtId="165" fontId="8" fillId="5" borderId="50" xfId="0" applyNumberFormat="1" applyFont="1" applyFill="1" applyBorder="1" applyAlignment="1">
      <alignment horizontal="center"/>
    </xf>
    <xf numFmtId="168" fontId="8" fillId="5" borderId="47" xfId="0" applyNumberFormat="1" applyFont="1" applyFill="1" applyBorder="1" applyAlignment="1">
      <alignment horizontal="center"/>
    </xf>
    <xf numFmtId="1" fontId="8" fillId="5" borderId="47" xfId="0" applyNumberFormat="1" applyFont="1" applyFill="1" applyBorder="1" applyAlignment="1">
      <alignment horizontal="center"/>
    </xf>
    <xf numFmtId="9" fontId="8" fillId="5" borderId="20" xfId="2" applyNumberFormat="1" applyFont="1" applyFill="1" applyBorder="1" applyAlignment="1">
      <alignment horizontal="center"/>
    </xf>
    <xf numFmtId="165" fontId="8" fillId="5" borderId="52" xfId="2" applyNumberFormat="1" applyFont="1" applyFill="1" applyBorder="1" applyAlignment="1">
      <alignment horizontal="center"/>
    </xf>
    <xf numFmtId="0" fontId="0" fillId="5" borderId="0" xfId="0" applyFill="1" applyBorder="1"/>
    <xf numFmtId="0" fontId="0" fillId="10" borderId="63" xfId="0" applyFill="1" applyBorder="1"/>
    <xf numFmtId="164" fontId="5" fillId="10" borderId="19" xfId="0" applyNumberFormat="1" applyFont="1" applyFill="1" applyBorder="1" applyAlignment="1">
      <alignment horizontal="center"/>
    </xf>
    <xf numFmtId="0" fontId="4" fillId="10" borderId="65" xfId="0" applyFont="1" applyFill="1" applyBorder="1" applyAlignment="1">
      <alignment horizontal="center"/>
    </xf>
    <xf numFmtId="165" fontId="8" fillId="10" borderId="19" xfId="2" applyNumberFormat="1" applyFont="1" applyFill="1" applyBorder="1" applyAlignment="1">
      <alignment horizontal="center"/>
    </xf>
    <xf numFmtId="9" fontId="8" fillId="10" borderId="55" xfId="2" applyFont="1" applyFill="1" applyBorder="1" applyAlignment="1">
      <alignment horizontal="center"/>
    </xf>
    <xf numFmtId="165" fontId="8" fillId="10" borderId="55" xfId="2" applyNumberFormat="1" applyFont="1" applyFill="1" applyBorder="1" applyAlignment="1">
      <alignment horizontal="center"/>
    </xf>
    <xf numFmtId="9" fontId="8" fillId="10" borderId="66" xfId="2" applyFont="1" applyFill="1" applyBorder="1" applyAlignment="1">
      <alignment horizontal="center"/>
    </xf>
    <xf numFmtId="9" fontId="8" fillId="10" borderId="67" xfId="2" applyFont="1" applyFill="1" applyBorder="1" applyAlignment="1">
      <alignment horizontal="center"/>
    </xf>
    <xf numFmtId="165" fontId="8" fillId="10" borderId="66" xfId="2" applyNumberFormat="1" applyFont="1" applyFill="1" applyBorder="1"/>
    <xf numFmtId="165" fontId="8" fillId="10" borderId="55" xfId="2" applyNumberFormat="1" applyFont="1" applyFill="1" applyBorder="1"/>
    <xf numFmtId="166" fontId="8" fillId="10" borderId="65" xfId="1" applyNumberFormat="1" applyFont="1" applyFill="1" applyBorder="1"/>
    <xf numFmtId="167" fontId="8" fillId="10" borderId="55" xfId="1" applyNumberFormat="1" applyFont="1" applyFill="1" applyBorder="1" applyAlignment="1">
      <alignment horizontal="center"/>
    </xf>
    <xf numFmtId="9" fontId="8" fillId="10" borderId="19" xfId="2" applyFont="1" applyFill="1" applyBorder="1" applyAlignment="1">
      <alignment horizontal="center"/>
    </xf>
    <xf numFmtId="9" fontId="8" fillId="10" borderId="65" xfId="2" applyFont="1" applyFill="1" applyBorder="1" applyAlignment="1">
      <alignment horizontal="center"/>
    </xf>
    <xf numFmtId="165" fontId="8" fillId="10" borderId="55" xfId="0" applyNumberFormat="1" applyFont="1" applyFill="1" applyBorder="1"/>
    <xf numFmtId="166" fontId="8" fillId="10" borderId="50" xfId="1" applyNumberFormat="1" applyFont="1" applyFill="1" applyBorder="1" applyAlignment="1">
      <alignment horizontal="center"/>
    </xf>
    <xf numFmtId="166" fontId="8" fillId="10" borderId="55" xfId="1" applyNumberFormat="1" applyFont="1" applyFill="1" applyBorder="1" applyAlignment="1">
      <alignment horizontal="center"/>
    </xf>
    <xf numFmtId="167" fontId="8" fillId="10" borderId="55" xfId="0" applyNumberFormat="1" applyFont="1" applyFill="1" applyBorder="1" applyAlignment="1">
      <alignment horizontal="center"/>
    </xf>
    <xf numFmtId="20" fontId="8" fillId="10" borderId="55" xfId="0" applyNumberFormat="1" applyFont="1" applyFill="1" applyBorder="1" applyAlignment="1">
      <alignment horizontal="center"/>
    </xf>
    <xf numFmtId="9" fontId="8" fillId="10" borderId="52" xfId="2" applyFont="1" applyFill="1" applyBorder="1" applyAlignment="1">
      <alignment horizontal="center"/>
    </xf>
    <xf numFmtId="165" fontId="8" fillId="10" borderId="65" xfId="2" applyNumberFormat="1" applyFont="1" applyFill="1" applyBorder="1" applyAlignment="1">
      <alignment horizontal="center"/>
    </xf>
    <xf numFmtId="166" fontId="8" fillId="10" borderId="30" xfId="1" applyNumberFormat="1" applyFont="1" applyFill="1" applyBorder="1" applyAlignment="1">
      <alignment horizontal="center"/>
    </xf>
    <xf numFmtId="165" fontId="8" fillId="10" borderId="66" xfId="2" applyNumberFormat="1" applyFont="1" applyFill="1" applyBorder="1" applyAlignment="1">
      <alignment horizontal="center"/>
    </xf>
    <xf numFmtId="167" fontId="8" fillId="10" borderId="65" xfId="0" applyNumberFormat="1" applyFont="1" applyFill="1" applyBorder="1" applyAlignment="1">
      <alignment horizontal="center"/>
    </xf>
    <xf numFmtId="167" fontId="8" fillId="10" borderId="67" xfId="0" applyNumberFormat="1" applyFont="1" applyFill="1" applyBorder="1" applyAlignment="1">
      <alignment horizontal="center"/>
    </xf>
    <xf numFmtId="9" fontId="8" fillId="10" borderId="47" xfId="0" applyNumberFormat="1" applyFont="1" applyFill="1" applyBorder="1" applyAlignment="1">
      <alignment horizontal="center"/>
    </xf>
    <xf numFmtId="165" fontId="8" fillId="10" borderId="47" xfId="0" applyNumberFormat="1" applyFont="1" applyFill="1" applyBorder="1" applyAlignment="1">
      <alignment horizontal="center"/>
    </xf>
    <xf numFmtId="166" fontId="8" fillId="10" borderId="47" xfId="0" applyNumberFormat="1" applyFont="1" applyFill="1" applyBorder="1" applyAlignment="1">
      <alignment horizontal="center"/>
    </xf>
    <xf numFmtId="165" fontId="8" fillId="10" borderId="50" xfId="0" applyNumberFormat="1" applyFont="1" applyFill="1" applyBorder="1" applyAlignment="1">
      <alignment horizontal="center"/>
    </xf>
    <xf numFmtId="168" fontId="8" fillId="10" borderId="47" xfId="0" applyNumberFormat="1" applyFont="1" applyFill="1" applyBorder="1" applyAlignment="1">
      <alignment horizontal="center"/>
    </xf>
    <xf numFmtId="1" fontId="8" fillId="10" borderId="47" xfId="0" applyNumberFormat="1" applyFont="1" applyFill="1" applyBorder="1" applyAlignment="1">
      <alignment horizontal="center"/>
    </xf>
    <xf numFmtId="9" fontId="8" fillId="10" borderId="20" xfId="2" applyNumberFormat="1" applyFont="1" applyFill="1" applyBorder="1" applyAlignment="1">
      <alignment horizontal="center"/>
    </xf>
    <xf numFmtId="165" fontId="8" fillId="10" borderId="52" xfId="2" applyNumberFormat="1" applyFont="1" applyFill="1" applyBorder="1" applyAlignment="1">
      <alignment horizontal="center"/>
    </xf>
    <xf numFmtId="166" fontId="8" fillId="10" borderId="66" xfId="1" applyNumberFormat="1" applyFont="1" applyFill="1" applyBorder="1" applyAlignment="1">
      <alignment horizontal="center"/>
    </xf>
    <xf numFmtId="166" fontId="8" fillId="10" borderId="65" xfId="1" applyNumberFormat="1" applyFont="1" applyFill="1" applyBorder="1" applyAlignment="1">
      <alignment horizontal="center"/>
    </xf>
    <xf numFmtId="0" fontId="0" fillId="10" borderId="0" xfId="0" applyFill="1" applyBorder="1"/>
    <xf numFmtId="165" fontId="8" fillId="0" borderId="66" xfId="2" applyNumberFormat="1" applyFont="1" applyFill="1" applyBorder="1"/>
    <xf numFmtId="165" fontId="8" fillId="0" borderId="55" xfId="2" applyNumberFormat="1" applyFont="1" applyFill="1" applyBorder="1"/>
    <xf numFmtId="166" fontId="8" fillId="0" borderId="65" xfId="1" applyNumberFormat="1" applyFont="1" applyFill="1" applyBorder="1"/>
    <xf numFmtId="167" fontId="8" fillId="0" borderId="55" xfId="1" applyNumberFormat="1" applyFont="1" applyFill="1" applyBorder="1" applyAlignment="1">
      <alignment horizontal="center"/>
    </xf>
    <xf numFmtId="165" fontId="8" fillId="0" borderId="55" xfId="0" applyNumberFormat="1" applyFont="1" applyFill="1" applyBorder="1"/>
    <xf numFmtId="166" fontId="8" fillId="0" borderId="55" xfId="1" applyNumberFormat="1" applyFont="1" applyFill="1" applyBorder="1" applyAlignment="1">
      <alignment horizontal="center"/>
    </xf>
    <xf numFmtId="167" fontId="8" fillId="0" borderId="55" xfId="0" applyNumberFormat="1" applyFont="1" applyFill="1" applyBorder="1" applyAlignment="1">
      <alignment horizontal="center"/>
    </xf>
    <xf numFmtId="20" fontId="8" fillId="0" borderId="55" xfId="0" applyNumberFormat="1" applyFont="1" applyFill="1" applyBorder="1" applyAlignment="1">
      <alignment horizontal="center"/>
    </xf>
    <xf numFmtId="165" fontId="8" fillId="0" borderId="65" xfId="2" applyNumberFormat="1" applyFont="1" applyFill="1" applyBorder="1" applyAlignment="1">
      <alignment horizontal="center"/>
    </xf>
    <xf numFmtId="165" fontId="8" fillId="0" borderId="66" xfId="2" applyNumberFormat="1" applyFont="1" applyFill="1" applyBorder="1" applyAlignment="1">
      <alignment horizontal="center"/>
    </xf>
    <xf numFmtId="167" fontId="8" fillId="0" borderId="65" xfId="0" applyNumberFormat="1" applyFont="1" applyFill="1" applyBorder="1" applyAlignment="1">
      <alignment horizontal="center"/>
    </xf>
    <xf numFmtId="167" fontId="8" fillId="0" borderId="67" xfId="0" applyNumberFormat="1" applyFont="1" applyFill="1" applyBorder="1" applyAlignment="1">
      <alignment horizontal="center"/>
    </xf>
    <xf numFmtId="165" fontId="8" fillId="0" borderId="47" xfId="0" applyNumberFormat="1" applyFont="1" applyFill="1" applyBorder="1" applyAlignment="1">
      <alignment horizontal="center"/>
    </xf>
    <xf numFmtId="166" fontId="8" fillId="0" borderId="47" xfId="0" applyNumberFormat="1" applyFont="1" applyFill="1" applyBorder="1" applyAlignment="1">
      <alignment horizontal="center"/>
    </xf>
    <xf numFmtId="168" fontId="8" fillId="0" borderId="47" xfId="0" applyNumberFormat="1" applyFont="1" applyFill="1" applyBorder="1" applyAlignment="1">
      <alignment horizontal="center"/>
    </xf>
    <xf numFmtId="166" fontId="8" fillId="0" borderId="66" xfId="1" applyNumberFormat="1" applyFont="1" applyFill="1" applyBorder="1" applyAlignment="1">
      <alignment horizontal="center"/>
    </xf>
    <xf numFmtId="166" fontId="8" fillId="0" borderId="65" xfId="1" applyNumberFormat="1" applyFont="1" applyFill="1" applyBorder="1" applyAlignment="1">
      <alignment horizontal="center"/>
    </xf>
    <xf numFmtId="0" fontId="4" fillId="5" borderId="65" xfId="0" applyFont="1" applyFill="1" applyBorder="1" applyAlignment="1">
      <alignment horizontal="center"/>
    </xf>
  </cellXfs>
  <cellStyles count="10">
    <cellStyle name="Millares" xfId="1" builtinId="3"/>
    <cellStyle name="Millares 2" xfId="3" xr:uid="{00000000-0005-0000-0000-000001000000}"/>
    <cellStyle name="Millares 2 2" xfId="5" xr:uid="{00000000-0005-0000-0000-000002000000}"/>
    <cellStyle name="Millares 2 2 2" xfId="9" xr:uid="{00000000-0005-0000-0000-000003000000}"/>
    <cellStyle name="Millares 2 3" xfId="7" xr:uid="{00000000-0005-0000-0000-000004000000}"/>
    <cellStyle name="Millares 3" xfId="4" xr:uid="{00000000-0005-0000-0000-000005000000}"/>
    <cellStyle name="Millares 3 2" xfId="8" xr:uid="{00000000-0005-0000-0000-000006000000}"/>
    <cellStyle name="Millares 4" xfId="6" xr:uid="{00000000-0005-0000-0000-000007000000}"/>
    <cellStyle name="Normal" xfId="0" builtinId="0"/>
    <cellStyle name="Porcentaje" xfId="2" builtinId="5"/>
  </cellStyles>
  <dxfs count="85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</c:numCache>
            </c:numRef>
          </c:cat>
          <c:val>
            <c:numRef>
              <c:f>'SEAT-SERs'!$D$7:$D$18</c:f>
              <c:numCache>
                <c:formatCode>#,##0\ "Kwh"</c:formatCode>
                <c:ptCount val="12"/>
                <c:pt idx="0">
                  <c:v>30224</c:v>
                </c:pt>
                <c:pt idx="1">
                  <c:v>50930</c:v>
                </c:pt>
                <c:pt idx="2">
                  <c:v>32846</c:v>
                </c:pt>
                <c:pt idx="3">
                  <c:v>27816</c:v>
                </c:pt>
                <c:pt idx="4">
                  <c:v>51616</c:v>
                </c:pt>
                <c:pt idx="5">
                  <c:v>54502</c:v>
                </c:pt>
                <c:pt idx="6">
                  <c:v>54168</c:v>
                </c:pt>
                <c:pt idx="7">
                  <c:v>54578</c:v>
                </c:pt>
                <c:pt idx="8">
                  <c:v>54968</c:v>
                </c:pt>
                <c:pt idx="9">
                  <c:v>34088</c:v>
                </c:pt>
                <c:pt idx="10">
                  <c:v>28084</c:v>
                </c:pt>
                <c:pt idx="11">
                  <c:v>52400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4-4CB3-B1A5-BCD5578B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28064"/>
        <c:axId val="-1022233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'SEAT-SERs'!$B$7:$B$18</c15:sqref>
                        </c15:formulaRef>
                      </c:ext>
                    </c:extLst>
                    <c:numCache>
                      <c:formatCode>dd/mm/yy;@</c:formatCode>
                      <c:ptCount val="12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'SEAT-SERs'!$C$7:$C$18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C4-4CB3-B1A5-BCD5578B6ED2}"/>
                  </c:ext>
                </c:extLst>
              </c15:ser>
            </c15:filteredLineSeries>
          </c:ext>
        </c:extLst>
      </c:lineChart>
      <c:dateAx>
        <c:axId val="-1022228064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3504"/>
        <c:crosses val="autoZero"/>
        <c:auto val="1"/>
        <c:lblOffset val="100"/>
        <c:baseTimeUnit val="days"/>
      </c:dateAx>
      <c:valAx>
        <c:axId val="-10222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2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ENERGIA TRACCION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</c:numCache>
            </c:numRef>
          </c:cat>
          <c:val>
            <c:numRef>
              <c:f>'SEAT-SERs'!$F$7:$F$18</c:f>
              <c:numCache>
                <c:formatCode>#,##0\ "Kwh"</c:formatCode>
                <c:ptCount val="12"/>
                <c:pt idx="0">
                  <c:v>23868.91</c:v>
                </c:pt>
                <c:pt idx="1">
                  <c:v>44488</c:v>
                </c:pt>
                <c:pt idx="2">
                  <c:v>26599</c:v>
                </c:pt>
                <c:pt idx="3">
                  <c:v>21155</c:v>
                </c:pt>
                <c:pt idx="4">
                  <c:v>45044</c:v>
                </c:pt>
                <c:pt idx="5">
                  <c:v>47772</c:v>
                </c:pt>
                <c:pt idx="6">
                  <c:v>47375</c:v>
                </c:pt>
                <c:pt idx="7">
                  <c:v>47820</c:v>
                </c:pt>
                <c:pt idx="8">
                  <c:v>48235</c:v>
                </c:pt>
                <c:pt idx="9">
                  <c:v>27706</c:v>
                </c:pt>
                <c:pt idx="10">
                  <c:v>21790</c:v>
                </c:pt>
                <c:pt idx="11">
                  <c:v>45738.01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7-4A02-9FCE-544445E5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35680"/>
        <c:axId val="-1022230784"/>
      </c:lineChart>
      <c:dateAx>
        <c:axId val="-102223568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0784"/>
        <c:crosses val="autoZero"/>
        <c:auto val="1"/>
        <c:lblOffset val="100"/>
        <c:baseTimeUnit val="days"/>
      </c:dateAx>
      <c:valAx>
        <c:axId val="-10222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5810556262679557"/>
          <c:y val="0.22546791970382762"/>
          <c:w val="0.68856108367877211"/>
          <c:h val="0.6431328352692393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'SEAT-SERs'!$H$7:$H$18</c:f>
              <c:numCache>
                <c:formatCode>#,##0\ "Kwh"</c:formatCode>
                <c:ptCount val="12"/>
                <c:pt idx="0">
                  <c:v>6355.09</c:v>
                </c:pt>
                <c:pt idx="1">
                  <c:v>6442</c:v>
                </c:pt>
                <c:pt idx="2">
                  <c:v>6247</c:v>
                </c:pt>
                <c:pt idx="3">
                  <c:v>6661</c:v>
                </c:pt>
                <c:pt idx="4">
                  <c:v>6572</c:v>
                </c:pt>
                <c:pt idx="5">
                  <c:v>6730</c:v>
                </c:pt>
                <c:pt idx="6">
                  <c:v>6793</c:v>
                </c:pt>
                <c:pt idx="7">
                  <c:v>6758</c:v>
                </c:pt>
                <c:pt idx="8">
                  <c:v>6733</c:v>
                </c:pt>
                <c:pt idx="9">
                  <c:v>6382</c:v>
                </c:pt>
                <c:pt idx="10">
                  <c:v>6294</c:v>
                </c:pt>
                <c:pt idx="11">
                  <c:v>6661.99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3B-4D7D-9D79-CD5F7F707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9185152"/>
        <c:axId val="1839190560"/>
      </c:lineChart>
      <c:catAx>
        <c:axId val="1839185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90560"/>
        <c:crosses val="autoZero"/>
        <c:auto val="1"/>
        <c:lblAlgn val="ctr"/>
        <c:lblOffset val="100"/>
        <c:noMultiLvlLbl val="0"/>
      </c:catAx>
      <c:valAx>
        <c:axId val="183919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8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3018790524530543"/>
          <c:y val="0.22340111419076794"/>
          <c:w val="0.64337923307230283"/>
          <c:h val="0.6161736625675314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SAFs!$J$48:$J$78</c:f>
              <c:numCache>
                <c:formatCode>#,##0\ "Kwh"</c:formatCode>
                <c:ptCount val="31"/>
                <c:pt idx="0">
                  <c:v>2561.5700000000002</c:v>
                </c:pt>
                <c:pt idx="1">
                  <c:v>2420.2599999999998</c:v>
                </c:pt>
                <c:pt idx="2">
                  <c:v>2712</c:v>
                </c:pt>
                <c:pt idx="3">
                  <c:v>2497</c:v>
                </c:pt>
                <c:pt idx="4">
                  <c:v>2441</c:v>
                </c:pt>
                <c:pt idx="5">
                  <c:v>2850</c:v>
                </c:pt>
                <c:pt idx="6">
                  <c:v>3112</c:v>
                </c:pt>
                <c:pt idx="7">
                  <c:v>3102</c:v>
                </c:pt>
                <c:pt idx="8">
                  <c:v>2978</c:v>
                </c:pt>
                <c:pt idx="9">
                  <c:v>3132</c:v>
                </c:pt>
                <c:pt idx="10">
                  <c:v>2596</c:v>
                </c:pt>
                <c:pt idx="11">
                  <c:v>2541</c:v>
                </c:pt>
                <c:pt idx="12">
                  <c:v>3029.41</c:v>
                </c:pt>
                <c:pt idx="13">
                  <c:v>3120.36</c:v>
                </c:pt>
                <c:pt idx="14">
                  <c:v>2942</c:v>
                </c:pt>
                <c:pt idx="15">
                  <c:v>3049</c:v>
                </c:pt>
                <c:pt idx="16">
                  <c:v>2899</c:v>
                </c:pt>
                <c:pt idx="17">
                  <c:v>2526</c:v>
                </c:pt>
                <c:pt idx="18">
                  <c:v>2510.04</c:v>
                </c:pt>
                <c:pt idx="19">
                  <c:v>2970</c:v>
                </c:pt>
                <c:pt idx="20">
                  <c:v>3074</c:v>
                </c:pt>
                <c:pt idx="21">
                  <c:v>2977</c:v>
                </c:pt>
                <c:pt idx="22">
                  <c:v>3035</c:v>
                </c:pt>
                <c:pt idx="23">
                  <c:v>2953</c:v>
                </c:pt>
                <c:pt idx="24">
                  <c:v>2539.5499999999997</c:v>
                </c:pt>
                <c:pt idx="25">
                  <c:v>2460.8199999999997</c:v>
                </c:pt>
                <c:pt idx="26">
                  <c:v>2897</c:v>
                </c:pt>
                <c:pt idx="27">
                  <c:v>3003</c:v>
                </c:pt>
                <c:pt idx="28">
                  <c:v>3100</c:v>
                </c:pt>
                <c:pt idx="29">
                  <c:v>3129</c:v>
                </c:pt>
                <c:pt idx="30">
                  <c:v>3019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BA-4936-9D31-DF7BEEE6B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283056"/>
        <c:axId val="390285968"/>
      </c:scatterChart>
      <c:valAx>
        <c:axId val="39028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5968"/>
        <c:crosses val="autoZero"/>
        <c:crossBetween val="midCat"/>
      </c:valAx>
      <c:valAx>
        <c:axId val="39028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39</xdr:row>
      <xdr:rowOff>42862</xdr:rowOff>
    </xdr:from>
    <xdr:to>
      <xdr:col>6</xdr:col>
      <xdr:colOff>23812</xdr:colOff>
      <xdr:row>52</xdr:row>
      <xdr:rowOff>182562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C4A0EB-791F-48C5-A6D4-CB770E70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39</xdr:row>
      <xdr:rowOff>42862</xdr:rowOff>
    </xdr:from>
    <xdr:to>
      <xdr:col>15</xdr:col>
      <xdr:colOff>31750</xdr:colOff>
      <xdr:row>52</xdr:row>
      <xdr:rowOff>174625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6F771-40B8-4C74-9AE7-9387A17D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55561</xdr:colOff>
      <xdr:row>39</xdr:row>
      <xdr:rowOff>47625</xdr:rowOff>
    </xdr:from>
    <xdr:to>
      <xdr:col>9</xdr:col>
      <xdr:colOff>666749</xdr:colOff>
      <xdr:row>52</xdr:row>
      <xdr:rowOff>182562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AA8814-1448-4974-AF54-1FE5D7E69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116897</xdr:colOff>
      <xdr:row>51</xdr:row>
      <xdr:rowOff>185551</xdr:rowOff>
    </xdr:from>
    <xdr:to>
      <xdr:col>17</xdr:col>
      <xdr:colOff>389660</xdr:colOff>
      <xdr:row>62</xdr:row>
      <xdr:rowOff>71255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39934D-C1AE-44EA-B79B-2A7F3DC68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42"/>
  <sheetViews>
    <sheetView tabSelected="1" topLeftCell="AB12" zoomScaleNormal="100" zoomScaleSheetLayoutView="120" workbookViewId="0">
      <selection activeCell="AR45" sqref="AR45"/>
    </sheetView>
  </sheetViews>
  <sheetFormatPr baseColWidth="10" defaultColWidth="11.42578125" defaultRowHeight="15" x14ac:dyDescent="0.25"/>
  <cols>
    <col min="1" max="1" width="2.28515625" style="133" customWidth="1"/>
    <col min="2" max="2" width="10.42578125" style="14" customWidth="1"/>
    <col min="3" max="3" width="2.28515625" style="166" customWidth="1"/>
    <col min="4" max="4" width="15.85546875" style="14" customWidth="1"/>
    <col min="5" max="5" width="10" style="14" customWidth="1"/>
    <col min="6" max="6" width="13.140625" style="14" customWidth="1"/>
    <col min="7" max="7" width="9.28515625" style="14" customWidth="1"/>
    <col min="8" max="8" width="15.140625" style="14" customWidth="1"/>
    <col min="9" max="9" width="10.42578125" style="14" customWidth="1"/>
    <col min="10" max="12" width="10.28515625" style="14" customWidth="1"/>
    <col min="13" max="13" width="11.5703125" style="14" customWidth="1"/>
    <col min="14" max="15" width="11.7109375" style="14" customWidth="1"/>
    <col min="16" max="16" width="11.5703125" style="14" customWidth="1"/>
    <col min="17" max="17" width="10.28515625" style="14" customWidth="1"/>
    <col min="18" max="22" width="11.7109375" style="14" customWidth="1"/>
    <col min="23" max="23" width="10.42578125" style="14" customWidth="1"/>
    <col min="24" max="27" width="11.7109375" style="14" customWidth="1"/>
    <col min="28" max="28" width="11.7109375" style="13" customWidth="1"/>
    <col min="29" max="29" width="9.7109375" style="14" customWidth="1"/>
    <col min="30" max="30" width="10.28515625" style="14" customWidth="1"/>
    <col min="31" max="31" width="10.5703125" style="14" customWidth="1"/>
    <col min="32" max="32" width="12" style="14" customWidth="1"/>
    <col min="33" max="33" width="13.42578125" style="14" customWidth="1"/>
    <col min="34" max="34" width="11.42578125" style="14" customWidth="1"/>
    <col min="35" max="35" width="9.5703125" style="14" customWidth="1"/>
    <col min="36" max="36" width="10.28515625" style="14" customWidth="1"/>
    <col min="37" max="37" width="8.5703125" style="14" customWidth="1"/>
    <col min="38" max="39" width="10.28515625" style="14" customWidth="1"/>
    <col min="40" max="40" width="9.7109375" style="14" customWidth="1"/>
    <col min="41" max="41" width="11" style="14" customWidth="1"/>
    <col min="42" max="42" width="11.85546875" style="14" customWidth="1"/>
    <col min="43" max="43" width="11.28515625" style="14" customWidth="1"/>
    <col min="44" max="44" width="12" style="14" customWidth="1"/>
    <col min="45" max="45" width="11.28515625" style="14" customWidth="1"/>
    <col min="46" max="46" width="9.28515625" style="14" customWidth="1"/>
    <col min="47" max="47" width="9.42578125" style="14" customWidth="1"/>
    <col min="48" max="52" width="10.42578125" style="14" customWidth="1"/>
    <col min="53" max="53" width="10.5703125" style="14" customWidth="1"/>
    <col min="54" max="61" width="10.42578125" style="14" customWidth="1"/>
    <col min="62" max="62" width="11" style="14" customWidth="1"/>
    <col min="63" max="63" width="11.28515625" style="14" customWidth="1"/>
    <col min="64" max="64" width="13.85546875" style="14" customWidth="1"/>
    <col min="65" max="65" width="13.28515625" style="14" customWidth="1"/>
    <col min="66" max="66" width="12.7109375" style="14" customWidth="1"/>
    <col min="67" max="67" width="10.42578125" style="14" customWidth="1"/>
    <col min="68" max="68" width="10.28515625" style="14" customWidth="1"/>
    <col min="69" max="69" width="10.42578125" style="14" customWidth="1"/>
    <col min="70" max="70" width="9.28515625" style="14" customWidth="1"/>
    <col min="71" max="71" width="2.7109375" style="14" customWidth="1"/>
    <col min="72" max="72" width="6.85546875" style="14" customWidth="1"/>
    <col min="73" max="73" width="6.42578125" style="14" customWidth="1"/>
    <col min="74" max="16384" width="11.42578125" style="14"/>
  </cols>
  <sheetData>
    <row r="1" spans="1:71" s="132" customFormat="1" ht="14.65" customHeight="1" x14ac:dyDescent="0.25">
      <c r="A1" s="126">
        <v>1.1111111E+55</v>
      </c>
      <c r="B1" s="203" t="s">
        <v>0</v>
      </c>
      <c r="C1" s="127"/>
      <c r="D1" s="205" t="s">
        <v>1</v>
      </c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7"/>
      <c r="P1" s="208"/>
      <c r="Q1" s="128"/>
      <c r="R1" s="185" t="s">
        <v>2</v>
      </c>
      <c r="S1" s="186"/>
      <c r="T1" s="186"/>
      <c r="U1" s="186"/>
      <c r="V1" s="186"/>
      <c r="W1" s="186"/>
      <c r="X1" s="186"/>
      <c r="Y1" s="186"/>
      <c r="Z1" s="186"/>
      <c r="AA1" s="187"/>
      <c r="AB1" s="129"/>
      <c r="AC1" s="185" t="s">
        <v>3</v>
      </c>
      <c r="AD1" s="186"/>
      <c r="AE1" s="186"/>
      <c r="AF1" s="186"/>
      <c r="AG1" s="186"/>
      <c r="AH1" s="186"/>
      <c r="AI1" s="186"/>
      <c r="AJ1" s="186"/>
      <c r="AK1" s="187"/>
      <c r="AL1" s="130"/>
      <c r="AM1" s="185" t="s">
        <v>4</v>
      </c>
      <c r="AN1" s="186"/>
      <c r="AO1" s="186"/>
      <c r="AP1" s="186"/>
      <c r="AQ1" s="186"/>
      <c r="AR1" s="186"/>
      <c r="AS1" s="186"/>
      <c r="AT1" s="186"/>
      <c r="AU1" s="187"/>
      <c r="AV1" s="130"/>
      <c r="AW1" s="185" t="s">
        <v>57</v>
      </c>
      <c r="AX1" s="186"/>
      <c r="AY1" s="186"/>
      <c r="AZ1" s="186"/>
      <c r="BA1" s="186"/>
      <c r="BB1" s="186"/>
      <c r="BC1" s="186"/>
      <c r="BD1" s="186"/>
      <c r="BE1" s="186"/>
      <c r="BF1" s="186"/>
      <c r="BG1" s="186"/>
      <c r="BH1" s="187"/>
      <c r="BI1" s="130"/>
      <c r="BJ1" s="185" t="s">
        <v>5</v>
      </c>
      <c r="BK1" s="186"/>
      <c r="BL1" s="186"/>
      <c r="BM1" s="186"/>
      <c r="BN1" s="186"/>
      <c r="BO1" s="186"/>
      <c r="BP1" s="186"/>
      <c r="BQ1" s="186"/>
      <c r="BR1" s="187"/>
      <c r="BS1" s="131"/>
    </row>
    <row r="2" spans="1:71" ht="15" customHeight="1" thickBot="1" x14ac:dyDescent="0.3">
      <c r="B2" s="203"/>
      <c r="C2" s="1"/>
      <c r="D2" s="209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1"/>
      <c r="P2" s="212"/>
      <c r="Q2" s="58"/>
      <c r="R2" s="188"/>
      <c r="S2" s="189"/>
      <c r="T2" s="189"/>
      <c r="U2" s="189"/>
      <c r="V2" s="189"/>
      <c r="W2" s="189"/>
      <c r="X2" s="189"/>
      <c r="Y2" s="189"/>
      <c r="Z2" s="189"/>
      <c r="AA2" s="190"/>
      <c r="AB2" s="60"/>
      <c r="AC2" s="188"/>
      <c r="AD2" s="189"/>
      <c r="AE2" s="189"/>
      <c r="AF2" s="189"/>
      <c r="AG2" s="189"/>
      <c r="AH2" s="189"/>
      <c r="AI2" s="189"/>
      <c r="AJ2" s="189"/>
      <c r="AK2" s="190"/>
      <c r="AL2" s="59"/>
      <c r="AM2" s="188"/>
      <c r="AN2" s="189"/>
      <c r="AO2" s="189"/>
      <c r="AP2" s="189"/>
      <c r="AQ2" s="189"/>
      <c r="AR2" s="189"/>
      <c r="AS2" s="189"/>
      <c r="AT2" s="189"/>
      <c r="AU2" s="190"/>
      <c r="AV2" s="59"/>
      <c r="AW2" s="188"/>
      <c r="AX2" s="189"/>
      <c r="AY2" s="189"/>
      <c r="AZ2" s="189"/>
      <c r="BA2" s="189"/>
      <c r="BB2" s="189"/>
      <c r="BC2" s="189"/>
      <c r="BD2" s="189"/>
      <c r="BE2" s="189"/>
      <c r="BF2" s="189"/>
      <c r="BG2" s="189"/>
      <c r="BH2" s="190"/>
      <c r="BI2" s="59"/>
      <c r="BJ2" s="188"/>
      <c r="BK2" s="189"/>
      <c r="BL2" s="189"/>
      <c r="BM2" s="189"/>
      <c r="BN2" s="189"/>
      <c r="BO2" s="189"/>
      <c r="BP2" s="189"/>
      <c r="BQ2" s="189"/>
      <c r="BR2" s="190"/>
      <c r="BS2" s="134"/>
    </row>
    <row r="3" spans="1:71" ht="30" customHeight="1" thickBot="1" x14ac:dyDescent="0.3">
      <c r="B3" s="203"/>
      <c r="C3" s="1"/>
      <c r="D3" s="191" t="s">
        <v>6</v>
      </c>
      <c r="E3" s="191" t="s">
        <v>7</v>
      </c>
      <c r="F3" s="191" t="s">
        <v>8</v>
      </c>
      <c r="G3" s="191" t="s">
        <v>9</v>
      </c>
      <c r="H3" s="191" t="s">
        <v>10</v>
      </c>
      <c r="I3" s="213" t="s">
        <v>11</v>
      </c>
      <c r="J3" s="214"/>
      <c r="K3" s="215"/>
      <c r="L3" s="216"/>
      <c r="M3" s="213" t="s">
        <v>12</v>
      </c>
      <c r="N3" s="214"/>
      <c r="O3" s="215"/>
      <c r="P3" s="216"/>
      <c r="Q3" s="58"/>
      <c r="R3" s="195" t="s">
        <v>13</v>
      </c>
      <c r="S3" s="196"/>
      <c r="T3" s="217"/>
      <c r="U3" s="217"/>
      <c r="V3" s="195" t="s">
        <v>14</v>
      </c>
      <c r="W3" s="196"/>
      <c r="X3" s="196"/>
      <c r="Y3" s="196"/>
      <c r="Z3" s="196"/>
      <c r="AA3" s="197"/>
      <c r="AB3" s="60"/>
      <c r="AC3" s="193" t="s">
        <v>15</v>
      </c>
      <c r="AD3" s="218" t="s">
        <v>9</v>
      </c>
      <c r="AE3" s="195" t="s">
        <v>13</v>
      </c>
      <c r="AF3" s="196"/>
      <c r="AG3" s="197"/>
      <c r="AH3" s="195" t="s">
        <v>14</v>
      </c>
      <c r="AI3" s="196"/>
      <c r="AJ3" s="196"/>
      <c r="AK3" s="197"/>
      <c r="AL3" s="59"/>
      <c r="AM3" s="198" t="s">
        <v>15</v>
      </c>
      <c r="AN3" s="193" t="s">
        <v>9</v>
      </c>
      <c r="AO3" s="202" t="s">
        <v>13</v>
      </c>
      <c r="AP3" s="196"/>
      <c r="AQ3" s="197"/>
      <c r="AR3" s="195" t="s">
        <v>14</v>
      </c>
      <c r="AS3" s="196"/>
      <c r="AT3" s="196"/>
      <c r="AU3" s="197"/>
      <c r="AV3" s="59"/>
      <c r="AW3" s="193" t="s">
        <v>15</v>
      </c>
      <c r="AX3" s="193" t="s">
        <v>9</v>
      </c>
      <c r="AY3" s="202" t="s">
        <v>13</v>
      </c>
      <c r="AZ3" s="202"/>
      <c r="BA3" s="196"/>
      <c r="BB3" s="197"/>
      <c r="BC3" s="195" t="s">
        <v>14</v>
      </c>
      <c r="BD3" s="202"/>
      <c r="BE3" s="202"/>
      <c r="BF3" s="196"/>
      <c r="BG3" s="196"/>
      <c r="BH3" s="197"/>
      <c r="BI3" s="59"/>
      <c r="BJ3" s="198" t="s">
        <v>16</v>
      </c>
      <c r="BK3" s="193" t="s">
        <v>17</v>
      </c>
      <c r="BL3" s="199" t="s">
        <v>18</v>
      </c>
      <c r="BM3" s="200"/>
      <c r="BN3" s="201"/>
      <c r="BO3" s="202" t="s">
        <v>14</v>
      </c>
      <c r="BP3" s="196"/>
      <c r="BQ3" s="196"/>
      <c r="BR3" s="197"/>
      <c r="BS3" s="134"/>
    </row>
    <row r="4" spans="1:71" ht="56.25" customHeight="1" thickBot="1" x14ac:dyDescent="0.3">
      <c r="B4" s="204"/>
      <c r="C4" s="2"/>
      <c r="D4" s="192"/>
      <c r="E4" s="192"/>
      <c r="F4" s="192"/>
      <c r="G4" s="192"/>
      <c r="H4" s="192"/>
      <c r="I4" s="80" t="s">
        <v>3</v>
      </c>
      <c r="J4" s="81" t="s">
        <v>4</v>
      </c>
      <c r="K4" s="82" t="s">
        <v>57</v>
      </c>
      <c r="L4" s="82" t="s">
        <v>5</v>
      </c>
      <c r="M4" s="81" t="s">
        <v>3</v>
      </c>
      <c r="N4" s="81" t="s">
        <v>4</v>
      </c>
      <c r="O4" s="81" t="s">
        <v>57</v>
      </c>
      <c r="P4" s="81" t="s">
        <v>19</v>
      </c>
      <c r="Q4" s="60"/>
      <c r="R4" s="122" t="s">
        <v>20</v>
      </c>
      <c r="S4" s="62" t="s">
        <v>21</v>
      </c>
      <c r="T4" s="62" t="s">
        <v>59</v>
      </c>
      <c r="U4" s="62" t="s">
        <v>22</v>
      </c>
      <c r="V4" s="123" t="s">
        <v>23</v>
      </c>
      <c r="W4" s="62" t="s">
        <v>24</v>
      </c>
      <c r="X4" s="123" t="s">
        <v>25</v>
      </c>
      <c r="Y4" s="62" t="s">
        <v>24</v>
      </c>
      <c r="Z4" s="125" t="s">
        <v>26</v>
      </c>
      <c r="AA4" s="125" t="s">
        <v>24</v>
      </c>
      <c r="AB4" s="60"/>
      <c r="AC4" s="194"/>
      <c r="AD4" s="186"/>
      <c r="AE4" s="62" t="s">
        <v>27</v>
      </c>
      <c r="AF4" s="122" t="s">
        <v>28</v>
      </c>
      <c r="AG4" s="62" t="s">
        <v>29</v>
      </c>
      <c r="AH4" s="124" t="s">
        <v>30</v>
      </c>
      <c r="AI4" s="62" t="s">
        <v>24</v>
      </c>
      <c r="AJ4" s="62" t="s">
        <v>31</v>
      </c>
      <c r="AK4" s="62" t="s">
        <v>24</v>
      </c>
      <c r="AL4" s="61"/>
      <c r="AM4" s="185"/>
      <c r="AN4" s="194"/>
      <c r="AO4" s="123" t="s">
        <v>27</v>
      </c>
      <c r="AP4" s="62" t="s">
        <v>28</v>
      </c>
      <c r="AQ4" s="122" t="s">
        <v>29</v>
      </c>
      <c r="AR4" s="62" t="s">
        <v>30</v>
      </c>
      <c r="AS4" s="123" t="s">
        <v>24</v>
      </c>
      <c r="AT4" s="62" t="s">
        <v>31</v>
      </c>
      <c r="AU4" s="124" t="s">
        <v>24</v>
      </c>
      <c r="AV4" s="61"/>
      <c r="AW4" s="194"/>
      <c r="AX4" s="194"/>
      <c r="AY4" s="123" t="s">
        <v>27</v>
      </c>
      <c r="AZ4" s="62" t="s">
        <v>58</v>
      </c>
      <c r="BA4" s="123" t="s">
        <v>60</v>
      </c>
      <c r="BB4" s="62" t="s">
        <v>29</v>
      </c>
      <c r="BC4" s="123" t="s">
        <v>55</v>
      </c>
      <c r="BD4" s="62" t="s">
        <v>24</v>
      </c>
      <c r="BE4" s="123" t="s">
        <v>56</v>
      </c>
      <c r="BF4" s="62" t="s">
        <v>24</v>
      </c>
      <c r="BG4" s="123" t="s">
        <v>31</v>
      </c>
      <c r="BH4" s="62" t="s">
        <v>24</v>
      </c>
      <c r="BI4" s="61"/>
      <c r="BJ4" s="185"/>
      <c r="BK4" s="194"/>
      <c r="BL4" s="123" t="s">
        <v>32</v>
      </c>
      <c r="BM4" s="62" t="s">
        <v>33</v>
      </c>
      <c r="BN4" s="62" t="s">
        <v>34</v>
      </c>
      <c r="BO4" s="62" t="s">
        <v>35</v>
      </c>
      <c r="BP4" s="123" t="s">
        <v>24</v>
      </c>
      <c r="BQ4" s="62" t="s">
        <v>36</v>
      </c>
      <c r="BR4" s="124" t="s">
        <v>24</v>
      </c>
      <c r="BS4" s="135"/>
    </row>
    <row r="5" spans="1:71" ht="15.75" thickBot="1" x14ac:dyDescent="0.3">
      <c r="B5" s="136"/>
      <c r="C5" s="137"/>
      <c r="D5" s="83"/>
      <c r="E5" s="71"/>
      <c r="F5" s="83"/>
      <c r="G5" s="71"/>
      <c r="H5" s="84"/>
      <c r="I5" s="85"/>
      <c r="J5" s="71"/>
      <c r="K5" s="86"/>
      <c r="L5" s="86"/>
      <c r="M5" s="84"/>
      <c r="N5" s="84"/>
      <c r="O5" s="84"/>
      <c r="P5" s="84"/>
      <c r="Q5" s="63"/>
      <c r="R5" s="138"/>
      <c r="S5" s="139"/>
      <c r="T5" s="139"/>
      <c r="U5" s="139"/>
      <c r="V5" s="140"/>
      <c r="W5" s="141"/>
      <c r="X5" s="140"/>
      <c r="Y5" s="141"/>
      <c r="Z5" s="140"/>
      <c r="AA5" s="141"/>
      <c r="AB5" s="64"/>
      <c r="AC5" s="142"/>
      <c r="AD5" s="143"/>
      <c r="AE5" s="94"/>
      <c r="AF5" s="119"/>
      <c r="AG5" s="94"/>
      <c r="AH5" s="94"/>
      <c r="AI5" s="95"/>
      <c r="AJ5" s="96"/>
      <c r="AK5" s="97"/>
      <c r="AL5" s="67"/>
      <c r="AM5" s="68"/>
      <c r="AN5" s="69"/>
      <c r="AO5" s="98"/>
      <c r="AP5" s="116"/>
      <c r="AQ5" s="99"/>
      <c r="AR5" s="100"/>
      <c r="AS5" s="101"/>
      <c r="AT5" s="102"/>
      <c r="AU5" s="103"/>
      <c r="AV5" s="67"/>
      <c r="AW5" s="104"/>
      <c r="AX5" s="105"/>
      <c r="AY5" s="106"/>
      <c r="AZ5" s="107"/>
      <c r="BA5" s="121"/>
      <c r="BB5" s="108"/>
      <c r="BC5" s="108"/>
      <c r="BD5" s="109"/>
      <c r="BE5" s="108"/>
      <c r="BF5" s="109"/>
      <c r="BG5" s="108"/>
      <c r="BH5" s="109"/>
      <c r="BI5" s="67"/>
      <c r="BJ5" s="72"/>
      <c r="BK5" s="69"/>
      <c r="BL5" s="73"/>
      <c r="BM5" s="65"/>
      <c r="BN5" s="65"/>
      <c r="BO5" s="70"/>
      <c r="BP5" s="74"/>
      <c r="BQ5" s="75"/>
      <c r="BR5" s="66"/>
      <c r="BS5" s="144"/>
    </row>
    <row r="6" spans="1:71" ht="15.75" thickBot="1" x14ac:dyDescent="0.3">
      <c r="B6" s="167">
        <v>46022</v>
      </c>
      <c r="C6" s="182"/>
      <c r="D6" s="87">
        <f t="shared" ref="D6" si="0">R6</f>
        <v>57120</v>
      </c>
      <c r="E6" s="158">
        <f t="shared" ref="E6" si="1">F6/D6</f>
        <v>0.88509558823529422</v>
      </c>
      <c r="F6" s="87">
        <f t="shared" ref="F6" si="2">D6-H6</f>
        <v>50556.66</v>
      </c>
      <c r="G6" s="158">
        <f t="shared" ref="G6" si="3">H6/D6</f>
        <v>0.11490441176470588</v>
      </c>
      <c r="H6" s="145">
        <f t="shared" ref="H6" si="4">U6+AG6+AQ6+BB6</f>
        <v>6563.34</v>
      </c>
      <c r="I6" s="159">
        <f t="shared" ref="I6" si="5">AE6/(AE6+AO6+BL6+AY6)</f>
        <v>0.12126730904776706</v>
      </c>
      <c r="J6" s="158">
        <f t="shared" ref="J6" si="6">AO6/(AE6+AO6+BL6+AY6)</f>
        <v>0.15687668196631907</v>
      </c>
      <c r="K6" s="158">
        <f t="shared" ref="K6" si="7">AY6/(AF6+AP6+BM6+AZ6+AY6)</f>
        <v>0.16983013715952441</v>
      </c>
      <c r="L6" s="160">
        <f t="shared" ref="L6" si="8">BL6/(AE6+AO6+BL6+AY6)</f>
        <v>0.57570513594259221</v>
      </c>
      <c r="M6" s="145">
        <f>(S6+T6)*I6</f>
        <v>6680.6766890960107</v>
      </c>
      <c r="N6" s="145">
        <f>(S6+T6)*J6</f>
        <v>8642.4148478655006</v>
      </c>
      <c r="O6" s="145">
        <f>(S6+T6)*K6</f>
        <v>9356.027171186779</v>
      </c>
      <c r="P6" s="145">
        <f>(S6+T6)*L6</f>
        <v>31715.883791645378</v>
      </c>
      <c r="Q6" s="56">
        <v>46022</v>
      </c>
      <c r="R6" s="138">
        <v>57120</v>
      </c>
      <c r="S6" s="139">
        <v>0</v>
      </c>
      <c r="T6" s="139">
        <v>55090.5</v>
      </c>
      <c r="U6" s="139">
        <v>0</v>
      </c>
      <c r="V6" s="140">
        <v>13375.65</v>
      </c>
      <c r="W6" s="141">
        <v>0.40625</v>
      </c>
      <c r="X6" s="140">
        <v>4087</v>
      </c>
      <c r="Y6" s="141">
        <v>0.39583333333333331</v>
      </c>
      <c r="Z6" s="140">
        <v>0</v>
      </c>
      <c r="AA6" s="141">
        <v>0</v>
      </c>
      <c r="AB6" s="56">
        <v>46022</v>
      </c>
      <c r="AC6" s="76">
        <f t="shared" ref="AC6" si="9">+AF6/AE6</f>
        <v>1</v>
      </c>
      <c r="AD6" s="161">
        <f t="shared" ref="AD6" si="10">+AG6/AE6</f>
        <v>0</v>
      </c>
      <c r="AE6" s="162">
        <v>7756</v>
      </c>
      <c r="AF6" s="118">
        <f t="shared" ref="AF6" si="11">+AE6-AG6</f>
        <v>7756</v>
      </c>
      <c r="AG6" s="146">
        <v>0</v>
      </c>
      <c r="AH6" s="147">
        <v>3481.22</v>
      </c>
      <c r="AI6" s="148">
        <v>0.82986111111111116</v>
      </c>
      <c r="AJ6" s="147">
        <v>0</v>
      </c>
      <c r="AK6" s="164">
        <v>0</v>
      </c>
      <c r="AL6" s="56">
        <v>46022</v>
      </c>
      <c r="AM6" s="77">
        <f t="shared" ref="AM6" si="12">+AP6/AO6</f>
        <v>0.62041261773060252</v>
      </c>
      <c r="AN6" s="76">
        <f t="shared" ref="AN6" si="13">+AQ6/AO6</f>
        <v>0.37958738226939753</v>
      </c>
      <c r="AO6" s="149">
        <v>10033.5</v>
      </c>
      <c r="AP6" s="117">
        <f t="shared" ref="AP6" si="14">AO6-AQ6</f>
        <v>6224.91</v>
      </c>
      <c r="AQ6" s="150">
        <v>3808.59</v>
      </c>
      <c r="AR6" s="151">
        <v>3822.7</v>
      </c>
      <c r="AS6" s="152">
        <v>0.36319444444444443</v>
      </c>
      <c r="AT6" s="151">
        <v>179.26</v>
      </c>
      <c r="AU6" s="153">
        <v>0.88541666666666663</v>
      </c>
      <c r="AV6" s="56">
        <v>46022</v>
      </c>
      <c r="AW6" s="110">
        <f t="shared" ref="AW6" si="15">BA6/AZ6</f>
        <v>0.70529553356512431</v>
      </c>
      <c r="AX6" s="110">
        <f t="shared" ref="AX6" si="16">BB6/AZ6</f>
        <v>0.29470446643487563</v>
      </c>
      <c r="AY6" s="111">
        <f t="shared" ref="AY6" si="17">BA6+BB6</f>
        <v>9347.5</v>
      </c>
      <c r="AZ6" s="112">
        <v>9347.5</v>
      </c>
      <c r="BA6" s="120">
        <f t="shared" ref="BA6" si="18">AZ6-BB6</f>
        <v>6592.75</v>
      </c>
      <c r="BB6" s="113">
        <v>2754.75</v>
      </c>
      <c r="BC6" s="112">
        <v>3690.77</v>
      </c>
      <c r="BD6" s="114">
        <v>0.625</v>
      </c>
      <c r="BE6" s="115">
        <v>0</v>
      </c>
      <c r="BF6" s="114">
        <v>0</v>
      </c>
      <c r="BG6" s="115">
        <v>162.41</v>
      </c>
      <c r="BH6" s="114">
        <v>0.89583333333333337</v>
      </c>
      <c r="BI6" s="56">
        <v>46022</v>
      </c>
      <c r="BJ6" s="78">
        <f t="shared" ref="BJ6" si="19">+BM6/BL6</f>
        <v>0.60738309350564135</v>
      </c>
      <c r="BK6" s="76">
        <f t="shared" ref="BK6" si="20">+BN6/BL6</f>
        <v>0.3926169064943586</v>
      </c>
      <c r="BL6" s="79">
        <f t="shared" ref="BL6" si="21">BM6+BN6</f>
        <v>36820.880000000005</v>
      </c>
      <c r="BM6" s="154">
        <v>22364.38</v>
      </c>
      <c r="BN6" s="154">
        <v>14456.5</v>
      </c>
      <c r="BO6" s="155">
        <v>4686.13</v>
      </c>
      <c r="BP6" s="156">
        <v>0.66388888888888886</v>
      </c>
      <c r="BQ6" s="157">
        <v>3104.58</v>
      </c>
      <c r="BR6" s="156">
        <v>0.66388888888888886</v>
      </c>
    </row>
    <row r="7" spans="1:71" s="271" customFormat="1" ht="15.75" thickBot="1" x14ac:dyDescent="0.3">
      <c r="A7" s="244"/>
      <c r="B7" s="245">
        <f>B6+1</f>
        <v>46023</v>
      </c>
      <c r="C7" s="246"/>
      <c r="D7" s="247">
        <f t="shared" ref="D7:D37" si="22">R7</f>
        <v>30224</v>
      </c>
      <c r="E7" s="248">
        <f t="shared" ref="E7:E10" si="23">F7/D7</f>
        <v>0.78973365537321338</v>
      </c>
      <c r="F7" s="247">
        <f t="shared" ref="F7:F37" si="24">D7-H7</f>
        <v>23868.91</v>
      </c>
      <c r="G7" s="248">
        <f t="shared" ref="G7:G10" si="25">H7/D7</f>
        <v>0.21026634462678667</v>
      </c>
      <c r="H7" s="154">
        <f t="shared" ref="H7:H37" si="26">U7+AG7+AQ7+BB7</f>
        <v>6355.09</v>
      </c>
      <c r="I7" s="249">
        <f t="shared" ref="I7:I10" si="27">AE7/(AE7+AO7+BL7+AY7)</f>
        <v>6.144350576707943E-2</v>
      </c>
      <c r="J7" s="248">
        <f t="shared" ref="J7:J10" si="28">AO7/(AE7+AO7+BL7+AY7)</f>
        <v>0.1637001890213324</v>
      </c>
      <c r="K7" s="248">
        <f t="shared" ref="K7:K10" si="29">AY7/(AF7+AP7+BM7+AZ7+AY7)</f>
        <v>0.17718424342566261</v>
      </c>
      <c r="L7" s="250">
        <f t="shared" ref="L7:L10" si="30">BL7/(AE7+AO7+BL7+AY7)</f>
        <v>0.63712533271612082</v>
      </c>
      <c r="M7" s="154">
        <f t="shared" ref="M7:M10" si="31">(S7+T7)*I7</f>
        <v>1817.529622343093</v>
      </c>
      <c r="N7" s="154">
        <f t="shared" ref="N7:N10" si="32">(S7+T7)*J7</f>
        <v>4842.3334413455232</v>
      </c>
      <c r="O7" s="154">
        <f t="shared" ref="O7:O10" si="33">(S7+T7)*K7</f>
        <v>5241.1985126528125</v>
      </c>
      <c r="P7" s="154">
        <f t="shared" ref="P7:P10" si="34">(S7+T7)*L7</f>
        <v>18846.485904409212</v>
      </c>
      <c r="Q7" s="245">
        <f>Q6+1</f>
        <v>46023</v>
      </c>
      <c r="R7" s="138">
        <v>30224</v>
      </c>
      <c r="S7" s="139">
        <v>0</v>
      </c>
      <c r="T7" s="139">
        <v>29580.5</v>
      </c>
      <c r="U7" s="139">
        <v>0</v>
      </c>
      <c r="V7" s="140">
        <v>7156.59</v>
      </c>
      <c r="W7" s="141">
        <v>0.83333333333333337</v>
      </c>
      <c r="X7" s="140">
        <v>2010.98</v>
      </c>
      <c r="Y7" s="141">
        <v>0.73958333333333337</v>
      </c>
      <c r="Z7" s="140">
        <v>0</v>
      </c>
      <c r="AA7" s="141">
        <v>0</v>
      </c>
      <c r="AB7" s="245">
        <f>AB6+1</f>
        <v>46023</v>
      </c>
      <c r="AC7" s="251">
        <f t="shared" ref="AC7:AC10" si="35">+AF7/AE7</f>
        <v>1</v>
      </c>
      <c r="AD7" s="252">
        <f t="shared" ref="AD7:AD10" si="36">+AG7/AE7</f>
        <v>0</v>
      </c>
      <c r="AE7" s="253">
        <v>1991</v>
      </c>
      <c r="AF7" s="254">
        <f t="shared" ref="AF7:AF36" si="37">+AE7-AG7</f>
        <v>1991</v>
      </c>
      <c r="AG7" s="154">
        <v>0</v>
      </c>
      <c r="AH7" s="255">
        <v>1451.33</v>
      </c>
      <c r="AI7" s="156">
        <v>0.69166666666666665</v>
      </c>
      <c r="AJ7" s="255">
        <v>0</v>
      </c>
      <c r="AK7" s="256">
        <v>0</v>
      </c>
      <c r="AL7" s="245">
        <f t="shared" ref="AL7:AL37" si="38">AL6+1</f>
        <v>46023</v>
      </c>
      <c r="AM7" s="257">
        <f t="shared" ref="AM7:AM10" si="39">+AP7/AO7</f>
        <v>0.29865585823357521</v>
      </c>
      <c r="AN7" s="251">
        <f t="shared" ref="AN7:AN10" si="40">+AQ7/AO7</f>
        <v>0.70134414176642479</v>
      </c>
      <c r="AO7" s="258">
        <v>5304.5</v>
      </c>
      <c r="AP7" s="259">
        <f t="shared" ref="AP7:AP36" si="41">AO7-AQ7</f>
        <v>1584.2199999999998</v>
      </c>
      <c r="AQ7" s="260">
        <v>3720.28</v>
      </c>
      <c r="AR7" s="255">
        <v>2057.79</v>
      </c>
      <c r="AS7" s="261">
        <v>8.3333333333333329E-2</v>
      </c>
      <c r="AT7" s="255">
        <v>170.65</v>
      </c>
      <c r="AU7" s="262">
        <v>0.28125</v>
      </c>
      <c r="AV7" s="245">
        <f>AV6+1</f>
        <v>46023</v>
      </c>
      <c r="AW7" s="263">
        <f t="shared" ref="AW7:AW10" si="42">BA7/AZ7</f>
        <v>0.40963253416984091</v>
      </c>
      <c r="AX7" s="263">
        <f t="shared" ref="AX7:AX10" si="43">BB7/AZ7</f>
        <v>0.59036746583015909</v>
      </c>
      <c r="AY7" s="264">
        <f t="shared" ref="AY7:AY36" si="44">BA7+BB7</f>
        <v>4463</v>
      </c>
      <c r="AZ7" s="265">
        <v>4463</v>
      </c>
      <c r="BA7" s="266">
        <f t="shared" ref="BA7:BA13" si="45">AZ7-BB7</f>
        <v>1828.19</v>
      </c>
      <c r="BB7" s="264">
        <v>2634.81</v>
      </c>
      <c r="BC7" s="265">
        <v>2005.46</v>
      </c>
      <c r="BD7" s="267">
        <v>0.72916666666666663</v>
      </c>
      <c r="BE7" s="268">
        <v>0</v>
      </c>
      <c r="BF7" s="267">
        <v>0</v>
      </c>
      <c r="BG7" s="268">
        <v>150.82</v>
      </c>
      <c r="BH7" s="267">
        <v>0.90625</v>
      </c>
      <c r="BI7" s="245">
        <f>BI6+1</f>
        <v>46023</v>
      </c>
      <c r="BJ7" s="269">
        <f t="shared" ref="BJ7:BJ10" si="46">+BM7/BL7</f>
        <v>0.6145360312904905</v>
      </c>
      <c r="BK7" s="251">
        <f t="shared" ref="BK7:BK10" si="47">+BN7/BL7</f>
        <v>0.38546396870950944</v>
      </c>
      <c r="BL7" s="270">
        <f t="shared" ref="BL7:BL10" si="48">BM7+BN7</f>
        <v>20645.25</v>
      </c>
      <c r="BM7" s="154">
        <v>12687.25</v>
      </c>
      <c r="BN7" s="154">
        <v>7958</v>
      </c>
      <c r="BO7" s="155">
        <v>2844.42</v>
      </c>
      <c r="BP7" s="156">
        <v>0.41875000000000001</v>
      </c>
      <c r="BQ7" s="157">
        <v>1889.64</v>
      </c>
      <c r="BR7" s="156">
        <v>0.41875000000000001</v>
      </c>
    </row>
    <row r="8" spans="1:71" s="13" customFormat="1" ht="15.75" thickBot="1" x14ac:dyDescent="0.3">
      <c r="A8" s="165"/>
      <c r="B8" s="56">
        <f t="shared" ref="B8:B37" si="49">B7+1</f>
        <v>46024</v>
      </c>
      <c r="C8" s="163"/>
      <c r="D8" s="87">
        <f t="shared" si="22"/>
        <v>50930</v>
      </c>
      <c r="E8" s="158">
        <f t="shared" si="23"/>
        <v>0.8735126644413902</v>
      </c>
      <c r="F8" s="87">
        <f t="shared" si="24"/>
        <v>44488</v>
      </c>
      <c r="G8" s="158">
        <f t="shared" si="25"/>
        <v>0.12648733555860986</v>
      </c>
      <c r="H8" s="145">
        <f t="shared" si="26"/>
        <v>6442</v>
      </c>
      <c r="I8" s="159">
        <f t="shared" si="27"/>
        <v>0.11432397667001462</v>
      </c>
      <c r="J8" s="158">
        <f t="shared" si="28"/>
        <v>0.15619108033338619</v>
      </c>
      <c r="K8" s="158">
        <f t="shared" si="29"/>
        <v>0.16645385468779436</v>
      </c>
      <c r="L8" s="160">
        <f t="shared" si="30"/>
        <v>0.5893640640693556</v>
      </c>
      <c r="M8" s="145">
        <f t="shared" si="31"/>
        <v>5662.2379165124839</v>
      </c>
      <c r="N8" s="145">
        <f t="shared" si="32"/>
        <v>7735.8318267519508</v>
      </c>
      <c r="O8" s="145">
        <f t="shared" si="33"/>
        <v>8244.1265149770788</v>
      </c>
      <c r="P8" s="145">
        <f t="shared" si="34"/>
        <v>29190.023365227044</v>
      </c>
      <c r="Q8" s="56">
        <f t="shared" ref="Q8:Q37" si="50">Q7+1</f>
        <v>46024</v>
      </c>
      <c r="R8" s="308">
        <v>50930</v>
      </c>
      <c r="S8" s="309">
        <v>0</v>
      </c>
      <c r="T8" s="309">
        <v>49528</v>
      </c>
      <c r="U8" s="309">
        <v>0</v>
      </c>
      <c r="V8" s="310">
        <v>13771</v>
      </c>
      <c r="W8" s="311">
        <v>0.36458333333333331</v>
      </c>
      <c r="X8" s="310">
        <v>4226</v>
      </c>
      <c r="Y8" s="311">
        <v>0.78125</v>
      </c>
      <c r="Z8" s="310">
        <v>0</v>
      </c>
      <c r="AA8" s="311">
        <v>0</v>
      </c>
      <c r="AB8" s="56">
        <f t="shared" ref="AB8:AB37" si="51">AB7+1</f>
        <v>46024</v>
      </c>
      <c r="AC8" s="76">
        <f t="shared" si="35"/>
        <v>1</v>
      </c>
      <c r="AD8" s="161">
        <f t="shared" si="36"/>
        <v>0</v>
      </c>
      <c r="AE8" s="312">
        <v>6488</v>
      </c>
      <c r="AF8" s="118">
        <f t="shared" si="37"/>
        <v>6488</v>
      </c>
      <c r="AG8" s="145">
        <v>0</v>
      </c>
      <c r="AH8" s="313">
        <v>3502</v>
      </c>
      <c r="AI8" s="314">
        <v>0.72777777777777775</v>
      </c>
      <c r="AJ8" s="313">
        <v>0</v>
      </c>
      <c r="AK8" s="315">
        <v>0</v>
      </c>
      <c r="AL8" s="56">
        <f t="shared" si="38"/>
        <v>46024</v>
      </c>
      <c r="AM8" s="77">
        <f t="shared" si="39"/>
        <v>0.5703971119133574</v>
      </c>
      <c r="AN8" s="76">
        <f t="shared" si="40"/>
        <v>0.4296028880866426</v>
      </c>
      <c r="AO8" s="316">
        <v>8864</v>
      </c>
      <c r="AP8" s="117">
        <f t="shared" si="41"/>
        <v>5056</v>
      </c>
      <c r="AQ8" s="317">
        <v>3808</v>
      </c>
      <c r="AR8" s="313">
        <v>3358</v>
      </c>
      <c r="AS8" s="318">
        <v>0.71388888888888891</v>
      </c>
      <c r="AT8" s="313">
        <v>188.24</v>
      </c>
      <c r="AU8" s="319">
        <v>0.28125</v>
      </c>
      <c r="AV8" s="56">
        <f t="shared" ref="AV8:AV37" si="52">AV7+1</f>
        <v>46024</v>
      </c>
      <c r="AW8" s="110">
        <f t="shared" si="42"/>
        <v>0.66876257545271633</v>
      </c>
      <c r="AX8" s="110">
        <f t="shared" si="43"/>
        <v>0.33123742454728372</v>
      </c>
      <c r="AY8" s="320">
        <f t="shared" si="44"/>
        <v>7952</v>
      </c>
      <c r="AZ8" s="321">
        <v>7952</v>
      </c>
      <c r="BA8" s="120">
        <f t="shared" si="45"/>
        <v>5318</v>
      </c>
      <c r="BB8" s="320">
        <v>2634</v>
      </c>
      <c r="BC8" s="321">
        <v>3223</v>
      </c>
      <c r="BD8" s="322">
        <v>0.71875</v>
      </c>
      <c r="BE8" s="105">
        <v>0</v>
      </c>
      <c r="BF8" s="322">
        <v>0</v>
      </c>
      <c r="BG8" s="105">
        <v>156</v>
      </c>
      <c r="BH8" s="322">
        <v>0.90625</v>
      </c>
      <c r="BI8" s="56">
        <f t="shared" ref="BI8:BI37" si="53">BI7+1</f>
        <v>46024</v>
      </c>
      <c r="BJ8" s="78">
        <f t="shared" si="46"/>
        <v>0.60767781863844295</v>
      </c>
      <c r="BK8" s="76">
        <f t="shared" si="47"/>
        <v>0.39232218136155711</v>
      </c>
      <c r="BL8" s="79">
        <f t="shared" si="48"/>
        <v>33447</v>
      </c>
      <c r="BM8" s="145">
        <v>20325</v>
      </c>
      <c r="BN8" s="145">
        <v>13122</v>
      </c>
      <c r="BO8" s="323">
        <v>4111</v>
      </c>
      <c r="BP8" s="314">
        <v>0.73958333333333337</v>
      </c>
      <c r="BQ8" s="324">
        <v>2752</v>
      </c>
      <c r="BR8" s="314">
        <v>0.73958333333333337</v>
      </c>
    </row>
    <row r="9" spans="1:71" s="307" customFormat="1" ht="15.75" thickBot="1" x14ac:dyDescent="0.3">
      <c r="A9" s="272" t="s">
        <v>67</v>
      </c>
      <c r="B9" s="273">
        <f t="shared" si="49"/>
        <v>46025</v>
      </c>
      <c r="C9" s="274"/>
      <c r="D9" s="275">
        <f t="shared" si="22"/>
        <v>32846</v>
      </c>
      <c r="E9" s="276">
        <f t="shared" si="23"/>
        <v>0.80980941362723013</v>
      </c>
      <c r="F9" s="275">
        <f t="shared" si="24"/>
        <v>26599</v>
      </c>
      <c r="G9" s="276">
        <f t="shared" si="25"/>
        <v>0.19019058637276989</v>
      </c>
      <c r="H9" s="277">
        <f t="shared" si="26"/>
        <v>6247</v>
      </c>
      <c r="I9" s="278">
        <f t="shared" si="27"/>
        <v>7.755652868434823E-2</v>
      </c>
      <c r="J9" s="276">
        <f t="shared" si="28"/>
        <v>0.15684816436696136</v>
      </c>
      <c r="K9" s="276">
        <f t="shared" si="29"/>
        <v>0.16607400626694363</v>
      </c>
      <c r="L9" s="279">
        <f t="shared" si="30"/>
        <v>0.6356826131262221</v>
      </c>
      <c r="M9" s="277">
        <f t="shared" si="31"/>
        <v>2430.3889393814206</v>
      </c>
      <c r="N9" s="277">
        <f t="shared" si="32"/>
        <v>4915.1509267674683</v>
      </c>
      <c r="O9" s="277">
        <f t="shared" si="33"/>
        <v>5204.2611343872122</v>
      </c>
      <c r="P9" s="277">
        <f t="shared" si="34"/>
        <v>19920.386047536424</v>
      </c>
      <c r="Q9" s="273">
        <f t="shared" si="50"/>
        <v>46025</v>
      </c>
      <c r="R9" s="280">
        <v>32846</v>
      </c>
      <c r="S9" s="281">
        <v>0</v>
      </c>
      <c r="T9" s="281">
        <v>31337</v>
      </c>
      <c r="U9" s="281">
        <v>0</v>
      </c>
      <c r="V9" s="282">
        <v>6876</v>
      </c>
      <c r="W9" s="283">
        <v>0.82291666666666663</v>
      </c>
      <c r="X9" s="282">
        <v>2108</v>
      </c>
      <c r="Y9" s="283">
        <v>0.84375</v>
      </c>
      <c r="Z9" s="282">
        <v>0</v>
      </c>
      <c r="AA9" s="283">
        <v>0</v>
      </c>
      <c r="AB9" s="273">
        <f t="shared" si="51"/>
        <v>46025</v>
      </c>
      <c r="AC9" s="284">
        <f t="shared" si="35"/>
        <v>1</v>
      </c>
      <c r="AD9" s="285">
        <f t="shared" si="36"/>
        <v>0</v>
      </c>
      <c r="AE9" s="286">
        <v>2816</v>
      </c>
      <c r="AF9" s="287">
        <f t="shared" si="37"/>
        <v>2816</v>
      </c>
      <c r="AG9" s="277">
        <v>0</v>
      </c>
      <c r="AH9" s="288">
        <v>1731</v>
      </c>
      <c r="AI9" s="289">
        <v>0.93819444444444444</v>
      </c>
      <c r="AJ9" s="288">
        <v>0</v>
      </c>
      <c r="AK9" s="290">
        <v>0</v>
      </c>
      <c r="AL9" s="273">
        <f t="shared" si="38"/>
        <v>46025</v>
      </c>
      <c r="AM9" s="291">
        <f t="shared" si="39"/>
        <v>0.3592625109745391</v>
      </c>
      <c r="AN9" s="284">
        <f t="shared" si="40"/>
        <v>0.6407374890254609</v>
      </c>
      <c r="AO9" s="292">
        <v>5695</v>
      </c>
      <c r="AP9" s="293">
        <f t="shared" si="41"/>
        <v>2046</v>
      </c>
      <c r="AQ9" s="294">
        <v>3649</v>
      </c>
      <c r="AR9" s="288">
        <v>1594</v>
      </c>
      <c r="AS9" s="295">
        <v>0.95138888888888884</v>
      </c>
      <c r="AT9" s="288">
        <v>176</v>
      </c>
      <c r="AU9" s="296">
        <v>1.0416666666666666E-2</v>
      </c>
      <c r="AV9" s="273">
        <f t="shared" si="52"/>
        <v>46025</v>
      </c>
      <c r="AW9" s="297">
        <f t="shared" si="42"/>
        <v>0.44922620309518763</v>
      </c>
      <c r="AX9" s="297">
        <f t="shared" si="43"/>
        <v>0.55077379690481243</v>
      </c>
      <c r="AY9" s="298">
        <f t="shared" si="44"/>
        <v>4717</v>
      </c>
      <c r="AZ9" s="299">
        <v>4717</v>
      </c>
      <c r="BA9" s="300">
        <f t="shared" si="45"/>
        <v>2119</v>
      </c>
      <c r="BB9" s="298">
        <v>2598</v>
      </c>
      <c r="BC9" s="299">
        <v>1436</v>
      </c>
      <c r="BD9" s="301">
        <v>0.78125</v>
      </c>
      <c r="BE9" s="302">
        <v>0</v>
      </c>
      <c r="BF9" s="301">
        <v>0</v>
      </c>
      <c r="BG9" s="302">
        <v>158</v>
      </c>
      <c r="BH9" s="301">
        <v>0.92708333333333337</v>
      </c>
      <c r="BI9" s="273">
        <f t="shared" si="53"/>
        <v>46025</v>
      </c>
      <c r="BJ9" s="303">
        <f t="shared" si="46"/>
        <v>0.61119535548719728</v>
      </c>
      <c r="BK9" s="284">
        <f t="shared" si="47"/>
        <v>0.38880464451280272</v>
      </c>
      <c r="BL9" s="304">
        <f t="shared" si="48"/>
        <v>23081</v>
      </c>
      <c r="BM9" s="277">
        <v>14107</v>
      </c>
      <c r="BN9" s="277">
        <v>8974</v>
      </c>
      <c r="BO9" s="305">
        <v>3133</v>
      </c>
      <c r="BP9" s="289" t="s">
        <v>69</v>
      </c>
      <c r="BQ9" s="306">
        <v>2054</v>
      </c>
      <c r="BR9" s="289">
        <v>0.79513888888888884</v>
      </c>
    </row>
    <row r="10" spans="1:71" s="271" customFormat="1" ht="15.75" thickBot="1" x14ac:dyDescent="0.3">
      <c r="A10" s="244"/>
      <c r="B10" s="245">
        <f t="shared" si="49"/>
        <v>46026</v>
      </c>
      <c r="C10" s="325"/>
      <c r="D10" s="247">
        <f t="shared" si="22"/>
        <v>27816</v>
      </c>
      <c r="E10" s="248">
        <f t="shared" si="23"/>
        <v>0.76053350589588731</v>
      </c>
      <c r="F10" s="247">
        <f t="shared" si="24"/>
        <v>21155</v>
      </c>
      <c r="G10" s="248">
        <f t="shared" si="25"/>
        <v>0.23946649410411275</v>
      </c>
      <c r="H10" s="154">
        <f t="shared" si="26"/>
        <v>6661</v>
      </c>
      <c r="I10" s="249">
        <f t="shared" si="27"/>
        <v>6.4624838933491927E-2</v>
      </c>
      <c r="J10" s="248">
        <f t="shared" si="28"/>
        <v>0.17127564674397858</v>
      </c>
      <c r="K10" s="248">
        <f t="shared" si="29"/>
        <v>0.18432382238730374</v>
      </c>
      <c r="L10" s="250">
        <f t="shared" si="30"/>
        <v>0.6198169623682559</v>
      </c>
      <c r="M10" s="154">
        <f t="shared" si="31"/>
        <v>1717.3404698186146</v>
      </c>
      <c r="N10" s="154">
        <f t="shared" si="32"/>
        <v>4551.4790365744866</v>
      </c>
      <c r="O10" s="154">
        <f t="shared" si="33"/>
        <v>4898.2212561202095</v>
      </c>
      <c r="P10" s="154">
        <f t="shared" si="34"/>
        <v>16471.015957974032</v>
      </c>
      <c r="Q10" s="245">
        <f t="shared" si="50"/>
        <v>46026</v>
      </c>
      <c r="R10" s="138">
        <v>27816</v>
      </c>
      <c r="S10" s="139">
        <v>0</v>
      </c>
      <c r="T10" s="139">
        <v>26574</v>
      </c>
      <c r="U10" s="139">
        <v>0</v>
      </c>
      <c r="V10" s="140">
        <v>5709</v>
      </c>
      <c r="W10" s="141">
        <v>0.89583333333333337</v>
      </c>
      <c r="X10" s="140">
        <v>1848</v>
      </c>
      <c r="Y10" s="141">
        <v>0.89583333333333337</v>
      </c>
      <c r="Z10" s="140">
        <v>0</v>
      </c>
      <c r="AA10" s="141">
        <v>0</v>
      </c>
      <c r="AB10" s="245">
        <f t="shared" si="51"/>
        <v>46026</v>
      </c>
      <c r="AC10" s="251">
        <f t="shared" si="35"/>
        <v>1</v>
      </c>
      <c r="AD10" s="252">
        <f t="shared" si="36"/>
        <v>0</v>
      </c>
      <c r="AE10" s="253">
        <v>1956</v>
      </c>
      <c r="AF10" s="254">
        <f t="shared" si="37"/>
        <v>1956</v>
      </c>
      <c r="AG10" s="154">
        <v>0</v>
      </c>
      <c r="AH10" s="255">
        <v>1393</v>
      </c>
      <c r="AI10" s="156">
        <v>0.93125000000000002</v>
      </c>
      <c r="AJ10" s="255">
        <v>0</v>
      </c>
      <c r="AK10" s="256">
        <v>0</v>
      </c>
      <c r="AL10" s="245">
        <f t="shared" si="38"/>
        <v>46026</v>
      </c>
      <c r="AM10" s="257">
        <f t="shared" si="39"/>
        <v>0.30266203703703703</v>
      </c>
      <c r="AN10" s="251">
        <f t="shared" si="40"/>
        <v>0.69733796296296291</v>
      </c>
      <c r="AO10" s="258">
        <v>5184</v>
      </c>
      <c r="AP10" s="259">
        <f t="shared" si="41"/>
        <v>1569</v>
      </c>
      <c r="AQ10" s="260">
        <v>3615</v>
      </c>
      <c r="AR10" s="255">
        <v>1500</v>
      </c>
      <c r="AS10" s="261">
        <v>0.68194444444444446</v>
      </c>
      <c r="AT10" s="255">
        <v>169</v>
      </c>
      <c r="AU10" s="262">
        <v>0.92708333333333337</v>
      </c>
      <c r="AV10" s="245">
        <f t="shared" si="52"/>
        <v>46026</v>
      </c>
      <c r="AW10" s="263">
        <f t="shared" si="42"/>
        <v>0.30249599267231508</v>
      </c>
      <c r="AX10" s="263">
        <f t="shared" si="43"/>
        <v>0.69750400732768492</v>
      </c>
      <c r="AY10" s="264">
        <f t="shared" si="44"/>
        <v>4367</v>
      </c>
      <c r="AZ10" s="265">
        <v>4367</v>
      </c>
      <c r="BA10" s="266">
        <f t="shared" si="45"/>
        <v>1321</v>
      </c>
      <c r="BB10" s="264">
        <f>1319+1727</f>
        <v>3046</v>
      </c>
      <c r="BC10" s="265">
        <v>1773</v>
      </c>
      <c r="BD10" s="267">
        <v>0.40625</v>
      </c>
      <c r="BE10" s="268">
        <v>0</v>
      </c>
      <c r="BF10" s="267">
        <v>0</v>
      </c>
      <c r="BG10" s="268">
        <v>157</v>
      </c>
      <c r="BH10" s="267">
        <v>0.88541666666666663</v>
      </c>
      <c r="BI10" s="245">
        <f t="shared" si="53"/>
        <v>46026</v>
      </c>
      <c r="BJ10" s="269">
        <f t="shared" si="46"/>
        <v>0.60943496801705754</v>
      </c>
      <c r="BK10" s="251">
        <f t="shared" si="47"/>
        <v>0.39056503198294246</v>
      </c>
      <c r="BL10" s="270">
        <f t="shared" si="48"/>
        <v>18760</v>
      </c>
      <c r="BM10" s="154">
        <v>11433</v>
      </c>
      <c r="BN10" s="154">
        <v>7327</v>
      </c>
      <c r="BO10" s="155">
        <v>2568</v>
      </c>
      <c r="BP10" s="156">
        <v>0.4375</v>
      </c>
      <c r="BQ10" s="157">
        <v>1694</v>
      </c>
      <c r="BR10" s="156">
        <v>0.4375</v>
      </c>
      <c r="BS10" s="271" t="s">
        <v>68</v>
      </c>
    </row>
    <row r="11" spans="1:71" ht="15.75" thickBot="1" x14ac:dyDescent="0.3">
      <c r="B11" s="56">
        <f t="shared" si="49"/>
        <v>46027</v>
      </c>
      <c r="C11" s="163"/>
      <c r="D11" s="87">
        <f t="shared" si="22"/>
        <v>51616</v>
      </c>
      <c r="E11" s="158">
        <f t="shared" ref="E11:E24" si="54">F11/D11</f>
        <v>0.87267513949163045</v>
      </c>
      <c r="F11" s="87">
        <f t="shared" si="24"/>
        <v>45044</v>
      </c>
      <c r="G11" s="158">
        <f t="shared" ref="G11:G24" si="55">H11/D11</f>
        <v>0.1273248605083695</v>
      </c>
      <c r="H11" s="145">
        <f t="shared" si="26"/>
        <v>6572</v>
      </c>
      <c r="I11" s="159">
        <f t="shared" ref="I11:I24" si="56">AE11/(AE11+AO11+BL11+AY11)</f>
        <v>0.11603680064001114</v>
      </c>
      <c r="J11" s="158">
        <f t="shared" ref="J11:J24" si="57">AO11/(AE11+AO11+BL11+AY11)</f>
        <v>0.15935929320509923</v>
      </c>
      <c r="K11" s="158">
        <f t="shared" ref="K11:K24" si="58">AY11/(AF11+AP11+BM11+AZ11+AY11)</f>
        <v>0.16819313808220307</v>
      </c>
      <c r="L11" s="160">
        <f t="shared" ref="L11:L24" si="59">BL11/(AE11+AO11+BL11+AY11)</f>
        <v>0.58247969529904864</v>
      </c>
      <c r="M11" s="145">
        <f t="shared" ref="M11:M24" si="60">(S11+T11)*I11</f>
        <v>5824.1190977234392</v>
      </c>
      <c r="N11" s="145">
        <f t="shared" ref="N11:N24" si="61">(S11+T11)*J11</f>
        <v>7998.5616445503401</v>
      </c>
      <c r="O11" s="145">
        <f t="shared" ref="O11:O24" si="62">(S11+T11)*K11</f>
        <v>8441.9499866219358</v>
      </c>
      <c r="P11" s="145">
        <f t="shared" ref="P11:P24" si="63">(S11+T11)*L11</f>
        <v>29235.820866449849</v>
      </c>
      <c r="Q11" s="56">
        <f t="shared" si="50"/>
        <v>46027</v>
      </c>
      <c r="R11" s="138">
        <v>51616</v>
      </c>
      <c r="S11" s="139">
        <v>0</v>
      </c>
      <c r="T11" s="139">
        <v>50192</v>
      </c>
      <c r="U11" s="139">
        <v>0</v>
      </c>
      <c r="V11" s="140">
        <v>12430</v>
      </c>
      <c r="W11" s="141">
        <v>0.80208333333333337</v>
      </c>
      <c r="X11" s="140">
        <v>4441</v>
      </c>
      <c r="Y11" s="141">
        <v>0.78125</v>
      </c>
      <c r="Z11" s="140">
        <v>0</v>
      </c>
      <c r="AA11" s="141">
        <v>0</v>
      </c>
      <c r="AB11" s="56">
        <f t="shared" si="51"/>
        <v>46027</v>
      </c>
      <c r="AC11" s="76">
        <f t="shared" ref="AC11:AC25" si="64">+AF11/AE11</f>
        <v>1</v>
      </c>
      <c r="AD11" s="161">
        <f t="shared" ref="AD11:AD25" si="65">+AG11/AE11</f>
        <v>0</v>
      </c>
      <c r="AE11" s="162">
        <v>6672</v>
      </c>
      <c r="AF11" s="118">
        <f t="shared" si="37"/>
        <v>6672</v>
      </c>
      <c r="AG11" s="146">
        <v>0</v>
      </c>
      <c r="AH11" s="147">
        <v>3717</v>
      </c>
      <c r="AI11" s="148">
        <v>0.71736111111111112</v>
      </c>
      <c r="AJ11" s="147">
        <v>0</v>
      </c>
      <c r="AK11" s="164">
        <v>0</v>
      </c>
      <c r="AL11" s="56">
        <f t="shared" si="38"/>
        <v>46027</v>
      </c>
      <c r="AM11" s="77">
        <f t="shared" ref="AM11:AM25" si="66">+AP11/AO11</f>
        <v>0.57644876132271095</v>
      </c>
      <c r="AN11" s="76">
        <f t="shared" ref="AN11:AN25" si="67">+AQ11/AO11</f>
        <v>0.42355123867728911</v>
      </c>
      <c r="AO11" s="149">
        <v>9163</v>
      </c>
      <c r="AP11" s="117">
        <f t="shared" si="41"/>
        <v>5282</v>
      </c>
      <c r="AQ11" s="150">
        <v>3881</v>
      </c>
      <c r="AR11" s="151">
        <v>4016</v>
      </c>
      <c r="AS11" s="152">
        <v>0.77916666666666667</v>
      </c>
      <c r="AT11" s="151">
        <v>184</v>
      </c>
      <c r="AU11" s="153">
        <v>0.76041666666666663</v>
      </c>
      <c r="AV11" s="56">
        <f t="shared" si="52"/>
        <v>46027</v>
      </c>
      <c r="AW11" s="110">
        <f t="shared" ref="AW11:AW25" si="68">BA11/AZ11</f>
        <v>0.67070484581497802</v>
      </c>
      <c r="AX11" s="110">
        <f t="shared" ref="AX11:AX25" si="69">BB11/AZ11</f>
        <v>0.32929515418502203</v>
      </c>
      <c r="AY11" s="111">
        <f t="shared" si="44"/>
        <v>8172</v>
      </c>
      <c r="AZ11" s="112">
        <v>8172</v>
      </c>
      <c r="BA11" s="169">
        <f t="shared" si="45"/>
        <v>5481</v>
      </c>
      <c r="BB11" s="113">
        <v>2691</v>
      </c>
      <c r="BC11" s="112">
        <v>3517</v>
      </c>
      <c r="BD11" s="114">
        <v>0.76041666666666663</v>
      </c>
      <c r="BE11" s="115">
        <v>0</v>
      </c>
      <c r="BF11" s="114">
        <v>0</v>
      </c>
      <c r="BG11" s="115">
        <v>175</v>
      </c>
      <c r="BH11" s="114" t="s">
        <v>70</v>
      </c>
      <c r="BI11" s="56">
        <f t="shared" si="53"/>
        <v>46027</v>
      </c>
      <c r="BJ11" s="78">
        <f t="shared" ref="BJ11:BJ25" si="70">+BM11/BL11</f>
        <v>0.60578645646721607</v>
      </c>
      <c r="BK11" s="76">
        <f t="shared" ref="BK11:BK25" si="71">+BN11/BL11</f>
        <v>0.39421354353278393</v>
      </c>
      <c r="BL11" s="79">
        <f t="shared" ref="BL11:BL25" si="72">BM11+BN11</f>
        <v>33492</v>
      </c>
      <c r="BM11" s="154">
        <v>20289</v>
      </c>
      <c r="BN11" s="154">
        <v>13203</v>
      </c>
      <c r="BO11" s="155">
        <v>3798</v>
      </c>
      <c r="BP11" s="156">
        <v>0.69305555555555554</v>
      </c>
      <c r="BQ11" s="157">
        <v>2530</v>
      </c>
      <c r="BR11" s="156">
        <v>0.69374999999999998</v>
      </c>
    </row>
    <row r="12" spans="1:71" ht="15.75" thickBot="1" x14ac:dyDescent="0.3">
      <c r="B12" s="56">
        <f t="shared" si="49"/>
        <v>46028</v>
      </c>
      <c r="C12" s="163"/>
      <c r="D12" s="87">
        <f t="shared" si="22"/>
        <v>54502</v>
      </c>
      <c r="E12" s="158">
        <f t="shared" si="54"/>
        <v>0.87651829290668237</v>
      </c>
      <c r="F12" s="87">
        <f t="shared" si="24"/>
        <v>47772</v>
      </c>
      <c r="G12" s="158">
        <f>H12/D12</f>
        <v>0.12348170709331768</v>
      </c>
      <c r="H12" s="145">
        <f t="shared" si="26"/>
        <v>6730</v>
      </c>
      <c r="I12" s="159">
        <f t="shared" si="56"/>
        <v>0.11874255065554232</v>
      </c>
      <c r="J12" s="158">
        <f t="shared" si="57"/>
        <v>0.17189776188584294</v>
      </c>
      <c r="K12" s="158">
        <f t="shared" si="58"/>
        <v>0.16748682579045257</v>
      </c>
      <c r="L12" s="160">
        <f t="shared" si="59"/>
        <v>0.56624950337703617</v>
      </c>
      <c r="M12" s="145">
        <f t="shared" si="60"/>
        <v>6307.4855482717521</v>
      </c>
      <c r="N12" s="145">
        <f t="shared" si="61"/>
        <v>9131.0372136140904</v>
      </c>
      <c r="O12" s="145">
        <f t="shared" si="62"/>
        <v>8896.7326991630507</v>
      </c>
      <c r="P12" s="145">
        <f t="shared" si="63"/>
        <v>30078.607369884783</v>
      </c>
      <c r="Q12" s="56">
        <f t="shared" si="50"/>
        <v>46028</v>
      </c>
      <c r="R12" s="138">
        <v>54502</v>
      </c>
      <c r="S12" s="139">
        <v>0</v>
      </c>
      <c r="T12" s="139">
        <v>53119</v>
      </c>
      <c r="U12" s="139">
        <v>0</v>
      </c>
      <c r="V12" s="140">
        <v>13320</v>
      </c>
      <c r="W12" s="141">
        <v>0.44791666666666669</v>
      </c>
      <c r="X12" s="140">
        <v>4628</v>
      </c>
      <c r="Y12" s="141">
        <v>0.78125</v>
      </c>
      <c r="Z12" s="140">
        <v>0</v>
      </c>
      <c r="AA12" s="141">
        <v>0</v>
      </c>
      <c r="AB12" s="56">
        <f t="shared" si="51"/>
        <v>46028</v>
      </c>
      <c r="AC12" s="76">
        <f t="shared" si="64"/>
        <v>1</v>
      </c>
      <c r="AD12" s="161">
        <f t="shared" si="65"/>
        <v>0</v>
      </c>
      <c r="AE12" s="162">
        <v>7173</v>
      </c>
      <c r="AF12" s="118">
        <f t="shared" si="37"/>
        <v>7173</v>
      </c>
      <c r="AG12" s="146">
        <v>0</v>
      </c>
      <c r="AH12" s="147">
        <v>3541</v>
      </c>
      <c r="AI12" s="148">
        <v>0.75208333333333333</v>
      </c>
      <c r="AJ12" s="147">
        <v>0</v>
      </c>
      <c r="AK12" s="164">
        <v>0</v>
      </c>
      <c r="AL12" s="56">
        <f t="shared" si="38"/>
        <v>46028</v>
      </c>
      <c r="AM12" s="77">
        <f t="shared" si="66"/>
        <v>0.61777734976887522</v>
      </c>
      <c r="AN12" s="76">
        <f t="shared" si="67"/>
        <v>0.38222265023112478</v>
      </c>
      <c r="AO12" s="149">
        <v>10384</v>
      </c>
      <c r="AP12" s="117">
        <f t="shared" si="41"/>
        <v>6415</v>
      </c>
      <c r="AQ12" s="150">
        <v>3969</v>
      </c>
      <c r="AR12" s="151">
        <v>3750</v>
      </c>
      <c r="AS12" s="152">
        <v>0.40138888888888891</v>
      </c>
      <c r="AT12" s="151">
        <v>182</v>
      </c>
      <c r="AU12" s="153">
        <v>0.66666666666666663</v>
      </c>
      <c r="AV12" s="56">
        <f t="shared" si="52"/>
        <v>46028</v>
      </c>
      <c r="AW12" s="110">
        <f t="shared" si="68"/>
        <v>0.68062463851937538</v>
      </c>
      <c r="AX12" s="110">
        <f t="shared" si="69"/>
        <v>0.31937536148062462</v>
      </c>
      <c r="AY12" s="111">
        <f t="shared" si="44"/>
        <v>8645</v>
      </c>
      <c r="AZ12" s="112">
        <v>8645</v>
      </c>
      <c r="BA12" s="169">
        <f t="shared" si="45"/>
        <v>5884</v>
      </c>
      <c r="BB12" s="113">
        <v>2761</v>
      </c>
      <c r="BC12" s="112">
        <v>3920</v>
      </c>
      <c r="BD12" s="114">
        <v>0.38541666666666669</v>
      </c>
      <c r="BE12" s="115">
        <v>0</v>
      </c>
      <c r="BF12" s="114">
        <v>0</v>
      </c>
      <c r="BG12" s="115">
        <v>165</v>
      </c>
      <c r="BH12" s="114">
        <v>0.89583333333333337</v>
      </c>
      <c r="BI12" s="56">
        <f t="shared" si="53"/>
        <v>46028</v>
      </c>
      <c r="BJ12" s="78">
        <f t="shared" si="70"/>
        <v>0.60626790621528381</v>
      </c>
      <c r="BK12" s="76">
        <f t="shared" si="71"/>
        <v>0.39373209378471613</v>
      </c>
      <c r="BL12" s="79">
        <f t="shared" si="72"/>
        <v>34206</v>
      </c>
      <c r="BM12" s="154">
        <v>20738</v>
      </c>
      <c r="BN12" s="154">
        <v>13468</v>
      </c>
      <c r="BO12" s="155">
        <v>3852</v>
      </c>
      <c r="BP12" s="156">
        <v>0.70902777777777781</v>
      </c>
      <c r="BQ12" s="157">
        <v>2565</v>
      </c>
      <c r="BR12" s="156">
        <v>0.70972222222222225</v>
      </c>
    </row>
    <row r="13" spans="1:71" ht="15.75" thickBot="1" x14ac:dyDescent="0.3">
      <c r="B13" s="56">
        <f t="shared" si="49"/>
        <v>46029</v>
      </c>
      <c r="C13" s="163"/>
      <c r="D13" s="87">
        <f t="shared" si="22"/>
        <v>54168</v>
      </c>
      <c r="E13" s="158">
        <f t="shared" si="54"/>
        <v>0.8745938561512332</v>
      </c>
      <c r="F13" s="87">
        <f t="shared" si="24"/>
        <v>47375</v>
      </c>
      <c r="G13" s="158">
        <f t="shared" si="55"/>
        <v>0.1254061438487668</v>
      </c>
      <c r="H13" s="145">
        <f t="shared" si="26"/>
        <v>6793</v>
      </c>
      <c r="I13" s="159">
        <f t="shared" si="56"/>
        <v>0.12519484920365978</v>
      </c>
      <c r="J13" s="158">
        <f t="shared" si="57"/>
        <v>0.14251101321585902</v>
      </c>
      <c r="K13" s="158">
        <f t="shared" si="58"/>
        <v>0.17247501446268626</v>
      </c>
      <c r="L13" s="160">
        <f t="shared" si="59"/>
        <v>0.5858014232463572</v>
      </c>
      <c r="M13" s="145">
        <f t="shared" si="60"/>
        <v>6602.6511521518132</v>
      </c>
      <c r="N13" s="145">
        <f t="shared" si="61"/>
        <v>7515.888325991189</v>
      </c>
      <c r="O13" s="145">
        <f t="shared" si="62"/>
        <v>9096.1597877476106</v>
      </c>
      <c r="P13" s="145">
        <f t="shared" si="63"/>
        <v>30894.581260589632</v>
      </c>
      <c r="Q13" s="56">
        <f t="shared" si="50"/>
        <v>46029</v>
      </c>
      <c r="R13" s="138">
        <v>54168</v>
      </c>
      <c r="S13" s="139">
        <v>0</v>
      </c>
      <c r="T13" s="139">
        <v>52739</v>
      </c>
      <c r="U13" s="139">
        <v>0</v>
      </c>
      <c r="V13" s="140">
        <v>12255</v>
      </c>
      <c r="W13" s="141">
        <v>0.77083333333333337</v>
      </c>
      <c r="X13" s="140">
        <v>4287</v>
      </c>
      <c r="Y13" s="141">
        <v>0.82291666666666663</v>
      </c>
      <c r="Z13" s="140">
        <v>0</v>
      </c>
      <c r="AA13" s="141">
        <v>0</v>
      </c>
      <c r="AB13" s="167">
        <f t="shared" si="51"/>
        <v>46029</v>
      </c>
      <c r="AC13" s="76">
        <f t="shared" si="64"/>
        <v>1</v>
      </c>
      <c r="AD13" s="161">
        <f t="shared" si="65"/>
        <v>0</v>
      </c>
      <c r="AE13" s="162">
        <v>7389</v>
      </c>
      <c r="AF13" s="118">
        <f t="shared" si="37"/>
        <v>7389</v>
      </c>
      <c r="AG13" s="146">
        <v>0</v>
      </c>
      <c r="AH13" s="147">
        <v>3747</v>
      </c>
      <c r="AI13" s="148">
        <v>0.77152777777777781</v>
      </c>
      <c r="AJ13" s="147">
        <v>0</v>
      </c>
      <c r="AK13" s="164">
        <v>0</v>
      </c>
      <c r="AL13" s="167">
        <f t="shared" si="38"/>
        <v>46029</v>
      </c>
      <c r="AM13" s="77">
        <f t="shared" si="66"/>
        <v>0.52288669599334203</v>
      </c>
      <c r="AN13" s="76">
        <f t="shared" si="67"/>
        <v>0.47711330400665797</v>
      </c>
      <c r="AO13" s="149">
        <v>8411</v>
      </c>
      <c r="AP13" s="117">
        <f t="shared" si="41"/>
        <v>4398</v>
      </c>
      <c r="AQ13" s="150">
        <v>4013</v>
      </c>
      <c r="AR13" s="151">
        <v>3292</v>
      </c>
      <c r="AS13" s="152">
        <v>0.73958333333333337</v>
      </c>
      <c r="AT13" s="151">
        <v>190</v>
      </c>
      <c r="AU13" s="153">
        <v>0.69791666666666663</v>
      </c>
      <c r="AV13" s="167">
        <f t="shared" si="52"/>
        <v>46029</v>
      </c>
      <c r="AW13" s="168">
        <f t="shared" si="68"/>
        <v>0.67846402960906782</v>
      </c>
      <c r="AX13" s="168">
        <f t="shared" si="69"/>
        <v>0.32153597039093224</v>
      </c>
      <c r="AY13" s="111">
        <f t="shared" si="44"/>
        <v>8646</v>
      </c>
      <c r="AZ13" s="112">
        <v>8646</v>
      </c>
      <c r="BA13" s="169">
        <f t="shared" si="45"/>
        <v>5866</v>
      </c>
      <c r="BB13" s="113">
        <v>2780</v>
      </c>
      <c r="BC13" s="112">
        <v>4016</v>
      </c>
      <c r="BD13" s="114">
        <v>0.34375</v>
      </c>
      <c r="BE13" s="115">
        <v>0</v>
      </c>
      <c r="BF13" s="114">
        <v>0</v>
      </c>
      <c r="BG13" s="115">
        <v>172</v>
      </c>
      <c r="BH13" s="114">
        <v>0.90625</v>
      </c>
      <c r="BI13" s="167">
        <f t="shared" si="53"/>
        <v>46029</v>
      </c>
      <c r="BJ13" s="170">
        <f t="shared" si="70"/>
        <v>0.608839011974316</v>
      </c>
      <c r="BK13" s="76">
        <f t="shared" si="71"/>
        <v>0.39116098802568405</v>
      </c>
      <c r="BL13" s="79">
        <f t="shared" si="72"/>
        <v>34574</v>
      </c>
      <c r="BM13" s="154">
        <v>21050</v>
      </c>
      <c r="BN13" s="154">
        <v>13524</v>
      </c>
      <c r="BO13" s="155">
        <v>4156</v>
      </c>
      <c r="BP13" s="156">
        <v>0.77430555555555558</v>
      </c>
      <c r="BQ13" s="157">
        <v>2803</v>
      </c>
      <c r="BR13" s="156">
        <v>0.77430555555555558</v>
      </c>
    </row>
    <row r="14" spans="1:71" ht="15.75" thickBot="1" x14ac:dyDescent="0.3">
      <c r="B14" s="56">
        <f t="shared" si="49"/>
        <v>46030</v>
      </c>
      <c r="C14" s="163"/>
      <c r="D14" s="87">
        <f t="shared" si="22"/>
        <v>54578</v>
      </c>
      <c r="E14" s="158">
        <f t="shared" si="54"/>
        <v>0.87617721426215689</v>
      </c>
      <c r="F14" s="87">
        <f t="shared" si="24"/>
        <v>47820</v>
      </c>
      <c r="G14" s="158">
        <f t="shared" si="55"/>
        <v>0.12382278573784308</v>
      </c>
      <c r="H14" s="145">
        <f t="shared" si="26"/>
        <v>6758</v>
      </c>
      <c r="I14" s="159">
        <f t="shared" si="56"/>
        <v>0.12926720507357678</v>
      </c>
      <c r="J14" s="158">
        <f t="shared" si="57"/>
        <v>0.14944920642785181</v>
      </c>
      <c r="K14" s="158">
        <f t="shared" si="58"/>
        <v>0.17552060384298548</v>
      </c>
      <c r="L14" s="160">
        <f t="shared" si="59"/>
        <v>0.56996812498967775</v>
      </c>
      <c r="M14" s="145">
        <f t="shared" si="60"/>
        <v>6877.1445771193585</v>
      </c>
      <c r="N14" s="145">
        <f t="shared" si="61"/>
        <v>7950.8472311681444</v>
      </c>
      <c r="O14" s="145">
        <f t="shared" si="62"/>
        <v>9337.8716450506708</v>
      </c>
      <c r="P14" s="145">
        <f t="shared" si="63"/>
        <v>30322.874217575845</v>
      </c>
      <c r="Q14" s="56">
        <f t="shared" si="50"/>
        <v>46030</v>
      </c>
      <c r="R14" s="138">
        <v>54578</v>
      </c>
      <c r="S14" s="139">
        <v>0</v>
      </c>
      <c r="T14" s="139">
        <v>53201</v>
      </c>
      <c r="U14" s="139">
        <v>0</v>
      </c>
      <c r="V14" s="140">
        <v>11581</v>
      </c>
      <c r="W14" s="141">
        <v>0.39583333333333331</v>
      </c>
      <c r="X14" s="140">
        <v>4744</v>
      </c>
      <c r="Y14" s="141">
        <v>0.8125</v>
      </c>
      <c r="Z14" s="140">
        <v>0</v>
      </c>
      <c r="AA14" s="141">
        <v>0</v>
      </c>
      <c r="AB14" s="56">
        <f t="shared" si="51"/>
        <v>46030</v>
      </c>
      <c r="AC14" s="76">
        <f t="shared" si="64"/>
        <v>1</v>
      </c>
      <c r="AD14" s="161">
        <f t="shared" si="65"/>
        <v>0</v>
      </c>
      <c r="AE14" s="162">
        <v>7827</v>
      </c>
      <c r="AF14" s="118">
        <f t="shared" ref="AF14" si="73">+AE14-AG14</f>
        <v>7827</v>
      </c>
      <c r="AG14" s="146">
        <v>0</v>
      </c>
      <c r="AH14" s="147">
        <v>3783</v>
      </c>
      <c r="AI14" s="148">
        <v>0.7270833333333333</v>
      </c>
      <c r="AJ14" s="147">
        <v>0</v>
      </c>
      <c r="AK14" s="164">
        <v>0</v>
      </c>
      <c r="AL14" s="56">
        <f t="shared" si="38"/>
        <v>46030</v>
      </c>
      <c r="AM14" s="77">
        <f t="shared" si="66"/>
        <v>0.56171952701956018</v>
      </c>
      <c r="AN14" s="76">
        <f t="shared" si="67"/>
        <v>0.43828047298043982</v>
      </c>
      <c r="AO14" s="149">
        <v>9049</v>
      </c>
      <c r="AP14" s="117">
        <f t="shared" ref="AP14" si="74">AO14-AQ14</f>
        <v>5083</v>
      </c>
      <c r="AQ14" s="150">
        <v>3966</v>
      </c>
      <c r="AR14" s="151">
        <v>3253</v>
      </c>
      <c r="AS14" s="152">
        <v>0.72430555555555554</v>
      </c>
      <c r="AT14" s="151">
        <v>183</v>
      </c>
      <c r="AU14" s="153">
        <v>0.60416666666666663</v>
      </c>
      <c r="AV14" s="56">
        <f t="shared" si="52"/>
        <v>46030</v>
      </c>
      <c r="AW14" s="110">
        <f t="shared" si="68"/>
        <v>0.695263043003711</v>
      </c>
      <c r="AX14" s="110">
        <f t="shared" si="69"/>
        <v>0.304736956996289</v>
      </c>
      <c r="AY14" s="111">
        <f t="shared" si="44"/>
        <v>9162</v>
      </c>
      <c r="AZ14" s="112">
        <v>9162</v>
      </c>
      <c r="BA14" s="169">
        <f t="shared" ref="BA14" si="75">AZ14-BB14</f>
        <v>6370</v>
      </c>
      <c r="BB14" s="113">
        <v>2792</v>
      </c>
      <c r="BC14" s="112">
        <v>4220</v>
      </c>
      <c r="BD14" s="114">
        <v>0.38541666666666669</v>
      </c>
      <c r="BE14" s="115">
        <v>0</v>
      </c>
      <c r="BF14" s="114">
        <v>0</v>
      </c>
      <c r="BG14" s="115">
        <v>165</v>
      </c>
      <c r="BH14" s="114">
        <v>0.88541666666666663</v>
      </c>
      <c r="BI14" s="56">
        <f t="shared" si="53"/>
        <v>46030</v>
      </c>
      <c r="BJ14" s="78">
        <f t="shared" si="70"/>
        <v>0.60748746776390139</v>
      </c>
      <c r="BK14" s="76">
        <f t="shared" si="71"/>
        <v>0.39251253223609861</v>
      </c>
      <c r="BL14" s="79">
        <f t="shared" si="72"/>
        <v>34511</v>
      </c>
      <c r="BM14" s="154">
        <v>20965</v>
      </c>
      <c r="BN14" s="154">
        <v>13546</v>
      </c>
      <c r="BO14" s="155">
        <v>3922</v>
      </c>
      <c r="BP14" s="156">
        <v>0.76875000000000004</v>
      </c>
      <c r="BQ14" s="157">
        <v>2690</v>
      </c>
      <c r="BR14" s="156">
        <v>0.76875000000000004</v>
      </c>
    </row>
    <row r="15" spans="1:71" ht="15.75" thickBot="1" x14ac:dyDescent="0.3">
      <c r="B15" s="56">
        <f t="shared" si="49"/>
        <v>46031</v>
      </c>
      <c r="C15" s="163"/>
      <c r="D15" s="87">
        <f t="shared" si="22"/>
        <v>54968</v>
      </c>
      <c r="E15" s="158">
        <f t="shared" si="54"/>
        <v>0.87751055159365454</v>
      </c>
      <c r="F15" s="87">
        <f t="shared" si="24"/>
        <v>48235</v>
      </c>
      <c r="G15" s="158">
        <f t="shared" si="55"/>
        <v>0.12248944840634551</v>
      </c>
      <c r="H15" s="145">
        <f t="shared" si="26"/>
        <v>6733</v>
      </c>
      <c r="I15" s="159">
        <f t="shared" si="56"/>
        <v>0.11743492230017703</v>
      </c>
      <c r="J15" s="158">
        <f t="shared" si="57"/>
        <v>0.15415382597862434</v>
      </c>
      <c r="K15" s="158">
        <f t="shared" si="58"/>
        <v>0.17620262735091202</v>
      </c>
      <c r="L15" s="160">
        <f t="shared" si="59"/>
        <v>0.57560159989508886</v>
      </c>
      <c r="M15" s="145">
        <f t="shared" si="60"/>
        <v>6307.1948068979082</v>
      </c>
      <c r="N15" s="145">
        <f t="shared" si="61"/>
        <v>8279.2936856599554</v>
      </c>
      <c r="O15" s="145">
        <f t="shared" si="62"/>
        <v>9463.490709762782</v>
      </c>
      <c r="P15" s="145">
        <f t="shared" si="63"/>
        <v>30914.410727165432</v>
      </c>
      <c r="Q15" s="56">
        <f t="shared" si="50"/>
        <v>46031</v>
      </c>
      <c r="R15" s="138">
        <v>54968</v>
      </c>
      <c r="S15" s="139">
        <v>0</v>
      </c>
      <c r="T15" s="139">
        <v>53708</v>
      </c>
      <c r="U15" s="139">
        <v>0</v>
      </c>
      <c r="V15" s="140">
        <v>13919</v>
      </c>
      <c r="W15" s="141">
        <v>0.73958333333333337</v>
      </c>
      <c r="X15" s="140">
        <v>4412</v>
      </c>
      <c r="Y15" s="141">
        <v>0.39583333333333331</v>
      </c>
      <c r="Z15" s="140">
        <v>0</v>
      </c>
      <c r="AA15" s="141">
        <v>0</v>
      </c>
      <c r="AB15" s="56">
        <f t="shared" si="51"/>
        <v>46031</v>
      </c>
      <c r="AC15" s="76">
        <f t="shared" si="64"/>
        <v>1</v>
      </c>
      <c r="AD15" s="161">
        <f t="shared" si="65"/>
        <v>0</v>
      </c>
      <c r="AE15" s="162">
        <v>7164</v>
      </c>
      <c r="AF15" s="118">
        <f t="shared" si="37"/>
        <v>7164</v>
      </c>
      <c r="AG15" s="146">
        <v>0</v>
      </c>
      <c r="AH15" s="147">
        <v>4249</v>
      </c>
      <c r="AI15" s="148">
        <v>0.35416666666666669</v>
      </c>
      <c r="AJ15" s="147">
        <v>0</v>
      </c>
      <c r="AK15" s="164">
        <v>0</v>
      </c>
      <c r="AL15" s="167">
        <f t="shared" si="38"/>
        <v>46031</v>
      </c>
      <c r="AM15" s="77">
        <f t="shared" si="66"/>
        <v>0.58188005104210971</v>
      </c>
      <c r="AN15" s="76">
        <f t="shared" si="67"/>
        <v>0.41811994895789029</v>
      </c>
      <c r="AO15" s="149">
        <v>9404</v>
      </c>
      <c r="AP15" s="117">
        <f t="shared" si="41"/>
        <v>5472</v>
      </c>
      <c r="AQ15" s="150">
        <v>3932</v>
      </c>
      <c r="AR15" s="151">
        <v>3693</v>
      </c>
      <c r="AS15" s="152">
        <v>0.34097222222222223</v>
      </c>
      <c r="AT15" s="151">
        <v>183</v>
      </c>
      <c r="AU15" s="153">
        <v>0.92708333333333337</v>
      </c>
      <c r="AV15" s="56">
        <f t="shared" si="52"/>
        <v>46031</v>
      </c>
      <c r="AW15" s="168">
        <f t="shared" si="68"/>
        <v>0.6995279982836301</v>
      </c>
      <c r="AX15" s="168">
        <f t="shared" si="69"/>
        <v>0.3004720017163699</v>
      </c>
      <c r="AY15" s="111">
        <f t="shared" si="44"/>
        <v>9322</v>
      </c>
      <c r="AZ15" s="112">
        <v>9322</v>
      </c>
      <c r="BA15" s="169">
        <f t="shared" ref="BA15:BA25" si="76">AZ15-BB15</f>
        <v>6521</v>
      </c>
      <c r="BB15" s="113">
        <v>2801</v>
      </c>
      <c r="BC15" s="112">
        <v>4579</v>
      </c>
      <c r="BD15" s="114">
        <v>0.36458333333333331</v>
      </c>
      <c r="BE15" s="115">
        <v>0</v>
      </c>
      <c r="BF15" s="114">
        <v>0</v>
      </c>
      <c r="BG15" s="115">
        <v>164</v>
      </c>
      <c r="BH15" s="114">
        <v>0.90625</v>
      </c>
      <c r="BI15" s="56">
        <f t="shared" si="53"/>
        <v>46031</v>
      </c>
      <c r="BJ15" s="170">
        <f t="shared" si="70"/>
        <v>0.61585122743065446</v>
      </c>
      <c r="BK15" s="76">
        <f t="shared" si="71"/>
        <v>0.38414877256934554</v>
      </c>
      <c r="BL15" s="79">
        <f t="shared" si="72"/>
        <v>35114</v>
      </c>
      <c r="BM15" s="154">
        <v>21625</v>
      </c>
      <c r="BN15" s="154">
        <v>13489</v>
      </c>
      <c r="BO15" s="155">
        <v>4319</v>
      </c>
      <c r="BP15" s="156">
        <v>0.80277777777777781</v>
      </c>
      <c r="BQ15" s="157">
        <v>2815</v>
      </c>
      <c r="BR15" s="156">
        <v>0.80277777777777781</v>
      </c>
    </row>
    <row r="16" spans="1:71" s="307" customFormat="1" ht="15.75" thickBot="1" x14ac:dyDescent="0.3">
      <c r="A16" s="272"/>
      <c r="B16" s="273">
        <f t="shared" si="49"/>
        <v>46032</v>
      </c>
      <c r="C16" s="274"/>
      <c r="D16" s="275">
        <f t="shared" si="22"/>
        <v>34088</v>
      </c>
      <c r="E16" s="276">
        <f t="shared" si="54"/>
        <v>0.81277869044825157</v>
      </c>
      <c r="F16" s="275">
        <f t="shared" si="24"/>
        <v>27706</v>
      </c>
      <c r="G16" s="276">
        <f t="shared" si="55"/>
        <v>0.18722130955174843</v>
      </c>
      <c r="H16" s="277">
        <f t="shared" si="26"/>
        <v>6382</v>
      </c>
      <c r="I16" s="278">
        <f t="shared" si="56"/>
        <v>7.7811324752370362E-2</v>
      </c>
      <c r="J16" s="276">
        <f t="shared" si="57"/>
        <v>0.15379522220456593</v>
      </c>
      <c r="K16" s="276">
        <f t="shared" si="58"/>
        <v>0.16623885436368549</v>
      </c>
      <c r="L16" s="279">
        <f t="shared" si="59"/>
        <v>0.63803697229726153</v>
      </c>
      <c r="M16" s="277">
        <f t="shared" si="60"/>
        <v>2541.8625456856826</v>
      </c>
      <c r="N16" s="277">
        <f t="shared" si="61"/>
        <v>5024.0285237565549</v>
      </c>
      <c r="O16" s="277">
        <f t="shared" si="62"/>
        <v>5430.5246554985142</v>
      </c>
      <c r="P16" s="277">
        <f t="shared" si="63"/>
        <v>20842.753774034642</v>
      </c>
      <c r="Q16" s="273">
        <f t="shared" si="50"/>
        <v>46032</v>
      </c>
      <c r="R16" s="280">
        <v>34088</v>
      </c>
      <c r="S16" s="281">
        <v>0</v>
      </c>
      <c r="T16" s="281">
        <v>32667</v>
      </c>
      <c r="U16" s="281">
        <v>0</v>
      </c>
      <c r="V16" s="282">
        <v>6265</v>
      </c>
      <c r="W16" s="283">
        <v>0.875</v>
      </c>
      <c r="X16" s="282">
        <v>2109</v>
      </c>
      <c r="Y16" s="283">
        <v>0.88541666666666663</v>
      </c>
      <c r="Z16" s="282">
        <v>0</v>
      </c>
      <c r="AA16" s="283">
        <v>0</v>
      </c>
      <c r="AB16" s="273">
        <f t="shared" si="51"/>
        <v>46032</v>
      </c>
      <c r="AC16" s="284">
        <f t="shared" si="64"/>
        <v>1</v>
      </c>
      <c r="AD16" s="285">
        <f t="shared" si="65"/>
        <v>0</v>
      </c>
      <c r="AE16" s="286">
        <v>2938</v>
      </c>
      <c r="AF16" s="287">
        <f t="shared" si="37"/>
        <v>2938</v>
      </c>
      <c r="AG16" s="277">
        <v>0</v>
      </c>
      <c r="AH16" s="288">
        <v>1633</v>
      </c>
      <c r="AI16" s="289">
        <v>0.7368055555555556</v>
      </c>
      <c r="AJ16" s="288">
        <v>0</v>
      </c>
      <c r="AK16" s="290">
        <v>0</v>
      </c>
      <c r="AL16" s="273">
        <f t="shared" si="38"/>
        <v>46032</v>
      </c>
      <c r="AM16" s="291">
        <f t="shared" si="66"/>
        <v>0.36697089719304288</v>
      </c>
      <c r="AN16" s="284">
        <f t="shared" si="67"/>
        <v>0.63302910280695712</v>
      </c>
      <c r="AO16" s="292">
        <v>5807</v>
      </c>
      <c r="AP16" s="293">
        <f t="shared" si="41"/>
        <v>2131</v>
      </c>
      <c r="AQ16" s="294">
        <v>3676</v>
      </c>
      <c r="AR16" s="288">
        <v>1702</v>
      </c>
      <c r="AS16" s="295">
        <v>0.72916666666666663</v>
      </c>
      <c r="AT16" s="288">
        <v>180</v>
      </c>
      <c r="AU16" s="296">
        <v>0.875</v>
      </c>
      <c r="AV16" s="273">
        <f t="shared" si="52"/>
        <v>46032</v>
      </c>
      <c r="AW16" s="297">
        <f t="shared" si="68"/>
        <v>0.45022348638764731</v>
      </c>
      <c r="AX16" s="297">
        <f t="shared" si="69"/>
        <v>0.54977651361235269</v>
      </c>
      <c r="AY16" s="298">
        <f t="shared" si="44"/>
        <v>4922</v>
      </c>
      <c r="AZ16" s="299">
        <v>4922</v>
      </c>
      <c r="BA16" s="300">
        <f t="shared" si="76"/>
        <v>2216</v>
      </c>
      <c r="BB16" s="298">
        <v>2706</v>
      </c>
      <c r="BC16" s="299">
        <v>1670</v>
      </c>
      <c r="BD16" s="301">
        <v>0.91666666666666663</v>
      </c>
      <c r="BE16" s="302">
        <v>0</v>
      </c>
      <c r="BF16" s="301">
        <v>0</v>
      </c>
      <c r="BG16" s="302">
        <v>161</v>
      </c>
      <c r="BH16" s="301">
        <v>0.91666666666666663</v>
      </c>
      <c r="BI16" s="273">
        <f t="shared" si="53"/>
        <v>46032</v>
      </c>
      <c r="BJ16" s="303">
        <f t="shared" si="70"/>
        <v>0.60997883026856503</v>
      </c>
      <c r="BK16" s="284">
        <f t="shared" si="71"/>
        <v>0.39002116973143497</v>
      </c>
      <c r="BL16" s="304">
        <f t="shared" si="72"/>
        <v>24091</v>
      </c>
      <c r="BM16" s="277">
        <v>14695</v>
      </c>
      <c r="BN16" s="277">
        <v>9396</v>
      </c>
      <c r="BO16" s="305">
        <v>2581</v>
      </c>
      <c r="BP16" s="289">
        <v>0.42638888888888887</v>
      </c>
      <c r="BQ16" s="306">
        <v>1739</v>
      </c>
      <c r="BR16" s="289">
        <v>0.36805555555555558</v>
      </c>
    </row>
    <row r="17" spans="1:70" s="271" customFormat="1" ht="15.75" thickBot="1" x14ac:dyDescent="0.3">
      <c r="A17" s="244"/>
      <c r="B17" s="245">
        <f t="shared" si="49"/>
        <v>46033</v>
      </c>
      <c r="C17" s="325"/>
      <c r="D17" s="247">
        <f t="shared" si="22"/>
        <v>28084</v>
      </c>
      <c r="E17" s="248">
        <f t="shared" si="54"/>
        <v>0.77588662583677537</v>
      </c>
      <c r="F17" s="247">
        <f t="shared" si="24"/>
        <v>21790</v>
      </c>
      <c r="G17" s="248">
        <f t="shared" si="55"/>
        <v>0.2241133741632246</v>
      </c>
      <c r="H17" s="154">
        <f t="shared" si="26"/>
        <v>6294</v>
      </c>
      <c r="I17" s="249">
        <f t="shared" si="56"/>
        <v>6.5586647029946002E-2</v>
      </c>
      <c r="J17" s="248">
        <f t="shared" si="57"/>
        <v>0.16920307641957127</v>
      </c>
      <c r="K17" s="248">
        <f t="shared" si="58"/>
        <v>0.18501982057166702</v>
      </c>
      <c r="L17" s="250">
        <f t="shared" si="59"/>
        <v>0.62009491081656032</v>
      </c>
      <c r="M17" s="154">
        <f t="shared" si="60"/>
        <v>1759.952086401571</v>
      </c>
      <c r="N17" s="154">
        <f t="shared" si="61"/>
        <v>4540.3953526427758</v>
      </c>
      <c r="O17" s="154">
        <f t="shared" si="62"/>
        <v>4964.8218652201131</v>
      </c>
      <c r="P17" s="154">
        <f t="shared" si="63"/>
        <v>16639.626836851581</v>
      </c>
      <c r="Q17" s="245">
        <f t="shared" si="50"/>
        <v>46033</v>
      </c>
      <c r="R17" s="138">
        <v>28084</v>
      </c>
      <c r="S17" s="139">
        <v>0</v>
      </c>
      <c r="T17" s="139">
        <v>26834</v>
      </c>
      <c r="U17" s="139">
        <v>0</v>
      </c>
      <c r="V17" s="140">
        <v>6461</v>
      </c>
      <c r="W17" s="141">
        <v>0.5</v>
      </c>
      <c r="X17" s="140">
        <v>1917</v>
      </c>
      <c r="Y17" s="141">
        <v>0.84375</v>
      </c>
      <c r="Z17" s="140">
        <v>0</v>
      </c>
      <c r="AA17" s="141">
        <v>0</v>
      </c>
      <c r="AB17" s="245">
        <f t="shared" si="51"/>
        <v>46033</v>
      </c>
      <c r="AC17" s="251">
        <f t="shared" si="64"/>
        <v>1</v>
      </c>
      <c r="AD17" s="252">
        <f t="shared" si="65"/>
        <v>0</v>
      </c>
      <c r="AE17" s="253">
        <v>2004</v>
      </c>
      <c r="AF17" s="254">
        <f t="shared" si="37"/>
        <v>2004</v>
      </c>
      <c r="AG17" s="154">
        <v>0</v>
      </c>
      <c r="AH17" s="255">
        <v>1436</v>
      </c>
      <c r="AI17" s="156">
        <v>0.92291666666666672</v>
      </c>
      <c r="AJ17" s="255">
        <v>0</v>
      </c>
      <c r="AK17" s="256">
        <v>0</v>
      </c>
      <c r="AL17" s="245">
        <f t="shared" si="38"/>
        <v>46033</v>
      </c>
      <c r="AM17" s="257">
        <f t="shared" si="66"/>
        <v>0.29574468085106381</v>
      </c>
      <c r="AN17" s="251">
        <f t="shared" si="67"/>
        <v>0.70425531914893613</v>
      </c>
      <c r="AO17" s="258">
        <v>5170</v>
      </c>
      <c r="AP17" s="259">
        <f t="shared" si="41"/>
        <v>1529</v>
      </c>
      <c r="AQ17" s="260">
        <v>3641</v>
      </c>
      <c r="AR17" s="255">
        <v>1706</v>
      </c>
      <c r="AS17" s="261">
        <v>0.93194444444444446</v>
      </c>
      <c r="AT17" s="255">
        <v>173</v>
      </c>
      <c r="AU17" s="262">
        <v>0.92708333333333337</v>
      </c>
      <c r="AV17" s="245">
        <f t="shared" si="52"/>
        <v>46033</v>
      </c>
      <c r="AW17" s="263">
        <f t="shared" si="68"/>
        <v>0.40166892196662157</v>
      </c>
      <c r="AX17" s="263">
        <f t="shared" si="69"/>
        <v>0.59833107803337848</v>
      </c>
      <c r="AY17" s="264">
        <f t="shared" si="44"/>
        <v>4434</v>
      </c>
      <c r="AZ17" s="265">
        <v>4434</v>
      </c>
      <c r="BA17" s="266">
        <f t="shared" si="76"/>
        <v>1781</v>
      </c>
      <c r="BB17" s="264">
        <v>2653</v>
      </c>
      <c r="BC17" s="265">
        <v>1625</v>
      </c>
      <c r="BD17" s="267">
        <v>0.41666666666666669</v>
      </c>
      <c r="BE17" s="268">
        <v>0</v>
      </c>
      <c r="BF17" s="267">
        <v>0</v>
      </c>
      <c r="BG17" s="268">
        <v>160</v>
      </c>
      <c r="BH17" s="267">
        <v>0.89583333333333337</v>
      </c>
      <c r="BI17" s="245">
        <f t="shared" si="53"/>
        <v>46033</v>
      </c>
      <c r="BJ17" s="269">
        <f t="shared" si="70"/>
        <v>0.61033408982952442</v>
      </c>
      <c r="BK17" s="251">
        <f t="shared" si="71"/>
        <v>0.38966591017047553</v>
      </c>
      <c r="BL17" s="270">
        <f t="shared" si="72"/>
        <v>18947</v>
      </c>
      <c r="BM17" s="154">
        <v>11564</v>
      </c>
      <c r="BN17" s="154">
        <v>7383</v>
      </c>
      <c r="BO17" s="155">
        <v>2545</v>
      </c>
      <c r="BP17" s="156">
        <v>0.41875000000000001</v>
      </c>
      <c r="BQ17" s="157">
        <v>1673</v>
      </c>
      <c r="BR17" s="156">
        <v>0.41875000000000001</v>
      </c>
    </row>
    <row r="18" spans="1:70" ht="15.75" thickBot="1" x14ac:dyDescent="0.3">
      <c r="B18" s="56">
        <f t="shared" si="49"/>
        <v>46034</v>
      </c>
      <c r="C18" s="163"/>
      <c r="D18" s="87">
        <f t="shared" si="22"/>
        <v>52400</v>
      </c>
      <c r="E18" s="158">
        <f t="shared" si="54"/>
        <v>0.87286278625954206</v>
      </c>
      <c r="F18" s="87">
        <f t="shared" si="24"/>
        <v>45738.01</v>
      </c>
      <c r="G18" s="158">
        <f t="shared" si="55"/>
        <v>0.127137213740458</v>
      </c>
      <c r="H18" s="145">
        <f t="shared" si="26"/>
        <v>6661.99</v>
      </c>
      <c r="I18" s="159">
        <f t="shared" si="56"/>
        <v>0.11819531754828164</v>
      </c>
      <c r="J18" s="158">
        <f t="shared" si="57"/>
        <v>0.15967922081812386</v>
      </c>
      <c r="K18" s="158">
        <f t="shared" si="58"/>
        <v>0.17020886753266104</v>
      </c>
      <c r="L18" s="160">
        <f t="shared" si="59"/>
        <v>0.57742392406742526</v>
      </c>
      <c r="M18" s="145">
        <f t="shared" si="60"/>
        <v>6020.9581223976274</v>
      </c>
      <c r="N18" s="145">
        <f t="shared" si="61"/>
        <v>8134.1792678908432</v>
      </c>
      <c r="O18" s="145">
        <f t="shared" si="62"/>
        <v>8670.567368764403</v>
      </c>
      <c r="P18" s="145">
        <f t="shared" si="63"/>
        <v>29414.407759937694</v>
      </c>
      <c r="Q18" s="56">
        <f t="shared" si="50"/>
        <v>46034</v>
      </c>
      <c r="R18" s="138">
        <v>52400</v>
      </c>
      <c r="S18" s="139">
        <v>0</v>
      </c>
      <c r="T18" s="139">
        <v>50940.75</v>
      </c>
      <c r="U18" s="139">
        <v>0</v>
      </c>
      <c r="V18" s="140">
        <v>12369.7</v>
      </c>
      <c r="W18" s="141">
        <v>0.40625</v>
      </c>
      <c r="X18" s="140">
        <v>4461.18</v>
      </c>
      <c r="Y18" s="141">
        <v>0.78125</v>
      </c>
      <c r="Z18" s="140">
        <v>0</v>
      </c>
      <c r="AA18" s="141">
        <v>0</v>
      </c>
      <c r="AB18" s="56">
        <f t="shared" si="51"/>
        <v>46034</v>
      </c>
      <c r="AC18" s="76">
        <f t="shared" si="64"/>
        <v>1</v>
      </c>
      <c r="AD18" s="161">
        <f t="shared" si="65"/>
        <v>0</v>
      </c>
      <c r="AE18" s="162">
        <v>6905</v>
      </c>
      <c r="AF18" s="118">
        <f t="shared" si="37"/>
        <v>6905</v>
      </c>
      <c r="AG18" s="146">
        <v>0</v>
      </c>
      <c r="AH18" s="147">
        <v>3627</v>
      </c>
      <c r="AI18" s="148">
        <v>0.36041666666666666</v>
      </c>
      <c r="AJ18" s="147">
        <v>0</v>
      </c>
      <c r="AK18" s="164">
        <v>0</v>
      </c>
      <c r="AL18" s="56">
        <f t="shared" si="38"/>
        <v>46034</v>
      </c>
      <c r="AM18" s="77">
        <f t="shared" si="66"/>
        <v>0.58109020742884709</v>
      </c>
      <c r="AN18" s="76">
        <f t="shared" si="67"/>
        <v>0.41890979257115296</v>
      </c>
      <c r="AO18" s="149">
        <v>9328.5</v>
      </c>
      <c r="AP18" s="117">
        <f t="shared" si="41"/>
        <v>5420.7</v>
      </c>
      <c r="AQ18" s="150">
        <v>3907.8</v>
      </c>
      <c r="AR18" s="151">
        <v>3514.95</v>
      </c>
      <c r="AS18" s="152">
        <v>0.74583333333333335</v>
      </c>
      <c r="AT18" s="151">
        <v>187.64</v>
      </c>
      <c r="AU18" s="153">
        <v>0.59375</v>
      </c>
      <c r="AV18" s="56">
        <f t="shared" si="52"/>
        <v>46034</v>
      </c>
      <c r="AW18" s="110">
        <f t="shared" si="68"/>
        <v>0.67419530372035241</v>
      </c>
      <c r="AX18" s="110">
        <f t="shared" si="69"/>
        <v>0.32580469627964748</v>
      </c>
      <c r="AY18" s="111">
        <f t="shared" si="44"/>
        <v>8453.5</v>
      </c>
      <c r="AZ18" s="112">
        <v>8453.5</v>
      </c>
      <c r="BA18" s="120">
        <f t="shared" si="76"/>
        <v>5699.3099999999995</v>
      </c>
      <c r="BB18" s="113">
        <v>2754.19</v>
      </c>
      <c r="BC18" s="112">
        <v>3395.8</v>
      </c>
      <c r="BD18" s="114">
        <v>0.375</v>
      </c>
      <c r="BE18" s="115">
        <v>0</v>
      </c>
      <c r="BF18" s="114">
        <v>0</v>
      </c>
      <c r="BG18" s="115">
        <v>161.6</v>
      </c>
      <c r="BH18" s="114">
        <v>0.88541666666666663</v>
      </c>
      <c r="BI18" s="56">
        <f t="shared" si="53"/>
        <v>46034</v>
      </c>
      <c r="BJ18" s="78">
        <f t="shared" si="70"/>
        <v>0.60571542913890597</v>
      </c>
      <c r="BK18" s="76">
        <f t="shared" si="71"/>
        <v>0.39428457086109403</v>
      </c>
      <c r="BL18" s="79">
        <f t="shared" si="72"/>
        <v>33733.25</v>
      </c>
      <c r="BM18" s="154">
        <v>20432.75</v>
      </c>
      <c r="BN18" s="154">
        <v>13300.5</v>
      </c>
      <c r="BO18" s="155">
        <v>4067</v>
      </c>
      <c r="BP18" s="156">
        <v>0.78611111111111109</v>
      </c>
      <c r="BQ18" s="157">
        <v>2685.22</v>
      </c>
      <c r="BR18" s="156">
        <v>0.78611111111111109</v>
      </c>
    </row>
    <row r="19" spans="1:70" ht="15.75" thickBot="1" x14ac:dyDescent="0.3">
      <c r="B19" s="56">
        <f t="shared" si="49"/>
        <v>46035</v>
      </c>
      <c r="C19" s="163"/>
      <c r="D19" s="87">
        <f t="shared" si="22"/>
        <v>49706</v>
      </c>
      <c r="E19" s="158">
        <f t="shared" si="54"/>
        <v>0.89111817486822509</v>
      </c>
      <c r="F19" s="87">
        <f t="shared" si="24"/>
        <v>44293.919999999998</v>
      </c>
      <c r="G19" s="158">
        <f t="shared" si="55"/>
        <v>0.10888182513177483</v>
      </c>
      <c r="H19" s="145">
        <f t="shared" si="26"/>
        <v>5412.08</v>
      </c>
      <c r="I19" s="159">
        <f t="shared" si="56"/>
        <v>0.23225827217402034</v>
      </c>
      <c r="J19" s="158">
        <f t="shared" si="57"/>
        <v>0.2672737975117519</v>
      </c>
      <c r="K19" s="158">
        <f t="shared" si="58"/>
        <v>0.13660342516521329</v>
      </c>
      <c r="L19" s="160">
        <f t="shared" si="59"/>
        <v>0.3808396801005014</v>
      </c>
      <c r="M19" s="145">
        <f t="shared" si="60"/>
        <v>10930.074288509397</v>
      </c>
      <c r="N19" s="145">
        <f t="shared" si="61"/>
        <v>12577.904910903044</v>
      </c>
      <c r="O19" s="145">
        <f t="shared" si="62"/>
        <v>6428.5571882749373</v>
      </c>
      <c r="P19" s="145">
        <f t="shared" si="63"/>
        <v>17922.315345529594</v>
      </c>
      <c r="Q19" s="56">
        <f t="shared" si="50"/>
        <v>46035</v>
      </c>
      <c r="R19" s="138">
        <v>49706</v>
      </c>
      <c r="S19" s="139">
        <v>0</v>
      </c>
      <c r="T19" s="139">
        <v>47060</v>
      </c>
      <c r="U19" s="139">
        <v>0</v>
      </c>
      <c r="V19" s="140">
        <v>13073.2</v>
      </c>
      <c r="W19" s="141">
        <v>0.38541666666666669</v>
      </c>
      <c r="X19" s="140">
        <v>3920</v>
      </c>
      <c r="Y19" s="141">
        <v>0.76041666666666663</v>
      </c>
      <c r="Z19" s="140">
        <v>175.77</v>
      </c>
      <c r="AA19" s="141">
        <v>0.92708333333333337</v>
      </c>
      <c r="AB19" s="56">
        <f t="shared" si="51"/>
        <v>46035</v>
      </c>
      <c r="AC19" s="76">
        <f t="shared" si="64"/>
        <v>1</v>
      </c>
      <c r="AD19" s="161">
        <f t="shared" si="65"/>
        <v>0</v>
      </c>
      <c r="AE19" s="162">
        <v>9525</v>
      </c>
      <c r="AF19" s="118">
        <f t="shared" si="37"/>
        <v>9525</v>
      </c>
      <c r="AG19" s="146">
        <v>0</v>
      </c>
      <c r="AH19" s="147">
        <v>3527</v>
      </c>
      <c r="AI19" s="148">
        <v>0.58194444444444449</v>
      </c>
      <c r="AJ19" s="147">
        <v>0</v>
      </c>
      <c r="AK19" s="164">
        <v>0</v>
      </c>
      <c r="AL19" s="56">
        <f t="shared" si="38"/>
        <v>46035</v>
      </c>
      <c r="AM19" s="77">
        <f t="shared" ref="AM19" si="77">+AP19/AO19</f>
        <v>0.64171152267128917</v>
      </c>
      <c r="AN19" s="76">
        <f t="shared" ref="AN19" si="78">+AQ19/AO19</f>
        <v>0.35828847732871089</v>
      </c>
      <c r="AO19" s="149">
        <v>10961</v>
      </c>
      <c r="AP19" s="117">
        <f t="shared" si="41"/>
        <v>7033.8</v>
      </c>
      <c r="AQ19" s="150">
        <v>3927.2</v>
      </c>
      <c r="AR19" s="151">
        <v>5812</v>
      </c>
      <c r="AS19" s="152">
        <v>0.74930555555555556</v>
      </c>
      <c r="AT19" s="151">
        <v>195.7</v>
      </c>
      <c r="AU19" s="153">
        <v>0.90625</v>
      </c>
      <c r="AV19" s="56">
        <f t="shared" si="52"/>
        <v>46035</v>
      </c>
      <c r="AW19" s="110">
        <f t="shared" ref="AW19" si="79">BA19/AZ19</f>
        <v>0.69733387688544635</v>
      </c>
      <c r="AX19" s="110">
        <f t="shared" ref="AX19" si="80">BB19/AZ19</f>
        <v>0.30266612311455365</v>
      </c>
      <c r="AY19" s="111">
        <f t="shared" si="44"/>
        <v>4906</v>
      </c>
      <c r="AZ19" s="112">
        <v>4906</v>
      </c>
      <c r="BA19" s="120">
        <f t="shared" si="76"/>
        <v>3421.12</v>
      </c>
      <c r="BB19" s="113">
        <v>1484.88</v>
      </c>
      <c r="BC19" s="183">
        <v>4060.52</v>
      </c>
      <c r="BD19" s="114">
        <v>0.72916666666666663</v>
      </c>
      <c r="BE19" s="115">
        <v>0</v>
      </c>
      <c r="BF19" s="114">
        <v>0</v>
      </c>
      <c r="BG19" s="115">
        <v>149.80000000000001</v>
      </c>
      <c r="BH19" s="114">
        <v>6.25E-2</v>
      </c>
      <c r="BI19" s="56">
        <f t="shared" si="53"/>
        <v>46035</v>
      </c>
      <c r="BJ19" s="78">
        <f t="shared" ref="BJ19" si="81">+BM19/BL19</f>
        <v>0.61103520339497441</v>
      </c>
      <c r="BK19" s="76">
        <f t="shared" ref="BK19" si="82">+BN19/BL19</f>
        <v>0.38896479660502564</v>
      </c>
      <c r="BL19" s="79">
        <f t="shared" ref="BL19" si="83">BM19+BN19</f>
        <v>15618.38</v>
      </c>
      <c r="BM19" s="154">
        <v>9543.3799999999992</v>
      </c>
      <c r="BN19" s="154">
        <v>6075</v>
      </c>
      <c r="BO19" s="155">
        <v>3802</v>
      </c>
      <c r="BP19" s="156">
        <v>0.30625000000000002</v>
      </c>
      <c r="BQ19" s="157">
        <v>2537</v>
      </c>
      <c r="BR19" s="156">
        <v>0.34305555555555556</v>
      </c>
    </row>
    <row r="20" spans="1:70" ht="15.75" thickBot="1" x14ac:dyDescent="0.3">
      <c r="B20" s="56">
        <f t="shared" si="49"/>
        <v>46036</v>
      </c>
      <c r="C20" s="163"/>
      <c r="D20" s="87">
        <f t="shared" si="22"/>
        <v>50021</v>
      </c>
      <c r="E20" s="158">
        <f t="shared" si="54"/>
        <v>0.87005457707762734</v>
      </c>
      <c r="F20" s="87">
        <f t="shared" si="24"/>
        <v>43521</v>
      </c>
      <c r="G20" s="158">
        <f t="shared" si="55"/>
        <v>0.1299454229223726</v>
      </c>
      <c r="H20" s="145">
        <f t="shared" si="26"/>
        <v>6500</v>
      </c>
      <c r="I20" s="159">
        <f t="shared" si="56"/>
        <v>0.1276858048608665</v>
      </c>
      <c r="J20" s="158">
        <f t="shared" si="57"/>
        <v>0.16343783022190914</v>
      </c>
      <c r="K20" s="158">
        <f t="shared" si="58"/>
        <v>0.14914529914529914</v>
      </c>
      <c r="L20" s="160">
        <f t="shared" si="59"/>
        <v>0.5859457555477281</v>
      </c>
      <c r="M20" s="145">
        <f t="shared" si="60"/>
        <v>6301.2944698837618</v>
      </c>
      <c r="N20" s="145">
        <f t="shared" si="61"/>
        <v>8065.6569214512156</v>
      </c>
      <c r="O20" s="145">
        <f t="shared" si="62"/>
        <v>7360.3205128205127</v>
      </c>
      <c r="P20" s="145">
        <f t="shared" si="63"/>
        <v>28916.423036280383</v>
      </c>
      <c r="Q20" s="56">
        <f t="shared" si="50"/>
        <v>46036</v>
      </c>
      <c r="R20" s="138">
        <v>50021</v>
      </c>
      <c r="S20" s="139">
        <v>0</v>
      </c>
      <c r="T20" s="139">
        <v>49350</v>
      </c>
      <c r="U20" s="139">
        <v>0</v>
      </c>
      <c r="V20" s="140">
        <v>13560</v>
      </c>
      <c r="W20" s="141">
        <v>0.36458333333333331</v>
      </c>
      <c r="X20" s="140">
        <v>4180</v>
      </c>
      <c r="Y20" s="141">
        <v>0.72916666666666663</v>
      </c>
      <c r="Z20" s="140">
        <v>0</v>
      </c>
      <c r="AA20" s="141">
        <v>0</v>
      </c>
      <c r="AB20" s="56">
        <f t="shared" si="51"/>
        <v>46036</v>
      </c>
      <c r="AC20" s="76">
        <f t="shared" si="64"/>
        <v>1</v>
      </c>
      <c r="AD20" s="161">
        <f t="shared" si="65"/>
        <v>0</v>
      </c>
      <c r="AE20" s="162">
        <v>7250</v>
      </c>
      <c r="AF20" s="118">
        <f t="shared" si="37"/>
        <v>7250</v>
      </c>
      <c r="AG20" s="146">
        <v>0</v>
      </c>
      <c r="AH20" s="147">
        <v>3490</v>
      </c>
      <c r="AI20" s="148">
        <v>0.77083333333333337</v>
      </c>
      <c r="AJ20" s="147">
        <v>0</v>
      </c>
      <c r="AK20" s="164">
        <v>0</v>
      </c>
      <c r="AL20" s="56">
        <f t="shared" si="38"/>
        <v>46036</v>
      </c>
      <c r="AM20" s="77">
        <f t="shared" si="66"/>
        <v>0.58943965517241381</v>
      </c>
      <c r="AN20" s="76">
        <f t="shared" si="67"/>
        <v>0.41056034482758619</v>
      </c>
      <c r="AO20" s="149">
        <v>9280</v>
      </c>
      <c r="AP20" s="117">
        <f t="shared" si="41"/>
        <v>5470</v>
      </c>
      <c r="AQ20" s="150">
        <v>3810</v>
      </c>
      <c r="AR20" s="151">
        <v>3570</v>
      </c>
      <c r="AS20" s="152">
        <v>0.75</v>
      </c>
      <c r="AT20" s="151">
        <v>183</v>
      </c>
      <c r="AU20" s="153">
        <v>0.85416666666666663</v>
      </c>
      <c r="AV20" s="56">
        <f t="shared" si="52"/>
        <v>46036</v>
      </c>
      <c r="AW20" s="110">
        <f t="shared" si="68"/>
        <v>0.61461318051575931</v>
      </c>
      <c r="AX20" s="110">
        <f t="shared" si="69"/>
        <v>0.38538681948424069</v>
      </c>
      <c r="AY20" s="111">
        <f t="shared" si="44"/>
        <v>6980</v>
      </c>
      <c r="AZ20" s="112">
        <v>6980</v>
      </c>
      <c r="BA20" s="120">
        <f t="shared" ref="BA20" si="84">AZ20-BB20</f>
        <v>4290</v>
      </c>
      <c r="BB20" s="113">
        <v>2690</v>
      </c>
      <c r="BC20" s="112">
        <v>3820</v>
      </c>
      <c r="BD20" s="114">
        <v>0.75</v>
      </c>
      <c r="BE20" s="115">
        <v>0</v>
      </c>
      <c r="BF20" s="114">
        <v>0</v>
      </c>
      <c r="BG20" s="115">
        <v>160</v>
      </c>
      <c r="BH20" s="114">
        <v>0.875</v>
      </c>
      <c r="BI20" s="56">
        <f t="shared" si="53"/>
        <v>46036</v>
      </c>
      <c r="BJ20" s="78">
        <f t="shared" si="70"/>
        <v>0.6047490231439735</v>
      </c>
      <c r="BK20" s="76">
        <f t="shared" si="71"/>
        <v>0.39525097685602645</v>
      </c>
      <c r="BL20" s="79">
        <f t="shared" si="72"/>
        <v>33270</v>
      </c>
      <c r="BM20" s="154">
        <v>20120</v>
      </c>
      <c r="BN20" s="154">
        <v>13150</v>
      </c>
      <c r="BO20" s="155">
        <v>4090</v>
      </c>
      <c r="BP20" s="156">
        <v>0.35416666666666669</v>
      </c>
      <c r="BQ20" s="157">
        <v>2650</v>
      </c>
      <c r="BR20" s="156">
        <v>0.3125</v>
      </c>
    </row>
    <row r="21" spans="1:70" ht="15.75" thickBot="1" x14ac:dyDescent="0.3">
      <c r="A21" s="14"/>
      <c r="B21" s="56">
        <f t="shared" si="49"/>
        <v>46037</v>
      </c>
      <c r="C21" s="163"/>
      <c r="D21" s="87">
        <f t="shared" si="22"/>
        <v>53500</v>
      </c>
      <c r="E21" s="158">
        <f t="shared" si="54"/>
        <v>0.87401869158878509</v>
      </c>
      <c r="F21" s="87">
        <f t="shared" si="24"/>
        <v>46760</v>
      </c>
      <c r="G21" s="158">
        <f t="shared" si="55"/>
        <v>0.12598130841121497</v>
      </c>
      <c r="H21" s="145">
        <f t="shared" si="26"/>
        <v>6740</v>
      </c>
      <c r="I21" s="159">
        <f t="shared" si="56"/>
        <v>0.1251910990317649</v>
      </c>
      <c r="J21" s="158">
        <f t="shared" si="57"/>
        <v>0.15236962799388484</v>
      </c>
      <c r="K21" s="158">
        <f t="shared" si="58"/>
        <v>0.1644057501518526</v>
      </c>
      <c r="L21" s="160">
        <f t="shared" si="59"/>
        <v>0.58450823849159161</v>
      </c>
      <c r="M21" s="145">
        <f t="shared" si="60"/>
        <v>6547.494479361304</v>
      </c>
      <c r="N21" s="145">
        <f t="shared" si="61"/>
        <v>7968.9315440801774</v>
      </c>
      <c r="O21" s="145">
        <f t="shared" si="62"/>
        <v>8598.4207329418914</v>
      </c>
      <c r="P21" s="145">
        <f t="shared" si="63"/>
        <v>30569.780873110241</v>
      </c>
      <c r="Q21" s="56">
        <f t="shared" si="50"/>
        <v>46037</v>
      </c>
      <c r="R21" s="138">
        <v>53500</v>
      </c>
      <c r="S21" s="139">
        <v>0</v>
      </c>
      <c r="T21" s="139">
        <v>52300</v>
      </c>
      <c r="U21" s="139">
        <v>0</v>
      </c>
      <c r="V21" s="140">
        <v>12580</v>
      </c>
      <c r="W21" s="141">
        <v>0.375</v>
      </c>
      <c r="X21" s="140">
        <v>4190</v>
      </c>
      <c r="Y21" s="141">
        <v>0.75</v>
      </c>
      <c r="Z21" s="140">
        <v>0</v>
      </c>
      <c r="AA21" s="141">
        <v>0</v>
      </c>
      <c r="AB21" s="56">
        <f t="shared" si="51"/>
        <v>46037</v>
      </c>
      <c r="AC21" s="76">
        <f t="shared" si="64"/>
        <v>1</v>
      </c>
      <c r="AD21" s="161">
        <f t="shared" si="65"/>
        <v>0</v>
      </c>
      <c r="AE21" s="162">
        <v>7370</v>
      </c>
      <c r="AF21" s="118">
        <f t="shared" si="37"/>
        <v>7370</v>
      </c>
      <c r="AG21" s="146">
        <v>0</v>
      </c>
      <c r="AH21" s="147">
        <v>3780</v>
      </c>
      <c r="AI21" s="148">
        <v>0.8125</v>
      </c>
      <c r="AJ21" s="147">
        <v>0</v>
      </c>
      <c r="AK21" s="164">
        <v>0</v>
      </c>
      <c r="AL21" s="56">
        <f t="shared" si="38"/>
        <v>46037</v>
      </c>
      <c r="AM21" s="77">
        <f t="shared" si="66"/>
        <v>0.55295429208472691</v>
      </c>
      <c r="AN21" s="76">
        <f t="shared" si="67"/>
        <v>0.44704570791527315</v>
      </c>
      <c r="AO21" s="149">
        <v>8970</v>
      </c>
      <c r="AP21" s="117">
        <f t="shared" si="41"/>
        <v>4960</v>
      </c>
      <c r="AQ21" s="150">
        <v>4010</v>
      </c>
      <c r="AR21" s="151">
        <v>3490</v>
      </c>
      <c r="AS21" s="152">
        <v>0.73958333333333337</v>
      </c>
      <c r="AT21" s="151">
        <v>188</v>
      </c>
      <c r="AU21" s="153">
        <v>0.875</v>
      </c>
      <c r="AV21" s="56">
        <f t="shared" si="52"/>
        <v>46037</v>
      </c>
      <c r="AW21" s="110">
        <f t="shared" si="68"/>
        <v>0.66379310344827591</v>
      </c>
      <c r="AX21" s="110">
        <f t="shared" si="69"/>
        <v>0.33620689655172414</v>
      </c>
      <c r="AY21" s="111">
        <f t="shared" si="44"/>
        <v>8120</v>
      </c>
      <c r="AZ21" s="112">
        <v>8120</v>
      </c>
      <c r="BA21" s="120">
        <f t="shared" si="76"/>
        <v>5390</v>
      </c>
      <c r="BB21" s="113">
        <v>2730</v>
      </c>
      <c r="BC21" s="112">
        <v>3980</v>
      </c>
      <c r="BD21" s="114">
        <v>0.73958333333333337</v>
      </c>
      <c r="BE21" s="115">
        <v>0</v>
      </c>
      <c r="BF21" s="114">
        <v>0</v>
      </c>
      <c r="BG21" s="115">
        <v>165</v>
      </c>
      <c r="BH21" s="114">
        <v>0.85416666666666663</v>
      </c>
      <c r="BI21" s="56">
        <f>BI20+1</f>
        <v>46037</v>
      </c>
      <c r="BJ21" s="78">
        <f t="shared" si="70"/>
        <v>0.60505666957279858</v>
      </c>
      <c r="BK21" s="76">
        <f t="shared" si="71"/>
        <v>0.39494333042720142</v>
      </c>
      <c r="BL21" s="79">
        <f t="shared" si="72"/>
        <v>34410</v>
      </c>
      <c r="BM21" s="154">
        <v>20820</v>
      </c>
      <c r="BN21" s="154">
        <v>13590</v>
      </c>
      <c r="BO21" s="155">
        <v>4105</v>
      </c>
      <c r="BP21" s="156">
        <v>0.40625</v>
      </c>
      <c r="BQ21" s="157">
        <v>2801</v>
      </c>
      <c r="BR21" s="156">
        <v>0.75</v>
      </c>
    </row>
    <row r="22" spans="1:70" ht="15.75" thickBot="1" x14ac:dyDescent="0.3">
      <c r="A22" s="14"/>
      <c r="B22" s="56">
        <f t="shared" si="49"/>
        <v>46038</v>
      </c>
      <c r="C22" s="163"/>
      <c r="D22" s="87">
        <f t="shared" si="22"/>
        <v>51900</v>
      </c>
      <c r="E22" s="158">
        <f t="shared" si="54"/>
        <v>0.87196531791907517</v>
      </c>
      <c r="F22" s="87">
        <f t="shared" si="24"/>
        <v>45255</v>
      </c>
      <c r="G22" s="158">
        <f t="shared" si="55"/>
        <v>0.12803468208092486</v>
      </c>
      <c r="H22" s="145">
        <f t="shared" si="26"/>
        <v>6645</v>
      </c>
      <c r="I22" s="159">
        <f t="shared" si="56"/>
        <v>0.12059433310297167</v>
      </c>
      <c r="J22" s="158">
        <f t="shared" si="57"/>
        <v>0.16015894955079474</v>
      </c>
      <c r="K22" s="158">
        <f t="shared" si="58"/>
        <v>0.1662236761398487</v>
      </c>
      <c r="L22" s="160">
        <f t="shared" si="59"/>
        <v>0.57878369039391842</v>
      </c>
      <c r="M22" s="145">
        <f t="shared" si="60"/>
        <v>6152.7228749136148</v>
      </c>
      <c r="N22" s="145">
        <f t="shared" si="61"/>
        <v>8171.3096060815478</v>
      </c>
      <c r="O22" s="145">
        <f t="shared" si="62"/>
        <v>8480.7319566550814</v>
      </c>
      <c r="P22" s="145">
        <f t="shared" si="63"/>
        <v>29529.543883897717</v>
      </c>
      <c r="Q22" s="56">
        <f t="shared" si="50"/>
        <v>46038</v>
      </c>
      <c r="R22" s="138">
        <v>51900</v>
      </c>
      <c r="S22" s="139">
        <v>0</v>
      </c>
      <c r="T22" s="139">
        <v>51020</v>
      </c>
      <c r="U22" s="139">
        <v>0</v>
      </c>
      <c r="V22" s="140">
        <v>12490</v>
      </c>
      <c r="W22" s="141">
        <v>0.36458333333333331</v>
      </c>
      <c r="X22" s="140">
        <v>4150</v>
      </c>
      <c r="Y22" s="141">
        <v>0.40625</v>
      </c>
      <c r="Z22" s="140">
        <v>0</v>
      </c>
      <c r="AA22" s="141">
        <v>0</v>
      </c>
      <c r="AB22" s="56">
        <f t="shared" si="51"/>
        <v>46038</v>
      </c>
      <c r="AC22" s="76">
        <f t="shared" si="64"/>
        <v>1</v>
      </c>
      <c r="AD22" s="161">
        <f t="shared" si="65"/>
        <v>0</v>
      </c>
      <c r="AE22" s="162">
        <v>6980</v>
      </c>
      <c r="AF22" s="118">
        <f t="shared" si="37"/>
        <v>6980</v>
      </c>
      <c r="AG22" s="146">
        <v>0</v>
      </c>
      <c r="AH22" s="147">
        <v>3720</v>
      </c>
      <c r="AI22" s="148">
        <v>0.78125</v>
      </c>
      <c r="AJ22" s="147">
        <v>0</v>
      </c>
      <c r="AK22" s="164">
        <v>0</v>
      </c>
      <c r="AL22" s="56">
        <f t="shared" si="38"/>
        <v>46038</v>
      </c>
      <c r="AM22" s="77">
        <f t="shared" si="66"/>
        <v>0.5738942826321467</v>
      </c>
      <c r="AN22" s="76">
        <f t="shared" si="67"/>
        <v>0.4261057173678533</v>
      </c>
      <c r="AO22" s="149">
        <v>9270</v>
      </c>
      <c r="AP22" s="117">
        <f t="shared" si="41"/>
        <v>5320</v>
      </c>
      <c r="AQ22" s="150">
        <v>3950</v>
      </c>
      <c r="AR22" s="151">
        <v>3920</v>
      </c>
      <c r="AS22" s="152">
        <v>0.78125</v>
      </c>
      <c r="AT22" s="151">
        <v>185</v>
      </c>
      <c r="AU22" s="153">
        <v>0.85416666666666663</v>
      </c>
      <c r="AV22" s="56">
        <f t="shared" si="52"/>
        <v>46038</v>
      </c>
      <c r="AW22" s="110">
        <f t="shared" si="68"/>
        <v>0.66851168511685122</v>
      </c>
      <c r="AX22" s="110">
        <f t="shared" si="69"/>
        <v>0.33148831488314884</v>
      </c>
      <c r="AY22" s="111">
        <f t="shared" si="44"/>
        <v>8130</v>
      </c>
      <c r="AZ22" s="112">
        <v>8130</v>
      </c>
      <c r="BA22" s="120">
        <f t="shared" si="76"/>
        <v>5435</v>
      </c>
      <c r="BB22" s="113">
        <v>2695</v>
      </c>
      <c r="BC22" s="112">
        <v>3790</v>
      </c>
      <c r="BD22" s="114">
        <v>0.77083333333333337</v>
      </c>
      <c r="BE22" s="115">
        <v>0</v>
      </c>
      <c r="BF22" s="114">
        <v>0</v>
      </c>
      <c r="BG22" s="115">
        <v>165</v>
      </c>
      <c r="BH22" s="114">
        <v>0.89583333333333337</v>
      </c>
      <c r="BI22" s="56">
        <f t="shared" si="53"/>
        <v>46038</v>
      </c>
      <c r="BJ22" s="78">
        <f t="shared" si="70"/>
        <v>0.60746268656716418</v>
      </c>
      <c r="BK22" s="76">
        <f t="shared" si="71"/>
        <v>0.39253731343283582</v>
      </c>
      <c r="BL22" s="79">
        <f t="shared" si="72"/>
        <v>33500</v>
      </c>
      <c r="BM22" s="154">
        <v>20350</v>
      </c>
      <c r="BN22" s="154">
        <v>13150</v>
      </c>
      <c r="BO22" s="155">
        <v>3820</v>
      </c>
      <c r="BP22" s="156">
        <v>0.35416666666666669</v>
      </c>
      <c r="BQ22" s="157">
        <v>2620</v>
      </c>
      <c r="BR22" s="156">
        <v>0.875</v>
      </c>
    </row>
    <row r="23" spans="1:70" s="307" customFormat="1" ht="15.75" thickBot="1" x14ac:dyDescent="0.3">
      <c r="A23" s="272"/>
      <c r="B23" s="273">
        <f t="shared" si="49"/>
        <v>46039</v>
      </c>
      <c r="C23" s="274"/>
      <c r="D23" s="275">
        <f t="shared" si="22"/>
        <v>33744</v>
      </c>
      <c r="E23" s="276">
        <f t="shared" si="54"/>
        <v>0.79821597913703179</v>
      </c>
      <c r="F23" s="275">
        <f t="shared" si="24"/>
        <v>26935</v>
      </c>
      <c r="G23" s="276">
        <f t="shared" si="55"/>
        <v>0.20178402086296823</v>
      </c>
      <c r="H23" s="277">
        <f t="shared" si="26"/>
        <v>6809</v>
      </c>
      <c r="I23" s="278">
        <f t="shared" si="56"/>
        <v>8.0408858603066444E-2</v>
      </c>
      <c r="J23" s="276">
        <f t="shared" si="57"/>
        <v>0.12624819813916918</v>
      </c>
      <c r="K23" s="276">
        <f t="shared" si="58"/>
        <v>0.16971564923444024</v>
      </c>
      <c r="L23" s="279">
        <f t="shared" si="59"/>
        <v>0.65912724413576207</v>
      </c>
      <c r="M23" s="277">
        <f t="shared" si="60"/>
        <v>2593.8289608177174</v>
      </c>
      <c r="N23" s="277">
        <f t="shared" si="61"/>
        <v>4072.5143755733193</v>
      </c>
      <c r="O23" s="277">
        <f t="shared" si="62"/>
        <v>5474.6874130045735</v>
      </c>
      <c r="P23" s="277">
        <f t="shared" si="63"/>
        <v>21262.126641331412</v>
      </c>
      <c r="Q23" s="273">
        <f t="shared" si="50"/>
        <v>46039</v>
      </c>
      <c r="R23" s="280">
        <v>33744</v>
      </c>
      <c r="S23" s="281">
        <v>0</v>
      </c>
      <c r="T23" s="281">
        <v>32258</v>
      </c>
      <c r="U23" s="281">
        <v>0</v>
      </c>
      <c r="V23" s="282">
        <v>6644</v>
      </c>
      <c r="W23" s="283">
        <v>0.48958333333333331</v>
      </c>
      <c r="X23" s="282">
        <v>2053</v>
      </c>
      <c r="Y23" s="283">
        <v>0.88541666666666663</v>
      </c>
      <c r="Z23" s="282">
        <v>0</v>
      </c>
      <c r="AA23" s="283">
        <v>0</v>
      </c>
      <c r="AB23" s="273">
        <f t="shared" si="51"/>
        <v>46039</v>
      </c>
      <c r="AC23" s="284">
        <f t="shared" si="64"/>
        <v>1</v>
      </c>
      <c r="AD23" s="285">
        <f t="shared" si="65"/>
        <v>0</v>
      </c>
      <c r="AE23" s="286">
        <v>3068</v>
      </c>
      <c r="AF23" s="287">
        <f t="shared" si="37"/>
        <v>3068</v>
      </c>
      <c r="AG23" s="277">
        <v>0</v>
      </c>
      <c r="AH23" s="288">
        <v>1840</v>
      </c>
      <c r="AI23" s="289">
        <v>0.93472222222222223</v>
      </c>
      <c r="AJ23" s="288">
        <v>0</v>
      </c>
      <c r="AK23" s="290">
        <v>0</v>
      </c>
      <c r="AL23" s="273">
        <f t="shared" si="38"/>
        <v>46039</v>
      </c>
      <c r="AM23" s="291">
        <f t="shared" si="66"/>
        <v>0.19223583143035083</v>
      </c>
      <c r="AN23" s="284">
        <f t="shared" si="67"/>
        <v>0.80776416856964917</v>
      </c>
      <c r="AO23" s="292">
        <v>4817</v>
      </c>
      <c r="AP23" s="293">
        <f t="shared" si="41"/>
        <v>926</v>
      </c>
      <c r="AQ23" s="294">
        <v>3891</v>
      </c>
      <c r="AR23" s="288">
        <v>1709</v>
      </c>
      <c r="AS23" s="295">
        <v>0.95208333333333328</v>
      </c>
      <c r="AT23" s="288">
        <v>183</v>
      </c>
      <c r="AU23" s="296">
        <v>0.89583333333333337</v>
      </c>
      <c r="AV23" s="273">
        <f t="shared" si="52"/>
        <v>46039</v>
      </c>
      <c r="AW23" s="297">
        <f t="shared" si="68"/>
        <v>0.43018941612966216</v>
      </c>
      <c r="AX23" s="297">
        <f t="shared" si="69"/>
        <v>0.56981058387033778</v>
      </c>
      <c r="AY23" s="298">
        <f t="shared" si="44"/>
        <v>5121</v>
      </c>
      <c r="AZ23" s="299">
        <v>5121</v>
      </c>
      <c r="BA23" s="300">
        <f t="shared" si="76"/>
        <v>2203</v>
      </c>
      <c r="BB23" s="298">
        <v>2918</v>
      </c>
      <c r="BC23" s="299">
        <v>1600</v>
      </c>
      <c r="BD23" s="301">
        <v>0.36458333333333331</v>
      </c>
      <c r="BE23" s="302">
        <v>0</v>
      </c>
      <c r="BF23" s="301">
        <v>0</v>
      </c>
      <c r="BG23" s="302">
        <v>215</v>
      </c>
      <c r="BH23" s="301">
        <v>0.23958333333333334</v>
      </c>
      <c r="BI23" s="273">
        <f t="shared" si="53"/>
        <v>46039</v>
      </c>
      <c r="BJ23" s="303">
        <f t="shared" si="70"/>
        <v>0.63374289236152526</v>
      </c>
      <c r="BK23" s="284">
        <f t="shared" si="71"/>
        <v>0.36625710763847469</v>
      </c>
      <c r="BL23" s="304">
        <f t="shared" si="72"/>
        <v>25149</v>
      </c>
      <c r="BM23" s="277">
        <v>15938</v>
      </c>
      <c r="BN23" s="277">
        <v>9211</v>
      </c>
      <c r="BO23" s="305">
        <v>2801</v>
      </c>
      <c r="BP23" s="289">
        <v>0.18472222222222223</v>
      </c>
      <c r="BQ23" s="306">
        <v>1771</v>
      </c>
      <c r="BR23" s="289">
        <v>0.72916666666666663</v>
      </c>
    </row>
    <row r="24" spans="1:70" s="271" customFormat="1" ht="15.75" thickBot="1" x14ac:dyDescent="0.3">
      <c r="A24" s="244"/>
      <c r="B24" s="245">
        <f t="shared" si="49"/>
        <v>46040</v>
      </c>
      <c r="C24" s="325"/>
      <c r="D24" s="247">
        <f t="shared" si="22"/>
        <v>31096</v>
      </c>
      <c r="E24" s="248">
        <f t="shared" si="54"/>
        <v>0.79320877283251867</v>
      </c>
      <c r="F24" s="247">
        <f t="shared" si="24"/>
        <v>24665.62</v>
      </c>
      <c r="G24" s="248">
        <f t="shared" si="55"/>
        <v>0.20679122716748136</v>
      </c>
      <c r="H24" s="154">
        <f t="shared" si="26"/>
        <v>6430.38</v>
      </c>
      <c r="I24" s="249">
        <f t="shared" si="56"/>
        <v>6.3765183974037035E-2</v>
      </c>
      <c r="J24" s="248">
        <f t="shared" si="57"/>
        <v>0.15777908749254455</v>
      </c>
      <c r="K24" s="248">
        <f t="shared" si="58"/>
        <v>0.1761701912645679</v>
      </c>
      <c r="L24" s="250">
        <f t="shared" si="59"/>
        <v>0.64091605192829326</v>
      </c>
      <c r="M24" s="154">
        <f t="shared" si="60"/>
        <v>1921.8667036814827</v>
      </c>
      <c r="N24" s="154">
        <f t="shared" si="61"/>
        <v>4755.4222522534192</v>
      </c>
      <c r="O24" s="154">
        <f t="shared" si="62"/>
        <v>5309.7255221662599</v>
      </c>
      <c r="P24" s="154">
        <f t="shared" si="63"/>
        <v>19317.049576105775</v>
      </c>
      <c r="Q24" s="245">
        <f t="shared" si="50"/>
        <v>46040</v>
      </c>
      <c r="R24" s="138">
        <v>31096</v>
      </c>
      <c r="S24" s="139">
        <v>0</v>
      </c>
      <c r="T24" s="139">
        <v>30139.75</v>
      </c>
      <c r="U24" s="139">
        <v>0</v>
      </c>
      <c r="V24" s="140">
        <v>6630.09</v>
      </c>
      <c r="W24" s="141">
        <v>0.98958333333333337</v>
      </c>
      <c r="X24" s="140">
        <v>1917.22</v>
      </c>
      <c r="Y24" s="141">
        <v>0.79166666666666663</v>
      </c>
      <c r="Z24" s="140">
        <v>0</v>
      </c>
      <c r="AA24" s="141">
        <v>0</v>
      </c>
      <c r="AB24" s="245">
        <f t="shared" si="51"/>
        <v>46040</v>
      </c>
      <c r="AC24" s="251">
        <f t="shared" si="64"/>
        <v>1</v>
      </c>
      <c r="AD24" s="252">
        <f t="shared" si="65"/>
        <v>0</v>
      </c>
      <c r="AE24" s="253">
        <v>2166</v>
      </c>
      <c r="AF24" s="254">
        <f t="shared" si="37"/>
        <v>2166</v>
      </c>
      <c r="AG24" s="154">
        <v>0</v>
      </c>
      <c r="AH24" s="255">
        <v>1551.5</v>
      </c>
      <c r="AI24" s="156">
        <v>0.2013888888888889</v>
      </c>
      <c r="AJ24" s="255">
        <v>0</v>
      </c>
      <c r="AK24" s="256">
        <v>0</v>
      </c>
      <c r="AL24" s="245">
        <f t="shared" si="38"/>
        <v>46040</v>
      </c>
      <c r="AM24" s="257">
        <f t="shared" si="66"/>
        <v>0.3141953540442205</v>
      </c>
      <c r="AN24" s="251">
        <f t="shared" si="67"/>
        <v>0.6858046459557795</v>
      </c>
      <c r="AO24" s="258">
        <v>5359.5</v>
      </c>
      <c r="AP24" s="259">
        <f t="shared" si="41"/>
        <v>1683.9299999999998</v>
      </c>
      <c r="AQ24" s="260">
        <v>3675.57</v>
      </c>
      <c r="AR24" s="255">
        <v>1809.5</v>
      </c>
      <c r="AS24" s="261">
        <v>0.94305555555555554</v>
      </c>
      <c r="AT24" s="255">
        <v>172.25</v>
      </c>
      <c r="AU24" s="262">
        <v>0.9375</v>
      </c>
      <c r="AV24" s="245">
        <f t="shared" si="52"/>
        <v>46040</v>
      </c>
      <c r="AW24" s="263">
        <f t="shared" si="68"/>
        <v>0.41035744863013701</v>
      </c>
      <c r="AX24" s="263">
        <f t="shared" si="69"/>
        <v>0.58964255136986299</v>
      </c>
      <c r="AY24" s="264">
        <f t="shared" si="44"/>
        <v>4672</v>
      </c>
      <c r="AZ24" s="265">
        <v>4672</v>
      </c>
      <c r="BA24" s="266">
        <f t="shared" si="76"/>
        <v>1917.19</v>
      </c>
      <c r="BB24" s="264">
        <v>2754.81</v>
      </c>
      <c r="BC24" s="265">
        <v>1540</v>
      </c>
      <c r="BD24" s="267">
        <v>0.76041666666666663</v>
      </c>
      <c r="BE24" s="268">
        <v>0</v>
      </c>
      <c r="BF24" s="267">
        <v>0</v>
      </c>
      <c r="BG24" s="268">
        <v>160.41999999999999</v>
      </c>
      <c r="BH24" s="267">
        <v>0.89583333333333337</v>
      </c>
      <c r="BI24" s="245">
        <f t="shared" si="53"/>
        <v>46040</v>
      </c>
      <c r="BJ24" s="269">
        <f t="shared" si="70"/>
        <v>0.61209652526677838</v>
      </c>
      <c r="BK24" s="251">
        <f t="shared" si="71"/>
        <v>0.38790347473322168</v>
      </c>
      <c r="BL24" s="270">
        <f t="shared" si="72"/>
        <v>21770.879999999997</v>
      </c>
      <c r="BM24" s="154">
        <v>13325.88</v>
      </c>
      <c r="BN24" s="154">
        <v>8445</v>
      </c>
      <c r="BO24" s="155">
        <v>2324.2800000000002</v>
      </c>
      <c r="BP24" s="156">
        <v>0.60555555555555551</v>
      </c>
      <c r="BQ24" s="157">
        <v>1536.2</v>
      </c>
      <c r="BR24" s="156">
        <v>0.60624999999999996</v>
      </c>
    </row>
    <row r="25" spans="1:70" ht="15.75" thickBot="1" x14ac:dyDescent="0.3">
      <c r="A25" s="14"/>
      <c r="B25" s="56">
        <f t="shared" si="49"/>
        <v>46041</v>
      </c>
      <c r="C25" s="163"/>
      <c r="D25" s="87">
        <f t="shared" si="22"/>
        <v>49386</v>
      </c>
      <c r="E25" s="158">
        <f t="shared" ref="E25:E36" si="85">F25/D25</f>
        <v>0.86486048677762928</v>
      </c>
      <c r="F25" s="87">
        <f t="shared" si="24"/>
        <v>42712</v>
      </c>
      <c r="G25" s="158">
        <f t="shared" ref="G25:G36" si="86">H25/D25</f>
        <v>0.13513951322237072</v>
      </c>
      <c r="H25" s="145">
        <f t="shared" si="26"/>
        <v>6674</v>
      </c>
      <c r="I25" s="159">
        <f t="shared" ref="I25:I36" si="87">AE25/(AE25+AO25+BL25+AY25)</f>
        <v>0.11135276207046542</v>
      </c>
      <c r="J25" s="158">
        <f t="shared" ref="J25:J36" si="88">AO25/(AE25+AO25+BL25+AY25)</f>
        <v>0.15794910830796</v>
      </c>
      <c r="K25" s="158">
        <f t="shared" ref="K25:K36" si="89">AY25/(AF25+AP25+BM25+AZ25+AY25)</f>
        <v>0.16918865321607174</v>
      </c>
      <c r="L25" s="160">
        <f t="shared" ref="L25:L36" si="90">BL25/(AE25+AO25+BL25+AY25)</f>
        <v>0.58844425112367693</v>
      </c>
      <c r="M25" s="145">
        <f t="shared" ref="M25:M35" si="91">(S25+T25)*I25</f>
        <v>5348.0504567203134</v>
      </c>
      <c r="N25" s="145">
        <f t="shared" ref="N25:N35" si="92">(S25+T25)*J25</f>
        <v>7585.9797738147026</v>
      </c>
      <c r="O25" s="145">
        <f t="shared" ref="O25:O35" si="93">(S25+T25)*K25</f>
        <v>8125.7926366614938</v>
      </c>
      <c r="P25" s="145">
        <f t="shared" ref="P25:P35" si="94">(S25+T25)*L25</f>
        <v>28261.800492967956</v>
      </c>
      <c r="Q25" s="56">
        <f t="shared" si="50"/>
        <v>46041</v>
      </c>
      <c r="R25" s="138">
        <v>49386</v>
      </c>
      <c r="S25" s="139">
        <v>0</v>
      </c>
      <c r="T25" s="139">
        <v>48028</v>
      </c>
      <c r="U25" s="139">
        <v>0</v>
      </c>
      <c r="V25" s="140">
        <v>11677</v>
      </c>
      <c r="W25" s="141">
        <v>0.77083333333333337</v>
      </c>
      <c r="X25" s="140">
        <v>4204</v>
      </c>
      <c r="Y25" s="141">
        <v>0.80208333333333337</v>
      </c>
      <c r="Z25" s="140">
        <v>0</v>
      </c>
      <c r="AA25" s="141">
        <v>0</v>
      </c>
      <c r="AB25" s="167">
        <f t="shared" si="51"/>
        <v>46041</v>
      </c>
      <c r="AC25" s="76">
        <f t="shared" si="64"/>
        <v>1</v>
      </c>
      <c r="AD25" s="161">
        <f t="shared" si="65"/>
        <v>0</v>
      </c>
      <c r="AE25" s="162">
        <v>6144</v>
      </c>
      <c r="AF25" s="118">
        <f t="shared" si="37"/>
        <v>6144</v>
      </c>
      <c r="AG25" s="146">
        <v>0</v>
      </c>
      <c r="AH25" s="147">
        <v>3450</v>
      </c>
      <c r="AI25" s="148">
        <v>0.75902777777777775</v>
      </c>
      <c r="AJ25" s="147">
        <v>0</v>
      </c>
      <c r="AK25" s="164">
        <v>0</v>
      </c>
      <c r="AL25" s="167">
        <f t="shared" si="38"/>
        <v>46041</v>
      </c>
      <c r="AM25" s="77">
        <f t="shared" si="66"/>
        <v>0.55513482501434308</v>
      </c>
      <c r="AN25" s="76">
        <f t="shared" si="67"/>
        <v>0.44486517498565692</v>
      </c>
      <c r="AO25" s="149">
        <v>8715</v>
      </c>
      <c r="AP25" s="117">
        <f t="shared" si="41"/>
        <v>4838</v>
      </c>
      <c r="AQ25" s="150">
        <v>3877</v>
      </c>
      <c r="AR25" s="151">
        <v>3127</v>
      </c>
      <c r="AS25" s="152">
        <v>0.75</v>
      </c>
      <c r="AT25" s="151">
        <v>182</v>
      </c>
      <c r="AU25" s="153">
        <v>0.86458333333333337</v>
      </c>
      <c r="AV25" s="167">
        <f t="shared" si="52"/>
        <v>46041</v>
      </c>
      <c r="AW25" s="168">
        <f t="shared" si="68"/>
        <v>0.64364887246783031</v>
      </c>
      <c r="AX25" s="168">
        <f t="shared" si="69"/>
        <v>0.35635112753216969</v>
      </c>
      <c r="AY25" s="111">
        <f t="shared" si="44"/>
        <v>7849</v>
      </c>
      <c r="AZ25" s="112">
        <v>7849</v>
      </c>
      <c r="BA25" s="169">
        <f t="shared" si="76"/>
        <v>5052</v>
      </c>
      <c r="BB25" s="113">
        <v>2797</v>
      </c>
      <c r="BC25" s="112">
        <v>3519</v>
      </c>
      <c r="BD25" s="114">
        <v>0.79166666666666663</v>
      </c>
      <c r="BE25" s="115">
        <v>0</v>
      </c>
      <c r="BF25" s="114">
        <v>0</v>
      </c>
      <c r="BG25" s="115">
        <v>160</v>
      </c>
      <c r="BH25" s="114">
        <v>0.89583333333333337</v>
      </c>
      <c r="BI25" s="167">
        <f t="shared" si="53"/>
        <v>46041</v>
      </c>
      <c r="BJ25" s="170">
        <f t="shared" si="70"/>
        <v>0.60712085745965261</v>
      </c>
      <c r="BK25" s="76">
        <f t="shared" si="71"/>
        <v>0.39287914254034739</v>
      </c>
      <c r="BL25" s="79">
        <f t="shared" si="72"/>
        <v>32468</v>
      </c>
      <c r="BM25" s="154">
        <v>19712</v>
      </c>
      <c r="BN25" s="154">
        <v>12756</v>
      </c>
      <c r="BO25" s="155">
        <v>3882</v>
      </c>
      <c r="BP25" s="156">
        <v>0.7729166666666667</v>
      </c>
      <c r="BQ25" s="157">
        <v>2577</v>
      </c>
      <c r="BR25" s="156">
        <v>0.7729166666666667</v>
      </c>
    </row>
    <row r="26" spans="1:70" ht="15.75" thickBot="1" x14ac:dyDescent="0.3">
      <c r="A26" s="14"/>
      <c r="B26" s="56">
        <f t="shared" si="49"/>
        <v>46042</v>
      </c>
      <c r="C26" s="163"/>
      <c r="D26" s="87">
        <f t="shared" si="22"/>
        <v>52200</v>
      </c>
      <c r="E26" s="158">
        <f t="shared" si="85"/>
        <v>0.87145593869731797</v>
      </c>
      <c r="F26" s="87">
        <f t="shared" si="24"/>
        <v>45490</v>
      </c>
      <c r="G26" s="158">
        <f t="shared" si="86"/>
        <v>0.12854406130268201</v>
      </c>
      <c r="H26" s="145">
        <f t="shared" si="26"/>
        <v>6710</v>
      </c>
      <c r="I26" s="159">
        <f t="shared" si="87"/>
        <v>0.10880578176599755</v>
      </c>
      <c r="J26" s="158">
        <f t="shared" si="88"/>
        <v>0.15248024620917405</v>
      </c>
      <c r="K26" s="158">
        <f t="shared" si="89"/>
        <v>0.16568402325244627</v>
      </c>
      <c r="L26" s="160">
        <f t="shared" si="90"/>
        <v>0.6002386015872192</v>
      </c>
      <c r="M26" s="145">
        <f t="shared" si="91"/>
        <v>5537.6702629804449</v>
      </c>
      <c r="N26" s="145">
        <f t="shared" si="92"/>
        <v>7760.4821308159135</v>
      </c>
      <c r="O26" s="145">
        <f t="shared" si="93"/>
        <v>8432.4883634332527</v>
      </c>
      <c r="P26" s="145">
        <f t="shared" si="94"/>
        <v>30549.143627781523</v>
      </c>
      <c r="Q26" s="56">
        <f t="shared" si="50"/>
        <v>46042</v>
      </c>
      <c r="R26" s="138">
        <v>52200</v>
      </c>
      <c r="S26" s="139">
        <v>0</v>
      </c>
      <c r="T26" s="139">
        <v>50895</v>
      </c>
      <c r="U26" s="139">
        <v>0</v>
      </c>
      <c r="V26" s="140">
        <v>12880</v>
      </c>
      <c r="W26" s="141">
        <v>0.78125</v>
      </c>
      <c r="X26" s="140">
        <v>4263</v>
      </c>
      <c r="Y26" s="141">
        <v>0.77083333333333337</v>
      </c>
      <c r="Z26" s="140">
        <v>0</v>
      </c>
      <c r="AA26" s="141">
        <v>0</v>
      </c>
      <c r="AB26" s="56">
        <f t="shared" si="51"/>
        <v>46042</v>
      </c>
      <c r="AC26" s="76">
        <f t="shared" ref="AC26:AC36" si="95">+AF26/AE26</f>
        <v>1</v>
      </c>
      <c r="AD26" s="161">
        <f t="shared" ref="AD26:AD36" si="96">+AG26/AE26</f>
        <v>0</v>
      </c>
      <c r="AE26" s="162">
        <v>6293</v>
      </c>
      <c r="AF26" s="118">
        <f t="shared" si="37"/>
        <v>6293</v>
      </c>
      <c r="AG26" s="146">
        <v>0</v>
      </c>
      <c r="AH26" s="147">
        <v>3803</v>
      </c>
      <c r="AI26" s="148">
        <v>0.75902777777777775</v>
      </c>
      <c r="AJ26" s="147">
        <v>0</v>
      </c>
      <c r="AK26" s="164">
        <v>0</v>
      </c>
      <c r="AL26" s="56">
        <f t="shared" si="38"/>
        <v>46042</v>
      </c>
      <c r="AM26" s="77">
        <f t="shared" ref="AM26:AM36" si="97">+AP26/AO26</f>
        <v>0.55868012246286425</v>
      </c>
      <c r="AN26" s="76">
        <f t="shared" ref="AN26:AN36" si="98">+AQ26/AO26</f>
        <v>0.44131987753713575</v>
      </c>
      <c r="AO26" s="149">
        <v>8819</v>
      </c>
      <c r="AP26" s="117">
        <f t="shared" si="41"/>
        <v>4927</v>
      </c>
      <c r="AQ26" s="150">
        <v>3892</v>
      </c>
      <c r="AR26" s="151">
        <v>4120</v>
      </c>
      <c r="AS26" s="152">
        <v>0.74722222222222223</v>
      </c>
      <c r="AT26" s="151">
        <v>182</v>
      </c>
      <c r="AU26" s="153">
        <v>0.90625</v>
      </c>
      <c r="AV26" s="56">
        <f t="shared" si="52"/>
        <v>46042</v>
      </c>
      <c r="AW26" s="110">
        <f t="shared" ref="AW26:AW36" si="99">BA26/AZ26</f>
        <v>0.64814583593457364</v>
      </c>
      <c r="AX26" s="110">
        <f t="shared" ref="AX26:AX36" si="100">BB26/AZ26</f>
        <v>0.35185416406542641</v>
      </c>
      <c r="AY26" s="111">
        <f t="shared" si="44"/>
        <v>8009</v>
      </c>
      <c r="AZ26" s="112">
        <v>8009</v>
      </c>
      <c r="BA26" s="120">
        <f t="shared" ref="BA26:BA36" si="101">AZ26-BB26</f>
        <v>5191</v>
      </c>
      <c r="BB26" s="113">
        <v>2818</v>
      </c>
      <c r="BC26" s="112">
        <v>3769</v>
      </c>
      <c r="BD26" s="114">
        <v>0.73958333333333337</v>
      </c>
      <c r="BE26" s="115">
        <v>0</v>
      </c>
      <c r="BF26" s="114">
        <v>0</v>
      </c>
      <c r="BG26" s="115">
        <v>159</v>
      </c>
      <c r="BH26" s="114">
        <v>0.92708333333333337</v>
      </c>
      <c r="BI26" s="56">
        <f t="shared" si="53"/>
        <v>46042</v>
      </c>
      <c r="BJ26" s="78">
        <f t="shared" ref="BJ26:BJ36" si="102">+BM26/BL26</f>
        <v>0.60781772093559161</v>
      </c>
      <c r="BK26" s="76">
        <f t="shared" ref="BK26:BK36" si="103">+BN26/BL26</f>
        <v>0.39218227906440833</v>
      </c>
      <c r="BL26" s="79">
        <f t="shared" ref="BL26:BL36" si="104">BM26+BN26</f>
        <v>34716</v>
      </c>
      <c r="BM26" s="154">
        <v>21101</v>
      </c>
      <c r="BN26" s="154">
        <v>13615</v>
      </c>
      <c r="BO26" s="155">
        <v>3689</v>
      </c>
      <c r="BP26" s="156">
        <v>0.79305555555555551</v>
      </c>
      <c r="BQ26" s="157">
        <v>2446</v>
      </c>
      <c r="BR26" s="156">
        <v>0.79374999999999996</v>
      </c>
    </row>
    <row r="27" spans="1:70" ht="15.75" thickBot="1" x14ac:dyDescent="0.3">
      <c r="A27" s="14"/>
      <c r="B27" s="56">
        <f t="shared" si="49"/>
        <v>46043</v>
      </c>
      <c r="C27" s="163"/>
      <c r="D27" s="87">
        <f t="shared" si="22"/>
        <v>49286</v>
      </c>
      <c r="E27" s="158">
        <f t="shared" si="85"/>
        <v>0.86584425597532766</v>
      </c>
      <c r="F27" s="87">
        <f t="shared" si="24"/>
        <v>42674</v>
      </c>
      <c r="G27" s="158">
        <f t="shared" si="86"/>
        <v>0.13415574402467231</v>
      </c>
      <c r="H27" s="145">
        <f t="shared" si="26"/>
        <v>6612</v>
      </c>
      <c r="I27" s="159">
        <f t="shared" si="87"/>
        <v>0.1120486548682264</v>
      </c>
      <c r="J27" s="158">
        <f t="shared" si="88"/>
        <v>0.15818311325406828</v>
      </c>
      <c r="K27" s="158">
        <f t="shared" si="89"/>
        <v>0.1677571316409317</v>
      </c>
      <c r="L27" s="160">
        <f t="shared" si="90"/>
        <v>0.58928277902580684</v>
      </c>
      <c r="M27" s="145">
        <f t="shared" si="91"/>
        <v>5379.9041148430224</v>
      </c>
      <c r="N27" s="145">
        <f t="shared" si="92"/>
        <v>7595.0039997808344</v>
      </c>
      <c r="O27" s="145">
        <f t="shared" si="93"/>
        <v>8054.6909186076946</v>
      </c>
      <c r="P27" s="145">
        <f t="shared" si="94"/>
        <v>28293.823352145089</v>
      </c>
      <c r="Q27" s="56">
        <f t="shared" si="50"/>
        <v>46043</v>
      </c>
      <c r="R27" s="138">
        <v>49286</v>
      </c>
      <c r="S27" s="139">
        <v>0</v>
      </c>
      <c r="T27" s="139">
        <v>48014</v>
      </c>
      <c r="U27" s="139">
        <v>0</v>
      </c>
      <c r="V27" s="140">
        <v>11794</v>
      </c>
      <c r="W27" s="141">
        <v>0.78125</v>
      </c>
      <c r="X27" s="140">
        <v>4391</v>
      </c>
      <c r="Y27" s="141">
        <v>0.8125</v>
      </c>
      <c r="Z27" s="140">
        <v>0</v>
      </c>
      <c r="AA27" s="141">
        <v>0</v>
      </c>
      <c r="AB27" s="56">
        <f t="shared" si="51"/>
        <v>46043</v>
      </c>
      <c r="AC27" s="76">
        <f t="shared" si="95"/>
        <v>1</v>
      </c>
      <c r="AD27" s="161">
        <f t="shared" si="96"/>
        <v>0</v>
      </c>
      <c r="AE27" s="162">
        <v>6135</v>
      </c>
      <c r="AF27" s="118">
        <f t="shared" si="37"/>
        <v>6135</v>
      </c>
      <c r="AG27" s="146">
        <v>0</v>
      </c>
      <c r="AH27" s="147">
        <v>4069</v>
      </c>
      <c r="AI27" s="148">
        <v>0.73611111111111116</v>
      </c>
      <c r="AJ27" s="147">
        <v>0</v>
      </c>
      <c r="AK27" s="164">
        <v>0</v>
      </c>
      <c r="AL27" s="56">
        <f t="shared" si="38"/>
        <v>46043</v>
      </c>
      <c r="AM27" s="77">
        <f t="shared" si="97"/>
        <v>0.5480891352037871</v>
      </c>
      <c r="AN27" s="76">
        <f t="shared" si="98"/>
        <v>0.4519108647962129</v>
      </c>
      <c r="AO27" s="149">
        <v>8661</v>
      </c>
      <c r="AP27" s="117">
        <f t="shared" si="41"/>
        <v>4747</v>
      </c>
      <c r="AQ27" s="150">
        <v>3914</v>
      </c>
      <c r="AR27" s="151">
        <v>3980</v>
      </c>
      <c r="AS27" s="152">
        <v>0.73958333333333337</v>
      </c>
      <c r="AT27" s="151">
        <v>181</v>
      </c>
      <c r="AU27" s="153">
        <v>0.96875</v>
      </c>
      <c r="AV27" s="56">
        <f t="shared" si="52"/>
        <v>46043</v>
      </c>
      <c r="AW27" s="110">
        <f t="shared" si="99"/>
        <v>0.64924596983879357</v>
      </c>
      <c r="AX27" s="110">
        <f t="shared" si="100"/>
        <v>0.35075403016120643</v>
      </c>
      <c r="AY27" s="111">
        <f t="shared" si="44"/>
        <v>7692</v>
      </c>
      <c r="AZ27" s="112">
        <v>7692</v>
      </c>
      <c r="BA27" s="120">
        <f t="shared" si="101"/>
        <v>4994</v>
      </c>
      <c r="BB27" s="113">
        <v>2698</v>
      </c>
      <c r="BC27" s="112">
        <v>3231</v>
      </c>
      <c r="BD27" s="114">
        <v>0.83333333333333337</v>
      </c>
      <c r="BE27" s="115">
        <v>0</v>
      </c>
      <c r="BF27" s="114">
        <v>0</v>
      </c>
      <c r="BG27" s="115">
        <v>159</v>
      </c>
      <c r="BH27" s="114">
        <v>0.97916666666666663</v>
      </c>
      <c r="BI27" s="56">
        <f t="shared" si="53"/>
        <v>46043</v>
      </c>
      <c r="BJ27" s="78">
        <f t="shared" si="102"/>
        <v>0.6070354873702154</v>
      </c>
      <c r="BK27" s="76">
        <f t="shared" si="103"/>
        <v>0.3929645126297846</v>
      </c>
      <c r="BL27" s="79">
        <f t="shared" si="104"/>
        <v>32265</v>
      </c>
      <c r="BM27" s="154">
        <v>19586</v>
      </c>
      <c r="BN27" s="154">
        <v>12679</v>
      </c>
      <c r="BO27" s="155">
        <v>3756</v>
      </c>
      <c r="BP27" s="156">
        <v>0.80208333333333337</v>
      </c>
      <c r="BQ27" s="157">
        <v>2549</v>
      </c>
      <c r="BR27" s="156">
        <v>0.76736111111111116</v>
      </c>
    </row>
    <row r="28" spans="1:70" ht="15.75" thickBot="1" x14ac:dyDescent="0.3">
      <c r="A28" s="14"/>
      <c r="B28" s="56">
        <f t="shared" si="49"/>
        <v>46044</v>
      </c>
      <c r="C28" s="163"/>
      <c r="D28" s="87">
        <f t="shared" si="22"/>
        <v>50576</v>
      </c>
      <c r="E28" s="158">
        <f t="shared" si="85"/>
        <v>0.86782268269534957</v>
      </c>
      <c r="F28" s="87">
        <f t="shared" si="24"/>
        <v>43891</v>
      </c>
      <c r="G28" s="158">
        <f t="shared" si="86"/>
        <v>0.13217731730465043</v>
      </c>
      <c r="H28" s="145">
        <f t="shared" si="26"/>
        <v>6685</v>
      </c>
      <c r="I28" s="159">
        <f t="shared" si="87"/>
        <v>0.11167394987960404</v>
      </c>
      <c r="J28" s="158">
        <f t="shared" si="88"/>
        <v>0.15920806207081067</v>
      </c>
      <c r="K28" s="158">
        <f t="shared" si="89"/>
        <v>0.16752456715021058</v>
      </c>
      <c r="L28" s="160">
        <f t="shared" si="90"/>
        <v>0.5886381878177116</v>
      </c>
      <c r="M28" s="145">
        <f t="shared" si="91"/>
        <v>5505.4140551145993</v>
      </c>
      <c r="N28" s="145">
        <f t="shared" si="92"/>
        <v>7848.7982520288951</v>
      </c>
      <c r="O28" s="145">
        <f t="shared" si="93"/>
        <v>8258.7936359382311</v>
      </c>
      <c r="P28" s="145">
        <f t="shared" si="94"/>
        <v>29019.274021225363</v>
      </c>
      <c r="Q28" s="56">
        <f t="shared" si="50"/>
        <v>46044</v>
      </c>
      <c r="R28" s="138">
        <v>50576</v>
      </c>
      <c r="S28" s="139">
        <v>0</v>
      </c>
      <c r="T28" s="139">
        <v>49299</v>
      </c>
      <c r="U28" s="139">
        <v>0</v>
      </c>
      <c r="V28" s="140">
        <v>11919</v>
      </c>
      <c r="W28" s="141">
        <v>0.78125</v>
      </c>
      <c r="X28" s="140">
        <v>3720</v>
      </c>
      <c r="Y28" s="141">
        <v>0.78125</v>
      </c>
      <c r="Z28" s="140">
        <v>0</v>
      </c>
      <c r="AA28" s="141">
        <v>0</v>
      </c>
      <c r="AB28" s="56">
        <f t="shared" si="51"/>
        <v>46044</v>
      </c>
      <c r="AC28" s="76">
        <f t="shared" si="95"/>
        <v>1</v>
      </c>
      <c r="AD28" s="161">
        <f t="shared" si="96"/>
        <v>0</v>
      </c>
      <c r="AE28" s="162">
        <v>6261</v>
      </c>
      <c r="AF28" s="118">
        <f t="shared" si="37"/>
        <v>6261</v>
      </c>
      <c r="AG28" s="146">
        <v>0</v>
      </c>
      <c r="AH28" s="147">
        <v>4496</v>
      </c>
      <c r="AI28" s="148">
        <v>0.74236111111111114</v>
      </c>
      <c r="AJ28" s="147">
        <v>0</v>
      </c>
      <c r="AK28" s="164">
        <v>0</v>
      </c>
      <c r="AL28" s="56">
        <f t="shared" si="38"/>
        <v>46044</v>
      </c>
      <c r="AM28" s="77">
        <f t="shared" si="97"/>
        <v>0.56116961684965272</v>
      </c>
      <c r="AN28" s="76">
        <f t="shared" si="98"/>
        <v>0.43883038315034728</v>
      </c>
      <c r="AO28" s="149">
        <v>8926</v>
      </c>
      <c r="AP28" s="117">
        <f t="shared" si="41"/>
        <v>5009</v>
      </c>
      <c r="AQ28" s="150">
        <v>3917</v>
      </c>
      <c r="AR28" s="151">
        <v>3708</v>
      </c>
      <c r="AS28" s="152">
        <v>0.74722222222222223</v>
      </c>
      <c r="AT28" s="151">
        <v>185</v>
      </c>
      <c r="AU28" s="153">
        <v>0.6875</v>
      </c>
      <c r="AV28" s="56">
        <f t="shared" si="52"/>
        <v>46044</v>
      </c>
      <c r="AW28" s="110">
        <f t="shared" si="99"/>
        <v>0.64855256475368206</v>
      </c>
      <c r="AX28" s="110">
        <f t="shared" si="100"/>
        <v>0.35144743524631794</v>
      </c>
      <c r="AY28" s="111">
        <f t="shared" si="44"/>
        <v>7876</v>
      </c>
      <c r="AZ28" s="112">
        <v>7876</v>
      </c>
      <c r="BA28" s="120">
        <f t="shared" si="101"/>
        <v>5108</v>
      </c>
      <c r="BB28" s="113">
        <v>2768</v>
      </c>
      <c r="BC28" s="112">
        <v>3320</v>
      </c>
      <c r="BD28" s="114">
        <v>0.79166666666666663</v>
      </c>
      <c r="BE28" s="115">
        <v>0</v>
      </c>
      <c r="BF28" s="114">
        <v>0</v>
      </c>
      <c r="BG28" s="115">
        <v>162</v>
      </c>
      <c r="BH28" s="114">
        <v>0.90625</v>
      </c>
      <c r="BI28" s="56">
        <f t="shared" si="53"/>
        <v>46044</v>
      </c>
      <c r="BJ28" s="78">
        <f t="shared" si="102"/>
        <v>0.60578146778983089</v>
      </c>
      <c r="BK28" s="76">
        <f t="shared" si="103"/>
        <v>0.39421853221016906</v>
      </c>
      <c r="BL28" s="79">
        <f t="shared" si="104"/>
        <v>33002</v>
      </c>
      <c r="BM28" s="154">
        <v>19992</v>
      </c>
      <c r="BN28" s="154">
        <v>13010</v>
      </c>
      <c r="BO28" s="155">
        <v>4273</v>
      </c>
      <c r="BP28" s="156">
        <v>0.80833333333333335</v>
      </c>
      <c r="BQ28" s="157">
        <v>2844</v>
      </c>
      <c r="BR28" s="156">
        <v>0.80833333333333335</v>
      </c>
    </row>
    <row r="29" spans="1:70" ht="15.75" thickBot="1" x14ac:dyDescent="0.3">
      <c r="A29" s="14"/>
      <c r="B29" s="56">
        <f t="shared" si="49"/>
        <v>46045</v>
      </c>
      <c r="C29" s="163"/>
      <c r="D29" s="87">
        <f t="shared" si="22"/>
        <v>47200</v>
      </c>
      <c r="E29" s="158">
        <f t="shared" si="85"/>
        <v>0.85819915254237289</v>
      </c>
      <c r="F29" s="87">
        <f t="shared" si="24"/>
        <v>40507</v>
      </c>
      <c r="G29" s="158">
        <f t="shared" si="86"/>
        <v>0.14180084745762711</v>
      </c>
      <c r="H29" s="145">
        <f t="shared" si="26"/>
        <v>6693</v>
      </c>
      <c r="I29" s="159">
        <f t="shared" si="87"/>
        <v>0.11189570885388377</v>
      </c>
      <c r="J29" s="158">
        <f t="shared" si="88"/>
        <v>0.15661778019192468</v>
      </c>
      <c r="K29" s="158">
        <f t="shared" si="89"/>
        <v>0.16828061114697654</v>
      </c>
      <c r="L29" s="160">
        <f t="shared" si="90"/>
        <v>0.58989679521998917</v>
      </c>
      <c r="M29" s="145">
        <f t="shared" si="91"/>
        <v>5382.1835958718093</v>
      </c>
      <c r="N29" s="145">
        <f t="shared" si="92"/>
        <v>7533.3152272315774</v>
      </c>
      <c r="O29" s="145">
        <f t="shared" si="93"/>
        <v>8094.2973961695716</v>
      </c>
      <c r="P29" s="145">
        <f t="shared" si="94"/>
        <v>28374.03585008148</v>
      </c>
      <c r="Q29" s="56">
        <f t="shared" si="50"/>
        <v>46045</v>
      </c>
      <c r="R29" s="138">
        <v>47200</v>
      </c>
      <c r="S29" s="139">
        <v>0</v>
      </c>
      <c r="T29" s="139">
        <v>48100</v>
      </c>
      <c r="U29" s="139">
        <v>2903</v>
      </c>
      <c r="V29" s="140">
        <v>11510</v>
      </c>
      <c r="W29" s="141">
        <v>0.8125</v>
      </c>
      <c r="X29" s="140">
        <v>4150</v>
      </c>
      <c r="Y29" s="141">
        <v>0.8125</v>
      </c>
      <c r="Z29" s="140">
        <v>0</v>
      </c>
      <c r="AA29" s="141">
        <v>0</v>
      </c>
      <c r="AB29" s="56">
        <f t="shared" si="51"/>
        <v>46045</v>
      </c>
      <c r="AC29" s="76">
        <f t="shared" si="95"/>
        <v>1</v>
      </c>
      <c r="AD29" s="161">
        <f t="shared" si="96"/>
        <v>0</v>
      </c>
      <c r="AE29" s="162">
        <v>6180</v>
      </c>
      <c r="AF29" s="118">
        <f t="shared" si="37"/>
        <v>6180</v>
      </c>
      <c r="AG29" s="146">
        <v>0</v>
      </c>
      <c r="AH29" s="147">
        <v>4020</v>
      </c>
      <c r="AI29" s="148">
        <v>0.77083333333333337</v>
      </c>
      <c r="AJ29" s="147">
        <v>0</v>
      </c>
      <c r="AK29" s="164">
        <v>0</v>
      </c>
      <c r="AL29" s="56">
        <f t="shared" si="38"/>
        <v>46045</v>
      </c>
      <c r="AM29" s="77">
        <f t="shared" si="97"/>
        <v>0.56184971098265901</v>
      </c>
      <c r="AN29" s="76">
        <f t="shared" si="98"/>
        <v>0.43815028901734104</v>
      </c>
      <c r="AO29" s="149">
        <v>8650</v>
      </c>
      <c r="AP29" s="117">
        <f t="shared" si="41"/>
        <v>4860</v>
      </c>
      <c r="AQ29" s="150">
        <v>3790</v>
      </c>
      <c r="AR29" s="151">
        <v>3280</v>
      </c>
      <c r="AS29" s="152">
        <v>0.75</v>
      </c>
      <c r="AT29" s="151">
        <v>182</v>
      </c>
      <c r="AU29" s="153">
        <v>0.77083333333333337</v>
      </c>
      <c r="AV29" s="56">
        <f t="shared" si="52"/>
        <v>46045</v>
      </c>
      <c r="AW29" s="110">
        <f t="shared" si="99"/>
        <v>1</v>
      </c>
      <c r="AX29" s="110">
        <f t="shared" si="100"/>
        <v>0</v>
      </c>
      <c r="AY29" s="111">
        <f t="shared" si="44"/>
        <v>7820</v>
      </c>
      <c r="AZ29" s="112">
        <v>7820</v>
      </c>
      <c r="BA29" s="120">
        <f t="shared" si="101"/>
        <v>7820</v>
      </c>
      <c r="BB29" s="181">
        <v>0</v>
      </c>
      <c r="BC29" s="112">
        <v>3290</v>
      </c>
      <c r="BD29" s="114">
        <v>0.77083333333333337</v>
      </c>
      <c r="BE29" s="115">
        <v>0</v>
      </c>
      <c r="BF29" s="114">
        <v>0</v>
      </c>
      <c r="BG29" s="115">
        <v>0</v>
      </c>
      <c r="BH29" s="114">
        <v>0.85416666666666663</v>
      </c>
      <c r="BI29" s="56">
        <f t="shared" si="53"/>
        <v>46045</v>
      </c>
      <c r="BJ29" s="78">
        <f t="shared" si="102"/>
        <v>0.60742786985880903</v>
      </c>
      <c r="BK29" s="76">
        <f t="shared" si="103"/>
        <v>0.39257213014119091</v>
      </c>
      <c r="BL29" s="79">
        <f t="shared" si="104"/>
        <v>32580</v>
      </c>
      <c r="BM29" s="154">
        <v>19790</v>
      </c>
      <c r="BN29" s="154">
        <v>12790</v>
      </c>
      <c r="BO29" s="155">
        <v>3980</v>
      </c>
      <c r="BP29" s="156">
        <v>0.77083333333333337</v>
      </c>
      <c r="BQ29" s="157">
        <v>2650</v>
      </c>
      <c r="BR29" s="156">
        <v>0.78125</v>
      </c>
    </row>
    <row r="30" spans="1:70" s="307" customFormat="1" ht="15.75" thickBot="1" x14ac:dyDescent="0.3">
      <c r="A30" s="272"/>
      <c r="B30" s="273">
        <f t="shared" si="49"/>
        <v>46046</v>
      </c>
      <c r="C30" s="274"/>
      <c r="D30" s="275">
        <f t="shared" si="22"/>
        <v>35598</v>
      </c>
      <c r="E30" s="276">
        <f t="shared" si="85"/>
        <v>0.7890923647395921</v>
      </c>
      <c r="F30" s="275">
        <f t="shared" si="24"/>
        <v>28090.11</v>
      </c>
      <c r="G30" s="276">
        <f t="shared" si="86"/>
        <v>0.21090763526040787</v>
      </c>
      <c r="H30" s="277">
        <f t="shared" si="26"/>
        <v>7507.8899999999994</v>
      </c>
      <c r="I30" s="278">
        <f t="shared" si="87"/>
        <v>8.2277122633939659E-2</v>
      </c>
      <c r="J30" s="276">
        <f t="shared" si="88"/>
        <v>0.16694050510003733</v>
      </c>
      <c r="K30" s="276">
        <f t="shared" si="89"/>
        <v>6.5493869790672898E-2</v>
      </c>
      <c r="L30" s="279">
        <f t="shared" si="90"/>
        <v>0.70748082689066438</v>
      </c>
      <c r="M30" s="277">
        <f t="shared" si="91"/>
        <v>2515.6230245327051</v>
      </c>
      <c r="N30" s="277">
        <f t="shared" si="92"/>
        <v>5104.2059434336416</v>
      </c>
      <c r="O30" s="277">
        <f t="shared" si="93"/>
        <v>2002.4750688498239</v>
      </c>
      <c r="P30" s="277">
        <f t="shared" si="94"/>
        <v>21631.226282182062</v>
      </c>
      <c r="Q30" s="273">
        <f t="shared" si="50"/>
        <v>46046</v>
      </c>
      <c r="R30" s="280">
        <v>35598</v>
      </c>
      <c r="S30" s="281">
        <v>0</v>
      </c>
      <c r="T30" s="281">
        <v>30575</v>
      </c>
      <c r="U30" s="281">
        <v>3750</v>
      </c>
      <c r="V30" s="282">
        <v>7309.54</v>
      </c>
      <c r="W30" s="283">
        <v>0.57291666666666663</v>
      </c>
      <c r="X30" s="282">
        <v>2292.96</v>
      </c>
      <c r="Y30" s="283">
        <v>0.84375</v>
      </c>
      <c r="Z30" s="282">
        <v>0</v>
      </c>
      <c r="AA30" s="283">
        <v>4.1666666666666664E-2</v>
      </c>
      <c r="AB30" s="273">
        <f t="shared" si="51"/>
        <v>46046</v>
      </c>
      <c r="AC30" s="284">
        <f t="shared" si="95"/>
        <v>1</v>
      </c>
      <c r="AD30" s="285">
        <f t="shared" si="96"/>
        <v>0</v>
      </c>
      <c r="AE30" s="286">
        <v>2948</v>
      </c>
      <c r="AF30" s="287">
        <f t="shared" si="37"/>
        <v>2948</v>
      </c>
      <c r="AG30" s="277">
        <v>0</v>
      </c>
      <c r="AH30" s="288">
        <v>1861.85</v>
      </c>
      <c r="AI30" s="289">
        <v>0.14583333333333334</v>
      </c>
      <c r="AJ30" s="288">
        <v>0</v>
      </c>
      <c r="AK30" s="290">
        <v>0</v>
      </c>
      <c r="AL30" s="273">
        <f t="shared" si="38"/>
        <v>46046</v>
      </c>
      <c r="AM30" s="291">
        <f t="shared" si="97"/>
        <v>0.37174788932542008</v>
      </c>
      <c r="AN30" s="284">
        <f t="shared" si="98"/>
        <v>0.62825211067457998</v>
      </c>
      <c r="AO30" s="292">
        <v>5981.5</v>
      </c>
      <c r="AP30" s="293">
        <f t="shared" si="41"/>
        <v>2223.61</v>
      </c>
      <c r="AQ30" s="294">
        <v>3757.89</v>
      </c>
      <c r="AR30" s="288">
        <v>1674.84</v>
      </c>
      <c r="AS30" s="295">
        <v>0.9243055555555556</v>
      </c>
      <c r="AT30" s="288">
        <v>173.49</v>
      </c>
      <c r="AU30" s="296">
        <v>0.3125</v>
      </c>
      <c r="AV30" s="273">
        <f t="shared" si="52"/>
        <v>46046</v>
      </c>
      <c r="AW30" s="297">
        <f t="shared" si="99"/>
        <v>1</v>
      </c>
      <c r="AX30" s="297">
        <f t="shared" si="100"/>
        <v>0</v>
      </c>
      <c r="AY30" s="298">
        <f t="shared" si="44"/>
        <v>1551.5</v>
      </c>
      <c r="AZ30" s="299">
        <v>1551.5</v>
      </c>
      <c r="BA30" s="300">
        <f t="shared" si="101"/>
        <v>1551.5</v>
      </c>
      <c r="BB30" s="298">
        <v>0</v>
      </c>
      <c r="BC30" s="299">
        <v>1875.84</v>
      </c>
      <c r="BD30" s="301">
        <v>0.53125</v>
      </c>
      <c r="BE30" s="302">
        <v>0</v>
      </c>
      <c r="BF30" s="301">
        <v>0</v>
      </c>
      <c r="BG30" s="302">
        <v>0</v>
      </c>
      <c r="BH30" s="301">
        <v>0</v>
      </c>
      <c r="BI30" s="273">
        <f t="shared" si="53"/>
        <v>46046</v>
      </c>
      <c r="BJ30" s="303">
        <f t="shared" si="102"/>
        <v>0.60809305881503628</v>
      </c>
      <c r="BK30" s="284">
        <f t="shared" si="103"/>
        <v>0.39190694118496378</v>
      </c>
      <c r="BL30" s="304">
        <f t="shared" si="104"/>
        <v>25349.129999999997</v>
      </c>
      <c r="BM30" s="277">
        <v>15414.63</v>
      </c>
      <c r="BN30" s="277">
        <v>9934.5</v>
      </c>
      <c r="BO30" s="305">
        <v>2730.84</v>
      </c>
      <c r="BP30" s="289">
        <v>0.80208333333333337</v>
      </c>
      <c r="BQ30" s="306">
        <v>1824.37</v>
      </c>
      <c r="BR30" s="289">
        <v>0.80208333333333337</v>
      </c>
    </row>
    <row r="31" spans="1:70" s="271" customFormat="1" ht="15.75" thickBot="1" x14ac:dyDescent="0.3">
      <c r="A31" s="244"/>
      <c r="B31" s="245">
        <f t="shared" si="49"/>
        <v>46047</v>
      </c>
      <c r="C31" s="325"/>
      <c r="D31" s="247">
        <f t="shared" si="22"/>
        <v>27334</v>
      </c>
      <c r="E31" s="248">
        <f t="shared" si="85"/>
        <v>0.72663788688080777</v>
      </c>
      <c r="F31" s="247">
        <f t="shared" si="24"/>
        <v>19861.919999999998</v>
      </c>
      <c r="G31" s="248">
        <f t="shared" si="86"/>
        <v>0.27336211311919223</v>
      </c>
      <c r="H31" s="154">
        <f t="shared" si="26"/>
        <v>7472.08</v>
      </c>
      <c r="I31" s="249">
        <f t="shared" si="87"/>
        <v>8.0814329368973814E-2</v>
      </c>
      <c r="J31" s="248">
        <f t="shared" si="88"/>
        <v>0.21075679421764754</v>
      </c>
      <c r="K31" s="248">
        <f t="shared" si="89"/>
        <v>0.14936154843096014</v>
      </c>
      <c r="L31" s="250">
        <f t="shared" si="90"/>
        <v>0.5994361214083167</v>
      </c>
      <c r="M31" s="154">
        <f t="shared" si="91"/>
        <v>1829.4343810901448</v>
      </c>
      <c r="N31" s="154">
        <f t="shared" si="92"/>
        <v>4771.0069291019963</v>
      </c>
      <c r="O31" s="154">
        <f t="shared" si="93"/>
        <v>3381.1720526058602</v>
      </c>
      <c r="P31" s="154">
        <f t="shared" si="94"/>
        <v>13569.735198380769</v>
      </c>
      <c r="Q31" s="245">
        <f t="shared" si="50"/>
        <v>46047</v>
      </c>
      <c r="R31" s="138">
        <v>27334</v>
      </c>
      <c r="S31" s="139">
        <v>0</v>
      </c>
      <c r="T31" s="139">
        <v>22637.5</v>
      </c>
      <c r="U31" s="139">
        <v>3736</v>
      </c>
      <c r="V31" s="140">
        <v>5875.76</v>
      </c>
      <c r="W31" s="141">
        <v>0.97916666666666663</v>
      </c>
      <c r="X31" s="140">
        <v>2002.99</v>
      </c>
      <c r="Y31" s="141">
        <v>0.76041666666666663</v>
      </c>
      <c r="Z31" s="140">
        <v>0</v>
      </c>
      <c r="AA31" s="141">
        <v>0.95833333333333337</v>
      </c>
      <c r="AB31" s="245">
        <f t="shared" si="51"/>
        <v>46047</v>
      </c>
      <c r="AC31" s="251">
        <f t="shared" si="95"/>
        <v>1</v>
      </c>
      <c r="AD31" s="252">
        <f t="shared" si="96"/>
        <v>0</v>
      </c>
      <c r="AE31" s="253">
        <v>2085</v>
      </c>
      <c r="AF31" s="254">
        <f t="shared" si="37"/>
        <v>2085</v>
      </c>
      <c r="AG31" s="154">
        <v>0</v>
      </c>
      <c r="AH31" s="255">
        <v>1633.06</v>
      </c>
      <c r="AI31" s="156">
        <v>0.93958333333333333</v>
      </c>
      <c r="AJ31" s="255">
        <v>0</v>
      </c>
      <c r="AK31" s="256">
        <v>0</v>
      </c>
      <c r="AL31" s="245">
        <f t="shared" si="38"/>
        <v>46047</v>
      </c>
      <c r="AM31" s="257">
        <f t="shared" si="97"/>
        <v>0.31290482758620691</v>
      </c>
      <c r="AN31" s="251">
        <f t="shared" si="98"/>
        <v>0.68709517241379314</v>
      </c>
      <c r="AO31" s="258">
        <v>5437.5</v>
      </c>
      <c r="AP31" s="259">
        <f t="shared" si="41"/>
        <v>1701.42</v>
      </c>
      <c r="AQ31" s="260">
        <v>3736.08</v>
      </c>
      <c r="AR31" s="255">
        <v>1668.27</v>
      </c>
      <c r="AS31" s="261">
        <v>0.93680555555555556</v>
      </c>
      <c r="AT31" s="255">
        <v>193.68</v>
      </c>
      <c r="AU31" s="262">
        <v>0.875</v>
      </c>
      <c r="AV31" s="245">
        <f t="shared" si="52"/>
        <v>46047</v>
      </c>
      <c r="AW31" s="263">
        <f t="shared" si="99"/>
        <v>1</v>
      </c>
      <c r="AX31" s="263">
        <f t="shared" si="100"/>
        <v>0</v>
      </c>
      <c r="AY31" s="264">
        <f t="shared" si="44"/>
        <v>2812</v>
      </c>
      <c r="AZ31" s="265">
        <v>2812</v>
      </c>
      <c r="BA31" s="266">
        <f t="shared" si="101"/>
        <v>2812</v>
      </c>
      <c r="BB31" s="264">
        <v>0</v>
      </c>
      <c r="BC31" s="265">
        <v>3350.08</v>
      </c>
      <c r="BD31" s="267">
        <v>0.90625</v>
      </c>
      <c r="BE31" s="268">
        <v>0</v>
      </c>
      <c r="BF31" s="267">
        <v>0</v>
      </c>
      <c r="BG31" s="268">
        <v>0</v>
      </c>
      <c r="BH31" s="267">
        <v>0</v>
      </c>
      <c r="BI31" s="245">
        <f t="shared" si="53"/>
        <v>46047</v>
      </c>
      <c r="BJ31" s="269">
        <f t="shared" si="102"/>
        <v>0.60886832395970869</v>
      </c>
      <c r="BK31" s="251">
        <f t="shared" si="103"/>
        <v>0.39113167604029131</v>
      </c>
      <c r="BL31" s="270">
        <f t="shared" si="104"/>
        <v>15465.38</v>
      </c>
      <c r="BM31" s="154">
        <v>9416.3799999999992</v>
      </c>
      <c r="BN31" s="154">
        <v>6049</v>
      </c>
      <c r="BO31" s="155">
        <v>2661.68</v>
      </c>
      <c r="BP31" s="156">
        <v>0.9604166666666667</v>
      </c>
      <c r="BQ31" s="157">
        <v>1767.93</v>
      </c>
      <c r="BR31" s="156">
        <v>0.9604166666666667</v>
      </c>
    </row>
    <row r="32" spans="1:70" ht="15.75" thickBot="1" x14ac:dyDescent="0.3">
      <c r="A32" s="14"/>
      <c r="B32" s="56">
        <f t="shared" si="49"/>
        <v>46048</v>
      </c>
      <c r="C32" s="163"/>
      <c r="D32" s="87">
        <f t="shared" si="22"/>
        <v>49520</v>
      </c>
      <c r="E32" s="158">
        <f t="shared" si="85"/>
        <v>0.85246365105008082</v>
      </c>
      <c r="F32" s="87">
        <f t="shared" si="24"/>
        <v>42214</v>
      </c>
      <c r="G32" s="158">
        <f t="shared" si="86"/>
        <v>0.14753634894991924</v>
      </c>
      <c r="H32" s="145">
        <f t="shared" si="26"/>
        <v>7306</v>
      </c>
      <c r="I32" s="159">
        <f t="shared" si="87"/>
        <v>0.11143323065772785</v>
      </c>
      <c r="J32" s="158">
        <f t="shared" si="88"/>
        <v>0.15799963761551006</v>
      </c>
      <c r="K32" s="158">
        <f t="shared" si="89"/>
        <v>0.16885351688535169</v>
      </c>
      <c r="L32" s="160">
        <f t="shared" si="90"/>
        <v>0.58833121942380862</v>
      </c>
      <c r="M32" s="145">
        <f t="shared" si="91"/>
        <v>5352.138068490669</v>
      </c>
      <c r="N32" s="145">
        <f t="shared" si="92"/>
        <v>7588.7225946729477</v>
      </c>
      <c r="O32" s="145">
        <f t="shared" si="93"/>
        <v>8110.0344160034419</v>
      </c>
      <c r="P32" s="145">
        <f t="shared" si="94"/>
        <v>28257.548468925528</v>
      </c>
      <c r="Q32" s="56">
        <f t="shared" si="50"/>
        <v>46048</v>
      </c>
      <c r="R32" s="138">
        <v>49520</v>
      </c>
      <c r="S32" s="139">
        <v>0</v>
      </c>
      <c r="T32" s="139">
        <v>48030</v>
      </c>
      <c r="U32" s="139">
        <v>3446</v>
      </c>
      <c r="V32" s="140">
        <v>11580</v>
      </c>
      <c r="W32" s="141">
        <v>0.89583333333333337</v>
      </c>
      <c r="X32" s="140">
        <v>4210</v>
      </c>
      <c r="Y32" s="141">
        <v>0.73958333333333337</v>
      </c>
      <c r="Z32" s="140">
        <v>0</v>
      </c>
      <c r="AA32" s="141">
        <v>0.89583333333333337</v>
      </c>
      <c r="AB32" s="167">
        <f t="shared" si="51"/>
        <v>46048</v>
      </c>
      <c r="AC32" s="76">
        <f t="shared" si="95"/>
        <v>1</v>
      </c>
      <c r="AD32" s="161">
        <f t="shared" si="96"/>
        <v>0</v>
      </c>
      <c r="AE32" s="162">
        <v>6150</v>
      </c>
      <c r="AF32" s="118">
        <f t="shared" si="37"/>
        <v>6150</v>
      </c>
      <c r="AG32" s="146">
        <v>0</v>
      </c>
      <c r="AH32" s="147">
        <v>3470</v>
      </c>
      <c r="AI32" s="148">
        <v>0.91666666666666663</v>
      </c>
      <c r="AJ32" s="147">
        <v>0</v>
      </c>
      <c r="AK32" s="164">
        <v>0</v>
      </c>
      <c r="AL32" s="167">
        <f t="shared" si="38"/>
        <v>46048</v>
      </c>
      <c r="AM32" s="77">
        <f t="shared" si="97"/>
        <v>0.55733944954128445</v>
      </c>
      <c r="AN32" s="76">
        <f t="shared" si="98"/>
        <v>0.44266055045871561</v>
      </c>
      <c r="AO32" s="149">
        <v>8720</v>
      </c>
      <c r="AP32" s="117">
        <f t="shared" si="41"/>
        <v>4860</v>
      </c>
      <c r="AQ32" s="150">
        <v>3860</v>
      </c>
      <c r="AR32" s="151">
        <v>3170</v>
      </c>
      <c r="AS32" s="152">
        <v>0.9375</v>
      </c>
      <c r="AT32" s="151">
        <v>185</v>
      </c>
      <c r="AU32" s="153">
        <v>0.91666666666666663</v>
      </c>
      <c r="AV32" s="167">
        <f t="shared" si="52"/>
        <v>46048</v>
      </c>
      <c r="AW32" s="168">
        <f t="shared" si="99"/>
        <v>1</v>
      </c>
      <c r="AX32" s="168">
        <f t="shared" si="100"/>
        <v>0</v>
      </c>
      <c r="AY32" s="111">
        <f t="shared" si="44"/>
        <v>7850</v>
      </c>
      <c r="AZ32" s="112">
        <v>7850</v>
      </c>
      <c r="BA32" s="169">
        <f t="shared" si="101"/>
        <v>7850</v>
      </c>
      <c r="BB32" s="113">
        <v>0</v>
      </c>
      <c r="BC32" s="112">
        <v>3520</v>
      </c>
      <c r="BD32" s="114">
        <v>0.8125</v>
      </c>
      <c r="BE32" s="115">
        <v>0</v>
      </c>
      <c r="BF32" s="114">
        <v>0</v>
      </c>
      <c r="BG32" s="115">
        <v>0</v>
      </c>
      <c r="BH32" s="114">
        <v>0</v>
      </c>
      <c r="BI32" s="167">
        <f t="shared" si="53"/>
        <v>46048</v>
      </c>
      <c r="BJ32" s="170">
        <f t="shared" si="102"/>
        <v>0.60917770249461045</v>
      </c>
      <c r="BK32" s="76">
        <f t="shared" si="103"/>
        <v>0.3908222975053896</v>
      </c>
      <c r="BL32" s="79">
        <f t="shared" si="104"/>
        <v>32470</v>
      </c>
      <c r="BM32" s="154">
        <v>19780</v>
      </c>
      <c r="BN32" s="154">
        <v>12690</v>
      </c>
      <c r="BO32" s="155">
        <v>3820</v>
      </c>
      <c r="BP32" s="156">
        <v>0.9375</v>
      </c>
      <c r="BQ32" s="157">
        <v>2560</v>
      </c>
      <c r="BR32" s="156">
        <v>0.9375</v>
      </c>
    </row>
    <row r="33" spans="1:70" ht="15.75" thickBot="1" x14ac:dyDescent="0.3">
      <c r="A33" s="14"/>
      <c r="B33" s="56">
        <f t="shared" si="49"/>
        <v>46049</v>
      </c>
      <c r="C33" s="163"/>
      <c r="D33" s="87">
        <f t="shared" si="22"/>
        <v>50300</v>
      </c>
      <c r="E33" s="158">
        <f t="shared" si="85"/>
        <v>0.8652087475149105</v>
      </c>
      <c r="F33" s="87">
        <f t="shared" si="24"/>
        <v>43520</v>
      </c>
      <c r="G33" s="158">
        <f t="shared" si="86"/>
        <v>0.13479125248508947</v>
      </c>
      <c r="H33" s="145">
        <f t="shared" si="26"/>
        <v>6780</v>
      </c>
      <c r="I33" s="159">
        <f t="shared" si="87"/>
        <v>0.11133946921633456</v>
      </c>
      <c r="J33" s="158">
        <f t="shared" si="88"/>
        <v>0.15887766955589314</v>
      </c>
      <c r="K33" s="158">
        <f t="shared" si="89"/>
        <v>0.16794707639778061</v>
      </c>
      <c r="L33" s="160">
        <f t="shared" si="90"/>
        <v>0.58913412563667233</v>
      </c>
      <c r="M33" s="145">
        <f t="shared" si="91"/>
        <v>5427.7991242963099</v>
      </c>
      <c r="N33" s="145">
        <f t="shared" si="92"/>
        <v>7745.2863908497902</v>
      </c>
      <c r="O33" s="145">
        <f t="shared" si="93"/>
        <v>8187.4199743918052</v>
      </c>
      <c r="P33" s="145">
        <f t="shared" si="94"/>
        <v>28720.288624787776</v>
      </c>
      <c r="Q33" s="56">
        <f t="shared" si="50"/>
        <v>46049</v>
      </c>
      <c r="R33" s="138">
        <v>50300</v>
      </c>
      <c r="S33" s="139">
        <v>0</v>
      </c>
      <c r="T33" s="139">
        <v>48750</v>
      </c>
      <c r="U33" s="139">
        <v>0</v>
      </c>
      <c r="V33" s="140">
        <v>11890</v>
      </c>
      <c r="W33" s="141">
        <v>0.86458333333333337</v>
      </c>
      <c r="X33" s="140">
        <v>4150</v>
      </c>
      <c r="Y33" s="141">
        <v>0.77083333333333337</v>
      </c>
      <c r="Z33" s="140">
        <v>0</v>
      </c>
      <c r="AA33" s="141">
        <v>0.86458333333333337</v>
      </c>
      <c r="AB33" s="56">
        <f t="shared" si="51"/>
        <v>46049</v>
      </c>
      <c r="AC33" s="76">
        <f t="shared" si="95"/>
        <v>1</v>
      </c>
      <c r="AD33" s="161">
        <f t="shared" si="96"/>
        <v>0</v>
      </c>
      <c r="AE33" s="162">
        <v>6230</v>
      </c>
      <c r="AF33" s="118">
        <f t="shared" si="37"/>
        <v>6230</v>
      </c>
      <c r="AG33" s="146">
        <v>0</v>
      </c>
      <c r="AH33" s="147">
        <v>4450</v>
      </c>
      <c r="AI33" s="148">
        <v>0.89583333333333337</v>
      </c>
      <c r="AJ33" s="147">
        <v>0</v>
      </c>
      <c r="AK33" s="164">
        <v>0</v>
      </c>
      <c r="AL33" s="167">
        <f t="shared" si="38"/>
        <v>46049</v>
      </c>
      <c r="AM33" s="77">
        <f t="shared" si="97"/>
        <v>0.55568053993250843</v>
      </c>
      <c r="AN33" s="76">
        <f t="shared" si="98"/>
        <v>0.44431946006749157</v>
      </c>
      <c r="AO33" s="149">
        <v>8890</v>
      </c>
      <c r="AP33" s="117">
        <f t="shared" si="41"/>
        <v>4940</v>
      </c>
      <c r="AQ33" s="150">
        <v>3950</v>
      </c>
      <c r="AR33" s="151">
        <v>3530</v>
      </c>
      <c r="AS33" s="152">
        <v>0.90625</v>
      </c>
      <c r="AT33" s="151">
        <v>185</v>
      </c>
      <c r="AU33" s="153">
        <v>0.875</v>
      </c>
      <c r="AV33" s="56">
        <f t="shared" si="52"/>
        <v>46049</v>
      </c>
      <c r="AW33" s="168">
        <f t="shared" si="99"/>
        <v>0.64040660736975863</v>
      </c>
      <c r="AX33" s="168">
        <f t="shared" si="100"/>
        <v>0.35959339263024143</v>
      </c>
      <c r="AY33" s="111">
        <f t="shared" si="44"/>
        <v>7870</v>
      </c>
      <c r="AZ33" s="112">
        <v>7870</v>
      </c>
      <c r="BA33" s="169">
        <f t="shared" si="101"/>
        <v>5040</v>
      </c>
      <c r="BB33" s="113">
        <v>2830</v>
      </c>
      <c r="BC33" s="112">
        <v>3450</v>
      </c>
      <c r="BD33" s="114">
        <v>0.83333333333333337</v>
      </c>
      <c r="BE33" s="115">
        <v>0</v>
      </c>
      <c r="BF33" s="114">
        <v>0</v>
      </c>
      <c r="BG33" s="115">
        <v>0</v>
      </c>
      <c r="BH33" s="114">
        <v>0</v>
      </c>
      <c r="BI33" s="56">
        <f t="shared" si="53"/>
        <v>46049</v>
      </c>
      <c r="BJ33" s="170">
        <f t="shared" si="102"/>
        <v>0.60518731988472618</v>
      </c>
      <c r="BK33" s="76">
        <f t="shared" si="103"/>
        <v>0.39481268011527376</v>
      </c>
      <c r="BL33" s="79">
        <f t="shared" si="104"/>
        <v>32965</v>
      </c>
      <c r="BM33" s="154">
        <v>19950</v>
      </c>
      <c r="BN33" s="154">
        <v>13015</v>
      </c>
      <c r="BO33" s="155">
        <v>4180</v>
      </c>
      <c r="BP33" s="156">
        <v>0.88541666666666663</v>
      </c>
      <c r="BQ33" s="157">
        <v>2790</v>
      </c>
      <c r="BR33" s="156">
        <v>0.89583333333333337</v>
      </c>
    </row>
    <row r="34" spans="1:70" ht="15.75" thickBot="1" x14ac:dyDescent="0.3">
      <c r="A34" s="14"/>
      <c r="B34" s="56">
        <f t="shared" si="49"/>
        <v>46050</v>
      </c>
      <c r="C34" s="163"/>
      <c r="D34" s="87">
        <f t="shared" si="22"/>
        <v>49638</v>
      </c>
      <c r="E34" s="158">
        <f t="shared" si="85"/>
        <v>0.86242394939360978</v>
      </c>
      <c r="F34" s="87">
        <f t="shared" si="24"/>
        <v>42809</v>
      </c>
      <c r="G34" s="158">
        <f t="shared" si="86"/>
        <v>0.13757605060639028</v>
      </c>
      <c r="H34" s="145">
        <f t="shared" si="26"/>
        <v>6829</v>
      </c>
      <c r="I34" s="159">
        <f t="shared" si="87"/>
        <v>0.11042046871329707</v>
      </c>
      <c r="J34" s="158">
        <f t="shared" si="88"/>
        <v>0.15673165531322841</v>
      </c>
      <c r="K34" s="158">
        <f t="shared" si="89"/>
        <v>0.16969356684734491</v>
      </c>
      <c r="L34" s="160">
        <f t="shared" si="90"/>
        <v>0.59086063278102019</v>
      </c>
      <c r="M34" s="145">
        <f t="shared" si="91"/>
        <v>5322.0457510434917</v>
      </c>
      <c r="N34" s="145">
        <f t="shared" si="92"/>
        <v>7554.1523227869829</v>
      </c>
      <c r="O34" s="145">
        <f t="shared" si="93"/>
        <v>8178.8905349083298</v>
      </c>
      <c r="P34" s="145">
        <f t="shared" si="94"/>
        <v>28478.300778779612</v>
      </c>
      <c r="Q34" s="56">
        <f t="shared" si="50"/>
        <v>46050</v>
      </c>
      <c r="R34" s="138">
        <v>49638</v>
      </c>
      <c r="S34" s="139">
        <v>0</v>
      </c>
      <c r="T34" s="139">
        <v>48198</v>
      </c>
      <c r="U34" s="139">
        <v>0</v>
      </c>
      <c r="V34" s="140">
        <v>12838</v>
      </c>
      <c r="W34" s="141">
        <v>0.77083333333333337</v>
      </c>
      <c r="X34" s="140">
        <v>4387</v>
      </c>
      <c r="Y34" s="141">
        <v>0.82291666666666663</v>
      </c>
      <c r="Z34" s="140">
        <v>0</v>
      </c>
      <c r="AA34" s="141">
        <v>0</v>
      </c>
      <c r="AB34" s="56">
        <f t="shared" si="51"/>
        <v>46050</v>
      </c>
      <c r="AC34" s="76">
        <f t="shared" si="95"/>
        <v>1</v>
      </c>
      <c r="AD34" s="161">
        <f t="shared" si="96"/>
        <v>0</v>
      </c>
      <c r="AE34" s="162">
        <v>6111</v>
      </c>
      <c r="AF34" s="118">
        <f t="shared" si="37"/>
        <v>6111</v>
      </c>
      <c r="AG34" s="146">
        <v>0</v>
      </c>
      <c r="AH34" s="147">
        <v>3688</v>
      </c>
      <c r="AI34" s="148">
        <v>0.52152777777777781</v>
      </c>
      <c r="AJ34" s="147">
        <v>0</v>
      </c>
      <c r="AK34" s="164">
        <v>0</v>
      </c>
      <c r="AL34" s="56">
        <f t="shared" si="38"/>
        <v>46050</v>
      </c>
      <c r="AM34" s="77">
        <f t="shared" si="97"/>
        <v>0.54161863038967029</v>
      </c>
      <c r="AN34" s="76">
        <f t="shared" si="98"/>
        <v>0.45838136961032971</v>
      </c>
      <c r="AO34" s="149">
        <v>8674</v>
      </c>
      <c r="AP34" s="117">
        <f t="shared" si="41"/>
        <v>4698</v>
      </c>
      <c r="AQ34" s="150">
        <v>3976</v>
      </c>
      <c r="AR34" s="151">
        <v>3445</v>
      </c>
      <c r="AS34" s="152">
        <v>0.74583333333333335</v>
      </c>
      <c r="AT34" s="151">
        <v>189</v>
      </c>
      <c r="AU34" s="153">
        <v>0.67708333333333337</v>
      </c>
      <c r="AV34" s="56">
        <f t="shared" si="52"/>
        <v>46050</v>
      </c>
      <c r="AW34" s="110">
        <f t="shared" si="99"/>
        <v>0.63693051667090861</v>
      </c>
      <c r="AX34" s="110">
        <f t="shared" si="100"/>
        <v>0.36306948332909139</v>
      </c>
      <c r="AY34" s="111">
        <f t="shared" si="44"/>
        <v>7858</v>
      </c>
      <c r="AZ34" s="112">
        <v>7858</v>
      </c>
      <c r="BA34" s="120">
        <f t="shared" si="101"/>
        <v>5005</v>
      </c>
      <c r="BB34" s="113">
        <v>2853</v>
      </c>
      <c r="BC34" s="112">
        <v>3047</v>
      </c>
      <c r="BD34" s="114">
        <v>0.73958333333333337</v>
      </c>
      <c r="BE34" s="115">
        <v>0</v>
      </c>
      <c r="BF34" s="114">
        <v>0</v>
      </c>
      <c r="BG34" s="115">
        <v>131</v>
      </c>
      <c r="BH34" s="114">
        <v>0.73958333333333337</v>
      </c>
      <c r="BI34" s="56">
        <f t="shared" si="53"/>
        <v>46050</v>
      </c>
      <c r="BJ34" s="78">
        <f t="shared" si="102"/>
        <v>0.604954128440367</v>
      </c>
      <c r="BK34" s="76">
        <f t="shared" si="103"/>
        <v>0.39504587155963306</v>
      </c>
      <c r="BL34" s="79">
        <f t="shared" si="104"/>
        <v>32700</v>
      </c>
      <c r="BM34" s="154">
        <v>19782</v>
      </c>
      <c r="BN34" s="154">
        <v>12918</v>
      </c>
      <c r="BO34" s="155">
        <v>3712</v>
      </c>
      <c r="BP34" s="156">
        <v>0.78263888888888888</v>
      </c>
      <c r="BQ34" s="157">
        <v>2495</v>
      </c>
      <c r="BR34" s="156">
        <v>0.78263888888888888</v>
      </c>
    </row>
    <row r="35" spans="1:70" ht="15.75" thickBot="1" x14ac:dyDescent="0.3">
      <c r="A35" s="14"/>
      <c r="B35" s="56">
        <f t="shared" si="49"/>
        <v>46051</v>
      </c>
      <c r="C35" s="163"/>
      <c r="D35" s="87">
        <f t="shared" si="22"/>
        <v>49112</v>
      </c>
      <c r="E35" s="158">
        <f t="shared" si="85"/>
        <v>0.85993239941358524</v>
      </c>
      <c r="F35" s="87">
        <f t="shared" si="24"/>
        <v>42233</v>
      </c>
      <c r="G35" s="158">
        <f t="shared" si="86"/>
        <v>0.14006760058641474</v>
      </c>
      <c r="H35" s="145">
        <f t="shared" si="26"/>
        <v>6879</v>
      </c>
      <c r="I35" s="159">
        <f t="shared" si="87"/>
        <v>0.10942417048528681</v>
      </c>
      <c r="J35" s="158">
        <f t="shared" si="88"/>
        <v>0.16012440420324262</v>
      </c>
      <c r="K35" s="158">
        <f t="shared" si="89"/>
        <v>0.16892847670409336</v>
      </c>
      <c r="L35" s="160">
        <f t="shared" si="90"/>
        <v>0.58979738309501462</v>
      </c>
      <c r="M35" s="145">
        <f t="shared" si="91"/>
        <v>5229.0528349804008</v>
      </c>
      <c r="N35" s="145">
        <f t="shared" si="92"/>
        <v>7651.8649036603547</v>
      </c>
      <c r="O35" s="145">
        <f t="shared" si="93"/>
        <v>8072.5851162585095</v>
      </c>
      <c r="P35" s="145">
        <f t="shared" si="94"/>
        <v>28184.647545961463</v>
      </c>
      <c r="Q35" s="56">
        <f t="shared" si="50"/>
        <v>46051</v>
      </c>
      <c r="R35" s="138">
        <v>49112</v>
      </c>
      <c r="S35" s="139">
        <v>0</v>
      </c>
      <c r="T35" s="139">
        <v>47787</v>
      </c>
      <c r="U35" s="139">
        <v>0</v>
      </c>
      <c r="V35" s="140">
        <v>11958</v>
      </c>
      <c r="W35" s="141">
        <v>0.79166666666666663</v>
      </c>
      <c r="X35" s="140">
        <v>4053</v>
      </c>
      <c r="Y35" s="141">
        <v>0.82291666666666663</v>
      </c>
      <c r="Z35" s="140">
        <v>0</v>
      </c>
      <c r="AA35" s="141">
        <v>0</v>
      </c>
      <c r="AB35" s="56">
        <f t="shared" si="51"/>
        <v>46051</v>
      </c>
      <c r="AC35" s="76">
        <f t="shared" si="95"/>
        <v>1</v>
      </c>
      <c r="AD35" s="161">
        <f t="shared" si="96"/>
        <v>0</v>
      </c>
      <c r="AE35" s="162">
        <v>5946</v>
      </c>
      <c r="AF35" s="118">
        <f t="shared" si="37"/>
        <v>5946</v>
      </c>
      <c r="AG35" s="146">
        <v>0</v>
      </c>
      <c r="AH35" s="147">
        <v>4022</v>
      </c>
      <c r="AI35" s="148">
        <v>0.74513888888888891</v>
      </c>
      <c r="AJ35" s="147">
        <v>0</v>
      </c>
      <c r="AK35" s="164">
        <v>0</v>
      </c>
      <c r="AL35" s="56">
        <f t="shared" si="38"/>
        <v>46051</v>
      </c>
      <c r="AM35" s="77">
        <f t="shared" si="97"/>
        <v>0.53557062406619926</v>
      </c>
      <c r="AN35" s="76">
        <f t="shared" si="98"/>
        <v>0.46442937593380074</v>
      </c>
      <c r="AO35" s="149">
        <v>8701</v>
      </c>
      <c r="AP35" s="117">
        <f t="shared" si="41"/>
        <v>4660</v>
      </c>
      <c r="AQ35" s="150">
        <v>4041</v>
      </c>
      <c r="AR35" s="151">
        <v>3355</v>
      </c>
      <c r="AS35" s="152">
        <v>0.73124999999999996</v>
      </c>
      <c r="AT35" s="151">
        <v>193</v>
      </c>
      <c r="AU35" s="153">
        <v>0.63541666666666663</v>
      </c>
      <c r="AV35" s="56">
        <f t="shared" si="52"/>
        <v>46051</v>
      </c>
      <c r="AW35" s="110">
        <f t="shared" si="99"/>
        <v>0.62867983776004188</v>
      </c>
      <c r="AX35" s="110">
        <f t="shared" si="100"/>
        <v>0.37132016223995812</v>
      </c>
      <c r="AY35" s="111">
        <f t="shared" si="44"/>
        <v>7643</v>
      </c>
      <c r="AZ35" s="112">
        <v>7643</v>
      </c>
      <c r="BA35" s="120">
        <f t="shared" si="101"/>
        <v>4805</v>
      </c>
      <c r="BB35" s="113">
        <v>2838</v>
      </c>
      <c r="BC35" s="112">
        <v>3069</v>
      </c>
      <c r="BD35" s="114">
        <v>0.75</v>
      </c>
      <c r="BE35" s="115">
        <v>0</v>
      </c>
      <c r="BF35" s="114">
        <v>0</v>
      </c>
      <c r="BG35" s="115">
        <v>167</v>
      </c>
      <c r="BH35" s="114">
        <v>0.89583333333333337</v>
      </c>
      <c r="BI35" s="56">
        <f t="shared" si="53"/>
        <v>46051</v>
      </c>
      <c r="BJ35" s="78">
        <f t="shared" si="102"/>
        <v>0.60382539236793664</v>
      </c>
      <c r="BK35" s="76">
        <f t="shared" si="103"/>
        <v>0.39617460763206341</v>
      </c>
      <c r="BL35" s="79">
        <f t="shared" si="104"/>
        <v>32049</v>
      </c>
      <c r="BM35" s="154">
        <v>19352</v>
      </c>
      <c r="BN35" s="154">
        <v>12697</v>
      </c>
      <c r="BO35" s="155">
        <v>3676</v>
      </c>
      <c r="BP35" s="156">
        <v>0.74722222222222223</v>
      </c>
      <c r="BQ35" s="157">
        <v>2484</v>
      </c>
      <c r="BR35" s="156">
        <v>0.74722222222222223</v>
      </c>
    </row>
    <row r="36" spans="1:70" ht="15.75" thickBot="1" x14ac:dyDescent="0.3">
      <c r="A36" s="14"/>
      <c r="B36" s="56">
        <f t="shared" si="49"/>
        <v>46052</v>
      </c>
      <c r="C36" s="163"/>
      <c r="D36" s="87">
        <f t="shared" si="22"/>
        <v>45200</v>
      </c>
      <c r="E36" s="158">
        <f t="shared" si="85"/>
        <v>0.87838495575221243</v>
      </c>
      <c r="F36" s="87">
        <f t="shared" si="24"/>
        <v>39703</v>
      </c>
      <c r="G36" s="158">
        <f t="shared" si="86"/>
        <v>0.12161504424778762</v>
      </c>
      <c r="H36" s="145">
        <f t="shared" si="26"/>
        <v>5497</v>
      </c>
      <c r="I36" s="159">
        <f t="shared" si="87"/>
        <v>5.6638958874759456E-2</v>
      </c>
      <c r="J36" s="158">
        <f t="shared" si="88"/>
        <v>9.7367429126906976E-2</v>
      </c>
      <c r="K36" s="158">
        <f t="shared" si="89"/>
        <v>0.21639373966614572</v>
      </c>
      <c r="L36" s="160">
        <f t="shared" si="90"/>
        <v>0.6564564445414327</v>
      </c>
      <c r="M36" s="145">
        <f>(S36+T36)*I36</f>
        <v>2579.7912988275439</v>
      </c>
      <c r="N36" s="145">
        <f>(S36+T36)*J36</f>
        <v>4434.8916618723588</v>
      </c>
      <c r="O36" s="145">
        <f>(S36+T36)*K36</f>
        <v>9856.3020543136063</v>
      </c>
      <c r="P36" s="145">
        <f>(S36+T36)*L36</f>
        <v>29900.278135973178</v>
      </c>
      <c r="Q36" s="56">
        <f t="shared" si="50"/>
        <v>46052</v>
      </c>
      <c r="R36" s="138">
        <v>45200</v>
      </c>
      <c r="S36" s="139">
        <v>0</v>
      </c>
      <c r="T36" s="139">
        <v>45548</v>
      </c>
      <c r="U36" s="139">
        <v>0</v>
      </c>
      <c r="V36" s="140">
        <v>24154</v>
      </c>
      <c r="W36" s="141">
        <v>0.69791666666666663</v>
      </c>
      <c r="X36" s="140">
        <v>3484</v>
      </c>
      <c r="Y36" s="141">
        <v>0.40625</v>
      </c>
      <c r="Z36" s="140">
        <v>0</v>
      </c>
      <c r="AA36" s="141">
        <v>0</v>
      </c>
      <c r="AB36" s="56">
        <f t="shared" si="51"/>
        <v>46052</v>
      </c>
      <c r="AC36" s="76">
        <f t="shared" si="95"/>
        <v>1</v>
      </c>
      <c r="AD36" s="161">
        <f t="shared" si="96"/>
        <v>0</v>
      </c>
      <c r="AE36" s="162">
        <v>2855</v>
      </c>
      <c r="AF36" s="118">
        <f t="shared" si="37"/>
        <v>2855</v>
      </c>
      <c r="AG36" s="146">
        <v>0</v>
      </c>
      <c r="AH36" s="147">
        <v>0</v>
      </c>
      <c r="AI36" s="148">
        <v>0</v>
      </c>
      <c r="AJ36" s="147">
        <v>0</v>
      </c>
      <c r="AK36" s="164">
        <v>0</v>
      </c>
      <c r="AL36" s="56">
        <f t="shared" si="38"/>
        <v>46052</v>
      </c>
      <c r="AM36" s="77">
        <f t="shared" si="97"/>
        <v>0.45762021189894053</v>
      </c>
      <c r="AN36" s="76">
        <f t="shared" si="98"/>
        <v>0.54237978810105947</v>
      </c>
      <c r="AO36" s="149">
        <v>4908</v>
      </c>
      <c r="AP36" s="117">
        <f t="shared" si="41"/>
        <v>2246</v>
      </c>
      <c r="AQ36" s="150">
        <v>2662</v>
      </c>
      <c r="AR36" s="151">
        <v>0</v>
      </c>
      <c r="AS36" s="152">
        <v>0</v>
      </c>
      <c r="AT36" s="151">
        <v>188</v>
      </c>
      <c r="AU36" s="153">
        <v>0.375</v>
      </c>
      <c r="AV36" s="56">
        <f t="shared" si="52"/>
        <v>46052</v>
      </c>
      <c r="AW36" s="110">
        <f t="shared" si="99"/>
        <v>0.70326564789616919</v>
      </c>
      <c r="AX36" s="110">
        <f t="shared" si="100"/>
        <v>0.29673435210383087</v>
      </c>
      <c r="AY36" s="111">
        <f t="shared" si="44"/>
        <v>9554</v>
      </c>
      <c r="AZ36" s="112">
        <v>9554</v>
      </c>
      <c r="BA36" s="120">
        <f t="shared" si="101"/>
        <v>6719</v>
      </c>
      <c r="BB36" s="113">
        <v>2835</v>
      </c>
      <c r="BC36" s="112">
        <v>5444</v>
      </c>
      <c r="BD36" s="114">
        <v>0.78125</v>
      </c>
      <c r="BE36" s="115">
        <v>0</v>
      </c>
      <c r="BF36" s="114">
        <v>0</v>
      </c>
      <c r="BG36" s="115">
        <v>184</v>
      </c>
      <c r="BH36" s="114">
        <v>0</v>
      </c>
      <c r="BI36" s="56">
        <f t="shared" si="53"/>
        <v>46052</v>
      </c>
      <c r="BJ36" s="78">
        <f t="shared" si="102"/>
        <v>0.60265941372015719</v>
      </c>
      <c r="BK36" s="76">
        <f t="shared" si="103"/>
        <v>0.39734058627984287</v>
      </c>
      <c r="BL36" s="79">
        <f t="shared" si="104"/>
        <v>33090</v>
      </c>
      <c r="BM36" s="154">
        <v>19942</v>
      </c>
      <c r="BN36" s="154">
        <v>13148</v>
      </c>
      <c r="BO36" s="155">
        <v>4077</v>
      </c>
      <c r="BP36" s="156">
        <v>0.71736111111111112</v>
      </c>
      <c r="BQ36" s="157">
        <v>2704</v>
      </c>
      <c r="BR36" s="156">
        <v>0.71736111111111112</v>
      </c>
    </row>
    <row r="37" spans="1:70" s="307" customFormat="1" ht="15.75" thickBot="1" x14ac:dyDescent="0.3">
      <c r="A37" s="272"/>
      <c r="B37" s="273">
        <f t="shared" si="49"/>
        <v>46053</v>
      </c>
      <c r="C37" s="274"/>
      <c r="D37" s="275">
        <f t="shared" si="22"/>
        <v>32388</v>
      </c>
      <c r="E37" s="276">
        <f t="shared" ref="E37" si="105">F37/D37</f>
        <v>0.82592318142521925</v>
      </c>
      <c r="F37" s="275">
        <f t="shared" si="24"/>
        <v>26750</v>
      </c>
      <c r="G37" s="276">
        <f t="shared" ref="G37" si="106">H37/D37</f>
        <v>0.17407681857478077</v>
      </c>
      <c r="H37" s="277">
        <f t="shared" si="26"/>
        <v>5638</v>
      </c>
      <c r="I37" s="278">
        <f t="shared" ref="I37" si="107">AE37/(AE37+AO37+BL37+AY37)</f>
        <v>8.3172573444303594E-2</v>
      </c>
      <c r="J37" s="276">
        <f t="shared" ref="J37" si="108">AO37/(AE37+AO37+BL37+AY37)</f>
        <v>0.13864851457862537</v>
      </c>
      <c r="K37" s="276">
        <f t="shared" ref="K37" si="109">AY37/(AF37+AP37+BM37+AZ37+AY37)</f>
        <v>0.17017044480263382</v>
      </c>
      <c r="L37" s="279">
        <f t="shared" ref="L37" si="110">BL37/(AE37+AO37+BL37+AY37)</f>
        <v>0.64143195722868329</v>
      </c>
      <c r="M37" s="277">
        <f>(S37+T37)*I37</f>
        <v>2625.924488783553</v>
      </c>
      <c r="N37" s="277">
        <f>(S37+T37)*J37</f>
        <v>4377.4109022763605</v>
      </c>
      <c r="O37" s="277">
        <f>(S37+T37)*K37</f>
        <v>5372.6212833087548</v>
      </c>
      <c r="P37" s="277">
        <f>(S37+T37)*L37</f>
        <v>20251.289753623991</v>
      </c>
      <c r="Q37" s="273">
        <f t="shared" si="50"/>
        <v>46053</v>
      </c>
      <c r="R37" s="280">
        <v>32388</v>
      </c>
      <c r="S37" s="281">
        <v>0</v>
      </c>
      <c r="T37" s="281">
        <v>31572</v>
      </c>
      <c r="U37" s="281">
        <v>0</v>
      </c>
      <c r="V37" s="282">
        <v>6796</v>
      </c>
      <c r="W37" s="283">
        <v>0.39583333333333331</v>
      </c>
      <c r="X37" s="282">
        <v>2147</v>
      </c>
      <c r="Y37" s="283">
        <v>0.88541666666666663</v>
      </c>
      <c r="Z37" s="282">
        <v>0</v>
      </c>
      <c r="AA37" s="283">
        <v>0</v>
      </c>
      <c r="AB37" s="273">
        <f t="shared" si="51"/>
        <v>46053</v>
      </c>
      <c r="AC37" s="284">
        <f t="shared" ref="AC37" si="111">+AF37/AE37</f>
        <v>1</v>
      </c>
      <c r="AD37" s="285">
        <f t="shared" ref="AD37" si="112">+AG37/AE37</f>
        <v>0</v>
      </c>
      <c r="AE37" s="286">
        <v>3018</v>
      </c>
      <c r="AF37" s="287">
        <f t="shared" ref="AF37" si="113">+AE37-AG37</f>
        <v>3018</v>
      </c>
      <c r="AG37" s="277">
        <v>0</v>
      </c>
      <c r="AH37" s="288">
        <v>1643</v>
      </c>
      <c r="AI37" s="289">
        <v>0.93263888888888891</v>
      </c>
      <c r="AJ37" s="288">
        <v>0</v>
      </c>
      <c r="AK37" s="290">
        <v>0</v>
      </c>
      <c r="AL37" s="273">
        <f t="shared" si="38"/>
        <v>46053</v>
      </c>
      <c r="AM37" s="291">
        <f t="shared" ref="AM37" si="114">+AP37/AO37</f>
        <v>0.41800834824090638</v>
      </c>
      <c r="AN37" s="284">
        <f t="shared" ref="AN37" si="115">+AQ37/AO37</f>
        <v>0.58199165175909362</v>
      </c>
      <c r="AO37" s="292">
        <v>5031</v>
      </c>
      <c r="AP37" s="293">
        <f t="shared" ref="AP37" si="116">AO37-AQ37</f>
        <v>2103</v>
      </c>
      <c r="AQ37" s="294">
        <v>2928</v>
      </c>
      <c r="AR37" s="288">
        <v>1858</v>
      </c>
      <c r="AS37" s="295">
        <v>0.35208333333333336</v>
      </c>
      <c r="AT37" s="288">
        <v>190</v>
      </c>
      <c r="AU37" s="296">
        <v>0.89583333333333337</v>
      </c>
      <c r="AV37" s="273">
        <f t="shared" si="52"/>
        <v>46053</v>
      </c>
      <c r="AW37" s="297">
        <f t="shared" ref="AW37" si="117">BA37/AZ37</f>
        <v>0.45384925433293027</v>
      </c>
      <c r="AX37" s="297">
        <f t="shared" ref="AX37" si="118">BB37/AZ37</f>
        <v>0.54615074566706978</v>
      </c>
      <c r="AY37" s="298">
        <f t="shared" ref="AY37" si="119">BA37+BB37</f>
        <v>4962</v>
      </c>
      <c r="AZ37" s="299">
        <v>4962</v>
      </c>
      <c r="BA37" s="300">
        <f t="shared" ref="BA37" si="120">AZ37-BB37</f>
        <v>2252</v>
      </c>
      <c r="BB37" s="298">
        <v>2710</v>
      </c>
      <c r="BC37" s="299">
        <v>1583</v>
      </c>
      <c r="BD37" s="301">
        <v>0.88541666666666663</v>
      </c>
      <c r="BE37" s="302">
        <v>0</v>
      </c>
      <c r="BF37" s="301">
        <v>0</v>
      </c>
      <c r="BG37" s="302">
        <v>158</v>
      </c>
      <c r="BH37" s="301">
        <v>0.23958333333333334</v>
      </c>
      <c r="BI37" s="273">
        <f t="shared" si="53"/>
        <v>46053</v>
      </c>
      <c r="BJ37" s="303">
        <f t="shared" ref="BJ37" si="121">+BM37/BL37</f>
        <v>0.60640171858216974</v>
      </c>
      <c r="BK37" s="284">
        <f t="shared" ref="BK37" si="122">+BN37/BL37</f>
        <v>0.39359828141783026</v>
      </c>
      <c r="BL37" s="304">
        <f t="shared" ref="BL37" si="123">BM37+BN37</f>
        <v>23275</v>
      </c>
      <c r="BM37" s="277">
        <v>14114</v>
      </c>
      <c r="BN37" s="277">
        <v>9161</v>
      </c>
      <c r="BO37" s="305">
        <v>2561</v>
      </c>
      <c r="BP37" s="289">
        <v>0.37430555555555556</v>
      </c>
      <c r="BQ37" s="306">
        <v>1677</v>
      </c>
      <c r="BR37" s="289">
        <v>0.80972222222222223</v>
      </c>
    </row>
    <row r="38" spans="1:70" x14ac:dyDescent="0.25">
      <c r="R38" s="175" t="e">
        <f>#REF!-S39</f>
        <v>#REF!</v>
      </c>
    </row>
    <row r="39" spans="1:70" x14ac:dyDescent="0.25">
      <c r="S39" s="176">
        <f>R36-T36</f>
        <v>-348</v>
      </c>
      <c r="T39" s="176"/>
      <c r="U39" s="175"/>
    </row>
    <row r="40" spans="1:70" x14ac:dyDescent="0.25">
      <c r="AP40" s="14" t="s">
        <v>72</v>
      </c>
      <c r="AQ40" s="175">
        <f>AVERAGE(AQ8,AQ11:AQ15,AQ18:AQ22,AQ25:AQ29,AQ32:AQ35)</f>
        <v>3919.55</v>
      </c>
    </row>
    <row r="41" spans="1:70" x14ac:dyDescent="0.25">
      <c r="S41" s="176"/>
      <c r="T41" s="175"/>
      <c r="AP41" s="14" t="s">
        <v>73</v>
      </c>
      <c r="AQ41" s="175">
        <f>AVERAGE(AQ9,AQ16,AQ23,AQ30)</f>
        <v>3743.4724999999999</v>
      </c>
    </row>
    <row r="42" spans="1:70" x14ac:dyDescent="0.25">
      <c r="AP42" s="14" t="s">
        <v>74</v>
      </c>
      <c r="AQ42" s="175">
        <f>AVERAGE(AQ7,AQ10,AQ17,AQ24,AQ31)</f>
        <v>3677.5860000000002</v>
      </c>
    </row>
  </sheetData>
  <mergeCells count="32">
    <mergeCell ref="B1:B4"/>
    <mergeCell ref="D1:P2"/>
    <mergeCell ref="R1:AA2"/>
    <mergeCell ref="AC1:AK2"/>
    <mergeCell ref="AM1:AU2"/>
    <mergeCell ref="AO3:AQ3"/>
    <mergeCell ref="H3:H4"/>
    <mergeCell ref="I3:L3"/>
    <mergeCell ref="M3:P3"/>
    <mergeCell ref="R3:U3"/>
    <mergeCell ref="V3:AA3"/>
    <mergeCell ref="AC3:AC4"/>
    <mergeCell ref="AD3:AD4"/>
    <mergeCell ref="AE3:AG3"/>
    <mergeCell ref="AH3:AK3"/>
    <mergeCell ref="AM3:AM4"/>
    <mergeCell ref="BJ1:BR2"/>
    <mergeCell ref="D3:D4"/>
    <mergeCell ref="E3:E4"/>
    <mergeCell ref="F3:F4"/>
    <mergeCell ref="G3:G4"/>
    <mergeCell ref="AN3:AN4"/>
    <mergeCell ref="AR3:AU3"/>
    <mergeCell ref="BJ3:BJ4"/>
    <mergeCell ref="BK3:BK4"/>
    <mergeCell ref="BL3:BN3"/>
    <mergeCell ref="BO3:BR3"/>
    <mergeCell ref="AW1:BH2"/>
    <mergeCell ref="AW3:AW4"/>
    <mergeCell ref="AX3:AX4"/>
    <mergeCell ref="AY3:BB3"/>
    <mergeCell ref="BC3:BH3"/>
  </mergeCells>
  <pageMargins left="0.7" right="0.7" top="0.75" bottom="0.75" header="0.3" footer="0.3"/>
  <pageSetup paperSize="9" scale="88" orientation="portrait" horizontalDpi="4294967295" verticalDpi="4294967295" r:id="rId1"/>
  <rowBreaks count="2" manualBreakCount="2">
    <brk id="5" max="16383" man="1"/>
    <brk id="36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9"/>
  <sheetViews>
    <sheetView topLeftCell="A34" zoomScaleNormal="100" workbookViewId="0">
      <selection activeCell="A45" sqref="A45"/>
    </sheetView>
  </sheetViews>
  <sheetFormatPr baseColWidth="10" defaultRowHeight="15" x14ac:dyDescent="0.25"/>
  <cols>
    <col min="1" max="1" width="2.5703125" customWidth="1"/>
    <col min="3" max="3" width="1.7109375" style="13" customWidth="1"/>
    <col min="8" max="8" width="12.5703125" customWidth="1"/>
    <col min="9" max="9" width="9.7109375" customWidth="1"/>
    <col min="13" max="13" width="9.28515625" customWidth="1"/>
    <col min="16" max="16" width="11.85546875" bestFit="1" customWidth="1"/>
    <col min="20" max="20" width="10.7109375" customWidth="1"/>
    <col min="21" max="21" width="11" customWidth="1"/>
    <col min="27" max="27" width="21.7109375" customWidth="1"/>
  </cols>
  <sheetData>
    <row r="1" spans="2:27" ht="19.5" thickBot="1" x14ac:dyDescent="0.3">
      <c r="C1" s="15"/>
    </row>
    <row r="2" spans="2:27" ht="15" customHeight="1" x14ac:dyDescent="0.25">
      <c r="B2" s="221" t="s">
        <v>0</v>
      </c>
      <c r="D2" s="224" t="s">
        <v>37</v>
      </c>
      <c r="E2" s="225"/>
      <c r="F2" s="225"/>
      <c r="G2" s="225"/>
      <c r="H2" s="226"/>
      <c r="J2" s="224" t="s">
        <v>38</v>
      </c>
      <c r="K2" s="225"/>
      <c r="L2" s="226"/>
      <c r="N2" s="224" t="s">
        <v>39</v>
      </c>
      <c r="O2" s="225"/>
      <c r="P2" s="225"/>
      <c r="Q2" s="225"/>
      <c r="R2" s="225"/>
      <c r="S2" s="225"/>
      <c r="T2" s="226"/>
      <c r="V2" s="230" t="s">
        <v>40</v>
      </c>
      <c r="W2" s="231"/>
      <c r="X2" s="232"/>
    </row>
    <row r="3" spans="2:27" ht="15.75" thickBot="1" x14ac:dyDescent="0.3">
      <c r="B3" s="222"/>
      <c r="D3" s="227"/>
      <c r="E3" s="228"/>
      <c r="F3" s="228"/>
      <c r="G3" s="228"/>
      <c r="H3" s="229"/>
      <c r="J3" s="227"/>
      <c r="K3" s="228"/>
      <c r="L3" s="229"/>
      <c r="N3" s="227"/>
      <c r="O3" s="228"/>
      <c r="P3" s="228"/>
      <c r="Q3" s="228"/>
      <c r="R3" s="228"/>
      <c r="S3" s="228"/>
      <c r="T3" s="229"/>
      <c r="V3" s="233"/>
      <c r="W3" s="234"/>
      <c r="X3" s="235"/>
    </row>
    <row r="4" spans="2:27" ht="23.25" customHeight="1" x14ac:dyDescent="0.25">
      <c r="B4" s="222"/>
      <c r="D4" s="236" t="s">
        <v>41</v>
      </c>
      <c r="E4" s="237"/>
      <c r="F4" s="236" t="s">
        <v>42</v>
      </c>
      <c r="G4" s="238"/>
      <c r="H4" s="239"/>
      <c r="J4" s="236" t="s">
        <v>41</v>
      </c>
      <c r="K4" s="237"/>
      <c r="L4" s="16" t="s">
        <v>42</v>
      </c>
      <c r="N4" s="219" t="s">
        <v>41</v>
      </c>
      <c r="O4" s="240"/>
      <c r="P4" s="241"/>
      <c r="Q4" s="242"/>
      <c r="R4" s="236" t="s">
        <v>42</v>
      </c>
      <c r="S4" s="243"/>
      <c r="T4" s="239"/>
      <c r="V4" s="219" t="s">
        <v>41</v>
      </c>
      <c r="W4" s="220"/>
      <c r="X4" s="16" t="s">
        <v>42</v>
      </c>
    </row>
    <row r="5" spans="2:27" ht="23.25" thickBot="1" x14ac:dyDescent="0.3">
      <c r="B5" s="223"/>
      <c r="D5" s="17" t="s">
        <v>43</v>
      </c>
      <c r="E5" s="18" t="s">
        <v>44</v>
      </c>
      <c r="F5" s="17" t="s">
        <v>45</v>
      </c>
      <c r="G5" s="19" t="s">
        <v>46</v>
      </c>
      <c r="H5" s="20" t="s">
        <v>47</v>
      </c>
      <c r="J5" s="17" t="s">
        <v>48</v>
      </c>
      <c r="K5" s="18" t="s">
        <v>44</v>
      </c>
      <c r="L5" s="21" t="s">
        <v>38</v>
      </c>
      <c r="N5" s="17" t="s">
        <v>49</v>
      </c>
      <c r="O5" s="18" t="s">
        <v>44</v>
      </c>
      <c r="P5" s="17" t="s">
        <v>50</v>
      </c>
      <c r="Q5" s="18" t="s">
        <v>44</v>
      </c>
      <c r="R5" s="22" t="s">
        <v>51</v>
      </c>
      <c r="S5" s="23" t="s">
        <v>49</v>
      </c>
      <c r="T5" s="24" t="s">
        <v>50</v>
      </c>
      <c r="V5" s="17" t="s">
        <v>52</v>
      </c>
      <c r="W5" s="18" t="s">
        <v>44</v>
      </c>
      <c r="X5" s="21" t="s">
        <v>40</v>
      </c>
    </row>
    <row r="6" spans="2:27" ht="15.75" thickBot="1" x14ac:dyDescent="0.3">
      <c r="B6" s="3"/>
      <c r="D6" s="25"/>
      <c r="E6" s="6"/>
      <c r="F6" s="4"/>
      <c r="G6" s="7"/>
      <c r="H6" s="26"/>
      <c r="J6" s="25"/>
      <c r="K6" s="6"/>
      <c r="L6" s="27"/>
      <c r="N6" s="25"/>
      <c r="O6" s="6"/>
      <c r="P6" s="25"/>
      <c r="Q6" s="28"/>
      <c r="R6" s="29"/>
      <c r="S6" s="5"/>
      <c r="T6" s="26"/>
      <c r="V6" s="25"/>
      <c r="W6" s="6"/>
      <c r="X6" s="27"/>
      <c r="Z6" s="30"/>
      <c r="AA6" s="31" t="s">
        <v>53</v>
      </c>
    </row>
    <row r="7" spans="2:27" ht="15.75" thickBot="1" x14ac:dyDescent="0.3">
      <c r="B7" s="8"/>
      <c r="D7" s="32"/>
      <c r="E7" s="12"/>
      <c r="F7" s="33"/>
      <c r="G7" s="9"/>
      <c r="H7" s="34"/>
      <c r="J7" s="32"/>
      <c r="K7" s="12"/>
      <c r="L7" s="35"/>
      <c r="N7" s="32"/>
      <c r="O7" s="12"/>
      <c r="P7" s="32"/>
      <c r="Q7" s="28"/>
      <c r="R7" s="29"/>
      <c r="S7" s="10"/>
      <c r="T7" s="34"/>
      <c r="V7" s="32"/>
      <c r="W7" s="12"/>
      <c r="X7" s="35"/>
      <c r="Z7" s="36"/>
      <c r="AA7" s="37"/>
    </row>
    <row r="8" spans="2:27" ht="15.75" thickBot="1" x14ac:dyDescent="0.3">
      <c r="B8" s="8"/>
      <c r="D8" s="32"/>
      <c r="E8" s="12"/>
      <c r="F8" s="33"/>
      <c r="G8" s="9"/>
      <c r="H8" s="34"/>
      <c r="J8" s="32"/>
      <c r="K8" s="12"/>
      <c r="L8" s="35"/>
      <c r="N8" s="32"/>
      <c r="O8" s="12"/>
      <c r="P8" s="32"/>
      <c r="Q8" s="28"/>
      <c r="R8" s="29"/>
      <c r="S8" s="10"/>
      <c r="T8" s="34"/>
      <c r="V8" s="32"/>
      <c r="W8" s="12"/>
      <c r="X8" s="35"/>
      <c r="Z8" s="57"/>
      <c r="AA8" s="38" t="s">
        <v>54</v>
      </c>
    </row>
    <row r="9" spans="2:27" ht="15.75" thickBot="1" x14ac:dyDescent="0.3">
      <c r="B9" s="8"/>
      <c r="D9" s="32"/>
      <c r="E9" s="12"/>
      <c r="F9" s="33"/>
      <c r="G9" s="9"/>
      <c r="H9" s="34"/>
      <c r="J9" s="32"/>
      <c r="K9" s="12"/>
      <c r="L9" s="35"/>
      <c r="N9" s="32"/>
      <c r="O9" s="12"/>
      <c r="P9" s="32"/>
      <c r="Q9" s="28"/>
      <c r="R9" s="29"/>
      <c r="S9" s="10"/>
      <c r="T9" s="34"/>
      <c r="V9" s="32"/>
      <c r="W9" s="12"/>
      <c r="X9" s="35"/>
    </row>
    <row r="10" spans="2:27" ht="15.75" thickBot="1" x14ac:dyDescent="0.3">
      <c r="B10" s="8"/>
      <c r="D10" s="32"/>
      <c r="E10" s="12"/>
      <c r="F10" s="33"/>
      <c r="G10" s="9"/>
      <c r="H10" s="34"/>
      <c r="J10" s="32"/>
      <c r="K10" s="12"/>
      <c r="L10" s="35"/>
      <c r="N10" s="32"/>
      <c r="O10" s="12"/>
      <c r="P10" s="32"/>
      <c r="Q10" s="28"/>
      <c r="R10" s="29"/>
      <c r="S10" s="10"/>
      <c r="T10" s="34"/>
      <c r="V10" s="32"/>
      <c r="W10" s="12"/>
      <c r="X10" s="35"/>
    </row>
    <row r="11" spans="2:27" ht="15.75" thickBot="1" x14ac:dyDescent="0.3">
      <c r="B11" s="8"/>
      <c r="D11" s="32"/>
      <c r="E11" s="12"/>
      <c r="F11" s="33"/>
      <c r="G11" s="9"/>
      <c r="H11" s="34"/>
      <c r="J11" s="32"/>
      <c r="K11" s="12"/>
      <c r="L11" s="35"/>
      <c r="N11" s="32"/>
      <c r="O11" s="12"/>
      <c r="P11" s="32"/>
      <c r="Q11" s="28"/>
      <c r="R11" s="29"/>
      <c r="S11" s="10"/>
      <c r="T11" s="34"/>
      <c r="V11" s="32"/>
      <c r="W11" s="12"/>
      <c r="X11" s="35"/>
    </row>
    <row r="12" spans="2:27" ht="15.75" thickBot="1" x14ac:dyDescent="0.3">
      <c r="B12" s="8"/>
      <c r="D12" s="39"/>
      <c r="E12" s="40"/>
      <c r="F12" s="39"/>
      <c r="G12" s="9"/>
      <c r="H12" s="41"/>
      <c r="J12" s="39"/>
      <c r="K12" s="40"/>
      <c r="L12" s="42"/>
      <c r="N12" s="39"/>
      <c r="O12" s="40"/>
      <c r="P12" s="39"/>
      <c r="Q12" s="28"/>
      <c r="R12" s="29"/>
      <c r="S12" s="43"/>
      <c r="T12" s="41"/>
      <c r="V12" s="39"/>
      <c r="W12" s="40"/>
      <c r="X12" s="42"/>
    </row>
    <row r="13" spans="2:27" ht="15.75" thickBot="1" x14ac:dyDescent="0.3">
      <c r="B13" s="8"/>
      <c r="D13" s="39"/>
      <c r="E13" s="44"/>
      <c r="F13" s="45"/>
      <c r="G13" s="9"/>
      <c r="H13" s="46"/>
      <c r="J13" s="39"/>
      <c r="K13" s="44"/>
      <c r="L13" s="47"/>
      <c r="N13" s="39"/>
      <c r="O13" s="44"/>
      <c r="P13" s="39"/>
      <c r="Q13" s="48"/>
      <c r="R13" s="29"/>
      <c r="S13" s="49"/>
      <c r="T13" s="46"/>
      <c r="V13" s="39"/>
      <c r="W13" s="44"/>
      <c r="X13" s="47"/>
    </row>
    <row r="14" spans="2:27" s="52" customFormat="1" ht="15.75" thickBot="1" x14ac:dyDescent="0.3">
      <c r="B14" s="90">
        <v>46022</v>
      </c>
      <c r="C14" s="13"/>
      <c r="D14" s="171">
        <v>62.42</v>
      </c>
      <c r="E14" s="172">
        <v>0.33333333333333331</v>
      </c>
      <c r="F14" s="173">
        <v>890.13</v>
      </c>
      <c r="G14" s="93">
        <f t="shared" ref="G14" si="0">F14-H14</f>
        <v>348.1</v>
      </c>
      <c r="H14" s="173">
        <v>542.03</v>
      </c>
      <c r="I14" s="90">
        <v>46022</v>
      </c>
      <c r="J14" s="171">
        <v>31.2</v>
      </c>
      <c r="K14" s="172">
        <v>0.54166666666666663</v>
      </c>
      <c r="L14" s="173">
        <v>603.26</v>
      </c>
      <c r="M14" s="90">
        <f t="shared" ref="M14" si="1">B14</f>
        <v>46022</v>
      </c>
      <c r="N14" s="171">
        <v>21.4</v>
      </c>
      <c r="O14" s="172">
        <v>0.79166666666666663</v>
      </c>
      <c r="P14" s="171">
        <v>12.2</v>
      </c>
      <c r="Q14" s="172">
        <v>0.46875</v>
      </c>
      <c r="R14" s="92">
        <f t="shared" ref="R14" si="2">S14+T14</f>
        <v>551.54999999999995</v>
      </c>
      <c r="S14" s="173">
        <v>336.91</v>
      </c>
      <c r="T14" s="173">
        <v>214.64</v>
      </c>
      <c r="U14" s="90">
        <v>46022</v>
      </c>
      <c r="V14" s="171">
        <v>25.86</v>
      </c>
      <c r="W14" s="172">
        <v>0.40625</v>
      </c>
      <c r="X14" s="173">
        <v>516.63</v>
      </c>
    </row>
    <row r="15" spans="2:27" s="52" customFormat="1" ht="15.75" thickBot="1" x14ac:dyDescent="0.3">
      <c r="B15" s="55">
        <f t="shared" ref="B15:B16" si="3">B14+1</f>
        <v>46023</v>
      </c>
      <c r="C15" s="13"/>
      <c r="D15" s="171">
        <v>45.03</v>
      </c>
      <c r="E15" s="172">
        <v>0.91666666666666663</v>
      </c>
      <c r="F15" s="173">
        <v>809.09</v>
      </c>
      <c r="G15" s="93">
        <f t="shared" ref="G15:G44" si="4">F15-H15</f>
        <v>300.10000000000002</v>
      </c>
      <c r="H15" s="173">
        <v>508.99</v>
      </c>
      <c r="I15" s="90">
        <f t="shared" ref="I15:I45" si="5">I14+1</f>
        <v>46023</v>
      </c>
      <c r="J15" s="171">
        <v>29.48</v>
      </c>
      <c r="K15" s="172">
        <v>0.21875</v>
      </c>
      <c r="L15" s="173">
        <v>598.22</v>
      </c>
      <c r="M15" s="90">
        <f t="shared" ref="M15:M44" si="6">B15</f>
        <v>46023</v>
      </c>
      <c r="N15" s="171">
        <v>19.05</v>
      </c>
      <c r="O15" s="172">
        <v>0.72916666666666663</v>
      </c>
      <c r="P15" s="171">
        <v>9.3000000000000007</v>
      </c>
      <c r="Q15" s="172">
        <v>0.52083333333333337</v>
      </c>
      <c r="R15" s="92">
        <f t="shared" ref="R15:R25" si="7">S15+T15</f>
        <v>512.04</v>
      </c>
      <c r="S15" s="173">
        <v>326.99</v>
      </c>
      <c r="T15" s="173">
        <v>185.05</v>
      </c>
      <c r="U15" s="90">
        <f t="shared" ref="U15:U45" si="8">U14+1</f>
        <v>46023</v>
      </c>
      <c r="V15" s="171">
        <v>24.27</v>
      </c>
      <c r="W15" s="172">
        <v>0.39583333333333331</v>
      </c>
      <c r="X15" s="173">
        <v>500.91</v>
      </c>
    </row>
    <row r="16" spans="2:27" s="52" customFormat="1" ht="15.75" thickBot="1" x14ac:dyDescent="0.3">
      <c r="B16" s="55">
        <f t="shared" si="3"/>
        <v>46024</v>
      </c>
      <c r="C16" s="13"/>
      <c r="D16" s="50">
        <v>73</v>
      </c>
      <c r="E16" s="11">
        <v>0.6875</v>
      </c>
      <c r="F16" s="10">
        <v>1030</v>
      </c>
      <c r="G16" s="93">
        <f t="shared" si="4"/>
        <v>488</v>
      </c>
      <c r="H16" s="10">
        <v>542</v>
      </c>
      <c r="I16" s="90">
        <f t="shared" si="5"/>
        <v>46024</v>
      </c>
      <c r="J16" s="50">
        <v>33</v>
      </c>
      <c r="K16" s="54">
        <v>0.38541666666666669</v>
      </c>
      <c r="L16" s="53">
        <v>601</v>
      </c>
      <c r="M16" s="90">
        <f t="shared" si="6"/>
        <v>46024</v>
      </c>
      <c r="N16" s="50">
        <v>30</v>
      </c>
      <c r="O16" s="11">
        <v>0.42708333333333331</v>
      </c>
      <c r="P16" s="50">
        <v>14</v>
      </c>
      <c r="Q16" s="11">
        <v>0.89861111111111114</v>
      </c>
      <c r="R16" s="92">
        <f t="shared" si="7"/>
        <v>562</v>
      </c>
      <c r="S16" s="10">
        <v>339</v>
      </c>
      <c r="T16" s="10">
        <v>223</v>
      </c>
      <c r="U16" s="90">
        <f t="shared" si="8"/>
        <v>46024</v>
      </c>
      <c r="V16" s="50">
        <v>25</v>
      </c>
      <c r="W16" s="11">
        <v>0.26041666666666669</v>
      </c>
      <c r="X16" s="10">
        <v>519</v>
      </c>
    </row>
    <row r="17" spans="2:24" ht="15.75" thickBot="1" x14ac:dyDescent="0.3">
      <c r="B17" s="55">
        <f t="shared" ref="B17:B45" si="9">B16+1</f>
        <v>46025</v>
      </c>
      <c r="D17" s="50">
        <v>87</v>
      </c>
      <c r="E17" s="54">
        <v>0.26041666666666669</v>
      </c>
      <c r="F17" s="53">
        <v>895</v>
      </c>
      <c r="G17" s="93">
        <f t="shared" si="4"/>
        <v>378</v>
      </c>
      <c r="H17" s="53">
        <v>517</v>
      </c>
      <c r="I17" s="90">
        <f t="shared" si="5"/>
        <v>46025</v>
      </c>
      <c r="J17" s="50">
        <v>30</v>
      </c>
      <c r="K17" s="54">
        <v>0.86458333333333337</v>
      </c>
      <c r="L17" s="53">
        <v>599</v>
      </c>
      <c r="M17" s="90">
        <f t="shared" si="6"/>
        <v>46025</v>
      </c>
      <c r="N17" s="50">
        <v>19</v>
      </c>
      <c r="O17" s="54">
        <v>0.82291666666666663</v>
      </c>
      <c r="P17" s="50">
        <v>12</v>
      </c>
      <c r="Q17" s="54">
        <v>0.34375</v>
      </c>
      <c r="R17" s="92">
        <f t="shared" si="7"/>
        <v>526</v>
      </c>
      <c r="S17" s="53">
        <v>328</v>
      </c>
      <c r="T17" s="53">
        <v>198</v>
      </c>
      <c r="U17" s="90">
        <f t="shared" si="8"/>
        <v>46025</v>
      </c>
      <c r="V17" s="50">
        <v>25</v>
      </c>
      <c r="W17" s="54">
        <v>0.5</v>
      </c>
      <c r="X17" s="53">
        <v>477</v>
      </c>
    </row>
    <row r="18" spans="2:24" ht="15.75" thickBot="1" x14ac:dyDescent="0.3">
      <c r="B18" s="55">
        <f t="shared" si="9"/>
        <v>46026</v>
      </c>
      <c r="D18" s="50">
        <v>59</v>
      </c>
      <c r="E18" s="54">
        <v>0.11458333333333333</v>
      </c>
      <c r="F18" s="53">
        <v>834</v>
      </c>
      <c r="G18" s="93">
        <f t="shared" si="4"/>
        <v>335</v>
      </c>
      <c r="H18" s="53">
        <v>499</v>
      </c>
      <c r="I18" s="90">
        <f t="shared" si="5"/>
        <v>46026</v>
      </c>
      <c r="J18" s="50">
        <v>31</v>
      </c>
      <c r="K18" s="54">
        <v>0.90625</v>
      </c>
      <c r="L18" s="53">
        <v>597</v>
      </c>
      <c r="M18" s="90">
        <f t="shared" si="6"/>
        <v>46026</v>
      </c>
      <c r="N18" s="50">
        <v>27</v>
      </c>
      <c r="O18" s="54">
        <v>0.6875</v>
      </c>
      <c r="P18" s="50">
        <v>9</v>
      </c>
      <c r="Q18" s="54">
        <v>0.83333333333333337</v>
      </c>
      <c r="R18" s="51">
        <f t="shared" si="7"/>
        <v>505</v>
      </c>
      <c r="S18" s="53">
        <v>326</v>
      </c>
      <c r="T18" s="53">
        <v>179</v>
      </c>
      <c r="U18" s="90">
        <f t="shared" si="8"/>
        <v>46026</v>
      </c>
      <c r="V18" s="50">
        <v>25</v>
      </c>
      <c r="W18" s="54">
        <v>0.83333333333333337</v>
      </c>
      <c r="X18" s="53">
        <v>505</v>
      </c>
    </row>
    <row r="19" spans="2:24" ht="15.75" thickBot="1" x14ac:dyDescent="0.3">
      <c r="B19" s="90">
        <f t="shared" si="9"/>
        <v>46027</v>
      </c>
      <c r="D19" s="91">
        <v>108</v>
      </c>
      <c r="E19" s="89">
        <v>0.69791666666666663</v>
      </c>
      <c r="F19" s="88">
        <v>1181</v>
      </c>
      <c r="G19" s="93">
        <f t="shared" si="4"/>
        <v>657</v>
      </c>
      <c r="H19" s="88">
        <v>524</v>
      </c>
      <c r="I19" s="90">
        <f t="shared" si="5"/>
        <v>46027</v>
      </c>
      <c r="J19" s="91">
        <v>33</v>
      </c>
      <c r="K19" s="89">
        <v>0.63541666666666663</v>
      </c>
      <c r="L19" s="88">
        <v>625</v>
      </c>
      <c r="M19" s="90">
        <f t="shared" si="6"/>
        <v>46027</v>
      </c>
      <c r="N19" s="91">
        <v>19</v>
      </c>
      <c r="O19" s="89">
        <v>0.90625</v>
      </c>
      <c r="P19" s="91">
        <v>13</v>
      </c>
      <c r="Q19" s="89">
        <v>0.40625</v>
      </c>
      <c r="R19" s="92">
        <f t="shared" si="7"/>
        <v>567</v>
      </c>
      <c r="S19" s="88">
        <v>341</v>
      </c>
      <c r="T19" s="88">
        <v>226</v>
      </c>
      <c r="U19" s="90">
        <f t="shared" si="8"/>
        <v>46027</v>
      </c>
      <c r="V19" s="91">
        <v>26</v>
      </c>
      <c r="W19" s="89" t="s">
        <v>71</v>
      </c>
      <c r="X19" s="88">
        <v>477</v>
      </c>
    </row>
    <row r="20" spans="2:24" ht="15.75" thickBot="1" x14ac:dyDescent="0.3">
      <c r="B20" s="90">
        <f t="shared" si="9"/>
        <v>46028</v>
      </c>
      <c r="D20" s="171">
        <v>105</v>
      </c>
      <c r="E20" s="172">
        <v>0.53125</v>
      </c>
      <c r="F20" s="173">
        <v>1369</v>
      </c>
      <c r="G20" s="93">
        <f t="shared" si="4"/>
        <v>817</v>
      </c>
      <c r="H20" s="173">
        <v>552</v>
      </c>
      <c r="I20" s="90">
        <f t="shared" si="5"/>
        <v>46028</v>
      </c>
      <c r="J20" s="171">
        <v>32</v>
      </c>
      <c r="K20" s="172">
        <v>0.70833333333333337</v>
      </c>
      <c r="L20" s="173">
        <v>637</v>
      </c>
      <c r="M20" s="90">
        <f t="shared" si="6"/>
        <v>46028</v>
      </c>
      <c r="N20" s="171">
        <v>23</v>
      </c>
      <c r="O20" s="172">
        <v>0.38541666666666669</v>
      </c>
      <c r="P20" s="171">
        <v>13</v>
      </c>
      <c r="Q20" s="172">
        <v>0.42708333333333331</v>
      </c>
      <c r="R20" s="92">
        <f t="shared" si="7"/>
        <v>577</v>
      </c>
      <c r="S20" s="173">
        <v>341</v>
      </c>
      <c r="T20" s="173">
        <v>236</v>
      </c>
      <c r="U20" s="174">
        <f t="shared" si="8"/>
        <v>46028</v>
      </c>
      <c r="V20" s="171">
        <v>27</v>
      </c>
      <c r="W20" s="172">
        <v>0.95833333333333337</v>
      </c>
      <c r="X20" s="173">
        <v>529</v>
      </c>
    </row>
    <row r="21" spans="2:24" ht="15.75" thickBot="1" x14ac:dyDescent="0.3">
      <c r="B21" s="90">
        <f t="shared" si="9"/>
        <v>46029</v>
      </c>
      <c r="D21" s="171">
        <v>112</v>
      </c>
      <c r="E21" s="172">
        <v>0.53125</v>
      </c>
      <c r="F21" s="88">
        <v>1355</v>
      </c>
      <c r="G21" s="93">
        <f t="shared" si="4"/>
        <v>796</v>
      </c>
      <c r="H21" s="88">
        <v>559</v>
      </c>
      <c r="I21" s="90">
        <f t="shared" si="5"/>
        <v>46029</v>
      </c>
      <c r="J21" s="91">
        <v>33</v>
      </c>
      <c r="K21" s="89">
        <v>0.59375</v>
      </c>
      <c r="L21" s="88">
        <v>639</v>
      </c>
      <c r="M21" s="90">
        <f t="shared" si="6"/>
        <v>46029</v>
      </c>
      <c r="N21" s="91">
        <v>23</v>
      </c>
      <c r="O21" s="89">
        <v>0.61458333333333337</v>
      </c>
      <c r="P21" s="91">
        <v>15</v>
      </c>
      <c r="Q21" s="89">
        <v>0.69791666666666663</v>
      </c>
      <c r="R21" s="92">
        <f t="shared" si="7"/>
        <v>576</v>
      </c>
      <c r="S21" s="88">
        <v>337</v>
      </c>
      <c r="T21" s="88">
        <v>239</v>
      </c>
      <c r="U21" s="90">
        <f t="shared" si="8"/>
        <v>46029</v>
      </c>
      <c r="V21" s="91">
        <v>26</v>
      </c>
      <c r="W21" s="89">
        <v>0.8125</v>
      </c>
      <c r="X21" s="88">
        <v>532</v>
      </c>
    </row>
    <row r="22" spans="2:24" ht="15.75" thickBot="1" x14ac:dyDescent="0.3">
      <c r="B22" s="90">
        <f t="shared" si="9"/>
        <v>46030</v>
      </c>
      <c r="D22" s="171">
        <v>93</v>
      </c>
      <c r="E22" s="89">
        <v>0.55208333333333337</v>
      </c>
      <c r="F22" s="88">
        <v>1242</v>
      </c>
      <c r="G22" s="93">
        <f t="shared" si="4"/>
        <v>682</v>
      </c>
      <c r="H22" s="88">
        <v>560</v>
      </c>
      <c r="I22" s="90">
        <f t="shared" si="5"/>
        <v>46030</v>
      </c>
      <c r="J22" s="91">
        <v>33</v>
      </c>
      <c r="K22" s="89">
        <v>0.32291666666666669</v>
      </c>
      <c r="L22" s="88">
        <v>629</v>
      </c>
      <c r="M22" s="90">
        <f t="shared" si="6"/>
        <v>46030</v>
      </c>
      <c r="N22" s="91">
        <v>21</v>
      </c>
      <c r="O22" s="89">
        <v>0.48958333333333331</v>
      </c>
      <c r="P22" s="91">
        <v>14</v>
      </c>
      <c r="Q22" s="89">
        <v>2000</v>
      </c>
      <c r="R22" s="92">
        <f t="shared" si="7"/>
        <v>576</v>
      </c>
      <c r="S22" s="88">
        <v>338</v>
      </c>
      <c r="T22" s="88">
        <v>238</v>
      </c>
      <c r="U22" s="90">
        <f t="shared" si="8"/>
        <v>46030</v>
      </c>
      <c r="V22" s="91">
        <v>27</v>
      </c>
      <c r="W22" s="89">
        <v>0.23958333333333334</v>
      </c>
      <c r="X22" s="88">
        <v>531</v>
      </c>
    </row>
    <row r="23" spans="2:24" ht="15.75" thickBot="1" x14ac:dyDescent="0.3">
      <c r="B23" s="90">
        <f t="shared" si="9"/>
        <v>46031</v>
      </c>
      <c r="D23" s="171">
        <v>115</v>
      </c>
      <c r="E23" s="89">
        <v>0.52083333333333337</v>
      </c>
      <c r="F23" s="88">
        <v>1428</v>
      </c>
      <c r="G23" s="93">
        <f t="shared" si="4"/>
        <v>861</v>
      </c>
      <c r="H23" s="88">
        <v>567</v>
      </c>
      <c r="I23" s="90">
        <f t="shared" si="5"/>
        <v>46031</v>
      </c>
      <c r="J23" s="91">
        <v>32</v>
      </c>
      <c r="K23" s="89">
        <v>0.61458333333333337</v>
      </c>
      <c r="L23" s="88">
        <v>633</v>
      </c>
      <c r="M23" s="90">
        <f t="shared" si="6"/>
        <v>46031</v>
      </c>
      <c r="N23" s="91">
        <v>22</v>
      </c>
      <c r="O23" s="89">
        <v>0.65625</v>
      </c>
      <c r="P23" s="91">
        <v>14</v>
      </c>
      <c r="Q23" s="89">
        <v>0.625</v>
      </c>
      <c r="R23" s="92">
        <f t="shared" si="7"/>
        <v>586</v>
      </c>
      <c r="S23" s="88">
        <v>343</v>
      </c>
      <c r="T23" s="88">
        <v>243</v>
      </c>
      <c r="U23" s="90">
        <f t="shared" si="8"/>
        <v>46031</v>
      </c>
      <c r="V23" s="91">
        <v>26</v>
      </c>
      <c r="W23" s="89">
        <v>0.83333333333333337</v>
      </c>
      <c r="X23" s="88">
        <v>485</v>
      </c>
    </row>
    <row r="24" spans="2:24" ht="15.75" thickBot="1" x14ac:dyDescent="0.3">
      <c r="B24" s="90">
        <f t="shared" si="9"/>
        <v>46032</v>
      </c>
      <c r="D24" s="171">
        <v>71</v>
      </c>
      <c r="E24" s="89">
        <v>0.375</v>
      </c>
      <c r="F24" s="88">
        <v>963</v>
      </c>
      <c r="G24" s="93">
        <f t="shared" si="4"/>
        <v>442</v>
      </c>
      <c r="H24" s="88">
        <v>521</v>
      </c>
      <c r="I24" s="90">
        <f t="shared" si="5"/>
        <v>46032</v>
      </c>
      <c r="J24" s="91">
        <v>33</v>
      </c>
      <c r="K24" s="89">
        <v>0.67708333333333337</v>
      </c>
      <c r="L24" s="88">
        <v>606</v>
      </c>
      <c r="M24" s="90">
        <f t="shared" si="6"/>
        <v>46032</v>
      </c>
      <c r="N24" s="91">
        <v>22</v>
      </c>
      <c r="O24" s="89">
        <v>0.52083333333333337</v>
      </c>
      <c r="P24" s="91">
        <v>13</v>
      </c>
      <c r="Q24" s="89">
        <v>0.30208333333333331</v>
      </c>
      <c r="R24" s="92">
        <f t="shared" si="7"/>
        <v>554</v>
      </c>
      <c r="S24" s="88">
        <v>334</v>
      </c>
      <c r="T24" s="88">
        <v>220</v>
      </c>
      <c r="U24" s="90">
        <f t="shared" si="8"/>
        <v>46032</v>
      </c>
      <c r="V24" s="91">
        <v>25</v>
      </c>
      <c r="W24" s="89">
        <v>0.89583333333333337</v>
      </c>
      <c r="X24" s="88">
        <v>473</v>
      </c>
    </row>
    <row r="25" spans="2:24" ht="15.75" thickBot="1" x14ac:dyDescent="0.3">
      <c r="B25" s="90">
        <f t="shared" si="9"/>
        <v>46033</v>
      </c>
      <c r="D25" s="171">
        <v>58</v>
      </c>
      <c r="E25" s="89">
        <v>9.375E-2</v>
      </c>
      <c r="F25" s="88">
        <v>914</v>
      </c>
      <c r="G25" s="93">
        <f t="shared" si="4"/>
        <v>391</v>
      </c>
      <c r="H25" s="88">
        <v>523</v>
      </c>
      <c r="I25" s="90">
        <f t="shared" si="5"/>
        <v>46033</v>
      </c>
      <c r="J25" s="91">
        <v>32</v>
      </c>
      <c r="K25" s="89">
        <v>4.1666666666666664E-2</v>
      </c>
      <c r="L25" s="88">
        <v>604</v>
      </c>
      <c r="M25" s="90">
        <f t="shared" si="6"/>
        <v>46033</v>
      </c>
      <c r="N25" s="91">
        <v>23</v>
      </c>
      <c r="O25" s="89">
        <v>0.76041666666666663</v>
      </c>
      <c r="P25" s="91">
        <v>10</v>
      </c>
      <c r="Q25" s="89">
        <v>0.64583333333333337</v>
      </c>
      <c r="R25" s="92">
        <f t="shared" si="7"/>
        <v>522</v>
      </c>
      <c r="S25" s="88">
        <v>329</v>
      </c>
      <c r="T25" s="88">
        <v>193</v>
      </c>
      <c r="U25" s="90">
        <f t="shared" si="8"/>
        <v>46033</v>
      </c>
      <c r="V25" s="91">
        <v>24</v>
      </c>
      <c r="W25" s="89">
        <v>0.3125</v>
      </c>
      <c r="X25" s="88">
        <v>501</v>
      </c>
    </row>
    <row r="26" spans="2:24" ht="15.75" thickBot="1" x14ac:dyDescent="0.3">
      <c r="B26" s="90">
        <f t="shared" si="9"/>
        <v>46034</v>
      </c>
      <c r="D26" s="171">
        <v>104.68</v>
      </c>
      <c r="E26" s="89">
        <v>0.54166666666666663</v>
      </c>
      <c r="F26" s="88">
        <v>1291.5</v>
      </c>
      <c r="G26" s="93">
        <f t="shared" si="4"/>
        <v>757.73</v>
      </c>
      <c r="H26" s="88">
        <v>533.77</v>
      </c>
      <c r="I26" s="90">
        <f t="shared" si="5"/>
        <v>46034</v>
      </c>
      <c r="J26" s="91">
        <v>33.049999999999997</v>
      </c>
      <c r="K26" s="89">
        <v>0.52083333333333337</v>
      </c>
      <c r="L26" s="88">
        <v>636.88</v>
      </c>
      <c r="M26" s="90">
        <f t="shared" si="6"/>
        <v>46034</v>
      </c>
      <c r="N26" s="91">
        <v>21.48</v>
      </c>
      <c r="O26" s="89">
        <v>0.46875</v>
      </c>
      <c r="P26" s="91">
        <v>13.95</v>
      </c>
      <c r="Q26" s="89">
        <v>0.72916666666666663</v>
      </c>
      <c r="R26" s="92">
        <f t="shared" ref="R26:R44" si="10">S26+T26</f>
        <v>585.02</v>
      </c>
      <c r="S26" s="88">
        <v>347.98</v>
      </c>
      <c r="T26" s="88">
        <v>237.04</v>
      </c>
      <c r="U26" s="90">
        <f t="shared" si="8"/>
        <v>46034</v>
      </c>
      <c r="V26" s="91">
        <v>26.9</v>
      </c>
      <c r="W26" s="89">
        <v>0.86458333333333337</v>
      </c>
      <c r="X26" s="88">
        <v>516.01</v>
      </c>
    </row>
    <row r="27" spans="2:24" ht="15.75" thickBot="1" x14ac:dyDescent="0.3">
      <c r="B27" s="90">
        <f t="shared" si="9"/>
        <v>46035</v>
      </c>
      <c r="D27" s="171">
        <v>95.38</v>
      </c>
      <c r="E27" s="89">
        <v>0.55208333333333337</v>
      </c>
      <c r="F27" s="88">
        <v>1369.19</v>
      </c>
      <c r="G27" s="93">
        <f t="shared" si="4"/>
        <v>818.83</v>
      </c>
      <c r="H27" s="88">
        <v>550.36</v>
      </c>
      <c r="I27" s="90">
        <f t="shared" si="5"/>
        <v>46035</v>
      </c>
      <c r="J27" s="91">
        <v>37</v>
      </c>
      <c r="K27" s="89">
        <v>0.5625</v>
      </c>
      <c r="L27" s="88">
        <v>666.93</v>
      </c>
      <c r="M27" s="90">
        <f t="shared" si="6"/>
        <v>46035</v>
      </c>
      <c r="N27" s="91">
        <v>21.73</v>
      </c>
      <c r="O27" s="89">
        <v>0.69791666666666663</v>
      </c>
      <c r="P27" s="91">
        <v>13.64</v>
      </c>
      <c r="Q27" s="89">
        <v>0.48958333333333331</v>
      </c>
      <c r="R27" s="92">
        <f t="shared" si="10"/>
        <v>598.9</v>
      </c>
      <c r="S27" s="88">
        <v>354.59</v>
      </c>
      <c r="T27" s="88">
        <v>244.31</v>
      </c>
      <c r="U27" s="90">
        <f t="shared" si="8"/>
        <v>46035</v>
      </c>
      <c r="V27" s="91">
        <v>25.24</v>
      </c>
      <c r="W27" s="89">
        <v>0.82291666666666663</v>
      </c>
      <c r="X27" s="88">
        <v>485.34</v>
      </c>
    </row>
    <row r="28" spans="2:24" ht="15.75" thickBot="1" x14ac:dyDescent="0.3">
      <c r="B28" s="90">
        <f t="shared" si="9"/>
        <v>46036</v>
      </c>
      <c r="D28" s="171">
        <v>93</v>
      </c>
      <c r="E28" s="89">
        <v>0.60416666666666663</v>
      </c>
      <c r="F28" s="88">
        <v>1250</v>
      </c>
      <c r="G28" s="93">
        <f t="shared" si="4"/>
        <v>719</v>
      </c>
      <c r="H28" s="88">
        <v>531</v>
      </c>
      <c r="I28" s="90">
        <f t="shared" si="5"/>
        <v>46036</v>
      </c>
      <c r="J28" s="91">
        <v>35</v>
      </c>
      <c r="K28" s="89">
        <v>0.64583333333333337</v>
      </c>
      <c r="L28" s="88">
        <v>620</v>
      </c>
      <c r="M28" s="90">
        <f t="shared" si="6"/>
        <v>46036</v>
      </c>
      <c r="N28" s="91">
        <v>25</v>
      </c>
      <c r="O28" s="89">
        <v>0.73958333333333337</v>
      </c>
      <c r="P28" s="91">
        <v>14</v>
      </c>
      <c r="Q28" s="89">
        <v>0.60416666666666663</v>
      </c>
      <c r="R28" s="92">
        <f t="shared" si="10"/>
        <v>570</v>
      </c>
      <c r="S28" s="88">
        <v>340</v>
      </c>
      <c r="T28" s="88">
        <v>230</v>
      </c>
      <c r="U28" s="90">
        <f t="shared" si="8"/>
        <v>46036</v>
      </c>
      <c r="V28" s="91">
        <v>25</v>
      </c>
      <c r="W28" s="89">
        <v>0.875</v>
      </c>
      <c r="X28" s="88">
        <v>502</v>
      </c>
    </row>
    <row r="29" spans="2:24" ht="15.75" thickBot="1" x14ac:dyDescent="0.3">
      <c r="B29" s="90">
        <f t="shared" si="9"/>
        <v>46037</v>
      </c>
      <c r="D29" s="171">
        <v>105</v>
      </c>
      <c r="E29" s="89">
        <v>0.57291666666666663</v>
      </c>
      <c r="F29" s="88">
        <v>1310</v>
      </c>
      <c r="G29" s="93">
        <f t="shared" si="4"/>
        <v>758</v>
      </c>
      <c r="H29" s="88">
        <v>552</v>
      </c>
      <c r="I29" s="90">
        <f t="shared" si="5"/>
        <v>46037</v>
      </c>
      <c r="J29" s="91">
        <v>35</v>
      </c>
      <c r="K29" s="89">
        <v>0.625</v>
      </c>
      <c r="L29" s="88">
        <v>635</v>
      </c>
      <c r="M29" s="90">
        <f t="shared" si="6"/>
        <v>46037</v>
      </c>
      <c r="N29" s="91">
        <v>25</v>
      </c>
      <c r="O29" s="89">
        <v>0.77083333333333337</v>
      </c>
      <c r="P29" s="91">
        <v>14</v>
      </c>
      <c r="Q29" s="89">
        <v>0.64583333333333337</v>
      </c>
      <c r="R29" s="92">
        <f t="shared" si="10"/>
        <v>576</v>
      </c>
      <c r="S29" s="88">
        <v>345</v>
      </c>
      <c r="T29" s="88">
        <v>231</v>
      </c>
      <c r="U29" s="90">
        <f t="shared" si="8"/>
        <v>46037</v>
      </c>
      <c r="V29" s="91">
        <v>26</v>
      </c>
      <c r="W29" s="89">
        <v>0.85416666666666663</v>
      </c>
      <c r="X29" s="88">
        <v>528</v>
      </c>
    </row>
    <row r="30" spans="2:24" ht="15.75" thickBot="1" x14ac:dyDescent="0.3">
      <c r="B30" s="90">
        <f t="shared" si="9"/>
        <v>46038</v>
      </c>
      <c r="D30" s="171">
        <v>105</v>
      </c>
      <c r="E30" s="89">
        <v>0.52083333333333337</v>
      </c>
      <c r="F30" s="88">
        <v>1205</v>
      </c>
      <c r="G30" s="93">
        <f t="shared" si="4"/>
        <v>660</v>
      </c>
      <c r="H30" s="88">
        <v>545</v>
      </c>
      <c r="I30" s="90">
        <f t="shared" si="5"/>
        <v>46038</v>
      </c>
      <c r="J30" s="91">
        <v>35</v>
      </c>
      <c r="K30" s="89">
        <v>0.58333333333333337</v>
      </c>
      <c r="L30" s="88">
        <v>628</v>
      </c>
      <c r="M30" s="90">
        <f t="shared" si="6"/>
        <v>46038</v>
      </c>
      <c r="N30" s="91">
        <v>24</v>
      </c>
      <c r="O30" s="89">
        <v>0.72916666666666663</v>
      </c>
      <c r="P30" s="91">
        <v>13</v>
      </c>
      <c r="Q30" s="89">
        <v>0.52083333333333337</v>
      </c>
      <c r="R30" s="92">
        <f t="shared" si="10"/>
        <v>565</v>
      </c>
      <c r="S30" s="88">
        <v>340</v>
      </c>
      <c r="T30" s="88">
        <v>225</v>
      </c>
      <c r="U30" s="90">
        <f t="shared" si="8"/>
        <v>46038</v>
      </c>
      <c r="V30" s="91">
        <v>25</v>
      </c>
      <c r="W30" s="89">
        <v>0.82291666666666663</v>
      </c>
      <c r="X30" s="88">
        <v>501</v>
      </c>
    </row>
    <row r="31" spans="2:24" ht="15.75" thickBot="1" x14ac:dyDescent="0.3">
      <c r="B31" s="90">
        <f t="shared" si="9"/>
        <v>46039</v>
      </c>
      <c r="D31" s="171">
        <v>59</v>
      </c>
      <c r="E31" s="89">
        <v>0.14583333333333334</v>
      </c>
      <c r="F31" s="88">
        <v>947</v>
      </c>
      <c r="G31" s="93">
        <f t="shared" si="4"/>
        <v>411</v>
      </c>
      <c r="H31" s="88">
        <v>536</v>
      </c>
      <c r="I31" s="90">
        <f t="shared" si="5"/>
        <v>46039</v>
      </c>
      <c r="J31" s="91">
        <v>30</v>
      </c>
      <c r="K31" s="89">
        <v>0.23958333333333334</v>
      </c>
      <c r="L31" s="88">
        <v>592</v>
      </c>
      <c r="M31" s="90">
        <f t="shared" si="6"/>
        <v>46039</v>
      </c>
      <c r="N31" s="91">
        <v>19</v>
      </c>
      <c r="O31" s="89">
        <v>0.61458333333333337</v>
      </c>
      <c r="P31" s="91">
        <v>12</v>
      </c>
      <c r="Q31" s="89">
        <v>0.39583333333333331</v>
      </c>
      <c r="R31" s="92">
        <f t="shared" si="10"/>
        <v>537</v>
      </c>
      <c r="S31" s="88">
        <v>337</v>
      </c>
      <c r="T31" s="88">
        <v>200</v>
      </c>
      <c r="U31" s="90">
        <f t="shared" si="8"/>
        <v>46039</v>
      </c>
      <c r="V31" s="91">
        <v>26</v>
      </c>
      <c r="W31" s="89">
        <v>0.875</v>
      </c>
      <c r="X31" s="88">
        <v>450</v>
      </c>
    </row>
    <row r="32" spans="2:24" ht="15.75" thickBot="1" x14ac:dyDescent="0.3">
      <c r="B32" s="90">
        <f t="shared" si="9"/>
        <v>46040</v>
      </c>
      <c r="D32" s="171">
        <v>74.39</v>
      </c>
      <c r="E32" s="89">
        <v>0.9375</v>
      </c>
      <c r="F32" s="88">
        <v>916.97</v>
      </c>
      <c r="G32" s="93">
        <f t="shared" si="4"/>
        <v>410.01000000000005</v>
      </c>
      <c r="H32" s="88">
        <v>506.96</v>
      </c>
      <c r="I32" s="90">
        <f t="shared" si="5"/>
        <v>46040</v>
      </c>
      <c r="J32" s="91">
        <v>30.5</v>
      </c>
      <c r="K32" s="89">
        <v>0.625</v>
      </c>
      <c r="L32" s="88">
        <v>589.95000000000005</v>
      </c>
      <c r="M32" s="90">
        <f t="shared" si="6"/>
        <v>46040</v>
      </c>
      <c r="N32" s="91">
        <v>22.17</v>
      </c>
      <c r="O32" s="89">
        <v>0.80208333333333337</v>
      </c>
      <c r="P32" s="91">
        <v>8.7899999999999991</v>
      </c>
      <c r="Q32" s="89">
        <v>0.625</v>
      </c>
      <c r="R32" s="92">
        <f t="shared" si="10"/>
        <v>506.62</v>
      </c>
      <c r="S32" s="88">
        <v>334.42</v>
      </c>
      <c r="T32" s="88">
        <v>172.2</v>
      </c>
      <c r="U32" s="90">
        <f t="shared" si="8"/>
        <v>46040</v>
      </c>
      <c r="V32" s="91">
        <v>26.09</v>
      </c>
      <c r="W32" s="89">
        <v>0.875</v>
      </c>
      <c r="X32" s="88">
        <v>496.5</v>
      </c>
    </row>
    <row r="33" spans="2:24" ht="15.75" thickBot="1" x14ac:dyDescent="0.3">
      <c r="B33" s="90">
        <f t="shared" si="9"/>
        <v>46041</v>
      </c>
      <c r="D33" s="171">
        <v>97</v>
      </c>
      <c r="E33" s="172">
        <v>0.64583333333333337</v>
      </c>
      <c r="F33" s="173">
        <v>1270</v>
      </c>
      <c r="G33" s="184">
        <f t="shared" si="4"/>
        <v>736</v>
      </c>
      <c r="H33" s="173">
        <v>534</v>
      </c>
      <c r="I33" s="174">
        <f t="shared" si="5"/>
        <v>46041</v>
      </c>
      <c r="J33" s="171">
        <v>31</v>
      </c>
      <c r="K33" s="172">
        <v>0.5625</v>
      </c>
      <c r="L33" s="173">
        <v>610</v>
      </c>
      <c r="M33" s="174">
        <f t="shared" si="6"/>
        <v>46041</v>
      </c>
      <c r="N33" s="171">
        <v>22</v>
      </c>
      <c r="O33" s="172">
        <v>0.54166666666666663</v>
      </c>
      <c r="P33" s="171">
        <v>14</v>
      </c>
      <c r="Q33" s="172">
        <v>0.63541666666666663</v>
      </c>
      <c r="R33" s="92">
        <f t="shared" si="10"/>
        <v>573</v>
      </c>
      <c r="S33" s="173">
        <v>350</v>
      </c>
      <c r="T33" s="173">
        <v>223</v>
      </c>
      <c r="U33" s="174">
        <f t="shared" si="8"/>
        <v>46041</v>
      </c>
      <c r="V33" s="171">
        <v>25</v>
      </c>
      <c r="W33" s="172">
        <v>0.92708333333333337</v>
      </c>
      <c r="X33" s="173">
        <v>517</v>
      </c>
    </row>
    <row r="34" spans="2:24" ht="15.75" thickBot="1" x14ac:dyDescent="0.3">
      <c r="B34" s="90">
        <f t="shared" si="9"/>
        <v>46042</v>
      </c>
      <c r="D34" s="171">
        <v>120</v>
      </c>
      <c r="E34" s="89">
        <v>0.72916666666666663</v>
      </c>
      <c r="F34" s="88">
        <v>1362</v>
      </c>
      <c r="G34" s="93">
        <f t="shared" si="4"/>
        <v>762</v>
      </c>
      <c r="H34" s="88">
        <v>600</v>
      </c>
      <c r="I34" s="90">
        <f t="shared" si="5"/>
        <v>46042</v>
      </c>
      <c r="J34" s="91">
        <v>30</v>
      </c>
      <c r="K34" s="89">
        <v>0.61458333333333337</v>
      </c>
      <c r="L34" s="88">
        <v>600</v>
      </c>
      <c r="M34" s="90">
        <f t="shared" si="6"/>
        <v>46042</v>
      </c>
      <c r="N34" s="91">
        <v>25</v>
      </c>
      <c r="O34" s="89">
        <v>0.41666666666666669</v>
      </c>
      <c r="P34" s="91">
        <v>13</v>
      </c>
      <c r="Q34" s="89">
        <v>0.28125</v>
      </c>
      <c r="R34" s="92">
        <f t="shared" si="10"/>
        <v>588</v>
      </c>
      <c r="S34" s="88">
        <v>349</v>
      </c>
      <c r="T34" s="88">
        <v>239</v>
      </c>
      <c r="U34" s="90">
        <f t="shared" si="8"/>
        <v>46042</v>
      </c>
      <c r="V34" s="91">
        <v>27</v>
      </c>
      <c r="W34" s="89">
        <v>0.53125</v>
      </c>
      <c r="X34" s="88">
        <v>524</v>
      </c>
    </row>
    <row r="35" spans="2:24" ht="15.75" thickBot="1" x14ac:dyDescent="0.3">
      <c r="B35" s="90">
        <f t="shared" si="9"/>
        <v>46043</v>
      </c>
      <c r="D35" s="171">
        <v>91</v>
      </c>
      <c r="E35" s="89">
        <v>0.6875</v>
      </c>
      <c r="F35" s="88">
        <v>1257</v>
      </c>
      <c r="G35" s="93">
        <f t="shared" si="4"/>
        <v>709</v>
      </c>
      <c r="H35" s="88">
        <v>548</v>
      </c>
      <c r="I35" s="90">
        <f t="shared" si="5"/>
        <v>46043</v>
      </c>
      <c r="J35" s="91">
        <v>32</v>
      </c>
      <c r="K35" s="89">
        <v>0.59375</v>
      </c>
      <c r="L35" s="88">
        <v>604</v>
      </c>
      <c r="M35" s="90">
        <f t="shared" si="6"/>
        <v>46043</v>
      </c>
      <c r="N35" s="91">
        <v>25</v>
      </c>
      <c r="O35" s="89">
        <v>0.80208333333333337</v>
      </c>
      <c r="P35" s="91">
        <v>14</v>
      </c>
      <c r="Q35" s="89">
        <v>0.28125</v>
      </c>
      <c r="R35" s="92">
        <f t="shared" si="10"/>
        <v>585</v>
      </c>
      <c r="S35" s="88">
        <v>348</v>
      </c>
      <c r="T35" s="88">
        <v>237</v>
      </c>
      <c r="U35" s="90">
        <f t="shared" si="8"/>
        <v>46043</v>
      </c>
      <c r="V35" s="91">
        <v>28</v>
      </c>
      <c r="W35" s="89">
        <v>0.78125</v>
      </c>
      <c r="X35" s="88">
        <v>531</v>
      </c>
    </row>
    <row r="36" spans="2:24" ht="15.75" thickBot="1" x14ac:dyDescent="0.3">
      <c r="B36" s="90">
        <f t="shared" si="9"/>
        <v>46044</v>
      </c>
      <c r="D36" s="171">
        <v>103</v>
      </c>
      <c r="E36" s="89">
        <v>0.64583333333333337</v>
      </c>
      <c r="F36" s="88">
        <v>1306</v>
      </c>
      <c r="G36" s="93">
        <f t="shared" si="4"/>
        <v>743</v>
      </c>
      <c r="H36" s="88">
        <v>563</v>
      </c>
      <c r="I36" s="90">
        <f t="shared" si="5"/>
        <v>46044</v>
      </c>
      <c r="J36" s="91">
        <v>33</v>
      </c>
      <c r="K36" s="89">
        <v>0.71875</v>
      </c>
      <c r="L36" s="88">
        <v>622</v>
      </c>
      <c r="M36" s="90">
        <f t="shared" si="6"/>
        <v>46044</v>
      </c>
      <c r="N36" s="91">
        <v>23</v>
      </c>
      <c r="O36" s="89">
        <v>945</v>
      </c>
      <c r="P36" s="91">
        <v>14</v>
      </c>
      <c r="Q36" s="89">
        <v>0.32291666666666669</v>
      </c>
      <c r="R36" s="92">
        <f t="shared" si="10"/>
        <v>587</v>
      </c>
      <c r="S36" s="88">
        <v>347</v>
      </c>
      <c r="T36" s="88">
        <v>240</v>
      </c>
      <c r="U36" s="90">
        <f t="shared" si="8"/>
        <v>46044</v>
      </c>
      <c r="V36" s="91">
        <v>26</v>
      </c>
      <c r="W36" s="89">
        <v>0.8125</v>
      </c>
      <c r="X36" s="88">
        <v>520</v>
      </c>
    </row>
    <row r="37" spans="2:24" ht="15.75" thickBot="1" x14ac:dyDescent="0.3">
      <c r="B37" s="90">
        <f t="shared" si="9"/>
        <v>46045</v>
      </c>
      <c r="D37" s="171">
        <v>96</v>
      </c>
      <c r="E37" s="89">
        <v>0.58333333333333337</v>
      </c>
      <c r="F37" s="88">
        <v>1250</v>
      </c>
      <c r="G37" s="93">
        <f t="shared" si="4"/>
        <v>710</v>
      </c>
      <c r="H37" s="88">
        <v>540</v>
      </c>
      <c r="I37" s="90">
        <f t="shared" si="5"/>
        <v>46045</v>
      </c>
      <c r="J37" s="91">
        <v>32</v>
      </c>
      <c r="K37" s="89">
        <v>0.75</v>
      </c>
      <c r="L37" s="88">
        <v>610</v>
      </c>
      <c r="M37" s="90">
        <f t="shared" si="6"/>
        <v>46045</v>
      </c>
      <c r="N37" s="91">
        <v>22</v>
      </c>
      <c r="O37" s="89">
        <v>0.77083333333333337</v>
      </c>
      <c r="P37" s="91">
        <v>12</v>
      </c>
      <c r="Q37" s="89">
        <v>0.36458333333333331</v>
      </c>
      <c r="R37" s="92">
        <f t="shared" si="10"/>
        <v>578</v>
      </c>
      <c r="S37" s="88">
        <v>348</v>
      </c>
      <c r="T37" s="88">
        <v>230</v>
      </c>
      <c r="U37" s="90">
        <f t="shared" si="8"/>
        <v>46045</v>
      </c>
      <c r="V37" s="91">
        <v>25</v>
      </c>
      <c r="W37" s="89">
        <v>0.75</v>
      </c>
      <c r="X37" s="88">
        <v>515</v>
      </c>
    </row>
    <row r="38" spans="2:24" ht="15.75" thickBot="1" x14ac:dyDescent="0.3">
      <c r="B38" s="90">
        <f t="shared" si="9"/>
        <v>46046</v>
      </c>
      <c r="D38" s="171">
        <v>72.650000000000006</v>
      </c>
      <c r="E38" s="89">
        <v>0.39583333333333331</v>
      </c>
      <c r="F38" s="88">
        <v>881.15</v>
      </c>
      <c r="G38" s="93">
        <f t="shared" si="4"/>
        <v>384.02</v>
      </c>
      <c r="H38" s="88">
        <v>497.13</v>
      </c>
      <c r="I38" s="90">
        <f t="shared" si="5"/>
        <v>46046</v>
      </c>
      <c r="J38" s="91">
        <v>29.14</v>
      </c>
      <c r="K38" s="89">
        <v>0.3125</v>
      </c>
      <c r="L38" s="88">
        <v>581.34</v>
      </c>
      <c r="M38" s="90">
        <f t="shared" si="6"/>
        <v>46046</v>
      </c>
      <c r="N38" s="91">
        <v>20.350000000000001</v>
      </c>
      <c r="O38" s="89">
        <v>0.85416666666666663</v>
      </c>
      <c r="P38" s="91">
        <v>12.41</v>
      </c>
      <c r="Q38" s="89">
        <v>0.32291666666666669</v>
      </c>
      <c r="R38" s="92">
        <f t="shared" si="10"/>
        <v>550.9</v>
      </c>
      <c r="S38" s="88">
        <v>334.9</v>
      </c>
      <c r="T38" s="88">
        <v>216</v>
      </c>
      <c r="U38" s="90">
        <f t="shared" si="8"/>
        <v>46046</v>
      </c>
      <c r="V38" s="91">
        <v>27.53</v>
      </c>
      <c r="W38" s="89">
        <v>0.76041666666666663</v>
      </c>
      <c r="X38" s="88">
        <v>526.16</v>
      </c>
    </row>
    <row r="39" spans="2:24" ht="15.75" thickBot="1" x14ac:dyDescent="0.3">
      <c r="B39" s="90">
        <f t="shared" si="9"/>
        <v>46047</v>
      </c>
      <c r="D39" s="171">
        <v>50.28</v>
      </c>
      <c r="E39" s="89">
        <v>0.60416666666666663</v>
      </c>
      <c r="F39" s="88">
        <v>872.25</v>
      </c>
      <c r="G39" s="93">
        <f t="shared" si="4"/>
        <v>386.75</v>
      </c>
      <c r="H39" s="88">
        <v>485.5</v>
      </c>
      <c r="I39" s="90">
        <f t="shared" si="5"/>
        <v>46047</v>
      </c>
      <c r="J39" s="91">
        <v>28.72</v>
      </c>
      <c r="K39" s="89">
        <v>0.92708333333333337</v>
      </c>
      <c r="L39" s="88">
        <v>569.58000000000004</v>
      </c>
      <c r="M39" s="90">
        <f t="shared" si="6"/>
        <v>46047</v>
      </c>
      <c r="N39" s="91">
        <v>21.89</v>
      </c>
      <c r="O39" s="89">
        <v>0.76041666666666663</v>
      </c>
      <c r="P39" s="91">
        <v>9.85</v>
      </c>
      <c r="Q39" s="89">
        <v>0.84375</v>
      </c>
      <c r="R39" s="92">
        <f t="shared" si="10"/>
        <v>528.01</v>
      </c>
      <c r="S39" s="88">
        <v>331.92</v>
      </c>
      <c r="T39" s="88">
        <v>196.09</v>
      </c>
      <c r="U39" s="90">
        <f t="shared" si="8"/>
        <v>46047</v>
      </c>
      <c r="V39" s="91">
        <v>25.2</v>
      </c>
      <c r="W39" s="89">
        <v>0.40625</v>
      </c>
      <c r="X39" s="88">
        <v>490.98</v>
      </c>
    </row>
    <row r="40" spans="2:24" ht="15.75" thickBot="1" x14ac:dyDescent="0.3">
      <c r="B40" s="90">
        <f t="shared" si="9"/>
        <v>46048</v>
      </c>
      <c r="D40" s="171">
        <v>102</v>
      </c>
      <c r="E40" s="172">
        <v>0.64583333333333337</v>
      </c>
      <c r="F40" s="173">
        <v>1210</v>
      </c>
      <c r="G40" s="93">
        <f t="shared" si="4"/>
        <v>680</v>
      </c>
      <c r="H40" s="173">
        <v>530</v>
      </c>
      <c r="I40" s="174">
        <f t="shared" si="5"/>
        <v>46048</v>
      </c>
      <c r="J40" s="171">
        <v>30</v>
      </c>
      <c r="K40" s="172">
        <v>0.89583333333333337</v>
      </c>
      <c r="L40" s="173">
        <v>605</v>
      </c>
      <c r="M40" s="174">
        <f t="shared" si="6"/>
        <v>46048</v>
      </c>
      <c r="N40" s="171">
        <v>23</v>
      </c>
      <c r="O40" s="172">
        <v>0.72916666666666663</v>
      </c>
      <c r="P40" s="171">
        <v>13</v>
      </c>
      <c r="Q40" s="172">
        <v>0.875</v>
      </c>
      <c r="R40" s="92">
        <f t="shared" si="10"/>
        <v>570</v>
      </c>
      <c r="S40" s="173">
        <v>345</v>
      </c>
      <c r="T40" s="173">
        <v>225</v>
      </c>
      <c r="U40" s="174">
        <f t="shared" si="8"/>
        <v>46048</v>
      </c>
      <c r="V40" s="171">
        <v>27</v>
      </c>
      <c r="W40" s="172">
        <v>0.875</v>
      </c>
      <c r="X40" s="173">
        <v>512</v>
      </c>
    </row>
    <row r="41" spans="2:24" ht="15.75" thickBot="1" x14ac:dyDescent="0.3">
      <c r="B41" s="90">
        <f t="shared" si="9"/>
        <v>46049</v>
      </c>
      <c r="D41" s="171">
        <v>104</v>
      </c>
      <c r="E41" s="89">
        <v>0.69791666666666663</v>
      </c>
      <c r="F41" s="88">
        <v>1290</v>
      </c>
      <c r="G41" s="93">
        <f t="shared" si="4"/>
        <v>750</v>
      </c>
      <c r="H41" s="88">
        <v>540</v>
      </c>
      <c r="I41" s="90">
        <f t="shared" si="5"/>
        <v>46049</v>
      </c>
      <c r="J41" s="91">
        <v>32</v>
      </c>
      <c r="K41" s="89">
        <v>0.75</v>
      </c>
      <c r="L41" s="88">
        <v>618</v>
      </c>
      <c r="M41" s="90">
        <f t="shared" si="6"/>
        <v>46049</v>
      </c>
      <c r="N41" s="91">
        <v>23</v>
      </c>
      <c r="O41" s="89">
        <v>0.78125</v>
      </c>
      <c r="P41" s="91">
        <v>13</v>
      </c>
      <c r="Q41" s="89">
        <v>0.85416666666666663</v>
      </c>
      <c r="R41" s="92">
        <f t="shared" si="10"/>
        <v>577</v>
      </c>
      <c r="S41" s="88">
        <v>347</v>
      </c>
      <c r="T41" s="88">
        <v>230</v>
      </c>
      <c r="U41" s="90">
        <f t="shared" si="8"/>
        <v>46049</v>
      </c>
      <c r="V41" s="91">
        <v>27</v>
      </c>
      <c r="W41" s="89">
        <v>0.85416666666666663</v>
      </c>
      <c r="X41" s="88">
        <v>518</v>
      </c>
    </row>
    <row r="42" spans="2:24" ht="15.75" thickBot="1" x14ac:dyDescent="0.3">
      <c r="B42" s="90">
        <f t="shared" si="9"/>
        <v>46050</v>
      </c>
      <c r="D42" s="171">
        <v>106</v>
      </c>
      <c r="E42" s="89">
        <v>0.57291666666666663</v>
      </c>
      <c r="F42" s="88">
        <v>1351</v>
      </c>
      <c r="G42" s="93">
        <f t="shared" si="4"/>
        <v>790</v>
      </c>
      <c r="H42" s="88">
        <v>561</v>
      </c>
      <c r="I42" s="90">
        <f t="shared" si="5"/>
        <v>46050</v>
      </c>
      <c r="J42" s="91">
        <v>40</v>
      </c>
      <c r="K42" s="89">
        <v>0.63541666666666663</v>
      </c>
      <c r="L42" s="88">
        <v>651</v>
      </c>
      <c r="M42" s="90">
        <f t="shared" si="6"/>
        <v>46050</v>
      </c>
      <c r="N42" s="91">
        <v>23</v>
      </c>
      <c r="O42" s="89">
        <v>0.30208333333333331</v>
      </c>
      <c r="P42" s="91">
        <v>13</v>
      </c>
      <c r="Q42" s="89">
        <v>0.60416666666666663</v>
      </c>
      <c r="R42" s="92">
        <f t="shared" si="10"/>
        <v>601</v>
      </c>
      <c r="S42" s="88">
        <v>359</v>
      </c>
      <c r="T42" s="88">
        <v>242</v>
      </c>
      <c r="U42" s="90">
        <f t="shared" si="8"/>
        <v>46050</v>
      </c>
      <c r="V42" s="91">
        <v>25</v>
      </c>
      <c r="W42" s="89">
        <v>0.90625</v>
      </c>
      <c r="X42" s="88">
        <v>497</v>
      </c>
    </row>
    <row r="43" spans="2:24" ht="15.75" thickBot="1" x14ac:dyDescent="0.3">
      <c r="B43" s="90">
        <f t="shared" si="9"/>
        <v>46051</v>
      </c>
      <c r="D43" s="171">
        <v>111</v>
      </c>
      <c r="E43" s="89">
        <v>0.55208333333333337</v>
      </c>
      <c r="F43" s="88">
        <v>1370</v>
      </c>
      <c r="G43" s="93">
        <f t="shared" si="4"/>
        <v>813</v>
      </c>
      <c r="H43" s="88">
        <v>557</v>
      </c>
      <c r="I43" s="90">
        <f t="shared" si="5"/>
        <v>46051</v>
      </c>
      <c r="J43" s="91">
        <v>32</v>
      </c>
      <c r="K43" s="89">
        <v>0.625</v>
      </c>
      <c r="L43" s="88">
        <v>624</v>
      </c>
      <c r="M43" s="174">
        <f t="shared" si="6"/>
        <v>46051</v>
      </c>
      <c r="N43" s="91">
        <v>21</v>
      </c>
      <c r="O43" s="89">
        <v>0.63541666666666663</v>
      </c>
      <c r="P43" s="91">
        <v>13</v>
      </c>
      <c r="Q43" s="89">
        <v>0.69791666666666663</v>
      </c>
      <c r="R43" s="92">
        <f t="shared" si="10"/>
        <v>596</v>
      </c>
      <c r="S43" s="88">
        <v>357</v>
      </c>
      <c r="T43" s="88">
        <v>239</v>
      </c>
      <c r="U43" s="90">
        <f t="shared" si="8"/>
        <v>46051</v>
      </c>
      <c r="V43" s="91">
        <v>28</v>
      </c>
      <c r="W43" s="89">
        <v>0.63541666666666663</v>
      </c>
      <c r="X43" s="88">
        <v>539</v>
      </c>
    </row>
    <row r="44" spans="2:24" ht="15.75" thickBot="1" x14ac:dyDescent="0.3">
      <c r="B44" s="90">
        <f t="shared" si="9"/>
        <v>46052</v>
      </c>
      <c r="D44" s="171">
        <v>113</v>
      </c>
      <c r="E44" s="172">
        <v>0.54166666666666663</v>
      </c>
      <c r="F44" s="173">
        <v>1266</v>
      </c>
      <c r="G44" s="93">
        <f t="shared" si="4"/>
        <v>727</v>
      </c>
      <c r="H44" s="173">
        <v>539</v>
      </c>
      <c r="I44" s="90">
        <f t="shared" si="5"/>
        <v>46052</v>
      </c>
      <c r="J44" s="171">
        <v>36</v>
      </c>
      <c r="K44" s="172">
        <v>0.64583333333333337</v>
      </c>
      <c r="L44" s="173">
        <v>639</v>
      </c>
      <c r="M44" s="90">
        <f t="shared" si="6"/>
        <v>46052</v>
      </c>
      <c r="N44" s="171">
        <v>25</v>
      </c>
      <c r="O44" s="172">
        <v>0.40625</v>
      </c>
      <c r="P44" s="171">
        <v>15</v>
      </c>
      <c r="Q44" s="172">
        <v>0.60416666666666663</v>
      </c>
      <c r="R44" s="92">
        <f t="shared" si="10"/>
        <v>603</v>
      </c>
      <c r="S44" s="173">
        <v>363</v>
      </c>
      <c r="T44" s="173">
        <v>240</v>
      </c>
      <c r="U44" s="90">
        <f t="shared" si="8"/>
        <v>46052</v>
      </c>
      <c r="V44" s="171">
        <v>26</v>
      </c>
      <c r="W44" s="172">
        <v>0.5</v>
      </c>
      <c r="X44" s="173">
        <v>511</v>
      </c>
    </row>
    <row r="45" spans="2:24" x14ac:dyDescent="0.25">
      <c r="B45" s="90">
        <f t="shared" si="9"/>
        <v>46053</v>
      </c>
      <c r="D45" s="171">
        <v>59</v>
      </c>
      <c r="E45" s="172">
        <v>0.77083333333333337</v>
      </c>
      <c r="F45" s="173">
        <v>785</v>
      </c>
      <c r="G45" s="93">
        <f t="shared" ref="G45" si="11">F45-H45</f>
        <v>332</v>
      </c>
      <c r="H45" s="173">
        <v>453</v>
      </c>
      <c r="I45" s="90">
        <f t="shared" si="5"/>
        <v>46053</v>
      </c>
      <c r="J45" s="171">
        <v>33</v>
      </c>
      <c r="K45" s="172">
        <v>0.26041666666666669</v>
      </c>
      <c r="L45" s="173">
        <v>599</v>
      </c>
      <c r="M45" s="90">
        <f t="shared" ref="M45" si="12">B45</f>
        <v>46053</v>
      </c>
      <c r="N45" s="171">
        <v>22</v>
      </c>
      <c r="O45" s="172">
        <v>0.89583333333333337</v>
      </c>
      <c r="P45" s="171">
        <v>12</v>
      </c>
      <c r="Q45" s="172">
        <v>0.52083333333333337</v>
      </c>
      <c r="R45" s="92">
        <f t="shared" ref="R45" si="13">S45+T45</f>
        <v>560</v>
      </c>
      <c r="S45" s="173">
        <v>354</v>
      </c>
      <c r="T45" s="173">
        <v>206</v>
      </c>
      <c r="U45" s="90">
        <f t="shared" si="8"/>
        <v>46053</v>
      </c>
      <c r="V45" s="171">
        <v>27</v>
      </c>
      <c r="W45" s="172">
        <v>0.5</v>
      </c>
      <c r="X45" s="173">
        <v>512</v>
      </c>
    </row>
    <row r="47" spans="2:24" x14ac:dyDescent="0.25">
      <c r="E47" s="177" t="s">
        <v>61</v>
      </c>
      <c r="F47" s="177" t="s">
        <v>62</v>
      </c>
      <c r="G47" s="177" t="s">
        <v>63</v>
      </c>
      <c r="H47" s="177" t="s">
        <v>64</v>
      </c>
      <c r="I47" s="177" t="s">
        <v>65</v>
      </c>
      <c r="J47" s="177" t="s">
        <v>66</v>
      </c>
    </row>
    <row r="48" spans="2:24" x14ac:dyDescent="0.25">
      <c r="D48" s="180">
        <v>45838</v>
      </c>
      <c r="E48" s="178">
        <f t="shared" ref="E48:E78" si="14">F14/J48</f>
        <v>0.34749391974453164</v>
      </c>
      <c r="F48" s="178">
        <f t="shared" ref="F48:F78" si="15">L14/J48</f>
        <v>0.2355040073080181</v>
      </c>
      <c r="G48" s="178">
        <f t="shared" ref="G48:G78" si="16">S14/J48</f>
        <v>0.13152480705192518</v>
      </c>
      <c r="H48" s="178">
        <f t="shared" ref="H48:H78" si="17">T14/J48</f>
        <v>8.379236171566655E-2</v>
      </c>
      <c r="I48" s="178">
        <f t="shared" ref="I48:I78" si="18">X14/J48</f>
        <v>0.20168490417985843</v>
      </c>
      <c r="J48" s="179">
        <f>F14+L14+S14+T14+X14</f>
        <v>2561.5700000000002</v>
      </c>
    </row>
    <row r="49" spans="4:10" x14ac:dyDescent="0.25">
      <c r="D49" s="180">
        <v>45839</v>
      </c>
      <c r="E49" s="178">
        <f t="shared" si="14"/>
        <v>0.33429879434440934</v>
      </c>
      <c r="F49" s="178">
        <f t="shared" si="15"/>
        <v>0.24717179146042165</v>
      </c>
      <c r="G49" s="178">
        <f t="shared" si="16"/>
        <v>0.13510531926321967</v>
      </c>
      <c r="H49" s="178">
        <f t="shared" si="17"/>
        <v>7.6458727574723384E-2</v>
      </c>
      <c r="I49" s="178">
        <f t="shared" si="18"/>
        <v>0.20696536735722612</v>
      </c>
      <c r="J49" s="179">
        <f t="shared" ref="J49:J78" si="19">F15+L15+S15+T15+X15</f>
        <v>2420.2599999999998</v>
      </c>
    </row>
    <row r="50" spans="4:10" x14ac:dyDescent="0.25">
      <c r="D50" s="180">
        <v>45840</v>
      </c>
      <c r="E50" s="178">
        <f t="shared" si="14"/>
        <v>0.37979351032448377</v>
      </c>
      <c r="F50" s="178">
        <f t="shared" si="15"/>
        <v>0.22160766961651918</v>
      </c>
      <c r="G50" s="178">
        <f t="shared" si="16"/>
        <v>0.125</v>
      </c>
      <c r="H50" s="178">
        <f t="shared" si="17"/>
        <v>8.222713864306784E-2</v>
      </c>
      <c r="I50" s="178">
        <f t="shared" si="18"/>
        <v>0.1913716814159292</v>
      </c>
      <c r="J50" s="179">
        <f t="shared" si="19"/>
        <v>2712</v>
      </c>
    </row>
    <row r="51" spans="4:10" x14ac:dyDescent="0.25">
      <c r="D51" s="180">
        <v>45841</v>
      </c>
      <c r="E51" s="178">
        <f t="shared" si="14"/>
        <v>0.35843011613936726</v>
      </c>
      <c r="F51" s="178">
        <f t="shared" si="15"/>
        <v>0.23988786543852622</v>
      </c>
      <c r="G51" s="178">
        <f t="shared" si="16"/>
        <v>0.13135762915498597</v>
      </c>
      <c r="H51" s="178">
        <f t="shared" si="17"/>
        <v>7.9295154185022032E-2</v>
      </c>
      <c r="I51" s="178">
        <f t="shared" si="18"/>
        <v>0.19102923508209851</v>
      </c>
      <c r="J51" s="179">
        <f t="shared" si="19"/>
        <v>2497</v>
      </c>
    </row>
    <row r="52" spans="4:10" x14ac:dyDescent="0.25">
      <c r="D52" s="180">
        <v>45842</v>
      </c>
      <c r="E52" s="178">
        <f t="shared" si="14"/>
        <v>0.34166325276526016</v>
      </c>
      <c r="F52" s="178">
        <f t="shared" si="15"/>
        <v>0.24457189676362145</v>
      </c>
      <c r="G52" s="178">
        <f t="shared" si="16"/>
        <v>0.13355182302335109</v>
      </c>
      <c r="H52" s="178">
        <f t="shared" si="17"/>
        <v>7.3330602212208107E-2</v>
      </c>
      <c r="I52" s="178">
        <f t="shared" si="18"/>
        <v>0.20688242523555919</v>
      </c>
      <c r="J52" s="179">
        <f t="shared" si="19"/>
        <v>2441</v>
      </c>
    </row>
    <row r="53" spans="4:10" x14ac:dyDescent="0.25">
      <c r="D53" s="180">
        <v>45843</v>
      </c>
      <c r="E53" s="178">
        <f t="shared" si="14"/>
        <v>0.41438596491228069</v>
      </c>
      <c r="F53" s="178">
        <f t="shared" si="15"/>
        <v>0.21929824561403508</v>
      </c>
      <c r="G53" s="178">
        <f t="shared" si="16"/>
        <v>0.11964912280701755</v>
      </c>
      <c r="H53" s="178">
        <f t="shared" si="17"/>
        <v>7.929824561403509E-2</v>
      </c>
      <c r="I53" s="178">
        <f t="shared" si="18"/>
        <v>0.16736842105263158</v>
      </c>
      <c r="J53" s="179">
        <f t="shared" si="19"/>
        <v>2850</v>
      </c>
    </row>
    <row r="54" spans="4:10" x14ac:dyDescent="0.25">
      <c r="D54" s="180">
        <v>45844</v>
      </c>
      <c r="E54" s="178">
        <f t="shared" si="14"/>
        <v>0.43991002570694088</v>
      </c>
      <c r="F54" s="178">
        <f t="shared" si="15"/>
        <v>0.20469151670951158</v>
      </c>
      <c r="G54" s="178">
        <f t="shared" si="16"/>
        <v>0.10957583547557841</v>
      </c>
      <c r="H54" s="178">
        <f t="shared" si="17"/>
        <v>7.583547557840617E-2</v>
      </c>
      <c r="I54" s="178">
        <f t="shared" si="18"/>
        <v>0.16998714652956298</v>
      </c>
      <c r="J54" s="179">
        <f t="shared" si="19"/>
        <v>3112</v>
      </c>
    </row>
    <row r="55" spans="4:10" x14ac:dyDescent="0.25">
      <c r="D55" s="180">
        <v>45845</v>
      </c>
      <c r="E55" s="178">
        <f t="shared" si="14"/>
        <v>0.43681495809155385</v>
      </c>
      <c r="F55" s="178">
        <f t="shared" si="15"/>
        <v>0.20599613152804641</v>
      </c>
      <c r="G55" s="178">
        <f t="shared" si="16"/>
        <v>0.10863958736299162</v>
      </c>
      <c r="H55" s="178">
        <f t="shared" si="17"/>
        <v>7.704706640876853E-2</v>
      </c>
      <c r="I55" s="178">
        <f t="shared" si="18"/>
        <v>0.17150225660863957</v>
      </c>
      <c r="J55" s="179">
        <f t="shared" si="19"/>
        <v>3102</v>
      </c>
    </row>
    <row r="56" spans="4:10" x14ac:dyDescent="0.25">
      <c r="D56" s="180">
        <v>45846</v>
      </c>
      <c r="E56" s="178">
        <f t="shared" si="14"/>
        <v>0.41705842847548691</v>
      </c>
      <c r="F56" s="178">
        <f t="shared" si="15"/>
        <v>0.21121558092679651</v>
      </c>
      <c r="G56" s="178">
        <f t="shared" si="16"/>
        <v>0.11349899261249161</v>
      </c>
      <c r="H56" s="178">
        <f t="shared" si="17"/>
        <v>7.9919408999328409E-2</v>
      </c>
      <c r="I56" s="178">
        <f t="shared" si="18"/>
        <v>0.17830758898589658</v>
      </c>
      <c r="J56" s="179">
        <f t="shared" si="19"/>
        <v>2978</v>
      </c>
    </row>
    <row r="57" spans="4:10" x14ac:dyDescent="0.25">
      <c r="D57" s="180">
        <v>45847</v>
      </c>
      <c r="E57" s="178">
        <f t="shared" si="14"/>
        <v>0.45593869731800768</v>
      </c>
      <c r="F57" s="178">
        <f t="shared" si="15"/>
        <v>0.2021072796934866</v>
      </c>
      <c r="G57" s="178">
        <f t="shared" si="16"/>
        <v>0.109514687100894</v>
      </c>
      <c r="H57" s="178">
        <f t="shared" si="17"/>
        <v>7.7586206896551727E-2</v>
      </c>
      <c r="I57" s="178">
        <f t="shared" si="18"/>
        <v>0.15485312899106002</v>
      </c>
      <c r="J57" s="179">
        <f t="shared" si="19"/>
        <v>3132</v>
      </c>
    </row>
    <row r="58" spans="4:10" x14ac:dyDescent="0.25">
      <c r="D58" s="180">
        <v>45848</v>
      </c>
      <c r="E58" s="178">
        <f t="shared" si="14"/>
        <v>0.37095531587057012</v>
      </c>
      <c r="F58" s="178">
        <f t="shared" si="15"/>
        <v>0.23343605546995377</v>
      </c>
      <c r="G58" s="178">
        <f t="shared" si="16"/>
        <v>0.12865947611710324</v>
      </c>
      <c r="H58" s="178">
        <f t="shared" si="17"/>
        <v>8.4745762711864403E-2</v>
      </c>
      <c r="I58" s="178">
        <f t="shared" si="18"/>
        <v>0.18220338983050846</v>
      </c>
      <c r="J58" s="179">
        <f t="shared" si="19"/>
        <v>2596</v>
      </c>
    </row>
    <row r="59" spans="4:10" x14ac:dyDescent="0.25">
      <c r="D59" s="180">
        <v>45849</v>
      </c>
      <c r="E59" s="178">
        <f t="shared" si="14"/>
        <v>0.35970090515545061</v>
      </c>
      <c r="F59" s="178">
        <f t="shared" si="15"/>
        <v>0.2377016922471468</v>
      </c>
      <c r="G59" s="178">
        <f t="shared" si="16"/>
        <v>0.12947658402203857</v>
      </c>
      <c r="H59" s="178">
        <f t="shared" si="17"/>
        <v>7.5954348681621403E-2</v>
      </c>
      <c r="I59" s="178">
        <f t="shared" si="18"/>
        <v>0.19716646989374262</v>
      </c>
      <c r="J59" s="179">
        <f t="shared" si="19"/>
        <v>2541</v>
      </c>
    </row>
    <row r="60" spans="4:10" x14ac:dyDescent="0.25">
      <c r="D60" s="180">
        <v>45850</v>
      </c>
      <c r="E60" s="178">
        <f t="shared" si="14"/>
        <v>0.42632063669163306</v>
      </c>
      <c r="F60" s="178">
        <f t="shared" si="15"/>
        <v>0.21023235547515853</v>
      </c>
      <c r="G60" s="178">
        <f t="shared" si="16"/>
        <v>0.11486725137898139</v>
      </c>
      <c r="H60" s="178">
        <f t="shared" si="17"/>
        <v>7.8246259172578159E-2</v>
      </c>
      <c r="I60" s="178">
        <f t="shared" si="18"/>
        <v>0.1703334972816489</v>
      </c>
      <c r="J60" s="179">
        <f t="shared" si="19"/>
        <v>3029.41</v>
      </c>
    </row>
    <row r="61" spans="4:10" x14ac:dyDescent="0.25">
      <c r="D61" s="180">
        <v>45851</v>
      </c>
      <c r="E61" s="178">
        <f t="shared" si="14"/>
        <v>0.43879231883500619</v>
      </c>
      <c r="F61" s="178">
        <f t="shared" si="15"/>
        <v>0.21373495365919315</v>
      </c>
      <c r="G61" s="178">
        <f t="shared" si="16"/>
        <v>0.11363752900306373</v>
      </c>
      <c r="H61" s="178">
        <f t="shared" si="17"/>
        <v>7.8295453088746164E-2</v>
      </c>
      <c r="I61" s="178">
        <f t="shared" si="18"/>
        <v>0.15553974541399068</v>
      </c>
      <c r="J61" s="179">
        <f t="shared" si="19"/>
        <v>3120.36</v>
      </c>
    </row>
    <row r="62" spans="4:10" x14ac:dyDescent="0.25">
      <c r="D62" s="180">
        <v>45852</v>
      </c>
      <c r="E62" s="178">
        <f t="shared" si="14"/>
        <v>0.42488103331067301</v>
      </c>
      <c r="F62" s="178">
        <f t="shared" si="15"/>
        <v>0.2107409925220938</v>
      </c>
      <c r="G62" s="178">
        <f t="shared" si="16"/>
        <v>0.11556764106050306</v>
      </c>
      <c r="H62" s="178">
        <f t="shared" si="17"/>
        <v>7.8178110129163828E-2</v>
      </c>
      <c r="I62" s="178">
        <f t="shared" si="18"/>
        <v>0.17063222297756628</v>
      </c>
      <c r="J62" s="179">
        <f t="shared" si="19"/>
        <v>2942</v>
      </c>
    </row>
    <row r="63" spans="4:10" x14ac:dyDescent="0.25">
      <c r="D63" s="180">
        <v>45853</v>
      </c>
      <c r="E63" s="178">
        <f t="shared" si="14"/>
        <v>0.42964906526730073</v>
      </c>
      <c r="F63" s="178">
        <f t="shared" si="15"/>
        <v>0.20826500491964578</v>
      </c>
      <c r="G63" s="178">
        <f t="shared" si="16"/>
        <v>0.11315185306657921</v>
      </c>
      <c r="H63" s="178">
        <f t="shared" si="17"/>
        <v>7.5762545096753037E-2</v>
      </c>
      <c r="I63" s="178">
        <f t="shared" si="18"/>
        <v>0.17317153164972121</v>
      </c>
      <c r="J63" s="179">
        <f t="shared" si="19"/>
        <v>3049</v>
      </c>
    </row>
    <row r="64" spans="4:10" x14ac:dyDescent="0.25">
      <c r="D64" s="180">
        <v>45854</v>
      </c>
      <c r="E64" s="178">
        <f t="shared" si="14"/>
        <v>0.41566057261124528</v>
      </c>
      <c r="F64" s="178">
        <f t="shared" si="15"/>
        <v>0.21662642290444981</v>
      </c>
      <c r="G64" s="178">
        <f t="shared" si="16"/>
        <v>0.11728182131769575</v>
      </c>
      <c r="H64" s="178">
        <f t="shared" si="17"/>
        <v>7.7612969989651601E-2</v>
      </c>
      <c r="I64" s="178">
        <f t="shared" si="18"/>
        <v>0.17281821317695756</v>
      </c>
      <c r="J64" s="179">
        <f t="shared" si="19"/>
        <v>2899</v>
      </c>
    </row>
    <row r="65" spans="4:10" x14ac:dyDescent="0.25">
      <c r="D65" s="180">
        <v>45855</v>
      </c>
      <c r="E65" s="178">
        <f t="shared" si="14"/>
        <v>0.37490102929532859</v>
      </c>
      <c r="F65" s="178">
        <f t="shared" si="15"/>
        <v>0.23436262866191607</v>
      </c>
      <c r="G65" s="178">
        <f t="shared" si="16"/>
        <v>0.13341250989707046</v>
      </c>
      <c r="H65" s="178">
        <f t="shared" si="17"/>
        <v>7.9176563737133804E-2</v>
      </c>
      <c r="I65" s="178">
        <f t="shared" si="18"/>
        <v>0.17814726840855108</v>
      </c>
      <c r="J65" s="179">
        <f t="shared" si="19"/>
        <v>2526</v>
      </c>
    </row>
    <row r="66" spans="4:10" x14ac:dyDescent="0.25">
      <c r="D66" s="180">
        <v>45856</v>
      </c>
      <c r="E66" s="178">
        <f t="shared" si="14"/>
        <v>0.36532087138053576</v>
      </c>
      <c r="F66" s="178">
        <f t="shared" si="15"/>
        <v>0.2350360950423101</v>
      </c>
      <c r="G66" s="178">
        <f t="shared" si="16"/>
        <v>0.13323293652690796</v>
      </c>
      <c r="H66" s="178">
        <f t="shared" si="17"/>
        <v>6.8604484390687004E-2</v>
      </c>
      <c r="I66" s="178">
        <f t="shared" si="18"/>
        <v>0.1978056126595592</v>
      </c>
      <c r="J66" s="179">
        <f t="shared" si="19"/>
        <v>2510.04</v>
      </c>
    </row>
    <row r="67" spans="4:10" x14ac:dyDescent="0.25">
      <c r="D67" s="180">
        <v>45857</v>
      </c>
      <c r="E67" s="178">
        <f t="shared" si="14"/>
        <v>0.42760942760942761</v>
      </c>
      <c r="F67" s="178">
        <f t="shared" si="15"/>
        <v>0.2053872053872054</v>
      </c>
      <c r="G67" s="178">
        <f t="shared" si="16"/>
        <v>0.11784511784511785</v>
      </c>
      <c r="H67" s="178">
        <f t="shared" si="17"/>
        <v>7.5084175084175087E-2</v>
      </c>
      <c r="I67" s="178">
        <f t="shared" si="18"/>
        <v>0.17407407407407408</v>
      </c>
      <c r="J67" s="179">
        <f t="shared" si="19"/>
        <v>2970</v>
      </c>
    </row>
    <row r="68" spans="4:10" x14ac:dyDescent="0.25">
      <c r="D68" s="180">
        <v>45858</v>
      </c>
      <c r="E68" s="178">
        <f t="shared" si="14"/>
        <v>0.44307091737150295</v>
      </c>
      <c r="F68" s="178">
        <f t="shared" si="15"/>
        <v>0.1951854261548471</v>
      </c>
      <c r="G68" s="178">
        <f t="shared" si="16"/>
        <v>0.11353285621340273</v>
      </c>
      <c r="H68" s="178">
        <f t="shared" si="17"/>
        <v>7.7748861418347429E-2</v>
      </c>
      <c r="I68" s="178">
        <f t="shared" si="18"/>
        <v>0.17046193884189981</v>
      </c>
      <c r="J68" s="179">
        <f t="shared" si="19"/>
        <v>3074</v>
      </c>
    </row>
    <row r="69" spans="4:10" x14ac:dyDescent="0.25">
      <c r="D69" s="180">
        <v>45859</v>
      </c>
      <c r="E69" s="178">
        <f t="shared" si="14"/>
        <v>0.42223715149479341</v>
      </c>
      <c r="F69" s="178">
        <f t="shared" si="15"/>
        <v>0.20288881424252603</v>
      </c>
      <c r="G69" s="178">
        <f t="shared" si="16"/>
        <v>0.11689620423244877</v>
      </c>
      <c r="H69" s="178">
        <f t="shared" si="17"/>
        <v>7.9610345985891839E-2</v>
      </c>
      <c r="I69" s="178">
        <f t="shared" si="18"/>
        <v>0.17836748404433994</v>
      </c>
      <c r="J69" s="179">
        <f t="shared" si="19"/>
        <v>2977</v>
      </c>
    </row>
    <row r="70" spans="4:10" x14ac:dyDescent="0.25">
      <c r="D70" s="180">
        <v>45860</v>
      </c>
      <c r="E70" s="178">
        <f t="shared" si="14"/>
        <v>0.43031301482701811</v>
      </c>
      <c r="F70" s="178">
        <f t="shared" si="15"/>
        <v>0.20494233937397036</v>
      </c>
      <c r="G70" s="178">
        <f t="shared" si="16"/>
        <v>0.11433278418451401</v>
      </c>
      <c r="H70" s="178">
        <f t="shared" si="17"/>
        <v>7.907742998352553E-2</v>
      </c>
      <c r="I70" s="178">
        <f t="shared" si="18"/>
        <v>0.17133443163097201</v>
      </c>
      <c r="J70" s="179">
        <f t="shared" si="19"/>
        <v>3035</v>
      </c>
    </row>
    <row r="71" spans="4:10" x14ac:dyDescent="0.25">
      <c r="D71" s="180">
        <v>45861</v>
      </c>
      <c r="E71" s="178">
        <f t="shared" si="14"/>
        <v>0.42329834067050459</v>
      </c>
      <c r="F71" s="178">
        <f t="shared" si="15"/>
        <v>0.20656959024720623</v>
      </c>
      <c r="G71" s="178">
        <f t="shared" si="16"/>
        <v>0.11784625804266848</v>
      </c>
      <c r="H71" s="178">
        <f t="shared" si="17"/>
        <v>7.7886894683372843E-2</v>
      </c>
      <c r="I71" s="178">
        <f t="shared" si="18"/>
        <v>0.17439891635624788</v>
      </c>
      <c r="J71" s="179">
        <f t="shared" si="19"/>
        <v>2953</v>
      </c>
    </row>
    <row r="72" spans="4:10" x14ac:dyDescent="0.25">
      <c r="D72" s="180">
        <v>45862</v>
      </c>
      <c r="E72" s="178">
        <f t="shared" si="14"/>
        <v>0.34697092004488989</v>
      </c>
      <c r="F72" s="178">
        <f t="shared" si="15"/>
        <v>0.22891457147919911</v>
      </c>
      <c r="G72" s="178">
        <f t="shared" si="16"/>
        <v>0.13187375716170188</v>
      </c>
      <c r="H72" s="178">
        <f t="shared" si="17"/>
        <v>8.5054438778523769E-2</v>
      </c>
      <c r="I72" s="178">
        <f t="shared" si="18"/>
        <v>0.20718631253568548</v>
      </c>
      <c r="J72" s="179">
        <f t="shared" si="19"/>
        <v>2539.5499999999997</v>
      </c>
    </row>
    <row r="73" spans="4:10" x14ac:dyDescent="0.25">
      <c r="D73" s="180">
        <v>45863</v>
      </c>
      <c r="E73" s="178">
        <f t="shared" si="14"/>
        <v>0.35445501905868781</v>
      </c>
      <c r="F73" s="178">
        <f t="shared" si="15"/>
        <v>0.23145943222177978</v>
      </c>
      <c r="G73" s="178">
        <f t="shared" si="16"/>
        <v>0.13488186864541091</v>
      </c>
      <c r="H73" s="178">
        <f t="shared" si="17"/>
        <v>7.9684820506985485E-2</v>
      </c>
      <c r="I73" s="178">
        <f t="shared" si="18"/>
        <v>0.19951885956713619</v>
      </c>
      <c r="J73" s="179">
        <f t="shared" si="19"/>
        <v>2460.8199999999997</v>
      </c>
    </row>
    <row r="74" spans="4:10" x14ac:dyDescent="0.25">
      <c r="D74" s="180">
        <v>45864</v>
      </c>
      <c r="E74" s="178">
        <f t="shared" si="14"/>
        <v>0.41767345529858474</v>
      </c>
      <c r="F74" s="178">
        <f t="shared" si="15"/>
        <v>0.20883672764929237</v>
      </c>
      <c r="G74" s="178">
        <f t="shared" si="16"/>
        <v>0.11908871246116673</v>
      </c>
      <c r="H74" s="178">
        <f t="shared" si="17"/>
        <v>7.7666551605108727E-2</v>
      </c>
      <c r="I74" s="178">
        <f t="shared" si="18"/>
        <v>0.17673455298584742</v>
      </c>
      <c r="J74" s="179">
        <f t="shared" si="19"/>
        <v>2897</v>
      </c>
    </row>
    <row r="75" spans="4:10" x14ac:dyDescent="0.25">
      <c r="D75" s="180">
        <v>45865</v>
      </c>
      <c r="E75" s="178">
        <f t="shared" si="14"/>
        <v>0.42957042957042957</v>
      </c>
      <c r="F75" s="178">
        <f t="shared" si="15"/>
        <v>0.20579420579420579</v>
      </c>
      <c r="G75" s="178">
        <f t="shared" si="16"/>
        <v>0.11555111555111555</v>
      </c>
      <c r="H75" s="178">
        <f t="shared" si="17"/>
        <v>7.6590076590076592E-2</v>
      </c>
      <c r="I75" s="178">
        <f t="shared" si="18"/>
        <v>0.17249417249417248</v>
      </c>
      <c r="J75" s="179">
        <f t="shared" si="19"/>
        <v>3003</v>
      </c>
    </row>
    <row r="76" spans="4:10" x14ac:dyDescent="0.25">
      <c r="D76" s="180">
        <v>45866</v>
      </c>
      <c r="E76" s="178">
        <f t="shared" si="14"/>
        <v>0.43580645161290321</v>
      </c>
      <c r="F76" s="178">
        <f t="shared" si="15"/>
        <v>0.21</v>
      </c>
      <c r="G76" s="178">
        <f t="shared" si="16"/>
        <v>0.11580645161290322</v>
      </c>
      <c r="H76" s="178">
        <f t="shared" si="17"/>
        <v>7.8064516129032258E-2</v>
      </c>
      <c r="I76" s="178">
        <f t="shared" si="18"/>
        <v>0.16032258064516128</v>
      </c>
      <c r="J76" s="179">
        <f t="shared" si="19"/>
        <v>3100</v>
      </c>
    </row>
    <row r="77" spans="4:10" x14ac:dyDescent="0.25">
      <c r="D77" s="180">
        <v>45867</v>
      </c>
      <c r="E77" s="178">
        <f t="shared" si="14"/>
        <v>0.43783956535634388</v>
      </c>
      <c r="F77" s="178">
        <f t="shared" si="15"/>
        <v>0.19942473633748803</v>
      </c>
      <c r="G77" s="178">
        <f t="shared" si="16"/>
        <v>0.11409395973154363</v>
      </c>
      <c r="H77" s="178">
        <f t="shared" si="17"/>
        <v>7.6382230744646853E-2</v>
      </c>
      <c r="I77" s="178">
        <f t="shared" si="18"/>
        <v>0.17225950782997762</v>
      </c>
      <c r="J77" s="179">
        <f t="shared" si="19"/>
        <v>3129</v>
      </c>
    </row>
    <row r="78" spans="4:10" x14ac:dyDescent="0.25">
      <c r="D78" s="180">
        <v>45868</v>
      </c>
      <c r="E78" s="178">
        <f t="shared" si="14"/>
        <v>0.41934415369327593</v>
      </c>
      <c r="F78" s="178">
        <f t="shared" si="15"/>
        <v>0.211659489897317</v>
      </c>
      <c r="G78" s="178">
        <f t="shared" si="16"/>
        <v>0.12023848956608148</v>
      </c>
      <c r="H78" s="178">
        <f t="shared" si="17"/>
        <v>7.9496522027161315E-2</v>
      </c>
      <c r="I78" s="178">
        <f t="shared" si="18"/>
        <v>0.16926134481616428</v>
      </c>
      <c r="J78" s="179">
        <f t="shared" si="19"/>
        <v>3019</v>
      </c>
    </row>
    <row r="79" spans="4:10" x14ac:dyDescent="0.25">
      <c r="D79" s="180">
        <v>45869</v>
      </c>
      <c r="E79" s="178">
        <f t="shared" ref="E79" si="20">F45/J79</f>
        <v>0.31962540716612375</v>
      </c>
      <c r="F79" s="178">
        <f t="shared" ref="F79" si="21">L45/J79</f>
        <v>0.24389250814332247</v>
      </c>
      <c r="G79" s="178">
        <f t="shared" ref="G79" si="22">S45/J79</f>
        <v>0.14413680781758959</v>
      </c>
      <c r="H79" s="178">
        <f t="shared" ref="H79" si="23">T45/J79</f>
        <v>8.3876221498371331E-2</v>
      </c>
      <c r="I79" s="178">
        <f t="shared" ref="I79" si="24">X45/J79</f>
        <v>0.20846905537459284</v>
      </c>
      <c r="J79" s="179">
        <f t="shared" ref="J79" si="25">F45+L45+S45+T45+X45</f>
        <v>2456</v>
      </c>
    </row>
  </sheetData>
  <mergeCells count="11">
    <mergeCell ref="V4:W4"/>
    <mergeCell ref="B2:B5"/>
    <mergeCell ref="D2:H3"/>
    <mergeCell ref="J2:L3"/>
    <mergeCell ref="N2:T3"/>
    <mergeCell ref="V2:X3"/>
    <mergeCell ref="D4:E4"/>
    <mergeCell ref="F4:H4"/>
    <mergeCell ref="J4:K4"/>
    <mergeCell ref="N4:Q4"/>
    <mergeCell ref="R4:T4"/>
  </mergeCells>
  <conditionalFormatting sqref="L16:L19 L27:L32 L21:L25 L41:L42 L34:L39">
    <cfRule type="cellIs" dxfId="84" priority="253" operator="equal">
      <formula>MAX($L$14:$L$16)</formula>
    </cfRule>
  </conditionalFormatting>
  <conditionalFormatting sqref="T16:T19 T27:T32 T21:T25 T41:T43 T34:T39">
    <cfRule type="cellIs" dxfId="83" priority="254" operator="equal">
      <formula>MAX($T$14:$T$16)</formula>
    </cfRule>
  </conditionalFormatting>
  <conditionalFormatting sqref="X16:X19 X27:X32 X21:X25 X41:X43 X34:X39">
    <cfRule type="cellIs" dxfId="82" priority="255" operator="equal">
      <formula>MAX($X$14:$X$16)</formula>
    </cfRule>
  </conditionalFormatting>
  <conditionalFormatting sqref="J16:J19 J27:J32 J21:J25 J41:J42 J34:J39">
    <cfRule type="cellIs" dxfId="81" priority="256" operator="equal">
      <formula>MAX($J$14:$J$16)</formula>
    </cfRule>
  </conditionalFormatting>
  <conditionalFormatting sqref="V16:V19 V27:V32 V21:V23 V41:V43 V34:V39">
    <cfRule type="cellIs" dxfId="80" priority="257" operator="equal">
      <formula>MAX($V$14:$V$16)</formula>
    </cfRule>
  </conditionalFormatting>
  <conditionalFormatting sqref="D16:D19">
    <cfRule type="cellIs" dxfId="79" priority="258" operator="equal">
      <formula>MAX($D$14:$D$16)</formula>
    </cfRule>
  </conditionalFormatting>
  <conditionalFormatting sqref="S16:S19 S27:S32 S21:S25 S41:S43 S34:S39">
    <cfRule type="cellIs" dxfId="78" priority="259" operator="equal">
      <formula>MAX($S$14:$S$16)</formula>
    </cfRule>
  </conditionalFormatting>
  <conditionalFormatting sqref="N16:N19 N27:N32 N21:N25 N41:N42 N34:N39">
    <cfRule type="cellIs" dxfId="77" priority="260" operator="equal">
      <formula>MAX($N$14:$N$16)</formula>
    </cfRule>
  </conditionalFormatting>
  <conditionalFormatting sqref="P16:P19 P27:P32 P21:P25 P41:P42 P39 P34:P37">
    <cfRule type="cellIs" dxfId="76" priority="261" operator="equal">
      <formula>MAX($P$14:$P$16)</formula>
    </cfRule>
  </conditionalFormatting>
  <conditionalFormatting sqref="L26">
    <cfRule type="cellIs" dxfId="75" priority="185" operator="equal">
      <formula>MAX($L$14:$L$16)</formula>
    </cfRule>
  </conditionalFormatting>
  <conditionalFormatting sqref="T26">
    <cfRule type="cellIs" dxfId="74" priority="186" operator="equal">
      <formula>MAX($T$14:$T$16)</formula>
    </cfRule>
  </conditionalFormatting>
  <conditionalFormatting sqref="X26">
    <cfRule type="cellIs" dxfId="73" priority="187" operator="equal">
      <formula>MAX($X$14:$X$16)</formula>
    </cfRule>
  </conditionalFormatting>
  <conditionalFormatting sqref="J26">
    <cfRule type="cellIs" dxfId="72" priority="188" operator="equal">
      <formula>MAX($J$14:$J$16)</formula>
    </cfRule>
  </conditionalFormatting>
  <conditionalFormatting sqref="V26">
    <cfRule type="cellIs" dxfId="71" priority="189" operator="equal">
      <formula>MAX($V$14:$V$16)</formula>
    </cfRule>
  </conditionalFormatting>
  <conditionalFormatting sqref="S26">
    <cfRule type="cellIs" dxfId="70" priority="191" operator="equal">
      <formula>MAX($S$14:$S$16)</formula>
    </cfRule>
  </conditionalFormatting>
  <conditionalFormatting sqref="N26">
    <cfRule type="cellIs" dxfId="69" priority="192" operator="equal">
      <formula>MAX($N$14:$N$16)</formula>
    </cfRule>
  </conditionalFormatting>
  <conditionalFormatting sqref="P26">
    <cfRule type="cellIs" dxfId="68" priority="193" operator="equal">
      <formula>MAX($P$14:$P$16)</formula>
    </cfRule>
  </conditionalFormatting>
  <conditionalFormatting sqref="L40">
    <cfRule type="cellIs" dxfId="67" priority="175" operator="equal">
      <formula>MAX($L$14:$L$16)</formula>
    </cfRule>
  </conditionalFormatting>
  <conditionalFormatting sqref="T40">
    <cfRule type="cellIs" dxfId="66" priority="176" operator="equal">
      <formula>MAX($T$14:$T$16)</formula>
    </cfRule>
  </conditionalFormatting>
  <conditionalFormatting sqref="X40">
    <cfRule type="cellIs" dxfId="65" priority="177" operator="equal">
      <formula>MAX($X$14:$X$16)</formula>
    </cfRule>
  </conditionalFormatting>
  <conditionalFormatting sqref="J40">
    <cfRule type="cellIs" dxfId="64" priority="178" operator="equal">
      <formula>MAX($J$14:$J$16)</formula>
    </cfRule>
  </conditionalFormatting>
  <conditionalFormatting sqref="V40">
    <cfRule type="cellIs" dxfId="63" priority="179" operator="equal">
      <formula>MAX($V$14:$V$16)</formula>
    </cfRule>
  </conditionalFormatting>
  <conditionalFormatting sqref="S40">
    <cfRule type="cellIs" dxfId="62" priority="181" operator="equal">
      <formula>MAX($S$14:$S$16)</formula>
    </cfRule>
  </conditionalFormatting>
  <conditionalFormatting sqref="N40">
    <cfRule type="cellIs" dxfId="61" priority="182" operator="equal">
      <formula>MAX($N$14:$N$16)</formula>
    </cfRule>
  </conditionalFormatting>
  <conditionalFormatting sqref="P40">
    <cfRule type="cellIs" dxfId="60" priority="183" operator="equal">
      <formula>MAX($P$14:$P$16)</formula>
    </cfRule>
  </conditionalFormatting>
  <conditionalFormatting sqref="D20:D32 D44:D45 D34:D42">
    <cfRule type="cellIs" dxfId="59" priority="171" operator="equal">
      <formula>MAX($D$14:$D$42)</formula>
    </cfRule>
  </conditionalFormatting>
  <conditionalFormatting sqref="L20">
    <cfRule type="cellIs" dxfId="58" priority="162" operator="equal">
      <formula>MAX($L$14:$L$42)</formula>
    </cfRule>
  </conditionalFormatting>
  <conditionalFormatting sqref="T20">
    <cfRule type="cellIs" dxfId="57" priority="163" operator="equal">
      <formula>MAX($T$14:$T$42)</formula>
    </cfRule>
  </conditionalFormatting>
  <conditionalFormatting sqref="X20">
    <cfRule type="cellIs" dxfId="56" priority="164" operator="equal">
      <formula>MAX($X$14:$X$42)</formula>
    </cfRule>
  </conditionalFormatting>
  <conditionalFormatting sqref="J20">
    <cfRule type="cellIs" dxfId="55" priority="165" operator="equal">
      <formula>MAX($J$14:$J$42)</formula>
    </cfRule>
  </conditionalFormatting>
  <conditionalFormatting sqref="V20">
    <cfRule type="cellIs" dxfId="54" priority="166" operator="equal">
      <formula>MAX($V$14:$V$42)</formula>
    </cfRule>
  </conditionalFormatting>
  <conditionalFormatting sqref="S20">
    <cfRule type="cellIs" dxfId="53" priority="167" operator="equal">
      <formula>MAX($S$14:$S$42)</formula>
    </cfRule>
  </conditionalFormatting>
  <conditionalFormatting sqref="N20">
    <cfRule type="cellIs" dxfId="52" priority="168" operator="equal">
      <formula>MAX($N$14:$N$42)</formula>
    </cfRule>
  </conditionalFormatting>
  <conditionalFormatting sqref="P20">
    <cfRule type="cellIs" dxfId="51" priority="169" operator="equal">
      <formula>MAX($P$14:$P$42)</formula>
    </cfRule>
  </conditionalFormatting>
  <conditionalFormatting sqref="E48:E64">
    <cfRule type="top10" dxfId="50" priority="161" rank="2"/>
  </conditionalFormatting>
  <conditionalFormatting sqref="F48:F79">
    <cfRule type="top10" dxfId="49" priority="160" rank="2"/>
  </conditionalFormatting>
  <conditionalFormatting sqref="G48:G64">
    <cfRule type="top10" dxfId="48" priority="159" rank="2"/>
  </conditionalFormatting>
  <conditionalFormatting sqref="H48:H64">
    <cfRule type="top10" dxfId="47" priority="158" rank="2"/>
  </conditionalFormatting>
  <conditionalFormatting sqref="I48:I64">
    <cfRule type="top10" dxfId="46" priority="157" rank="2"/>
  </conditionalFormatting>
  <conditionalFormatting sqref="V24">
    <cfRule type="cellIs" dxfId="45" priority="127" operator="equal">
      <formula>MAX($J$14:$J$16)</formula>
    </cfRule>
  </conditionalFormatting>
  <conditionalFormatting sqref="V25">
    <cfRule type="cellIs" dxfId="44" priority="126" operator="equal">
      <formula>MAX($J$14:$J$16)</formula>
    </cfRule>
  </conditionalFormatting>
  <conditionalFormatting sqref="G15:G32 G34:G45">
    <cfRule type="cellIs" dxfId="43" priority="115" operator="equal">
      <formula>MAX($G$14:$G$16)</formula>
    </cfRule>
  </conditionalFormatting>
  <conditionalFormatting sqref="L44:L45">
    <cfRule type="cellIs" dxfId="42" priority="105" operator="equal">
      <formula>MAX($L$14:$L$16)</formula>
    </cfRule>
  </conditionalFormatting>
  <conditionalFormatting sqref="T44:T45">
    <cfRule type="cellIs" dxfId="41" priority="106" operator="equal">
      <formula>MAX($T$14:$T$16)</formula>
    </cfRule>
  </conditionalFormatting>
  <conditionalFormatting sqref="X44:X45">
    <cfRule type="cellIs" dxfId="40" priority="107" operator="equal">
      <formula>MAX($X$14:$X$16)</formula>
    </cfRule>
  </conditionalFormatting>
  <conditionalFormatting sqref="J44:J45">
    <cfRule type="cellIs" dxfId="39" priority="108" operator="equal">
      <formula>MAX($J$14:$J$16)</formula>
    </cfRule>
  </conditionalFormatting>
  <conditionalFormatting sqref="V44:V45">
    <cfRule type="cellIs" dxfId="38" priority="109" operator="equal">
      <formula>MAX($V$14:$V$16)</formula>
    </cfRule>
  </conditionalFormatting>
  <conditionalFormatting sqref="S44:S45">
    <cfRule type="cellIs" dxfId="37" priority="111" operator="equal">
      <formula>MAX($S$14:$S$16)</formula>
    </cfRule>
  </conditionalFormatting>
  <conditionalFormatting sqref="N44:N45">
    <cfRule type="cellIs" dxfId="36" priority="112" operator="equal">
      <formula>MAX($N$14:$N$16)</formula>
    </cfRule>
  </conditionalFormatting>
  <conditionalFormatting sqref="P44:P45">
    <cfRule type="cellIs" dxfId="35" priority="113" operator="equal">
      <formula>MAX($P$14:$P$16)</formula>
    </cfRule>
  </conditionalFormatting>
  <conditionalFormatting sqref="D15">
    <cfRule type="cellIs" dxfId="34" priority="94" operator="equal">
      <formula>MAX($D$14:$D$16)</formula>
    </cfRule>
  </conditionalFormatting>
  <conditionalFormatting sqref="L15">
    <cfRule type="cellIs" dxfId="33" priority="91" operator="equal">
      <formula>MAX($L$14:$L$16)</formula>
    </cfRule>
  </conditionalFormatting>
  <conditionalFormatting sqref="J15">
    <cfRule type="cellIs" dxfId="32" priority="92" operator="equal">
      <formula>MAX($J$14:$J$16)</formula>
    </cfRule>
  </conditionalFormatting>
  <conditionalFormatting sqref="N15">
    <cfRule type="cellIs" dxfId="31" priority="87" operator="equal">
      <formula>MAX($N$14:$N$16)</formula>
    </cfRule>
  </conditionalFormatting>
  <conditionalFormatting sqref="P15">
    <cfRule type="cellIs" dxfId="30" priority="88" operator="equal">
      <formula>MAX($P$14:$P$16)</formula>
    </cfRule>
  </conditionalFormatting>
  <conditionalFormatting sqref="T15">
    <cfRule type="cellIs" dxfId="29" priority="83" operator="equal">
      <formula>MAX($T$14:$T$16)</formula>
    </cfRule>
  </conditionalFormatting>
  <conditionalFormatting sqref="S15">
    <cfRule type="cellIs" dxfId="28" priority="84" operator="equal">
      <formula>MAX($S$14:$S$16)</formula>
    </cfRule>
  </conditionalFormatting>
  <conditionalFormatting sqref="X15">
    <cfRule type="cellIs" dxfId="27" priority="79" operator="equal">
      <formula>MAX($X$14:$X$16)</formula>
    </cfRule>
  </conditionalFormatting>
  <conditionalFormatting sqref="V15">
    <cfRule type="cellIs" dxfId="26" priority="80" operator="equal">
      <formula>MAX($V$14:$V$16)</formula>
    </cfRule>
  </conditionalFormatting>
  <conditionalFormatting sqref="N43">
    <cfRule type="cellIs" dxfId="25" priority="64" operator="equal">
      <formula>MAX($N$14:$N$16)</formula>
    </cfRule>
  </conditionalFormatting>
  <conditionalFormatting sqref="P43">
    <cfRule type="cellIs" dxfId="24" priority="65" operator="equal">
      <formula>MAX($P$14:$P$16)</formula>
    </cfRule>
  </conditionalFormatting>
  <conditionalFormatting sqref="L43">
    <cfRule type="cellIs" dxfId="23" priority="60" operator="equal">
      <formula>MAX($L$14:$L$16)</formula>
    </cfRule>
  </conditionalFormatting>
  <conditionalFormatting sqref="J43">
    <cfRule type="cellIs" dxfId="22" priority="61" operator="equal">
      <formula>MAX($J$14:$J$16)</formula>
    </cfRule>
  </conditionalFormatting>
  <conditionalFormatting sqref="D43">
    <cfRule type="cellIs" dxfId="21" priority="58" operator="equal">
      <formula>MAX($D$14:$D$42)</formula>
    </cfRule>
  </conditionalFormatting>
  <conditionalFormatting sqref="G14">
    <cfRule type="cellIs" dxfId="20" priority="47" operator="equal">
      <formula>MAX($G$14:$G$16)</formula>
    </cfRule>
  </conditionalFormatting>
  <conditionalFormatting sqref="L33">
    <cfRule type="cellIs" dxfId="19" priority="13" operator="equal">
      <formula>MAX($L$14:$L$16)</formula>
    </cfRule>
  </conditionalFormatting>
  <conditionalFormatting sqref="T33">
    <cfRule type="cellIs" dxfId="18" priority="14" operator="equal">
      <formula>MAX($T$14:$T$16)</formula>
    </cfRule>
  </conditionalFormatting>
  <conditionalFormatting sqref="X33">
    <cfRule type="cellIs" dxfId="17" priority="15" operator="equal">
      <formula>MAX($X$14:$X$16)</formula>
    </cfRule>
  </conditionalFormatting>
  <conditionalFormatting sqref="J33">
    <cfRule type="cellIs" dxfId="16" priority="16" operator="equal">
      <formula>MAX($J$14:$J$16)</formula>
    </cfRule>
  </conditionalFormatting>
  <conditionalFormatting sqref="V33">
    <cfRule type="cellIs" dxfId="15" priority="17" operator="equal">
      <formula>MAX($V$14:$V$16)</formula>
    </cfRule>
  </conditionalFormatting>
  <conditionalFormatting sqref="S33">
    <cfRule type="cellIs" dxfId="14" priority="18" operator="equal">
      <formula>MAX($S$14:$S$16)</formula>
    </cfRule>
  </conditionalFormatting>
  <conditionalFormatting sqref="N33">
    <cfRule type="cellIs" dxfId="13" priority="19" operator="equal">
      <formula>MAX($N$14:$N$16)</formula>
    </cfRule>
  </conditionalFormatting>
  <conditionalFormatting sqref="P33">
    <cfRule type="cellIs" dxfId="12" priority="20" operator="equal">
      <formula>MAX($P$14:$P$16)</formula>
    </cfRule>
  </conditionalFormatting>
  <conditionalFormatting sqref="D33">
    <cfRule type="cellIs" dxfId="11" priority="12" operator="equal">
      <formula>MAX($D$14:$D$42)</formula>
    </cfRule>
  </conditionalFormatting>
  <conditionalFormatting sqref="G33">
    <cfRule type="cellIs" dxfId="10" priority="11" operator="equal">
      <formula>MAX($G$14:$G$16)</formula>
    </cfRule>
  </conditionalFormatting>
  <conditionalFormatting sqref="P38">
    <cfRule type="cellIs" dxfId="9" priority="10" operator="equal">
      <formula>MAX($P$14:$P$16)</formula>
    </cfRule>
  </conditionalFormatting>
  <conditionalFormatting sqref="D14">
    <cfRule type="cellIs" dxfId="8" priority="9" operator="equal">
      <formula>MAX($D$14:$D$42)</formula>
    </cfRule>
  </conditionalFormatting>
  <conditionalFormatting sqref="L14">
    <cfRule type="cellIs" dxfId="7" priority="7" operator="equal">
      <formula>MAX($L$14:$L$16)</formula>
    </cfRule>
  </conditionalFormatting>
  <conditionalFormatting sqref="J14">
    <cfRule type="cellIs" dxfId="6" priority="8" operator="equal">
      <formula>MAX($J$14:$J$16)</formula>
    </cfRule>
  </conditionalFormatting>
  <conditionalFormatting sqref="N14">
    <cfRule type="cellIs" dxfId="5" priority="5" operator="equal">
      <formula>MAX($N$14:$N$16)</formula>
    </cfRule>
  </conditionalFormatting>
  <conditionalFormatting sqref="P14">
    <cfRule type="cellIs" dxfId="4" priority="6" operator="equal">
      <formula>MAX($P$14:$P$16)</formula>
    </cfRule>
  </conditionalFormatting>
  <conditionalFormatting sqref="T14">
    <cfRule type="cellIs" dxfId="3" priority="3" operator="equal">
      <formula>MAX($T$14:$T$16)</formula>
    </cfRule>
  </conditionalFormatting>
  <conditionalFormatting sqref="S14">
    <cfRule type="cellIs" dxfId="2" priority="4" operator="equal">
      <formula>MAX($S$14:$S$16)</formula>
    </cfRule>
  </conditionalFormatting>
  <conditionalFormatting sqref="X14">
    <cfRule type="cellIs" dxfId="1" priority="1" operator="equal">
      <formula>MAX($X$14:$X$16)</formula>
    </cfRule>
  </conditionalFormatting>
  <conditionalFormatting sqref="V14">
    <cfRule type="cellIs" dxfId="0" priority="2" operator="equal">
      <formula>MAX($V$14:$V$16)</formula>
    </cfRule>
  </conditionalFormatting>
  <pageMargins left="0.7" right="0.7" top="0.75" bottom="0.75" header="0.3" footer="0.3"/>
  <pageSetup paperSize="9" orientation="portrait" horizontalDpi="4294967295" verticalDpi="4294967295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94F7-E930-4E8B-8B3D-93EA2DB49FD8}">
  <dimension ref="A1"/>
  <sheetViews>
    <sheetView topLeftCell="A4"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0" workbookViewId="0"/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3" workbookViewId="0">
      <selection sqref="A1:XFD1048576"/>
    </sheetView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SharedWithUsers xmlns="ffac592c-cdc9-47d3-9b5f-572462ebd9e4">
      <UserInfo>
        <DisplayName/>
        <AccountId xsi:nil="true"/>
        <AccountType/>
      </UserInfo>
    </SharedWithUsers>
    <lcf76f155ced4ddcb4097134ff3c332f xmlns="a49c09fe-4018-4f3a-9927-d6e5af32fdd5">
      <Terms xmlns="http://schemas.microsoft.com/office/infopath/2007/PartnerControls"/>
    </lcf76f155ced4ddcb4097134ff3c332f>
    <TaxCatchAll xmlns="ffac592c-cdc9-47d3-9b5f-572462ebd9e4" xsi:nil="true"/>
    <_Flow_SignoffStatus xmlns="a49c09fe-4018-4f3a-9927-d6e5af32fdd5" xsi:nil="true"/>
  </documentManagement>
</p:properties>
</file>

<file path=customXml/itemProps1.xml><?xml version="1.0" encoding="utf-8"?>
<ds:datastoreItem xmlns:ds="http://schemas.openxmlformats.org/officeDocument/2006/customXml" ds:itemID="{ED709115-1C3D-4AF3-8A87-7ADC8EF91565}"/>
</file>

<file path=customXml/itemProps2.xml><?xml version="1.0" encoding="utf-8"?>
<ds:datastoreItem xmlns:ds="http://schemas.openxmlformats.org/officeDocument/2006/customXml" ds:itemID="{4BCC3370-B7AD-4715-B42A-F82531128245}"/>
</file>

<file path=customXml/itemProps3.xml><?xml version="1.0" encoding="utf-8"?>
<ds:datastoreItem xmlns:ds="http://schemas.openxmlformats.org/officeDocument/2006/customXml" ds:itemID="{750CB55E-BD40-466D-ABC6-DA7CA47DDF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SEAT-SERs</vt:lpstr>
      <vt:lpstr>SAFs</vt:lpstr>
      <vt:lpstr>Hoja2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Arancibia Leon</dc:creator>
  <cp:lastModifiedBy>Antonio Reyes Aviles</cp:lastModifiedBy>
  <dcterms:created xsi:type="dcterms:W3CDTF">2022-10-03T10:52:32Z</dcterms:created>
  <dcterms:modified xsi:type="dcterms:W3CDTF">2026-02-02T13:37:38Z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0x010100E3C748FF7EC2ED4E8EAD43CD1EEC2D0E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