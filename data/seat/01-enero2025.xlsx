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Enero/31-01-2025/"/>
    </mc:Choice>
  </mc:AlternateContent>
  <xr:revisionPtr revIDLastSave="15" documentId="13_ncr:1_{D76AB602-906A-44A3-862E-430997663F7D}" xr6:coauthVersionLast="47" xr6:coauthVersionMax="47" xr10:uidLastSave="{0187A86B-3A69-4AC5-87BB-34607011045C}"/>
  <bookViews>
    <workbookView xWindow="-120" yWindow="-120" windowWidth="29040" windowHeight="15720" tabRatio="597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" i="2" l="1"/>
  <c r="G46" i="2"/>
  <c r="G45" i="2"/>
  <c r="H45" i="2"/>
  <c r="F45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76" i="2"/>
  <c r="F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76" i="2"/>
  <c r="I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76" i="2"/>
  <c r="H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H67" i="2" s="1"/>
  <c r="J68" i="2"/>
  <c r="G68" i="2" s="1"/>
  <c r="J69" i="2"/>
  <c r="E69" i="2" s="1"/>
  <c r="J70" i="2"/>
  <c r="G70" i="2" s="1"/>
  <c r="J71" i="2"/>
  <c r="G71" i="2" s="1"/>
  <c r="J72" i="2"/>
  <c r="F72" i="2" s="1"/>
  <c r="J73" i="2"/>
  <c r="E73" i="2" s="1"/>
  <c r="J74" i="2"/>
  <c r="I74" i="2" s="1"/>
  <c r="J75" i="2"/>
  <c r="H75" i="2" s="1"/>
  <c r="J76" i="2"/>
  <c r="E76" i="2" s="1"/>
  <c r="J77" i="2"/>
  <c r="F77" i="2" s="1"/>
  <c r="J78" i="2"/>
  <c r="F78" i="2" s="1"/>
  <c r="J79" i="2"/>
  <c r="F79" i="2" s="1"/>
  <c r="J80" i="2"/>
  <c r="E80" i="2" s="1"/>
  <c r="J50" i="2"/>
  <c r="E50" i="2"/>
  <c r="BL15" i="1"/>
  <c r="BK15" i="1" s="1"/>
  <c r="BA15" i="1"/>
  <c r="AY15" i="1" s="1"/>
  <c r="AX15" i="1"/>
  <c r="AW15" i="1"/>
  <c r="AP15" i="1"/>
  <c r="AM15" i="1" s="1"/>
  <c r="AN15" i="1"/>
  <c r="AF15" i="1"/>
  <c r="AD15" i="1"/>
  <c r="AC15" i="1"/>
  <c r="G80" i="2" l="1"/>
  <c r="F80" i="2"/>
  <c r="H80" i="2"/>
  <c r="I80" i="2"/>
  <c r="E79" i="2"/>
  <c r="I79" i="2"/>
  <c r="G79" i="2"/>
  <c r="H79" i="2"/>
  <c r="E78" i="2"/>
  <c r="G78" i="2"/>
  <c r="H78" i="2"/>
  <c r="I78" i="2"/>
  <c r="I72" i="2"/>
  <c r="H72" i="2"/>
  <c r="E72" i="2"/>
  <c r="G72" i="2"/>
  <c r="H71" i="2"/>
  <c r="G77" i="2"/>
  <c r="H77" i="2"/>
  <c r="I77" i="2"/>
  <c r="E77" i="2"/>
  <c r="G76" i="2"/>
  <c r="F75" i="2"/>
  <c r="I75" i="2"/>
  <c r="E75" i="2"/>
  <c r="G75" i="2"/>
  <c r="F74" i="2"/>
  <c r="E74" i="2"/>
  <c r="G74" i="2"/>
  <c r="H74" i="2"/>
  <c r="G73" i="2"/>
  <c r="H73" i="2"/>
  <c r="I73" i="2"/>
  <c r="F73" i="2"/>
  <c r="I71" i="2"/>
  <c r="E71" i="2"/>
  <c r="F71" i="2"/>
  <c r="E70" i="2"/>
  <c r="H70" i="2"/>
  <c r="F70" i="2"/>
  <c r="I70" i="2"/>
  <c r="F69" i="2"/>
  <c r="G69" i="2"/>
  <c r="H69" i="2"/>
  <c r="I69" i="2"/>
  <c r="F68" i="2"/>
  <c r="H68" i="2"/>
  <c r="I68" i="2"/>
  <c r="E68" i="2"/>
  <c r="G67" i="2"/>
  <c r="F67" i="2"/>
  <c r="I67" i="2"/>
  <c r="E67" i="2"/>
  <c r="BJ15" i="1"/>
  <c r="U20" i="2" l="1"/>
  <c r="R20" i="2"/>
  <c r="M20" i="2"/>
  <c r="G20" i="2"/>
  <c r="BA13" i="1"/>
  <c r="AP13" i="1"/>
  <c r="AF13" i="1"/>
  <c r="BA12" i="1" l="1"/>
  <c r="BA11" i="1"/>
  <c r="AP12" i="1"/>
  <c r="AP11" i="1"/>
  <c r="AF12" i="1"/>
  <c r="AF11" i="1"/>
  <c r="S41" i="1" l="1"/>
  <c r="R40" i="1" s="1"/>
  <c r="G44" i="2"/>
  <c r="R44" i="2"/>
  <c r="G43" i="2"/>
  <c r="R43" i="2"/>
  <c r="R41" i="2"/>
  <c r="R42" i="2"/>
  <c r="G42" i="2"/>
  <c r="G41" i="2"/>
  <c r="R40" i="2"/>
  <c r="G40" i="2"/>
  <c r="BL33" i="1"/>
  <c r="BJ33" i="1" s="1"/>
  <c r="BA33" i="1"/>
  <c r="AW33" i="1" s="1"/>
  <c r="AX33" i="1"/>
  <c r="AP33" i="1"/>
  <c r="AM33" i="1" s="1"/>
  <c r="AN33" i="1"/>
  <c r="AF33" i="1"/>
  <c r="AC33" i="1" s="1"/>
  <c r="AD33" i="1"/>
  <c r="G39" i="2"/>
  <c r="R39" i="2"/>
  <c r="AD31" i="1"/>
  <c r="G38" i="2"/>
  <c r="R38" i="2"/>
  <c r="R37" i="2"/>
  <c r="G37" i="2"/>
  <c r="R36" i="2"/>
  <c r="G36" i="2"/>
  <c r="R35" i="2"/>
  <c r="G35" i="2"/>
  <c r="G34" i="2"/>
  <c r="R34" i="2"/>
  <c r="R33" i="2"/>
  <c r="G33" i="2"/>
  <c r="R32" i="2"/>
  <c r="G32" i="2"/>
  <c r="G31" i="2"/>
  <c r="R31" i="2"/>
  <c r="G30" i="2"/>
  <c r="R30" i="2"/>
  <c r="BK33" i="1" l="1"/>
  <c r="AY33" i="1"/>
  <c r="R29" i="2"/>
  <c r="R25" i="2"/>
  <c r="G25" i="2"/>
  <c r="G29" i="2"/>
  <c r="R28" i="2"/>
  <c r="G28" i="2"/>
  <c r="R27" i="2"/>
  <c r="G27" i="2"/>
  <c r="R26" i="2"/>
  <c r="G26" i="2"/>
  <c r="G24" i="2"/>
  <c r="R24" i="2"/>
  <c r="BL19" i="1"/>
  <c r="BJ19" i="1" s="1"/>
  <c r="BA19" i="1"/>
  <c r="AY19" i="1" s="1"/>
  <c r="AX19" i="1"/>
  <c r="AP19" i="1"/>
  <c r="AM19" i="1" s="1"/>
  <c r="AN19" i="1"/>
  <c r="AF19" i="1"/>
  <c r="AC19" i="1" s="1"/>
  <c r="R23" i="2"/>
  <c r="G23" i="2"/>
  <c r="G22" i="2"/>
  <c r="R22" i="2"/>
  <c r="G21" i="2"/>
  <c r="R21" i="2"/>
  <c r="R19" i="2"/>
  <c r="G19" i="2"/>
  <c r="R18" i="2"/>
  <c r="G18" i="2"/>
  <c r="U14" i="2"/>
  <c r="M14" i="2"/>
  <c r="I14" i="2"/>
  <c r="BI7" i="1"/>
  <c r="AV7" i="1"/>
  <c r="AL7" i="1"/>
  <c r="AB7" i="1"/>
  <c r="Q7" i="1"/>
  <c r="D24" i="1"/>
  <c r="H24" i="1"/>
  <c r="AD24" i="1"/>
  <c r="AF24" i="1"/>
  <c r="AC24" i="1" s="1"/>
  <c r="AN24" i="1"/>
  <c r="AP24" i="1"/>
  <c r="AM24" i="1" s="1"/>
  <c r="AX24" i="1"/>
  <c r="BA24" i="1"/>
  <c r="AW24" i="1" s="1"/>
  <c r="BL24" i="1"/>
  <c r="BJ24" i="1" s="1"/>
  <c r="D25" i="1"/>
  <c r="H25" i="1"/>
  <c r="AD25" i="1"/>
  <c r="AF25" i="1"/>
  <c r="AC25" i="1" s="1"/>
  <c r="AN25" i="1"/>
  <c r="AP25" i="1"/>
  <c r="AM25" i="1" s="1"/>
  <c r="AX25" i="1"/>
  <c r="BA25" i="1"/>
  <c r="AW25" i="1" s="1"/>
  <c r="BL25" i="1"/>
  <c r="BK25" i="1" s="1"/>
  <c r="D26" i="1"/>
  <c r="H26" i="1"/>
  <c r="AD26" i="1"/>
  <c r="AF26" i="1"/>
  <c r="AC26" i="1" s="1"/>
  <c r="AN26" i="1"/>
  <c r="AP26" i="1"/>
  <c r="AX26" i="1"/>
  <c r="BA26" i="1"/>
  <c r="AW26" i="1" s="1"/>
  <c r="BL26" i="1"/>
  <c r="BJ26" i="1" s="1"/>
  <c r="D27" i="1"/>
  <c r="H27" i="1"/>
  <c r="AD27" i="1"/>
  <c r="AF27" i="1"/>
  <c r="AC27" i="1" s="1"/>
  <c r="AN27" i="1"/>
  <c r="AP27" i="1"/>
  <c r="AX27" i="1"/>
  <c r="BA27" i="1"/>
  <c r="AW27" i="1" s="1"/>
  <c r="BL27" i="1"/>
  <c r="BK27" i="1" s="1"/>
  <c r="D28" i="1"/>
  <c r="H28" i="1"/>
  <c r="AD28" i="1"/>
  <c r="AF28" i="1"/>
  <c r="AC28" i="1" s="1"/>
  <c r="AN28" i="1"/>
  <c r="AP28" i="1"/>
  <c r="AX28" i="1"/>
  <c r="BA28" i="1"/>
  <c r="BL28" i="1"/>
  <c r="BJ28" i="1" s="1"/>
  <c r="D29" i="1"/>
  <c r="H29" i="1"/>
  <c r="AD29" i="1"/>
  <c r="AF29" i="1"/>
  <c r="AC29" i="1" s="1"/>
  <c r="AN29" i="1"/>
  <c r="AP29" i="1"/>
  <c r="AX29" i="1"/>
  <c r="BA29" i="1"/>
  <c r="AW29" i="1" s="1"/>
  <c r="BL29" i="1"/>
  <c r="BK29" i="1" s="1"/>
  <c r="D30" i="1"/>
  <c r="H30" i="1"/>
  <c r="AD30" i="1"/>
  <c r="AF30" i="1"/>
  <c r="AC30" i="1" s="1"/>
  <c r="AN30" i="1"/>
  <c r="AP30" i="1"/>
  <c r="AX30" i="1"/>
  <c r="BA30" i="1"/>
  <c r="AW30" i="1" s="1"/>
  <c r="BL30" i="1"/>
  <c r="BJ30" i="1" s="1"/>
  <c r="D31" i="1"/>
  <c r="AF31" i="1"/>
  <c r="AC31" i="1" s="1"/>
  <c r="AN31" i="1"/>
  <c r="AP31" i="1"/>
  <c r="AX31" i="1"/>
  <c r="BA31" i="1"/>
  <c r="AW31" i="1" s="1"/>
  <c r="BL31" i="1"/>
  <c r="BK31" i="1" s="1"/>
  <c r="D32" i="1"/>
  <c r="AD32" i="1"/>
  <c r="AF32" i="1"/>
  <c r="AC32" i="1" s="1"/>
  <c r="AN32" i="1"/>
  <c r="AP32" i="1"/>
  <c r="AX32" i="1"/>
  <c r="BA32" i="1"/>
  <c r="AW32" i="1" s="1"/>
  <c r="BL32" i="1"/>
  <c r="BJ32" i="1" s="1"/>
  <c r="D33" i="1"/>
  <c r="H33" i="1"/>
  <c r="D34" i="1"/>
  <c r="H34" i="1"/>
  <c r="AD34" i="1"/>
  <c r="AF34" i="1"/>
  <c r="AC34" i="1" s="1"/>
  <c r="AN34" i="1"/>
  <c r="AP34" i="1"/>
  <c r="AX34" i="1"/>
  <c r="BA34" i="1"/>
  <c r="AW34" i="1" s="1"/>
  <c r="BL34" i="1"/>
  <c r="BK34" i="1" s="1"/>
  <c r="D35" i="1"/>
  <c r="H35" i="1"/>
  <c r="AD35" i="1"/>
  <c r="AF35" i="1"/>
  <c r="AC35" i="1" s="1"/>
  <c r="AN35" i="1"/>
  <c r="AP35" i="1"/>
  <c r="AX35" i="1"/>
  <c r="BA35" i="1"/>
  <c r="AW35" i="1" s="1"/>
  <c r="BL35" i="1"/>
  <c r="BK35" i="1" s="1"/>
  <c r="D36" i="1"/>
  <c r="H36" i="1"/>
  <c r="AD36" i="1"/>
  <c r="AF36" i="1"/>
  <c r="AC36" i="1" s="1"/>
  <c r="AN36" i="1"/>
  <c r="AP36" i="1"/>
  <c r="AX36" i="1"/>
  <c r="BA36" i="1"/>
  <c r="AW36" i="1" s="1"/>
  <c r="BL36" i="1"/>
  <c r="BJ36" i="1" s="1"/>
  <c r="D37" i="1"/>
  <c r="H37" i="1"/>
  <c r="AD37" i="1"/>
  <c r="AF37" i="1"/>
  <c r="AC37" i="1" s="1"/>
  <c r="AN37" i="1"/>
  <c r="AP37" i="1"/>
  <c r="AX37" i="1"/>
  <c r="BA37" i="1"/>
  <c r="BL37" i="1"/>
  <c r="BK37" i="1" s="1"/>
  <c r="D11" i="1"/>
  <c r="H11" i="1"/>
  <c r="AD11" i="1"/>
  <c r="AC11" i="1"/>
  <c r="AN11" i="1"/>
  <c r="AM11" i="1"/>
  <c r="AX11" i="1"/>
  <c r="AW11" i="1"/>
  <c r="BL11" i="1"/>
  <c r="D12" i="1"/>
  <c r="H12" i="1"/>
  <c r="AD12" i="1"/>
  <c r="AC12" i="1"/>
  <c r="AN12" i="1"/>
  <c r="AM12" i="1"/>
  <c r="AX12" i="1"/>
  <c r="AW12" i="1"/>
  <c r="BL12" i="1"/>
  <c r="BK12" i="1" s="1"/>
  <c r="D13" i="1"/>
  <c r="H13" i="1"/>
  <c r="AD13" i="1"/>
  <c r="AC13" i="1"/>
  <c r="AN13" i="1"/>
  <c r="AM13" i="1"/>
  <c r="AX13" i="1"/>
  <c r="AW13" i="1"/>
  <c r="BL13" i="1"/>
  <c r="BK13" i="1" s="1"/>
  <c r="D14" i="1"/>
  <c r="H14" i="1"/>
  <c r="AD14" i="1"/>
  <c r="AF14" i="1"/>
  <c r="AC14" i="1" s="1"/>
  <c r="AN14" i="1"/>
  <c r="AP14" i="1"/>
  <c r="AM14" i="1" s="1"/>
  <c r="AX14" i="1"/>
  <c r="BA14" i="1"/>
  <c r="AW14" i="1" s="1"/>
  <c r="BL14" i="1"/>
  <c r="BK14" i="1" s="1"/>
  <c r="D15" i="1"/>
  <c r="H15" i="1"/>
  <c r="D16" i="1"/>
  <c r="H16" i="1"/>
  <c r="AD16" i="1"/>
  <c r="AF16" i="1"/>
  <c r="AC16" i="1" s="1"/>
  <c r="AN16" i="1"/>
  <c r="AP16" i="1"/>
  <c r="AM16" i="1" s="1"/>
  <c r="AX16" i="1"/>
  <c r="BA16" i="1"/>
  <c r="AW16" i="1" s="1"/>
  <c r="BL16" i="1"/>
  <c r="BK16" i="1" s="1"/>
  <c r="D17" i="1"/>
  <c r="H17" i="1"/>
  <c r="AD17" i="1"/>
  <c r="AF17" i="1"/>
  <c r="AC17" i="1" s="1"/>
  <c r="AN17" i="1"/>
  <c r="AP17" i="1"/>
  <c r="AM17" i="1" s="1"/>
  <c r="AX17" i="1"/>
  <c r="BA17" i="1"/>
  <c r="AW17" i="1" s="1"/>
  <c r="BL17" i="1"/>
  <c r="D18" i="1"/>
  <c r="H18" i="1"/>
  <c r="AD18" i="1"/>
  <c r="AF18" i="1"/>
  <c r="AC18" i="1" s="1"/>
  <c r="AN18" i="1"/>
  <c r="AP18" i="1"/>
  <c r="AM18" i="1" s="1"/>
  <c r="AX18" i="1"/>
  <c r="BA18" i="1"/>
  <c r="AW18" i="1" s="1"/>
  <c r="BL18" i="1"/>
  <c r="BK18" i="1" s="1"/>
  <c r="D19" i="1"/>
  <c r="H19" i="1"/>
  <c r="AD19" i="1"/>
  <c r="D20" i="1"/>
  <c r="H20" i="1"/>
  <c r="AD20" i="1"/>
  <c r="AF20" i="1"/>
  <c r="AC20" i="1" s="1"/>
  <c r="AN20" i="1"/>
  <c r="AP20" i="1"/>
  <c r="AM20" i="1" s="1"/>
  <c r="AX20" i="1"/>
  <c r="BA20" i="1"/>
  <c r="AW20" i="1" s="1"/>
  <c r="BL20" i="1"/>
  <c r="D21" i="1"/>
  <c r="H21" i="1"/>
  <c r="AD21" i="1"/>
  <c r="AF21" i="1"/>
  <c r="AC21" i="1" s="1"/>
  <c r="AN21" i="1"/>
  <c r="AP21" i="1"/>
  <c r="AM21" i="1" s="1"/>
  <c r="AX21" i="1"/>
  <c r="BA21" i="1"/>
  <c r="AW21" i="1" s="1"/>
  <c r="BL21" i="1"/>
  <c r="D22" i="1"/>
  <c r="H22" i="1"/>
  <c r="AD22" i="1"/>
  <c r="AF22" i="1"/>
  <c r="AC22" i="1" s="1"/>
  <c r="AN22" i="1"/>
  <c r="AP22" i="1"/>
  <c r="AM22" i="1" s="1"/>
  <c r="AX22" i="1"/>
  <c r="BA22" i="1"/>
  <c r="AW22" i="1" s="1"/>
  <c r="BL22" i="1"/>
  <c r="D23" i="1"/>
  <c r="H23" i="1"/>
  <c r="AD23" i="1"/>
  <c r="AF23" i="1"/>
  <c r="AC23" i="1" s="1"/>
  <c r="AN23" i="1"/>
  <c r="AP23" i="1"/>
  <c r="AM23" i="1" s="1"/>
  <c r="AX23" i="1"/>
  <c r="BA23" i="1"/>
  <c r="AW23" i="1" s="1"/>
  <c r="BL23" i="1"/>
  <c r="BK23" i="1" s="1"/>
  <c r="H9" i="1"/>
  <c r="H10" i="1"/>
  <c r="D7" i="1"/>
  <c r="D8" i="1"/>
  <c r="D9" i="1"/>
  <c r="D10" i="1"/>
  <c r="R14" i="2"/>
  <c r="R15" i="2"/>
  <c r="R16" i="2"/>
  <c r="R17" i="2"/>
  <c r="G14" i="2"/>
  <c r="G15" i="2"/>
  <c r="G16" i="2"/>
  <c r="G17" i="2"/>
  <c r="AF7" i="1"/>
  <c r="AF8" i="1"/>
  <c r="AC8" i="1" s="1"/>
  <c r="AF9" i="1"/>
  <c r="AC9" i="1" s="1"/>
  <c r="AF10" i="1"/>
  <c r="AC10" i="1" s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BA7" i="1"/>
  <c r="AY7" i="1" s="1"/>
  <c r="BA8" i="1"/>
  <c r="AY8" i="1" s="1"/>
  <c r="BA9" i="1"/>
  <c r="AW9" i="1" s="1"/>
  <c r="BA10" i="1"/>
  <c r="AW10" i="1" s="1"/>
  <c r="AX7" i="1"/>
  <c r="AX8" i="1"/>
  <c r="AX9" i="1"/>
  <c r="AX10" i="1"/>
  <c r="AP7" i="1"/>
  <c r="AM7" i="1" s="1"/>
  <c r="AP8" i="1"/>
  <c r="AM8" i="1" s="1"/>
  <c r="AP9" i="1"/>
  <c r="AM9" i="1" s="1"/>
  <c r="AP10" i="1"/>
  <c r="AM10" i="1" s="1"/>
  <c r="AW28" i="1" l="1"/>
  <c r="AY28" i="1"/>
  <c r="L28" i="1" s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AW37" i="1"/>
  <c r="AY37" i="1"/>
  <c r="J37" i="1" s="1"/>
  <c r="N37" i="1" s="1"/>
  <c r="BJ37" i="1"/>
  <c r="F37" i="1"/>
  <c r="E37" i="1" s="1"/>
  <c r="F36" i="1"/>
  <c r="E36" i="1" s="1"/>
  <c r="BK36" i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F30" i="1"/>
  <c r="E30" i="1" s="1"/>
  <c r="BJ29" i="1"/>
  <c r="F29" i="1"/>
  <c r="E29" i="1" s="1"/>
  <c r="BJ27" i="1"/>
  <c r="AW19" i="1"/>
  <c r="G18" i="1"/>
  <c r="F18" i="1"/>
  <c r="E18" i="1" s="1"/>
  <c r="AY18" i="1"/>
  <c r="I18" i="1" s="1"/>
  <c r="M18" i="1" s="1"/>
  <c r="G19" i="1"/>
  <c r="F17" i="1"/>
  <c r="E17" i="1" s="1"/>
  <c r="F19" i="1"/>
  <c r="E19" i="1" s="1"/>
  <c r="G17" i="1"/>
  <c r="AY16" i="1"/>
  <c r="I16" i="1" s="1"/>
  <c r="M16" i="1" s="1"/>
  <c r="G16" i="1"/>
  <c r="F15" i="1"/>
  <c r="E15" i="1" s="1"/>
  <c r="G14" i="1"/>
  <c r="AY14" i="1"/>
  <c r="I14" i="1" s="1"/>
  <c r="M14" i="1" s="1"/>
  <c r="F14" i="1"/>
  <c r="E14" i="1" s="1"/>
  <c r="G13" i="1"/>
  <c r="AY12" i="1"/>
  <c r="K12" i="1" s="1"/>
  <c r="O12" i="1" s="1"/>
  <c r="L12" i="1"/>
  <c r="P12" i="1" s="1"/>
  <c r="F12" i="1"/>
  <c r="E12" i="1" s="1"/>
  <c r="G12" i="1"/>
  <c r="AY11" i="1"/>
  <c r="I11" i="1" s="1"/>
  <c r="M11" i="1" s="1"/>
  <c r="F11" i="1"/>
  <c r="E11" i="1" s="1"/>
  <c r="AY10" i="1"/>
  <c r="J10" i="1" s="1"/>
  <c r="N10" i="1" s="1"/>
  <c r="F10" i="1"/>
  <c r="E10" i="1" s="1"/>
  <c r="AY9" i="1"/>
  <c r="I9" i="1" s="1"/>
  <c r="M9" i="1" s="1"/>
  <c r="F9" i="1"/>
  <c r="E9" i="1" s="1"/>
  <c r="G8" i="1"/>
  <c r="AY23" i="1"/>
  <c r="I23" i="1" s="1"/>
  <c r="M23" i="1" s="1"/>
  <c r="AY22" i="1"/>
  <c r="I22" i="1" s="1"/>
  <c r="M22" i="1" s="1"/>
  <c r="AY21" i="1"/>
  <c r="I21" i="1" s="1"/>
  <c r="M21" i="1" s="1"/>
  <c r="AY20" i="1"/>
  <c r="K20" i="1" s="1"/>
  <c r="O20" i="1" s="1"/>
  <c r="AY17" i="1"/>
  <c r="I17" i="1" s="1"/>
  <c r="M17" i="1" s="1"/>
  <c r="I15" i="1"/>
  <c r="M15" i="1" s="1"/>
  <c r="AY13" i="1"/>
  <c r="I13" i="1" s="1"/>
  <c r="M13" i="1" s="1"/>
  <c r="G37" i="1"/>
  <c r="AY36" i="1"/>
  <c r="L36" i="1" s="1"/>
  <c r="P36" i="1" s="1"/>
  <c r="G35" i="1"/>
  <c r="AY34" i="1"/>
  <c r="I34" i="1" s="1"/>
  <c r="M34" i="1" s="1"/>
  <c r="K33" i="1"/>
  <c r="O33" i="1" s="1"/>
  <c r="G33" i="1"/>
  <c r="AY32" i="1"/>
  <c r="K32" i="1" s="1"/>
  <c r="O32" i="1" s="1"/>
  <c r="G31" i="1"/>
  <c r="AY30" i="1"/>
  <c r="L30" i="1" s="1"/>
  <c r="P30" i="1" s="1"/>
  <c r="G29" i="1"/>
  <c r="F27" i="1"/>
  <c r="E27" i="1" s="1"/>
  <c r="AY26" i="1"/>
  <c r="I26" i="1" s="1"/>
  <c r="M26" i="1" s="1"/>
  <c r="F25" i="1"/>
  <c r="E25" i="1" s="1"/>
  <c r="AY24" i="1"/>
  <c r="K24" i="1" s="1"/>
  <c r="O24" i="1" s="1"/>
  <c r="F8" i="1"/>
  <c r="E8" i="1" s="1"/>
  <c r="F23" i="1"/>
  <c r="E23" i="1" s="1"/>
  <c r="F22" i="1"/>
  <c r="E22" i="1" s="1"/>
  <c r="F21" i="1"/>
  <c r="E21" i="1" s="1"/>
  <c r="F20" i="1"/>
  <c r="E20" i="1" s="1"/>
  <c r="AW8" i="1"/>
  <c r="L34" i="1"/>
  <c r="P34" i="1" s="1"/>
  <c r="I32" i="1"/>
  <c r="M32" i="1" s="1"/>
  <c r="G11" i="1"/>
  <c r="G36" i="1"/>
  <c r="AY35" i="1"/>
  <c r="L35" i="1" s="1"/>
  <c r="P35" i="1" s="1"/>
  <c r="G34" i="1"/>
  <c r="G32" i="1"/>
  <c r="AY31" i="1"/>
  <c r="K31" i="1" s="1"/>
  <c r="O31" i="1" s="1"/>
  <c r="G30" i="1"/>
  <c r="AY29" i="1"/>
  <c r="J29" i="1" s="1"/>
  <c r="N29" i="1" s="1"/>
  <c r="BK28" i="1"/>
  <c r="F28" i="1"/>
  <c r="E28" i="1" s="1"/>
  <c r="AY27" i="1"/>
  <c r="J27" i="1" s="1"/>
  <c r="N27" i="1" s="1"/>
  <c r="BK26" i="1"/>
  <c r="F26" i="1"/>
  <c r="E26" i="1" s="1"/>
  <c r="AY25" i="1"/>
  <c r="K25" i="1" s="1"/>
  <c r="O25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7" i="1"/>
  <c r="AM36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AW7" i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U21" i="2" s="1"/>
  <c r="U22" i="2" s="1"/>
  <c r="U23" i="2" s="1"/>
  <c r="U24" i="2" s="1"/>
  <c r="U25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BI8" i="1"/>
  <c r="BI9" i="1" s="1"/>
  <c r="BI10" i="1" s="1"/>
  <c r="AV8" i="1"/>
  <c r="AV9" i="1" s="1"/>
  <c r="AV10" i="1" s="1"/>
  <c r="AV11" i="1" s="1"/>
  <c r="AV12" i="1" s="1"/>
  <c r="AV13" i="1" s="1"/>
  <c r="AV14" i="1" s="1"/>
  <c r="AL8" i="1"/>
  <c r="AL9" i="1" s="1"/>
  <c r="AL10" i="1" s="1"/>
  <c r="AL11" i="1" s="1"/>
  <c r="AL12" i="1" s="1"/>
  <c r="AL13" i="1" s="1"/>
  <c r="AL14" i="1" s="1"/>
  <c r="AB8" i="1"/>
  <c r="AB9" i="1" s="1"/>
  <c r="AB10" i="1" s="1"/>
  <c r="AB11" i="1" s="1"/>
  <c r="AB12" i="1" s="1"/>
  <c r="AB13" i="1" s="1"/>
  <c r="AB14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35" i="1" l="1"/>
  <c r="N35" i="1" s="1"/>
  <c r="K34" i="1"/>
  <c r="O34" i="1" s="1"/>
  <c r="J34" i="1"/>
  <c r="N34" i="1" s="1"/>
  <c r="AL15" i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V15" i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BI11" i="1"/>
  <c r="BI12" i="1" s="1"/>
  <c r="BI13" i="1" s="1"/>
  <c r="BI14" i="1" s="1"/>
  <c r="AB15" i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U26" i="2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K37" i="1"/>
  <c r="O37" i="1" s="1"/>
  <c r="J36" i="1"/>
  <c r="N36" i="1" s="1"/>
  <c r="I36" i="1"/>
  <c r="M36" i="1" s="1"/>
  <c r="K36" i="1"/>
  <c r="O36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I37" i="1"/>
  <c r="M37" i="1" s="1"/>
  <c r="L13" i="1"/>
  <c r="P13" i="1" s="1"/>
  <c r="J22" i="1"/>
  <c r="N22" i="1" s="1"/>
  <c r="L37" i="1"/>
  <c r="P37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BI15" i="1" l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I41" i="2"/>
  <c r="I42" i="2" s="1"/>
  <c r="I43" i="2" s="1"/>
  <c r="I44" i="2" s="1"/>
  <c r="I40" i="2"/>
  <c r="U40" i="2"/>
  <c r="U41" i="2" s="1"/>
  <c r="U42" i="2" s="1"/>
  <c r="U43" i="2" s="1"/>
  <c r="U44" i="2" s="1"/>
  <c r="AL33" i="1"/>
  <c r="AL34" i="1" s="1"/>
  <c r="AL35" i="1" s="1"/>
  <c r="AL36" i="1" s="1"/>
  <c r="AL37" i="1" s="1"/>
  <c r="AV33" i="1"/>
  <c r="AV34" i="1" s="1"/>
  <c r="AV35" i="1" s="1"/>
  <c r="AV36" i="1" s="1"/>
  <c r="AV37" i="1" s="1"/>
  <c r="B15" i="2"/>
  <c r="B16" i="2" l="1"/>
  <c r="M15" i="2"/>
  <c r="B17" i="2" l="1"/>
  <c r="M16" i="2"/>
  <c r="B18" i="2" l="1"/>
  <c r="M17" i="2"/>
  <c r="B19" i="2" l="1"/>
  <c r="M18" i="2"/>
  <c r="B20" i="2" l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B42" i="2" s="1"/>
  <c r="B43" i="2" s="1"/>
  <c r="B44" i="2" s="1"/>
  <c r="M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Oscar Osvaldo Olmos Castro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U9" authorId="2" shapeId="0" xr:uid="{6017CE45-164E-498D-B042-AEC62514D7C9}">
      <text>
        <r>
          <rPr>
            <b/>
            <sz val="9"/>
            <color indexed="81"/>
            <rFont val="Tahoma"/>
            <family val="2"/>
          </rPr>
          <t>Oscar Osvaldo Olmos Castro:</t>
        </r>
        <r>
          <rPr>
            <sz val="9"/>
            <color indexed="81"/>
            <rFont val="Tahoma"/>
            <family val="2"/>
          </rPr>
          <t xml:space="preserve">
extrapolado</t>
        </r>
      </text>
    </comment>
    <comment ref="BC9" authorId="2" shapeId="0" xr:uid="{6AC30E55-4209-44E4-847B-79A3CCF9CA20}">
      <text>
        <r>
          <rPr>
            <b/>
            <sz val="9"/>
            <color indexed="81"/>
            <rFont val="Tahoma"/>
            <family val="2"/>
          </rPr>
          <t>Oscar Osvaldo Olmos Castro:</t>
        </r>
        <r>
          <rPr>
            <sz val="9"/>
            <color indexed="81"/>
            <rFont val="Tahoma"/>
            <family val="2"/>
          </rPr>
          <t xml:space="preserve">
EXTRAPOLADO</t>
        </r>
      </text>
    </comment>
    <comment ref="B34" authorId="3" shapeId="0" xr:uid="{3E6111DE-4D50-47E1-8850-985329B61F70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base de datos con problemas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Freddy Juarez Espinoza</author>
    <author>Ricardo Arancibia Leon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P15" authorId="1" shapeId="0" xr:uid="{83423516-E4B3-489E-B402-78E240C17A1D}">
      <text>
        <r>
          <rPr>
            <b/>
            <sz val="9"/>
            <color indexed="81"/>
            <rFont val="Tahoma"/>
            <family val="2"/>
          </rPr>
          <t>Freddy Juarez Espinoza:</t>
        </r>
        <r>
          <rPr>
            <sz val="9"/>
            <color indexed="81"/>
            <rFont val="Tahoma"/>
            <family val="2"/>
          </rPr>
          <t xml:space="preserve">
operación ventiladores.</t>
        </r>
      </text>
    </comment>
    <comment ref="J28" authorId="2" shapeId="0" xr:uid="{492C33F4-3A1F-4639-BEF8-7F1AE929FCF5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EN FALLA</t>
        </r>
      </text>
    </comment>
    <comment ref="L28" authorId="2" shapeId="0" xr:uid="{B9A78394-1C91-4CF3-B6F1-4097E55394E0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en falla</t>
        </r>
      </text>
    </comment>
    <comment ref="J29" authorId="2" shapeId="0" xr:uid="{CB9942C4-5CC0-48E7-A6CC-FEC55DAF6B65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EN FALLA</t>
        </r>
      </text>
    </comment>
    <comment ref="L29" authorId="2" shapeId="0" xr:uid="{D1476ED2-8664-4397-8F55-92E66985B9F9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en falla</t>
        </r>
      </text>
    </comment>
  </commentList>
</comments>
</file>

<file path=xl/sharedStrings.xml><?xml version="1.0" encoding="utf-8"?>
<sst xmlns="http://schemas.openxmlformats.org/spreadsheetml/2006/main" count="123" uniqueCount="69">
  <si>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</si>
  <si>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</si>
  <si>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</si>
  <si>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</si>
  <si>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</si>
  <si>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</si>
  <si>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</si>
  <si>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</si>
  <si>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</si>
  <si>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</si>
  <si>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</si>
  <si>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</si>
  <si>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</si>
  <si>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</si>
  <si>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</si>
  <si>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</si>
  <si>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</si>
  <si>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</si>
  <si>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</si>
  <si>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</si>
  <si>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</si>
  <si>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</si>
  <si>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</si>
  <si>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</si>
  <si>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</si>
  <si>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</si>
  <si>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</si>
  <si>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</si>
  <si>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</si>
  <si>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</si>
  <si>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</si>
  <si>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</si>
  <si>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</si>
  <si>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</si>
  <si>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</si>
  <si>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</si>
  <si>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</si>
  <si>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</si>
  <si>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</si>
  <si>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</si>
  <si>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</si>
  <si>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</si>
  <si>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</si>
  <si>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</si>
  <si>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</si>
  <si>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</si>
  <si>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</si>
  <si>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</si>
  <si>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</si>
  <si>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</si>
  <si>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</si>
  <si>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</si>
  <si>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</si>
  <si>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</si>
  <si>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</si>
  <si>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</si>
  <si>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</si>
  <si>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</si>
  <si>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</si>
  <si>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</si>
  <si>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</si>
  <si>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</si>
  <si>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0.00</t>
  </si>
  <si>
    <t>LIMACHE</t>
  </si>
  <si>
    <t>QUILPUE</t>
  </si>
  <si>
    <t>VIÑA TGSN1</t>
  </si>
  <si>
    <t>VIÑA TGSN2</t>
  </si>
  <si>
    <t>PUERTO</t>
  </si>
  <si>
    <t>KWH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</si>
</sst>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  <numFmt numFmtId="169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8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164" fontId="5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1" fontId="8" fillId="9" borderId="48" xfId="2" applyNumberFormat="1" applyFont="1" applyFill="1" applyBorder="1" applyAlignment="1">
      <alignment horizontal="center"/>
    </xf>
    <xf numFmtId="1" fontId="8" fillId="9" borderId="48" xfId="1" applyNumberFormat="1" applyFont="1" applyFill="1" applyBorder="1" applyAlignment="1">
      <alignment horizontal="center"/>
    </xf>
    <xf numFmtId="168" fontId="8" fillId="9" borderId="48" xfId="1" applyNumberFormat="1" applyFont="1" applyFill="1" applyBorder="1" applyAlignment="1">
      <alignment horizontal="center"/>
    </xf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9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9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0" fontId="4" fillId="0" borderId="67" xfId="0" applyFont="1" applyBorder="1" applyAlignment="1">
      <alignment horizontal="center"/>
    </xf>
    <xf numFmtId="165" fontId="8" fillId="3" borderId="57" xfId="2" applyNumberFormat="1" applyFont="1" applyFill="1" applyBorder="1" applyAlignment="1">
      <alignment horizontal="center"/>
    </xf>
    <xf numFmtId="165" fontId="8" fillId="0" borderId="57" xfId="2" applyNumberFormat="1" applyFont="1" applyFill="1" applyBorder="1" applyAlignment="1">
      <alignment horizontal="center"/>
    </xf>
    <xf numFmtId="9" fontId="8" fillId="3" borderId="68" xfId="2" applyFont="1" applyFill="1" applyBorder="1" applyAlignment="1">
      <alignment horizontal="center"/>
    </xf>
    <xf numFmtId="9" fontId="8" fillId="3" borderId="69" xfId="2" applyFont="1" applyFill="1" applyBorder="1" applyAlignment="1">
      <alignment horizontal="center"/>
    </xf>
    <xf numFmtId="0" fontId="8" fillId="0" borderId="67" xfId="0" applyFont="1" applyBorder="1" applyAlignment="1">
      <alignment vertical="center"/>
    </xf>
    <xf numFmtId="0" fontId="8" fillId="0" borderId="70" xfId="0" applyFont="1" applyBorder="1" applyAlignment="1">
      <alignment vertical="center"/>
    </xf>
    <xf numFmtId="3" fontId="8" fillId="8" borderId="57" xfId="0" applyNumberFormat="1" applyFont="1" applyFill="1" applyBorder="1"/>
    <xf numFmtId="166" fontId="8" fillId="0" borderId="67" xfId="1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0" fontId="8" fillId="8" borderId="57" xfId="0" applyFont="1" applyFill="1" applyBorder="1" applyAlignment="1">
      <alignment horizontal="center"/>
    </xf>
    <xf numFmtId="0" fontId="8" fillId="0" borderId="60" xfId="0" applyFont="1" applyBorder="1" applyAlignment="1">
      <alignment vertical="center"/>
    </xf>
    <xf numFmtId="165" fontId="8" fillId="7" borderId="67" xfId="2" applyNumberFormat="1" applyFont="1" applyFill="1" applyBorder="1" applyAlignment="1">
      <alignment horizontal="center"/>
    </xf>
    <xf numFmtId="166" fontId="8" fillId="0" borderId="57" xfId="1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0" fontId="8" fillId="0" borderId="0" xfId="0" applyFont="1" applyBorder="1" applyAlignment="1">
      <alignment vertical="center"/>
    </xf>
    <xf numFmtId="9" fontId="8" fillId="3" borderId="68" xfId="2" applyNumberFormat="1" applyFont="1" applyFill="1" applyBorder="1" applyAlignment="1">
      <alignment horizontal="center"/>
    </xf>
    <xf numFmtId="165" fontId="8" fillId="3" borderId="67" xfId="2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5" fontId="4" fillId="0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20" fontId="8" fillId="5" borderId="57" xfId="1" applyNumberFormat="1" applyFont="1" applyFill="1" applyBorder="1" applyAlignment="1">
      <alignment horizontal="center"/>
    </xf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0" fillId="0" borderId="0" xfId="0" applyNumberFormat="1"/>
    <xf numFmtId="10" fontId="0" fillId="0" borderId="0" xfId="2" applyNumberFormat="1" applyFont="1"/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4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28718</c:v>
                </c:pt>
                <c:pt idx="1">
                  <c:v>52734</c:v>
                </c:pt>
                <c:pt idx="2">
                  <c:v>53409</c:v>
                </c:pt>
                <c:pt idx="3">
                  <c:v>32967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55840"/>
        <c:axId val="1408458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140845584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8016"/>
        <c:crosses val="autoZero"/>
        <c:auto val="1"/>
        <c:lblOffset val="100"/>
        <c:baseTimeUnit val="days"/>
      </c:dateAx>
      <c:valAx>
        <c:axId val="1408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22298</c:v>
                </c:pt>
                <c:pt idx="1">
                  <c:v>46104</c:v>
                </c:pt>
                <c:pt idx="2">
                  <c:v>46537</c:v>
                </c:pt>
                <c:pt idx="3">
                  <c:v>26366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47680"/>
        <c:axId val="1408452576"/>
      </c:lineChart>
      <c:dateAx>
        <c:axId val="1408447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2576"/>
        <c:crosses val="autoZero"/>
        <c:auto val="1"/>
        <c:lblOffset val="100"/>
        <c:baseTimeUnit val="days"/>
      </c:dateAx>
      <c:valAx>
        <c:axId val="14084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view="pageBreakPreview" topLeftCell="I7" zoomScaleNormal="100" zoomScaleSheetLayoutView="100" workbookViewId="0">
      <selection activeCell="R38" sqref="R38"/>
    </sheetView>
  </sheetViews>
  <sheetFormatPr baseColWidth="10" defaultColWidth="11.42578125" defaultRowHeight="15" x14ac:dyDescent="0.25"/>
  <cols>
    <col min="1" max="1" width="2.28515625" style="163" customWidth="1"/>
    <col min="2" max="2" width="10.42578125" style="14" customWidth="1"/>
    <col min="3" max="3" width="2.28515625" style="210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62" customFormat="1" ht="14.65" customHeight="1" x14ac:dyDescent="0.25">
      <c r="A1" s="156"/>
      <c r="B1" s="245" t="s">
        <v>0</v>
      </c>
      <c r="C1" s="157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9"/>
      <c r="P1" s="250"/>
      <c r="Q1" s="158"/>
      <c r="R1" s="227" t="s">
        <v>2</v>
      </c>
      <c r="S1" s="228"/>
      <c r="T1" s="228"/>
      <c r="U1" s="228"/>
      <c r="V1" s="228"/>
      <c r="W1" s="228"/>
      <c r="X1" s="228"/>
      <c r="Y1" s="228"/>
      <c r="Z1" s="228"/>
      <c r="AA1" s="229"/>
      <c r="AB1" s="159"/>
      <c r="AC1" s="227" t="s">
        <v>3</v>
      </c>
      <c r="AD1" s="228"/>
      <c r="AE1" s="228"/>
      <c r="AF1" s="228"/>
      <c r="AG1" s="228"/>
      <c r="AH1" s="228"/>
      <c r="AI1" s="228"/>
      <c r="AJ1" s="228"/>
      <c r="AK1" s="229"/>
      <c r="AL1" s="160"/>
      <c r="AM1" s="227" t="s">
        <v>4</v>
      </c>
      <c r="AN1" s="228"/>
      <c r="AO1" s="228"/>
      <c r="AP1" s="228"/>
      <c r="AQ1" s="228"/>
      <c r="AR1" s="228"/>
      <c r="AS1" s="228"/>
      <c r="AT1" s="228"/>
      <c r="AU1" s="229"/>
      <c r="AV1" s="160"/>
      <c r="AW1" s="227" t="s">
        <v>58</v>
      </c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9"/>
      <c r="BI1" s="160"/>
      <c r="BJ1" s="227" t="s">
        <v>5</v>
      </c>
      <c r="BK1" s="228"/>
      <c r="BL1" s="228"/>
      <c r="BM1" s="228"/>
      <c r="BN1" s="228"/>
      <c r="BO1" s="228"/>
      <c r="BP1" s="228"/>
      <c r="BQ1" s="228"/>
      <c r="BR1" s="229"/>
      <c r="BS1" s="161"/>
    </row>
    <row r="2" spans="1:72" ht="15" customHeight="1" thickBot="1" x14ac:dyDescent="0.3">
      <c r="B2" s="245"/>
      <c r="C2" s="1"/>
      <c r="D2" s="251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3"/>
      <c r="P2" s="254"/>
      <c r="Q2" s="60"/>
      <c r="R2" s="230"/>
      <c r="S2" s="231"/>
      <c r="T2" s="231"/>
      <c r="U2" s="231"/>
      <c r="V2" s="231"/>
      <c r="W2" s="231"/>
      <c r="X2" s="231"/>
      <c r="Y2" s="231"/>
      <c r="Z2" s="231"/>
      <c r="AA2" s="232"/>
      <c r="AB2" s="62"/>
      <c r="AC2" s="230"/>
      <c r="AD2" s="231"/>
      <c r="AE2" s="231"/>
      <c r="AF2" s="231"/>
      <c r="AG2" s="231"/>
      <c r="AH2" s="231"/>
      <c r="AI2" s="231"/>
      <c r="AJ2" s="231"/>
      <c r="AK2" s="232"/>
      <c r="AL2" s="61"/>
      <c r="AM2" s="230"/>
      <c r="AN2" s="231"/>
      <c r="AO2" s="231"/>
      <c r="AP2" s="231"/>
      <c r="AQ2" s="231"/>
      <c r="AR2" s="231"/>
      <c r="AS2" s="231"/>
      <c r="AT2" s="231"/>
      <c r="AU2" s="232"/>
      <c r="AV2" s="61"/>
      <c r="AW2" s="230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2"/>
      <c r="BI2" s="61"/>
      <c r="BJ2" s="230"/>
      <c r="BK2" s="231"/>
      <c r="BL2" s="231"/>
      <c r="BM2" s="231"/>
      <c r="BN2" s="231"/>
      <c r="BO2" s="231"/>
      <c r="BP2" s="231"/>
      <c r="BQ2" s="231"/>
      <c r="BR2" s="232"/>
      <c r="BS2" s="164"/>
    </row>
    <row r="3" spans="1:72" ht="30" customHeight="1" thickBot="1" x14ac:dyDescent="0.3">
      <c r="B3" s="245"/>
      <c r="C3" s="1"/>
      <c r="D3" s="233" t="s">
        <v>6</v>
      </c>
      <c r="E3" s="233" t="s">
        <v>7</v>
      </c>
      <c r="F3" s="233" t="s">
        <v>8</v>
      </c>
      <c r="G3" s="233" t="s">
        <v>9</v>
      </c>
      <c r="H3" s="233" t="s">
        <v>10</v>
      </c>
      <c r="I3" s="255" t="s">
        <v>11</v>
      </c>
      <c r="J3" s="256"/>
      <c r="K3" s="257"/>
      <c r="L3" s="258"/>
      <c r="M3" s="255" t="s">
        <v>12</v>
      </c>
      <c r="N3" s="256"/>
      <c r="O3" s="257"/>
      <c r="P3" s="258"/>
      <c r="Q3" s="60"/>
      <c r="R3" s="237" t="s">
        <v>13</v>
      </c>
      <c r="S3" s="238"/>
      <c r="T3" s="259"/>
      <c r="U3" s="259"/>
      <c r="V3" s="237" t="s">
        <v>14</v>
      </c>
      <c r="W3" s="238"/>
      <c r="X3" s="238"/>
      <c r="Y3" s="238"/>
      <c r="Z3" s="238"/>
      <c r="AA3" s="239"/>
      <c r="AB3" s="62"/>
      <c r="AC3" s="235" t="s">
        <v>15</v>
      </c>
      <c r="AD3" s="260" t="s">
        <v>9</v>
      </c>
      <c r="AE3" s="237" t="s">
        <v>13</v>
      </c>
      <c r="AF3" s="238"/>
      <c r="AG3" s="239"/>
      <c r="AH3" s="237" t="s">
        <v>14</v>
      </c>
      <c r="AI3" s="238"/>
      <c r="AJ3" s="238"/>
      <c r="AK3" s="239"/>
      <c r="AL3" s="61"/>
      <c r="AM3" s="240" t="s">
        <v>15</v>
      </c>
      <c r="AN3" s="235" t="s">
        <v>9</v>
      </c>
      <c r="AO3" s="244" t="s">
        <v>13</v>
      </c>
      <c r="AP3" s="238"/>
      <c r="AQ3" s="239"/>
      <c r="AR3" s="237" t="s">
        <v>14</v>
      </c>
      <c r="AS3" s="238"/>
      <c r="AT3" s="238"/>
      <c r="AU3" s="239"/>
      <c r="AV3" s="61"/>
      <c r="AW3" s="235" t="s">
        <v>15</v>
      </c>
      <c r="AX3" s="235" t="s">
        <v>9</v>
      </c>
      <c r="AY3" s="244" t="s">
        <v>13</v>
      </c>
      <c r="AZ3" s="244"/>
      <c r="BA3" s="238"/>
      <c r="BB3" s="239"/>
      <c r="BC3" s="237" t="s">
        <v>14</v>
      </c>
      <c r="BD3" s="244"/>
      <c r="BE3" s="244"/>
      <c r="BF3" s="238"/>
      <c r="BG3" s="238"/>
      <c r="BH3" s="239"/>
      <c r="BI3" s="61"/>
      <c r="BJ3" s="240" t="s">
        <v>16</v>
      </c>
      <c r="BK3" s="235" t="s">
        <v>17</v>
      </c>
      <c r="BL3" s="241" t="s">
        <v>18</v>
      </c>
      <c r="BM3" s="242"/>
      <c r="BN3" s="243"/>
      <c r="BO3" s="244" t="s">
        <v>14</v>
      </c>
      <c r="BP3" s="238"/>
      <c r="BQ3" s="238"/>
      <c r="BR3" s="239"/>
      <c r="BS3" s="164"/>
    </row>
    <row r="4" spans="1:72" ht="56.25" customHeight="1" thickBot="1" x14ac:dyDescent="0.3">
      <c r="B4" s="246"/>
      <c r="C4" s="2"/>
      <c r="D4" s="234"/>
      <c r="E4" s="234"/>
      <c r="F4" s="234"/>
      <c r="G4" s="234"/>
      <c r="H4" s="234"/>
      <c r="I4" s="82" t="s">
        <v>3</v>
      </c>
      <c r="J4" s="83" t="s">
        <v>4</v>
      </c>
      <c r="K4" s="84" t="s">
        <v>58</v>
      </c>
      <c r="L4" s="84" t="s">
        <v>5</v>
      </c>
      <c r="M4" s="83" t="s">
        <v>3</v>
      </c>
      <c r="N4" s="83" t="s">
        <v>4</v>
      </c>
      <c r="O4" s="83" t="s">
        <v>58</v>
      </c>
      <c r="P4" s="83" t="s">
        <v>19</v>
      </c>
      <c r="Q4" s="62"/>
      <c r="R4" s="128" t="s">
        <v>20</v>
      </c>
      <c r="S4" s="64" t="s">
        <v>21</v>
      </c>
      <c r="T4" s="64" t="s">
        <v>60</v>
      </c>
      <c r="U4" s="64" t="s">
        <v>22</v>
      </c>
      <c r="V4" s="129" t="s">
        <v>23</v>
      </c>
      <c r="W4" s="64" t="s">
        <v>24</v>
      </c>
      <c r="X4" s="129" t="s">
        <v>25</v>
      </c>
      <c r="Y4" s="64" t="s">
        <v>24</v>
      </c>
      <c r="Z4" s="131" t="s">
        <v>26</v>
      </c>
      <c r="AA4" s="131" t="s">
        <v>24</v>
      </c>
      <c r="AB4" s="62"/>
      <c r="AC4" s="236"/>
      <c r="AD4" s="228"/>
      <c r="AE4" s="64" t="s">
        <v>27</v>
      </c>
      <c r="AF4" s="128" t="s">
        <v>28</v>
      </c>
      <c r="AG4" s="64" t="s">
        <v>29</v>
      </c>
      <c r="AH4" s="130" t="s">
        <v>30</v>
      </c>
      <c r="AI4" s="64" t="s">
        <v>24</v>
      </c>
      <c r="AJ4" s="64" t="s">
        <v>31</v>
      </c>
      <c r="AK4" s="64" t="s">
        <v>24</v>
      </c>
      <c r="AL4" s="63"/>
      <c r="AM4" s="227"/>
      <c r="AN4" s="236"/>
      <c r="AO4" s="129" t="s">
        <v>27</v>
      </c>
      <c r="AP4" s="64" t="s">
        <v>28</v>
      </c>
      <c r="AQ4" s="128" t="s">
        <v>29</v>
      </c>
      <c r="AR4" s="64" t="s">
        <v>30</v>
      </c>
      <c r="AS4" s="129" t="s">
        <v>24</v>
      </c>
      <c r="AT4" s="64" t="s">
        <v>31</v>
      </c>
      <c r="AU4" s="130" t="s">
        <v>24</v>
      </c>
      <c r="AV4" s="63"/>
      <c r="AW4" s="236"/>
      <c r="AX4" s="236"/>
      <c r="AY4" s="129" t="s">
        <v>27</v>
      </c>
      <c r="AZ4" s="64" t="s">
        <v>59</v>
      </c>
      <c r="BA4" s="129" t="s">
        <v>61</v>
      </c>
      <c r="BB4" s="64" t="s">
        <v>29</v>
      </c>
      <c r="BC4" s="129" t="s">
        <v>56</v>
      </c>
      <c r="BD4" s="64" t="s">
        <v>24</v>
      </c>
      <c r="BE4" s="129" t="s">
        <v>57</v>
      </c>
      <c r="BF4" s="64" t="s">
        <v>24</v>
      </c>
      <c r="BG4" s="129" t="s">
        <v>31</v>
      </c>
      <c r="BH4" s="64" t="s">
        <v>24</v>
      </c>
      <c r="BI4" s="63"/>
      <c r="BJ4" s="227"/>
      <c r="BK4" s="236"/>
      <c r="BL4" s="129" t="s">
        <v>32</v>
      </c>
      <c r="BM4" s="64" t="s">
        <v>33</v>
      </c>
      <c r="BN4" s="64" t="s">
        <v>34</v>
      </c>
      <c r="BO4" s="64" t="s">
        <v>35</v>
      </c>
      <c r="BP4" s="129" t="s">
        <v>24</v>
      </c>
      <c r="BQ4" s="64" t="s">
        <v>36</v>
      </c>
      <c r="BR4" s="130" t="s">
        <v>24</v>
      </c>
      <c r="BS4" s="165"/>
    </row>
    <row r="5" spans="1:72" ht="15.75" thickBot="1" x14ac:dyDescent="0.3">
      <c r="B5" s="166"/>
      <c r="C5" s="167"/>
      <c r="D5" s="85"/>
      <c r="E5" s="73"/>
      <c r="F5" s="85"/>
      <c r="G5" s="73"/>
      <c r="H5" s="86"/>
      <c r="I5" s="87"/>
      <c r="J5" s="73"/>
      <c r="K5" s="88"/>
      <c r="L5" s="88"/>
      <c r="M5" s="86"/>
      <c r="N5" s="86"/>
      <c r="O5" s="86"/>
      <c r="P5" s="86"/>
      <c r="Q5" s="65"/>
      <c r="R5" s="168"/>
      <c r="S5" s="169"/>
      <c r="T5" s="169"/>
      <c r="U5" s="169"/>
      <c r="V5" s="170"/>
      <c r="W5" s="171"/>
      <c r="X5" s="170"/>
      <c r="Y5" s="171"/>
      <c r="Z5" s="170"/>
      <c r="AA5" s="171"/>
      <c r="AB5" s="66"/>
      <c r="AC5" s="172"/>
      <c r="AD5" s="173"/>
      <c r="AE5" s="96"/>
      <c r="AF5" s="125"/>
      <c r="AG5" s="96"/>
      <c r="AH5" s="96"/>
      <c r="AI5" s="97"/>
      <c r="AJ5" s="98"/>
      <c r="AK5" s="99"/>
      <c r="AL5" s="69"/>
      <c r="AM5" s="70"/>
      <c r="AN5" s="71"/>
      <c r="AO5" s="100"/>
      <c r="AP5" s="122"/>
      <c r="AQ5" s="101"/>
      <c r="AR5" s="102"/>
      <c r="AS5" s="103"/>
      <c r="AT5" s="104"/>
      <c r="AU5" s="105"/>
      <c r="AV5" s="69"/>
      <c r="AW5" s="106"/>
      <c r="AX5" s="107"/>
      <c r="AY5" s="108"/>
      <c r="AZ5" s="109"/>
      <c r="BA5" s="127"/>
      <c r="BB5" s="110"/>
      <c r="BC5" s="110"/>
      <c r="BD5" s="111"/>
      <c r="BE5" s="110"/>
      <c r="BF5" s="111"/>
      <c r="BG5" s="110"/>
      <c r="BH5" s="111"/>
      <c r="BI5" s="69"/>
      <c r="BJ5" s="74"/>
      <c r="BK5" s="71"/>
      <c r="BL5" s="75"/>
      <c r="BM5" s="67"/>
      <c r="BN5" s="67"/>
      <c r="BO5" s="72"/>
      <c r="BP5" s="76"/>
      <c r="BQ5" s="77"/>
      <c r="BR5" s="68"/>
      <c r="BS5" s="174"/>
    </row>
    <row r="6" spans="1:72" ht="15.75" thickBot="1" x14ac:dyDescent="0.3">
      <c r="B6" s="166"/>
      <c r="C6" s="175"/>
      <c r="D6" s="176"/>
      <c r="E6" s="172"/>
      <c r="F6" s="176"/>
      <c r="G6" s="172"/>
      <c r="H6" s="177"/>
      <c r="I6" s="178"/>
      <c r="J6" s="172"/>
      <c r="K6" s="179"/>
      <c r="L6" s="179"/>
      <c r="M6" s="177"/>
      <c r="N6" s="177"/>
      <c r="O6" s="177"/>
      <c r="P6" s="177"/>
      <c r="Q6" s="180"/>
      <c r="R6" s="168"/>
      <c r="S6" s="169"/>
      <c r="T6" s="169"/>
      <c r="U6" s="169"/>
      <c r="V6" s="170"/>
      <c r="W6" s="171"/>
      <c r="X6" s="170"/>
      <c r="Y6" s="171"/>
      <c r="Z6" s="170"/>
      <c r="AA6" s="171"/>
      <c r="AB6" s="181"/>
      <c r="AC6" s="172"/>
      <c r="AD6" s="173"/>
      <c r="AE6" s="182"/>
      <c r="AF6" s="183"/>
      <c r="AG6" s="184"/>
      <c r="AH6" s="185"/>
      <c r="AI6" s="186"/>
      <c r="AJ6" s="185"/>
      <c r="AK6" s="187"/>
      <c r="AL6" s="188"/>
      <c r="AM6" s="178"/>
      <c r="AN6" s="172"/>
      <c r="AO6" s="189"/>
      <c r="AP6" s="190"/>
      <c r="AQ6" s="191"/>
      <c r="AR6" s="192"/>
      <c r="AS6" s="193"/>
      <c r="AT6" s="192"/>
      <c r="AU6" s="194"/>
      <c r="AV6" s="195"/>
      <c r="AW6" s="106"/>
      <c r="AX6" s="107"/>
      <c r="AY6" s="108"/>
      <c r="AZ6" s="109"/>
      <c r="BA6" s="127"/>
      <c r="BB6" s="112"/>
      <c r="BC6" s="113"/>
      <c r="BD6" s="114"/>
      <c r="BE6" s="113"/>
      <c r="BF6" s="114"/>
      <c r="BG6" s="113"/>
      <c r="BH6" s="114"/>
      <c r="BI6" s="195"/>
      <c r="BJ6" s="196"/>
      <c r="BK6" s="172"/>
      <c r="BL6" s="197"/>
      <c r="BM6" s="198"/>
      <c r="BN6" s="198"/>
      <c r="BO6" s="199"/>
      <c r="BP6" s="200"/>
      <c r="BQ6" s="201"/>
      <c r="BR6" s="200"/>
    </row>
    <row r="7" spans="1:72" ht="15.75" thickBot="1" x14ac:dyDescent="0.3">
      <c r="A7" s="209"/>
      <c r="B7" s="57">
        <v>45658</v>
      </c>
      <c r="C7" s="132"/>
      <c r="D7" s="89">
        <f t="shared" ref="D7:D10" si="0">R7</f>
        <v>28718</v>
      </c>
      <c r="E7" s="202">
        <f t="shared" ref="E7:E10" si="1">F7/D7</f>
        <v>0.77644682777352181</v>
      </c>
      <c r="F7" s="89">
        <f t="shared" ref="F7:F10" si="2">D7-H7</f>
        <v>22298</v>
      </c>
      <c r="G7" s="202">
        <f t="shared" ref="G7:G10" si="3">H7/D7</f>
        <v>0.22355317222647816</v>
      </c>
      <c r="H7" s="177">
        <v>6420</v>
      </c>
      <c r="I7" s="203">
        <f t="shared" ref="I7:I10" si="4">AE7/(AE7+AO7+BL7+AY7)</f>
        <v>5.7191545337678257E-2</v>
      </c>
      <c r="J7" s="202">
        <f t="shared" ref="J7:J10" si="5">AO7/(AE7+AO7+BL7+AY7)</f>
        <v>0.16317378695925139</v>
      </c>
      <c r="K7" s="202">
        <f t="shared" ref="K7:K10" si="6">AY7/(AF7+AP7+BM7+AZ7+AY7)</f>
        <v>0.19751253016521256</v>
      </c>
      <c r="L7" s="204">
        <f t="shared" ref="L7:L10" si="7">BL7/(AE7+AO7+BL7+AY7)</f>
        <v>0.62058656462076589</v>
      </c>
      <c r="M7" s="177">
        <f t="shared" ref="M7:M10" si="8">(S7+T7)*I7</f>
        <v>2749.1975843821938</v>
      </c>
      <c r="N7" s="177">
        <f t="shared" ref="N7:N10" si="9">(S7+T7)*J7</f>
        <v>7843.7639391312141</v>
      </c>
      <c r="O7" s="177">
        <f t="shared" ref="O7:O10" si="10">(S7+T7)*K7</f>
        <v>9494.4273250417682</v>
      </c>
      <c r="P7" s="177">
        <f t="shared" ref="P7:P10" si="11">(S7+T7)*L7</f>
        <v>29831.596161320216</v>
      </c>
      <c r="Q7" s="57">
        <f>B7</f>
        <v>45658</v>
      </c>
      <c r="R7" s="133">
        <v>28718</v>
      </c>
      <c r="S7" s="134">
        <v>45250</v>
      </c>
      <c r="T7" s="134">
        <v>2820</v>
      </c>
      <c r="U7" s="134">
        <v>2820</v>
      </c>
      <c r="V7" s="135">
        <v>9650</v>
      </c>
      <c r="W7" s="136">
        <v>0.375</v>
      </c>
      <c r="X7" s="135">
        <v>3260</v>
      </c>
      <c r="Y7" s="136">
        <v>0.77083333333333337</v>
      </c>
      <c r="Z7" s="135">
        <v>158</v>
      </c>
      <c r="AA7" s="136">
        <v>0.89583333333333337</v>
      </c>
      <c r="AB7" s="57">
        <f>B7</f>
        <v>45658</v>
      </c>
      <c r="AC7" s="78">
        <f t="shared" ref="AC7:AC10" si="12">+AF7/AE7</f>
        <v>1</v>
      </c>
      <c r="AD7" s="205">
        <f t="shared" ref="AD7:AD10" si="13">+AG7/AE7</f>
        <v>0</v>
      </c>
      <c r="AE7" s="137">
        <v>1913</v>
      </c>
      <c r="AF7" s="124">
        <f t="shared" ref="AF7:AF13" si="14">+AE7-AG7</f>
        <v>1913</v>
      </c>
      <c r="AG7" s="138">
        <v>0</v>
      </c>
      <c r="AH7" s="139">
        <v>1651</v>
      </c>
      <c r="AI7" s="140">
        <v>0.92222222222222228</v>
      </c>
      <c r="AJ7" s="139">
        <v>0</v>
      </c>
      <c r="AK7" s="141">
        <v>0</v>
      </c>
      <c r="AL7" s="57">
        <f>B7</f>
        <v>45658</v>
      </c>
      <c r="AM7" s="79">
        <f t="shared" ref="AM7:AM10" si="15">+AP7/AO7</f>
        <v>0.32227922315866619</v>
      </c>
      <c r="AN7" s="78">
        <f t="shared" ref="AN7:AN10" si="16">+AQ7/AO7</f>
        <v>0.67772077684133381</v>
      </c>
      <c r="AO7" s="142">
        <v>5458</v>
      </c>
      <c r="AP7" s="123">
        <f t="shared" ref="AP7:AP13" si="17">AO7-AQ7</f>
        <v>1759</v>
      </c>
      <c r="AQ7" s="143">
        <v>3699</v>
      </c>
      <c r="AR7" s="144">
        <v>1733</v>
      </c>
      <c r="AS7" s="145">
        <v>6.9444444444444447E-4</v>
      </c>
      <c r="AT7" s="144">
        <v>185</v>
      </c>
      <c r="AU7" s="146">
        <v>0.90416666666666667</v>
      </c>
      <c r="AV7" s="57">
        <f>B7</f>
        <v>45658</v>
      </c>
      <c r="AW7" s="115">
        <f t="shared" ref="AW7:AW10" si="18">BA7/AZ7</f>
        <v>1</v>
      </c>
      <c r="AX7" s="115">
        <f t="shared" ref="AX7:AX10" si="19">BB7/AZ7</f>
        <v>0</v>
      </c>
      <c r="AY7" s="116">
        <f t="shared" ref="AY7:AY10" si="20">BA7+BB7</f>
        <v>5320</v>
      </c>
      <c r="AZ7" s="147">
        <v>5320</v>
      </c>
      <c r="BA7" s="126">
        <f t="shared" ref="BA7:BA13" si="21">AZ7-BB7</f>
        <v>5320</v>
      </c>
      <c r="BB7" s="148">
        <v>0</v>
      </c>
      <c r="BC7" s="147">
        <v>3750</v>
      </c>
      <c r="BD7" s="149">
        <v>0.3125</v>
      </c>
      <c r="BE7" s="150">
        <v>0</v>
      </c>
      <c r="BF7" s="149">
        <v>0</v>
      </c>
      <c r="BG7" s="150">
        <v>0</v>
      </c>
      <c r="BH7" s="151">
        <v>0</v>
      </c>
      <c r="BI7" s="57">
        <f>B7</f>
        <v>45658</v>
      </c>
      <c r="BJ7" s="80">
        <f t="shared" ref="BJ7:BJ10" si="22">+BM7/BL7</f>
        <v>0.60810290008671353</v>
      </c>
      <c r="BK7" s="78">
        <f t="shared" ref="BK7:BK10" si="23">+BN7/BL7</f>
        <v>0.39189709991328642</v>
      </c>
      <c r="BL7" s="81">
        <f t="shared" ref="BL7:BL10" si="24">BM7+BN7</f>
        <v>20758</v>
      </c>
      <c r="BM7" s="152">
        <v>12623</v>
      </c>
      <c r="BN7" s="152">
        <v>8135</v>
      </c>
      <c r="BO7" s="153">
        <v>3268</v>
      </c>
      <c r="BP7" s="154">
        <v>7.4999999999999997E-2</v>
      </c>
      <c r="BQ7" s="155">
        <v>2158</v>
      </c>
      <c r="BR7" s="154">
        <v>0.11666666666666667</v>
      </c>
    </row>
    <row r="8" spans="1:72" ht="15.75" thickBot="1" x14ac:dyDescent="0.3">
      <c r="A8" s="209"/>
      <c r="B8" s="57">
        <f t="shared" ref="B8:B37" si="25">B7+1</f>
        <v>45659</v>
      </c>
      <c r="C8" s="207"/>
      <c r="D8" s="89">
        <f t="shared" si="0"/>
        <v>52734</v>
      </c>
      <c r="E8" s="202">
        <f t="shared" si="1"/>
        <v>0.87427466150870403</v>
      </c>
      <c r="F8" s="89">
        <f t="shared" si="2"/>
        <v>46104</v>
      </c>
      <c r="G8" s="202">
        <f t="shared" si="3"/>
        <v>0.12572533849129594</v>
      </c>
      <c r="H8" s="177">
        <v>6630</v>
      </c>
      <c r="I8" s="203">
        <f t="shared" si="4"/>
        <v>0.12050800465074681</v>
      </c>
      <c r="J8" s="202">
        <f t="shared" si="5"/>
        <v>0.16760575977104017</v>
      </c>
      <c r="K8" s="202">
        <f t="shared" si="6"/>
        <v>0.12395660381649874</v>
      </c>
      <c r="L8" s="204">
        <f t="shared" si="7"/>
        <v>0.61439942760039357</v>
      </c>
      <c r="M8" s="177">
        <f t="shared" si="8"/>
        <v>6477.3052499776404</v>
      </c>
      <c r="N8" s="177">
        <f t="shared" si="9"/>
        <v>9008.8095876934094</v>
      </c>
      <c r="O8" s="177">
        <f t="shared" si="10"/>
        <v>6662.6674551368078</v>
      </c>
      <c r="P8" s="177">
        <f t="shared" si="11"/>
        <v>33023.969233521151</v>
      </c>
      <c r="Q8" s="57">
        <f t="shared" ref="Q8:Q37" si="26">Q7+1</f>
        <v>45659</v>
      </c>
      <c r="R8" s="168">
        <v>52734</v>
      </c>
      <c r="S8" s="169">
        <v>50800</v>
      </c>
      <c r="T8" s="169">
        <v>2950</v>
      </c>
      <c r="U8" s="169">
        <v>2950</v>
      </c>
      <c r="V8" s="170">
        <v>12700</v>
      </c>
      <c r="W8" s="171">
        <v>0.75</v>
      </c>
      <c r="X8" s="170">
        <v>4530</v>
      </c>
      <c r="Y8" s="171">
        <v>0.70833333333333337</v>
      </c>
      <c r="Z8" s="170">
        <v>160</v>
      </c>
      <c r="AA8" s="171">
        <v>0.91666666666666663</v>
      </c>
      <c r="AB8" s="57">
        <f t="shared" ref="AB8:AB37" si="27">AB7+1</f>
        <v>45659</v>
      </c>
      <c r="AC8" s="78">
        <f t="shared" si="12"/>
        <v>1</v>
      </c>
      <c r="AD8" s="205">
        <f t="shared" si="13"/>
        <v>0</v>
      </c>
      <c r="AE8" s="206">
        <v>6737</v>
      </c>
      <c r="AF8" s="124">
        <f t="shared" si="14"/>
        <v>6737</v>
      </c>
      <c r="AG8" s="184">
        <v>0</v>
      </c>
      <c r="AH8" s="185">
        <v>4039</v>
      </c>
      <c r="AI8" s="186">
        <v>0.34375</v>
      </c>
      <c r="AJ8" s="185">
        <v>0</v>
      </c>
      <c r="AK8" s="208">
        <v>0</v>
      </c>
      <c r="AL8" s="57">
        <f t="shared" ref="AL8:AL37" si="28">AL7+1</f>
        <v>45659</v>
      </c>
      <c r="AM8" s="79">
        <f t="shared" si="15"/>
        <v>0.57470651013874063</v>
      </c>
      <c r="AN8" s="78">
        <f t="shared" si="16"/>
        <v>0.42529348986125931</v>
      </c>
      <c r="AO8" s="189">
        <v>9370</v>
      </c>
      <c r="AP8" s="123">
        <f t="shared" si="17"/>
        <v>5385</v>
      </c>
      <c r="AQ8" s="191">
        <v>3985</v>
      </c>
      <c r="AR8" s="192">
        <v>3144</v>
      </c>
      <c r="AS8" s="193">
        <v>0.33819444444444446</v>
      </c>
      <c r="AT8" s="192">
        <v>166</v>
      </c>
      <c r="AU8" s="194">
        <v>9.7916666666666666E-2</v>
      </c>
      <c r="AV8" s="57">
        <f t="shared" ref="AV8:AV37" si="29">AV7+1</f>
        <v>45659</v>
      </c>
      <c r="AW8" s="115">
        <f t="shared" si="18"/>
        <v>1</v>
      </c>
      <c r="AX8" s="115">
        <f t="shared" si="19"/>
        <v>0</v>
      </c>
      <c r="AY8" s="116">
        <f t="shared" si="20"/>
        <v>5450</v>
      </c>
      <c r="AZ8" s="117">
        <v>5450</v>
      </c>
      <c r="BA8" s="126">
        <f t="shared" si="21"/>
        <v>5450</v>
      </c>
      <c r="BB8" s="118">
        <v>0</v>
      </c>
      <c r="BC8" s="117">
        <v>3098</v>
      </c>
      <c r="BD8" s="119">
        <v>0.70833333333333337</v>
      </c>
      <c r="BE8" s="120">
        <v>0</v>
      </c>
      <c r="BF8" s="119">
        <v>0</v>
      </c>
      <c r="BG8" s="120">
        <v>0</v>
      </c>
      <c r="BH8" s="121">
        <v>0</v>
      </c>
      <c r="BI8" s="57">
        <f t="shared" ref="BI8:BI37" si="30">BI7+1</f>
        <v>45659</v>
      </c>
      <c r="BJ8" s="80">
        <f t="shared" si="22"/>
        <v>0.60978805170606731</v>
      </c>
      <c r="BK8" s="78">
        <f t="shared" si="23"/>
        <v>0.39021194829393269</v>
      </c>
      <c r="BL8" s="81">
        <f t="shared" si="24"/>
        <v>34348</v>
      </c>
      <c r="BM8" s="198">
        <v>20945</v>
      </c>
      <c r="BN8" s="198">
        <v>13403</v>
      </c>
      <c r="BO8" s="199">
        <v>3864</v>
      </c>
      <c r="BP8" s="200">
        <v>0.40277777777777779</v>
      </c>
      <c r="BQ8" s="201">
        <v>2581</v>
      </c>
      <c r="BR8" s="200">
        <v>0.44444444444444442</v>
      </c>
    </row>
    <row r="9" spans="1:72" ht="15.75" thickBot="1" x14ac:dyDescent="0.3">
      <c r="A9" s="209"/>
      <c r="B9" s="57">
        <f t="shared" si="25"/>
        <v>45660</v>
      </c>
      <c r="C9" s="207"/>
      <c r="D9" s="89">
        <f t="shared" si="0"/>
        <v>53409</v>
      </c>
      <c r="E9" s="202">
        <f t="shared" si="1"/>
        <v>0.87133254694901607</v>
      </c>
      <c r="F9" s="89">
        <f t="shared" si="2"/>
        <v>46537</v>
      </c>
      <c r="G9" s="202">
        <f t="shared" si="3"/>
        <v>0.12866745305098393</v>
      </c>
      <c r="H9" s="177">
        <f t="shared" ref="H9:H10" si="31">U9+AG9+AQ9+BB9</f>
        <v>6872</v>
      </c>
      <c r="I9" s="203">
        <f t="shared" si="4"/>
        <v>0.12060817388533905</v>
      </c>
      <c r="J9" s="202">
        <f t="shared" si="5"/>
        <v>0.1665752163831708</v>
      </c>
      <c r="K9" s="202">
        <f t="shared" si="6"/>
        <v>0.12135593220338983</v>
      </c>
      <c r="L9" s="204">
        <f t="shared" si="7"/>
        <v>0.61776731507867677</v>
      </c>
      <c r="M9" s="177">
        <f t="shared" si="8"/>
        <v>5614.9135352319599</v>
      </c>
      <c r="N9" s="177">
        <f t="shared" si="9"/>
        <v>7754.9091987185166</v>
      </c>
      <c r="O9" s="177">
        <f t="shared" si="10"/>
        <v>5649.7254237288134</v>
      </c>
      <c r="P9" s="177">
        <f t="shared" si="11"/>
        <v>28760.157353487797</v>
      </c>
      <c r="Q9" s="57">
        <f t="shared" si="26"/>
        <v>45660</v>
      </c>
      <c r="R9" s="168">
        <v>53409</v>
      </c>
      <c r="S9" s="169">
        <v>46555</v>
      </c>
      <c r="T9" s="169"/>
      <c r="U9" s="169">
        <v>2968</v>
      </c>
      <c r="V9" s="170">
        <v>11818</v>
      </c>
      <c r="W9" s="171">
        <v>0.71875</v>
      </c>
      <c r="X9" s="170">
        <v>4469</v>
      </c>
      <c r="Y9" s="171">
        <v>0.76041666666666663</v>
      </c>
      <c r="Z9" s="170">
        <v>159</v>
      </c>
      <c r="AA9" s="171">
        <v>0.90625</v>
      </c>
      <c r="AB9" s="57">
        <f t="shared" si="27"/>
        <v>45660</v>
      </c>
      <c r="AC9" s="78">
        <f t="shared" si="12"/>
        <v>1</v>
      </c>
      <c r="AD9" s="205">
        <f t="shared" si="13"/>
        <v>0</v>
      </c>
      <c r="AE9" s="206">
        <v>6814</v>
      </c>
      <c r="AF9" s="124">
        <f t="shared" si="14"/>
        <v>6814</v>
      </c>
      <c r="AG9" s="184">
        <v>0</v>
      </c>
      <c r="AH9" s="185">
        <v>3424</v>
      </c>
      <c r="AI9" s="186">
        <v>0.72916666666666663</v>
      </c>
      <c r="AJ9" s="185">
        <v>0</v>
      </c>
      <c r="AK9" s="208">
        <v>0</v>
      </c>
      <c r="AL9" s="57">
        <f t="shared" si="28"/>
        <v>45660</v>
      </c>
      <c r="AM9" s="79">
        <f t="shared" si="15"/>
        <v>0.58516629476144932</v>
      </c>
      <c r="AN9" s="78">
        <f t="shared" si="16"/>
        <v>0.41483370523855062</v>
      </c>
      <c r="AO9" s="189">
        <v>9411</v>
      </c>
      <c r="AP9" s="123">
        <f t="shared" si="17"/>
        <v>5507</v>
      </c>
      <c r="AQ9" s="191">
        <v>3904</v>
      </c>
      <c r="AR9" s="192">
        <v>3648</v>
      </c>
      <c r="AS9" s="193">
        <v>0.73750000000000004</v>
      </c>
      <c r="AT9" s="192">
        <v>190</v>
      </c>
      <c r="AU9" s="194">
        <v>0.87361111111111112</v>
      </c>
      <c r="AV9" s="57">
        <f t="shared" si="29"/>
        <v>45660</v>
      </c>
      <c r="AW9" s="115">
        <f t="shared" si="18"/>
        <v>1</v>
      </c>
      <c r="AX9" s="115">
        <f t="shared" si="19"/>
        <v>0</v>
      </c>
      <c r="AY9" s="116">
        <f t="shared" si="20"/>
        <v>5370</v>
      </c>
      <c r="AZ9" s="117">
        <v>5370</v>
      </c>
      <c r="BA9" s="126">
        <f t="shared" si="21"/>
        <v>5370</v>
      </c>
      <c r="BB9" s="118">
        <v>0</v>
      </c>
      <c r="BC9" s="117">
        <v>3300</v>
      </c>
      <c r="BD9" s="119">
        <v>0.75</v>
      </c>
      <c r="BE9" s="120">
        <v>0</v>
      </c>
      <c r="BF9" s="119">
        <v>0</v>
      </c>
      <c r="BG9" s="120">
        <v>0</v>
      </c>
      <c r="BH9" s="121">
        <v>0</v>
      </c>
      <c r="BI9" s="57">
        <f t="shared" si="30"/>
        <v>45660</v>
      </c>
      <c r="BJ9" s="80">
        <f t="shared" si="22"/>
        <v>0.60709987966305656</v>
      </c>
      <c r="BK9" s="78">
        <f t="shared" si="23"/>
        <v>0.39290012033694344</v>
      </c>
      <c r="BL9" s="81">
        <f t="shared" si="24"/>
        <v>34902</v>
      </c>
      <c r="BM9" s="198">
        <v>21189</v>
      </c>
      <c r="BN9" s="198">
        <v>13713</v>
      </c>
      <c r="BO9" s="199">
        <v>4621</v>
      </c>
      <c r="BP9" s="200">
        <v>0.82847222222222228</v>
      </c>
      <c r="BQ9" s="201">
        <v>2824</v>
      </c>
      <c r="BR9" s="200">
        <v>0.87013888888888891</v>
      </c>
    </row>
    <row r="10" spans="1:72" ht="15.75" thickBot="1" x14ac:dyDescent="0.3">
      <c r="B10" s="57">
        <f t="shared" si="25"/>
        <v>45661</v>
      </c>
      <c r="C10" s="207"/>
      <c r="D10" s="89">
        <f t="shared" si="0"/>
        <v>32967</v>
      </c>
      <c r="E10" s="202">
        <f t="shared" si="1"/>
        <v>0.79976946643613311</v>
      </c>
      <c r="F10" s="89">
        <f t="shared" si="2"/>
        <v>26366</v>
      </c>
      <c r="G10" s="202">
        <f t="shared" si="3"/>
        <v>0.20023053356386689</v>
      </c>
      <c r="H10" s="177">
        <f t="shared" si="31"/>
        <v>6601</v>
      </c>
      <c r="I10" s="203">
        <f t="shared" si="4"/>
        <v>8.563165270282358E-2</v>
      </c>
      <c r="J10" s="202">
        <f t="shared" si="5"/>
        <v>0.17788246518977907</v>
      </c>
      <c r="K10" s="202">
        <f t="shared" si="6"/>
        <v>7.2602250401857471E-2</v>
      </c>
      <c r="L10" s="204">
        <f t="shared" si="7"/>
        <v>0.68800500909389073</v>
      </c>
      <c r="M10" s="177">
        <f t="shared" si="8"/>
        <v>2502.585050240019</v>
      </c>
      <c r="N10" s="177">
        <f t="shared" si="9"/>
        <v>5198.6150451712938</v>
      </c>
      <c r="O10" s="177">
        <f t="shared" si="10"/>
        <v>2121.8007679942848</v>
      </c>
      <c r="P10" s="177">
        <f t="shared" si="11"/>
        <v>20106.946390768957</v>
      </c>
      <c r="Q10" s="57">
        <f t="shared" si="26"/>
        <v>45661</v>
      </c>
      <c r="R10" s="168">
        <v>32967</v>
      </c>
      <c r="S10" s="169">
        <v>29225</v>
      </c>
      <c r="T10" s="169"/>
      <c r="U10" s="169">
        <v>2859</v>
      </c>
      <c r="V10" s="170">
        <v>6959</v>
      </c>
      <c r="W10" s="171">
        <v>0.77083333333333337</v>
      </c>
      <c r="X10" s="170">
        <v>2131</v>
      </c>
      <c r="Y10" s="171">
        <v>0.625</v>
      </c>
      <c r="Z10" s="170">
        <v>157</v>
      </c>
      <c r="AA10" s="171">
        <v>0.875</v>
      </c>
      <c r="AB10" s="57">
        <f t="shared" si="27"/>
        <v>45661</v>
      </c>
      <c r="AC10" s="78">
        <f t="shared" si="12"/>
        <v>1</v>
      </c>
      <c r="AD10" s="205">
        <f t="shared" si="13"/>
        <v>0</v>
      </c>
      <c r="AE10" s="206">
        <v>2872</v>
      </c>
      <c r="AF10" s="124">
        <f t="shared" si="14"/>
        <v>2872</v>
      </c>
      <c r="AG10" s="184">
        <v>0</v>
      </c>
      <c r="AH10" s="185">
        <v>1707</v>
      </c>
      <c r="AI10" s="186">
        <v>0.70208333333333328</v>
      </c>
      <c r="AJ10" s="185">
        <v>0</v>
      </c>
      <c r="AK10" s="208">
        <v>0</v>
      </c>
      <c r="AL10" s="57">
        <f t="shared" si="28"/>
        <v>45661</v>
      </c>
      <c r="AM10" s="79">
        <f t="shared" si="15"/>
        <v>0.37277908146161581</v>
      </c>
      <c r="AN10" s="78">
        <f t="shared" si="16"/>
        <v>0.62722091853838413</v>
      </c>
      <c r="AO10" s="189">
        <v>5966</v>
      </c>
      <c r="AP10" s="123">
        <f t="shared" si="17"/>
        <v>2224</v>
      </c>
      <c r="AQ10" s="191">
        <v>3742</v>
      </c>
      <c r="AR10" s="192">
        <v>1833</v>
      </c>
      <c r="AS10" s="193">
        <v>0.35138888888888886</v>
      </c>
      <c r="AT10" s="192">
        <v>182</v>
      </c>
      <c r="AU10" s="194">
        <v>0.98541666666666672</v>
      </c>
      <c r="AV10" s="57">
        <f t="shared" si="29"/>
        <v>45661</v>
      </c>
      <c r="AW10" s="115">
        <f t="shared" si="18"/>
        <v>1</v>
      </c>
      <c r="AX10" s="115">
        <f t="shared" si="19"/>
        <v>0</v>
      </c>
      <c r="AY10" s="116">
        <f t="shared" si="20"/>
        <v>1626</v>
      </c>
      <c r="AZ10" s="117">
        <v>1626</v>
      </c>
      <c r="BA10" s="126">
        <f t="shared" si="21"/>
        <v>1626</v>
      </c>
      <c r="BB10" s="118">
        <v>0</v>
      </c>
      <c r="BC10" s="117">
        <v>1638</v>
      </c>
      <c r="BD10" s="119">
        <v>0.57291666666666663</v>
      </c>
      <c r="BE10" s="120">
        <v>0</v>
      </c>
      <c r="BF10" s="119">
        <v>0</v>
      </c>
      <c r="BG10" s="120">
        <v>0</v>
      </c>
      <c r="BH10" s="121">
        <v>0</v>
      </c>
      <c r="BI10" s="57">
        <f t="shared" si="30"/>
        <v>45661</v>
      </c>
      <c r="BJ10" s="80">
        <f t="shared" si="22"/>
        <v>0.60879739978331526</v>
      </c>
      <c r="BK10" s="78">
        <f t="shared" si="23"/>
        <v>0.39120260021668474</v>
      </c>
      <c r="BL10" s="81">
        <f t="shared" si="24"/>
        <v>23075</v>
      </c>
      <c r="BM10" s="198">
        <v>14048</v>
      </c>
      <c r="BN10" s="198">
        <v>9027</v>
      </c>
      <c r="BO10" s="199">
        <v>2674</v>
      </c>
      <c r="BP10" s="200">
        <v>0.41319444444444442</v>
      </c>
      <c r="BQ10" s="201">
        <v>1767</v>
      </c>
      <c r="BR10" s="200">
        <v>0.4548611111111111</v>
      </c>
    </row>
    <row r="11" spans="1:72" ht="15.75" thickBot="1" x14ac:dyDescent="0.3">
      <c r="B11" s="57">
        <f t="shared" si="25"/>
        <v>45662</v>
      </c>
      <c r="C11" s="207"/>
      <c r="D11" s="89">
        <f t="shared" ref="D11:D24" si="32">R11</f>
        <v>28528</v>
      </c>
      <c r="E11" s="202">
        <f t="shared" ref="E11:E24" si="33">F11/D11</f>
        <v>0.77597448121144141</v>
      </c>
      <c r="F11" s="89">
        <f t="shared" ref="F11:F24" si="34">D11-H11</f>
        <v>22137</v>
      </c>
      <c r="G11" s="202">
        <f t="shared" ref="G11:G24" si="35">H11/D11</f>
        <v>0.22402551878855861</v>
      </c>
      <c r="H11" s="177">
        <f t="shared" ref="H11:H24" si="36">U11+AG11+AQ11+BB11</f>
        <v>6391</v>
      </c>
      <c r="I11" s="203">
        <f t="shared" ref="I11:I24" si="37">AE11/(AE11+AO11+BL11+AY11)</f>
        <v>6.7701732150401359E-2</v>
      </c>
      <c r="J11" s="202">
        <f t="shared" ref="J11:J24" si="38">AO11/(AE11+AO11+BL11+AY11)</f>
        <v>0.18631178707224336</v>
      </c>
      <c r="K11" s="202">
        <f t="shared" ref="K11:K24" si="39">AY11/(AF11+AP11+BM11+AZ11+AY11)</f>
        <v>6.3816810822798845E-2</v>
      </c>
      <c r="L11" s="204">
        <f t="shared" ref="L11:L24" si="40">BL11/(AE11+AO11+BL11+AY11)</f>
        <v>0.70546401915223211</v>
      </c>
      <c r="M11" s="177">
        <f t="shared" ref="M11:M24" si="41">(S11+T11)*I11</f>
        <v>1643.3918462188426</v>
      </c>
      <c r="N11" s="177">
        <f t="shared" ref="N11:N24" si="42">(S11+T11)*J11</f>
        <v>4522.5323193916356</v>
      </c>
      <c r="O11" s="177">
        <f t="shared" ref="O11:O24" si="43">(S11+T11)*K11</f>
        <v>1549.0892659126191</v>
      </c>
      <c r="P11" s="177">
        <f t="shared" ref="P11:P24" si="44">(S11+T11)*L11</f>
        <v>17124.433600901284</v>
      </c>
      <c r="Q11" s="57">
        <f t="shared" si="26"/>
        <v>45662</v>
      </c>
      <c r="R11" s="168">
        <v>28528</v>
      </c>
      <c r="S11" s="169">
        <v>0</v>
      </c>
      <c r="T11" s="169">
        <v>24274</v>
      </c>
      <c r="U11" s="169">
        <v>2725</v>
      </c>
      <c r="V11" s="170">
        <v>6680</v>
      </c>
      <c r="W11" s="171">
        <v>0.72916666666666663</v>
      </c>
      <c r="X11" s="170">
        <v>1976</v>
      </c>
      <c r="Y11" s="171">
        <v>0.69791666666666663</v>
      </c>
      <c r="Z11" s="170">
        <v>143</v>
      </c>
      <c r="AA11" s="171">
        <v>2.0833333333333332E-2</v>
      </c>
      <c r="AB11" s="57">
        <f t="shared" si="27"/>
        <v>45662</v>
      </c>
      <c r="AC11" s="78">
        <f t="shared" ref="AC11:AC24" si="45">+AF11/AE11</f>
        <v>1</v>
      </c>
      <c r="AD11" s="205">
        <f t="shared" ref="AD11:AD24" si="46">+AG11/AE11</f>
        <v>0</v>
      </c>
      <c r="AE11" s="206">
        <v>1923</v>
      </c>
      <c r="AF11" s="124">
        <f t="shared" si="14"/>
        <v>1923</v>
      </c>
      <c r="AG11" s="184">
        <v>0</v>
      </c>
      <c r="AH11" s="185">
        <v>1621</v>
      </c>
      <c r="AI11" s="186">
        <v>0.92361111111111116</v>
      </c>
      <c r="AJ11" s="185">
        <v>0</v>
      </c>
      <c r="AK11" s="208">
        <v>0</v>
      </c>
      <c r="AL11" s="57">
        <f t="shared" si="28"/>
        <v>45662</v>
      </c>
      <c r="AM11" s="79">
        <f t="shared" ref="AM11:AM24" si="47">+AP11/AO11</f>
        <v>0.30725623582766443</v>
      </c>
      <c r="AN11" s="78">
        <f t="shared" ref="AN11:AN24" si="48">+AQ11/AO11</f>
        <v>0.69274376417233563</v>
      </c>
      <c r="AO11" s="189">
        <v>5292</v>
      </c>
      <c r="AP11" s="123">
        <f t="shared" si="17"/>
        <v>1626</v>
      </c>
      <c r="AQ11" s="191">
        <v>3666</v>
      </c>
      <c r="AR11" s="192">
        <v>1626</v>
      </c>
      <c r="AS11" s="193">
        <v>0.39374999999999999</v>
      </c>
      <c r="AT11" s="192">
        <v>177</v>
      </c>
      <c r="AU11" s="194">
        <v>0.88541666666666663</v>
      </c>
      <c r="AV11" s="57">
        <f t="shared" si="29"/>
        <v>45662</v>
      </c>
      <c r="AW11" s="115">
        <f t="shared" ref="AW11:AW24" si="49">BA11/AZ11</f>
        <v>1</v>
      </c>
      <c r="AX11" s="115">
        <f t="shared" ref="AX11:AX24" si="50">BB11/AZ11</f>
        <v>0</v>
      </c>
      <c r="AY11" s="116">
        <f t="shared" ref="AY11:AY24" si="51">BA11+BB11</f>
        <v>1151</v>
      </c>
      <c r="AZ11" s="117">
        <v>1151</v>
      </c>
      <c r="BA11" s="213">
        <f t="shared" si="21"/>
        <v>1151</v>
      </c>
      <c r="BB11" s="118">
        <v>0</v>
      </c>
      <c r="BC11" s="117">
        <v>1478</v>
      </c>
      <c r="BD11" s="119">
        <v>0.72916666666666663</v>
      </c>
      <c r="BE11" s="120">
        <v>0</v>
      </c>
      <c r="BF11" s="119">
        <v>0</v>
      </c>
      <c r="BG11" s="120">
        <v>0</v>
      </c>
      <c r="BH11" s="121">
        <v>0</v>
      </c>
      <c r="BI11" s="57">
        <f t="shared" si="30"/>
        <v>45662</v>
      </c>
      <c r="BJ11" s="80">
        <f t="shared" ref="BJ11:BJ24" si="52">+BM11/BL11</f>
        <v>0.60809462022157901</v>
      </c>
      <c r="BK11" s="78">
        <f t="shared" ref="BK11:BK24" si="53">+BN11/BL11</f>
        <v>0.39190537977842099</v>
      </c>
      <c r="BL11" s="81">
        <f t="shared" ref="BL11:BL24" si="54">BM11+BN11</f>
        <v>20038</v>
      </c>
      <c r="BM11" s="198">
        <v>12185</v>
      </c>
      <c r="BN11" s="198">
        <v>7853</v>
      </c>
      <c r="BO11" s="199">
        <v>2965</v>
      </c>
      <c r="BP11" s="200">
        <v>0.69027777777777777</v>
      </c>
      <c r="BQ11" s="201">
        <v>1988</v>
      </c>
      <c r="BR11" s="200">
        <v>0.7319444444444444</v>
      </c>
    </row>
    <row r="12" spans="1:72" ht="15.75" thickBot="1" x14ac:dyDescent="0.3">
      <c r="B12" s="57">
        <f t="shared" si="25"/>
        <v>45663</v>
      </c>
      <c r="C12" s="207"/>
      <c r="D12" s="89">
        <f t="shared" si="32"/>
        <v>52887</v>
      </c>
      <c r="E12" s="202">
        <f t="shared" si="33"/>
        <v>0.87448711403558532</v>
      </c>
      <c r="F12" s="89">
        <f t="shared" si="34"/>
        <v>46249</v>
      </c>
      <c r="G12" s="202">
        <f t="shared" si="35"/>
        <v>0.12551288596441471</v>
      </c>
      <c r="H12" s="177">
        <f t="shared" si="36"/>
        <v>6638</v>
      </c>
      <c r="I12" s="203">
        <f t="shared" si="37"/>
        <v>0.12392815236032133</v>
      </c>
      <c r="J12" s="202">
        <f t="shared" si="38"/>
        <v>0.16793934470620092</v>
      </c>
      <c r="K12" s="202">
        <f t="shared" si="39"/>
        <v>0.11960874568469505</v>
      </c>
      <c r="L12" s="204">
        <f t="shared" si="40"/>
        <v>0.61431537142341364</v>
      </c>
      <c r="M12" s="177">
        <f t="shared" si="41"/>
        <v>5979.0376387760625</v>
      </c>
      <c r="N12" s="177">
        <f t="shared" si="42"/>
        <v>8102.4016246953697</v>
      </c>
      <c r="O12" s="177">
        <f t="shared" si="43"/>
        <v>5770.6435443037972</v>
      </c>
      <c r="P12" s="177">
        <f t="shared" si="44"/>
        <v>29638.259409694016</v>
      </c>
      <c r="Q12" s="57">
        <f t="shared" si="26"/>
        <v>45663</v>
      </c>
      <c r="R12" s="168">
        <v>52887</v>
      </c>
      <c r="S12" s="169">
        <v>0</v>
      </c>
      <c r="T12" s="169">
        <v>48246</v>
      </c>
      <c r="U12" s="169">
        <v>2790</v>
      </c>
      <c r="V12" s="170">
        <v>12655</v>
      </c>
      <c r="W12" s="171">
        <v>0.77083333333333337</v>
      </c>
      <c r="X12" s="170">
        <v>4320</v>
      </c>
      <c r="Y12" s="171">
        <v>0.36458333333333331</v>
      </c>
      <c r="Z12" s="170">
        <v>149</v>
      </c>
      <c r="AA12" s="171">
        <v>0.88541666666666663</v>
      </c>
      <c r="AB12" s="57">
        <f t="shared" si="27"/>
        <v>45663</v>
      </c>
      <c r="AC12" s="78">
        <f t="shared" si="45"/>
        <v>1</v>
      </c>
      <c r="AD12" s="205">
        <f t="shared" si="46"/>
        <v>0</v>
      </c>
      <c r="AE12" s="206">
        <v>6865</v>
      </c>
      <c r="AF12" s="124">
        <f t="shared" si="14"/>
        <v>6865</v>
      </c>
      <c r="AG12" s="184">
        <v>0</v>
      </c>
      <c r="AH12" s="185">
        <v>3367</v>
      </c>
      <c r="AI12" s="186">
        <v>0.36666666666666664</v>
      </c>
      <c r="AJ12" s="185">
        <v>0</v>
      </c>
      <c r="AK12" s="208">
        <v>0</v>
      </c>
      <c r="AL12" s="57">
        <f t="shared" si="28"/>
        <v>45663</v>
      </c>
      <c r="AM12" s="79">
        <f t="shared" si="47"/>
        <v>0.58636998817585728</v>
      </c>
      <c r="AN12" s="78">
        <f t="shared" si="48"/>
        <v>0.41363001182414277</v>
      </c>
      <c r="AO12" s="189">
        <v>9303</v>
      </c>
      <c r="AP12" s="123">
        <f t="shared" si="17"/>
        <v>5455</v>
      </c>
      <c r="AQ12" s="191">
        <v>3848</v>
      </c>
      <c r="AR12" s="192">
        <v>3926</v>
      </c>
      <c r="AS12" s="193">
        <v>0.36180555555555555</v>
      </c>
      <c r="AT12" s="192">
        <v>177</v>
      </c>
      <c r="AU12" s="194">
        <v>0.94791666666666663</v>
      </c>
      <c r="AV12" s="57">
        <f t="shared" si="29"/>
        <v>45663</v>
      </c>
      <c r="AW12" s="115">
        <f t="shared" si="49"/>
        <v>1</v>
      </c>
      <c r="AX12" s="115">
        <f t="shared" si="50"/>
        <v>0</v>
      </c>
      <c r="AY12" s="116">
        <f t="shared" si="51"/>
        <v>5197</v>
      </c>
      <c r="AZ12" s="117">
        <v>5197</v>
      </c>
      <c r="BA12" s="213">
        <f t="shared" si="21"/>
        <v>5197</v>
      </c>
      <c r="BB12" s="118">
        <v>0</v>
      </c>
      <c r="BC12" s="117">
        <v>3367</v>
      </c>
      <c r="BD12" s="119">
        <v>0.36666666666666664</v>
      </c>
      <c r="BE12" s="120">
        <v>0</v>
      </c>
      <c r="BF12" s="119">
        <v>0</v>
      </c>
      <c r="BG12" s="120">
        <v>0</v>
      </c>
      <c r="BH12" s="121">
        <v>0</v>
      </c>
      <c r="BI12" s="57">
        <f t="shared" si="30"/>
        <v>45663</v>
      </c>
      <c r="BJ12" s="80">
        <f t="shared" si="52"/>
        <v>0.60934469585659712</v>
      </c>
      <c r="BK12" s="78">
        <f t="shared" si="53"/>
        <v>0.39065530414340288</v>
      </c>
      <c r="BL12" s="81">
        <f t="shared" si="54"/>
        <v>34030</v>
      </c>
      <c r="BM12" s="198">
        <v>20736</v>
      </c>
      <c r="BN12" s="198">
        <v>13294</v>
      </c>
      <c r="BO12" s="199">
        <v>4094</v>
      </c>
      <c r="BP12" s="200">
        <v>0.75972222222222219</v>
      </c>
      <c r="BQ12" s="201">
        <v>2753</v>
      </c>
      <c r="BR12" s="200">
        <v>0.80069444444444449</v>
      </c>
      <c r="BT12" s="14" t="s">
        <v>37</v>
      </c>
    </row>
    <row r="13" spans="1:72" ht="15.75" thickBot="1" x14ac:dyDescent="0.3">
      <c r="B13" s="57">
        <f t="shared" si="25"/>
        <v>45664</v>
      </c>
      <c r="C13" s="207"/>
      <c r="D13" s="89">
        <f t="shared" si="32"/>
        <v>52140</v>
      </c>
      <c r="E13" s="202">
        <f t="shared" si="33"/>
        <v>0.86683927886459533</v>
      </c>
      <c r="F13" s="89">
        <f t="shared" si="34"/>
        <v>45197</v>
      </c>
      <c r="G13" s="202">
        <f t="shared" si="35"/>
        <v>0.13316072113540467</v>
      </c>
      <c r="H13" s="177">
        <f t="shared" si="36"/>
        <v>6943</v>
      </c>
      <c r="I13" s="203">
        <f t="shared" si="37"/>
        <v>0.13024957675714052</v>
      </c>
      <c r="J13" s="202">
        <f t="shared" si="38"/>
        <v>0.18994047293976299</v>
      </c>
      <c r="K13" s="202">
        <f t="shared" si="39"/>
        <v>0.10579778458637756</v>
      </c>
      <c r="L13" s="204">
        <f t="shared" si="40"/>
        <v>0.59809222143338248</v>
      </c>
      <c r="M13" s="177">
        <f t="shared" si="41"/>
        <v>6207.4343290918032</v>
      </c>
      <c r="N13" s="177">
        <f t="shared" si="42"/>
        <v>9052.1830593632239</v>
      </c>
      <c r="O13" s="177">
        <f t="shared" si="43"/>
        <v>5042.1108178175818</v>
      </c>
      <c r="P13" s="177">
        <f t="shared" si="44"/>
        <v>28503.879089072143</v>
      </c>
      <c r="Q13" s="57">
        <f t="shared" si="26"/>
        <v>45664</v>
      </c>
      <c r="R13" s="168">
        <v>52140</v>
      </c>
      <c r="S13" s="169">
        <v>0</v>
      </c>
      <c r="T13" s="169">
        <v>47658</v>
      </c>
      <c r="U13" s="169">
        <v>2868</v>
      </c>
      <c r="V13" s="170">
        <v>13247</v>
      </c>
      <c r="W13" s="222">
        <v>0.61458333333333337</v>
      </c>
      <c r="X13" s="170">
        <v>3976</v>
      </c>
      <c r="Y13" s="222">
        <v>0.79166666666666663</v>
      </c>
      <c r="Z13" s="170">
        <v>151</v>
      </c>
      <c r="AA13" s="222">
        <v>4.027777777777778E-2</v>
      </c>
      <c r="AB13" s="57">
        <f t="shared" si="27"/>
        <v>45664</v>
      </c>
      <c r="AC13" s="78">
        <f t="shared" si="45"/>
        <v>1</v>
      </c>
      <c r="AD13" s="205">
        <f t="shared" si="46"/>
        <v>0</v>
      </c>
      <c r="AE13" s="206">
        <v>7155</v>
      </c>
      <c r="AF13" s="124">
        <f t="shared" si="14"/>
        <v>7155</v>
      </c>
      <c r="AG13" s="184">
        <v>0</v>
      </c>
      <c r="AH13" s="185">
        <v>3470</v>
      </c>
      <c r="AI13" s="186">
        <v>0.59444444444444444</v>
      </c>
      <c r="AJ13" s="185">
        <v>0</v>
      </c>
      <c r="AK13" s="208">
        <v>0</v>
      </c>
      <c r="AL13" s="57">
        <f t="shared" si="28"/>
        <v>45664</v>
      </c>
      <c r="AM13" s="79">
        <f t="shared" si="47"/>
        <v>0.60944987540732221</v>
      </c>
      <c r="AN13" s="78">
        <f t="shared" si="48"/>
        <v>0.39055012459267779</v>
      </c>
      <c r="AO13" s="189">
        <v>10434</v>
      </c>
      <c r="AP13" s="123">
        <f t="shared" si="17"/>
        <v>6359</v>
      </c>
      <c r="AQ13" s="191">
        <v>4075</v>
      </c>
      <c r="AR13" s="192">
        <v>3742</v>
      </c>
      <c r="AS13" s="193">
        <v>0.72986111111111107</v>
      </c>
      <c r="AT13" s="192">
        <v>198</v>
      </c>
      <c r="AU13" s="194">
        <v>0.61041666666666672</v>
      </c>
      <c r="AV13" s="57">
        <f t="shared" si="29"/>
        <v>45664</v>
      </c>
      <c r="AW13" s="115">
        <f t="shared" si="49"/>
        <v>1</v>
      </c>
      <c r="AX13" s="115">
        <f t="shared" si="50"/>
        <v>0</v>
      </c>
      <c r="AY13" s="116">
        <f t="shared" si="51"/>
        <v>4489</v>
      </c>
      <c r="AZ13" s="117">
        <v>4489</v>
      </c>
      <c r="BA13" s="213">
        <f t="shared" si="21"/>
        <v>4489</v>
      </c>
      <c r="BB13" s="118">
        <v>0</v>
      </c>
      <c r="BC13" s="117">
        <v>3615</v>
      </c>
      <c r="BD13" s="119">
        <v>0.79166666666666663</v>
      </c>
      <c r="BE13" s="120">
        <v>0</v>
      </c>
      <c r="BF13" s="119">
        <v>0</v>
      </c>
      <c r="BG13" s="120">
        <v>0</v>
      </c>
      <c r="BH13" s="121">
        <v>0</v>
      </c>
      <c r="BI13" s="57">
        <f t="shared" si="30"/>
        <v>45664</v>
      </c>
      <c r="BJ13" s="80">
        <f t="shared" si="52"/>
        <v>0.60684827271343789</v>
      </c>
      <c r="BK13" s="78">
        <f t="shared" si="53"/>
        <v>0.39315172728656217</v>
      </c>
      <c r="BL13" s="81">
        <f t="shared" si="54"/>
        <v>32855</v>
      </c>
      <c r="BM13" s="198">
        <v>19938</v>
      </c>
      <c r="BN13" s="198">
        <v>12917</v>
      </c>
      <c r="BO13" s="199">
        <v>4670</v>
      </c>
      <c r="BP13" s="200">
        <v>0.79027777777777775</v>
      </c>
      <c r="BQ13" s="201">
        <v>3137</v>
      </c>
      <c r="BR13" s="200">
        <v>0.83194444444444438</v>
      </c>
    </row>
    <row r="14" spans="1:72" ht="15.75" thickBot="1" x14ac:dyDescent="0.3">
      <c r="B14" s="57">
        <f t="shared" si="25"/>
        <v>45665</v>
      </c>
      <c r="C14" s="207"/>
      <c r="D14" s="89">
        <f t="shared" si="32"/>
        <v>53847</v>
      </c>
      <c r="E14" s="202">
        <f t="shared" si="33"/>
        <v>0.86847920961242042</v>
      </c>
      <c r="F14" s="89">
        <f t="shared" si="34"/>
        <v>46765</v>
      </c>
      <c r="G14" s="202">
        <f t="shared" si="35"/>
        <v>0.13152079038757963</v>
      </c>
      <c r="H14" s="177">
        <f t="shared" si="36"/>
        <v>7082</v>
      </c>
      <c r="I14" s="203">
        <f t="shared" si="37"/>
        <v>0.11949355577706661</v>
      </c>
      <c r="J14" s="202">
        <f t="shared" si="38"/>
        <v>0.17437000507143732</v>
      </c>
      <c r="K14" s="202">
        <f t="shared" si="39"/>
        <v>8.2706407776265201E-2</v>
      </c>
      <c r="L14" s="204">
        <f t="shared" si="40"/>
        <v>0.64557648252102895</v>
      </c>
      <c r="M14" s="177">
        <f t="shared" si="41"/>
        <v>5940.9806061241979</v>
      </c>
      <c r="N14" s="177">
        <f t="shared" si="42"/>
        <v>8669.3279121417199</v>
      </c>
      <c r="O14" s="177">
        <f t="shared" si="43"/>
        <v>4111.997181820353</v>
      </c>
      <c r="P14" s="177">
        <f t="shared" si="44"/>
        <v>32096.771557980519</v>
      </c>
      <c r="Q14" s="57">
        <f t="shared" si="26"/>
        <v>45665</v>
      </c>
      <c r="R14" s="168">
        <v>53847</v>
      </c>
      <c r="S14" s="169">
        <v>0</v>
      </c>
      <c r="T14" s="169">
        <v>49718</v>
      </c>
      <c r="U14" s="169">
        <v>2852</v>
      </c>
      <c r="V14" s="170">
        <v>13660</v>
      </c>
      <c r="W14" s="171">
        <v>0.78125</v>
      </c>
      <c r="X14" s="170">
        <v>4485</v>
      </c>
      <c r="Y14" s="171">
        <v>0.78125</v>
      </c>
      <c r="Z14" s="170">
        <v>155</v>
      </c>
      <c r="AA14" s="171">
        <v>0.78125</v>
      </c>
      <c r="AB14" s="57">
        <f t="shared" si="27"/>
        <v>45665</v>
      </c>
      <c r="AC14" s="78">
        <f t="shared" si="45"/>
        <v>1</v>
      </c>
      <c r="AD14" s="205">
        <f t="shared" si="46"/>
        <v>0</v>
      </c>
      <c r="AE14" s="206">
        <v>6833</v>
      </c>
      <c r="AF14" s="124">
        <f t="shared" ref="AF14:AF24" si="55">+AE14-AG14</f>
        <v>6833</v>
      </c>
      <c r="AG14" s="184">
        <v>0</v>
      </c>
      <c r="AH14" s="185">
        <v>3759</v>
      </c>
      <c r="AI14" s="186">
        <v>0.75138888888888888</v>
      </c>
      <c r="AJ14" s="185">
        <v>0</v>
      </c>
      <c r="AK14" s="208">
        <v>0</v>
      </c>
      <c r="AL14" s="57">
        <f t="shared" si="28"/>
        <v>45665</v>
      </c>
      <c r="AM14" s="79">
        <f t="shared" si="47"/>
        <v>0.57576973222344796</v>
      </c>
      <c r="AN14" s="78">
        <f t="shared" si="48"/>
        <v>0.42423026777655198</v>
      </c>
      <c r="AO14" s="189">
        <v>9971</v>
      </c>
      <c r="AP14" s="123">
        <f t="shared" ref="AP14:AP24" si="56">AO14-AQ14</f>
        <v>5741</v>
      </c>
      <c r="AQ14" s="191">
        <v>4230</v>
      </c>
      <c r="AR14" s="192">
        <v>4018</v>
      </c>
      <c r="AS14" s="193">
        <v>0.33541666666666664</v>
      </c>
      <c r="AT14" s="192">
        <v>206</v>
      </c>
      <c r="AU14" s="194">
        <v>0.5</v>
      </c>
      <c r="AV14" s="57">
        <f t="shared" si="29"/>
        <v>45665</v>
      </c>
      <c r="AW14" s="115">
        <f t="shared" si="49"/>
        <v>1</v>
      </c>
      <c r="AX14" s="115">
        <f t="shared" si="50"/>
        <v>0</v>
      </c>
      <c r="AY14" s="116">
        <f t="shared" si="51"/>
        <v>3463</v>
      </c>
      <c r="AZ14" s="117">
        <v>3463</v>
      </c>
      <c r="BA14" s="126">
        <f t="shared" ref="BA14:BA24" si="57">AZ14-BB14</f>
        <v>3463</v>
      </c>
      <c r="BB14" s="118">
        <v>0</v>
      </c>
      <c r="BC14" s="117">
        <v>3503</v>
      </c>
      <c r="BD14" s="119">
        <v>0.77083333333333337</v>
      </c>
      <c r="BE14" s="120">
        <v>0</v>
      </c>
      <c r="BF14" s="119">
        <v>0</v>
      </c>
      <c r="BG14" s="120">
        <v>0</v>
      </c>
      <c r="BH14" s="121">
        <v>0</v>
      </c>
      <c r="BI14" s="57">
        <f t="shared" si="30"/>
        <v>45665</v>
      </c>
      <c r="BJ14" s="80">
        <f t="shared" si="52"/>
        <v>0.60599739950157117</v>
      </c>
      <c r="BK14" s="78">
        <f t="shared" si="53"/>
        <v>0.39400260049842889</v>
      </c>
      <c r="BL14" s="81">
        <f t="shared" si="54"/>
        <v>36916</v>
      </c>
      <c r="BM14" s="198">
        <v>22371</v>
      </c>
      <c r="BN14" s="198">
        <v>14545</v>
      </c>
      <c r="BO14" s="199">
        <v>3902</v>
      </c>
      <c r="BP14" s="200">
        <v>0.39374999999999999</v>
      </c>
      <c r="BQ14" s="201">
        <v>2622</v>
      </c>
      <c r="BR14" s="200">
        <v>0.43541666666666667</v>
      </c>
    </row>
    <row r="15" spans="1:72" ht="15.75" thickBot="1" x14ac:dyDescent="0.3">
      <c r="B15" s="57">
        <f t="shared" si="25"/>
        <v>45666</v>
      </c>
      <c r="C15" s="207"/>
      <c r="D15" s="89">
        <f t="shared" si="32"/>
        <v>54463</v>
      </c>
      <c r="E15" s="202">
        <f t="shared" si="33"/>
        <v>0.87174779207902608</v>
      </c>
      <c r="F15" s="89">
        <f t="shared" si="34"/>
        <v>47478</v>
      </c>
      <c r="G15" s="202">
        <f t="shared" si="35"/>
        <v>0.12825220792097386</v>
      </c>
      <c r="H15" s="177">
        <f t="shared" si="36"/>
        <v>6985</v>
      </c>
      <c r="I15" s="203">
        <f t="shared" si="37"/>
        <v>0.12203727315599183</v>
      </c>
      <c r="J15" s="202">
        <f t="shared" si="38"/>
        <v>0.1644105985712539</v>
      </c>
      <c r="K15" s="202">
        <f t="shared" si="39"/>
        <v>0.11539842873176206</v>
      </c>
      <c r="L15" s="204">
        <f t="shared" si="40"/>
        <v>0.62375770701971944</v>
      </c>
      <c r="M15" s="177">
        <f t="shared" si="41"/>
        <v>6086.6089986550924</v>
      </c>
      <c r="N15" s="177">
        <f t="shared" si="42"/>
        <v>8199.9786037412887</v>
      </c>
      <c r="O15" s="177">
        <f t="shared" si="43"/>
        <v>5755.4966329966328</v>
      </c>
      <c r="P15" s="177">
        <f t="shared" si="44"/>
        <v>31109.915637608508</v>
      </c>
      <c r="Q15" s="57">
        <f t="shared" si="26"/>
        <v>45666</v>
      </c>
      <c r="R15" s="168">
        <v>54463</v>
      </c>
      <c r="S15" s="169">
        <v>0</v>
      </c>
      <c r="T15" s="169">
        <v>49875</v>
      </c>
      <c r="U15" s="169">
        <v>2988</v>
      </c>
      <c r="V15" s="170">
        <v>15151</v>
      </c>
      <c r="W15" s="171">
        <v>0.75</v>
      </c>
      <c r="X15" s="170">
        <v>4172</v>
      </c>
      <c r="Y15" s="171">
        <v>0.78125</v>
      </c>
      <c r="Z15" s="170">
        <v>153</v>
      </c>
      <c r="AA15" s="171">
        <v>0.97916666666666663</v>
      </c>
      <c r="AB15" s="211">
        <f t="shared" si="27"/>
        <v>45666</v>
      </c>
      <c r="AC15" s="78">
        <f t="shared" si="45"/>
        <v>1</v>
      </c>
      <c r="AD15" s="205">
        <f t="shared" si="46"/>
        <v>0</v>
      </c>
      <c r="AE15" s="206">
        <v>6987</v>
      </c>
      <c r="AF15" s="124">
        <f t="shared" si="55"/>
        <v>6987</v>
      </c>
      <c r="AG15" s="184">
        <v>0</v>
      </c>
      <c r="AH15" s="185">
        <v>3499</v>
      </c>
      <c r="AI15" s="186">
        <v>0.34930555555555554</v>
      </c>
      <c r="AJ15" s="185">
        <v>0</v>
      </c>
      <c r="AK15" s="208">
        <v>0</v>
      </c>
      <c r="AL15" s="211">
        <f t="shared" si="28"/>
        <v>45666</v>
      </c>
      <c r="AM15" s="79">
        <f t="shared" si="47"/>
        <v>0.57537448209922448</v>
      </c>
      <c r="AN15" s="78">
        <f t="shared" si="48"/>
        <v>0.42462551790077552</v>
      </c>
      <c r="AO15" s="189">
        <v>9413</v>
      </c>
      <c r="AP15" s="123">
        <f t="shared" si="56"/>
        <v>5416</v>
      </c>
      <c r="AQ15" s="191">
        <v>3997</v>
      </c>
      <c r="AR15" s="192">
        <v>3929</v>
      </c>
      <c r="AS15" s="193">
        <v>0.76666666666666672</v>
      </c>
      <c r="AT15" s="192">
        <v>188</v>
      </c>
      <c r="AU15" s="194">
        <v>0.65625</v>
      </c>
      <c r="AV15" s="211">
        <f t="shared" si="29"/>
        <v>45666</v>
      </c>
      <c r="AW15" s="212">
        <f t="shared" si="49"/>
        <v>1</v>
      </c>
      <c r="AX15" s="212">
        <f t="shared" si="50"/>
        <v>0</v>
      </c>
      <c r="AY15" s="116">
        <f t="shared" si="51"/>
        <v>5141</v>
      </c>
      <c r="AZ15" s="117">
        <v>5141</v>
      </c>
      <c r="BA15" s="213">
        <f t="shared" si="57"/>
        <v>5141</v>
      </c>
      <c r="BB15" s="118">
        <v>0</v>
      </c>
      <c r="BC15" s="117">
        <v>3807</v>
      </c>
      <c r="BD15" s="119">
        <v>0.75</v>
      </c>
      <c r="BE15" s="120">
        <v>0</v>
      </c>
      <c r="BF15" s="119">
        <v>0</v>
      </c>
      <c r="BG15" s="120">
        <v>0</v>
      </c>
      <c r="BH15" s="121">
        <v>0</v>
      </c>
      <c r="BI15" s="211">
        <f t="shared" si="30"/>
        <v>45666</v>
      </c>
      <c r="BJ15" s="214">
        <f t="shared" si="52"/>
        <v>0.61225918458781359</v>
      </c>
      <c r="BK15" s="78">
        <f t="shared" si="53"/>
        <v>0.38774081541218636</v>
      </c>
      <c r="BL15" s="81">
        <f t="shared" si="54"/>
        <v>35712</v>
      </c>
      <c r="BM15" s="198">
        <v>21865</v>
      </c>
      <c r="BN15" s="198">
        <v>13847</v>
      </c>
      <c r="BO15" s="199">
        <v>4103</v>
      </c>
      <c r="BP15" s="200">
        <v>0.74375000000000002</v>
      </c>
      <c r="BQ15" s="201">
        <v>2714</v>
      </c>
      <c r="BR15" s="200">
        <v>0.8</v>
      </c>
    </row>
    <row r="16" spans="1:72" ht="15.75" thickBot="1" x14ac:dyDescent="0.3">
      <c r="B16" s="57">
        <f t="shared" si="25"/>
        <v>45667</v>
      </c>
      <c r="C16" s="207"/>
      <c r="D16" s="89">
        <f t="shared" si="32"/>
        <v>52949</v>
      </c>
      <c r="E16" s="202">
        <f t="shared" si="33"/>
        <v>0.86805340988498358</v>
      </c>
      <c r="F16" s="89">
        <f t="shared" si="34"/>
        <v>45962.559999999998</v>
      </c>
      <c r="G16" s="202">
        <f t="shared" si="35"/>
        <v>0.13194659011501633</v>
      </c>
      <c r="H16" s="177">
        <f t="shared" si="36"/>
        <v>6986.4400000000005</v>
      </c>
      <c r="I16" s="203">
        <f t="shared" si="37"/>
        <v>0.13961301393059539</v>
      </c>
      <c r="J16" s="202">
        <f t="shared" si="38"/>
        <v>0.16550540741911449</v>
      </c>
      <c r="K16" s="202">
        <f t="shared" si="39"/>
        <v>0.11522435144803729</v>
      </c>
      <c r="L16" s="204">
        <f t="shared" si="40"/>
        <v>0.60492199318145901</v>
      </c>
      <c r="M16" s="177">
        <f t="shared" si="41"/>
        <v>6772.6273057731823</v>
      </c>
      <c r="N16" s="177">
        <f t="shared" si="42"/>
        <v>8028.6673139012437</v>
      </c>
      <c r="O16" s="177">
        <f t="shared" si="43"/>
        <v>5589.5332887442892</v>
      </c>
      <c r="P16" s="177">
        <f t="shared" si="44"/>
        <v>29344.765889232578</v>
      </c>
      <c r="Q16" s="57">
        <f t="shared" si="26"/>
        <v>45667</v>
      </c>
      <c r="R16" s="168">
        <v>52949</v>
      </c>
      <c r="S16" s="169">
        <v>0</v>
      </c>
      <c r="T16" s="169">
        <v>48510</v>
      </c>
      <c r="U16" s="169">
        <v>2942.31</v>
      </c>
      <c r="V16" s="170">
        <v>11819.48</v>
      </c>
      <c r="W16" s="171">
        <v>0.38541666666666669</v>
      </c>
      <c r="X16" s="170">
        <v>4497</v>
      </c>
      <c r="Y16" s="171">
        <v>0.78125</v>
      </c>
      <c r="Z16" s="170">
        <v>153.69999999999999</v>
      </c>
      <c r="AA16" s="171">
        <v>0.89583333333333337</v>
      </c>
      <c r="AB16" s="57">
        <f t="shared" si="27"/>
        <v>45667</v>
      </c>
      <c r="AC16" s="78">
        <f t="shared" si="45"/>
        <v>0.95278090432757623</v>
      </c>
      <c r="AD16" s="205">
        <f t="shared" si="46"/>
        <v>4.7219095672423834E-2</v>
      </c>
      <c r="AE16" s="206">
        <v>7729.5</v>
      </c>
      <c r="AF16" s="124">
        <f t="shared" si="55"/>
        <v>7364.52</v>
      </c>
      <c r="AG16" s="184">
        <v>364.98</v>
      </c>
      <c r="AH16" s="185">
        <v>4610</v>
      </c>
      <c r="AI16" s="186">
        <v>0.77500000000000002</v>
      </c>
      <c r="AJ16" s="185">
        <v>180</v>
      </c>
      <c r="AK16" s="208">
        <v>2.0833333333333332E-2</v>
      </c>
      <c r="AL16" s="57">
        <f t="shared" si="28"/>
        <v>45667</v>
      </c>
      <c r="AM16" s="79">
        <f t="shared" si="47"/>
        <v>0.59847757284732084</v>
      </c>
      <c r="AN16" s="78">
        <f t="shared" si="48"/>
        <v>0.40152242715267927</v>
      </c>
      <c r="AO16" s="189">
        <v>9163</v>
      </c>
      <c r="AP16" s="123">
        <f t="shared" si="56"/>
        <v>5483.85</v>
      </c>
      <c r="AQ16" s="191">
        <v>3679.15</v>
      </c>
      <c r="AR16" s="192">
        <v>3782</v>
      </c>
      <c r="AS16" s="193">
        <v>0.73888888888888893</v>
      </c>
      <c r="AT16" s="192">
        <v>196.71</v>
      </c>
      <c r="AU16" s="194">
        <v>0.61458333333333337</v>
      </c>
      <c r="AV16" s="57">
        <f t="shared" si="29"/>
        <v>45667</v>
      </c>
      <c r="AW16" s="115">
        <f t="shared" si="49"/>
        <v>1</v>
      </c>
      <c r="AX16" s="115">
        <f t="shared" si="50"/>
        <v>0</v>
      </c>
      <c r="AY16" s="116">
        <f t="shared" si="51"/>
        <v>4980.5</v>
      </c>
      <c r="AZ16" s="117">
        <v>4980.5</v>
      </c>
      <c r="BA16" s="126">
        <f t="shared" si="57"/>
        <v>4980.5</v>
      </c>
      <c r="BB16" s="118">
        <v>0</v>
      </c>
      <c r="BC16" s="117">
        <v>3837.36</v>
      </c>
      <c r="BD16" s="119">
        <v>0.82291666666666663</v>
      </c>
      <c r="BE16" s="120">
        <v>0</v>
      </c>
      <c r="BF16" s="119">
        <v>0</v>
      </c>
      <c r="BG16" s="120">
        <v>0</v>
      </c>
      <c r="BH16" s="121">
        <v>0</v>
      </c>
      <c r="BI16" s="57">
        <f t="shared" si="30"/>
        <v>45667</v>
      </c>
      <c r="BJ16" s="80">
        <f t="shared" si="52"/>
        <v>0.6095712995379321</v>
      </c>
      <c r="BK16" s="78">
        <f t="shared" si="53"/>
        <v>0.3904287004620679</v>
      </c>
      <c r="BL16" s="81">
        <f t="shared" si="54"/>
        <v>33490.75</v>
      </c>
      <c r="BM16" s="198">
        <v>20415</v>
      </c>
      <c r="BN16" s="198">
        <v>13075.75</v>
      </c>
      <c r="BO16" s="199">
        <v>3885.59</v>
      </c>
      <c r="BP16" s="200">
        <v>0.76180555555555551</v>
      </c>
      <c r="BQ16" s="201">
        <v>2597.5100000000002</v>
      </c>
      <c r="BR16" s="200">
        <v>0.80347222222222225</v>
      </c>
    </row>
    <row r="17" spans="1:70" ht="15.75" thickBot="1" x14ac:dyDescent="0.3">
      <c r="B17" s="57">
        <f t="shared" si="25"/>
        <v>45668</v>
      </c>
      <c r="C17" s="207"/>
      <c r="D17" s="89">
        <f t="shared" si="32"/>
        <v>34847</v>
      </c>
      <c r="E17" s="202">
        <f t="shared" si="33"/>
        <v>0.81214939593078317</v>
      </c>
      <c r="F17" s="89">
        <f t="shared" si="34"/>
        <v>28300.97</v>
      </c>
      <c r="G17" s="202">
        <f t="shared" si="35"/>
        <v>0.18785060406921689</v>
      </c>
      <c r="H17" s="177">
        <f t="shared" si="36"/>
        <v>6546.0300000000007</v>
      </c>
      <c r="I17" s="203">
        <f t="shared" si="37"/>
        <v>8.0858501118568238E-2</v>
      </c>
      <c r="J17" s="202">
        <f t="shared" si="38"/>
        <v>0.16396812080536913</v>
      </c>
      <c r="K17" s="202">
        <f t="shared" si="39"/>
        <v>7.0535566037155703E-2</v>
      </c>
      <c r="L17" s="204">
        <f t="shared" si="40"/>
        <v>0.70706096196868007</v>
      </c>
      <c r="M17" s="177">
        <f t="shared" si="41"/>
        <v>2476.0894505033557</v>
      </c>
      <c r="N17" s="177">
        <f t="shared" si="42"/>
        <v>5021.1137793624157</v>
      </c>
      <c r="O17" s="177">
        <f t="shared" si="43"/>
        <v>2159.9753709728006</v>
      </c>
      <c r="P17" s="177">
        <f t="shared" si="44"/>
        <v>21651.974307885906</v>
      </c>
      <c r="Q17" s="57">
        <f t="shared" si="26"/>
        <v>45668</v>
      </c>
      <c r="R17" s="168">
        <v>34847</v>
      </c>
      <c r="S17" s="169">
        <v>0</v>
      </c>
      <c r="T17" s="169">
        <v>30622.5</v>
      </c>
      <c r="U17" s="169">
        <v>2868.48</v>
      </c>
      <c r="V17" s="170">
        <v>7838.5</v>
      </c>
      <c r="W17" s="171">
        <v>0.79166666666666663</v>
      </c>
      <c r="X17" s="170">
        <v>2460</v>
      </c>
      <c r="Y17" s="171">
        <v>0.66666666666666663</v>
      </c>
      <c r="Z17" s="170">
        <v>158.47</v>
      </c>
      <c r="AA17" s="171">
        <v>0.92708333333333337</v>
      </c>
      <c r="AB17" s="57">
        <f t="shared" si="27"/>
        <v>45668</v>
      </c>
      <c r="AC17" s="78">
        <f t="shared" si="45"/>
        <v>1</v>
      </c>
      <c r="AD17" s="205">
        <f t="shared" si="46"/>
        <v>0</v>
      </c>
      <c r="AE17" s="206">
        <v>2891.5</v>
      </c>
      <c r="AF17" s="124">
        <f t="shared" si="55"/>
        <v>2891.5</v>
      </c>
      <c r="AG17" s="184">
        <v>0</v>
      </c>
      <c r="AH17" s="185">
        <v>1978.5</v>
      </c>
      <c r="AI17" s="186">
        <v>0.94444444444444442</v>
      </c>
      <c r="AJ17" s="185">
        <v>181.45</v>
      </c>
      <c r="AK17" s="208">
        <v>0.90625</v>
      </c>
      <c r="AL17" s="57">
        <f t="shared" si="28"/>
        <v>45668</v>
      </c>
      <c r="AM17" s="79">
        <f t="shared" si="47"/>
        <v>0.37280634433358911</v>
      </c>
      <c r="AN17" s="78">
        <f t="shared" si="48"/>
        <v>0.62719365566641083</v>
      </c>
      <c r="AO17" s="189">
        <v>5863.5</v>
      </c>
      <c r="AP17" s="123">
        <f t="shared" si="56"/>
        <v>2185.9499999999998</v>
      </c>
      <c r="AQ17" s="191">
        <v>3677.55</v>
      </c>
      <c r="AR17" s="192">
        <v>1896.6</v>
      </c>
      <c r="AS17" s="193">
        <v>0.94097222222222221</v>
      </c>
      <c r="AT17" s="192">
        <v>181.4</v>
      </c>
      <c r="AU17" s="194">
        <v>0.90625</v>
      </c>
      <c r="AV17" s="57">
        <f t="shared" si="29"/>
        <v>45668</v>
      </c>
      <c r="AW17" s="115">
        <f t="shared" si="49"/>
        <v>1</v>
      </c>
      <c r="AX17" s="115">
        <f t="shared" si="50"/>
        <v>0</v>
      </c>
      <c r="AY17" s="116">
        <f t="shared" si="51"/>
        <v>1720.5</v>
      </c>
      <c r="AZ17" s="117">
        <v>1720.5</v>
      </c>
      <c r="BA17" s="126">
        <f t="shared" si="57"/>
        <v>1720.5</v>
      </c>
      <c r="BB17" s="118">
        <v>0</v>
      </c>
      <c r="BC17" s="117">
        <v>1899.8</v>
      </c>
      <c r="BD17" s="119">
        <v>0.36458333333333331</v>
      </c>
      <c r="BE17" s="120">
        <v>0</v>
      </c>
      <c r="BF17" s="119">
        <v>0</v>
      </c>
      <c r="BG17" s="120">
        <v>0</v>
      </c>
      <c r="BH17" s="121">
        <v>0</v>
      </c>
      <c r="BI17" s="57">
        <f t="shared" si="30"/>
        <v>45668</v>
      </c>
      <c r="BJ17" s="80">
        <f t="shared" si="52"/>
        <v>0.62779568510352191</v>
      </c>
      <c r="BK17" s="78">
        <f t="shared" si="53"/>
        <v>0.37220431489647809</v>
      </c>
      <c r="BL17" s="81">
        <f t="shared" si="54"/>
        <v>25284.5</v>
      </c>
      <c r="BM17" s="198">
        <v>15873.5</v>
      </c>
      <c r="BN17" s="198">
        <v>9411</v>
      </c>
      <c r="BO17" s="199">
        <v>2956</v>
      </c>
      <c r="BP17" s="200">
        <v>0.78194444444444444</v>
      </c>
      <c r="BQ17" s="201">
        <v>1948.9</v>
      </c>
      <c r="BR17" s="200">
        <v>0.82361111111111107</v>
      </c>
    </row>
    <row r="18" spans="1:70" ht="15.75" thickBot="1" x14ac:dyDescent="0.3">
      <c r="B18" s="57">
        <f t="shared" si="25"/>
        <v>45669</v>
      </c>
      <c r="C18" s="207"/>
      <c r="D18" s="89">
        <f t="shared" si="32"/>
        <v>27694</v>
      </c>
      <c r="E18" s="202">
        <f t="shared" si="33"/>
        <v>0.76316169567415326</v>
      </c>
      <c r="F18" s="89">
        <f t="shared" si="34"/>
        <v>21135</v>
      </c>
      <c r="G18" s="202">
        <f t="shared" si="35"/>
        <v>0.23683830432584677</v>
      </c>
      <c r="H18" s="177">
        <f t="shared" si="36"/>
        <v>6559</v>
      </c>
      <c r="I18" s="203">
        <f t="shared" si="37"/>
        <v>6.8858106127235419E-2</v>
      </c>
      <c r="J18" s="202">
        <f t="shared" si="38"/>
        <v>0.19587364409264146</v>
      </c>
      <c r="K18" s="202">
        <f t="shared" si="39"/>
        <v>5.972399396961614E-2</v>
      </c>
      <c r="L18" s="204">
        <f t="shared" si="40"/>
        <v>0.69752272060979181</v>
      </c>
      <c r="M18" s="177">
        <f t="shared" si="41"/>
        <v>1626.5661829375551</v>
      </c>
      <c r="N18" s="177">
        <f t="shared" si="42"/>
        <v>4626.9272207563763</v>
      </c>
      <c r="O18" s="177">
        <f t="shared" si="43"/>
        <v>1410.8001855502725</v>
      </c>
      <c r="P18" s="177">
        <f t="shared" si="44"/>
        <v>16476.881706244501</v>
      </c>
      <c r="Q18" s="57">
        <f t="shared" si="26"/>
        <v>45669</v>
      </c>
      <c r="R18" s="168">
        <v>27694</v>
      </c>
      <c r="S18" s="169">
        <v>0</v>
      </c>
      <c r="T18" s="169">
        <v>23622</v>
      </c>
      <c r="U18" s="169">
        <v>2852</v>
      </c>
      <c r="V18" s="170">
        <v>6052</v>
      </c>
      <c r="W18" s="171">
        <v>0.94791666666666663</v>
      </c>
      <c r="X18" s="170">
        <v>1864</v>
      </c>
      <c r="Y18" s="171">
        <v>0.67708333333333337</v>
      </c>
      <c r="Z18" s="170">
        <v>153</v>
      </c>
      <c r="AA18" s="171">
        <v>0.19791666666666666</v>
      </c>
      <c r="AB18" s="57">
        <f t="shared" si="27"/>
        <v>45669</v>
      </c>
      <c r="AC18" s="78">
        <f t="shared" si="45"/>
        <v>1</v>
      </c>
      <c r="AD18" s="205">
        <f t="shared" si="46"/>
        <v>0</v>
      </c>
      <c r="AE18" s="206">
        <v>1879</v>
      </c>
      <c r="AF18" s="124">
        <f t="shared" si="55"/>
        <v>1879</v>
      </c>
      <c r="AG18" s="184">
        <v>0</v>
      </c>
      <c r="AH18" s="185">
        <v>1736</v>
      </c>
      <c r="AI18" s="186">
        <v>0.93333333333333335</v>
      </c>
      <c r="AJ18" s="185">
        <v>0</v>
      </c>
      <c r="AK18" s="208">
        <v>0</v>
      </c>
      <c r="AL18" s="57">
        <f t="shared" si="28"/>
        <v>45669</v>
      </c>
      <c r="AM18" s="79">
        <f t="shared" si="47"/>
        <v>0.30645463049579047</v>
      </c>
      <c r="AN18" s="78">
        <f t="shared" si="48"/>
        <v>0.69354536950420953</v>
      </c>
      <c r="AO18" s="189">
        <v>5345</v>
      </c>
      <c r="AP18" s="123">
        <f t="shared" si="56"/>
        <v>1638</v>
      </c>
      <c r="AQ18" s="191">
        <v>3707</v>
      </c>
      <c r="AR18" s="192">
        <v>1488</v>
      </c>
      <c r="AS18" s="193">
        <v>0.73333333333333328</v>
      </c>
      <c r="AT18" s="192">
        <v>181</v>
      </c>
      <c r="AU18" s="194">
        <v>0.91666666666666663</v>
      </c>
      <c r="AV18" s="57">
        <f t="shared" si="29"/>
        <v>45669</v>
      </c>
      <c r="AW18" s="115">
        <f t="shared" si="49"/>
        <v>1</v>
      </c>
      <c r="AX18" s="115">
        <f t="shared" si="50"/>
        <v>0</v>
      </c>
      <c r="AY18" s="116">
        <f t="shared" si="51"/>
        <v>1030</v>
      </c>
      <c r="AZ18" s="117">
        <v>1030</v>
      </c>
      <c r="BA18" s="126">
        <f t="shared" si="57"/>
        <v>1030</v>
      </c>
      <c r="BB18" s="118">
        <v>0</v>
      </c>
      <c r="BC18" s="117">
        <v>1294</v>
      </c>
      <c r="BD18" s="119">
        <v>0.61458333333333337</v>
      </c>
      <c r="BE18" s="120">
        <v>0</v>
      </c>
      <c r="BF18" s="119">
        <v>0</v>
      </c>
      <c r="BG18" s="120">
        <v>0</v>
      </c>
      <c r="BH18" s="121">
        <v>0</v>
      </c>
      <c r="BI18" s="57">
        <f t="shared" si="30"/>
        <v>45669</v>
      </c>
      <c r="BJ18" s="80">
        <f t="shared" si="52"/>
        <v>0.61306083849952719</v>
      </c>
      <c r="BK18" s="78">
        <f t="shared" si="53"/>
        <v>0.38693916150047286</v>
      </c>
      <c r="BL18" s="81">
        <f t="shared" si="54"/>
        <v>19034</v>
      </c>
      <c r="BM18" s="198">
        <v>11669</v>
      </c>
      <c r="BN18" s="198">
        <v>7365</v>
      </c>
      <c r="BO18" s="199">
        <v>2601</v>
      </c>
      <c r="BP18" s="200">
        <v>0.41388888888888886</v>
      </c>
      <c r="BQ18" s="201">
        <v>1719</v>
      </c>
      <c r="BR18" s="200">
        <v>0.45555555555555555</v>
      </c>
    </row>
    <row r="19" spans="1:70" ht="15.75" thickBot="1" x14ac:dyDescent="0.3">
      <c r="B19" s="57">
        <f t="shared" si="25"/>
        <v>45670</v>
      </c>
      <c r="C19" s="207"/>
      <c r="D19" s="89">
        <f t="shared" si="32"/>
        <v>53775</v>
      </c>
      <c r="E19" s="202">
        <f t="shared" si="33"/>
        <v>0.87006973500697349</v>
      </c>
      <c r="F19" s="89">
        <f t="shared" si="34"/>
        <v>46788</v>
      </c>
      <c r="G19" s="202">
        <f t="shared" si="35"/>
        <v>0.12993026499302651</v>
      </c>
      <c r="H19" s="177">
        <f t="shared" si="36"/>
        <v>6987</v>
      </c>
      <c r="I19" s="203">
        <f t="shared" si="37"/>
        <v>0.1078612361063036</v>
      </c>
      <c r="J19" s="202">
        <f t="shared" si="38"/>
        <v>0.15970539594630975</v>
      </c>
      <c r="K19" s="202">
        <f t="shared" si="39"/>
        <v>0.10016129871481347</v>
      </c>
      <c r="L19" s="204">
        <f t="shared" si="40"/>
        <v>0.65839775393254107</v>
      </c>
      <c r="M19" s="177">
        <f t="shared" si="41"/>
        <v>5279.8075074035614</v>
      </c>
      <c r="N19" s="177">
        <f t="shared" si="42"/>
        <v>7817.5791315718625</v>
      </c>
      <c r="O19" s="177">
        <f t="shared" si="43"/>
        <v>4902.8955720901195</v>
      </c>
      <c r="P19" s="177">
        <f t="shared" si="44"/>
        <v>32228.570054997886</v>
      </c>
      <c r="Q19" s="57">
        <f t="shared" si="26"/>
        <v>45670</v>
      </c>
      <c r="R19" s="168">
        <v>53775</v>
      </c>
      <c r="S19" s="169">
        <v>0</v>
      </c>
      <c r="T19" s="169">
        <v>48950</v>
      </c>
      <c r="U19" s="169">
        <v>2960</v>
      </c>
      <c r="V19" s="170">
        <v>12380</v>
      </c>
      <c r="W19" s="171">
        <v>0.79166666666666663</v>
      </c>
      <c r="X19" s="170">
        <v>4150</v>
      </c>
      <c r="Y19" s="171">
        <v>0.6875</v>
      </c>
      <c r="Z19" s="170">
        <v>154</v>
      </c>
      <c r="AA19" s="171">
        <v>0.875</v>
      </c>
      <c r="AB19" s="57">
        <f t="shared" si="27"/>
        <v>45670</v>
      </c>
      <c r="AC19" s="78">
        <f t="shared" si="45"/>
        <v>1</v>
      </c>
      <c r="AD19" s="205">
        <f t="shared" si="46"/>
        <v>0</v>
      </c>
      <c r="AE19" s="206">
        <v>5609</v>
      </c>
      <c r="AF19" s="124">
        <f t="shared" ref="AF19" si="58">+AE19-AG19</f>
        <v>5609</v>
      </c>
      <c r="AG19" s="184">
        <v>0</v>
      </c>
      <c r="AH19" s="185">
        <v>3419</v>
      </c>
      <c r="AI19" s="186">
        <v>0.38055555555555554</v>
      </c>
      <c r="AJ19" s="185">
        <v>0</v>
      </c>
      <c r="AK19" s="208">
        <v>0</v>
      </c>
      <c r="AL19" s="57">
        <f t="shared" si="28"/>
        <v>45670</v>
      </c>
      <c r="AM19" s="79">
        <f t="shared" ref="AM19" si="59">+AP19/AO19</f>
        <v>0.51511137868753765</v>
      </c>
      <c r="AN19" s="78">
        <f t="shared" ref="AN19" si="60">+AQ19/AO19</f>
        <v>0.48488862131246235</v>
      </c>
      <c r="AO19" s="189">
        <v>8305</v>
      </c>
      <c r="AP19" s="123">
        <f t="shared" ref="AP19" si="61">AO19-AQ19</f>
        <v>4278</v>
      </c>
      <c r="AQ19" s="191">
        <v>4027</v>
      </c>
      <c r="AR19" s="192">
        <v>3375</v>
      </c>
      <c r="AS19" s="193">
        <v>0.76249999999999996</v>
      </c>
      <c r="AT19" s="192">
        <v>196</v>
      </c>
      <c r="AU19" s="194">
        <v>0.74930555555555556</v>
      </c>
      <c r="AV19" s="57">
        <f t="shared" si="29"/>
        <v>45670</v>
      </c>
      <c r="AW19" s="115">
        <f t="shared" ref="AW19" si="62">BA19/AZ19</f>
        <v>1</v>
      </c>
      <c r="AX19" s="115">
        <f t="shared" ref="AX19" si="63">BB19/AZ19</f>
        <v>0</v>
      </c>
      <c r="AY19" s="116">
        <f t="shared" ref="AY19" si="64">BA19+BB19</f>
        <v>3850</v>
      </c>
      <c r="AZ19" s="117">
        <v>3850</v>
      </c>
      <c r="BA19" s="126">
        <f t="shared" ref="BA19" si="65">AZ19-BB19</f>
        <v>3850</v>
      </c>
      <c r="BB19" s="118">
        <v>0</v>
      </c>
      <c r="BC19" s="117">
        <v>3360</v>
      </c>
      <c r="BD19" s="119">
        <v>0.77083333333333337</v>
      </c>
      <c r="BE19" s="120">
        <v>0</v>
      </c>
      <c r="BF19" s="119">
        <v>0</v>
      </c>
      <c r="BG19" s="120">
        <v>0</v>
      </c>
      <c r="BH19" s="121">
        <v>0</v>
      </c>
      <c r="BI19" s="57">
        <f t="shared" si="30"/>
        <v>45670</v>
      </c>
      <c r="BJ19" s="80">
        <f t="shared" ref="BJ19" si="66">+BM19/BL19</f>
        <v>0.60900169402418369</v>
      </c>
      <c r="BK19" s="78">
        <f t="shared" ref="BK19" si="67">+BN19/BL19</f>
        <v>0.39099830597581636</v>
      </c>
      <c r="BL19" s="81">
        <f t="shared" ref="BL19" si="68">BM19+BN19</f>
        <v>34238</v>
      </c>
      <c r="BM19" s="198">
        <v>20851</v>
      </c>
      <c r="BN19" s="198">
        <v>13387</v>
      </c>
      <c r="BO19" s="199">
        <v>4362</v>
      </c>
      <c r="BP19" s="200">
        <v>0.69930555555555551</v>
      </c>
      <c r="BQ19" s="201">
        <v>2909</v>
      </c>
      <c r="BR19" s="200">
        <v>0.74097222222222225</v>
      </c>
    </row>
    <row r="20" spans="1:70" ht="15.75" thickBot="1" x14ac:dyDescent="0.3">
      <c r="B20" s="57">
        <f t="shared" si="25"/>
        <v>45671</v>
      </c>
      <c r="C20" s="207"/>
      <c r="D20" s="89">
        <f t="shared" si="32"/>
        <v>54570</v>
      </c>
      <c r="E20" s="202">
        <f t="shared" si="33"/>
        <v>0.87302547187099133</v>
      </c>
      <c r="F20" s="89">
        <f t="shared" si="34"/>
        <v>47641</v>
      </c>
      <c r="G20" s="202">
        <f t="shared" si="35"/>
        <v>0.12697452812900861</v>
      </c>
      <c r="H20" s="177">
        <f t="shared" si="36"/>
        <v>6929</v>
      </c>
      <c r="I20" s="203">
        <f t="shared" si="37"/>
        <v>0.11379602599114794</v>
      </c>
      <c r="J20" s="202">
        <f t="shared" si="38"/>
        <v>0.15509935022130145</v>
      </c>
      <c r="K20" s="202">
        <f t="shared" si="39"/>
        <v>9.8410680228862041E-2</v>
      </c>
      <c r="L20" s="204">
        <f t="shared" si="40"/>
        <v>0.65821640455786801</v>
      </c>
      <c r="M20" s="177">
        <f t="shared" si="41"/>
        <v>5578.281194086072</v>
      </c>
      <c r="N20" s="177">
        <f t="shared" si="42"/>
        <v>7602.9701478481966</v>
      </c>
      <c r="O20" s="177">
        <f t="shared" si="43"/>
        <v>4824.0915448188171</v>
      </c>
      <c r="P20" s="177">
        <f t="shared" si="44"/>
        <v>32265.768151426691</v>
      </c>
      <c r="Q20" s="57">
        <f t="shared" si="26"/>
        <v>45671</v>
      </c>
      <c r="R20" s="168">
        <v>54570</v>
      </c>
      <c r="S20" s="169">
        <v>0</v>
      </c>
      <c r="T20" s="169">
        <v>49020</v>
      </c>
      <c r="U20" s="169">
        <v>2960</v>
      </c>
      <c r="V20" s="170">
        <v>12400</v>
      </c>
      <c r="W20" s="171">
        <v>0.77083333333333337</v>
      </c>
      <c r="X20" s="170">
        <v>4230</v>
      </c>
      <c r="Y20" s="171">
        <v>0.70833333333333337</v>
      </c>
      <c r="Z20" s="170">
        <v>154</v>
      </c>
      <c r="AA20" s="171">
        <v>0.89583333333333337</v>
      </c>
      <c r="AB20" s="57">
        <f t="shared" si="27"/>
        <v>45671</v>
      </c>
      <c r="AC20" s="78">
        <f t="shared" si="45"/>
        <v>1</v>
      </c>
      <c r="AD20" s="205">
        <f t="shared" si="46"/>
        <v>0</v>
      </c>
      <c r="AE20" s="206">
        <v>6042</v>
      </c>
      <c r="AF20" s="124">
        <f t="shared" si="55"/>
        <v>6042</v>
      </c>
      <c r="AG20" s="184">
        <v>0</v>
      </c>
      <c r="AH20" s="185">
        <v>4314</v>
      </c>
      <c r="AI20" s="186">
        <v>0.76666666666666672</v>
      </c>
      <c r="AJ20" s="185">
        <v>0</v>
      </c>
      <c r="AK20" s="208">
        <v>0</v>
      </c>
      <c r="AL20" s="57">
        <f t="shared" si="28"/>
        <v>45671</v>
      </c>
      <c r="AM20" s="79">
        <f t="shared" si="47"/>
        <v>0.5180327868852459</v>
      </c>
      <c r="AN20" s="78">
        <f t="shared" si="48"/>
        <v>0.4819672131147541</v>
      </c>
      <c r="AO20" s="189">
        <v>8235</v>
      </c>
      <c r="AP20" s="123">
        <f t="shared" si="56"/>
        <v>4266</v>
      </c>
      <c r="AQ20" s="191">
        <v>3969</v>
      </c>
      <c r="AR20" s="192">
        <v>3507</v>
      </c>
      <c r="AS20" s="193">
        <v>0.77083333333333337</v>
      </c>
      <c r="AT20" s="192">
        <v>198</v>
      </c>
      <c r="AU20" s="194">
        <v>0.88402777777777775</v>
      </c>
      <c r="AV20" s="57">
        <f t="shared" si="29"/>
        <v>45671</v>
      </c>
      <c r="AW20" s="115">
        <f t="shared" si="49"/>
        <v>1</v>
      </c>
      <c r="AX20" s="115">
        <f t="shared" si="50"/>
        <v>0</v>
      </c>
      <c r="AY20" s="116">
        <f t="shared" si="51"/>
        <v>3870</v>
      </c>
      <c r="AZ20" s="117">
        <v>3870</v>
      </c>
      <c r="BA20" s="126">
        <f t="shared" si="57"/>
        <v>3870</v>
      </c>
      <c r="BB20" s="118">
        <v>0</v>
      </c>
      <c r="BC20" s="117">
        <v>3420</v>
      </c>
      <c r="BD20" s="119">
        <v>0.70833333333333337</v>
      </c>
      <c r="BE20" s="120">
        <v>0</v>
      </c>
      <c r="BF20" s="119" t="s">
        <v>62</v>
      </c>
      <c r="BG20" s="120">
        <v>0</v>
      </c>
      <c r="BH20" s="121">
        <v>0</v>
      </c>
      <c r="BI20" s="57">
        <f t="shared" si="30"/>
        <v>45671</v>
      </c>
      <c r="BJ20" s="80">
        <f t="shared" si="52"/>
        <v>0.60881881652741221</v>
      </c>
      <c r="BK20" s="78">
        <f t="shared" si="53"/>
        <v>0.39118118347258785</v>
      </c>
      <c r="BL20" s="81">
        <f t="shared" si="54"/>
        <v>34948</v>
      </c>
      <c r="BM20" s="198">
        <v>21277</v>
      </c>
      <c r="BN20" s="198">
        <v>13671</v>
      </c>
      <c r="BO20" s="199">
        <v>4157</v>
      </c>
      <c r="BP20" s="200">
        <v>0.41805555555555557</v>
      </c>
      <c r="BQ20" s="201">
        <v>2731</v>
      </c>
      <c r="BR20" s="200">
        <v>0.4597222222222222</v>
      </c>
    </row>
    <row r="21" spans="1:70" ht="15.75" thickBot="1" x14ac:dyDescent="0.3">
      <c r="A21" s="14"/>
      <c r="B21" s="57">
        <f t="shared" si="25"/>
        <v>45672</v>
      </c>
      <c r="C21" s="207"/>
      <c r="D21" s="89">
        <f t="shared" si="32"/>
        <v>51573</v>
      </c>
      <c r="E21" s="202">
        <f t="shared" si="33"/>
        <v>0.84707114187656329</v>
      </c>
      <c r="F21" s="89">
        <f t="shared" si="34"/>
        <v>43686</v>
      </c>
      <c r="G21" s="202">
        <f t="shared" si="35"/>
        <v>0.15292885812343668</v>
      </c>
      <c r="H21" s="177">
        <f t="shared" si="36"/>
        <v>7887</v>
      </c>
      <c r="I21" s="203">
        <f t="shared" si="37"/>
        <v>0.11838518131232027</v>
      </c>
      <c r="J21" s="202">
        <f t="shared" si="38"/>
        <v>0.1692684019867797</v>
      </c>
      <c r="K21" s="202">
        <f t="shared" si="39"/>
        <v>0.12826544509099913</v>
      </c>
      <c r="L21" s="204">
        <f t="shared" si="40"/>
        <v>0.61562161556559736</v>
      </c>
      <c r="M21" s="177">
        <f t="shared" si="41"/>
        <v>5596.3042909960041</v>
      </c>
      <c r="N21" s="177">
        <f t="shared" si="42"/>
        <v>8001.6558987190501</v>
      </c>
      <c r="O21" s="177">
        <f t="shared" si="43"/>
        <v>6063.364120341711</v>
      </c>
      <c r="P21" s="177">
        <f t="shared" si="44"/>
        <v>29101.665011016918</v>
      </c>
      <c r="Q21" s="57">
        <f t="shared" si="26"/>
        <v>45672</v>
      </c>
      <c r="R21" s="168">
        <v>51573</v>
      </c>
      <c r="S21" s="169">
        <v>0</v>
      </c>
      <c r="T21" s="169">
        <v>47272</v>
      </c>
      <c r="U21" s="169">
        <v>3335</v>
      </c>
      <c r="V21" s="170">
        <v>13716</v>
      </c>
      <c r="W21" s="171">
        <v>0.40625</v>
      </c>
      <c r="X21" s="170">
        <v>3863</v>
      </c>
      <c r="Y21" s="171">
        <v>0.39583333333333331</v>
      </c>
      <c r="Z21" s="170"/>
      <c r="AA21" s="171"/>
      <c r="AB21" s="57">
        <f t="shared" si="27"/>
        <v>45672</v>
      </c>
      <c r="AC21" s="78">
        <f t="shared" si="45"/>
        <v>1</v>
      </c>
      <c r="AD21" s="205">
        <f t="shared" si="46"/>
        <v>0</v>
      </c>
      <c r="AE21" s="206">
        <v>6340</v>
      </c>
      <c r="AF21" s="124">
        <f t="shared" si="55"/>
        <v>6340</v>
      </c>
      <c r="AG21" s="184">
        <v>0</v>
      </c>
      <c r="AH21" s="185">
        <v>4576</v>
      </c>
      <c r="AI21" s="186">
        <v>0.36388888888888887</v>
      </c>
      <c r="AJ21" s="185">
        <v>0</v>
      </c>
      <c r="AK21" s="208">
        <v>0</v>
      </c>
      <c r="AL21" s="57">
        <f t="shared" si="28"/>
        <v>45672</v>
      </c>
      <c r="AM21" s="79">
        <f t="shared" si="47"/>
        <v>0.49784886927744071</v>
      </c>
      <c r="AN21" s="78">
        <f t="shared" si="48"/>
        <v>0.50215113072255935</v>
      </c>
      <c r="AO21" s="189">
        <v>9065</v>
      </c>
      <c r="AP21" s="123">
        <f t="shared" si="56"/>
        <v>4513</v>
      </c>
      <c r="AQ21" s="191">
        <v>4552</v>
      </c>
      <c r="AR21" s="192">
        <v>3416</v>
      </c>
      <c r="AS21" s="193">
        <v>0.3972222222222222</v>
      </c>
      <c r="AT21" s="192">
        <v>207</v>
      </c>
      <c r="AU21" s="194">
        <v>0.7270833333333333</v>
      </c>
      <c r="AV21" s="57">
        <f t="shared" si="29"/>
        <v>45672</v>
      </c>
      <c r="AW21" s="115">
        <f t="shared" si="49"/>
        <v>1</v>
      </c>
      <c r="AX21" s="115">
        <f t="shared" si="50"/>
        <v>0</v>
      </c>
      <c r="AY21" s="116">
        <f t="shared" si="51"/>
        <v>5180</v>
      </c>
      <c r="AZ21" s="117">
        <v>5180</v>
      </c>
      <c r="BA21" s="126">
        <f t="shared" si="57"/>
        <v>5180</v>
      </c>
      <c r="BB21" s="118">
        <v>0</v>
      </c>
      <c r="BC21" s="117">
        <v>3869</v>
      </c>
      <c r="BD21" s="119">
        <v>0.40625</v>
      </c>
      <c r="BE21" s="120">
        <v>0</v>
      </c>
      <c r="BF21" s="119">
        <v>0</v>
      </c>
      <c r="BG21" s="120">
        <v>0</v>
      </c>
      <c r="BH21" s="121">
        <v>0</v>
      </c>
      <c r="BI21" s="57">
        <f t="shared" si="30"/>
        <v>45672</v>
      </c>
      <c r="BJ21" s="80">
        <f t="shared" si="52"/>
        <v>0.58151596954715035</v>
      </c>
      <c r="BK21" s="78">
        <f t="shared" si="53"/>
        <v>0.41848403045284965</v>
      </c>
      <c r="BL21" s="81">
        <f t="shared" si="54"/>
        <v>32969</v>
      </c>
      <c r="BM21" s="198">
        <v>19172</v>
      </c>
      <c r="BN21" s="198">
        <v>13797</v>
      </c>
      <c r="BO21" s="199">
        <v>4290</v>
      </c>
      <c r="BP21" s="200">
        <v>0.40694444444444444</v>
      </c>
      <c r="BQ21" s="201">
        <v>3077</v>
      </c>
      <c r="BR21" s="200">
        <v>0.55138888888888893</v>
      </c>
    </row>
    <row r="22" spans="1:70" ht="15.75" thickBot="1" x14ac:dyDescent="0.3">
      <c r="A22" s="14"/>
      <c r="B22" s="57">
        <f t="shared" si="25"/>
        <v>45673</v>
      </c>
      <c r="C22" s="207"/>
      <c r="D22" s="89">
        <f t="shared" si="32"/>
        <v>54411</v>
      </c>
      <c r="E22" s="202">
        <f t="shared" si="33"/>
        <v>0.86451269044862256</v>
      </c>
      <c r="F22" s="89">
        <f t="shared" si="34"/>
        <v>47039</v>
      </c>
      <c r="G22" s="202">
        <f t="shared" si="35"/>
        <v>0.13548730955137747</v>
      </c>
      <c r="H22" s="177">
        <f t="shared" si="36"/>
        <v>7372</v>
      </c>
      <c r="I22" s="203">
        <f t="shared" si="37"/>
        <v>0.12821867624784247</v>
      </c>
      <c r="J22" s="202">
        <f t="shared" si="38"/>
        <v>0.17265490154637358</v>
      </c>
      <c r="K22" s="202">
        <f t="shared" si="39"/>
        <v>0.11893066527831224</v>
      </c>
      <c r="L22" s="204">
        <f t="shared" si="40"/>
        <v>0.60659058085878337</v>
      </c>
      <c r="M22" s="177">
        <f t="shared" si="41"/>
        <v>6396.5733206523655</v>
      </c>
      <c r="N22" s="177">
        <f t="shared" si="42"/>
        <v>8613.4077283454862</v>
      </c>
      <c r="O22" s="177">
        <f t="shared" si="43"/>
        <v>5933.2130294044409</v>
      </c>
      <c r="P22" s="177">
        <f t="shared" si="44"/>
        <v>30261.590897882983</v>
      </c>
      <c r="Q22" s="57">
        <f t="shared" si="26"/>
        <v>45673</v>
      </c>
      <c r="R22" s="168">
        <v>54411</v>
      </c>
      <c r="S22" s="169">
        <v>0</v>
      </c>
      <c r="T22" s="169">
        <v>49888</v>
      </c>
      <c r="U22" s="169">
        <v>3041</v>
      </c>
      <c r="V22" s="170">
        <v>12303</v>
      </c>
      <c r="W22" s="171">
        <v>0.73958333333333337</v>
      </c>
      <c r="X22" s="170">
        <v>4230</v>
      </c>
      <c r="Y22" s="171">
        <v>0.75</v>
      </c>
      <c r="Z22" s="170">
        <v>153</v>
      </c>
      <c r="AA22" s="171">
        <v>0.91666666666666663</v>
      </c>
      <c r="AB22" s="57">
        <f t="shared" si="27"/>
        <v>45673</v>
      </c>
      <c r="AC22" s="78">
        <f t="shared" si="45"/>
        <v>1</v>
      </c>
      <c r="AD22" s="205">
        <f t="shared" si="46"/>
        <v>0</v>
      </c>
      <c r="AE22" s="206">
        <v>7280</v>
      </c>
      <c r="AF22" s="124">
        <f t="shared" si="55"/>
        <v>7280</v>
      </c>
      <c r="AG22" s="184">
        <v>0</v>
      </c>
      <c r="AH22" s="185">
        <v>3427</v>
      </c>
      <c r="AI22" s="186">
        <v>0.55208333333333337</v>
      </c>
      <c r="AJ22" s="185">
        <v>0</v>
      </c>
      <c r="AK22" s="208">
        <v>0</v>
      </c>
      <c r="AL22" s="57">
        <f t="shared" si="28"/>
        <v>45673</v>
      </c>
      <c r="AM22" s="79">
        <f t="shared" si="47"/>
        <v>0.55819647046822396</v>
      </c>
      <c r="AN22" s="78">
        <f t="shared" si="48"/>
        <v>0.44180352953177598</v>
      </c>
      <c r="AO22" s="189">
        <v>9803</v>
      </c>
      <c r="AP22" s="123">
        <f t="shared" si="56"/>
        <v>5472</v>
      </c>
      <c r="AQ22" s="191">
        <v>4331</v>
      </c>
      <c r="AR22" s="192">
        <v>3635</v>
      </c>
      <c r="AS22" s="193">
        <v>0.35902777777777778</v>
      </c>
      <c r="AT22" s="192">
        <v>204</v>
      </c>
      <c r="AU22" s="194">
        <v>0.6875</v>
      </c>
      <c r="AV22" s="57">
        <f t="shared" si="29"/>
        <v>45673</v>
      </c>
      <c r="AW22" s="115">
        <f t="shared" si="49"/>
        <v>1</v>
      </c>
      <c r="AX22" s="115">
        <f t="shared" si="50"/>
        <v>0</v>
      </c>
      <c r="AY22" s="116">
        <f t="shared" si="51"/>
        <v>5254</v>
      </c>
      <c r="AZ22" s="117">
        <v>5254</v>
      </c>
      <c r="BA22" s="126">
        <f t="shared" si="57"/>
        <v>5254</v>
      </c>
      <c r="BB22" s="118">
        <v>0</v>
      </c>
      <c r="BC22" s="117">
        <v>4060</v>
      </c>
      <c r="BD22" s="119">
        <v>0.73958333333333337</v>
      </c>
      <c r="BE22" s="120">
        <v>0</v>
      </c>
      <c r="BF22" s="119">
        <v>0</v>
      </c>
      <c r="BG22" s="120">
        <v>0</v>
      </c>
      <c r="BH22" s="121">
        <v>0</v>
      </c>
      <c r="BI22" s="57">
        <f t="shared" si="30"/>
        <v>45673</v>
      </c>
      <c r="BJ22" s="80">
        <f t="shared" si="52"/>
        <v>0.60732847478296215</v>
      </c>
      <c r="BK22" s="78">
        <f t="shared" si="53"/>
        <v>0.39267152521703785</v>
      </c>
      <c r="BL22" s="81">
        <f t="shared" si="54"/>
        <v>34441</v>
      </c>
      <c r="BM22" s="198">
        <v>20917</v>
      </c>
      <c r="BN22" s="198">
        <v>13524</v>
      </c>
      <c r="BO22" s="199">
        <v>3943</v>
      </c>
      <c r="BP22" s="200">
        <v>0.74930555555555556</v>
      </c>
      <c r="BQ22" s="201">
        <v>3967</v>
      </c>
      <c r="BR22" s="200">
        <v>0.38472222222222224</v>
      </c>
    </row>
    <row r="23" spans="1:70" ht="15.75" thickBot="1" x14ac:dyDescent="0.3">
      <c r="A23" s="14"/>
      <c r="B23" s="57">
        <f t="shared" si="25"/>
        <v>45674</v>
      </c>
      <c r="C23" s="207"/>
      <c r="D23" s="89">
        <f t="shared" si="32"/>
        <v>55472</v>
      </c>
      <c r="E23" s="202">
        <f t="shared" si="33"/>
        <v>0.87235001442169025</v>
      </c>
      <c r="F23" s="89">
        <f t="shared" si="34"/>
        <v>48391</v>
      </c>
      <c r="G23" s="202">
        <f t="shared" si="35"/>
        <v>0.12764998557830978</v>
      </c>
      <c r="H23" s="177">
        <f t="shared" si="36"/>
        <v>7081</v>
      </c>
      <c r="I23" s="203">
        <f t="shared" si="37"/>
        <v>0.1322905027932961</v>
      </c>
      <c r="J23" s="202">
        <f t="shared" si="38"/>
        <v>0.16814782982380747</v>
      </c>
      <c r="K23" s="202">
        <f t="shared" si="39"/>
        <v>0.11698104911401311</v>
      </c>
      <c r="L23" s="204">
        <f t="shared" si="40"/>
        <v>0.60809626128061878</v>
      </c>
      <c r="M23" s="177">
        <f t="shared" si="41"/>
        <v>6617.4355307262576</v>
      </c>
      <c r="N23" s="177">
        <f t="shared" si="42"/>
        <v>8411.0907434464971</v>
      </c>
      <c r="O23" s="177">
        <f t="shared" si="43"/>
        <v>5851.6260387811635</v>
      </c>
      <c r="P23" s="177">
        <f t="shared" si="44"/>
        <v>30418.191181779112</v>
      </c>
      <c r="Q23" s="57">
        <f t="shared" si="26"/>
        <v>45674</v>
      </c>
      <c r="R23" s="168">
        <v>55472</v>
      </c>
      <c r="S23" s="169">
        <v>0</v>
      </c>
      <c r="T23" s="169">
        <v>50022</v>
      </c>
      <c r="U23" s="169">
        <v>2917</v>
      </c>
      <c r="V23" s="170">
        <v>12404</v>
      </c>
      <c r="W23" s="171">
        <v>0.8125</v>
      </c>
      <c r="X23" s="170">
        <v>4352</v>
      </c>
      <c r="Y23" s="171">
        <v>0.76041666666666663</v>
      </c>
      <c r="Z23" s="170">
        <v>153</v>
      </c>
      <c r="AA23" s="171">
        <v>5.2083333333333336E-2</v>
      </c>
      <c r="AB23" s="57">
        <f t="shared" si="27"/>
        <v>45674</v>
      </c>
      <c r="AC23" s="78">
        <f t="shared" si="45"/>
        <v>1</v>
      </c>
      <c r="AD23" s="205">
        <f t="shared" si="46"/>
        <v>0</v>
      </c>
      <c r="AE23" s="206">
        <v>7696</v>
      </c>
      <c r="AF23" s="124">
        <f t="shared" si="55"/>
        <v>7696</v>
      </c>
      <c r="AG23" s="184">
        <v>0</v>
      </c>
      <c r="AH23" s="185">
        <v>3875</v>
      </c>
      <c r="AI23" s="186">
        <v>0.76041666666666663</v>
      </c>
      <c r="AJ23" s="185">
        <v>0</v>
      </c>
      <c r="AK23" s="208">
        <v>0</v>
      </c>
      <c r="AL23" s="57">
        <f t="shared" si="28"/>
        <v>45674</v>
      </c>
      <c r="AM23" s="79">
        <f t="shared" si="47"/>
        <v>0.57432017992230633</v>
      </c>
      <c r="AN23" s="78">
        <f t="shared" si="48"/>
        <v>0.42567982007769373</v>
      </c>
      <c r="AO23" s="189">
        <v>9782</v>
      </c>
      <c r="AP23" s="123">
        <f t="shared" si="56"/>
        <v>5618</v>
      </c>
      <c r="AQ23" s="191">
        <v>4164</v>
      </c>
      <c r="AR23" s="192">
        <v>3402</v>
      </c>
      <c r="AS23" s="193">
        <v>0.34305555555555556</v>
      </c>
      <c r="AT23" s="192">
        <v>196</v>
      </c>
      <c r="AU23" s="194">
        <v>0.65625</v>
      </c>
      <c r="AV23" s="57">
        <f t="shared" si="29"/>
        <v>45674</v>
      </c>
      <c r="AW23" s="115">
        <f t="shared" si="49"/>
        <v>1</v>
      </c>
      <c r="AX23" s="115">
        <f t="shared" si="50"/>
        <v>0</v>
      </c>
      <c r="AY23" s="116">
        <f t="shared" si="51"/>
        <v>5321</v>
      </c>
      <c r="AZ23" s="117">
        <v>5321</v>
      </c>
      <c r="BA23" s="126">
        <f t="shared" si="57"/>
        <v>5321</v>
      </c>
      <c r="BB23" s="118">
        <v>0</v>
      </c>
      <c r="BC23" s="117">
        <v>4198</v>
      </c>
      <c r="BD23" s="119">
        <v>0.73958333333333337</v>
      </c>
      <c r="BE23" s="120">
        <v>0</v>
      </c>
      <c r="BF23" s="119">
        <v>0</v>
      </c>
      <c r="BG23" s="120">
        <v>0</v>
      </c>
      <c r="BH23" s="121">
        <v>0</v>
      </c>
      <c r="BI23" s="57">
        <f t="shared" si="30"/>
        <v>45674</v>
      </c>
      <c r="BJ23" s="80">
        <f t="shared" si="52"/>
        <v>0.60860470375395748</v>
      </c>
      <c r="BK23" s="78">
        <f t="shared" si="53"/>
        <v>0.39139529624604252</v>
      </c>
      <c r="BL23" s="81">
        <f t="shared" si="54"/>
        <v>35376</v>
      </c>
      <c r="BM23" s="198">
        <v>21530</v>
      </c>
      <c r="BN23" s="198">
        <v>13846</v>
      </c>
      <c r="BO23" s="199">
        <v>4190</v>
      </c>
      <c r="BP23" s="200">
        <v>0.40972222222222221</v>
      </c>
      <c r="BQ23" s="201">
        <v>3897</v>
      </c>
      <c r="BR23" s="200">
        <v>0.39791666666666664</v>
      </c>
    </row>
    <row r="24" spans="1:70" ht="15.75" thickBot="1" x14ac:dyDescent="0.3">
      <c r="A24" s="14"/>
      <c r="B24" s="57">
        <f t="shared" si="25"/>
        <v>45675</v>
      </c>
      <c r="C24" s="207"/>
      <c r="D24" s="89">
        <f t="shared" si="32"/>
        <v>35954</v>
      </c>
      <c r="E24" s="202">
        <f t="shared" si="33"/>
        <v>0.81256605662791348</v>
      </c>
      <c r="F24" s="89">
        <f t="shared" si="34"/>
        <v>29215</v>
      </c>
      <c r="G24" s="202">
        <f t="shared" si="35"/>
        <v>0.18743394337208655</v>
      </c>
      <c r="H24" s="177">
        <f t="shared" si="36"/>
        <v>6739</v>
      </c>
      <c r="I24" s="203">
        <f t="shared" si="37"/>
        <v>9.9375664549197093E-2</v>
      </c>
      <c r="J24" s="202">
        <f t="shared" si="38"/>
        <v>0.17361432972545598</v>
      </c>
      <c r="K24" s="202">
        <f t="shared" si="39"/>
        <v>7.5815011372251703E-2</v>
      </c>
      <c r="L24" s="204">
        <f t="shared" si="40"/>
        <v>0.6752092477984678</v>
      </c>
      <c r="M24" s="177">
        <f t="shared" si="41"/>
        <v>3154.9785981079094</v>
      </c>
      <c r="N24" s="177">
        <f t="shared" si="42"/>
        <v>5511.9077401237764</v>
      </c>
      <c r="O24" s="177">
        <f t="shared" si="43"/>
        <v>2406.9749810462472</v>
      </c>
      <c r="P24" s="177">
        <f t="shared" si="44"/>
        <v>21436.543199105756</v>
      </c>
      <c r="Q24" s="57">
        <f t="shared" si="26"/>
        <v>45675</v>
      </c>
      <c r="R24" s="168">
        <v>35954</v>
      </c>
      <c r="S24" s="169">
        <v>0</v>
      </c>
      <c r="T24" s="169">
        <v>31748</v>
      </c>
      <c r="U24" s="169">
        <v>2813</v>
      </c>
      <c r="V24" s="170">
        <v>8505</v>
      </c>
      <c r="W24" s="171">
        <v>0.4375</v>
      </c>
      <c r="X24" s="170">
        <v>2756</v>
      </c>
      <c r="Y24" s="171">
        <v>0.44791666666666669</v>
      </c>
      <c r="Z24" s="170">
        <v>152</v>
      </c>
      <c r="AA24" s="171">
        <v>0.88541666666666663</v>
      </c>
      <c r="AB24" s="57">
        <f t="shared" si="27"/>
        <v>45675</v>
      </c>
      <c r="AC24" s="78">
        <f t="shared" si="45"/>
        <v>1</v>
      </c>
      <c r="AD24" s="205">
        <f t="shared" si="46"/>
        <v>0</v>
      </c>
      <c r="AE24" s="206">
        <v>3645</v>
      </c>
      <c r="AF24" s="124">
        <f t="shared" si="55"/>
        <v>3645</v>
      </c>
      <c r="AG24" s="184">
        <v>0</v>
      </c>
      <c r="AH24" s="185">
        <v>2952</v>
      </c>
      <c r="AI24" s="186">
        <v>0.43472222222222223</v>
      </c>
      <c r="AJ24" s="185">
        <v>0</v>
      </c>
      <c r="AK24" s="208">
        <v>0</v>
      </c>
      <c r="AL24" s="57">
        <f t="shared" si="28"/>
        <v>45675</v>
      </c>
      <c r="AM24" s="79">
        <f t="shared" si="47"/>
        <v>0.38347989949748745</v>
      </c>
      <c r="AN24" s="78">
        <f t="shared" si="48"/>
        <v>0.6165201005025126</v>
      </c>
      <c r="AO24" s="189">
        <v>6368</v>
      </c>
      <c r="AP24" s="123">
        <f t="shared" si="56"/>
        <v>2442</v>
      </c>
      <c r="AQ24" s="191">
        <v>3926</v>
      </c>
      <c r="AR24" s="192">
        <v>2558</v>
      </c>
      <c r="AS24" s="193">
        <v>0.4465277777777778</v>
      </c>
      <c r="AT24" s="192">
        <v>185</v>
      </c>
      <c r="AU24" s="194">
        <v>0.92708333333333337</v>
      </c>
      <c r="AV24" s="57">
        <f t="shared" si="29"/>
        <v>45675</v>
      </c>
      <c r="AW24" s="115">
        <f t="shared" si="49"/>
        <v>1</v>
      </c>
      <c r="AX24" s="115">
        <f t="shared" si="50"/>
        <v>0</v>
      </c>
      <c r="AY24" s="116">
        <f t="shared" si="51"/>
        <v>1900</v>
      </c>
      <c r="AZ24" s="117">
        <v>1900</v>
      </c>
      <c r="BA24" s="126">
        <f t="shared" si="57"/>
        <v>1900</v>
      </c>
      <c r="BB24" s="118">
        <v>0</v>
      </c>
      <c r="BC24" s="117">
        <v>2286</v>
      </c>
      <c r="BD24" s="119">
        <v>0.44791666666666669</v>
      </c>
      <c r="BE24" s="120">
        <v>0</v>
      </c>
      <c r="BF24" s="119">
        <v>0</v>
      </c>
      <c r="BG24" s="120">
        <v>0</v>
      </c>
      <c r="BH24" s="121">
        <v>0</v>
      </c>
      <c r="BI24" s="57">
        <f t="shared" si="30"/>
        <v>45675</v>
      </c>
      <c r="BJ24" s="80">
        <f t="shared" si="52"/>
        <v>0.61269482354841309</v>
      </c>
      <c r="BK24" s="78">
        <f t="shared" si="53"/>
        <v>0.38730517645158685</v>
      </c>
      <c r="BL24" s="81">
        <f t="shared" si="54"/>
        <v>24766</v>
      </c>
      <c r="BM24" s="198">
        <v>15174</v>
      </c>
      <c r="BN24" s="198">
        <v>9592</v>
      </c>
      <c r="BO24" s="199">
        <v>2988</v>
      </c>
      <c r="BP24" s="200">
        <v>0.50277777777777777</v>
      </c>
      <c r="BQ24" s="201">
        <v>3060</v>
      </c>
      <c r="BR24" s="200">
        <v>0.46111111111111114</v>
      </c>
    </row>
    <row r="25" spans="1:70" ht="15.75" thickBot="1" x14ac:dyDescent="0.3">
      <c r="A25" s="14"/>
      <c r="B25" s="57">
        <f t="shared" si="25"/>
        <v>45676</v>
      </c>
      <c r="C25" s="207"/>
      <c r="D25" s="89">
        <f t="shared" ref="D25:D37" si="69">R25</f>
        <v>29415</v>
      </c>
      <c r="E25" s="202">
        <f t="shared" ref="E25:E37" si="70">F25/D25</f>
        <v>0.77494475607683155</v>
      </c>
      <c r="F25" s="89">
        <f t="shared" ref="F25:F37" si="71">D25-H25</f>
        <v>22795</v>
      </c>
      <c r="G25" s="202">
        <f t="shared" ref="G25:G37" si="72">H25/D25</f>
        <v>0.22505524392316845</v>
      </c>
      <c r="H25" s="177">
        <f t="shared" ref="H25:H37" si="73">U25+AG25+AQ25+BB25</f>
        <v>6620</v>
      </c>
      <c r="I25" s="203">
        <f t="shared" ref="I25:I37" si="74">AE25/(AE25+AO25+BL25+AY25)</f>
        <v>5.872795586094845E-2</v>
      </c>
      <c r="J25" s="202">
        <f t="shared" ref="J25:J37" si="75">AO25/(AE25+AO25+BL25+AY25)</f>
        <v>0.17591307585553262</v>
      </c>
      <c r="K25" s="202">
        <f t="shared" ref="K25:K37" si="76">AY25/(AF25+AP25+BM25+AZ25+AY25)</f>
        <v>8.4348641049671977E-2</v>
      </c>
      <c r="L25" s="204">
        <f t="shared" ref="L25:L37" si="77">BL25/(AE25+AO25+BL25+AY25)</f>
        <v>0.71052364350269104</v>
      </c>
      <c r="M25" s="177">
        <f t="shared" ref="M25:M37" si="78">(S25+T25)*I25</f>
        <v>1753.0294824493112</v>
      </c>
      <c r="N25" s="177">
        <f t="shared" ref="N25:N37" si="79">(S25+T25)*J25</f>
        <v>5251.0053142876486</v>
      </c>
      <c r="O25" s="177">
        <f t="shared" ref="O25:O37" si="80">(S25+T25)*K25</f>
        <v>2517.8069353327087</v>
      </c>
      <c r="P25" s="177">
        <f t="shared" ref="P25:P37" si="81">(S25+T25)*L25</f>
        <v>21209.130758555326</v>
      </c>
      <c r="Q25" s="57">
        <f t="shared" si="26"/>
        <v>45676</v>
      </c>
      <c r="R25" s="168">
        <v>29415</v>
      </c>
      <c r="S25" s="169">
        <v>0</v>
      </c>
      <c r="T25" s="169">
        <v>29850</v>
      </c>
      <c r="U25" s="169">
        <v>2810</v>
      </c>
      <c r="V25" s="170">
        <v>7890</v>
      </c>
      <c r="W25" s="171">
        <v>0.40625</v>
      </c>
      <c r="X25" s="170">
        <v>2560</v>
      </c>
      <c r="Y25" s="171">
        <v>0.39583333333333331</v>
      </c>
      <c r="Z25" s="170">
        <v>150</v>
      </c>
      <c r="AA25" s="171">
        <v>0.86458333333333337</v>
      </c>
      <c r="AB25" s="57">
        <f t="shared" si="27"/>
        <v>45676</v>
      </c>
      <c r="AC25" s="78">
        <f t="shared" ref="AC25:AC37" si="82">+AF25/AE25</f>
        <v>1</v>
      </c>
      <c r="AD25" s="205">
        <f t="shared" ref="AD25:AD37" si="83">+AG25/AE25</f>
        <v>0</v>
      </c>
      <c r="AE25" s="206">
        <v>1735</v>
      </c>
      <c r="AF25" s="124">
        <f t="shared" ref="AF25:AF37" si="84">+AE25-AG25</f>
        <v>1735</v>
      </c>
      <c r="AG25" s="184">
        <v>0</v>
      </c>
      <c r="AH25" s="185">
        <v>1697</v>
      </c>
      <c r="AI25" s="186">
        <v>0.49513888888888891</v>
      </c>
      <c r="AJ25" s="185">
        <v>0</v>
      </c>
      <c r="AK25" s="208">
        <v>0</v>
      </c>
      <c r="AL25" s="57">
        <f t="shared" si="28"/>
        <v>45676</v>
      </c>
      <c r="AM25" s="79">
        <f t="shared" ref="AM25:AM37" si="85">+AP25/AO25</f>
        <v>0.26688474119684436</v>
      </c>
      <c r="AN25" s="78">
        <f t="shared" ref="AN25:AN37" si="86">+AQ25/AO25</f>
        <v>0.73311525880315564</v>
      </c>
      <c r="AO25" s="189">
        <v>5197</v>
      </c>
      <c r="AP25" s="123">
        <f t="shared" ref="AP25:AP37" si="87">AO25-AQ25</f>
        <v>1387</v>
      </c>
      <c r="AQ25" s="191">
        <v>3810</v>
      </c>
      <c r="AR25" s="192">
        <v>1695</v>
      </c>
      <c r="AS25" s="193">
        <v>0.66111111111111109</v>
      </c>
      <c r="AT25" s="192">
        <v>196</v>
      </c>
      <c r="AU25" s="194">
        <v>0.89652777777777781</v>
      </c>
      <c r="AV25" s="57">
        <f t="shared" si="29"/>
        <v>45676</v>
      </c>
      <c r="AW25" s="115">
        <f t="shared" ref="AW25:AW37" si="88">BA25/AZ25</f>
        <v>1</v>
      </c>
      <c r="AX25" s="115">
        <f t="shared" ref="AX25:AX37" si="89">BB25/AZ25</f>
        <v>0</v>
      </c>
      <c r="AY25" s="116">
        <f t="shared" ref="AY25:AY37" si="90">BA25+BB25</f>
        <v>1620</v>
      </c>
      <c r="AZ25" s="117">
        <v>1620</v>
      </c>
      <c r="BA25" s="126">
        <f t="shared" ref="BA25:BA37" si="91">AZ25-BB25</f>
        <v>1620</v>
      </c>
      <c r="BB25" s="118">
        <v>0</v>
      </c>
      <c r="BC25" s="117">
        <v>1997</v>
      </c>
      <c r="BD25" s="119">
        <v>0.40625</v>
      </c>
      <c r="BE25" s="120">
        <v>0</v>
      </c>
      <c r="BF25" s="119">
        <v>0</v>
      </c>
      <c r="BG25" s="120">
        <v>0</v>
      </c>
      <c r="BH25" s="121">
        <v>0</v>
      </c>
      <c r="BI25" s="57">
        <f t="shared" si="30"/>
        <v>45676</v>
      </c>
      <c r="BJ25" s="80">
        <f t="shared" ref="BJ25:BJ37" si="92">+BM25/BL25</f>
        <v>0.61188128245438522</v>
      </c>
      <c r="BK25" s="78">
        <f t="shared" ref="BK25:BK37" si="93">+BN25/BL25</f>
        <v>0.38811871754561478</v>
      </c>
      <c r="BL25" s="81">
        <f t="shared" ref="BL25:BL37" si="94">BM25+BN25</f>
        <v>20991</v>
      </c>
      <c r="BM25" s="198">
        <v>12844</v>
      </c>
      <c r="BN25" s="198">
        <v>8147</v>
      </c>
      <c r="BO25" s="199">
        <v>2491</v>
      </c>
      <c r="BP25" s="200">
        <v>0.52500000000000002</v>
      </c>
      <c r="BQ25" s="201">
        <v>1624</v>
      </c>
      <c r="BR25" s="200">
        <v>4.1666666666666666E-3</v>
      </c>
    </row>
    <row r="26" spans="1:70" ht="15.75" thickBot="1" x14ac:dyDescent="0.3">
      <c r="A26" s="14"/>
      <c r="B26" s="57">
        <f t="shared" si="25"/>
        <v>45677</v>
      </c>
      <c r="C26" s="207"/>
      <c r="D26" s="89">
        <f t="shared" si="69"/>
        <v>49984</v>
      </c>
      <c r="E26" s="202">
        <f t="shared" si="70"/>
        <v>0.86143565941101152</v>
      </c>
      <c r="F26" s="89">
        <f t="shared" si="71"/>
        <v>43058</v>
      </c>
      <c r="G26" s="202">
        <f t="shared" si="72"/>
        <v>0.13856434058898848</v>
      </c>
      <c r="H26" s="177">
        <f t="shared" si="73"/>
        <v>6926</v>
      </c>
      <c r="I26" s="203">
        <f t="shared" si="74"/>
        <v>9.8052990766760342E-2</v>
      </c>
      <c r="J26" s="202">
        <f t="shared" si="75"/>
        <v>0.15407466880770776</v>
      </c>
      <c r="K26" s="202">
        <f t="shared" si="76"/>
        <v>0.11886636215508721</v>
      </c>
      <c r="L26" s="204">
        <f t="shared" si="77"/>
        <v>0.65855078281814527</v>
      </c>
      <c r="M26" s="177">
        <f t="shared" si="78"/>
        <v>4459.0578081091935</v>
      </c>
      <c r="N26" s="177">
        <f t="shared" si="79"/>
        <v>7006.6996386993178</v>
      </c>
      <c r="O26" s="177">
        <f t="shared" si="80"/>
        <v>5405.5666853647463</v>
      </c>
      <c r="P26" s="177">
        <f t="shared" si="81"/>
        <v>29948.255399437974</v>
      </c>
      <c r="Q26" s="57">
        <f t="shared" si="26"/>
        <v>45677</v>
      </c>
      <c r="R26" s="168">
        <v>49984</v>
      </c>
      <c r="S26" s="169">
        <v>0</v>
      </c>
      <c r="T26" s="169">
        <v>45476</v>
      </c>
      <c r="U26" s="169">
        <v>2845</v>
      </c>
      <c r="V26" s="170">
        <v>13962</v>
      </c>
      <c r="W26" s="171">
        <v>0.75</v>
      </c>
      <c r="X26" s="170">
        <v>4295</v>
      </c>
      <c r="Y26" s="171">
        <v>0.76041666666666663</v>
      </c>
      <c r="Z26" s="170">
        <v>165</v>
      </c>
      <c r="AA26" s="171">
        <v>0.22916666666666666</v>
      </c>
      <c r="AB26" s="57">
        <f t="shared" si="27"/>
        <v>45677</v>
      </c>
      <c r="AC26" s="78">
        <f t="shared" si="82"/>
        <v>1</v>
      </c>
      <c r="AD26" s="205">
        <f t="shared" si="83"/>
        <v>0</v>
      </c>
      <c r="AE26" s="206">
        <v>4885</v>
      </c>
      <c r="AF26" s="124">
        <f t="shared" si="84"/>
        <v>4885</v>
      </c>
      <c r="AG26" s="184">
        <v>0</v>
      </c>
      <c r="AH26" s="185">
        <v>3432</v>
      </c>
      <c r="AI26" s="186">
        <v>0.76249999999999996</v>
      </c>
      <c r="AJ26" s="185">
        <v>0</v>
      </c>
      <c r="AK26" s="208">
        <v>0</v>
      </c>
      <c r="AL26" s="57">
        <f t="shared" si="28"/>
        <v>45677</v>
      </c>
      <c r="AM26" s="79">
        <f t="shared" si="85"/>
        <v>0.46834288692027098</v>
      </c>
      <c r="AN26" s="78">
        <f t="shared" si="86"/>
        <v>0.53165711307972907</v>
      </c>
      <c r="AO26" s="189">
        <v>7676</v>
      </c>
      <c r="AP26" s="123">
        <f t="shared" si="87"/>
        <v>3595</v>
      </c>
      <c r="AQ26" s="191">
        <v>4081</v>
      </c>
      <c r="AR26" s="192">
        <v>3738</v>
      </c>
      <c r="AS26" s="193">
        <v>0.76458333333333328</v>
      </c>
      <c r="AT26" s="192">
        <v>198</v>
      </c>
      <c r="AU26" s="194">
        <v>0.89236111111111116</v>
      </c>
      <c r="AV26" s="57">
        <f t="shared" si="29"/>
        <v>45677</v>
      </c>
      <c r="AW26" s="115">
        <f t="shared" si="88"/>
        <v>1</v>
      </c>
      <c r="AX26" s="115">
        <f t="shared" si="89"/>
        <v>0</v>
      </c>
      <c r="AY26" s="116">
        <f t="shared" si="90"/>
        <v>4450</v>
      </c>
      <c r="AZ26" s="117">
        <v>4450</v>
      </c>
      <c r="BA26" s="126">
        <f t="shared" si="91"/>
        <v>4450</v>
      </c>
      <c r="BB26" s="118">
        <v>0</v>
      </c>
      <c r="BC26" s="117">
        <v>3123</v>
      </c>
      <c r="BD26" s="119">
        <v>0.79166666666666663</v>
      </c>
      <c r="BE26" s="120">
        <v>0</v>
      </c>
      <c r="BF26" s="119">
        <v>0</v>
      </c>
      <c r="BG26" s="120">
        <v>0</v>
      </c>
      <c r="BH26" s="121">
        <v>0</v>
      </c>
      <c r="BI26" s="57">
        <f t="shared" si="30"/>
        <v>45677</v>
      </c>
      <c r="BJ26" s="80">
        <f t="shared" si="92"/>
        <v>0.61132616050473954</v>
      </c>
      <c r="BK26" s="78">
        <f t="shared" si="93"/>
        <v>0.38867383949526046</v>
      </c>
      <c r="BL26" s="81">
        <f t="shared" si="94"/>
        <v>32809</v>
      </c>
      <c r="BM26" s="198">
        <v>20057</v>
      </c>
      <c r="BN26" s="198">
        <v>12752</v>
      </c>
      <c r="BO26" s="199">
        <v>3855</v>
      </c>
      <c r="BP26" s="200">
        <v>0.68194444444444446</v>
      </c>
      <c r="BQ26" s="201">
        <v>2511</v>
      </c>
      <c r="BR26" s="200">
        <v>0.72291666666666665</v>
      </c>
    </row>
    <row r="27" spans="1:70" ht="15.75" thickBot="1" x14ac:dyDescent="0.3">
      <c r="A27" s="14"/>
      <c r="B27" s="57">
        <f t="shared" si="25"/>
        <v>45678</v>
      </c>
      <c r="C27" s="207"/>
      <c r="D27" s="89">
        <f t="shared" si="69"/>
        <v>50879</v>
      </c>
      <c r="E27" s="202">
        <f t="shared" si="70"/>
        <v>0.86638455944495762</v>
      </c>
      <c r="F27" s="89">
        <f t="shared" si="71"/>
        <v>44080.78</v>
      </c>
      <c r="G27" s="202">
        <f t="shared" si="72"/>
        <v>0.13361544055504235</v>
      </c>
      <c r="H27" s="177">
        <f t="shared" si="73"/>
        <v>6798.22</v>
      </c>
      <c r="I27" s="203">
        <f t="shared" si="74"/>
        <v>0.12231674444545364</v>
      </c>
      <c r="J27" s="202">
        <f t="shared" si="75"/>
        <v>0.16934432369987323</v>
      </c>
      <c r="K27" s="202">
        <f t="shared" si="76"/>
        <v>0.11312993802319857</v>
      </c>
      <c r="L27" s="204">
        <f t="shared" si="77"/>
        <v>0.6211333609068328</v>
      </c>
      <c r="M27" s="177">
        <f t="shared" si="78"/>
        <v>5718.9193865471852</v>
      </c>
      <c r="N27" s="177">
        <f t="shared" si="79"/>
        <v>7917.6938545875728</v>
      </c>
      <c r="O27" s="177">
        <f t="shared" si="80"/>
        <v>5289.3902522746494</v>
      </c>
      <c r="P27" s="177">
        <f t="shared" si="81"/>
        <v>29041.090289198968</v>
      </c>
      <c r="Q27" s="57">
        <f t="shared" si="26"/>
        <v>45678</v>
      </c>
      <c r="R27" s="168">
        <v>50879</v>
      </c>
      <c r="S27" s="169">
        <v>0</v>
      </c>
      <c r="T27" s="169">
        <v>46755</v>
      </c>
      <c r="U27" s="169">
        <v>2842.88</v>
      </c>
      <c r="V27" s="170">
        <v>12495.82</v>
      </c>
      <c r="W27" s="171">
        <v>0.75</v>
      </c>
      <c r="X27" s="170">
        <v>4358</v>
      </c>
      <c r="Y27" s="171">
        <v>0.75</v>
      </c>
      <c r="Z27" s="170">
        <v>150</v>
      </c>
      <c r="AA27" s="171">
        <v>0.11458333333333333</v>
      </c>
      <c r="AB27" s="57">
        <f t="shared" si="27"/>
        <v>45678</v>
      </c>
      <c r="AC27" s="78">
        <f t="shared" si="82"/>
        <v>1</v>
      </c>
      <c r="AD27" s="205">
        <f t="shared" si="83"/>
        <v>0</v>
      </c>
      <c r="AE27" s="206">
        <v>6518</v>
      </c>
      <c r="AF27" s="124">
        <f t="shared" si="84"/>
        <v>6518</v>
      </c>
      <c r="AG27" s="184">
        <v>0</v>
      </c>
      <c r="AH27" s="185">
        <v>3770.64</v>
      </c>
      <c r="AI27" s="186">
        <v>0.77708333333333335</v>
      </c>
      <c r="AJ27" s="185">
        <v>0</v>
      </c>
      <c r="AK27" s="208">
        <v>0</v>
      </c>
      <c r="AL27" s="57">
        <f t="shared" si="28"/>
        <v>45678</v>
      </c>
      <c r="AM27" s="79">
        <f t="shared" si="85"/>
        <v>0.56168661347517734</v>
      </c>
      <c r="AN27" s="78">
        <f t="shared" si="86"/>
        <v>0.43831338652482271</v>
      </c>
      <c r="AO27" s="189">
        <v>9024</v>
      </c>
      <c r="AP27" s="123">
        <f t="shared" si="87"/>
        <v>5068.66</v>
      </c>
      <c r="AQ27" s="191">
        <v>3955.34</v>
      </c>
      <c r="AR27" s="192">
        <v>3407.93</v>
      </c>
      <c r="AS27" s="193">
        <v>0.39027777777777778</v>
      </c>
      <c r="AT27" s="192">
        <v>185.41</v>
      </c>
      <c r="AU27" s="194">
        <v>0.76041666666666663</v>
      </c>
      <c r="AV27" s="57">
        <f t="shared" si="29"/>
        <v>45678</v>
      </c>
      <c r="AW27" s="115">
        <f t="shared" si="88"/>
        <v>1</v>
      </c>
      <c r="AX27" s="115">
        <f t="shared" si="89"/>
        <v>0</v>
      </c>
      <c r="AY27" s="116">
        <f t="shared" si="90"/>
        <v>4647</v>
      </c>
      <c r="AZ27" s="117">
        <v>4647</v>
      </c>
      <c r="BA27" s="126">
        <f t="shared" si="91"/>
        <v>4647</v>
      </c>
      <c r="BB27" s="118">
        <v>0</v>
      </c>
      <c r="BC27" s="117">
        <v>3788</v>
      </c>
      <c r="BD27" s="119">
        <v>0.44791666666666669</v>
      </c>
      <c r="BE27" s="120">
        <v>0</v>
      </c>
      <c r="BF27" s="119">
        <v>0</v>
      </c>
      <c r="BG27" s="120">
        <v>0</v>
      </c>
      <c r="BH27" s="121">
        <v>0</v>
      </c>
      <c r="BI27" s="57">
        <f t="shared" si="30"/>
        <v>45678</v>
      </c>
      <c r="BJ27" s="80">
        <f t="shared" si="92"/>
        <v>0.61017170369510998</v>
      </c>
      <c r="BK27" s="78">
        <f t="shared" si="93"/>
        <v>0.38982829630489008</v>
      </c>
      <c r="BL27" s="81">
        <f t="shared" si="94"/>
        <v>33098.879999999997</v>
      </c>
      <c r="BM27" s="198">
        <v>20196</v>
      </c>
      <c r="BN27" s="198">
        <v>12902.88</v>
      </c>
      <c r="BO27" s="199">
        <v>4037.69</v>
      </c>
      <c r="BP27" s="200">
        <v>0.75277777777777777</v>
      </c>
      <c r="BQ27" s="201">
        <v>2666.82</v>
      </c>
      <c r="BR27" s="200">
        <v>0.7944444444444444</v>
      </c>
    </row>
    <row r="28" spans="1:70" ht="15.75" thickBot="1" x14ac:dyDescent="0.3">
      <c r="A28" s="14"/>
      <c r="B28" s="57">
        <f t="shared" si="25"/>
        <v>45679</v>
      </c>
      <c r="C28" s="207"/>
      <c r="D28" s="89">
        <f t="shared" si="69"/>
        <v>48524</v>
      </c>
      <c r="E28" s="202">
        <f t="shared" si="70"/>
        <v>0.85850300882037756</v>
      </c>
      <c r="F28" s="89">
        <f t="shared" si="71"/>
        <v>41658</v>
      </c>
      <c r="G28" s="202">
        <f t="shared" si="72"/>
        <v>0.14149699117962244</v>
      </c>
      <c r="H28" s="177">
        <f t="shared" si="73"/>
        <v>6866</v>
      </c>
      <c r="I28" s="203">
        <f t="shared" si="74"/>
        <v>0.11763775479942269</v>
      </c>
      <c r="J28" s="202">
        <f t="shared" si="75"/>
        <v>0.17275944561972359</v>
      </c>
      <c r="K28" s="202">
        <f t="shared" si="76"/>
        <v>0.10975895155628364</v>
      </c>
      <c r="L28" s="204">
        <f t="shared" si="77"/>
        <v>0.62614919235255739</v>
      </c>
      <c r="M28" s="177">
        <f t="shared" si="78"/>
        <v>5204.6471855908585</v>
      </c>
      <c r="N28" s="177">
        <f t="shared" si="79"/>
        <v>7643.3961525534305</v>
      </c>
      <c r="O28" s="177">
        <f t="shared" si="80"/>
        <v>4856.0652937046571</v>
      </c>
      <c r="P28" s="177">
        <f t="shared" si="81"/>
        <v>27702.718717254196</v>
      </c>
      <c r="Q28" s="57">
        <f t="shared" si="26"/>
        <v>45679</v>
      </c>
      <c r="R28" s="168">
        <v>48524</v>
      </c>
      <c r="S28" s="169">
        <v>0</v>
      </c>
      <c r="T28" s="169">
        <v>44243</v>
      </c>
      <c r="U28" s="169">
        <v>2829</v>
      </c>
      <c r="V28" s="170"/>
      <c r="W28" s="171"/>
      <c r="X28" s="170"/>
      <c r="Y28" s="171"/>
      <c r="Z28" s="170"/>
      <c r="AA28" s="171"/>
      <c r="AB28" s="57">
        <f t="shared" si="27"/>
        <v>45679</v>
      </c>
      <c r="AC28" s="78">
        <f t="shared" si="82"/>
        <v>1</v>
      </c>
      <c r="AD28" s="205">
        <f t="shared" si="83"/>
        <v>0</v>
      </c>
      <c r="AE28" s="206">
        <v>5950</v>
      </c>
      <c r="AF28" s="124">
        <f t="shared" si="84"/>
        <v>5950</v>
      </c>
      <c r="AG28" s="184">
        <v>0</v>
      </c>
      <c r="AH28" s="185"/>
      <c r="AI28" s="186"/>
      <c r="AJ28" s="185">
        <v>0</v>
      </c>
      <c r="AK28" s="208">
        <v>0</v>
      </c>
      <c r="AL28" s="57">
        <f t="shared" si="28"/>
        <v>45679</v>
      </c>
      <c r="AM28" s="79">
        <f t="shared" si="85"/>
        <v>0.53799496452277407</v>
      </c>
      <c r="AN28" s="78">
        <f t="shared" si="86"/>
        <v>0.46200503547722593</v>
      </c>
      <c r="AO28" s="189">
        <v>8738</v>
      </c>
      <c r="AP28" s="123">
        <f t="shared" si="87"/>
        <v>4701</v>
      </c>
      <c r="AQ28" s="191">
        <v>4037</v>
      </c>
      <c r="AR28" s="192"/>
      <c r="AS28" s="193"/>
      <c r="AT28" s="192"/>
      <c r="AU28" s="194"/>
      <c r="AV28" s="57">
        <f t="shared" si="29"/>
        <v>45679</v>
      </c>
      <c r="AW28" s="115">
        <f t="shared" si="88"/>
        <v>1</v>
      </c>
      <c r="AX28" s="115">
        <f t="shared" si="89"/>
        <v>0</v>
      </c>
      <c r="AY28" s="116">
        <f t="shared" si="90"/>
        <v>4221</v>
      </c>
      <c r="AZ28" s="117">
        <v>4221</v>
      </c>
      <c r="BA28" s="126">
        <f t="shared" si="91"/>
        <v>4221</v>
      </c>
      <c r="BB28" s="118"/>
      <c r="BC28" s="117"/>
      <c r="BD28" s="119"/>
      <c r="BE28" s="120">
        <v>0</v>
      </c>
      <c r="BF28" s="119">
        <v>0</v>
      </c>
      <c r="BG28" s="120">
        <v>0</v>
      </c>
      <c r="BH28" s="121">
        <v>0</v>
      </c>
      <c r="BI28" s="57">
        <f t="shared" si="30"/>
        <v>45679</v>
      </c>
      <c r="BJ28" s="80">
        <f t="shared" si="92"/>
        <v>0.6114303757499211</v>
      </c>
      <c r="BK28" s="78">
        <f t="shared" si="93"/>
        <v>0.38856962425007896</v>
      </c>
      <c r="BL28" s="81">
        <f t="shared" si="94"/>
        <v>31670</v>
      </c>
      <c r="BM28" s="198">
        <v>19364</v>
      </c>
      <c r="BN28" s="198">
        <v>12306</v>
      </c>
      <c r="BO28" s="199"/>
      <c r="BP28" s="200"/>
      <c r="BQ28" s="201"/>
      <c r="BR28" s="200"/>
    </row>
    <row r="29" spans="1:70" ht="15.75" thickBot="1" x14ac:dyDescent="0.3">
      <c r="A29" s="14"/>
      <c r="B29" s="57">
        <f t="shared" si="25"/>
        <v>45680</v>
      </c>
      <c r="C29" s="207"/>
      <c r="D29" s="89">
        <f t="shared" si="69"/>
        <v>50593</v>
      </c>
      <c r="E29" s="202">
        <f t="shared" si="70"/>
        <v>0.86393374577510718</v>
      </c>
      <c r="F29" s="89">
        <f t="shared" si="71"/>
        <v>43709</v>
      </c>
      <c r="G29" s="202">
        <f t="shared" si="72"/>
        <v>0.13606625422489277</v>
      </c>
      <c r="H29" s="177">
        <f t="shared" si="73"/>
        <v>6884</v>
      </c>
      <c r="I29" s="203">
        <f t="shared" si="74"/>
        <v>0.1237620960896384</v>
      </c>
      <c r="J29" s="202">
        <f t="shared" si="75"/>
        <v>0.16422386961688643</v>
      </c>
      <c r="K29" s="202">
        <f t="shared" si="76"/>
        <v>0.10688859673058318</v>
      </c>
      <c r="L29" s="204">
        <f t="shared" si="77"/>
        <v>0.63073208458302676</v>
      </c>
      <c r="M29" s="177">
        <f t="shared" si="78"/>
        <v>5728.4523796050025</v>
      </c>
      <c r="N29" s="177">
        <f t="shared" si="79"/>
        <v>7601.2660290872054</v>
      </c>
      <c r="O29" s="177">
        <f t="shared" si="80"/>
        <v>4947.445588271773</v>
      </c>
      <c r="P29" s="177">
        <f t="shared" si="81"/>
        <v>29194.065267009977</v>
      </c>
      <c r="Q29" s="57">
        <f t="shared" si="26"/>
        <v>45680</v>
      </c>
      <c r="R29" s="168">
        <v>50593</v>
      </c>
      <c r="S29" s="169">
        <v>0</v>
      </c>
      <c r="T29" s="169">
        <v>46286</v>
      </c>
      <c r="U29" s="169">
        <v>2883</v>
      </c>
      <c r="V29" s="170"/>
      <c r="W29" s="171"/>
      <c r="X29" s="170"/>
      <c r="Y29" s="171"/>
      <c r="Z29" s="170"/>
      <c r="AA29" s="171"/>
      <c r="AB29" s="57">
        <f t="shared" si="27"/>
        <v>45680</v>
      </c>
      <c r="AC29" s="78">
        <f t="shared" si="82"/>
        <v>1</v>
      </c>
      <c r="AD29" s="205">
        <f t="shared" si="83"/>
        <v>0</v>
      </c>
      <c r="AE29" s="206">
        <v>6561</v>
      </c>
      <c r="AF29" s="124">
        <f t="shared" si="84"/>
        <v>6561</v>
      </c>
      <c r="AG29" s="184">
        <v>0</v>
      </c>
      <c r="AH29" s="185"/>
      <c r="AI29" s="186"/>
      <c r="AJ29" s="185">
        <v>0</v>
      </c>
      <c r="AK29" s="208">
        <v>0</v>
      </c>
      <c r="AL29" s="57">
        <f t="shared" si="28"/>
        <v>45680</v>
      </c>
      <c r="AM29" s="79">
        <f t="shared" si="85"/>
        <v>0.54043188605559389</v>
      </c>
      <c r="AN29" s="78">
        <f t="shared" si="86"/>
        <v>0.45956811394440616</v>
      </c>
      <c r="AO29" s="189">
        <v>8706</v>
      </c>
      <c r="AP29" s="123">
        <f t="shared" si="87"/>
        <v>4705</v>
      </c>
      <c r="AQ29" s="191">
        <v>4001</v>
      </c>
      <c r="AR29" s="192"/>
      <c r="AS29" s="193"/>
      <c r="AT29" s="192"/>
      <c r="AU29" s="194"/>
      <c r="AV29" s="57">
        <f t="shared" si="29"/>
        <v>45680</v>
      </c>
      <c r="AW29" s="115">
        <f t="shared" si="88"/>
        <v>1</v>
      </c>
      <c r="AX29" s="115">
        <f t="shared" si="89"/>
        <v>0</v>
      </c>
      <c r="AY29" s="116">
        <f t="shared" si="90"/>
        <v>4309</v>
      </c>
      <c r="AZ29" s="117">
        <v>4309</v>
      </c>
      <c r="BA29" s="126">
        <f t="shared" si="91"/>
        <v>4309</v>
      </c>
      <c r="BB29" s="118"/>
      <c r="BC29" s="117"/>
      <c r="BD29" s="119"/>
      <c r="BE29" s="120">
        <v>0</v>
      </c>
      <c r="BF29" s="119">
        <v>0</v>
      </c>
      <c r="BG29" s="120">
        <v>0</v>
      </c>
      <c r="BH29" s="121">
        <v>0</v>
      </c>
      <c r="BI29" s="57">
        <f t="shared" si="30"/>
        <v>45680</v>
      </c>
      <c r="BJ29" s="80">
        <f t="shared" si="92"/>
        <v>0.61096988366181182</v>
      </c>
      <c r="BK29" s="78">
        <f t="shared" si="93"/>
        <v>0.38903011633818824</v>
      </c>
      <c r="BL29" s="81">
        <f t="shared" si="94"/>
        <v>33437</v>
      </c>
      <c r="BM29" s="198">
        <v>20429</v>
      </c>
      <c r="BN29" s="198">
        <v>13008</v>
      </c>
      <c r="BO29" s="199"/>
      <c r="BP29" s="200"/>
      <c r="BQ29" s="201"/>
      <c r="BR29" s="200"/>
    </row>
    <row r="30" spans="1:70" ht="15.75" thickBot="1" x14ac:dyDescent="0.3">
      <c r="A30" s="14"/>
      <c r="B30" s="57">
        <f t="shared" si="25"/>
        <v>45681</v>
      </c>
      <c r="C30" s="207"/>
      <c r="D30" s="89">
        <f t="shared" si="69"/>
        <v>47980</v>
      </c>
      <c r="E30" s="202">
        <f t="shared" si="70"/>
        <v>0.85460608586911213</v>
      </c>
      <c r="F30" s="89">
        <f t="shared" si="71"/>
        <v>41004</v>
      </c>
      <c r="G30" s="202">
        <f t="shared" si="72"/>
        <v>0.14539391413088787</v>
      </c>
      <c r="H30" s="177">
        <f t="shared" si="73"/>
        <v>6976</v>
      </c>
      <c r="I30" s="203">
        <f t="shared" si="74"/>
        <v>0.10103275181040158</v>
      </c>
      <c r="J30" s="202">
        <f t="shared" si="75"/>
        <v>0.1572374917709019</v>
      </c>
      <c r="K30" s="202">
        <f t="shared" si="76"/>
        <v>0.12295081967213115</v>
      </c>
      <c r="L30" s="204">
        <f t="shared" si="77"/>
        <v>0.64915240289664256</v>
      </c>
      <c r="M30" s="177">
        <f t="shared" si="78"/>
        <v>4576.7836570111913</v>
      </c>
      <c r="N30" s="177">
        <f t="shared" si="79"/>
        <v>7122.8583772218562</v>
      </c>
      <c r="O30" s="177">
        <f t="shared" si="80"/>
        <v>5569.6721311475412</v>
      </c>
      <c r="P30" s="177">
        <f t="shared" si="81"/>
        <v>29406.603851217908</v>
      </c>
      <c r="Q30" s="57">
        <f t="shared" si="26"/>
        <v>45681</v>
      </c>
      <c r="R30" s="168">
        <v>47980</v>
      </c>
      <c r="S30" s="169">
        <v>0</v>
      </c>
      <c r="T30" s="169">
        <v>45300</v>
      </c>
      <c r="U30" s="169">
        <v>2830</v>
      </c>
      <c r="V30" s="170">
        <v>12750</v>
      </c>
      <c r="W30" s="171">
        <v>0.8125</v>
      </c>
      <c r="X30" s="170">
        <v>4320</v>
      </c>
      <c r="Y30" s="171">
        <v>0.77083333333333337</v>
      </c>
      <c r="Z30" s="170">
        <v>159</v>
      </c>
      <c r="AA30" s="171">
        <v>0.82291666666666663</v>
      </c>
      <c r="AB30" s="57">
        <f t="shared" si="27"/>
        <v>45681</v>
      </c>
      <c r="AC30" s="78">
        <f t="shared" si="82"/>
        <v>1</v>
      </c>
      <c r="AD30" s="205">
        <f t="shared" si="83"/>
        <v>0</v>
      </c>
      <c r="AE30" s="206">
        <v>4911</v>
      </c>
      <c r="AF30" s="124">
        <f t="shared" si="84"/>
        <v>4911</v>
      </c>
      <c r="AG30" s="184">
        <v>0</v>
      </c>
      <c r="AH30" s="185">
        <v>3453</v>
      </c>
      <c r="AI30" s="186">
        <v>0.37708333333333333</v>
      </c>
      <c r="AJ30" s="185">
        <v>0</v>
      </c>
      <c r="AK30" s="208">
        <v>0</v>
      </c>
      <c r="AL30" s="57">
        <f t="shared" si="28"/>
        <v>45681</v>
      </c>
      <c r="AM30" s="79">
        <f t="shared" si="85"/>
        <v>0.45754284966636138</v>
      </c>
      <c r="AN30" s="78">
        <f t="shared" si="86"/>
        <v>0.54245715033363862</v>
      </c>
      <c r="AO30" s="189">
        <v>7643</v>
      </c>
      <c r="AP30" s="123">
        <f t="shared" si="87"/>
        <v>3497</v>
      </c>
      <c r="AQ30" s="191">
        <v>4146</v>
      </c>
      <c r="AR30" s="192">
        <v>3287</v>
      </c>
      <c r="AS30" s="193">
        <v>0.36319444444444443</v>
      </c>
      <c r="AT30" s="192">
        <v>203</v>
      </c>
      <c r="AU30" s="194">
        <v>0.65972222222222221</v>
      </c>
      <c r="AV30" s="57">
        <f t="shared" si="29"/>
        <v>45681</v>
      </c>
      <c r="AW30" s="115">
        <f t="shared" si="88"/>
        <v>1</v>
      </c>
      <c r="AX30" s="115">
        <f t="shared" si="89"/>
        <v>0</v>
      </c>
      <c r="AY30" s="116">
        <f t="shared" si="90"/>
        <v>4500</v>
      </c>
      <c r="AZ30" s="117">
        <v>4500</v>
      </c>
      <c r="BA30" s="126">
        <f t="shared" si="91"/>
        <v>4500</v>
      </c>
      <c r="BB30" s="118">
        <v>0</v>
      </c>
      <c r="BC30" s="117">
        <v>3250</v>
      </c>
      <c r="BD30" s="119">
        <v>0.40625</v>
      </c>
      <c r="BE30" s="120">
        <v>0</v>
      </c>
      <c r="BF30" s="119">
        <v>0</v>
      </c>
      <c r="BG30" s="120">
        <v>0</v>
      </c>
      <c r="BH30" s="121">
        <v>0</v>
      </c>
      <c r="BI30" s="57">
        <f t="shared" si="30"/>
        <v>45681</v>
      </c>
      <c r="BJ30" s="80">
        <f t="shared" si="92"/>
        <v>0.60822716612790773</v>
      </c>
      <c r="BK30" s="78">
        <f t="shared" si="93"/>
        <v>0.39177283387209227</v>
      </c>
      <c r="BL30" s="81">
        <f t="shared" si="94"/>
        <v>31554</v>
      </c>
      <c r="BM30" s="198">
        <v>19192</v>
      </c>
      <c r="BN30" s="198">
        <v>12362</v>
      </c>
      <c r="BO30" s="199">
        <v>3851</v>
      </c>
      <c r="BP30" s="200">
        <v>0.77638888888888891</v>
      </c>
      <c r="BQ30" s="201">
        <v>2560</v>
      </c>
      <c r="BR30" s="200">
        <v>0.81805555555555554</v>
      </c>
    </row>
    <row r="31" spans="1:70" ht="15.75" thickBot="1" x14ac:dyDescent="0.3">
      <c r="A31" s="14"/>
      <c r="B31" s="57">
        <f t="shared" si="25"/>
        <v>45682</v>
      </c>
      <c r="C31" s="207"/>
      <c r="D31" s="89">
        <f t="shared" si="69"/>
        <v>30980</v>
      </c>
      <c r="E31" s="202">
        <f t="shared" si="70"/>
        <v>0.78857327307940606</v>
      </c>
      <c r="F31" s="89">
        <f t="shared" si="71"/>
        <v>24430</v>
      </c>
      <c r="G31" s="202">
        <f t="shared" si="72"/>
        <v>0.21142672692059394</v>
      </c>
      <c r="H31" s="177">
        <v>6550</v>
      </c>
      <c r="I31" s="203">
        <f t="shared" si="74"/>
        <v>7.02247191011236E-2</v>
      </c>
      <c r="J31" s="202">
        <f t="shared" si="75"/>
        <v>0.13523720349563045</v>
      </c>
      <c r="K31" s="202">
        <f t="shared" si="76"/>
        <v>0.1244618728954435</v>
      </c>
      <c r="L31" s="204">
        <f t="shared" si="77"/>
        <v>0.70340199750312105</v>
      </c>
      <c r="M31" s="177">
        <f t="shared" si="78"/>
        <v>2099.7191011235955</v>
      </c>
      <c r="N31" s="177">
        <f t="shared" si="79"/>
        <v>4043.5923845193506</v>
      </c>
      <c r="O31" s="177">
        <f t="shared" si="80"/>
        <v>3721.4099995737606</v>
      </c>
      <c r="P31" s="177">
        <f t="shared" si="81"/>
        <v>21031.719725343319</v>
      </c>
      <c r="Q31" s="57">
        <f t="shared" si="26"/>
        <v>45682</v>
      </c>
      <c r="R31" s="168">
        <v>30980</v>
      </c>
      <c r="S31" s="169">
        <v>0</v>
      </c>
      <c r="T31" s="169">
        <v>29900</v>
      </c>
      <c r="U31" s="169">
        <v>2890</v>
      </c>
      <c r="V31" s="170">
        <v>8150</v>
      </c>
      <c r="W31" s="171">
        <v>0.77083333333333337</v>
      </c>
      <c r="X31" s="170">
        <v>2650</v>
      </c>
      <c r="Y31" s="171">
        <v>0.4375</v>
      </c>
      <c r="Z31" s="170">
        <v>151</v>
      </c>
      <c r="AA31" s="171">
        <v>0.85416666666666663</v>
      </c>
      <c r="AB31" s="57">
        <f t="shared" si="27"/>
        <v>45682</v>
      </c>
      <c r="AC31" s="78">
        <f t="shared" si="82"/>
        <v>1</v>
      </c>
      <c r="AD31" s="205">
        <f t="shared" si="83"/>
        <v>0</v>
      </c>
      <c r="AE31" s="206">
        <v>2250</v>
      </c>
      <c r="AF31" s="124">
        <f t="shared" si="84"/>
        <v>2250</v>
      </c>
      <c r="AG31" s="184">
        <v>0</v>
      </c>
      <c r="AH31" s="185">
        <v>1855</v>
      </c>
      <c r="AI31" s="186">
        <v>0.93402777777777779</v>
      </c>
      <c r="AJ31" s="185">
        <v>0</v>
      </c>
      <c r="AK31" s="208">
        <v>0</v>
      </c>
      <c r="AL31" s="57">
        <f t="shared" si="28"/>
        <v>45682</v>
      </c>
      <c r="AM31" s="79">
        <f t="shared" si="85"/>
        <v>0.36164320332333255</v>
      </c>
      <c r="AN31" s="78">
        <f t="shared" si="86"/>
        <v>0.63835679667666745</v>
      </c>
      <c r="AO31" s="189">
        <v>4333</v>
      </c>
      <c r="AP31" s="123">
        <f t="shared" si="87"/>
        <v>1567</v>
      </c>
      <c r="AQ31" s="191">
        <v>2766</v>
      </c>
      <c r="AR31" s="192">
        <v>1732</v>
      </c>
      <c r="AS31" s="193">
        <v>0.55625000000000002</v>
      </c>
      <c r="AT31" s="192">
        <v>186</v>
      </c>
      <c r="AU31" s="194">
        <v>0.95347222222222228</v>
      </c>
      <c r="AV31" s="57">
        <f t="shared" si="29"/>
        <v>45682</v>
      </c>
      <c r="AW31" s="115">
        <f t="shared" si="88"/>
        <v>1</v>
      </c>
      <c r="AX31" s="115">
        <f t="shared" si="89"/>
        <v>0</v>
      </c>
      <c r="AY31" s="116">
        <f t="shared" si="90"/>
        <v>2920</v>
      </c>
      <c r="AZ31" s="117">
        <v>2920</v>
      </c>
      <c r="BA31" s="126">
        <f t="shared" si="91"/>
        <v>2920</v>
      </c>
      <c r="BB31" s="118">
        <v>0</v>
      </c>
      <c r="BC31" s="117">
        <v>2630</v>
      </c>
      <c r="BD31" s="119">
        <v>0.39583333333333331</v>
      </c>
      <c r="BE31" s="120">
        <v>0</v>
      </c>
      <c r="BF31" s="119">
        <v>0</v>
      </c>
      <c r="BG31" s="120">
        <v>0</v>
      </c>
      <c r="BH31" s="121">
        <v>0</v>
      </c>
      <c r="BI31" s="57">
        <f t="shared" si="30"/>
        <v>45682</v>
      </c>
      <c r="BJ31" s="80">
        <f t="shared" si="92"/>
        <v>0.61250388250432619</v>
      </c>
      <c r="BK31" s="78">
        <f t="shared" si="93"/>
        <v>0.38749611749567381</v>
      </c>
      <c r="BL31" s="81">
        <f t="shared" si="94"/>
        <v>22537</v>
      </c>
      <c r="BM31" s="198">
        <v>13804</v>
      </c>
      <c r="BN31" s="198">
        <v>8733</v>
      </c>
      <c r="BO31" s="199">
        <v>2587</v>
      </c>
      <c r="BP31" s="200">
        <v>0.77777777777777779</v>
      </c>
      <c r="BQ31" s="201">
        <v>1697</v>
      </c>
      <c r="BR31" s="200">
        <v>0.81944444444444442</v>
      </c>
    </row>
    <row r="32" spans="1:70" ht="15.75" thickBot="1" x14ac:dyDescent="0.3">
      <c r="A32" s="14"/>
      <c r="B32" s="57">
        <f t="shared" si="25"/>
        <v>45683</v>
      </c>
      <c r="C32" s="207"/>
      <c r="D32" s="89">
        <f t="shared" si="69"/>
        <v>27485</v>
      </c>
      <c r="E32" s="202">
        <f t="shared" si="70"/>
        <v>0.76532654175004544</v>
      </c>
      <c r="F32" s="89">
        <f t="shared" si="71"/>
        <v>21035</v>
      </c>
      <c r="G32" s="202">
        <f t="shared" si="72"/>
        <v>0.23467345824995453</v>
      </c>
      <c r="H32" s="177">
        <v>6450</v>
      </c>
      <c r="I32" s="203">
        <f t="shared" si="74"/>
        <v>5.9994994458150097E-2</v>
      </c>
      <c r="J32" s="202">
        <f t="shared" si="75"/>
        <v>0.15531481282848869</v>
      </c>
      <c r="K32" s="202">
        <f t="shared" si="76"/>
        <v>0.13684469603741078</v>
      </c>
      <c r="L32" s="204">
        <f t="shared" si="77"/>
        <v>0.68529443312238547</v>
      </c>
      <c r="M32" s="177">
        <f t="shared" si="78"/>
        <v>1649.8623475991276</v>
      </c>
      <c r="N32" s="177">
        <f t="shared" si="79"/>
        <v>4271.1573527834389</v>
      </c>
      <c r="O32" s="177">
        <f t="shared" si="80"/>
        <v>3763.2291410287967</v>
      </c>
      <c r="P32" s="177">
        <f t="shared" si="81"/>
        <v>18845.596910865599</v>
      </c>
      <c r="Q32" s="57">
        <f t="shared" si="26"/>
        <v>45683</v>
      </c>
      <c r="R32" s="168">
        <v>27485</v>
      </c>
      <c r="S32" s="169">
        <v>0</v>
      </c>
      <c r="T32" s="169">
        <v>27500</v>
      </c>
      <c r="U32" s="169">
        <v>2730</v>
      </c>
      <c r="V32" s="170">
        <v>7980</v>
      </c>
      <c r="W32" s="171">
        <v>0.70833333333333337</v>
      </c>
      <c r="X32" s="170">
        <v>2470</v>
      </c>
      <c r="Y32" s="171">
        <v>0.375</v>
      </c>
      <c r="Z32" s="170">
        <v>152</v>
      </c>
      <c r="AA32" s="171">
        <v>0.875</v>
      </c>
      <c r="AB32" s="57">
        <f t="shared" si="27"/>
        <v>45683</v>
      </c>
      <c r="AC32" s="78">
        <f t="shared" si="82"/>
        <v>1</v>
      </c>
      <c r="AD32" s="205">
        <f t="shared" si="83"/>
        <v>0</v>
      </c>
      <c r="AE32" s="206">
        <v>1678</v>
      </c>
      <c r="AF32" s="124">
        <f t="shared" si="84"/>
        <v>1678</v>
      </c>
      <c r="AG32" s="184">
        <v>0</v>
      </c>
      <c r="AH32" s="185">
        <v>1831</v>
      </c>
      <c r="AI32" s="186">
        <v>0.93055555555555558</v>
      </c>
      <c r="AJ32" s="185">
        <v>0</v>
      </c>
      <c r="AK32" s="208">
        <v>0</v>
      </c>
      <c r="AL32" s="57">
        <f t="shared" si="28"/>
        <v>45683</v>
      </c>
      <c r="AM32" s="79">
        <f t="shared" si="85"/>
        <v>0.31008287292817682</v>
      </c>
      <c r="AN32" s="78">
        <f t="shared" si="86"/>
        <v>0.68991712707182318</v>
      </c>
      <c r="AO32" s="189">
        <v>4344</v>
      </c>
      <c r="AP32" s="123">
        <f t="shared" si="87"/>
        <v>1347</v>
      </c>
      <c r="AQ32" s="191">
        <v>2997</v>
      </c>
      <c r="AR32" s="192">
        <v>1830</v>
      </c>
      <c r="AS32" s="193">
        <v>0.9145833333333333</v>
      </c>
      <c r="AT32" s="192">
        <v>184</v>
      </c>
      <c r="AU32" s="194">
        <v>0.88124999999999998</v>
      </c>
      <c r="AV32" s="57">
        <f t="shared" si="29"/>
        <v>45683</v>
      </c>
      <c r="AW32" s="115">
        <f t="shared" si="88"/>
        <v>1</v>
      </c>
      <c r="AX32" s="115">
        <f t="shared" si="89"/>
        <v>0</v>
      </c>
      <c r="AY32" s="116">
        <f t="shared" si="90"/>
        <v>2780</v>
      </c>
      <c r="AZ32" s="117">
        <v>2780</v>
      </c>
      <c r="BA32" s="126">
        <f t="shared" si="91"/>
        <v>2780</v>
      </c>
      <c r="BB32" s="118">
        <v>0</v>
      </c>
      <c r="BC32" s="117">
        <v>2520</v>
      </c>
      <c r="BD32" s="119">
        <v>0.4375</v>
      </c>
      <c r="BE32" s="120">
        <v>0</v>
      </c>
      <c r="BF32" s="119">
        <v>0</v>
      </c>
      <c r="BG32" s="120">
        <v>0</v>
      </c>
      <c r="BH32" s="121" t="s">
        <v>62</v>
      </c>
      <c r="BI32" s="57">
        <f t="shared" si="30"/>
        <v>45683</v>
      </c>
      <c r="BJ32" s="80">
        <f t="shared" si="92"/>
        <v>0.61198935670683985</v>
      </c>
      <c r="BK32" s="78">
        <f t="shared" si="93"/>
        <v>0.3880106432931601</v>
      </c>
      <c r="BL32" s="81">
        <f t="shared" si="94"/>
        <v>19167</v>
      </c>
      <c r="BM32" s="198">
        <v>11730</v>
      </c>
      <c r="BN32" s="198">
        <v>7437</v>
      </c>
      <c r="BO32" s="199">
        <v>2426</v>
      </c>
      <c r="BP32" s="200">
        <v>0.41319444444444442</v>
      </c>
      <c r="BQ32" s="201">
        <v>1608</v>
      </c>
      <c r="BR32" s="200">
        <v>0.45763888888888887</v>
      </c>
    </row>
    <row r="33" spans="1:70" ht="15.75" thickBot="1" x14ac:dyDescent="0.3">
      <c r="A33" s="14"/>
      <c r="B33" s="57">
        <f t="shared" si="25"/>
        <v>45684</v>
      </c>
      <c r="C33" s="207"/>
      <c r="D33" s="89">
        <f t="shared" si="69"/>
        <v>50242</v>
      </c>
      <c r="E33" s="202">
        <f t="shared" si="70"/>
        <v>0.86232634051192225</v>
      </c>
      <c r="F33" s="89">
        <f t="shared" si="71"/>
        <v>43325</v>
      </c>
      <c r="G33" s="202">
        <f t="shared" si="72"/>
        <v>0.13767365948807769</v>
      </c>
      <c r="H33" s="177">
        <f t="shared" si="73"/>
        <v>6917</v>
      </c>
      <c r="I33" s="203">
        <f t="shared" si="74"/>
        <v>0.10250501002004007</v>
      </c>
      <c r="J33" s="202">
        <f t="shared" si="75"/>
        <v>0.15260521042084169</v>
      </c>
      <c r="K33" s="202">
        <f t="shared" si="76"/>
        <v>0.11405109489051095</v>
      </c>
      <c r="L33" s="204">
        <f t="shared" si="77"/>
        <v>0.65971943887775553</v>
      </c>
      <c r="M33" s="177">
        <f t="shared" si="78"/>
        <v>4833.1112224448898</v>
      </c>
      <c r="N33" s="177">
        <f t="shared" si="79"/>
        <v>7195.3356713426856</v>
      </c>
      <c r="O33" s="177">
        <f t="shared" si="80"/>
        <v>5377.5091240875909</v>
      </c>
      <c r="P33" s="177">
        <f t="shared" si="81"/>
        <v>31105.771543086172</v>
      </c>
      <c r="Q33" s="57">
        <f t="shared" si="26"/>
        <v>45684</v>
      </c>
      <c r="R33" s="168">
        <v>50242</v>
      </c>
      <c r="S33" s="169">
        <v>0</v>
      </c>
      <c r="T33" s="169">
        <v>47150</v>
      </c>
      <c r="U33" s="169">
        <v>2890</v>
      </c>
      <c r="V33" s="170">
        <v>12170</v>
      </c>
      <c r="W33" s="171">
        <v>0.75</v>
      </c>
      <c r="X33" s="170">
        <v>4450</v>
      </c>
      <c r="Y33" s="171">
        <v>0.40625</v>
      </c>
      <c r="Z33" s="170">
        <v>155</v>
      </c>
      <c r="AA33" s="171">
        <v>0.85416666666666663</v>
      </c>
      <c r="AB33" s="211">
        <f t="shared" si="27"/>
        <v>45684</v>
      </c>
      <c r="AC33" s="78">
        <f t="shared" si="82"/>
        <v>1</v>
      </c>
      <c r="AD33" s="205">
        <f t="shared" si="83"/>
        <v>0</v>
      </c>
      <c r="AE33" s="206">
        <v>5115</v>
      </c>
      <c r="AF33" s="124">
        <f t="shared" si="84"/>
        <v>5115</v>
      </c>
      <c r="AG33" s="184">
        <v>0</v>
      </c>
      <c r="AH33" s="185">
        <v>3427</v>
      </c>
      <c r="AI33" s="186">
        <v>0.375</v>
      </c>
      <c r="AJ33" s="185">
        <v>0</v>
      </c>
      <c r="AK33" s="208">
        <v>0</v>
      </c>
      <c r="AL33" s="211">
        <f t="shared" si="28"/>
        <v>45684</v>
      </c>
      <c r="AM33" s="79">
        <f t="shared" si="85"/>
        <v>0.47117531188443862</v>
      </c>
      <c r="AN33" s="78">
        <f t="shared" si="86"/>
        <v>0.52882468811556138</v>
      </c>
      <c r="AO33" s="189">
        <v>7615</v>
      </c>
      <c r="AP33" s="123">
        <f t="shared" si="87"/>
        <v>3588</v>
      </c>
      <c r="AQ33" s="191">
        <v>4027</v>
      </c>
      <c r="AR33" s="192">
        <v>3393</v>
      </c>
      <c r="AS33" s="193">
        <v>0.34236111111111112</v>
      </c>
      <c r="AT33" s="192">
        <v>207</v>
      </c>
      <c r="AU33" s="194">
        <v>0.6791666666666667</v>
      </c>
      <c r="AV33" s="211">
        <f t="shared" si="29"/>
        <v>45684</v>
      </c>
      <c r="AW33" s="212">
        <f t="shared" si="88"/>
        <v>1</v>
      </c>
      <c r="AX33" s="212">
        <f t="shared" si="89"/>
        <v>0</v>
      </c>
      <c r="AY33" s="116">
        <f t="shared" si="90"/>
        <v>4250</v>
      </c>
      <c r="AZ33" s="117">
        <v>4250</v>
      </c>
      <c r="BA33" s="213">
        <f t="shared" si="91"/>
        <v>4250</v>
      </c>
      <c r="BB33" s="118">
        <v>0</v>
      </c>
      <c r="BC33" s="117">
        <v>3720</v>
      </c>
      <c r="BD33" s="119">
        <v>0.375</v>
      </c>
      <c r="BE33" s="120">
        <v>0</v>
      </c>
      <c r="BF33" s="119">
        <v>0</v>
      </c>
      <c r="BG33" s="120">
        <v>0</v>
      </c>
      <c r="BH33" s="121">
        <v>0</v>
      </c>
      <c r="BI33" s="211">
        <f t="shared" si="30"/>
        <v>45684</v>
      </c>
      <c r="BJ33" s="214">
        <f t="shared" si="92"/>
        <v>0.60938639125151883</v>
      </c>
      <c r="BK33" s="78">
        <f t="shared" si="93"/>
        <v>0.39061360874848117</v>
      </c>
      <c r="BL33" s="81">
        <f t="shared" si="94"/>
        <v>32920</v>
      </c>
      <c r="BM33" s="198">
        <v>20061</v>
      </c>
      <c r="BN33" s="198">
        <v>12859</v>
      </c>
      <c r="BO33" s="199">
        <v>3977</v>
      </c>
      <c r="BP33" s="200">
        <v>0.83333333333333337</v>
      </c>
      <c r="BQ33" s="201">
        <v>2797</v>
      </c>
      <c r="BR33" s="200">
        <v>0.875</v>
      </c>
    </row>
    <row r="34" spans="1:70" ht="15.75" thickBot="1" x14ac:dyDescent="0.3">
      <c r="A34" s="14"/>
      <c r="B34" s="57">
        <f t="shared" si="25"/>
        <v>45685</v>
      </c>
      <c r="C34" s="207"/>
      <c r="D34" s="89">
        <f t="shared" si="69"/>
        <v>49434</v>
      </c>
      <c r="E34" s="202">
        <f t="shared" si="70"/>
        <v>0.86784399401221834</v>
      </c>
      <c r="F34" s="89">
        <f t="shared" si="71"/>
        <v>42901</v>
      </c>
      <c r="G34" s="202">
        <f t="shared" si="72"/>
        <v>0.13215600598778168</v>
      </c>
      <c r="H34" s="177">
        <f t="shared" si="73"/>
        <v>6533</v>
      </c>
      <c r="I34" s="203">
        <f t="shared" si="74"/>
        <v>0.11789728980597475</v>
      </c>
      <c r="J34" s="202">
        <f t="shared" si="75"/>
        <v>0.16700030797659379</v>
      </c>
      <c r="K34" s="202">
        <f t="shared" si="76"/>
        <v>0.11464248027737299</v>
      </c>
      <c r="L34" s="204">
        <f t="shared" si="77"/>
        <v>0.62727132737911917</v>
      </c>
      <c r="M34" s="177">
        <f t="shared" si="78"/>
        <v>5314.102440714506</v>
      </c>
      <c r="N34" s="177">
        <f t="shared" si="79"/>
        <v>7527.3718817369891</v>
      </c>
      <c r="O34" s="177">
        <f t="shared" si="80"/>
        <v>5167.3951560223104</v>
      </c>
      <c r="P34" s="177">
        <f t="shared" si="81"/>
        <v>28273.627810286416</v>
      </c>
      <c r="Q34" s="57">
        <f t="shared" si="26"/>
        <v>45685</v>
      </c>
      <c r="R34" s="168">
        <v>49434</v>
      </c>
      <c r="S34" s="169">
        <v>0</v>
      </c>
      <c r="T34" s="169">
        <v>45074</v>
      </c>
      <c r="U34" s="169">
        <v>2540</v>
      </c>
      <c r="V34" s="170">
        <v>11639</v>
      </c>
      <c r="W34" s="171">
        <v>0.75</v>
      </c>
      <c r="X34" s="170">
        <v>4257</v>
      </c>
      <c r="Y34" s="171">
        <v>0.75</v>
      </c>
      <c r="Z34" s="170">
        <v>150</v>
      </c>
      <c r="AA34" s="171">
        <v>0.96875</v>
      </c>
      <c r="AB34" s="57">
        <f t="shared" si="27"/>
        <v>45685</v>
      </c>
      <c r="AC34" s="78">
        <f t="shared" si="82"/>
        <v>1</v>
      </c>
      <c r="AD34" s="205">
        <f t="shared" si="83"/>
        <v>0</v>
      </c>
      <c r="AE34" s="206">
        <v>6125</v>
      </c>
      <c r="AF34" s="124">
        <f t="shared" si="84"/>
        <v>6125</v>
      </c>
      <c r="AG34" s="184">
        <v>0</v>
      </c>
      <c r="AH34" s="185">
        <v>3707</v>
      </c>
      <c r="AI34" s="186">
        <v>0.79583333333333328</v>
      </c>
      <c r="AJ34" s="185">
        <v>0</v>
      </c>
      <c r="AK34" s="208">
        <v>0</v>
      </c>
      <c r="AL34" s="57">
        <f t="shared" si="28"/>
        <v>45685</v>
      </c>
      <c r="AM34" s="79">
        <f t="shared" si="85"/>
        <v>0.53976486860304285</v>
      </c>
      <c r="AN34" s="78">
        <f t="shared" si="86"/>
        <v>0.4602351313969571</v>
      </c>
      <c r="AO34" s="189">
        <v>8676</v>
      </c>
      <c r="AP34" s="123">
        <f t="shared" si="87"/>
        <v>4683</v>
      </c>
      <c r="AQ34" s="191">
        <v>3993</v>
      </c>
      <c r="AR34" s="192">
        <v>3102</v>
      </c>
      <c r="AS34" s="193">
        <v>0.3298611111111111</v>
      </c>
      <c r="AT34" s="192">
        <v>186</v>
      </c>
      <c r="AU34" s="194">
        <v>0.72916666666666663</v>
      </c>
      <c r="AV34" s="57">
        <f t="shared" si="29"/>
        <v>45685</v>
      </c>
      <c r="AW34" s="115">
        <f t="shared" si="88"/>
        <v>1</v>
      </c>
      <c r="AX34" s="115">
        <f t="shared" si="89"/>
        <v>0</v>
      </c>
      <c r="AY34" s="116">
        <f t="shared" si="90"/>
        <v>4563</v>
      </c>
      <c r="AZ34" s="117">
        <v>4563</v>
      </c>
      <c r="BA34" s="126">
        <f t="shared" si="91"/>
        <v>4563</v>
      </c>
      <c r="BB34" s="118">
        <v>0</v>
      </c>
      <c r="BC34" s="117">
        <v>3382</v>
      </c>
      <c r="BD34" s="119">
        <v>0.75</v>
      </c>
      <c r="BE34" s="120">
        <v>0</v>
      </c>
      <c r="BF34" s="119">
        <v>0</v>
      </c>
      <c r="BG34" s="120">
        <v>0</v>
      </c>
      <c r="BH34" s="121">
        <v>0</v>
      </c>
      <c r="BI34" s="57">
        <f t="shared" si="30"/>
        <v>45685</v>
      </c>
      <c r="BJ34" s="80">
        <f t="shared" si="92"/>
        <v>0.60967227200196394</v>
      </c>
      <c r="BK34" s="78">
        <f t="shared" si="93"/>
        <v>0.39032772799803611</v>
      </c>
      <c r="BL34" s="81">
        <f t="shared" si="94"/>
        <v>32588</v>
      </c>
      <c r="BM34" s="198">
        <v>19868</v>
      </c>
      <c r="BN34" s="198">
        <v>12720</v>
      </c>
      <c r="BO34" s="199">
        <v>4177</v>
      </c>
      <c r="BP34" s="200">
        <v>0.79374999999999996</v>
      </c>
      <c r="BQ34" s="201">
        <v>2774</v>
      </c>
      <c r="BR34" s="200">
        <v>0.8354166666666667</v>
      </c>
    </row>
    <row r="35" spans="1:70" ht="15.75" thickBot="1" x14ac:dyDescent="0.3">
      <c r="A35" s="14"/>
      <c r="B35" s="57">
        <f t="shared" si="25"/>
        <v>45686</v>
      </c>
      <c r="C35" s="207"/>
      <c r="D35" s="89">
        <f t="shared" si="69"/>
        <v>49942</v>
      </c>
      <c r="E35" s="202">
        <f t="shared" si="70"/>
        <v>0.86421649112971044</v>
      </c>
      <c r="F35" s="89">
        <f t="shared" si="71"/>
        <v>43160.7</v>
      </c>
      <c r="G35" s="202">
        <f t="shared" si="72"/>
        <v>0.13578350887028953</v>
      </c>
      <c r="H35" s="177">
        <f t="shared" si="73"/>
        <v>6781.2999999999993</v>
      </c>
      <c r="I35" s="203">
        <f t="shared" si="74"/>
        <v>0.11376555575210238</v>
      </c>
      <c r="J35" s="202">
        <f t="shared" si="75"/>
        <v>0.17046666061089943</v>
      </c>
      <c r="K35" s="202">
        <f t="shared" si="76"/>
        <v>0.11037212646567848</v>
      </c>
      <c r="L35" s="204">
        <f t="shared" si="77"/>
        <v>0.63181094532120263</v>
      </c>
      <c r="M35" s="177">
        <f t="shared" si="78"/>
        <v>5173.2611167153518</v>
      </c>
      <c r="N35" s="177">
        <f t="shared" si="79"/>
        <v>7751.6304579594298</v>
      </c>
      <c r="O35" s="177">
        <f t="shared" si="80"/>
        <v>5018.9517067737979</v>
      </c>
      <c r="P35" s="177">
        <f t="shared" si="81"/>
        <v>28730.339116591047</v>
      </c>
      <c r="Q35" s="57">
        <f t="shared" si="26"/>
        <v>45686</v>
      </c>
      <c r="R35" s="168">
        <v>49942</v>
      </c>
      <c r="S35" s="169">
        <v>0</v>
      </c>
      <c r="T35" s="169">
        <v>45473</v>
      </c>
      <c r="U35" s="169">
        <v>2902.6</v>
      </c>
      <c r="V35" s="170">
        <v>11894.85</v>
      </c>
      <c r="W35" s="171">
        <v>0.76041666666666663</v>
      </c>
      <c r="X35" s="170">
        <v>4012</v>
      </c>
      <c r="Y35" s="171">
        <v>0.76041666666666663</v>
      </c>
      <c r="Z35" s="170">
        <v>148.18</v>
      </c>
      <c r="AA35" s="171">
        <v>0.96875</v>
      </c>
      <c r="AB35" s="57">
        <f t="shared" si="27"/>
        <v>45686</v>
      </c>
      <c r="AC35" s="78">
        <f t="shared" si="82"/>
        <v>1</v>
      </c>
      <c r="AD35" s="205">
        <f t="shared" si="83"/>
        <v>0</v>
      </c>
      <c r="AE35" s="206">
        <v>5949</v>
      </c>
      <c r="AF35" s="124">
        <f t="shared" si="84"/>
        <v>5949</v>
      </c>
      <c r="AG35" s="184">
        <v>0</v>
      </c>
      <c r="AH35" s="185">
        <v>3241.81</v>
      </c>
      <c r="AI35" s="186">
        <v>0.7270833333333333</v>
      </c>
      <c r="AJ35" s="185">
        <v>0</v>
      </c>
      <c r="AK35" s="208">
        <v>0</v>
      </c>
      <c r="AL35" s="57">
        <f t="shared" si="28"/>
        <v>45686</v>
      </c>
      <c r="AM35" s="79">
        <f t="shared" si="85"/>
        <v>0.5648754767781019</v>
      </c>
      <c r="AN35" s="78">
        <f t="shared" si="86"/>
        <v>0.4351245232218981</v>
      </c>
      <c r="AO35" s="189">
        <v>8914</v>
      </c>
      <c r="AP35" s="123">
        <f t="shared" si="87"/>
        <v>5035.3</v>
      </c>
      <c r="AQ35" s="191">
        <v>3878.7</v>
      </c>
      <c r="AR35" s="192">
        <v>3093</v>
      </c>
      <c r="AS35" s="193">
        <v>0.73958333333333337</v>
      </c>
      <c r="AT35" s="192">
        <v>181</v>
      </c>
      <c r="AU35" s="194">
        <v>0.70833333333333337</v>
      </c>
      <c r="AV35" s="57">
        <f t="shared" si="29"/>
        <v>45686</v>
      </c>
      <c r="AW35" s="115">
        <f t="shared" si="88"/>
        <v>1</v>
      </c>
      <c r="AX35" s="115">
        <f t="shared" si="89"/>
        <v>0</v>
      </c>
      <c r="AY35" s="116">
        <f t="shared" si="90"/>
        <v>4390.25</v>
      </c>
      <c r="AZ35" s="117">
        <v>4390.25</v>
      </c>
      <c r="BA35" s="126">
        <f t="shared" si="91"/>
        <v>4390.25</v>
      </c>
      <c r="BB35" s="118">
        <v>0</v>
      </c>
      <c r="BC35" s="117">
        <v>3802.19</v>
      </c>
      <c r="BD35" s="119">
        <v>0.75</v>
      </c>
      <c r="BE35" s="120">
        <v>0</v>
      </c>
      <c r="BF35" s="119">
        <v>0</v>
      </c>
      <c r="BG35" s="120">
        <v>0</v>
      </c>
      <c r="BH35" s="121">
        <v>0</v>
      </c>
      <c r="BI35" s="57">
        <f t="shared" si="30"/>
        <v>45686</v>
      </c>
      <c r="BJ35" s="80">
        <f t="shared" si="92"/>
        <v>0.60571757192366482</v>
      </c>
      <c r="BK35" s="78">
        <f t="shared" si="93"/>
        <v>0.39428242807633518</v>
      </c>
      <c r="BL35" s="81">
        <f t="shared" si="94"/>
        <v>33038.5</v>
      </c>
      <c r="BM35" s="198">
        <v>20012</v>
      </c>
      <c r="BN35" s="198">
        <v>13026.5</v>
      </c>
      <c r="BO35" s="199">
        <v>3873.98</v>
      </c>
      <c r="BP35" s="200">
        <v>0.82638888888888884</v>
      </c>
      <c r="BQ35" s="201">
        <v>2575</v>
      </c>
      <c r="BR35" s="200">
        <v>0.82638888888888884</v>
      </c>
    </row>
    <row r="36" spans="1:70" ht="15.75" thickBot="1" x14ac:dyDescent="0.3">
      <c r="A36" s="14"/>
      <c r="B36" s="57">
        <f t="shared" si="25"/>
        <v>45687</v>
      </c>
      <c r="C36" s="207"/>
      <c r="D36" s="89">
        <f t="shared" si="69"/>
        <v>49497</v>
      </c>
      <c r="E36" s="202">
        <f t="shared" si="70"/>
        <v>0.86535305170010302</v>
      </c>
      <c r="F36" s="89">
        <f t="shared" si="71"/>
        <v>42832.38</v>
      </c>
      <c r="G36" s="202">
        <f t="shared" si="72"/>
        <v>0.13464694829989696</v>
      </c>
      <c r="H36" s="177">
        <f>U36+AG36+AQ36+BB36</f>
        <v>6664.62</v>
      </c>
      <c r="I36" s="203">
        <f t="shared" si="74"/>
        <v>0.12495687482778875</v>
      </c>
      <c r="J36" s="202">
        <f t="shared" si="75"/>
        <v>0.16629722447549372</v>
      </c>
      <c r="K36" s="202">
        <f t="shared" si="76"/>
        <v>0.10500896045958896</v>
      </c>
      <c r="L36" s="204">
        <f t="shared" si="77"/>
        <v>0.62903668977738536</v>
      </c>
      <c r="M36" s="177">
        <f>(S36+T36)*I36</f>
        <v>5632.9309603618894</v>
      </c>
      <c r="N36" s="177">
        <f>(S36+T36)*J36</f>
        <v>7496.5125821307811</v>
      </c>
      <c r="O36" s="177">
        <f>(S36+T36)*K36</f>
        <v>4733.6989285578111</v>
      </c>
      <c r="P36" s="177">
        <f>(S36+T36)*L36</f>
        <v>28356.344938474755</v>
      </c>
      <c r="Q36" s="57">
        <f t="shared" si="26"/>
        <v>45687</v>
      </c>
      <c r="R36" s="168">
        <v>49497</v>
      </c>
      <c r="S36" s="169">
        <v>0</v>
      </c>
      <c r="T36" s="169">
        <v>45079</v>
      </c>
      <c r="U36" s="169">
        <v>2789.62</v>
      </c>
      <c r="V36" s="170">
        <v>13744.26</v>
      </c>
      <c r="W36" s="171">
        <v>0.36458333333333331</v>
      </c>
      <c r="X36" s="170">
        <v>4122.75</v>
      </c>
      <c r="Y36" s="171">
        <v>0.76041666666666663</v>
      </c>
      <c r="Z36" s="170">
        <v>146.52000000000001</v>
      </c>
      <c r="AA36" s="171">
        <v>0.17708333333333334</v>
      </c>
      <c r="AB36" s="57">
        <f t="shared" si="27"/>
        <v>45687</v>
      </c>
      <c r="AC36" s="78">
        <f t="shared" si="82"/>
        <v>1</v>
      </c>
      <c r="AD36" s="205">
        <f t="shared" si="83"/>
        <v>0</v>
      </c>
      <c r="AE36" s="206">
        <v>6476</v>
      </c>
      <c r="AF36" s="124">
        <f t="shared" si="84"/>
        <v>6476</v>
      </c>
      <c r="AG36" s="184">
        <v>0</v>
      </c>
      <c r="AH36" s="185">
        <v>3281.78</v>
      </c>
      <c r="AI36" s="186">
        <v>0.36944444444444446</v>
      </c>
      <c r="AJ36" s="185">
        <v>0</v>
      </c>
      <c r="AK36" s="208">
        <v>0</v>
      </c>
      <c r="AL36" s="57">
        <f t="shared" si="28"/>
        <v>45687</v>
      </c>
      <c r="AM36" s="79">
        <f t="shared" si="85"/>
        <v>0.55038579799269016</v>
      </c>
      <c r="AN36" s="78">
        <f t="shared" si="86"/>
        <v>0.44961420200730984</v>
      </c>
      <c r="AO36" s="189">
        <v>8618.5</v>
      </c>
      <c r="AP36" s="123">
        <f t="shared" si="87"/>
        <v>4743.5</v>
      </c>
      <c r="AQ36" s="191">
        <v>3875</v>
      </c>
      <c r="AR36" s="192">
        <v>3886.26</v>
      </c>
      <c r="AS36" s="193">
        <v>0.34305555555555556</v>
      </c>
      <c r="AT36" s="192">
        <v>180.98</v>
      </c>
      <c r="AU36" s="194">
        <v>0.75</v>
      </c>
      <c r="AV36" s="57">
        <f t="shared" si="29"/>
        <v>45687</v>
      </c>
      <c r="AW36" s="115">
        <f t="shared" si="88"/>
        <v>1</v>
      </c>
      <c r="AX36" s="115">
        <f t="shared" si="89"/>
        <v>0</v>
      </c>
      <c r="AY36" s="116">
        <f t="shared" si="90"/>
        <v>4131</v>
      </c>
      <c r="AZ36" s="117">
        <v>4131</v>
      </c>
      <c r="BA36" s="126">
        <f t="shared" si="91"/>
        <v>4131</v>
      </c>
      <c r="BB36" s="118">
        <v>0</v>
      </c>
      <c r="BC36" s="117">
        <v>3718.18</v>
      </c>
      <c r="BD36" s="119">
        <v>0.35416666666666669</v>
      </c>
      <c r="BE36" s="120">
        <v>0</v>
      </c>
      <c r="BF36" s="119">
        <v>0</v>
      </c>
      <c r="BG36" s="120">
        <v>0</v>
      </c>
      <c r="BH36" s="121">
        <v>0</v>
      </c>
      <c r="BI36" s="57">
        <f t="shared" si="30"/>
        <v>45687</v>
      </c>
      <c r="BJ36" s="80">
        <f t="shared" si="92"/>
        <v>0.60913400395946304</v>
      </c>
      <c r="BK36" s="78">
        <f t="shared" si="93"/>
        <v>0.39086599604053696</v>
      </c>
      <c r="BL36" s="81">
        <f t="shared" si="94"/>
        <v>32600.379999999997</v>
      </c>
      <c r="BM36" s="198">
        <v>19858</v>
      </c>
      <c r="BN36" s="198">
        <v>12742.38</v>
      </c>
      <c r="BO36" s="199">
        <v>3793.68</v>
      </c>
      <c r="BP36" s="200">
        <v>0.36736111111111114</v>
      </c>
      <c r="BQ36" s="201">
        <v>2500.9499999999998</v>
      </c>
      <c r="BR36" s="200">
        <v>0.36736111111111114</v>
      </c>
    </row>
    <row r="37" spans="1:70" ht="15.75" thickBot="1" x14ac:dyDescent="0.3">
      <c r="A37" s="14"/>
      <c r="B37" s="57">
        <f t="shared" si="25"/>
        <v>45688</v>
      </c>
      <c r="C37" s="207"/>
      <c r="D37" s="89">
        <f t="shared" si="69"/>
        <v>50019</v>
      </c>
      <c r="E37" s="202">
        <f t="shared" si="70"/>
        <v>0.86755033087426781</v>
      </c>
      <c r="F37" s="89">
        <f t="shared" si="71"/>
        <v>43394</v>
      </c>
      <c r="G37" s="202">
        <f t="shared" si="72"/>
        <v>0.13244966912573222</v>
      </c>
      <c r="H37" s="177">
        <f t="shared" si="73"/>
        <v>6625</v>
      </c>
      <c r="I37" s="203">
        <f t="shared" si="74"/>
        <v>0.12267745149756755</v>
      </c>
      <c r="J37" s="202">
        <f t="shared" si="75"/>
        <v>0.17394447375105015</v>
      </c>
      <c r="K37" s="202">
        <f t="shared" si="76"/>
        <v>0.11578169211552677</v>
      </c>
      <c r="L37" s="204">
        <f t="shared" si="77"/>
        <v>0.614637672664752</v>
      </c>
      <c r="M37" s="177">
        <f t="shared" si="78"/>
        <v>5602.8018873454075</v>
      </c>
      <c r="N37" s="177">
        <f t="shared" si="79"/>
        <v>7944.2180606842112</v>
      </c>
      <c r="O37" s="177">
        <f t="shared" si="80"/>
        <v>5287.8656606082232</v>
      </c>
      <c r="P37" s="177">
        <f t="shared" si="81"/>
        <v>28071.117148271889</v>
      </c>
      <c r="Q37" s="57">
        <f t="shared" si="26"/>
        <v>45688</v>
      </c>
      <c r="R37" s="168">
        <v>50019</v>
      </c>
      <c r="S37" s="169">
        <v>0</v>
      </c>
      <c r="T37" s="169">
        <v>45671</v>
      </c>
      <c r="U37" s="169">
        <v>2863</v>
      </c>
      <c r="V37" s="170">
        <v>12390</v>
      </c>
      <c r="W37" s="171">
        <v>0.35416666666666669</v>
      </c>
      <c r="X37" s="170">
        <v>4143</v>
      </c>
      <c r="Y37" s="171">
        <v>0.73958333333333337</v>
      </c>
      <c r="Z37" s="170">
        <v>152</v>
      </c>
      <c r="AA37" s="171">
        <v>0.21875</v>
      </c>
      <c r="AB37" s="57">
        <f t="shared" si="27"/>
        <v>45688</v>
      </c>
      <c r="AC37" s="78">
        <f t="shared" si="82"/>
        <v>1</v>
      </c>
      <c r="AD37" s="205">
        <f t="shared" si="83"/>
        <v>0</v>
      </c>
      <c r="AE37" s="206">
        <v>6279</v>
      </c>
      <c r="AF37" s="124">
        <f t="shared" si="84"/>
        <v>6279</v>
      </c>
      <c r="AG37" s="184">
        <v>0</v>
      </c>
      <c r="AH37" s="185">
        <v>3426</v>
      </c>
      <c r="AI37" s="186">
        <v>0.77500000000000002</v>
      </c>
      <c r="AJ37" s="185">
        <v>0</v>
      </c>
      <c r="AK37" s="208">
        <v>0</v>
      </c>
      <c r="AL37" s="57">
        <f t="shared" si="28"/>
        <v>45688</v>
      </c>
      <c r="AM37" s="79">
        <f t="shared" si="85"/>
        <v>0.57744580478490393</v>
      </c>
      <c r="AN37" s="78">
        <f t="shared" si="86"/>
        <v>0.42255419521509602</v>
      </c>
      <c r="AO37" s="189">
        <v>8903</v>
      </c>
      <c r="AP37" s="123">
        <f t="shared" si="87"/>
        <v>5141</v>
      </c>
      <c r="AQ37" s="191">
        <v>3762</v>
      </c>
      <c r="AR37" s="192">
        <v>3517</v>
      </c>
      <c r="AS37" s="193">
        <v>0.77986111111111112</v>
      </c>
      <c r="AT37" s="192">
        <v>185</v>
      </c>
      <c r="AU37" s="194">
        <v>0.9375</v>
      </c>
      <c r="AV37" s="57">
        <f t="shared" si="29"/>
        <v>45688</v>
      </c>
      <c r="AW37" s="115">
        <f t="shared" si="88"/>
        <v>1</v>
      </c>
      <c r="AX37" s="115">
        <f t="shared" si="89"/>
        <v>0</v>
      </c>
      <c r="AY37" s="116">
        <f t="shared" si="90"/>
        <v>4542</v>
      </c>
      <c r="AZ37" s="117">
        <v>4542</v>
      </c>
      <c r="BA37" s="126">
        <f t="shared" si="91"/>
        <v>4542</v>
      </c>
      <c r="BB37" s="118">
        <v>0</v>
      </c>
      <c r="BC37" s="117">
        <v>3834</v>
      </c>
      <c r="BD37" s="119">
        <v>0.82291666666666663</v>
      </c>
      <c r="BE37" s="120">
        <v>0</v>
      </c>
      <c r="BF37" s="119">
        <v>0</v>
      </c>
      <c r="BG37" s="120">
        <v>0</v>
      </c>
      <c r="BH37" s="121">
        <v>0</v>
      </c>
      <c r="BI37" s="57">
        <f t="shared" si="30"/>
        <v>45688</v>
      </c>
      <c r="BJ37" s="80">
        <f t="shared" si="92"/>
        <v>0.59521917416319658</v>
      </c>
      <c r="BK37" s="78">
        <f t="shared" si="93"/>
        <v>0.40478082583680347</v>
      </c>
      <c r="BL37" s="81">
        <f t="shared" si="94"/>
        <v>31459</v>
      </c>
      <c r="BM37" s="198">
        <v>18725</v>
      </c>
      <c r="BN37" s="198">
        <v>12734</v>
      </c>
      <c r="BO37" s="199">
        <v>3802</v>
      </c>
      <c r="BP37" s="200">
        <v>0.82499999999999996</v>
      </c>
      <c r="BQ37" s="201">
        <v>2531</v>
      </c>
      <c r="BR37" s="200">
        <v>0.82499999999999996</v>
      </c>
    </row>
    <row r="38" spans="1:70" x14ac:dyDescent="0.25">
      <c r="A38" s="14"/>
      <c r="AL38" s="59"/>
    </row>
    <row r="40" spans="1:70" x14ac:dyDescent="0.25">
      <c r="R40" s="220">
        <f>R37-S41</f>
        <v>45601</v>
      </c>
    </row>
    <row r="41" spans="1:70" x14ac:dyDescent="0.25">
      <c r="S41" s="221">
        <f>R36-T36</f>
        <v>4418</v>
      </c>
      <c r="T41" s="221"/>
      <c r="U41" s="220"/>
    </row>
    <row r="43" spans="1:70" x14ac:dyDescent="0.25">
      <c r="S43" s="221"/>
      <c r="T43" s="220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"/>
  <sheetViews>
    <sheetView tabSelected="1" topLeftCell="A25" zoomScale="120" zoomScaleNormal="120" workbookViewId="0">
      <selection activeCell="G46" sqref="G46:H46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63" t="s">
        <v>0</v>
      </c>
      <c r="D2" s="266" t="s">
        <v>38</v>
      </c>
      <c r="E2" s="267"/>
      <c r="F2" s="267"/>
      <c r="G2" s="267"/>
      <c r="H2" s="268"/>
      <c r="J2" s="266" t="s">
        <v>39</v>
      </c>
      <c r="K2" s="267"/>
      <c r="L2" s="268"/>
      <c r="N2" s="266" t="s">
        <v>40</v>
      </c>
      <c r="O2" s="267"/>
      <c r="P2" s="267"/>
      <c r="Q2" s="267"/>
      <c r="R2" s="267"/>
      <c r="S2" s="267"/>
      <c r="T2" s="268"/>
      <c r="V2" s="272" t="s">
        <v>41</v>
      </c>
      <c r="W2" s="273"/>
      <c r="X2" s="274"/>
    </row>
    <row r="3" spans="2:27" ht="15.75" thickBot="1" x14ac:dyDescent="0.3">
      <c r="B3" s="264"/>
      <c r="D3" s="269"/>
      <c r="E3" s="270"/>
      <c r="F3" s="270"/>
      <c r="G3" s="270"/>
      <c r="H3" s="271"/>
      <c r="J3" s="269"/>
      <c r="K3" s="270"/>
      <c r="L3" s="271"/>
      <c r="N3" s="269"/>
      <c r="O3" s="270"/>
      <c r="P3" s="270"/>
      <c r="Q3" s="270"/>
      <c r="R3" s="270"/>
      <c r="S3" s="270"/>
      <c r="T3" s="271"/>
      <c r="V3" s="275"/>
      <c r="W3" s="276"/>
      <c r="X3" s="277"/>
    </row>
    <row r="4" spans="2:27" ht="23.25" customHeight="1" x14ac:dyDescent="0.25">
      <c r="B4" s="264"/>
      <c r="D4" s="278" t="s">
        <v>42</v>
      </c>
      <c r="E4" s="279"/>
      <c r="F4" s="278" t="s">
        <v>43</v>
      </c>
      <c r="G4" s="280"/>
      <c r="H4" s="281"/>
      <c r="J4" s="278" t="s">
        <v>42</v>
      </c>
      <c r="K4" s="279"/>
      <c r="L4" s="16" t="s">
        <v>43</v>
      </c>
      <c r="N4" s="261" t="s">
        <v>42</v>
      </c>
      <c r="O4" s="282"/>
      <c r="P4" s="283"/>
      <c r="Q4" s="284"/>
      <c r="R4" s="278" t="s">
        <v>43</v>
      </c>
      <c r="S4" s="285"/>
      <c r="T4" s="281"/>
      <c r="V4" s="261" t="s">
        <v>42</v>
      </c>
      <c r="W4" s="262"/>
      <c r="X4" s="16" t="s">
        <v>43</v>
      </c>
    </row>
    <row r="5" spans="2:27" ht="23.25" thickBot="1" x14ac:dyDescent="0.3">
      <c r="B5" s="265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3">
      <c r="B14" s="56">
        <v>45658</v>
      </c>
      <c r="C14" s="13"/>
      <c r="D14" s="25">
        <v>80</v>
      </c>
      <c r="E14" s="11">
        <v>0.73472222222222228</v>
      </c>
      <c r="F14" s="10">
        <v>745</v>
      </c>
      <c r="G14" s="95">
        <f t="shared" ref="G14:G25" si="0">F14-H14</f>
        <v>274</v>
      </c>
      <c r="H14" s="10">
        <v>471</v>
      </c>
      <c r="I14" s="92">
        <f>B14</f>
        <v>45658</v>
      </c>
      <c r="J14" s="25">
        <v>31</v>
      </c>
      <c r="K14" s="55">
        <v>0.89930555555555558</v>
      </c>
      <c r="L14" s="54">
        <v>567</v>
      </c>
      <c r="M14" s="92">
        <f>B14</f>
        <v>45658</v>
      </c>
      <c r="N14" s="50">
        <v>2</v>
      </c>
      <c r="O14" s="11">
        <v>0.47013888888888888</v>
      </c>
      <c r="P14" s="52">
        <v>31</v>
      </c>
      <c r="Q14" s="11">
        <v>0.3611111111111111</v>
      </c>
      <c r="R14" s="94">
        <f t="shared" ref="R14:R25" si="1">S14+T14</f>
        <v>483</v>
      </c>
      <c r="S14" s="10">
        <v>43</v>
      </c>
      <c r="T14" s="10">
        <v>440</v>
      </c>
      <c r="U14" s="92">
        <f>B14</f>
        <v>45658</v>
      </c>
      <c r="V14" s="25">
        <v>29</v>
      </c>
      <c r="W14" s="11">
        <v>0.99861111111111112</v>
      </c>
      <c r="X14" s="10">
        <v>486</v>
      </c>
    </row>
    <row r="15" spans="2:27" s="53" customFormat="1" ht="15.75" thickBot="1" x14ac:dyDescent="0.3">
      <c r="B15" s="56">
        <f t="shared" ref="B15:B16" si="2">B14+1</f>
        <v>45659</v>
      </c>
      <c r="C15" s="13"/>
      <c r="D15" s="25">
        <v>121</v>
      </c>
      <c r="E15" s="11">
        <v>0.6694444444444444</v>
      </c>
      <c r="F15" s="10">
        <v>1138</v>
      </c>
      <c r="G15" s="95">
        <f t="shared" si="0"/>
        <v>630</v>
      </c>
      <c r="H15" s="10">
        <v>508</v>
      </c>
      <c r="I15" s="92">
        <f t="shared" ref="I15:I44" si="3">I14+1</f>
        <v>45659</v>
      </c>
      <c r="J15" s="25">
        <v>35</v>
      </c>
      <c r="K15" s="55">
        <v>0.63124999999999998</v>
      </c>
      <c r="L15" s="54">
        <v>602</v>
      </c>
      <c r="M15" s="92">
        <f t="shared" ref="M15:M40" si="4">B15</f>
        <v>45659</v>
      </c>
      <c r="N15" s="50">
        <v>5</v>
      </c>
      <c r="O15" s="11">
        <v>9.2361111111111116E-2</v>
      </c>
      <c r="P15" s="52">
        <v>60</v>
      </c>
      <c r="Q15" s="11">
        <v>0.10277777777777777</v>
      </c>
      <c r="R15" s="94">
        <f t="shared" si="1"/>
        <v>541</v>
      </c>
      <c r="S15" s="10">
        <v>45</v>
      </c>
      <c r="T15" s="10">
        <v>496</v>
      </c>
      <c r="U15" s="92">
        <f t="shared" ref="U15:U44" si="5">U14+1</f>
        <v>45659</v>
      </c>
      <c r="V15" s="25">
        <v>33</v>
      </c>
      <c r="W15" s="11">
        <v>0.49305555555555558</v>
      </c>
      <c r="X15" s="10">
        <v>598</v>
      </c>
    </row>
    <row r="16" spans="2:27" s="53" customFormat="1" ht="15.75" thickBot="1" x14ac:dyDescent="0.3">
      <c r="B16" s="56">
        <f t="shared" si="2"/>
        <v>45660</v>
      </c>
      <c r="C16" s="13"/>
      <c r="D16" s="50">
        <v>112</v>
      </c>
      <c r="E16" s="11">
        <v>0.61111111111111116</v>
      </c>
      <c r="F16" s="10">
        <v>1169</v>
      </c>
      <c r="G16" s="95">
        <f t="shared" si="0"/>
        <v>665</v>
      </c>
      <c r="H16" s="10">
        <v>504</v>
      </c>
      <c r="I16" s="92">
        <f t="shared" si="3"/>
        <v>45660</v>
      </c>
      <c r="J16" s="50">
        <v>32</v>
      </c>
      <c r="K16" s="55">
        <v>0.6</v>
      </c>
      <c r="L16" s="54">
        <v>575</v>
      </c>
      <c r="M16" s="92">
        <f t="shared" si="4"/>
        <v>45660</v>
      </c>
      <c r="N16" s="50">
        <v>2</v>
      </c>
      <c r="O16" s="11">
        <v>0.53333333333333333</v>
      </c>
      <c r="P16" s="50">
        <v>39</v>
      </c>
      <c r="Q16" s="11">
        <v>0.33680555555555558</v>
      </c>
      <c r="R16" s="94">
        <f t="shared" si="1"/>
        <v>527</v>
      </c>
      <c r="S16" s="10">
        <v>44</v>
      </c>
      <c r="T16" s="10">
        <v>483</v>
      </c>
      <c r="U16" s="92">
        <f t="shared" si="5"/>
        <v>45660</v>
      </c>
      <c r="V16" s="50">
        <v>33</v>
      </c>
      <c r="W16" s="11">
        <v>0.4777777777777778</v>
      </c>
      <c r="X16" s="10">
        <v>609</v>
      </c>
    </row>
    <row r="17" spans="1:24" ht="15.75" thickBot="1" x14ac:dyDescent="0.3">
      <c r="A17">
        <v>0</v>
      </c>
      <c r="B17" s="56">
        <f t="shared" ref="B17:B44" si="6">B16+1</f>
        <v>45661</v>
      </c>
      <c r="D17" s="50">
        <v>97</v>
      </c>
      <c r="E17" s="55">
        <v>0.63402777777777775</v>
      </c>
      <c r="F17" s="54">
        <v>932</v>
      </c>
      <c r="G17" s="95">
        <f t="shared" si="0"/>
        <v>443</v>
      </c>
      <c r="H17" s="54">
        <v>489</v>
      </c>
      <c r="I17" s="92">
        <f t="shared" si="3"/>
        <v>45661</v>
      </c>
      <c r="J17" s="50">
        <v>30</v>
      </c>
      <c r="K17" s="55">
        <v>8.9583333333333334E-2</v>
      </c>
      <c r="L17" s="54">
        <v>554</v>
      </c>
      <c r="M17" s="92">
        <f t="shared" si="4"/>
        <v>45661</v>
      </c>
      <c r="N17" s="50">
        <v>2</v>
      </c>
      <c r="O17" s="55">
        <v>0.83819444444444446</v>
      </c>
      <c r="P17" s="50">
        <v>38</v>
      </c>
      <c r="Q17" s="55">
        <v>0.64722222222222225</v>
      </c>
      <c r="R17" s="94">
        <f t="shared" si="1"/>
        <v>490</v>
      </c>
      <c r="S17" s="54">
        <v>42</v>
      </c>
      <c r="T17" s="54">
        <v>448</v>
      </c>
      <c r="U17" s="92">
        <f t="shared" si="5"/>
        <v>45661</v>
      </c>
      <c r="V17" s="50">
        <v>32</v>
      </c>
      <c r="W17" s="55">
        <v>0.36527777777777776</v>
      </c>
      <c r="X17" s="54">
        <v>571</v>
      </c>
    </row>
    <row r="18" spans="1:24" ht="15.75" thickBot="1" x14ac:dyDescent="0.3">
      <c r="B18" s="56">
        <f t="shared" si="6"/>
        <v>45662</v>
      </c>
      <c r="D18" s="50">
        <v>98</v>
      </c>
      <c r="E18" s="55">
        <v>0.59444444444444444</v>
      </c>
      <c r="F18" s="54">
        <v>1241</v>
      </c>
      <c r="G18" s="95">
        <f t="shared" si="0"/>
        <v>792</v>
      </c>
      <c r="H18" s="54">
        <v>449</v>
      </c>
      <c r="I18" s="92">
        <f t="shared" si="3"/>
        <v>45662</v>
      </c>
      <c r="J18" s="50">
        <v>31</v>
      </c>
      <c r="K18" s="55">
        <v>0.75416666666666665</v>
      </c>
      <c r="L18" s="54">
        <v>330</v>
      </c>
      <c r="M18" s="92">
        <f t="shared" si="4"/>
        <v>45662</v>
      </c>
      <c r="N18" s="50">
        <v>4</v>
      </c>
      <c r="O18" s="55">
        <v>0.3576388888888889</v>
      </c>
      <c r="P18" s="50">
        <v>32</v>
      </c>
      <c r="Q18" s="55">
        <v>0.70972222222222225</v>
      </c>
      <c r="R18" s="51">
        <f t="shared" si="1"/>
        <v>460</v>
      </c>
      <c r="S18" s="54">
        <v>74</v>
      </c>
      <c r="T18" s="54">
        <v>386</v>
      </c>
      <c r="U18" s="92">
        <f t="shared" si="5"/>
        <v>45662</v>
      </c>
      <c r="V18" s="50">
        <v>34</v>
      </c>
      <c r="W18" s="55">
        <v>0.58194444444444449</v>
      </c>
      <c r="X18" s="54">
        <v>579</v>
      </c>
    </row>
    <row r="19" spans="1:24" ht="15.75" thickBot="1" x14ac:dyDescent="0.3">
      <c r="B19" s="92">
        <f t="shared" si="6"/>
        <v>45663</v>
      </c>
      <c r="D19" s="93">
        <v>100</v>
      </c>
      <c r="E19" s="91">
        <v>0.5541666666666667</v>
      </c>
      <c r="F19" s="90">
        <v>1250</v>
      </c>
      <c r="G19" s="95">
        <f t="shared" si="0"/>
        <v>770</v>
      </c>
      <c r="H19" s="90">
        <v>480</v>
      </c>
      <c r="I19" s="92">
        <f t="shared" si="3"/>
        <v>45663</v>
      </c>
      <c r="J19" s="93">
        <v>33</v>
      </c>
      <c r="K19" s="91">
        <v>0.75416666666666665</v>
      </c>
      <c r="L19" s="90">
        <v>330</v>
      </c>
      <c r="M19" s="92">
        <f t="shared" si="4"/>
        <v>45663</v>
      </c>
      <c r="N19" s="93">
        <v>4</v>
      </c>
      <c r="O19" s="91">
        <v>0.37152777777777779</v>
      </c>
      <c r="P19" s="93">
        <v>33</v>
      </c>
      <c r="Q19" s="91">
        <v>0.75</v>
      </c>
      <c r="R19" s="94">
        <f t="shared" si="1"/>
        <v>461</v>
      </c>
      <c r="S19" s="90">
        <v>75</v>
      </c>
      <c r="T19" s="90">
        <v>386</v>
      </c>
      <c r="U19" s="92">
        <f t="shared" si="5"/>
        <v>45663</v>
      </c>
      <c r="V19" s="93">
        <v>33</v>
      </c>
      <c r="W19" s="91">
        <v>0.5</v>
      </c>
      <c r="X19" s="90">
        <v>579</v>
      </c>
    </row>
    <row r="20" spans="1:24" ht="15.75" thickBot="1" x14ac:dyDescent="0.3">
      <c r="B20" s="92">
        <f t="shared" si="6"/>
        <v>45664</v>
      </c>
      <c r="D20" s="215">
        <v>133</v>
      </c>
      <c r="E20" s="216">
        <v>0.5180555555555556</v>
      </c>
      <c r="F20" s="217">
        <v>1288</v>
      </c>
      <c r="G20" s="218">
        <f t="shared" si="0"/>
        <v>787</v>
      </c>
      <c r="H20" s="217">
        <v>501</v>
      </c>
      <c r="I20" s="92">
        <f t="shared" si="3"/>
        <v>45664</v>
      </c>
      <c r="J20" s="215">
        <v>41</v>
      </c>
      <c r="K20" s="216">
        <v>0.64166666666666672</v>
      </c>
      <c r="L20" s="217">
        <v>748</v>
      </c>
      <c r="M20" s="219">
        <f t="shared" ref="M20" si="7">M19+1</f>
        <v>45664</v>
      </c>
      <c r="N20" s="215">
        <v>2</v>
      </c>
      <c r="O20" s="216">
        <v>0.41666666666666669</v>
      </c>
      <c r="P20" s="215">
        <v>33</v>
      </c>
      <c r="Q20" s="216">
        <v>0.48819444444444443</v>
      </c>
      <c r="R20" s="94">
        <f t="shared" si="1"/>
        <v>514</v>
      </c>
      <c r="S20" s="217">
        <v>42</v>
      </c>
      <c r="T20" s="217">
        <v>472</v>
      </c>
      <c r="U20" s="219">
        <f t="shared" si="5"/>
        <v>45664</v>
      </c>
      <c r="V20" s="215">
        <v>33</v>
      </c>
      <c r="W20" s="216">
        <v>0.86319444444444438</v>
      </c>
      <c r="X20" s="217">
        <v>566</v>
      </c>
    </row>
    <row r="21" spans="1:24" ht="15.75" thickBot="1" x14ac:dyDescent="0.3">
      <c r="B21" s="92">
        <f t="shared" si="6"/>
        <v>45665</v>
      </c>
      <c r="D21" s="93">
        <v>125</v>
      </c>
      <c r="E21" s="91">
        <v>0.61875000000000002</v>
      </c>
      <c r="F21" s="90">
        <v>1178</v>
      </c>
      <c r="G21" s="95">
        <f t="shared" si="0"/>
        <v>632</v>
      </c>
      <c r="H21" s="90">
        <v>546</v>
      </c>
      <c r="I21" s="92">
        <f t="shared" si="3"/>
        <v>45665</v>
      </c>
      <c r="J21" s="93">
        <v>35</v>
      </c>
      <c r="K21" s="91">
        <v>0.67638888888888893</v>
      </c>
      <c r="L21" s="90">
        <v>621</v>
      </c>
      <c r="M21" s="92">
        <f t="shared" si="4"/>
        <v>45665</v>
      </c>
      <c r="N21" s="93">
        <v>4</v>
      </c>
      <c r="O21" s="91">
        <v>0.32847222222222222</v>
      </c>
      <c r="P21" s="93">
        <v>35</v>
      </c>
      <c r="Q21" s="91">
        <v>0.66041666666666665</v>
      </c>
      <c r="R21" s="94">
        <f t="shared" si="1"/>
        <v>533</v>
      </c>
      <c r="S21" s="90">
        <v>43</v>
      </c>
      <c r="T21" s="90">
        <v>490</v>
      </c>
      <c r="U21" s="92">
        <f t="shared" si="5"/>
        <v>45665</v>
      </c>
      <c r="V21" s="93">
        <v>36</v>
      </c>
      <c r="W21" s="91">
        <v>0.62638888888888888</v>
      </c>
      <c r="X21" s="90">
        <v>621</v>
      </c>
    </row>
    <row r="22" spans="1:24" ht="15.75" thickBot="1" x14ac:dyDescent="0.3">
      <c r="B22" s="92">
        <f t="shared" si="6"/>
        <v>45666</v>
      </c>
      <c r="D22" s="93">
        <v>127</v>
      </c>
      <c r="E22" s="91">
        <v>0.53125</v>
      </c>
      <c r="F22" s="90">
        <v>1410</v>
      </c>
      <c r="G22" s="95">
        <f t="shared" si="0"/>
        <v>819</v>
      </c>
      <c r="H22" s="90">
        <v>591</v>
      </c>
      <c r="I22" s="92">
        <f t="shared" si="3"/>
        <v>45666</v>
      </c>
      <c r="J22" s="93">
        <v>33</v>
      </c>
      <c r="K22" s="91">
        <v>0.625</v>
      </c>
      <c r="L22" s="90">
        <v>634</v>
      </c>
      <c r="M22" s="92">
        <f t="shared" si="4"/>
        <v>45666</v>
      </c>
      <c r="N22" s="93">
        <v>2</v>
      </c>
      <c r="O22" s="91">
        <v>0.73958333333333337</v>
      </c>
      <c r="P22" s="93">
        <v>33</v>
      </c>
      <c r="Q22" s="91">
        <v>0.3125</v>
      </c>
      <c r="R22" s="94">
        <f t="shared" si="1"/>
        <v>541</v>
      </c>
      <c r="S22" s="90">
        <v>43</v>
      </c>
      <c r="T22" s="90">
        <v>498</v>
      </c>
      <c r="U22" s="92">
        <f t="shared" si="5"/>
        <v>45666</v>
      </c>
      <c r="V22" s="93">
        <v>34</v>
      </c>
      <c r="W22" s="91">
        <v>0.8125</v>
      </c>
      <c r="X22" s="90">
        <v>551</v>
      </c>
    </row>
    <row r="23" spans="1:24" ht="15.75" thickBot="1" x14ac:dyDescent="0.3">
      <c r="B23" s="92">
        <f t="shared" si="6"/>
        <v>45667</v>
      </c>
      <c r="D23" s="93">
        <v>130.52000000000001</v>
      </c>
      <c r="E23" s="91">
        <v>0.53125</v>
      </c>
      <c r="F23" s="90">
        <v>1343.35</v>
      </c>
      <c r="G23" s="95">
        <f t="shared" si="0"/>
        <v>746.83999999999992</v>
      </c>
      <c r="H23" s="90">
        <v>596.51</v>
      </c>
      <c r="I23" s="92">
        <f t="shared" si="3"/>
        <v>45667</v>
      </c>
      <c r="J23" s="93">
        <v>35.479999999999997</v>
      </c>
      <c r="K23" s="91">
        <v>0.60416666666666663</v>
      </c>
      <c r="L23" s="90">
        <v>622.07000000000005</v>
      </c>
      <c r="M23" s="92">
        <f t="shared" si="4"/>
        <v>45667</v>
      </c>
      <c r="N23" s="93">
        <v>2.1800000000000002</v>
      </c>
      <c r="O23" s="91">
        <v>0.39583333333333331</v>
      </c>
      <c r="P23" s="93">
        <v>35.770000000000003</v>
      </c>
      <c r="Q23" s="91">
        <v>0.55208333333333337</v>
      </c>
      <c r="R23" s="94">
        <f t="shared" si="1"/>
        <v>531.24</v>
      </c>
      <c r="S23" s="90">
        <v>43.73</v>
      </c>
      <c r="T23" s="90">
        <v>487.51</v>
      </c>
      <c r="U23" s="92">
        <f t="shared" si="5"/>
        <v>45667</v>
      </c>
      <c r="V23" s="93">
        <v>34.86</v>
      </c>
      <c r="W23" s="91">
        <v>0.70833333333333337</v>
      </c>
      <c r="X23" s="90">
        <v>643.51</v>
      </c>
    </row>
    <row r="24" spans="1:24" ht="15.75" thickBot="1" x14ac:dyDescent="0.3">
      <c r="B24" s="92">
        <f t="shared" si="6"/>
        <v>45668</v>
      </c>
      <c r="D24" s="93">
        <v>76.09</v>
      </c>
      <c r="E24" s="91">
        <v>0.64583333333333337</v>
      </c>
      <c r="F24" s="90">
        <v>1014.1</v>
      </c>
      <c r="G24" s="95">
        <f t="shared" si="0"/>
        <v>469.49</v>
      </c>
      <c r="H24" s="90">
        <v>544.61</v>
      </c>
      <c r="I24" s="92">
        <f t="shared" si="3"/>
        <v>45668</v>
      </c>
      <c r="J24" s="93">
        <v>29.6</v>
      </c>
      <c r="K24" s="91">
        <v>0.92708333333333337</v>
      </c>
      <c r="L24" s="90">
        <v>581.47</v>
      </c>
      <c r="M24" s="92">
        <f t="shared" si="4"/>
        <v>45668</v>
      </c>
      <c r="N24" s="93">
        <v>2.06</v>
      </c>
      <c r="O24" s="91">
        <v>0.51041666666666663</v>
      </c>
      <c r="P24" s="93">
        <v>29.4</v>
      </c>
      <c r="Q24" s="91">
        <v>0.5</v>
      </c>
      <c r="R24" s="94">
        <f t="shared" si="1"/>
        <v>495.58</v>
      </c>
      <c r="S24" s="90">
        <v>43.08</v>
      </c>
      <c r="T24" s="90">
        <v>452.5</v>
      </c>
      <c r="U24" s="92">
        <f t="shared" si="5"/>
        <v>45668</v>
      </c>
      <c r="V24" s="93">
        <v>28.34</v>
      </c>
      <c r="W24" s="91">
        <v>8.3333333333333329E-2</v>
      </c>
      <c r="X24" s="90">
        <v>511.88</v>
      </c>
    </row>
    <row r="25" spans="1:24" ht="15.75" thickBot="1" x14ac:dyDescent="0.3">
      <c r="B25" s="92">
        <f t="shared" si="6"/>
        <v>45669</v>
      </c>
      <c r="D25" s="93">
        <v>63</v>
      </c>
      <c r="E25" s="91">
        <v>0.88541666666666663</v>
      </c>
      <c r="F25" s="90">
        <v>815</v>
      </c>
      <c r="G25" s="95">
        <f t="shared" si="0"/>
        <v>310</v>
      </c>
      <c r="H25" s="90">
        <v>505</v>
      </c>
      <c r="I25" s="92">
        <f t="shared" si="3"/>
        <v>45669</v>
      </c>
      <c r="J25" s="93">
        <v>31</v>
      </c>
      <c r="K25" s="91">
        <v>0.6875</v>
      </c>
      <c r="L25" s="90">
        <v>568</v>
      </c>
      <c r="M25" s="92">
        <f t="shared" si="4"/>
        <v>45669</v>
      </c>
      <c r="N25" s="93">
        <v>2</v>
      </c>
      <c r="O25" s="91">
        <v>0.72916666666666663</v>
      </c>
      <c r="P25" s="93">
        <v>26</v>
      </c>
      <c r="Q25" s="91">
        <v>8.3333333333333329E-2</v>
      </c>
      <c r="R25" s="94">
        <f t="shared" si="1"/>
        <v>468</v>
      </c>
      <c r="S25" s="90">
        <v>38</v>
      </c>
      <c r="T25" s="90">
        <v>430</v>
      </c>
      <c r="U25" s="92">
        <f t="shared" si="5"/>
        <v>45669</v>
      </c>
      <c r="V25" s="93">
        <v>28</v>
      </c>
      <c r="W25" s="91">
        <v>0.69791666666666663</v>
      </c>
      <c r="X25" s="90">
        <v>574</v>
      </c>
    </row>
    <row r="26" spans="1:24" ht="15.75" thickBot="1" x14ac:dyDescent="0.3">
      <c r="B26" s="92">
        <f t="shared" si="6"/>
        <v>45670</v>
      </c>
      <c r="D26" s="93">
        <v>140</v>
      </c>
      <c r="E26" s="91">
        <v>0.53819444444444442</v>
      </c>
      <c r="F26" s="90">
        <v>1315</v>
      </c>
      <c r="G26" s="95">
        <f t="shared" ref="G26:G44" si="8">F26-H26</f>
        <v>760</v>
      </c>
      <c r="H26" s="90">
        <v>555</v>
      </c>
      <c r="I26" s="92">
        <f t="shared" si="3"/>
        <v>45670</v>
      </c>
      <c r="J26" s="93">
        <v>37</v>
      </c>
      <c r="K26" s="91">
        <v>0.55138888888888893</v>
      </c>
      <c r="L26" s="90">
        <v>385</v>
      </c>
      <c r="M26" s="92">
        <f t="shared" si="4"/>
        <v>45670</v>
      </c>
      <c r="N26" s="93">
        <v>2</v>
      </c>
      <c r="O26" s="91">
        <v>0.55902777777777779</v>
      </c>
      <c r="P26" s="93">
        <v>36</v>
      </c>
      <c r="Q26" s="91">
        <v>0.8125</v>
      </c>
      <c r="R26" s="94">
        <f t="shared" ref="R26:R44" si="9">S26+T26</f>
        <v>530</v>
      </c>
      <c r="S26" s="90">
        <v>42</v>
      </c>
      <c r="T26" s="90">
        <v>488</v>
      </c>
      <c r="U26" s="92">
        <f t="shared" si="5"/>
        <v>45670</v>
      </c>
      <c r="V26" s="93">
        <v>35</v>
      </c>
      <c r="W26" s="91">
        <v>0.55138888888888893</v>
      </c>
      <c r="X26" s="90">
        <v>627</v>
      </c>
    </row>
    <row r="27" spans="1:24" ht="15.75" thickBot="1" x14ac:dyDescent="0.3">
      <c r="B27" s="92">
        <f t="shared" si="6"/>
        <v>45671</v>
      </c>
      <c r="D27" s="93">
        <v>141</v>
      </c>
      <c r="E27" s="91">
        <v>0.53541666666666665</v>
      </c>
      <c r="F27" s="90">
        <v>1305</v>
      </c>
      <c r="G27" s="95">
        <f t="shared" si="8"/>
        <v>746</v>
      </c>
      <c r="H27" s="90">
        <v>559</v>
      </c>
      <c r="I27" s="92">
        <f t="shared" si="3"/>
        <v>45671</v>
      </c>
      <c r="J27" s="93">
        <v>38</v>
      </c>
      <c r="K27" s="91">
        <v>0.60416666666666663</v>
      </c>
      <c r="L27" s="90">
        <v>490</v>
      </c>
      <c r="M27" s="92">
        <f t="shared" si="4"/>
        <v>45671</v>
      </c>
      <c r="N27" s="93">
        <v>4</v>
      </c>
      <c r="O27" s="91">
        <v>0.63749999999999996</v>
      </c>
      <c r="P27" s="93">
        <v>36</v>
      </c>
      <c r="Q27" s="91">
        <v>0.34375</v>
      </c>
      <c r="R27" s="94">
        <f t="shared" si="9"/>
        <v>529</v>
      </c>
      <c r="S27" s="90">
        <v>44</v>
      </c>
      <c r="T27" s="90">
        <v>485</v>
      </c>
      <c r="U27" s="92">
        <f t="shared" si="5"/>
        <v>45671</v>
      </c>
      <c r="V27" s="93">
        <v>32</v>
      </c>
      <c r="W27" s="91">
        <v>0.26250000000000001</v>
      </c>
      <c r="X27" s="90">
        <v>563</v>
      </c>
    </row>
    <row r="28" spans="1:24" ht="15.75" thickBot="1" x14ac:dyDescent="0.3">
      <c r="B28" s="92">
        <f t="shared" si="6"/>
        <v>45672</v>
      </c>
      <c r="D28" s="93">
        <v>135</v>
      </c>
      <c r="E28" s="91">
        <v>0.69791666666666663</v>
      </c>
      <c r="F28" s="90">
        <v>1390</v>
      </c>
      <c r="G28" s="95">
        <f t="shared" si="8"/>
        <v>749</v>
      </c>
      <c r="H28" s="90">
        <v>641</v>
      </c>
      <c r="I28" s="92">
        <f t="shared" si="3"/>
        <v>45672</v>
      </c>
      <c r="J28" s="93"/>
      <c r="K28" s="91"/>
      <c r="L28" s="90"/>
      <c r="M28" s="92">
        <f t="shared" si="4"/>
        <v>45672</v>
      </c>
      <c r="N28" s="93">
        <v>2</v>
      </c>
      <c r="O28" s="91">
        <v>0.48958333333333331</v>
      </c>
      <c r="P28" s="93">
        <v>38</v>
      </c>
      <c r="Q28" s="91">
        <v>0.72916666666666663</v>
      </c>
      <c r="R28" s="94">
        <f t="shared" si="9"/>
        <v>594</v>
      </c>
      <c r="S28" s="90">
        <v>45</v>
      </c>
      <c r="T28" s="90">
        <v>549</v>
      </c>
      <c r="U28" s="92">
        <f t="shared" si="5"/>
        <v>45672</v>
      </c>
      <c r="V28" s="93">
        <v>31</v>
      </c>
      <c r="W28" s="91">
        <v>0.29930555555555555</v>
      </c>
      <c r="X28" s="90">
        <v>626</v>
      </c>
    </row>
    <row r="29" spans="1:24" ht="15.75" thickBot="1" x14ac:dyDescent="0.3">
      <c r="B29" s="92">
        <f t="shared" si="6"/>
        <v>45673</v>
      </c>
      <c r="D29" s="93">
        <v>131</v>
      </c>
      <c r="E29" s="91">
        <v>0.59375</v>
      </c>
      <c r="F29" s="90">
        <v>1483</v>
      </c>
      <c r="G29" s="95">
        <f t="shared" si="8"/>
        <v>823</v>
      </c>
      <c r="H29" s="90">
        <v>660</v>
      </c>
      <c r="I29" s="92">
        <f t="shared" si="3"/>
        <v>45673</v>
      </c>
      <c r="J29" s="93"/>
      <c r="K29" s="91"/>
      <c r="L29" s="90"/>
      <c r="M29" s="92">
        <f t="shared" si="4"/>
        <v>45673</v>
      </c>
      <c r="N29" s="93">
        <v>2</v>
      </c>
      <c r="O29" s="91">
        <v>0.375</v>
      </c>
      <c r="P29" s="93">
        <v>33</v>
      </c>
      <c r="Q29" s="91">
        <v>0.73958333333333337</v>
      </c>
      <c r="R29" s="94">
        <f t="shared" si="9"/>
        <v>549</v>
      </c>
      <c r="S29" s="90">
        <v>45</v>
      </c>
      <c r="T29" s="90">
        <v>504</v>
      </c>
      <c r="U29" s="92">
        <f t="shared" si="5"/>
        <v>45673</v>
      </c>
      <c r="V29" s="93">
        <v>33</v>
      </c>
      <c r="W29" s="91">
        <v>0.63541666666666663</v>
      </c>
      <c r="X29" s="90">
        <v>594</v>
      </c>
    </row>
    <row r="30" spans="1:24" ht="15.75" thickBot="1" x14ac:dyDescent="0.3">
      <c r="B30" s="92">
        <f t="shared" si="6"/>
        <v>45674</v>
      </c>
      <c r="D30" s="93">
        <v>113</v>
      </c>
      <c r="E30" s="91">
        <v>0.55208333333333337</v>
      </c>
      <c r="F30" s="90">
        <v>1246</v>
      </c>
      <c r="G30" s="95">
        <f t="shared" si="8"/>
        <v>684</v>
      </c>
      <c r="H30" s="90">
        <v>562</v>
      </c>
      <c r="I30" s="92">
        <f t="shared" si="3"/>
        <v>45674</v>
      </c>
      <c r="J30" s="93">
        <v>34</v>
      </c>
      <c r="K30" s="91">
        <v>0.70833333333333337</v>
      </c>
      <c r="L30" s="90">
        <v>617</v>
      </c>
      <c r="M30" s="92">
        <f t="shared" si="4"/>
        <v>45674</v>
      </c>
      <c r="N30" s="93">
        <v>2</v>
      </c>
      <c r="O30" s="91">
        <v>0.4375</v>
      </c>
      <c r="P30" s="93">
        <v>33</v>
      </c>
      <c r="Q30" s="91">
        <v>0.46875</v>
      </c>
      <c r="R30" s="94">
        <f t="shared" si="9"/>
        <v>531</v>
      </c>
      <c r="S30" s="90">
        <v>41</v>
      </c>
      <c r="T30" s="90">
        <v>490</v>
      </c>
      <c r="U30" s="92">
        <f t="shared" si="5"/>
        <v>45674</v>
      </c>
      <c r="V30" s="93">
        <v>29</v>
      </c>
      <c r="W30" s="91">
        <v>0.42708333333333331</v>
      </c>
      <c r="X30" s="90">
        <v>564</v>
      </c>
    </row>
    <row r="31" spans="1:24" ht="15.75" thickBot="1" x14ac:dyDescent="0.3">
      <c r="B31" s="92">
        <f t="shared" si="6"/>
        <v>45675</v>
      </c>
      <c r="D31" s="93">
        <v>75</v>
      </c>
      <c r="E31" s="91">
        <v>0.33333333333333331</v>
      </c>
      <c r="F31" s="90">
        <v>851</v>
      </c>
      <c r="G31" s="95">
        <f t="shared" si="8"/>
        <v>316</v>
      </c>
      <c r="H31" s="90">
        <v>535</v>
      </c>
      <c r="I31" s="92">
        <f t="shared" si="3"/>
        <v>45675</v>
      </c>
      <c r="J31" s="93">
        <v>30</v>
      </c>
      <c r="K31" s="91">
        <v>0.91666666666666663</v>
      </c>
      <c r="L31" s="90">
        <v>578</v>
      </c>
      <c r="M31" s="92">
        <f t="shared" si="4"/>
        <v>45675</v>
      </c>
      <c r="N31" s="93">
        <v>2</v>
      </c>
      <c r="O31" s="91">
        <v>0.51041666666666663</v>
      </c>
      <c r="P31" s="93">
        <v>33</v>
      </c>
      <c r="Q31" s="91">
        <v>0.32291666666666669</v>
      </c>
      <c r="R31" s="94">
        <f t="shared" si="9"/>
        <v>497</v>
      </c>
      <c r="S31" s="90">
        <v>43</v>
      </c>
      <c r="T31" s="90">
        <v>454</v>
      </c>
      <c r="U31" s="92">
        <f t="shared" si="5"/>
        <v>45675</v>
      </c>
      <c r="V31" s="93">
        <v>32</v>
      </c>
      <c r="W31" s="91">
        <v>0.79166666666666663</v>
      </c>
      <c r="X31" s="90">
        <v>555</v>
      </c>
    </row>
    <row r="32" spans="1:24" ht="15.75" thickBot="1" x14ac:dyDescent="0.3">
      <c r="B32" s="92">
        <f t="shared" si="6"/>
        <v>45676</v>
      </c>
      <c r="D32" s="93">
        <v>83</v>
      </c>
      <c r="E32" s="91">
        <v>3.6111111111111108E-2</v>
      </c>
      <c r="F32" s="90">
        <v>1241</v>
      </c>
      <c r="G32" s="95">
        <f t="shared" si="8"/>
        <v>792</v>
      </c>
      <c r="H32" s="90">
        <v>449</v>
      </c>
      <c r="I32" s="92">
        <f t="shared" si="3"/>
        <v>45676</v>
      </c>
      <c r="J32" s="93">
        <v>33</v>
      </c>
      <c r="K32" s="91">
        <v>0.60624999999999996</v>
      </c>
      <c r="L32" s="90">
        <v>330</v>
      </c>
      <c r="M32" s="92">
        <f t="shared" si="4"/>
        <v>45676</v>
      </c>
      <c r="N32" s="93">
        <v>3</v>
      </c>
      <c r="O32" s="91">
        <v>0.31041666666666667</v>
      </c>
      <c r="P32" s="93">
        <v>32</v>
      </c>
      <c r="Q32" s="91">
        <v>0.40902777777777777</v>
      </c>
      <c r="R32" s="94">
        <f t="shared" si="9"/>
        <v>449</v>
      </c>
      <c r="S32" s="90">
        <v>63</v>
      </c>
      <c r="T32" s="90">
        <v>386</v>
      </c>
      <c r="U32" s="92">
        <f t="shared" si="5"/>
        <v>45676</v>
      </c>
      <c r="V32" s="93">
        <v>30</v>
      </c>
      <c r="W32" s="91">
        <v>0.14930555555555555</v>
      </c>
      <c r="X32" s="90">
        <v>579</v>
      </c>
    </row>
    <row r="33" spans="2:24" ht="15.75" thickBot="1" x14ac:dyDescent="0.3">
      <c r="B33" s="92">
        <f t="shared" si="6"/>
        <v>45677</v>
      </c>
      <c r="D33" s="93">
        <v>120</v>
      </c>
      <c r="E33" s="91">
        <v>0.55138888888888893</v>
      </c>
      <c r="F33" s="90">
        <v>1094</v>
      </c>
      <c r="G33" s="95">
        <f t="shared" si="8"/>
        <v>553</v>
      </c>
      <c r="H33" s="90">
        <v>541</v>
      </c>
      <c r="I33" s="92">
        <f t="shared" si="3"/>
        <v>45677</v>
      </c>
      <c r="J33" s="93">
        <v>35</v>
      </c>
      <c r="K33" s="91">
        <v>0.57291666666666663</v>
      </c>
      <c r="L33" s="90">
        <v>594</v>
      </c>
      <c r="M33" s="92">
        <f t="shared" si="4"/>
        <v>45677</v>
      </c>
      <c r="N33" s="93">
        <v>3</v>
      </c>
      <c r="O33" s="91">
        <v>0.27847222222222223</v>
      </c>
      <c r="P33" s="93">
        <v>30</v>
      </c>
      <c r="Q33" s="91">
        <v>0.56180555555555556</v>
      </c>
      <c r="R33" s="94">
        <f t="shared" si="9"/>
        <v>518</v>
      </c>
      <c r="S33" s="90">
        <v>39</v>
      </c>
      <c r="T33" s="90">
        <v>479</v>
      </c>
      <c r="U33" s="92">
        <f t="shared" si="5"/>
        <v>45677</v>
      </c>
      <c r="V33" s="93">
        <v>32</v>
      </c>
      <c r="W33" s="91">
        <v>0.82638888888888884</v>
      </c>
      <c r="X33" s="90">
        <v>546</v>
      </c>
    </row>
    <row r="34" spans="2:24" ht="15.75" thickBot="1" x14ac:dyDescent="0.3">
      <c r="B34" s="92">
        <f t="shared" si="6"/>
        <v>45678</v>
      </c>
      <c r="D34" s="93">
        <v>116.09</v>
      </c>
      <c r="E34" s="91">
        <v>0.71875</v>
      </c>
      <c r="F34" s="90">
        <v>1280.0999999999999</v>
      </c>
      <c r="G34" s="95">
        <f t="shared" si="8"/>
        <v>706.59999999999991</v>
      </c>
      <c r="H34" s="90">
        <v>573.5</v>
      </c>
      <c r="I34" s="92">
        <f t="shared" si="3"/>
        <v>45678</v>
      </c>
      <c r="J34" s="93">
        <v>34.06</v>
      </c>
      <c r="K34" s="91">
        <v>0.58333333333333337</v>
      </c>
      <c r="L34" s="90">
        <v>601.73</v>
      </c>
      <c r="M34" s="92">
        <f t="shared" si="4"/>
        <v>45678</v>
      </c>
      <c r="N34" s="93">
        <v>2.17</v>
      </c>
      <c r="O34" s="91">
        <v>0.78125</v>
      </c>
      <c r="P34" s="93">
        <v>31.43</v>
      </c>
      <c r="Q34" s="91">
        <v>0.71875</v>
      </c>
      <c r="R34" s="94">
        <f t="shared" si="9"/>
        <v>533.84</v>
      </c>
      <c r="S34" s="90">
        <v>44.2</v>
      </c>
      <c r="T34" s="90">
        <v>489.64</v>
      </c>
      <c r="U34" s="92">
        <f t="shared" si="5"/>
        <v>45678</v>
      </c>
      <c r="V34" s="93">
        <v>29.25</v>
      </c>
      <c r="W34" s="91">
        <v>0.28125</v>
      </c>
      <c r="X34" s="90">
        <v>535.61</v>
      </c>
    </row>
    <row r="35" spans="2:24" ht="15.75" thickBot="1" x14ac:dyDescent="0.3">
      <c r="B35" s="92">
        <f t="shared" si="6"/>
        <v>45679</v>
      </c>
      <c r="D35" s="93"/>
      <c r="E35" s="91"/>
      <c r="F35" s="90">
        <v>1228</v>
      </c>
      <c r="G35" s="95">
        <f t="shared" si="8"/>
        <v>692</v>
      </c>
      <c r="H35" s="90">
        <v>536</v>
      </c>
      <c r="I35" s="92">
        <f t="shared" si="3"/>
        <v>45679</v>
      </c>
      <c r="J35" s="93"/>
      <c r="K35" s="91"/>
      <c r="L35" s="90">
        <v>601</v>
      </c>
      <c r="M35" s="92">
        <f t="shared" si="4"/>
        <v>45679</v>
      </c>
      <c r="N35" s="93"/>
      <c r="O35" s="91"/>
      <c r="P35" s="93"/>
      <c r="Q35" s="91"/>
      <c r="R35" s="94">
        <f t="shared" si="9"/>
        <v>527</v>
      </c>
      <c r="S35" s="90">
        <v>41</v>
      </c>
      <c r="T35" s="90">
        <v>486</v>
      </c>
      <c r="U35" s="92">
        <f t="shared" si="5"/>
        <v>45679</v>
      </c>
      <c r="V35" s="93"/>
      <c r="W35" s="91"/>
      <c r="X35" s="90">
        <v>618</v>
      </c>
    </row>
    <row r="36" spans="2:24" ht="15.75" thickBot="1" x14ac:dyDescent="0.3">
      <c r="B36" s="92">
        <f t="shared" si="6"/>
        <v>45680</v>
      </c>
      <c r="D36" s="93"/>
      <c r="E36" s="91"/>
      <c r="F36" s="90">
        <v>1359</v>
      </c>
      <c r="G36" s="95">
        <f t="shared" si="8"/>
        <v>791</v>
      </c>
      <c r="H36" s="90">
        <v>568</v>
      </c>
      <c r="I36" s="92">
        <f t="shared" si="3"/>
        <v>45680</v>
      </c>
      <c r="J36" s="93"/>
      <c r="K36" s="91"/>
      <c r="L36" s="90">
        <v>623</v>
      </c>
      <c r="M36" s="92">
        <f t="shared" si="4"/>
        <v>45680</v>
      </c>
      <c r="N36" s="93"/>
      <c r="O36" s="91"/>
      <c r="P36" s="93"/>
      <c r="Q36" s="91"/>
      <c r="R36" s="94">
        <f t="shared" si="9"/>
        <v>532</v>
      </c>
      <c r="S36" s="90">
        <v>41</v>
      </c>
      <c r="T36" s="90">
        <v>491</v>
      </c>
      <c r="U36" s="92">
        <f t="shared" si="5"/>
        <v>45680</v>
      </c>
      <c r="V36" s="93"/>
      <c r="W36" s="91"/>
      <c r="X36" s="90">
        <v>573</v>
      </c>
    </row>
    <row r="37" spans="2:24" ht="15.75" thickBot="1" x14ac:dyDescent="0.3">
      <c r="B37" s="92">
        <f t="shared" si="6"/>
        <v>45681</v>
      </c>
      <c r="D37" s="93">
        <v>136</v>
      </c>
      <c r="E37" s="91">
        <v>0.67500000000000004</v>
      </c>
      <c r="F37" s="90">
        <v>1363</v>
      </c>
      <c r="G37" s="95">
        <f t="shared" si="8"/>
        <v>772</v>
      </c>
      <c r="H37" s="90">
        <v>591</v>
      </c>
      <c r="I37" s="92">
        <f t="shared" si="3"/>
        <v>45681</v>
      </c>
      <c r="J37" s="93">
        <v>37</v>
      </c>
      <c r="K37" s="91">
        <v>0.54652777777777772</v>
      </c>
      <c r="L37" s="90">
        <v>633</v>
      </c>
      <c r="M37" s="92">
        <f t="shared" si="4"/>
        <v>45681</v>
      </c>
      <c r="N37" s="93">
        <v>3</v>
      </c>
      <c r="O37" s="91">
        <v>0.30763888888888891</v>
      </c>
      <c r="P37" s="93">
        <v>37</v>
      </c>
      <c r="Q37" s="91">
        <v>0.77777777777777779</v>
      </c>
      <c r="R37" s="94">
        <f t="shared" si="9"/>
        <v>537</v>
      </c>
      <c r="S37" s="90">
        <v>41</v>
      </c>
      <c r="T37" s="90">
        <v>496</v>
      </c>
      <c r="U37" s="92">
        <f t="shared" si="5"/>
        <v>45681</v>
      </c>
      <c r="V37" s="93">
        <v>39</v>
      </c>
      <c r="W37" s="91">
        <v>0.7055555555555556</v>
      </c>
      <c r="X37" s="90">
        <v>653</v>
      </c>
    </row>
    <row r="38" spans="2:24" ht="15.75" thickBot="1" x14ac:dyDescent="0.3">
      <c r="B38" s="92">
        <f t="shared" si="6"/>
        <v>45682</v>
      </c>
      <c r="D38" s="93">
        <v>92</v>
      </c>
      <c r="E38" s="91">
        <v>0.65416666666666667</v>
      </c>
      <c r="F38" s="90">
        <v>877</v>
      </c>
      <c r="G38" s="95">
        <f t="shared" si="8"/>
        <v>331</v>
      </c>
      <c r="H38" s="90">
        <v>546</v>
      </c>
      <c r="I38" s="92">
        <f t="shared" si="3"/>
        <v>45682</v>
      </c>
      <c r="J38" s="93">
        <v>31</v>
      </c>
      <c r="K38" s="91">
        <v>0.96944444444444444</v>
      </c>
      <c r="L38" s="90">
        <v>593</v>
      </c>
      <c r="M38" s="92">
        <f t="shared" si="4"/>
        <v>45682</v>
      </c>
      <c r="N38" s="93">
        <v>2</v>
      </c>
      <c r="O38" s="91">
        <v>0.69444444444444442</v>
      </c>
      <c r="P38" s="93">
        <v>34</v>
      </c>
      <c r="Q38" s="91">
        <v>0.4548611111111111</v>
      </c>
      <c r="R38" s="94">
        <f t="shared" si="9"/>
        <v>493</v>
      </c>
      <c r="S38" s="90">
        <v>43</v>
      </c>
      <c r="T38" s="90">
        <v>450</v>
      </c>
      <c r="U38" s="92">
        <f t="shared" si="5"/>
        <v>45682</v>
      </c>
      <c r="V38" s="93">
        <v>30</v>
      </c>
      <c r="W38" s="91">
        <v>0.11458333333333333</v>
      </c>
      <c r="X38" s="90">
        <v>515</v>
      </c>
    </row>
    <row r="39" spans="2:24" ht="15.75" thickBot="1" x14ac:dyDescent="0.3">
      <c r="B39" s="92">
        <f t="shared" si="6"/>
        <v>45683</v>
      </c>
      <c r="D39" s="93">
        <v>91</v>
      </c>
      <c r="E39" s="91">
        <v>0.61527777777777781</v>
      </c>
      <c r="F39" s="90">
        <v>850</v>
      </c>
      <c r="G39" s="95">
        <f t="shared" si="8"/>
        <v>328</v>
      </c>
      <c r="H39" s="90">
        <v>522</v>
      </c>
      <c r="I39" s="92">
        <f t="shared" si="3"/>
        <v>45683</v>
      </c>
      <c r="J39" s="93">
        <v>31</v>
      </c>
      <c r="K39" s="91">
        <v>0.60486111111111107</v>
      </c>
      <c r="L39" s="90">
        <v>569</v>
      </c>
      <c r="M39" s="92">
        <f t="shared" si="4"/>
        <v>45683</v>
      </c>
      <c r="N39" s="93">
        <v>2</v>
      </c>
      <c r="O39" s="91">
        <v>0.48402777777777778</v>
      </c>
      <c r="P39" s="93">
        <v>38</v>
      </c>
      <c r="Q39" s="91">
        <v>0.62777777777777777</v>
      </c>
      <c r="R39" s="94">
        <f t="shared" si="9"/>
        <v>459</v>
      </c>
      <c r="S39" s="90">
        <v>42</v>
      </c>
      <c r="T39" s="90">
        <v>417</v>
      </c>
      <c r="U39" s="92">
        <f t="shared" si="5"/>
        <v>45683</v>
      </c>
      <c r="V39" s="93">
        <v>31</v>
      </c>
      <c r="W39" s="91">
        <v>0.6069444444444444</v>
      </c>
      <c r="X39" s="90">
        <v>562</v>
      </c>
    </row>
    <row r="40" spans="2:24" ht="15.75" thickBot="1" x14ac:dyDescent="0.3">
      <c r="B40" s="92">
        <f t="shared" si="6"/>
        <v>45684</v>
      </c>
      <c r="D40" s="215">
        <v>135</v>
      </c>
      <c r="E40" s="216">
        <v>0.64583333333333337</v>
      </c>
      <c r="F40" s="217">
        <v>1354</v>
      </c>
      <c r="G40" s="218">
        <f t="shared" si="8"/>
        <v>759</v>
      </c>
      <c r="H40" s="217">
        <v>595</v>
      </c>
      <c r="I40" s="219">
        <f t="shared" si="3"/>
        <v>45684</v>
      </c>
      <c r="J40" s="215">
        <v>38</v>
      </c>
      <c r="K40" s="216">
        <v>0.61111111111111116</v>
      </c>
      <c r="L40" s="217">
        <v>646</v>
      </c>
      <c r="M40" s="219">
        <f t="shared" si="4"/>
        <v>45684</v>
      </c>
      <c r="N40" s="215">
        <v>2</v>
      </c>
      <c r="O40" s="216">
        <v>0.25347222222222221</v>
      </c>
      <c r="P40" s="215">
        <v>41</v>
      </c>
      <c r="Q40" s="216">
        <v>0.74027777777777781</v>
      </c>
      <c r="R40" s="94">
        <f t="shared" si="9"/>
        <v>519</v>
      </c>
      <c r="S40" s="217">
        <v>30</v>
      </c>
      <c r="T40" s="217">
        <v>489</v>
      </c>
      <c r="U40" s="219">
        <f t="shared" si="5"/>
        <v>45684</v>
      </c>
      <c r="V40" s="215">
        <v>33</v>
      </c>
      <c r="W40" s="216">
        <v>0.57222222222222219</v>
      </c>
      <c r="X40" s="217">
        <v>554</v>
      </c>
    </row>
    <row r="41" spans="2:24" ht="15.75" thickBot="1" x14ac:dyDescent="0.3">
      <c r="B41" s="92">
        <f t="shared" si="6"/>
        <v>45685</v>
      </c>
      <c r="D41" s="93">
        <v>120</v>
      </c>
      <c r="E41" s="91">
        <v>0.53125</v>
      </c>
      <c r="F41" s="90">
        <v>1294</v>
      </c>
      <c r="G41" s="95">
        <f t="shared" si="8"/>
        <v>707</v>
      </c>
      <c r="H41" s="90">
        <v>587</v>
      </c>
      <c r="I41" s="92">
        <f t="shared" si="3"/>
        <v>45685</v>
      </c>
      <c r="J41" s="93">
        <v>31</v>
      </c>
      <c r="K41" s="91">
        <v>0.67708333333333337</v>
      </c>
      <c r="L41" s="90">
        <v>599</v>
      </c>
      <c r="M41" s="92">
        <v>45650</v>
      </c>
      <c r="N41" s="93">
        <v>2</v>
      </c>
      <c r="O41" s="91">
        <v>0.52083333333333337</v>
      </c>
      <c r="P41" s="93">
        <v>34</v>
      </c>
      <c r="Q41" s="91">
        <v>0.71875</v>
      </c>
      <c r="R41" s="94">
        <f t="shared" si="9"/>
        <v>537</v>
      </c>
      <c r="S41" s="90">
        <v>45</v>
      </c>
      <c r="T41" s="90">
        <v>492</v>
      </c>
      <c r="U41" s="92">
        <f t="shared" si="5"/>
        <v>45685</v>
      </c>
      <c r="V41" s="93">
        <v>28</v>
      </c>
      <c r="W41" s="91">
        <v>0.27083333333333331</v>
      </c>
      <c r="X41" s="90">
        <v>547</v>
      </c>
    </row>
    <row r="42" spans="2:24" ht="15.75" thickBot="1" x14ac:dyDescent="0.3">
      <c r="B42" s="92">
        <f t="shared" si="6"/>
        <v>45686</v>
      </c>
      <c r="D42" s="93">
        <v>112.75</v>
      </c>
      <c r="E42" s="91">
        <v>0.55208333333333337</v>
      </c>
      <c r="F42" s="90">
        <v>1248.25</v>
      </c>
      <c r="G42" s="95">
        <f t="shared" si="8"/>
        <v>692.39</v>
      </c>
      <c r="H42" s="90">
        <v>555.86</v>
      </c>
      <c r="I42" s="92">
        <f t="shared" si="3"/>
        <v>45686</v>
      </c>
      <c r="J42" s="93">
        <v>29.59</v>
      </c>
      <c r="K42" s="91">
        <v>0.59375</v>
      </c>
      <c r="L42" s="90">
        <v>589.22</v>
      </c>
      <c r="M42" s="92">
        <v>45651</v>
      </c>
      <c r="N42" s="93">
        <v>2.19</v>
      </c>
      <c r="O42" s="91">
        <v>0.67708333333333337</v>
      </c>
      <c r="P42" s="93">
        <v>31.37</v>
      </c>
      <c r="Q42" s="91">
        <v>0.59375</v>
      </c>
      <c r="R42" s="94">
        <f t="shared" si="9"/>
        <v>531.01</v>
      </c>
      <c r="S42" s="90">
        <v>42.14</v>
      </c>
      <c r="T42" s="90">
        <v>488.87</v>
      </c>
      <c r="U42" s="92">
        <f t="shared" si="5"/>
        <v>45686</v>
      </c>
      <c r="V42" s="93">
        <v>30.25</v>
      </c>
      <c r="W42" s="91">
        <v>0.33333333333333331</v>
      </c>
      <c r="X42" s="90">
        <v>494.38</v>
      </c>
    </row>
    <row r="43" spans="2:24" ht="15.75" thickBot="1" x14ac:dyDescent="0.3">
      <c r="B43" s="92">
        <f t="shared" si="6"/>
        <v>45687</v>
      </c>
      <c r="D43" s="93">
        <v>104.25</v>
      </c>
      <c r="E43" s="91">
        <v>0.69791666666666663</v>
      </c>
      <c r="F43" s="90">
        <v>1177.3599999999999</v>
      </c>
      <c r="G43" s="95">
        <f t="shared" si="8"/>
        <v>630.26999999999987</v>
      </c>
      <c r="H43" s="90">
        <v>547.09</v>
      </c>
      <c r="I43" s="92">
        <f t="shared" si="3"/>
        <v>45687</v>
      </c>
      <c r="J43" s="93">
        <v>31.66</v>
      </c>
      <c r="K43" s="91">
        <v>0.30208333333333331</v>
      </c>
      <c r="L43" s="90">
        <v>574.25</v>
      </c>
      <c r="M43" s="92">
        <v>45652</v>
      </c>
      <c r="N43" s="93">
        <v>8.94</v>
      </c>
      <c r="O43" s="91">
        <v>6.25E-2</v>
      </c>
      <c r="P43" s="93">
        <v>33.770000000000003</v>
      </c>
      <c r="Q43" s="91">
        <v>0.52083333333333337</v>
      </c>
      <c r="R43" s="94">
        <f t="shared" si="9"/>
        <v>524.28</v>
      </c>
      <c r="S43" s="90">
        <v>45.2</v>
      </c>
      <c r="T43" s="90">
        <v>479.08</v>
      </c>
      <c r="U43" s="92">
        <f t="shared" si="5"/>
        <v>45687</v>
      </c>
      <c r="V43" s="93">
        <v>27.13</v>
      </c>
      <c r="W43" s="91">
        <v>0.41666666666666669</v>
      </c>
      <c r="X43" s="90">
        <v>524.53</v>
      </c>
    </row>
    <row r="44" spans="2:24" x14ac:dyDescent="0.25">
      <c r="B44" s="92">
        <f t="shared" si="6"/>
        <v>45688</v>
      </c>
      <c r="D44" s="93">
        <v>104</v>
      </c>
      <c r="E44" s="91">
        <v>0.53125</v>
      </c>
      <c r="F44" s="90">
        <v>1189</v>
      </c>
      <c r="G44" s="95">
        <f t="shared" si="8"/>
        <v>634</v>
      </c>
      <c r="H44" s="90">
        <v>555</v>
      </c>
      <c r="I44" s="92">
        <f t="shared" si="3"/>
        <v>45688</v>
      </c>
      <c r="J44" s="93">
        <v>34</v>
      </c>
      <c r="K44" s="91">
        <v>0.70833333333333337</v>
      </c>
      <c r="L44" s="90">
        <v>602</v>
      </c>
      <c r="M44" s="92">
        <v>45653</v>
      </c>
      <c r="N44" s="93">
        <v>2</v>
      </c>
      <c r="O44" s="91">
        <v>0.35416666666666669</v>
      </c>
      <c r="P44" s="93">
        <v>31</v>
      </c>
      <c r="Q44" s="91">
        <v>0.51041666666666663</v>
      </c>
      <c r="R44" s="94">
        <f t="shared" si="9"/>
        <v>529</v>
      </c>
      <c r="S44" s="90">
        <v>43</v>
      </c>
      <c r="T44" s="90">
        <v>486</v>
      </c>
      <c r="U44" s="92">
        <f t="shared" si="5"/>
        <v>45688</v>
      </c>
      <c r="V44" s="93">
        <v>29</v>
      </c>
      <c r="W44" s="91">
        <v>0.29166666666666669</v>
      </c>
      <c r="X44" s="90">
        <v>553</v>
      </c>
    </row>
    <row r="45" spans="2:24" x14ac:dyDescent="0.25">
      <c r="F45" s="286">
        <f>SUM(F14:F44)</f>
        <v>36668.160000000003</v>
      </c>
      <c r="G45" s="286">
        <f t="shared" ref="G45:H45" si="10">SUM(G14:G44)</f>
        <v>19804.59</v>
      </c>
      <c r="H45" s="286">
        <f t="shared" si="10"/>
        <v>16863.57</v>
      </c>
    </row>
    <row r="46" spans="2:24" x14ac:dyDescent="0.25">
      <c r="G46" s="287">
        <f>G45/F45</f>
        <v>0.54010318488846998</v>
      </c>
      <c r="H46" s="287">
        <f>H45/F45</f>
        <v>0.45989681511152997</v>
      </c>
    </row>
    <row r="49" spans="4:10" x14ac:dyDescent="0.25">
      <c r="E49" s="223" t="s">
        <v>63</v>
      </c>
      <c r="F49" s="223" t="s">
        <v>64</v>
      </c>
      <c r="G49" s="223" t="s">
        <v>65</v>
      </c>
      <c r="H49" s="223" t="s">
        <v>66</v>
      </c>
      <c r="I49" s="223" t="s">
        <v>67</v>
      </c>
      <c r="J49" s="223" t="s">
        <v>68</v>
      </c>
    </row>
    <row r="50" spans="4:10" x14ac:dyDescent="0.25">
      <c r="D50" s="226">
        <v>45658</v>
      </c>
      <c r="E50" s="224">
        <f>F14/J50</f>
        <v>0.32661113546690046</v>
      </c>
      <c r="F50" s="224">
        <f>L14/J50</f>
        <v>0.24857518632178868</v>
      </c>
      <c r="G50" s="224">
        <f>S14/J50</f>
        <v>1.8851380973257344E-2</v>
      </c>
      <c r="H50" s="224">
        <f>T14/J50</f>
        <v>0.19289785181937746</v>
      </c>
      <c r="I50" s="224">
        <f>X14/J50</f>
        <v>0.21306444541867603</v>
      </c>
      <c r="J50" s="225">
        <f>F14+L14+S14+T14+X14</f>
        <v>2281</v>
      </c>
    </row>
    <row r="51" spans="4:10" x14ac:dyDescent="0.25">
      <c r="D51" s="226">
        <v>45659</v>
      </c>
      <c r="E51" s="224">
        <f t="shared" ref="E51:E80" si="11">F15/J51</f>
        <v>0.39527613754775964</v>
      </c>
      <c r="F51" s="224">
        <f t="shared" ref="F51:F80" si="12">L15/J51</f>
        <v>0.2091003820771101</v>
      </c>
      <c r="G51" s="224">
        <f t="shared" ref="G51:G80" si="13">S15/J51</f>
        <v>1.5630427231677665E-2</v>
      </c>
      <c r="H51" s="224">
        <f t="shared" ref="H51:H80" si="14">T15/J51</f>
        <v>0.17228204237582495</v>
      </c>
      <c r="I51" s="224">
        <f t="shared" ref="I51:I80" si="15">X15/J51</f>
        <v>0.20771101076762766</v>
      </c>
      <c r="J51" s="225">
        <f t="shared" ref="J51:J80" si="16">F15+L15+S15+T15+X15</f>
        <v>2879</v>
      </c>
    </row>
    <row r="52" spans="4:10" x14ac:dyDescent="0.25">
      <c r="D52" s="226">
        <v>45660</v>
      </c>
      <c r="E52" s="224">
        <f t="shared" si="11"/>
        <v>0.40590277777777778</v>
      </c>
      <c r="F52" s="224">
        <f t="shared" si="12"/>
        <v>0.19965277777777779</v>
      </c>
      <c r="G52" s="224">
        <f t="shared" si="13"/>
        <v>1.5277777777777777E-2</v>
      </c>
      <c r="H52" s="224">
        <f t="shared" si="14"/>
        <v>0.16770833333333332</v>
      </c>
      <c r="I52" s="224">
        <f t="shared" si="15"/>
        <v>0.21145833333333333</v>
      </c>
      <c r="J52" s="225">
        <f t="shared" si="16"/>
        <v>2880</v>
      </c>
    </row>
    <row r="53" spans="4:10" x14ac:dyDescent="0.25">
      <c r="D53" s="226">
        <v>45661</v>
      </c>
      <c r="E53" s="224">
        <f t="shared" si="11"/>
        <v>0.36592069100903024</v>
      </c>
      <c r="F53" s="224">
        <f t="shared" si="12"/>
        <v>0.21751079701609738</v>
      </c>
      <c r="G53" s="224">
        <f t="shared" si="13"/>
        <v>1.6489988221436984E-2</v>
      </c>
      <c r="H53" s="224">
        <f t="shared" si="14"/>
        <v>0.17589320769532785</v>
      </c>
      <c r="I53" s="224">
        <f t="shared" si="15"/>
        <v>0.22418531605810757</v>
      </c>
      <c r="J53" s="225">
        <f t="shared" si="16"/>
        <v>2547</v>
      </c>
    </row>
    <row r="54" spans="4:10" x14ac:dyDescent="0.25">
      <c r="D54" s="226">
        <v>45662</v>
      </c>
      <c r="E54" s="224">
        <f t="shared" si="11"/>
        <v>0.47547892720306512</v>
      </c>
      <c r="F54" s="224">
        <f t="shared" si="12"/>
        <v>0.12643678160919541</v>
      </c>
      <c r="G54" s="224">
        <f t="shared" si="13"/>
        <v>2.8352490421455937E-2</v>
      </c>
      <c r="H54" s="224">
        <f t="shared" si="14"/>
        <v>0.1478927203065134</v>
      </c>
      <c r="I54" s="224">
        <f t="shared" si="15"/>
        <v>0.2218390804597701</v>
      </c>
      <c r="J54" s="225">
        <f t="shared" si="16"/>
        <v>2610</v>
      </c>
    </row>
    <row r="55" spans="4:10" x14ac:dyDescent="0.25">
      <c r="D55" s="226">
        <v>45663</v>
      </c>
      <c r="E55" s="224">
        <f t="shared" si="11"/>
        <v>0.47709923664122139</v>
      </c>
      <c r="F55" s="224">
        <f t="shared" si="12"/>
        <v>0.12595419847328243</v>
      </c>
      <c r="G55" s="224">
        <f t="shared" si="13"/>
        <v>2.8625954198473282E-2</v>
      </c>
      <c r="H55" s="224">
        <f t="shared" si="14"/>
        <v>0.14732824427480917</v>
      </c>
      <c r="I55" s="224">
        <f t="shared" si="15"/>
        <v>0.22099236641221373</v>
      </c>
      <c r="J55" s="225">
        <f t="shared" si="16"/>
        <v>2620</v>
      </c>
    </row>
    <row r="56" spans="4:10" x14ac:dyDescent="0.25">
      <c r="D56" s="226">
        <v>45664</v>
      </c>
      <c r="E56" s="224">
        <f t="shared" si="11"/>
        <v>0.41335044929396664</v>
      </c>
      <c r="F56" s="224">
        <f t="shared" si="12"/>
        <v>0.24005134788189988</v>
      </c>
      <c r="G56" s="224">
        <f t="shared" si="13"/>
        <v>1.3478818998716302E-2</v>
      </c>
      <c r="H56" s="224">
        <f t="shared" si="14"/>
        <v>0.1514762516046213</v>
      </c>
      <c r="I56" s="224">
        <f t="shared" si="15"/>
        <v>0.18164313222079589</v>
      </c>
      <c r="J56" s="225">
        <f t="shared" si="16"/>
        <v>3116</v>
      </c>
    </row>
    <row r="57" spans="4:10" x14ac:dyDescent="0.25">
      <c r="D57" s="226">
        <v>45665</v>
      </c>
      <c r="E57" s="224">
        <f t="shared" si="11"/>
        <v>0.39891635624788352</v>
      </c>
      <c r="F57" s="224">
        <f t="shared" si="12"/>
        <v>0.21029461564510668</v>
      </c>
      <c r="G57" s="224">
        <f t="shared" si="13"/>
        <v>1.4561462919065358E-2</v>
      </c>
      <c r="H57" s="224">
        <f t="shared" si="14"/>
        <v>0.1659329495428378</v>
      </c>
      <c r="I57" s="224">
        <f t="shared" si="15"/>
        <v>0.21029461564510668</v>
      </c>
      <c r="J57" s="225">
        <f t="shared" si="16"/>
        <v>2953</v>
      </c>
    </row>
    <row r="58" spans="4:10" x14ac:dyDescent="0.25">
      <c r="D58" s="226">
        <v>45666</v>
      </c>
      <c r="E58" s="224">
        <f t="shared" si="11"/>
        <v>0.44961734693877553</v>
      </c>
      <c r="F58" s="224">
        <f t="shared" si="12"/>
        <v>0.20216836734693877</v>
      </c>
      <c r="G58" s="224">
        <f t="shared" si="13"/>
        <v>1.3711734693877551E-2</v>
      </c>
      <c r="H58" s="224">
        <f t="shared" si="14"/>
        <v>0.15880102040816327</v>
      </c>
      <c r="I58" s="224">
        <f t="shared" si="15"/>
        <v>0.17570153061224489</v>
      </c>
      <c r="J58" s="225">
        <f t="shared" si="16"/>
        <v>3136</v>
      </c>
    </row>
    <row r="59" spans="4:10" x14ac:dyDescent="0.25">
      <c r="D59" s="226">
        <v>45667</v>
      </c>
      <c r="E59" s="224">
        <f t="shared" si="11"/>
        <v>0.42779531044497587</v>
      </c>
      <c r="F59" s="224">
        <f t="shared" si="12"/>
        <v>0.19810073976886602</v>
      </c>
      <c r="G59" s="224">
        <f t="shared" si="13"/>
        <v>1.3925997637070604E-2</v>
      </c>
      <c r="H59" s="224">
        <f t="shared" si="14"/>
        <v>0.1552495565526707</v>
      </c>
      <c r="I59" s="224">
        <f t="shared" si="15"/>
        <v>0.20492839559641673</v>
      </c>
      <c r="J59" s="225">
        <f t="shared" si="16"/>
        <v>3140.17</v>
      </c>
    </row>
    <row r="60" spans="4:10" x14ac:dyDescent="0.25">
      <c r="D60" s="226">
        <v>45668</v>
      </c>
      <c r="E60" s="224">
        <f t="shared" si="11"/>
        <v>0.389584445818911</v>
      </c>
      <c r="F60" s="224">
        <f t="shared" si="12"/>
        <v>0.22338198176740182</v>
      </c>
      <c r="G60" s="224">
        <f t="shared" si="13"/>
        <v>1.6549943719434655E-2</v>
      </c>
      <c r="H60" s="224">
        <f t="shared" si="14"/>
        <v>0.17383587588310545</v>
      </c>
      <c r="I60" s="224">
        <f t="shared" si="15"/>
        <v>0.19664775281114699</v>
      </c>
      <c r="J60" s="225">
        <f t="shared" si="16"/>
        <v>2603.0300000000002</v>
      </c>
    </row>
    <row r="61" spans="4:10" x14ac:dyDescent="0.25">
      <c r="D61" s="226">
        <v>45669</v>
      </c>
      <c r="E61" s="224">
        <f t="shared" si="11"/>
        <v>0.33608247422680415</v>
      </c>
      <c r="F61" s="224">
        <f t="shared" si="12"/>
        <v>0.23422680412371133</v>
      </c>
      <c r="G61" s="224">
        <f t="shared" si="13"/>
        <v>1.5670103092783504E-2</v>
      </c>
      <c r="H61" s="224">
        <f t="shared" si="14"/>
        <v>0.17731958762886599</v>
      </c>
      <c r="I61" s="224">
        <f t="shared" si="15"/>
        <v>0.23670103092783504</v>
      </c>
      <c r="J61" s="225">
        <f t="shared" si="16"/>
        <v>2425</v>
      </c>
    </row>
    <row r="62" spans="4:10" x14ac:dyDescent="0.25">
      <c r="D62" s="226">
        <v>45670</v>
      </c>
      <c r="E62" s="224">
        <f t="shared" si="11"/>
        <v>0.46027301365068252</v>
      </c>
      <c r="F62" s="224">
        <f t="shared" si="12"/>
        <v>0.13475673783689185</v>
      </c>
      <c r="G62" s="224">
        <f t="shared" si="13"/>
        <v>1.4700735036751837E-2</v>
      </c>
      <c r="H62" s="224">
        <f t="shared" si="14"/>
        <v>0.17080854042702134</v>
      </c>
      <c r="I62" s="224">
        <f t="shared" si="15"/>
        <v>0.21946097304865242</v>
      </c>
      <c r="J62" s="225">
        <f t="shared" si="16"/>
        <v>2857</v>
      </c>
    </row>
    <row r="63" spans="4:10" x14ac:dyDescent="0.25">
      <c r="D63" s="226">
        <v>45671</v>
      </c>
      <c r="E63" s="224">
        <f t="shared" si="11"/>
        <v>0.45202632490474542</v>
      </c>
      <c r="F63" s="224">
        <f t="shared" si="12"/>
        <v>0.16972635954277798</v>
      </c>
      <c r="G63" s="224">
        <f t="shared" si="13"/>
        <v>1.5240734326290266E-2</v>
      </c>
      <c r="H63" s="224">
        <f t="shared" si="14"/>
        <v>0.16799445791479045</v>
      </c>
      <c r="I63" s="224">
        <f t="shared" si="15"/>
        <v>0.19501212331139592</v>
      </c>
      <c r="J63" s="225">
        <f t="shared" si="16"/>
        <v>2887</v>
      </c>
    </row>
    <row r="64" spans="4:10" x14ac:dyDescent="0.25">
      <c r="D64" s="226">
        <v>45672</v>
      </c>
      <c r="E64" s="224">
        <f t="shared" si="11"/>
        <v>0.53256704980842917</v>
      </c>
      <c r="F64" s="224">
        <f t="shared" si="12"/>
        <v>0</v>
      </c>
      <c r="G64" s="224">
        <f t="shared" si="13"/>
        <v>1.7241379310344827E-2</v>
      </c>
      <c r="H64" s="224">
        <f t="shared" si="14"/>
        <v>0.2103448275862069</v>
      </c>
      <c r="I64" s="224">
        <f t="shared" si="15"/>
        <v>0.23984674329501915</v>
      </c>
      <c r="J64" s="225">
        <f t="shared" si="16"/>
        <v>2610</v>
      </c>
    </row>
    <row r="65" spans="4:10" x14ac:dyDescent="0.25">
      <c r="D65" s="226">
        <v>45673</v>
      </c>
      <c r="E65" s="224">
        <f t="shared" si="11"/>
        <v>0.56473724295506478</v>
      </c>
      <c r="F65" s="224">
        <f t="shared" si="12"/>
        <v>0</v>
      </c>
      <c r="G65" s="224">
        <f t="shared" si="13"/>
        <v>1.7136329017517136E-2</v>
      </c>
      <c r="H65" s="224">
        <f t="shared" si="14"/>
        <v>0.19192688499619193</v>
      </c>
      <c r="I65" s="224">
        <f t="shared" si="15"/>
        <v>0.22619954303122619</v>
      </c>
      <c r="J65" s="225">
        <f t="shared" si="16"/>
        <v>2626</v>
      </c>
    </row>
    <row r="66" spans="4:10" x14ac:dyDescent="0.25">
      <c r="D66" s="226">
        <v>45674</v>
      </c>
      <c r="E66" s="224">
        <f t="shared" si="11"/>
        <v>0.42123056118999325</v>
      </c>
      <c r="F66" s="224">
        <f t="shared" si="12"/>
        <v>0.20858688302907369</v>
      </c>
      <c r="G66" s="224">
        <f t="shared" si="13"/>
        <v>1.3860716700473293E-2</v>
      </c>
      <c r="H66" s="224">
        <f t="shared" si="14"/>
        <v>0.16565246788370522</v>
      </c>
      <c r="I66" s="224">
        <f t="shared" si="15"/>
        <v>0.19066937119675456</v>
      </c>
      <c r="J66" s="225">
        <f t="shared" si="16"/>
        <v>2958</v>
      </c>
    </row>
    <row r="67" spans="4:10" x14ac:dyDescent="0.25">
      <c r="D67" s="226">
        <v>45675</v>
      </c>
      <c r="E67" s="224">
        <f t="shared" si="11"/>
        <v>0.34300685207577591</v>
      </c>
      <c r="F67" s="224">
        <f t="shared" si="12"/>
        <v>0.23297057638049173</v>
      </c>
      <c r="G67" s="224">
        <f t="shared" si="13"/>
        <v>1.7331721080209594E-2</v>
      </c>
      <c r="H67" s="224">
        <f t="shared" si="14"/>
        <v>0.18299072954453849</v>
      </c>
      <c r="I67" s="224">
        <f t="shared" si="15"/>
        <v>0.22370012091898428</v>
      </c>
      <c r="J67" s="225">
        <f t="shared" si="16"/>
        <v>2481</v>
      </c>
    </row>
    <row r="68" spans="4:10" x14ac:dyDescent="0.25">
      <c r="D68" s="226">
        <v>45676</v>
      </c>
      <c r="E68" s="224">
        <f t="shared" si="11"/>
        <v>0.47749134282416317</v>
      </c>
      <c r="F68" s="224">
        <f t="shared" si="12"/>
        <v>0.12697191227395152</v>
      </c>
      <c r="G68" s="224">
        <f t="shared" si="13"/>
        <v>2.4240092343208928E-2</v>
      </c>
      <c r="H68" s="224">
        <f t="shared" si="14"/>
        <v>0.14851866102347056</v>
      </c>
      <c r="I68" s="224">
        <f t="shared" si="15"/>
        <v>0.22277799153520586</v>
      </c>
      <c r="J68" s="225">
        <f t="shared" si="16"/>
        <v>2599</v>
      </c>
    </row>
    <row r="69" spans="4:10" x14ac:dyDescent="0.25">
      <c r="D69" s="226">
        <v>45677</v>
      </c>
      <c r="E69" s="224">
        <f t="shared" si="11"/>
        <v>0.39752906976744184</v>
      </c>
      <c r="F69" s="224">
        <f t="shared" si="12"/>
        <v>0.21584302325581395</v>
      </c>
      <c r="G69" s="224">
        <f t="shared" si="13"/>
        <v>1.4171511627906976E-2</v>
      </c>
      <c r="H69" s="224">
        <f t="shared" si="14"/>
        <v>0.17405523255813954</v>
      </c>
      <c r="I69" s="224">
        <f t="shared" si="15"/>
        <v>0.19840116279069767</v>
      </c>
      <c r="J69" s="225">
        <f t="shared" si="16"/>
        <v>2752</v>
      </c>
    </row>
    <row r="70" spans="4:10" x14ac:dyDescent="0.25">
      <c r="D70" s="226">
        <v>45678</v>
      </c>
      <c r="E70" s="224">
        <f t="shared" si="11"/>
        <v>0.43374400260226065</v>
      </c>
      <c r="F70" s="224">
        <f t="shared" si="12"/>
        <v>0.20388780461359138</v>
      </c>
      <c r="G70" s="224">
        <f t="shared" si="13"/>
        <v>1.4976552546691606E-2</v>
      </c>
      <c r="H70" s="224">
        <f t="shared" si="14"/>
        <v>0.16590767395841802</v>
      </c>
      <c r="I70" s="224">
        <f t="shared" si="15"/>
        <v>0.18148396627903823</v>
      </c>
      <c r="J70" s="225">
        <f t="shared" si="16"/>
        <v>2951.28</v>
      </c>
    </row>
    <row r="71" spans="4:10" x14ac:dyDescent="0.25">
      <c r="D71" s="226">
        <v>45679</v>
      </c>
      <c r="E71" s="224">
        <f t="shared" si="11"/>
        <v>0.41291190316072629</v>
      </c>
      <c r="F71" s="224">
        <f t="shared" si="12"/>
        <v>0.20208473436449226</v>
      </c>
      <c r="G71" s="224">
        <f t="shared" si="13"/>
        <v>1.378614660390047E-2</v>
      </c>
      <c r="H71" s="224">
        <f t="shared" si="14"/>
        <v>0.16341627437794218</v>
      </c>
      <c r="I71" s="224">
        <f t="shared" si="15"/>
        <v>0.20780094149293879</v>
      </c>
      <c r="J71" s="225">
        <f t="shared" si="16"/>
        <v>2974</v>
      </c>
    </row>
    <row r="72" spans="4:10" x14ac:dyDescent="0.25">
      <c r="D72" s="226">
        <v>45680</v>
      </c>
      <c r="E72" s="224">
        <f t="shared" si="11"/>
        <v>0.44023323615160348</v>
      </c>
      <c r="F72" s="224">
        <f t="shared" si="12"/>
        <v>0.20181405895691609</v>
      </c>
      <c r="G72" s="224">
        <f t="shared" si="13"/>
        <v>1.3281503077421444E-2</v>
      </c>
      <c r="H72" s="224">
        <f t="shared" si="14"/>
        <v>0.15905409782960803</v>
      </c>
      <c r="I72" s="224">
        <f t="shared" si="15"/>
        <v>0.18561710398445092</v>
      </c>
      <c r="J72" s="225">
        <f t="shared" si="16"/>
        <v>3087</v>
      </c>
    </row>
    <row r="73" spans="4:10" x14ac:dyDescent="0.25">
      <c r="D73" s="226">
        <v>45681</v>
      </c>
      <c r="E73" s="224">
        <f t="shared" si="11"/>
        <v>0.42780916509730071</v>
      </c>
      <c r="F73" s="224">
        <f t="shared" si="12"/>
        <v>0.19868173258003766</v>
      </c>
      <c r="G73" s="224">
        <f t="shared" si="13"/>
        <v>1.2868801004394225E-2</v>
      </c>
      <c r="H73" s="224">
        <f t="shared" si="14"/>
        <v>0.15568110483364719</v>
      </c>
      <c r="I73" s="224">
        <f t="shared" si="15"/>
        <v>0.20495919648462022</v>
      </c>
      <c r="J73" s="225">
        <f t="shared" si="16"/>
        <v>3186</v>
      </c>
    </row>
    <row r="74" spans="4:10" x14ac:dyDescent="0.25">
      <c r="D74" s="226">
        <v>45682</v>
      </c>
      <c r="E74" s="224">
        <f t="shared" si="11"/>
        <v>0.35391444713478609</v>
      </c>
      <c r="F74" s="224">
        <f t="shared" si="12"/>
        <v>0.23930589184826473</v>
      </c>
      <c r="G74" s="224">
        <f t="shared" si="13"/>
        <v>1.735270379338176E-2</v>
      </c>
      <c r="H74" s="224">
        <f t="shared" si="14"/>
        <v>0.18159806295399517</v>
      </c>
      <c r="I74" s="224">
        <f t="shared" si="15"/>
        <v>0.20782889426957224</v>
      </c>
      <c r="J74" s="225">
        <f t="shared" si="16"/>
        <v>2478</v>
      </c>
    </row>
    <row r="75" spans="4:10" x14ac:dyDescent="0.25">
      <c r="D75" s="226">
        <v>45683</v>
      </c>
      <c r="E75" s="224">
        <f t="shared" si="11"/>
        <v>0.34836065573770492</v>
      </c>
      <c r="F75" s="224">
        <f t="shared" si="12"/>
        <v>0.2331967213114754</v>
      </c>
      <c r="G75" s="224">
        <f t="shared" si="13"/>
        <v>1.7213114754098362E-2</v>
      </c>
      <c r="H75" s="224">
        <f t="shared" si="14"/>
        <v>0.17090163934426231</v>
      </c>
      <c r="I75" s="224">
        <f t="shared" si="15"/>
        <v>0.23032786885245901</v>
      </c>
      <c r="J75" s="225">
        <f t="shared" si="16"/>
        <v>2440</v>
      </c>
    </row>
    <row r="76" spans="4:10" x14ac:dyDescent="0.25">
      <c r="D76" s="226">
        <v>45684</v>
      </c>
      <c r="E76" s="224">
        <f t="shared" si="11"/>
        <v>0.44061178001952489</v>
      </c>
      <c r="F76" s="224">
        <f t="shared" si="12"/>
        <v>0.21021802798568173</v>
      </c>
      <c r="G76" s="224">
        <f t="shared" si="13"/>
        <v>9.762447120078099E-3</v>
      </c>
      <c r="H76" s="224">
        <f t="shared" si="14"/>
        <v>0.15912788805727301</v>
      </c>
      <c r="I76" s="224">
        <f t="shared" si="15"/>
        <v>0.18027985681744224</v>
      </c>
      <c r="J76" s="225">
        <f t="shared" si="16"/>
        <v>3073</v>
      </c>
    </row>
    <row r="77" spans="4:10" x14ac:dyDescent="0.25">
      <c r="D77" s="226">
        <v>45685</v>
      </c>
      <c r="E77" s="224">
        <f t="shared" si="11"/>
        <v>0.43466577091031239</v>
      </c>
      <c r="F77" s="224">
        <f t="shared" si="12"/>
        <v>0.20120927107826672</v>
      </c>
      <c r="G77" s="224">
        <f t="shared" si="13"/>
        <v>1.5115888478333893E-2</v>
      </c>
      <c r="H77" s="224">
        <f t="shared" si="14"/>
        <v>0.16526704736311723</v>
      </c>
      <c r="I77" s="224">
        <f t="shared" si="15"/>
        <v>0.18374202216996977</v>
      </c>
      <c r="J77" s="225">
        <f t="shared" si="16"/>
        <v>2977</v>
      </c>
    </row>
    <row r="78" spans="4:10" x14ac:dyDescent="0.25">
      <c r="D78" s="226">
        <v>45686</v>
      </c>
      <c r="E78" s="224">
        <f t="shared" si="11"/>
        <v>0.43601503391713181</v>
      </c>
      <c r="F78" s="224">
        <f t="shared" si="12"/>
        <v>0.2058151638571219</v>
      </c>
      <c r="G78" s="224">
        <f t="shared" si="13"/>
        <v>1.4719546188077656E-2</v>
      </c>
      <c r="H78" s="224">
        <f t="shared" si="14"/>
        <v>0.17076280362993648</v>
      </c>
      <c r="I78" s="224">
        <f t="shared" si="15"/>
        <v>0.17268745240773212</v>
      </c>
      <c r="J78" s="225">
        <f t="shared" si="16"/>
        <v>2862.86</v>
      </c>
    </row>
    <row r="79" spans="4:10" x14ac:dyDescent="0.25">
      <c r="D79" s="226">
        <v>45687</v>
      </c>
      <c r="E79" s="224">
        <f t="shared" si="11"/>
        <v>0.42042265088808101</v>
      </c>
      <c r="F79" s="224">
        <f t="shared" si="12"/>
        <v>0.20505852693524543</v>
      </c>
      <c r="G79" s="224">
        <f t="shared" si="13"/>
        <v>1.6140436077445527E-2</v>
      </c>
      <c r="H79" s="224">
        <f t="shared" si="14"/>
        <v>0.17107433884917261</v>
      </c>
      <c r="I79" s="224">
        <f t="shared" si="15"/>
        <v>0.18730404725005534</v>
      </c>
      <c r="J79" s="225">
        <f t="shared" si="16"/>
        <v>2800.42</v>
      </c>
    </row>
    <row r="80" spans="4:10" x14ac:dyDescent="0.25">
      <c r="D80" s="226">
        <v>45688</v>
      </c>
      <c r="E80" s="224">
        <f t="shared" si="11"/>
        <v>0.41385311521058127</v>
      </c>
      <c r="F80" s="224">
        <f t="shared" si="12"/>
        <v>0.20953706926557605</v>
      </c>
      <c r="G80" s="224">
        <f t="shared" si="13"/>
        <v>1.4966933518969718E-2</v>
      </c>
      <c r="H80" s="224">
        <f t="shared" si="14"/>
        <v>0.16916115558649494</v>
      </c>
      <c r="I80" s="224">
        <f t="shared" si="15"/>
        <v>0.19248172641837799</v>
      </c>
      <c r="J80" s="225">
        <f t="shared" si="16"/>
        <v>2873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G14:G18">
    <cfRule type="cellIs" dxfId="45" priority="336" operator="equal">
      <formula>MAX($G$14:$G$16)</formula>
    </cfRule>
  </conditionalFormatting>
  <conditionalFormatting sqref="G19 G27:G39 G41:G44 G21:G25">
    <cfRule type="cellIs" dxfId="44" priority="96" operator="equal">
      <formula>MAX($G$14:$G$16)</formula>
    </cfRule>
  </conditionalFormatting>
  <conditionalFormatting sqref="L14:L19 L27:L39 L41:L44 L21:L25">
    <cfRule type="cellIs" dxfId="43" priority="97" operator="equal">
      <formula>MAX($L$14:$L$16)</formula>
    </cfRule>
  </conditionalFormatting>
  <conditionalFormatting sqref="T14:T19 T27:T39 T41:T44 T21:T25">
    <cfRule type="cellIs" dxfId="42" priority="98" operator="equal">
      <formula>MAX($T$14:$T$16)</formula>
    </cfRule>
  </conditionalFormatting>
  <conditionalFormatting sqref="X14:X19 X27:X39 X41:X44 X21:X25">
    <cfRule type="cellIs" dxfId="41" priority="99" operator="equal">
      <formula>MAX($X$14:$X$16)</formula>
    </cfRule>
  </conditionalFormatting>
  <conditionalFormatting sqref="J14:J19 J27:J39 J41:J44 J21:J25">
    <cfRule type="cellIs" dxfId="40" priority="100" operator="equal">
      <formula>MAX($J$14:$J$16)</formula>
    </cfRule>
  </conditionalFormatting>
  <conditionalFormatting sqref="V14:V19 V27:V39 V41:V44 V21:V25">
    <cfRule type="cellIs" dxfId="39" priority="101" operator="equal">
      <formula>MAX($V$14:$V$16)</formula>
    </cfRule>
  </conditionalFormatting>
  <conditionalFormatting sqref="D14:D19 D27:D39 D41:D44 D21:D25">
    <cfRule type="cellIs" dxfId="38" priority="102" operator="equal">
      <formula>MAX($D$14:$D$16)</formula>
    </cfRule>
  </conditionalFormatting>
  <conditionalFormatting sqref="S14:S19 S27:S39 S41:S44 S21:S25">
    <cfRule type="cellIs" dxfId="37" priority="103" operator="equal">
      <formula>MAX($S$14:$S$16)</formula>
    </cfRule>
  </conditionalFormatting>
  <conditionalFormatting sqref="N14:N19 N27:N39 N41:N44 N21:N25">
    <cfRule type="cellIs" dxfId="36" priority="104" operator="equal">
      <formula>MAX($N$14:$N$16)</formula>
    </cfRule>
  </conditionalFormatting>
  <conditionalFormatting sqref="P14:P19 P27:P39 P41:P44 P21:P25">
    <cfRule type="cellIs" dxfId="35" priority="105" operator="equal">
      <formula>MAX($P$14:$P$16)</formula>
    </cfRule>
  </conditionalFormatting>
  <conditionalFormatting sqref="G26">
    <cfRule type="cellIs" dxfId="34" priority="28" operator="equal">
      <formula>MAX($G$14:$G$16)</formula>
    </cfRule>
  </conditionalFormatting>
  <conditionalFormatting sqref="L26">
    <cfRule type="cellIs" dxfId="33" priority="29" operator="equal">
      <formula>MAX($L$14:$L$16)</formula>
    </cfRule>
  </conditionalFormatting>
  <conditionalFormatting sqref="T26">
    <cfRule type="cellIs" dxfId="32" priority="30" operator="equal">
      <formula>MAX($T$14:$T$16)</formula>
    </cfRule>
  </conditionalFormatting>
  <conditionalFormatting sqref="X26">
    <cfRule type="cellIs" dxfId="31" priority="31" operator="equal">
      <formula>MAX($X$14:$X$16)</formula>
    </cfRule>
  </conditionalFormatting>
  <conditionalFormatting sqref="J26">
    <cfRule type="cellIs" dxfId="30" priority="32" operator="equal">
      <formula>MAX($J$14:$J$16)</formula>
    </cfRule>
  </conditionalFormatting>
  <conditionalFormatting sqref="V26">
    <cfRule type="cellIs" dxfId="29" priority="33" operator="equal">
      <formula>MAX($V$14:$V$16)</formula>
    </cfRule>
  </conditionalFormatting>
  <conditionalFormatting sqref="D26">
    <cfRule type="cellIs" dxfId="28" priority="34" operator="equal">
      <formula>MAX($D$14:$D$16)</formula>
    </cfRule>
  </conditionalFormatting>
  <conditionalFormatting sqref="S26">
    <cfRule type="cellIs" dxfId="27" priority="35" operator="equal">
      <formula>MAX($S$14:$S$16)</formula>
    </cfRule>
  </conditionalFormatting>
  <conditionalFormatting sqref="N26">
    <cfRule type="cellIs" dxfId="26" priority="36" operator="equal">
      <formula>MAX($N$14:$N$16)</formula>
    </cfRule>
  </conditionalFormatting>
  <conditionalFormatting sqref="P26">
    <cfRule type="cellIs" dxfId="25" priority="37" operator="equal">
      <formula>MAX($P$14:$P$16)</formula>
    </cfRule>
  </conditionalFormatting>
  <conditionalFormatting sqref="G40">
    <cfRule type="cellIs" dxfId="24" priority="18" operator="equal">
      <formula>MAX($G$14:$G$16)</formula>
    </cfRule>
  </conditionalFormatting>
  <conditionalFormatting sqref="L40">
    <cfRule type="cellIs" dxfId="23" priority="19" operator="equal">
      <formula>MAX($L$14:$L$16)</formula>
    </cfRule>
  </conditionalFormatting>
  <conditionalFormatting sqref="T40">
    <cfRule type="cellIs" dxfId="22" priority="20" operator="equal">
      <formula>MAX($T$14:$T$16)</formula>
    </cfRule>
  </conditionalFormatting>
  <conditionalFormatting sqref="X40">
    <cfRule type="cellIs" dxfId="21" priority="21" operator="equal">
      <formula>MAX($X$14:$X$16)</formula>
    </cfRule>
  </conditionalFormatting>
  <conditionalFormatting sqref="J40">
    <cfRule type="cellIs" dxfId="20" priority="22" operator="equal">
      <formula>MAX($J$14:$J$16)</formula>
    </cfRule>
  </conditionalFormatting>
  <conditionalFormatting sqref="V40">
    <cfRule type="cellIs" dxfId="19" priority="23" operator="equal">
      <formula>MAX($V$14:$V$16)</formula>
    </cfRule>
  </conditionalFormatting>
  <conditionalFormatting sqref="D40">
    <cfRule type="cellIs" dxfId="18" priority="24" operator="equal">
      <formula>MAX($D$14:$D$16)</formula>
    </cfRule>
  </conditionalFormatting>
  <conditionalFormatting sqref="S40">
    <cfRule type="cellIs" dxfId="17" priority="25" operator="equal">
      <formula>MAX($S$14:$S$16)</formula>
    </cfRule>
  </conditionalFormatting>
  <conditionalFormatting sqref="N40">
    <cfRule type="cellIs" dxfId="16" priority="26" operator="equal">
      <formula>MAX($N$14:$N$16)</formula>
    </cfRule>
  </conditionalFormatting>
  <conditionalFormatting sqref="P40">
    <cfRule type="cellIs" dxfId="15" priority="27" operator="equal">
      <formula>MAX($P$14:$P$16)</formula>
    </cfRule>
  </conditionalFormatting>
  <conditionalFormatting sqref="G20">
    <cfRule type="cellIs" dxfId="14" priority="14" operator="equal">
      <formula>MAX($G$14:$G$42)</formula>
    </cfRule>
  </conditionalFormatting>
  <conditionalFormatting sqref="D20">
    <cfRule type="cellIs" dxfId="13" priority="15" operator="equal">
      <formula>MAX($D$14:$D$42)</formula>
    </cfRule>
  </conditionalFormatting>
  <conditionalFormatting sqref="L20">
    <cfRule type="cellIs" dxfId="12" priority="6" operator="equal">
      <formula>MAX($L$14:$L$42)</formula>
    </cfRule>
  </conditionalFormatting>
  <conditionalFormatting sqref="T20">
    <cfRule type="cellIs" dxfId="11" priority="7" operator="equal">
      <formula>MAX($T$14:$T$42)</formula>
    </cfRule>
  </conditionalFormatting>
  <conditionalFormatting sqref="X20">
    <cfRule type="cellIs" dxfId="10" priority="8" operator="equal">
      <formula>MAX($X$14:$X$42)</formula>
    </cfRule>
  </conditionalFormatting>
  <conditionalFormatting sqref="J20">
    <cfRule type="cellIs" dxfId="9" priority="9" operator="equal">
      <formula>MAX($J$14:$J$42)</formula>
    </cfRule>
  </conditionalFormatting>
  <conditionalFormatting sqref="V20">
    <cfRule type="cellIs" dxfId="8" priority="10" operator="equal">
      <formula>MAX($V$14:$V$42)</formula>
    </cfRule>
  </conditionalFormatting>
  <conditionalFormatting sqref="S20">
    <cfRule type="cellIs" dxfId="7" priority="11" operator="equal">
      <formula>MAX($S$14:$S$42)</formula>
    </cfRule>
  </conditionalFormatting>
  <conditionalFormatting sqref="N20">
    <cfRule type="cellIs" dxfId="6" priority="12" operator="equal">
      <formula>MAX($N$14:$N$42)</formula>
    </cfRule>
  </conditionalFormatting>
  <conditionalFormatting sqref="P20">
    <cfRule type="cellIs" dxfId="5" priority="13" operator="equal">
      <formula>MAX($P$14:$P$42)</formula>
    </cfRule>
  </conditionalFormatting>
  <conditionalFormatting sqref="E50:E66">
    <cfRule type="top10" dxfId="4" priority="5" rank="2"/>
  </conditionalFormatting>
  <conditionalFormatting sqref="F50:F80">
    <cfRule type="top10" dxfId="3" priority="4" rank="2"/>
  </conditionalFormatting>
  <conditionalFormatting sqref="G50:G66">
    <cfRule type="top10" dxfId="2" priority="3" rank="2"/>
  </conditionalFormatting>
  <conditionalFormatting sqref="H50:H66">
    <cfRule type="top10" dxfId="1" priority="2" rank="2"/>
  </conditionalFormatting>
  <conditionalFormatting sqref="I50:I66">
    <cfRule type="top10" dxfId="0" priority="1" rank="2"/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8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6FA00BED-FB30-4D57-8E2C-1E7FB56AA588}"/>
</file>

<file path=customXml/itemProps2.xml><?xml version="1.0" encoding="utf-8"?>
<ds:datastoreItem xmlns:ds="http://schemas.openxmlformats.org/officeDocument/2006/customXml" ds:itemID="{EB344B2F-B130-4EA7-829D-ABF1BCF34458}"/>
</file>

<file path=customXml/itemProps3.xml><?xml version="1.0" encoding="utf-8"?>
<ds:datastoreItem xmlns:ds="http://schemas.openxmlformats.org/officeDocument/2006/customXml" ds:itemID="{F362ADD1-AF5E-47A0-8F6C-770CDD6E3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