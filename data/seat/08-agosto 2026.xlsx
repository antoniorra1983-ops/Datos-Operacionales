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Datos/Energía/SEAT/2026/"/>
    </mc:Choice>
  </mc:AlternateContent>
  <xr:revisionPtr revIDLastSave="19" documentId="13_ncr:1_{4EDF50BE-7570-4780-BF1E-0DB95EDA3B86}" xr6:coauthVersionLast="47" xr6:coauthVersionMax="47" xr10:uidLastSave="{D6121A01-5663-4774-B7BA-44D83E274B6B}"/>
  <bookViews>
    <workbookView xWindow="-120" yWindow="-120" windowWidth="29040" windowHeight="15720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33" i="1" l="1"/>
  <c r="BA33" i="1" s="1"/>
  <c r="BB32" i="1"/>
  <c r="BA32" i="1" s="1"/>
  <c r="BB31" i="1"/>
  <c r="BB30" i="1"/>
  <c r="AX30" i="1" s="1"/>
  <c r="BB29" i="1"/>
  <c r="R41" i="2"/>
  <c r="M41" i="2"/>
  <c r="G41" i="2"/>
  <c r="R40" i="2"/>
  <c r="M40" i="2"/>
  <c r="G40" i="2"/>
  <c r="R39" i="2"/>
  <c r="M39" i="2"/>
  <c r="I39" i="2"/>
  <c r="I40" i="2" s="1"/>
  <c r="I41" i="2" s="1"/>
  <c r="G39" i="2"/>
  <c r="R38" i="2"/>
  <c r="M38" i="2"/>
  <c r="I38" i="2"/>
  <c r="G38" i="2"/>
  <c r="BL33" i="1"/>
  <c r="BK33" i="1"/>
  <c r="BJ33" i="1"/>
  <c r="AP33" i="1"/>
  <c r="AN33" i="1"/>
  <c r="AM33" i="1"/>
  <c r="AF33" i="1"/>
  <c r="AC33" i="1" s="1"/>
  <c r="AD33" i="1"/>
  <c r="D33" i="1"/>
  <c r="BL32" i="1"/>
  <c r="BK32" i="1"/>
  <c r="BJ32" i="1"/>
  <c r="AP32" i="1"/>
  <c r="AN32" i="1"/>
  <c r="AM32" i="1"/>
  <c r="AF32" i="1"/>
  <c r="AC32" i="1" s="1"/>
  <c r="AD32" i="1"/>
  <c r="D32" i="1"/>
  <c r="BL31" i="1"/>
  <c r="BK31" i="1"/>
  <c r="BJ31" i="1"/>
  <c r="BA31" i="1"/>
  <c r="AW31" i="1" s="1"/>
  <c r="AX31" i="1"/>
  <c r="AP31" i="1"/>
  <c r="AN31" i="1"/>
  <c r="AM31" i="1"/>
  <c r="AF31" i="1"/>
  <c r="AC31" i="1" s="1"/>
  <c r="AD31" i="1"/>
  <c r="H31" i="1"/>
  <c r="G31" i="1"/>
  <c r="F31" i="1"/>
  <c r="E31" i="1"/>
  <c r="D31" i="1"/>
  <c r="BL30" i="1"/>
  <c r="BK30" i="1"/>
  <c r="BJ30" i="1"/>
  <c r="BI30" i="1"/>
  <c r="BI31" i="1" s="1"/>
  <c r="BI32" i="1" s="1"/>
  <c r="BI33" i="1" s="1"/>
  <c r="BA30" i="1"/>
  <c r="AW30" i="1" s="1"/>
  <c r="AV30" i="1"/>
  <c r="AV31" i="1" s="1"/>
  <c r="AV32" i="1" s="1"/>
  <c r="AV33" i="1" s="1"/>
  <c r="AP30" i="1"/>
  <c r="AN30" i="1"/>
  <c r="AM30" i="1"/>
  <c r="AL30" i="1"/>
  <c r="AL31" i="1" s="1"/>
  <c r="AL32" i="1" s="1"/>
  <c r="AL33" i="1" s="1"/>
  <c r="AF30" i="1"/>
  <c r="AC30" i="1" s="1"/>
  <c r="AD30" i="1"/>
  <c r="AB30" i="1"/>
  <c r="AB31" i="1" s="1"/>
  <c r="AB32" i="1" s="1"/>
  <c r="AB33" i="1" s="1"/>
  <c r="Q30" i="1"/>
  <c r="Q31" i="1" s="1"/>
  <c r="Q32" i="1" s="1"/>
  <c r="Q33" i="1" s="1"/>
  <c r="H30" i="1"/>
  <c r="G30" i="1"/>
  <c r="F30" i="1"/>
  <c r="E30" i="1"/>
  <c r="D30" i="1"/>
  <c r="B30" i="1"/>
  <c r="B31" i="1" s="1"/>
  <c r="B32" i="1" s="1"/>
  <c r="B33" i="1" s="1"/>
  <c r="AW33" i="1" l="1"/>
  <c r="AY33" i="1"/>
  <c r="J33" i="1" s="1"/>
  <c r="N33" i="1" s="1"/>
  <c r="AX33" i="1"/>
  <c r="H33" i="1"/>
  <c r="AW32" i="1"/>
  <c r="AY32" i="1"/>
  <c r="J32" i="1" s="1"/>
  <c r="N32" i="1" s="1"/>
  <c r="H32" i="1"/>
  <c r="AX32" i="1"/>
  <c r="AY31" i="1"/>
  <c r="J31" i="1" s="1"/>
  <c r="N31" i="1" s="1"/>
  <c r="AY30" i="1"/>
  <c r="J30" i="1" s="1"/>
  <c r="N30" i="1" s="1"/>
  <c r="K31" i="1"/>
  <c r="O31" i="1" s="1"/>
  <c r="K32" i="1"/>
  <c r="O32" i="1" s="1"/>
  <c r="K33" i="1"/>
  <c r="O33" i="1" s="1"/>
  <c r="L30" i="1"/>
  <c r="P30" i="1" s="1"/>
  <c r="L31" i="1"/>
  <c r="P31" i="1" s="1"/>
  <c r="L32" i="1"/>
  <c r="P32" i="1" s="1"/>
  <c r="I30" i="1"/>
  <c r="M30" i="1" s="1"/>
  <c r="I31" i="1"/>
  <c r="M31" i="1" s="1"/>
  <c r="I32" i="1"/>
  <c r="M32" i="1" s="1"/>
  <c r="I33" i="1"/>
  <c r="M33" i="1" s="1"/>
  <c r="G33" i="1" l="1"/>
  <c r="F33" i="1"/>
  <c r="E33" i="1" s="1"/>
  <c r="L33" i="1"/>
  <c r="P33" i="1" s="1"/>
  <c r="G32" i="1"/>
  <c r="F32" i="1"/>
  <c r="E32" i="1" s="1"/>
  <c r="K30" i="1"/>
  <c r="O30" i="1" s="1"/>
  <c r="BB28" i="1"/>
  <c r="BA28" i="1" s="1"/>
  <c r="BB27" i="1"/>
  <c r="AX27" i="1" s="1"/>
  <c r="BB26" i="1"/>
  <c r="AX26" i="1" s="1"/>
  <c r="BB25" i="1"/>
  <c r="BB24" i="1"/>
  <c r="BB23" i="1"/>
  <c r="BB22" i="1"/>
  <c r="R37" i="2"/>
  <c r="M37" i="2"/>
  <c r="G37" i="2"/>
  <c r="R36" i="2"/>
  <c r="M36" i="2"/>
  <c r="G36" i="2"/>
  <c r="R35" i="2"/>
  <c r="M35" i="2"/>
  <c r="G35" i="2"/>
  <c r="R34" i="2"/>
  <c r="M34" i="2"/>
  <c r="G34" i="2"/>
  <c r="R33" i="2"/>
  <c r="M33" i="2"/>
  <c r="G33" i="2"/>
  <c r="R32" i="2"/>
  <c r="M32" i="2"/>
  <c r="G32" i="2"/>
  <c r="R31" i="2"/>
  <c r="M31" i="2"/>
  <c r="G31" i="2"/>
  <c r="R30" i="2"/>
  <c r="M30" i="2"/>
  <c r="G30" i="2"/>
  <c r="R29" i="2"/>
  <c r="M29" i="2"/>
  <c r="G29" i="2"/>
  <c r="R28" i="2"/>
  <c r="M28" i="2"/>
  <c r="G28" i="2"/>
  <c r="R27" i="2"/>
  <c r="M27" i="2"/>
  <c r="G27" i="2"/>
  <c r="R26" i="2"/>
  <c r="M26" i="2"/>
  <c r="G26" i="2"/>
  <c r="R25" i="2"/>
  <c r="M25" i="2"/>
  <c r="G25" i="2"/>
  <c r="R24" i="2"/>
  <c r="M24" i="2"/>
  <c r="I24" i="2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G24" i="2"/>
  <c r="BL29" i="1"/>
  <c r="BK29" i="1"/>
  <c r="BJ29" i="1"/>
  <c r="BA29" i="1"/>
  <c r="AY29" i="1" s="1"/>
  <c r="AX29" i="1"/>
  <c r="AP29" i="1"/>
  <c r="AN29" i="1"/>
  <c r="AM29" i="1"/>
  <c r="AF29" i="1"/>
  <c r="AD29" i="1"/>
  <c r="AC29" i="1"/>
  <c r="H29" i="1"/>
  <c r="D29" i="1"/>
  <c r="BL28" i="1"/>
  <c r="BK28" i="1"/>
  <c r="BJ28" i="1"/>
  <c r="AP28" i="1"/>
  <c r="AN28" i="1"/>
  <c r="AM28" i="1"/>
  <c r="AF28" i="1"/>
  <c r="AD28" i="1"/>
  <c r="AC28" i="1"/>
  <c r="H28" i="1"/>
  <c r="D28" i="1"/>
  <c r="BL27" i="1"/>
  <c r="BK27" i="1"/>
  <c r="BJ27" i="1"/>
  <c r="BA27" i="1"/>
  <c r="AY27" i="1" s="1"/>
  <c r="AW27" i="1"/>
  <c r="AP27" i="1"/>
  <c r="AN27" i="1"/>
  <c r="AM27" i="1"/>
  <c r="AF27" i="1"/>
  <c r="AD27" i="1"/>
  <c r="AC27" i="1"/>
  <c r="H27" i="1"/>
  <c r="D27" i="1"/>
  <c r="G27" i="1" s="1"/>
  <c r="BL26" i="1"/>
  <c r="BK26" i="1"/>
  <c r="BJ26" i="1"/>
  <c r="AP26" i="1"/>
  <c r="AN26" i="1"/>
  <c r="AM26" i="1"/>
  <c r="AF26" i="1"/>
  <c r="AD26" i="1"/>
  <c r="AC26" i="1"/>
  <c r="D26" i="1"/>
  <c r="BL25" i="1"/>
  <c r="BK25" i="1"/>
  <c r="BJ25" i="1"/>
  <c r="BA25" i="1"/>
  <c r="AY25" i="1" s="1"/>
  <c r="AX25" i="1"/>
  <c r="AP25" i="1"/>
  <c r="AN25" i="1"/>
  <c r="AM25" i="1"/>
  <c r="AF25" i="1"/>
  <c r="AD25" i="1"/>
  <c r="AC25" i="1"/>
  <c r="H25" i="1"/>
  <c r="D25" i="1"/>
  <c r="BL24" i="1"/>
  <c r="BK24" i="1"/>
  <c r="BJ24" i="1"/>
  <c r="BA24" i="1"/>
  <c r="AY24" i="1" s="1"/>
  <c r="AX24" i="1"/>
  <c r="AP24" i="1"/>
  <c r="AN24" i="1"/>
  <c r="AM24" i="1"/>
  <c r="AF24" i="1"/>
  <c r="AD24" i="1"/>
  <c r="AC24" i="1"/>
  <c r="H24" i="1"/>
  <c r="D24" i="1"/>
  <c r="G24" i="1" s="1"/>
  <c r="BL23" i="1"/>
  <c r="BK23" i="1"/>
  <c r="BJ23" i="1"/>
  <c r="BI23" i="1"/>
  <c r="BI24" i="1" s="1"/>
  <c r="BI25" i="1" s="1"/>
  <c r="BI26" i="1" s="1"/>
  <c r="BI27" i="1" s="1"/>
  <c r="BI28" i="1" s="1"/>
  <c r="BI29" i="1" s="1"/>
  <c r="BA23" i="1"/>
  <c r="AY23" i="1" s="1"/>
  <c r="AX23" i="1"/>
  <c r="AV23" i="1"/>
  <c r="AV24" i="1" s="1"/>
  <c r="AV25" i="1" s="1"/>
  <c r="AV26" i="1" s="1"/>
  <c r="AV27" i="1" s="1"/>
  <c r="AV28" i="1" s="1"/>
  <c r="AV29" i="1" s="1"/>
  <c r="AP23" i="1"/>
  <c r="AN23" i="1"/>
  <c r="AM23" i="1"/>
  <c r="AL23" i="1"/>
  <c r="AL24" i="1" s="1"/>
  <c r="AL25" i="1" s="1"/>
  <c r="AL26" i="1" s="1"/>
  <c r="AL27" i="1" s="1"/>
  <c r="AL28" i="1" s="1"/>
  <c r="AL29" i="1" s="1"/>
  <c r="AF23" i="1"/>
  <c r="AD23" i="1"/>
  <c r="AC23" i="1"/>
  <c r="AB23" i="1"/>
  <c r="AB24" i="1" s="1"/>
  <c r="AB25" i="1" s="1"/>
  <c r="AB26" i="1" s="1"/>
  <c r="AB27" i="1" s="1"/>
  <c r="AB28" i="1" s="1"/>
  <c r="AB29" i="1" s="1"/>
  <c r="Q23" i="1"/>
  <c r="Q24" i="1" s="1"/>
  <c r="Q25" i="1" s="1"/>
  <c r="Q26" i="1" s="1"/>
  <c r="Q27" i="1" s="1"/>
  <c r="Q28" i="1" s="1"/>
  <c r="Q29" i="1" s="1"/>
  <c r="H23" i="1"/>
  <c r="D23" i="1"/>
  <c r="G23" i="1" s="1"/>
  <c r="B23" i="1"/>
  <c r="B24" i="1" s="1"/>
  <c r="B25" i="1" s="1"/>
  <c r="B26" i="1" s="1"/>
  <c r="B27" i="1" s="1"/>
  <c r="B28" i="1" s="1"/>
  <c r="B29" i="1" s="1"/>
  <c r="G29" i="1" l="1"/>
  <c r="AW29" i="1"/>
  <c r="AY28" i="1"/>
  <c r="J28" i="1" s="1"/>
  <c r="N28" i="1" s="1"/>
  <c r="AW28" i="1"/>
  <c r="AX28" i="1"/>
  <c r="G28" i="1"/>
  <c r="G26" i="1"/>
  <c r="BA26" i="1"/>
  <c r="H26" i="1"/>
  <c r="G25" i="1"/>
  <c r="AW25" i="1"/>
  <c r="AW24" i="1"/>
  <c r="AW23" i="1"/>
  <c r="J25" i="1"/>
  <c r="N25" i="1" s="1"/>
  <c r="L25" i="1"/>
  <c r="P25" i="1" s="1"/>
  <c r="I25" i="1"/>
  <c r="M25" i="1" s="1"/>
  <c r="K25" i="1"/>
  <c r="O25" i="1" s="1"/>
  <c r="J29" i="1"/>
  <c r="N29" i="1" s="1"/>
  <c r="I29" i="1"/>
  <c r="M29" i="1" s="1"/>
  <c r="K29" i="1"/>
  <c r="O29" i="1" s="1"/>
  <c r="L29" i="1"/>
  <c r="P29" i="1" s="1"/>
  <c r="J24" i="1"/>
  <c r="N24" i="1" s="1"/>
  <c r="I24" i="1"/>
  <c r="M24" i="1" s="1"/>
  <c r="K24" i="1"/>
  <c r="O24" i="1" s="1"/>
  <c r="L24" i="1"/>
  <c r="P24" i="1" s="1"/>
  <c r="J27" i="1"/>
  <c r="N27" i="1" s="1"/>
  <c r="I27" i="1"/>
  <c r="M27" i="1" s="1"/>
  <c r="L27" i="1"/>
  <c r="P27" i="1" s="1"/>
  <c r="K27" i="1"/>
  <c r="O27" i="1" s="1"/>
  <c r="J23" i="1"/>
  <c r="N23" i="1" s="1"/>
  <c r="I23" i="1"/>
  <c r="M23" i="1" s="1"/>
  <c r="L23" i="1"/>
  <c r="P23" i="1" s="1"/>
  <c r="K23" i="1"/>
  <c r="O23" i="1" s="1"/>
  <c r="F23" i="1"/>
  <c r="E23" i="1" s="1"/>
  <c r="F24" i="1"/>
  <c r="E24" i="1" s="1"/>
  <c r="F25" i="1"/>
  <c r="E25" i="1" s="1"/>
  <c r="F26" i="1"/>
  <c r="E26" i="1" s="1"/>
  <c r="F27" i="1"/>
  <c r="E27" i="1" s="1"/>
  <c r="F28" i="1"/>
  <c r="E28" i="1" s="1"/>
  <c r="F29" i="1"/>
  <c r="E29" i="1" s="1"/>
  <c r="L28" i="1" l="1"/>
  <c r="P28" i="1" s="1"/>
  <c r="K28" i="1"/>
  <c r="O28" i="1" s="1"/>
  <c r="I28" i="1"/>
  <c r="M28" i="1" s="1"/>
  <c r="AY26" i="1"/>
  <c r="AW26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K26" i="1" l="1"/>
  <c r="O26" i="1" s="1"/>
  <c r="L26" i="1"/>
  <c r="P26" i="1" s="1"/>
  <c r="I26" i="1"/>
  <c r="M26" i="1" s="1"/>
  <c r="J26" i="1"/>
  <c r="N26" i="1" s="1"/>
  <c r="BL22" i="1"/>
  <c r="BK22" i="1"/>
  <c r="BJ22" i="1"/>
  <c r="BA22" i="1"/>
  <c r="AY22" i="1"/>
  <c r="J22" i="1" s="1"/>
  <c r="N22" i="1" s="1"/>
  <c r="AX22" i="1"/>
  <c r="AW22" i="1"/>
  <c r="AP22" i="1"/>
  <c r="AM22" i="1" s="1"/>
  <c r="AN22" i="1"/>
  <c r="AF22" i="1"/>
  <c r="AD22" i="1"/>
  <c r="AC22" i="1"/>
  <c r="K22" i="1"/>
  <c r="O22" i="1" s="1"/>
  <c r="H22" i="1"/>
  <c r="G22" i="1" s="1"/>
  <c r="D22" i="1"/>
  <c r="BL21" i="1"/>
  <c r="BK21" i="1"/>
  <c r="BJ21" i="1"/>
  <c r="BA21" i="1"/>
  <c r="AY21" i="1"/>
  <c r="J21" i="1" s="1"/>
  <c r="N21" i="1" s="1"/>
  <c r="AX21" i="1"/>
  <c r="AW21" i="1"/>
  <c r="AP21" i="1"/>
  <c r="AM21" i="1" s="1"/>
  <c r="AN21" i="1"/>
  <c r="AF21" i="1"/>
  <c r="AD21" i="1"/>
  <c r="AC21" i="1"/>
  <c r="L21" i="1"/>
  <c r="P21" i="1" s="1"/>
  <c r="K21" i="1"/>
  <c r="O21" i="1" s="1"/>
  <c r="H21" i="1"/>
  <c r="G21" i="1" s="1"/>
  <c r="D21" i="1"/>
  <c r="BL20" i="1"/>
  <c r="BK20" i="1"/>
  <c r="BJ20" i="1"/>
  <c r="BA20" i="1"/>
  <c r="AY20" i="1"/>
  <c r="J20" i="1" s="1"/>
  <c r="N20" i="1" s="1"/>
  <c r="AX20" i="1"/>
  <c r="AW20" i="1"/>
  <c r="AP20" i="1"/>
  <c r="AM20" i="1" s="1"/>
  <c r="AN20" i="1"/>
  <c r="AF20" i="1"/>
  <c r="AD20" i="1"/>
  <c r="AC20" i="1"/>
  <c r="K20" i="1"/>
  <c r="O20" i="1" s="1"/>
  <c r="H20" i="1"/>
  <c r="G20" i="1" s="1"/>
  <c r="D20" i="1"/>
  <c r="BL19" i="1"/>
  <c r="BK19" i="1"/>
  <c r="BJ19" i="1"/>
  <c r="BA19" i="1"/>
  <c r="AY19" i="1"/>
  <c r="J19" i="1" s="1"/>
  <c r="N19" i="1" s="1"/>
  <c r="AX19" i="1"/>
  <c r="AW19" i="1"/>
  <c r="AP19" i="1"/>
  <c r="AM19" i="1" s="1"/>
  <c r="AN19" i="1"/>
  <c r="AF19" i="1"/>
  <c r="AD19" i="1"/>
  <c r="AC19" i="1"/>
  <c r="L19" i="1"/>
  <c r="P19" i="1" s="1"/>
  <c r="K19" i="1"/>
  <c r="O19" i="1" s="1"/>
  <c r="H19" i="1"/>
  <c r="G19" i="1" s="1"/>
  <c r="D19" i="1"/>
  <c r="BL18" i="1"/>
  <c r="BK18" i="1"/>
  <c r="BJ18" i="1"/>
  <c r="BA18" i="1"/>
  <c r="AY18" i="1"/>
  <c r="J18" i="1" s="1"/>
  <c r="N18" i="1" s="1"/>
  <c r="AX18" i="1"/>
  <c r="AW18" i="1"/>
  <c r="AP18" i="1"/>
  <c r="AM18" i="1" s="1"/>
  <c r="AN18" i="1"/>
  <c r="AF18" i="1"/>
  <c r="AD18" i="1"/>
  <c r="AC18" i="1"/>
  <c r="L18" i="1"/>
  <c r="P18" i="1" s="1"/>
  <c r="K18" i="1"/>
  <c r="O18" i="1" s="1"/>
  <c r="H18" i="1"/>
  <c r="G18" i="1" s="1"/>
  <c r="D18" i="1"/>
  <c r="BL17" i="1"/>
  <c r="BK17" i="1"/>
  <c r="BJ17" i="1"/>
  <c r="BA17" i="1"/>
  <c r="AY17" i="1" s="1"/>
  <c r="AX17" i="1"/>
  <c r="AP17" i="1"/>
  <c r="AM17" i="1" s="1"/>
  <c r="AN17" i="1"/>
  <c r="AF17" i="1"/>
  <c r="AD17" i="1"/>
  <c r="AC17" i="1"/>
  <c r="H17" i="1"/>
  <c r="G17" i="1" s="1"/>
  <c r="D17" i="1"/>
  <c r="BL16" i="1"/>
  <c r="BK16" i="1"/>
  <c r="BJ16" i="1"/>
  <c r="BI16" i="1"/>
  <c r="BI17" i="1" s="1"/>
  <c r="BI18" i="1" s="1"/>
  <c r="BI19" i="1" s="1"/>
  <c r="BI20" i="1" s="1"/>
  <c r="BI21" i="1" s="1"/>
  <c r="BI22" i="1" s="1"/>
  <c r="BA16" i="1"/>
  <c r="AW16" i="1" s="1"/>
  <c r="AY16" i="1"/>
  <c r="J16" i="1" s="1"/>
  <c r="N16" i="1" s="1"/>
  <c r="AX16" i="1"/>
  <c r="AV16" i="1"/>
  <c r="AV17" i="1" s="1"/>
  <c r="AV18" i="1" s="1"/>
  <c r="AV19" i="1" s="1"/>
  <c r="AV20" i="1" s="1"/>
  <c r="AV21" i="1" s="1"/>
  <c r="AV22" i="1" s="1"/>
  <c r="AP16" i="1"/>
  <c r="AM16" i="1" s="1"/>
  <c r="AN16" i="1"/>
  <c r="AL16" i="1"/>
  <c r="AL17" i="1" s="1"/>
  <c r="AL18" i="1" s="1"/>
  <c r="AL19" i="1" s="1"/>
  <c r="AL20" i="1" s="1"/>
  <c r="AL21" i="1" s="1"/>
  <c r="AL22" i="1" s="1"/>
  <c r="AF16" i="1"/>
  <c r="AD16" i="1"/>
  <c r="AC16" i="1"/>
  <c r="AB16" i="1"/>
  <c r="AB17" i="1" s="1"/>
  <c r="AB18" i="1" s="1"/>
  <c r="AB19" i="1" s="1"/>
  <c r="AB20" i="1" s="1"/>
  <c r="AB21" i="1" s="1"/>
  <c r="AB22" i="1" s="1"/>
  <c r="Q16" i="1"/>
  <c r="Q17" i="1" s="1"/>
  <c r="Q18" i="1" s="1"/>
  <c r="Q19" i="1" s="1"/>
  <c r="Q20" i="1" s="1"/>
  <c r="Q21" i="1" s="1"/>
  <c r="Q22" i="1" s="1"/>
  <c r="H16" i="1"/>
  <c r="G16" i="1" s="1"/>
  <c r="D16" i="1"/>
  <c r="F16" i="1" s="1"/>
  <c r="E16" i="1" s="1"/>
  <c r="B16" i="1"/>
  <c r="B17" i="1" s="1"/>
  <c r="B18" i="1" s="1"/>
  <c r="B19" i="1" s="1"/>
  <c r="B20" i="1" s="1"/>
  <c r="B21" i="1" s="1"/>
  <c r="B22" i="1" s="1"/>
  <c r="L22" i="1" l="1"/>
  <c r="P22" i="1" s="1"/>
  <c r="F22" i="1"/>
  <c r="E22" i="1" s="1"/>
  <c r="F21" i="1"/>
  <c r="E21" i="1" s="1"/>
  <c r="L20" i="1"/>
  <c r="P20" i="1" s="1"/>
  <c r="F20" i="1"/>
  <c r="E20" i="1" s="1"/>
  <c r="F19" i="1"/>
  <c r="E19" i="1" s="1"/>
  <c r="F18" i="1"/>
  <c r="E18" i="1" s="1"/>
  <c r="J17" i="1"/>
  <c r="N17" i="1" s="1"/>
  <c r="L17" i="1"/>
  <c r="P17" i="1" s="1"/>
  <c r="K17" i="1"/>
  <c r="O17" i="1" s="1"/>
  <c r="AW17" i="1"/>
  <c r="F17" i="1"/>
  <c r="E17" i="1" s="1"/>
  <c r="K16" i="1"/>
  <c r="O16" i="1" s="1"/>
  <c r="L16" i="1"/>
  <c r="P16" i="1" s="1"/>
  <c r="I16" i="1"/>
  <c r="M16" i="1" s="1"/>
  <c r="I17" i="1"/>
  <c r="M17" i="1" s="1"/>
  <c r="I18" i="1"/>
  <c r="M18" i="1" s="1"/>
  <c r="I19" i="1"/>
  <c r="M19" i="1" s="1"/>
  <c r="I20" i="1"/>
  <c r="M20" i="1" s="1"/>
  <c r="I21" i="1"/>
  <c r="M21" i="1" s="1"/>
  <c r="I22" i="1"/>
  <c r="M22" i="1" s="1"/>
  <c r="P34" i="1" l="1"/>
  <c r="P35" i="1"/>
  <c r="P36" i="1"/>
  <c r="P37" i="1"/>
  <c r="O34" i="1"/>
  <c r="O35" i="1"/>
  <c r="O36" i="1"/>
  <c r="O37" i="1"/>
  <c r="N34" i="1"/>
  <c r="N35" i="1"/>
  <c r="N36" i="1"/>
  <c r="N37" i="1"/>
  <c r="L34" i="1"/>
  <c r="L35" i="1"/>
  <c r="L36" i="1"/>
  <c r="L37" i="1"/>
  <c r="K34" i="1"/>
  <c r="K35" i="1"/>
  <c r="K36" i="1"/>
  <c r="K37" i="1"/>
  <c r="J34" i="1"/>
  <c r="J35" i="1"/>
  <c r="J36" i="1"/>
  <c r="J37" i="1"/>
  <c r="I34" i="1"/>
  <c r="I35" i="1"/>
  <c r="I36" i="1"/>
  <c r="I37" i="1"/>
  <c r="H7" i="1"/>
  <c r="F7" i="1" s="1"/>
  <c r="H8" i="1"/>
  <c r="F8" i="1" s="1"/>
  <c r="H9" i="1"/>
  <c r="F9" i="1" s="1"/>
  <c r="H10" i="1"/>
  <c r="H11" i="1"/>
  <c r="H12" i="1"/>
  <c r="H13" i="1"/>
  <c r="H14" i="1"/>
  <c r="H15" i="1"/>
  <c r="H34" i="1"/>
  <c r="H35" i="1"/>
  <c r="H36" i="1"/>
  <c r="F36" i="1" s="1"/>
  <c r="H37" i="1"/>
  <c r="F34" i="1"/>
  <c r="F35" i="1"/>
  <c r="F37" i="1"/>
  <c r="D7" i="1"/>
  <c r="D8" i="1"/>
  <c r="D9" i="1"/>
  <c r="D10" i="1"/>
  <c r="D11" i="1"/>
  <c r="D12" i="1"/>
  <c r="D13" i="1"/>
  <c r="D14" i="1"/>
  <c r="D15" i="1"/>
  <c r="D34" i="1"/>
  <c r="D35" i="1"/>
  <c r="D36" i="1"/>
  <c r="D37" i="1"/>
  <c r="D6" i="1"/>
  <c r="R14" i="2"/>
  <c r="I14" i="2"/>
  <c r="G14" i="2"/>
  <c r="M14" i="2"/>
  <c r="I16" i="2"/>
  <c r="I17" i="2"/>
  <c r="I18" i="2" s="1"/>
  <c r="I19" i="2" s="1"/>
  <c r="I20" i="2" s="1"/>
  <c r="I21" i="2" s="1"/>
  <c r="I22" i="2" s="1"/>
  <c r="I23" i="2" s="1"/>
  <c r="I42" i="2" s="1"/>
  <c r="I43" i="2" s="1"/>
  <c r="I44" i="2" s="1"/>
  <c r="I45" i="2" s="1"/>
  <c r="BL6" i="1"/>
  <c r="BJ6" i="1" s="1"/>
  <c r="BK6" i="1"/>
  <c r="BA6" i="1"/>
  <c r="AY6" i="1" s="1"/>
  <c r="AP6" i="1"/>
  <c r="AM6" i="1" s="1"/>
  <c r="AN6" i="1"/>
  <c r="AN7" i="1"/>
  <c r="AP7" i="1"/>
  <c r="AM7" i="1" s="1"/>
  <c r="AN8" i="1"/>
  <c r="AP8" i="1"/>
  <c r="AM8" i="1" s="1"/>
  <c r="AM9" i="1"/>
  <c r="AN9" i="1"/>
  <c r="AP9" i="1"/>
  <c r="AN10" i="1"/>
  <c r="AP10" i="1"/>
  <c r="AM10" i="1" s="1"/>
  <c r="AN11" i="1"/>
  <c r="AP11" i="1"/>
  <c r="AM11" i="1" s="1"/>
  <c r="AN12" i="1"/>
  <c r="AP12" i="1"/>
  <c r="AM12" i="1" s="1"/>
  <c r="AN13" i="1"/>
  <c r="AP13" i="1"/>
  <c r="AM13" i="1" s="1"/>
  <c r="AN14" i="1"/>
  <c r="AP14" i="1"/>
  <c r="AM14" i="1" s="1"/>
  <c r="AN15" i="1"/>
  <c r="AP15" i="1"/>
  <c r="AM15" i="1" s="1"/>
  <c r="AP34" i="1"/>
  <c r="AM34" i="1" s="1"/>
  <c r="AN35" i="1"/>
  <c r="AP35" i="1"/>
  <c r="AM35" i="1" s="1"/>
  <c r="AN36" i="1"/>
  <c r="AP36" i="1"/>
  <c r="AM36" i="1" s="1"/>
  <c r="AN37" i="1"/>
  <c r="AP37" i="1"/>
  <c r="AM37" i="1" s="1"/>
  <c r="AF6" i="1"/>
  <c r="AC6" i="1" s="1"/>
  <c r="H6" i="1"/>
  <c r="AD6" i="1"/>
  <c r="AX6" i="1"/>
  <c r="Q7" i="1"/>
  <c r="Q8" i="1" s="1"/>
  <c r="Q9" i="1" s="1"/>
  <c r="Q10" i="1" s="1"/>
  <c r="Q11" i="1" s="1"/>
  <c r="Q12" i="1" s="1"/>
  <c r="Q13" i="1" s="1"/>
  <c r="Q14" i="1" s="1"/>
  <c r="Q15" i="1" s="1"/>
  <c r="Q34" i="1" s="1"/>
  <c r="Q35" i="1" s="1"/>
  <c r="Q36" i="1" s="1"/>
  <c r="Q37" i="1" s="1"/>
  <c r="AB7" i="1"/>
  <c r="AD7" i="1"/>
  <c r="AF7" i="1"/>
  <c r="AC7" i="1" s="1"/>
  <c r="AL7" i="1"/>
  <c r="AV7" i="1"/>
  <c r="AX7" i="1"/>
  <c r="BA7" i="1"/>
  <c r="AW7" i="1" s="1"/>
  <c r="BI7" i="1"/>
  <c r="BL7" i="1"/>
  <c r="BK7" i="1" s="1"/>
  <c r="B7" i="1"/>
  <c r="B8" i="1" s="1"/>
  <c r="B9" i="1" s="1"/>
  <c r="B10" i="1" s="1"/>
  <c r="B11" i="1" s="1"/>
  <c r="B12" i="1" s="1"/>
  <c r="B13" i="1" s="1"/>
  <c r="B14" i="1" s="1"/>
  <c r="B15" i="1" s="1"/>
  <c r="B34" i="1" s="1"/>
  <c r="B35" i="1" s="1"/>
  <c r="B36" i="1" s="1"/>
  <c r="B37" i="1" s="1"/>
  <c r="R15" i="2"/>
  <c r="G15" i="2"/>
  <c r="R21" i="2"/>
  <c r="AW6" i="1" l="1"/>
  <c r="F15" i="1"/>
  <c r="E15" i="1" s="1"/>
  <c r="F14" i="1"/>
  <c r="E14" i="1" s="1"/>
  <c r="F13" i="1"/>
  <c r="E13" i="1" s="1"/>
  <c r="F12" i="1"/>
  <c r="E12" i="1" s="1"/>
  <c r="F11" i="1"/>
  <c r="E11" i="1" s="1"/>
  <c r="F10" i="1"/>
  <c r="E10" i="1" s="1"/>
  <c r="E36" i="1"/>
  <c r="E7" i="1"/>
  <c r="G6" i="1"/>
  <c r="BJ7" i="1"/>
  <c r="J6" i="1"/>
  <c r="N6" i="1" s="1"/>
  <c r="L6" i="1"/>
  <c r="P6" i="1" s="1"/>
  <c r="F6" i="1"/>
  <c r="E6" i="1" s="1"/>
  <c r="G7" i="1"/>
  <c r="AY7" i="1"/>
  <c r="I6" i="1"/>
  <c r="M6" i="1" s="1"/>
  <c r="E34" i="1"/>
  <c r="G35" i="1"/>
  <c r="G13" i="1"/>
  <c r="G9" i="1"/>
  <c r="E8" i="1"/>
  <c r="G8" i="1"/>
  <c r="E9" i="1"/>
  <c r="E37" i="1"/>
  <c r="G37" i="1"/>
  <c r="G36" i="1"/>
  <c r="E35" i="1"/>
  <c r="G34" i="1"/>
  <c r="G15" i="1"/>
  <c r="G12" i="1"/>
  <c r="G11" i="1"/>
  <c r="G10" i="1"/>
  <c r="G14" i="1"/>
  <c r="I7" i="1" l="1"/>
  <c r="K7" i="1"/>
  <c r="O7" i="1" s="1"/>
  <c r="L7" i="1"/>
  <c r="P7" i="1" s="1"/>
  <c r="J7" i="1"/>
  <c r="N7" i="1" s="1"/>
  <c r="K6" i="1"/>
  <c r="O6" i="1" s="1"/>
  <c r="M7" i="1"/>
  <c r="BL35" i="1"/>
  <c r="BA35" i="1"/>
  <c r="AY35" i="1" s="1"/>
  <c r="AX35" i="1"/>
  <c r="AF35" i="1"/>
  <c r="AC35" i="1" s="1"/>
  <c r="AD35" i="1"/>
  <c r="AF9" i="1"/>
  <c r="AF10" i="1"/>
  <c r="AF11" i="1"/>
  <c r="AF12" i="1"/>
  <c r="AF13" i="1"/>
  <c r="AF14" i="1"/>
  <c r="AF15" i="1"/>
  <c r="AF34" i="1"/>
  <c r="AF36" i="1"/>
  <c r="AF37" i="1"/>
  <c r="AF8" i="1"/>
  <c r="BA9" i="1"/>
  <c r="AY9" i="1" s="1"/>
  <c r="BA10" i="1"/>
  <c r="AY10" i="1" s="1"/>
  <c r="BA11" i="1"/>
  <c r="AY11" i="1" s="1"/>
  <c r="BA12" i="1"/>
  <c r="AY12" i="1" s="1"/>
  <c r="BA13" i="1"/>
  <c r="AY13" i="1" s="1"/>
  <c r="BA14" i="1"/>
  <c r="AY14" i="1" s="1"/>
  <c r="BA15" i="1"/>
  <c r="AY15" i="1" s="1"/>
  <c r="BA34" i="1"/>
  <c r="AY34" i="1" s="1"/>
  <c r="BA36" i="1"/>
  <c r="AY36" i="1" s="1"/>
  <c r="BA37" i="1"/>
  <c r="AY37" i="1" s="1"/>
  <c r="K13" i="1" l="1"/>
  <c r="O13" i="1" s="1"/>
  <c r="L9" i="1"/>
  <c r="P9" i="1" s="1"/>
  <c r="K9" i="1"/>
  <c r="O9" i="1" s="1"/>
  <c r="J9" i="1"/>
  <c r="N9" i="1" s="1"/>
  <c r="I9" i="1"/>
  <c r="K15" i="1"/>
  <c r="O15" i="1" s="1"/>
  <c r="K14" i="1"/>
  <c r="O14" i="1" s="1"/>
  <c r="I13" i="1"/>
  <c r="K12" i="1"/>
  <c r="O12" i="1" s="1"/>
  <c r="K11" i="1"/>
  <c r="O11" i="1" s="1"/>
  <c r="K10" i="1"/>
  <c r="O10" i="1" s="1"/>
  <c r="M35" i="1"/>
  <c r="BJ35" i="1"/>
  <c r="BK35" i="1"/>
  <c r="AW35" i="1"/>
  <c r="BA8" i="1"/>
  <c r="AY8" i="1" s="1"/>
  <c r="AB8" i="1"/>
  <c r="AB9" i="1" s="1"/>
  <c r="AB10" i="1" s="1"/>
  <c r="AB11" i="1" s="1"/>
  <c r="AB12" i="1" s="1"/>
  <c r="AB13" i="1" s="1"/>
  <c r="AB14" i="1" s="1"/>
  <c r="AB15" i="1" s="1"/>
  <c r="AB34" i="1" s="1"/>
  <c r="AL8" i="1"/>
  <c r="AL9" i="1" s="1"/>
  <c r="AL10" i="1" s="1"/>
  <c r="AL11" i="1" s="1"/>
  <c r="AL12" i="1" s="1"/>
  <c r="AL13" i="1" s="1"/>
  <c r="AL14" i="1" s="1"/>
  <c r="AL15" i="1" s="1"/>
  <c r="AL34" i="1" s="1"/>
  <c r="AV8" i="1"/>
  <c r="AV9" i="1" s="1"/>
  <c r="AV10" i="1" s="1"/>
  <c r="AV11" i="1" s="1"/>
  <c r="AV12" i="1" s="1"/>
  <c r="AV13" i="1" s="1"/>
  <c r="AV14" i="1" s="1"/>
  <c r="AV15" i="1" s="1"/>
  <c r="AV34" i="1" s="1"/>
  <c r="BI8" i="1"/>
  <c r="BI9" i="1" s="1"/>
  <c r="BI10" i="1" s="1"/>
  <c r="BI11" i="1" s="1"/>
  <c r="BI12" i="1" s="1"/>
  <c r="BI13" i="1" s="1"/>
  <c r="BI14" i="1" s="1"/>
  <c r="BI15" i="1" s="1"/>
  <c r="BI34" i="1" s="1"/>
  <c r="AC8" i="1"/>
  <c r="AD8" i="1"/>
  <c r="AX8" i="1"/>
  <c r="BL8" i="1"/>
  <c r="AD9" i="1"/>
  <c r="AC9" i="1"/>
  <c r="AX9" i="1"/>
  <c r="AW9" i="1"/>
  <c r="BL9" i="1"/>
  <c r="AC10" i="1"/>
  <c r="AD10" i="1"/>
  <c r="AX10" i="1"/>
  <c r="BL10" i="1"/>
  <c r="I10" i="1" s="1"/>
  <c r="AD11" i="1"/>
  <c r="AW11" i="1"/>
  <c r="AX11" i="1"/>
  <c r="BL11" i="1"/>
  <c r="AD12" i="1"/>
  <c r="AC12" i="1"/>
  <c r="AX12" i="1"/>
  <c r="AW12" i="1"/>
  <c r="BL12" i="1"/>
  <c r="BJ12" i="1" s="1"/>
  <c r="AD13" i="1"/>
  <c r="AC13" i="1"/>
  <c r="AX13" i="1"/>
  <c r="AW13" i="1"/>
  <c r="BL13" i="1"/>
  <c r="J13" i="1" s="1"/>
  <c r="N13" i="1" s="1"/>
  <c r="AD14" i="1"/>
  <c r="AC14" i="1"/>
  <c r="AW14" i="1"/>
  <c r="AX14" i="1"/>
  <c r="BL14" i="1"/>
  <c r="L14" i="1" s="1"/>
  <c r="P14" i="1" s="1"/>
  <c r="AD15" i="1"/>
  <c r="AC15" i="1"/>
  <c r="AW15" i="1"/>
  <c r="AX15" i="1"/>
  <c r="BL15" i="1"/>
  <c r="J15" i="1" s="1"/>
  <c r="N15" i="1" s="1"/>
  <c r="AD34" i="1"/>
  <c r="AC34" i="1"/>
  <c r="AX34" i="1"/>
  <c r="AW34" i="1"/>
  <c r="BL34" i="1"/>
  <c r="BJ34" i="1" s="1"/>
  <c r="AD36" i="1"/>
  <c r="AC36" i="1"/>
  <c r="AX36" i="1"/>
  <c r="BL36" i="1"/>
  <c r="BK36" i="1" s="1"/>
  <c r="AD37" i="1"/>
  <c r="AC37" i="1"/>
  <c r="AW37" i="1"/>
  <c r="AX37" i="1"/>
  <c r="BL37" i="1"/>
  <c r="G45" i="2"/>
  <c r="G44" i="2"/>
  <c r="G43" i="2"/>
  <c r="G42" i="2"/>
  <c r="G23" i="2"/>
  <c r="G22" i="2"/>
  <c r="G21" i="2"/>
  <c r="G20" i="2"/>
  <c r="G19" i="2"/>
  <c r="G18" i="2"/>
  <c r="G17" i="2"/>
  <c r="G16" i="2"/>
  <c r="J79" i="2"/>
  <c r="E79" i="2" s="1"/>
  <c r="K8" i="1" l="1"/>
  <c r="O8" i="1" s="1"/>
  <c r="J8" i="1"/>
  <c r="N8" i="1" s="1"/>
  <c r="I8" i="1"/>
  <c r="M8" i="1" s="1"/>
  <c r="L8" i="1"/>
  <c r="P8" i="1" s="1"/>
  <c r="L15" i="1"/>
  <c r="P15" i="1" s="1"/>
  <c r="I15" i="1"/>
  <c r="M15" i="1" s="1"/>
  <c r="J14" i="1"/>
  <c r="N14" i="1" s="1"/>
  <c r="I14" i="1"/>
  <c r="M14" i="1"/>
  <c r="L13" i="1"/>
  <c r="P13" i="1" s="1"/>
  <c r="L12" i="1"/>
  <c r="P12" i="1" s="1"/>
  <c r="I12" i="1"/>
  <c r="M12" i="1" s="1"/>
  <c r="J12" i="1"/>
  <c r="N12" i="1" s="1"/>
  <c r="BJ11" i="1"/>
  <c r="L11" i="1"/>
  <c r="P11" i="1" s="1"/>
  <c r="I11" i="1"/>
  <c r="M11" i="1" s="1"/>
  <c r="J11" i="1"/>
  <c r="N11" i="1" s="1"/>
  <c r="L10" i="1"/>
  <c r="P10" i="1" s="1"/>
  <c r="J10" i="1"/>
  <c r="N10" i="1" s="1"/>
  <c r="M13" i="1"/>
  <c r="M10" i="1"/>
  <c r="M37" i="1"/>
  <c r="M36" i="1"/>
  <c r="M34" i="1"/>
  <c r="BJ8" i="1"/>
  <c r="BJ9" i="1"/>
  <c r="M9" i="1"/>
  <c r="AL35" i="1"/>
  <c r="AL36" i="1" s="1"/>
  <c r="AL37" i="1" s="1"/>
  <c r="BI35" i="1"/>
  <c r="BI36" i="1" s="1"/>
  <c r="BI37" i="1" s="1"/>
  <c r="AB35" i="1"/>
  <c r="AB36" i="1" s="1"/>
  <c r="AB37" i="1" s="1"/>
  <c r="AV35" i="1"/>
  <c r="AV36" i="1" s="1"/>
  <c r="AV37" i="1" s="1"/>
  <c r="AW8" i="1"/>
  <c r="BJ13" i="1"/>
  <c r="BJ36" i="1"/>
  <c r="BK37" i="1"/>
  <c r="BJ15" i="1"/>
  <c r="BK8" i="1"/>
  <c r="AC11" i="1"/>
  <c r="BJ14" i="1"/>
  <c r="BK14" i="1"/>
  <c r="AW10" i="1"/>
  <c r="BJ37" i="1"/>
  <c r="AW36" i="1"/>
  <c r="BK15" i="1"/>
  <c r="BK10" i="1"/>
  <c r="BK9" i="1"/>
  <c r="BK11" i="1"/>
  <c r="BJ10" i="1"/>
  <c r="BK34" i="1"/>
  <c r="BK12" i="1"/>
  <c r="BK13" i="1"/>
  <c r="I79" i="2"/>
  <c r="H79" i="2"/>
  <c r="G79" i="2"/>
  <c r="F79" i="2"/>
  <c r="R45" i="2" l="1"/>
  <c r="R44" i="2" l="1"/>
  <c r="J49" i="2" l="1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E48" i="2" l="1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R20" i="2" l="1"/>
  <c r="R43" i="2" l="1"/>
  <c r="R42" i="2"/>
  <c r="R23" i="2" l="1"/>
  <c r="R22" i="2"/>
  <c r="R19" i="2"/>
  <c r="R18" i="2"/>
  <c r="R16" i="2"/>
  <c r="R17" i="2"/>
  <c r="M16" i="2" l="1"/>
  <c r="M17" i="2" l="1"/>
  <c r="M18" i="2" l="1"/>
  <c r="M20" i="2" l="1"/>
  <c r="M19" i="2"/>
  <c r="M21" i="2" l="1"/>
  <c r="M22" i="2" l="1"/>
  <c r="M23" i="2" l="1"/>
  <c r="M42" i="2" l="1"/>
  <c r="M43" i="2" l="1"/>
  <c r="M45" i="2"/>
  <c r="M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  <author>Ricardo Arancibia Leon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  <comment ref="D16" authorId="1" shapeId="0" xr:uid="{8CC3868B-B0B7-4EF9-9554-D96173588323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Aumento de consumo por aumento de servicios multiple por derrumbe en avenida España </t>
        </r>
      </text>
    </comment>
    <comment ref="H19" authorId="2" shapeId="0" xr:uid="{53602334-C903-46F7-8DC8-D7665EAC7B12}">
      <text>
        <r>
          <rPr>
            <b/>
            <sz val="9"/>
            <color indexed="81"/>
            <rFont val="Tahoma"/>
            <family val="2"/>
          </rPr>
          <t>Ricardo Arancibia Leon:</t>
        </r>
        <r>
          <rPr>
            <sz val="9"/>
            <color indexed="81"/>
            <rFont val="Tahoma"/>
            <family val="2"/>
          </rPr>
          <t xml:space="preserve">
FALLA 12KV AVERIA 15833</t>
        </r>
      </text>
    </comment>
    <comment ref="H32" authorId="2" shapeId="0" xr:uid="{3DA1A588-D314-4AC0-89A6-5BBD407E2055}">
      <text>
        <r>
          <rPr>
            <b/>
            <sz val="9"/>
            <color indexed="81"/>
            <rFont val="Tahoma"/>
            <charset val="1"/>
          </rPr>
          <t>Ricardo Arancibia Leon:</t>
        </r>
        <r>
          <rPr>
            <sz val="9"/>
            <color indexed="81"/>
            <rFont val="Tahoma"/>
            <charset val="1"/>
          </rPr>
          <t xml:space="preserve">
SERES AVERIA 16059 MEDIDOR NO ENTREGA DATOS EN WIN PM (VALOR ESTIMADO)</t>
        </r>
      </text>
    </comment>
    <comment ref="AQ32" authorId="2" shapeId="0" xr:uid="{F9BB1F71-AE97-4831-9B90-C5173852782F}">
      <text>
        <r>
          <rPr>
            <b/>
            <sz val="9"/>
            <color indexed="81"/>
            <rFont val="Tahoma"/>
            <charset val="1"/>
          </rPr>
          <t>Ricardo Arancibia Leon:</t>
        </r>
        <r>
          <rPr>
            <sz val="9"/>
            <color indexed="81"/>
            <rFont val="Tahoma"/>
            <charset val="1"/>
          </rPr>
          <t xml:space="preserve">
AVERIA 16059 MEDIDOR NO ENTREGA DATOS EN WIN PM (VALOR ESTIMADO)</t>
        </r>
      </text>
    </comment>
    <comment ref="H33" authorId="2" shapeId="0" xr:uid="{1510DF8A-22EC-45EF-98C6-AA2EC45AA56F}">
      <text>
        <r>
          <rPr>
            <b/>
            <sz val="9"/>
            <color indexed="81"/>
            <rFont val="Tahoma"/>
            <charset val="1"/>
          </rPr>
          <t>Ricardo Arancibia Leon:</t>
        </r>
        <r>
          <rPr>
            <sz val="9"/>
            <color indexed="81"/>
            <rFont val="Tahoma"/>
            <charset val="1"/>
          </rPr>
          <t xml:space="preserve">
SERES AVERIA 16059 MEDIDOR NO ENTREGA DATOS EN WIN PM (VALOR ESTIMADO)</t>
        </r>
      </text>
    </comment>
    <comment ref="AQ33" authorId="2" shapeId="0" xr:uid="{2C5CEE77-1043-4D4D-96ED-4A3F8B2F943B}">
      <text>
        <r>
          <rPr>
            <b/>
            <sz val="9"/>
            <color indexed="81"/>
            <rFont val="Tahoma"/>
            <charset val="1"/>
          </rPr>
          <t>Ricardo Arancibia Leon:</t>
        </r>
        <r>
          <rPr>
            <sz val="9"/>
            <color indexed="81"/>
            <rFont val="Tahoma"/>
            <charset val="1"/>
          </rPr>
          <t xml:space="preserve">
AVERIA 16059 MEDIDOR NO ENTREGA DATOS EN WIN PM (VALOR ESTIMADO)</t>
        </r>
      </text>
    </comment>
    <comment ref="D36" authorId="1" shapeId="0" xr:uid="{5B2B2620-B835-472A-88B1-7F7D2DB989AD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disparo servicio 653 en HO VIA 2 a las 07:26 hrs averia 15588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<sst xmlns="http://schemas.openxmlformats.org/spreadsheetml/2006/main" count="122" uniqueCount="70">
  <si>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</si>
  <si>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</si>
  <si>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</si>
  <si>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</si>
  <si>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</si>
  <si>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</si>
  <si>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</si>
  <si>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</si>
  <si>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</si>
  <si>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</si>
  <si>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</si>
  <si>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</si>
  <si>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</si>
  <si>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</si>
  <si>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</si>
  <si>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</si>
  <si>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</si>
  <si>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</si>
  <si>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</si>
  <si>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</si>
  <si>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</si>
  <si>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</si>
  <si>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</si>
  <si>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</si>
  <si>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</si>
  <si>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</si>
  <si>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</si>
  <si>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</si>
  <si>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</si>
  <si>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</si>
  <si>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</si>
  <si>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</si>
  <si>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</si>
  <si>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</si>
  <si>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</si>
  <si>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</si>
  <si>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</si>
  <si>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</si>
  <si>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</si>
  <si>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</si>
  <si>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</si>
  <si>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</si>
  <si>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</si>
  <si>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</si>
  <si>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</si>
  <si>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</si>
  <si>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</si>
  <si>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</si>
  <si>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</si>
  <si>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</si>
  <si>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</si>
  <si>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</si>
  <si>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</si>
  <si>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</si>
  <si>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</si>
  <si>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</si>
  <si>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</si>
  <si>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</si>
  <si>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</si>
  <si>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</si>
  <si>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</si>
  <si>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</si>
  <si>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</si>
  <si>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</si>
  <si>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</si>
  <si>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</si>
  <si>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</si>
  <si>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</si>
  <si>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</si>
  <si>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DDA Max 12 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</si>
</sst>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  <numFmt numFmtId="169" formatCode="#,##0.00\ &quot;Kwh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9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6" fontId="8" fillId="9" borderId="55" xfId="1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 applyFill="1"/>
    <xf numFmtId="0" fontId="4" fillId="0" borderId="65" xfId="0" applyFont="1" applyBorder="1" applyAlignment="1">
      <alignment horizontal="center"/>
    </xf>
    <xf numFmtId="165" fontId="8" fillId="0" borderId="50" xfId="0" applyNumberFormat="1" applyFont="1" applyBorder="1" applyAlignment="1">
      <alignment horizontal="center"/>
    </xf>
    <xf numFmtId="169" fontId="8" fillId="0" borderId="55" xfId="2" applyNumberFormat="1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8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2 2 2" xfId="17" xr:uid="{A428DFBE-41F1-4A24-B001-5CB04C31FA12}"/>
    <cellStyle name="Millares 2 2 3" xfId="13" xr:uid="{D870F808-9D24-410B-B2DE-55E697674203}"/>
    <cellStyle name="Millares 2 3" xfId="7" xr:uid="{00000000-0005-0000-0000-000004000000}"/>
    <cellStyle name="Millares 2 3 2" xfId="15" xr:uid="{3D35D6E6-D826-43D6-99AB-4D7C9DACECAB}"/>
    <cellStyle name="Millares 2 4" xfId="11" xr:uid="{ACDF0624-9D0E-40AB-8239-9293C77ACCC9}"/>
    <cellStyle name="Millares 3" xfId="4" xr:uid="{00000000-0005-0000-0000-000005000000}"/>
    <cellStyle name="Millares 3 2" xfId="8" xr:uid="{00000000-0005-0000-0000-000006000000}"/>
    <cellStyle name="Millares 3 2 2" xfId="16" xr:uid="{CA7E45CC-D214-4430-BD8F-F5243051E132}"/>
    <cellStyle name="Millares 3 3" xfId="12" xr:uid="{6290801E-373E-4935-93F9-843C72E84193}"/>
    <cellStyle name="Millares 4" xfId="6" xr:uid="{00000000-0005-0000-0000-000007000000}"/>
    <cellStyle name="Millares 4 2" xfId="14" xr:uid="{C3A6EC7A-3A13-40EC-8378-3E23082E6DD6}"/>
    <cellStyle name="Millares 5" xfId="10" xr:uid="{271882CF-CE02-4F51-B9E3-463519BC5BE5}"/>
    <cellStyle name="Normal" xfId="0" builtinId="0"/>
    <cellStyle name="Porcentaje" xfId="2" builtinId="5"/>
  </cellStyles>
  <dxfs count="120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33084</c:v>
                </c:pt>
                <c:pt idx="1">
                  <c:v>28342</c:v>
                </c:pt>
                <c:pt idx="2">
                  <c:v>50684</c:v>
                </c:pt>
                <c:pt idx="3">
                  <c:v>52258</c:v>
                </c:pt>
                <c:pt idx="4">
                  <c:v>55872</c:v>
                </c:pt>
                <c:pt idx="5">
                  <c:v>53180</c:v>
                </c:pt>
                <c:pt idx="6">
                  <c:v>57154</c:v>
                </c:pt>
                <c:pt idx="7">
                  <c:v>33848</c:v>
                </c:pt>
                <c:pt idx="8">
                  <c:v>33672</c:v>
                </c:pt>
                <c:pt idx="9">
                  <c:v>60140</c:v>
                </c:pt>
                <c:pt idx="10">
                  <c:v>60170</c:v>
                </c:pt>
                <c:pt idx="11">
                  <c:v>57956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46235</c:v>
                      </c:pt>
                      <c:pt idx="1">
                        <c:v>46236</c:v>
                      </c:pt>
                      <c:pt idx="2">
                        <c:v>46237</c:v>
                      </c:pt>
                      <c:pt idx="3">
                        <c:v>46238</c:v>
                      </c:pt>
                      <c:pt idx="4">
                        <c:v>46239</c:v>
                      </c:pt>
                      <c:pt idx="5">
                        <c:v>46240</c:v>
                      </c:pt>
                      <c:pt idx="6">
                        <c:v>46241</c:v>
                      </c:pt>
                      <c:pt idx="7">
                        <c:v>46242</c:v>
                      </c:pt>
                      <c:pt idx="8">
                        <c:v>46243</c:v>
                      </c:pt>
                      <c:pt idx="9">
                        <c:v>46244</c:v>
                      </c:pt>
                      <c:pt idx="10">
                        <c:v>46245</c:v>
                      </c:pt>
                      <c:pt idx="11">
                        <c:v>46246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26012</c:v>
                </c:pt>
                <c:pt idx="1">
                  <c:v>21237</c:v>
                </c:pt>
                <c:pt idx="2">
                  <c:v>43352</c:v>
                </c:pt>
                <c:pt idx="3">
                  <c:v>44950</c:v>
                </c:pt>
                <c:pt idx="4">
                  <c:v>48604</c:v>
                </c:pt>
                <c:pt idx="5">
                  <c:v>45862</c:v>
                </c:pt>
                <c:pt idx="6">
                  <c:v>49933</c:v>
                </c:pt>
                <c:pt idx="7">
                  <c:v>26817</c:v>
                </c:pt>
                <c:pt idx="8">
                  <c:v>26647</c:v>
                </c:pt>
                <c:pt idx="9">
                  <c:v>52487.75</c:v>
                </c:pt>
                <c:pt idx="10">
                  <c:v>52432</c:v>
                </c:pt>
                <c:pt idx="11">
                  <c:v>50478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#,##0.00\ "Kwh"</c:formatCode>
                <c:ptCount val="12"/>
                <c:pt idx="0">
                  <c:v>7072</c:v>
                </c:pt>
                <c:pt idx="1">
                  <c:v>7105</c:v>
                </c:pt>
                <c:pt idx="2">
                  <c:v>7332</c:v>
                </c:pt>
                <c:pt idx="3">
                  <c:v>7308</c:v>
                </c:pt>
                <c:pt idx="4">
                  <c:v>7268</c:v>
                </c:pt>
                <c:pt idx="5">
                  <c:v>7318</c:v>
                </c:pt>
                <c:pt idx="6">
                  <c:v>7221</c:v>
                </c:pt>
                <c:pt idx="7">
                  <c:v>7031</c:v>
                </c:pt>
                <c:pt idx="8">
                  <c:v>7025</c:v>
                </c:pt>
                <c:pt idx="9">
                  <c:v>7652.25</c:v>
                </c:pt>
                <c:pt idx="10">
                  <c:v>7738</c:v>
                </c:pt>
                <c:pt idx="11">
                  <c:v>7478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2975</c:v>
                </c:pt>
                <c:pt idx="1">
                  <c:v>2514</c:v>
                </c:pt>
                <c:pt idx="2">
                  <c:v>2475</c:v>
                </c:pt>
                <c:pt idx="3">
                  <c:v>3050</c:v>
                </c:pt>
                <c:pt idx="4">
                  <c:v>2997</c:v>
                </c:pt>
                <c:pt idx="5">
                  <c:v>2912</c:v>
                </c:pt>
                <c:pt idx="6">
                  <c:v>2935</c:v>
                </c:pt>
                <c:pt idx="7">
                  <c:v>3074</c:v>
                </c:pt>
                <c:pt idx="8">
                  <c:v>2549</c:v>
                </c:pt>
                <c:pt idx="9">
                  <c:v>2540</c:v>
                </c:pt>
                <c:pt idx="10">
                  <c:v>3198.8300000000004</c:v>
                </c:pt>
                <c:pt idx="11">
                  <c:v>3256.3799999999997</c:v>
                </c:pt>
                <c:pt idx="12">
                  <c:v>3072</c:v>
                </c:pt>
                <c:pt idx="13">
                  <c:v>3015</c:v>
                </c:pt>
                <c:pt idx="14">
                  <c:v>2758</c:v>
                </c:pt>
                <c:pt idx="15">
                  <c:v>2344</c:v>
                </c:pt>
                <c:pt idx="16">
                  <c:v>2469.62</c:v>
                </c:pt>
                <c:pt idx="17">
                  <c:v>3016</c:v>
                </c:pt>
                <c:pt idx="18">
                  <c:v>2936</c:v>
                </c:pt>
                <c:pt idx="19">
                  <c:v>3020</c:v>
                </c:pt>
                <c:pt idx="20">
                  <c:v>3015</c:v>
                </c:pt>
                <c:pt idx="21">
                  <c:v>2147.6</c:v>
                </c:pt>
                <c:pt idx="22">
                  <c:v>2559.9499999999998</c:v>
                </c:pt>
                <c:pt idx="23">
                  <c:v>2492</c:v>
                </c:pt>
                <c:pt idx="24">
                  <c:v>3034</c:v>
                </c:pt>
                <c:pt idx="25">
                  <c:v>3014</c:v>
                </c:pt>
                <c:pt idx="26">
                  <c:v>3010</c:v>
                </c:pt>
                <c:pt idx="27">
                  <c:v>3017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37</xdr:row>
      <xdr:rowOff>0</xdr:rowOff>
    </xdr:from>
    <xdr:to>
      <xdr:col>6</xdr:col>
      <xdr:colOff>23812</xdr:colOff>
      <xdr:row>49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37</xdr:row>
      <xdr:rowOff>0</xdr:rowOff>
    </xdr:from>
    <xdr:to>
      <xdr:col>15</xdr:col>
      <xdr:colOff>31750</xdr:colOff>
      <xdr:row>49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37</xdr:row>
      <xdr:rowOff>0</xdr:rowOff>
    </xdr:from>
    <xdr:to>
      <xdr:col>9</xdr:col>
      <xdr:colOff>666749</xdr:colOff>
      <xdr:row>49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8"/>
  <sheetViews>
    <sheetView tabSelected="1" topLeftCell="A5" zoomScaleNormal="100" zoomScaleSheetLayoutView="120" workbookViewId="0">
      <selection activeCell="H26" sqref="H26"/>
    </sheetView>
  </sheetViews>
  <sheetFormatPr baseColWidth="10" defaultColWidth="11.42578125" defaultRowHeight="15" x14ac:dyDescent="0.25"/>
  <cols>
    <col min="1" max="1" width="2.28515625" style="133" customWidth="1"/>
    <col min="2" max="2" width="10.42578125" style="14" customWidth="1"/>
    <col min="3" max="3" width="2.28515625" style="166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54" width="11.85546875" style="14" customWidth="1"/>
    <col min="55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1" s="132" customFormat="1" ht="14.65" customHeight="1" x14ac:dyDescent="0.25">
      <c r="A1" s="126">
        <v>1.1111111E+55</v>
      </c>
      <c r="B1" s="190" t="s">
        <v>0</v>
      </c>
      <c r="C1" s="127"/>
      <c r="D1" s="192" t="s">
        <v>1</v>
      </c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4"/>
      <c r="P1" s="195"/>
      <c r="Q1" s="128"/>
      <c r="R1" s="200" t="s">
        <v>2</v>
      </c>
      <c r="S1" s="201"/>
      <c r="T1" s="201"/>
      <c r="U1" s="201"/>
      <c r="V1" s="201"/>
      <c r="W1" s="201"/>
      <c r="X1" s="201"/>
      <c r="Y1" s="201"/>
      <c r="Z1" s="201"/>
      <c r="AA1" s="202"/>
      <c r="AB1" s="129"/>
      <c r="AC1" s="200" t="s">
        <v>3</v>
      </c>
      <c r="AD1" s="201"/>
      <c r="AE1" s="201"/>
      <c r="AF1" s="201"/>
      <c r="AG1" s="201"/>
      <c r="AH1" s="201"/>
      <c r="AI1" s="201"/>
      <c r="AJ1" s="201"/>
      <c r="AK1" s="202"/>
      <c r="AL1" s="130"/>
      <c r="AM1" s="200" t="s">
        <v>4</v>
      </c>
      <c r="AN1" s="201"/>
      <c r="AO1" s="201"/>
      <c r="AP1" s="201"/>
      <c r="AQ1" s="201"/>
      <c r="AR1" s="201"/>
      <c r="AS1" s="201"/>
      <c r="AT1" s="201"/>
      <c r="AU1" s="202"/>
      <c r="AV1" s="130"/>
      <c r="AW1" s="200" t="s">
        <v>57</v>
      </c>
      <c r="AX1" s="201"/>
      <c r="AY1" s="201"/>
      <c r="AZ1" s="201"/>
      <c r="BA1" s="201"/>
      <c r="BB1" s="201"/>
      <c r="BC1" s="201"/>
      <c r="BD1" s="201"/>
      <c r="BE1" s="201"/>
      <c r="BF1" s="201"/>
      <c r="BG1" s="201"/>
      <c r="BH1" s="202"/>
      <c r="BI1" s="130"/>
      <c r="BJ1" s="200" t="s">
        <v>5</v>
      </c>
      <c r="BK1" s="201"/>
      <c r="BL1" s="201"/>
      <c r="BM1" s="201"/>
      <c r="BN1" s="201"/>
      <c r="BO1" s="201"/>
      <c r="BP1" s="201"/>
      <c r="BQ1" s="201"/>
      <c r="BR1" s="202"/>
      <c r="BS1" s="131"/>
    </row>
    <row r="2" spans="1:71" ht="15" customHeight="1" thickBot="1" x14ac:dyDescent="0.3">
      <c r="B2" s="190"/>
      <c r="C2" s="1"/>
      <c r="D2" s="196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8"/>
      <c r="P2" s="199"/>
      <c r="Q2" s="57"/>
      <c r="R2" s="203"/>
      <c r="S2" s="204"/>
      <c r="T2" s="204"/>
      <c r="U2" s="204"/>
      <c r="V2" s="204"/>
      <c r="W2" s="204"/>
      <c r="X2" s="204"/>
      <c r="Y2" s="204"/>
      <c r="Z2" s="204"/>
      <c r="AA2" s="205"/>
      <c r="AB2" s="59"/>
      <c r="AC2" s="203"/>
      <c r="AD2" s="204"/>
      <c r="AE2" s="204"/>
      <c r="AF2" s="204"/>
      <c r="AG2" s="204"/>
      <c r="AH2" s="204"/>
      <c r="AI2" s="204"/>
      <c r="AJ2" s="204"/>
      <c r="AK2" s="205"/>
      <c r="AL2" s="58"/>
      <c r="AM2" s="203"/>
      <c r="AN2" s="204"/>
      <c r="AO2" s="204"/>
      <c r="AP2" s="204"/>
      <c r="AQ2" s="204"/>
      <c r="AR2" s="204"/>
      <c r="AS2" s="204"/>
      <c r="AT2" s="204"/>
      <c r="AU2" s="205"/>
      <c r="AV2" s="58"/>
      <c r="AW2" s="203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5"/>
      <c r="BI2" s="58"/>
      <c r="BJ2" s="203"/>
      <c r="BK2" s="204"/>
      <c r="BL2" s="204"/>
      <c r="BM2" s="204"/>
      <c r="BN2" s="204"/>
      <c r="BO2" s="204"/>
      <c r="BP2" s="204"/>
      <c r="BQ2" s="204"/>
      <c r="BR2" s="205"/>
      <c r="BS2" s="134"/>
    </row>
    <row r="3" spans="1:71" ht="30" customHeight="1" thickBot="1" x14ac:dyDescent="0.3">
      <c r="B3" s="190"/>
      <c r="C3" s="1"/>
      <c r="D3" s="209" t="s">
        <v>6</v>
      </c>
      <c r="E3" s="209" t="s">
        <v>7</v>
      </c>
      <c r="F3" s="209" t="s">
        <v>8</v>
      </c>
      <c r="G3" s="209" t="s">
        <v>9</v>
      </c>
      <c r="H3" s="209" t="s">
        <v>10</v>
      </c>
      <c r="I3" s="211" t="s">
        <v>11</v>
      </c>
      <c r="J3" s="212"/>
      <c r="K3" s="213"/>
      <c r="L3" s="214"/>
      <c r="M3" s="211" t="s">
        <v>12</v>
      </c>
      <c r="N3" s="212"/>
      <c r="O3" s="213"/>
      <c r="P3" s="214"/>
      <c r="Q3" s="57"/>
      <c r="R3" s="215" t="s">
        <v>13</v>
      </c>
      <c r="S3" s="207"/>
      <c r="T3" s="216"/>
      <c r="U3" s="216"/>
      <c r="V3" s="215" t="s">
        <v>14</v>
      </c>
      <c r="W3" s="207"/>
      <c r="X3" s="207"/>
      <c r="Y3" s="207"/>
      <c r="Z3" s="207"/>
      <c r="AA3" s="208"/>
      <c r="AB3" s="59"/>
      <c r="AC3" s="217" t="s">
        <v>15</v>
      </c>
      <c r="AD3" s="219" t="s">
        <v>9</v>
      </c>
      <c r="AE3" s="215" t="s">
        <v>13</v>
      </c>
      <c r="AF3" s="207"/>
      <c r="AG3" s="208"/>
      <c r="AH3" s="215" t="s">
        <v>14</v>
      </c>
      <c r="AI3" s="207"/>
      <c r="AJ3" s="207"/>
      <c r="AK3" s="208"/>
      <c r="AL3" s="58"/>
      <c r="AM3" s="220" t="s">
        <v>15</v>
      </c>
      <c r="AN3" s="217" t="s">
        <v>9</v>
      </c>
      <c r="AO3" s="206" t="s">
        <v>13</v>
      </c>
      <c r="AP3" s="207"/>
      <c r="AQ3" s="208"/>
      <c r="AR3" s="215" t="s">
        <v>14</v>
      </c>
      <c r="AS3" s="207"/>
      <c r="AT3" s="207"/>
      <c r="AU3" s="208"/>
      <c r="AV3" s="58"/>
      <c r="AW3" s="217" t="s">
        <v>15</v>
      </c>
      <c r="AX3" s="217" t="s">
        <v>9</v>
      </c>
      <c r="AY3" s="206" t="s">
        <v>13</v>
      </c>
      <c r="AZ3" s="206"/>
      <c r="BA3" s="207"/>
      <c r="BB3" s="208"/>
      <c r="BC3" s="215" t="s">
        <v>14</v>
      </c>
      <c r="BD3" s="206"/>
      <c r="BE3" s="206"/>
      <c r="BF3" s="207"/>
      <c r="BG3" s="207"/>
      <c r="BH3" s="208"/>
      <c r="BI3" s="58"/>
      <c r="BJ3" s="220" t="s">
        <v>16</v>
      </c>
      <c r="BK3" s="217" t="s">
        <v>17</v>
      </c>
      <c r="BL3" s="221" t="s">
        <v>18</v>
      </c>
      <c r="BM3" s="222"/>
      <c r="BN3" s="223"/>
      <c r="BO3" s="206" t="s">
        <v>14</v>
      </c>
      <c r="BP3" s="207"/>
      <c r="BQ3" s="207"/>
      <c r="BR3" s="208"/>
      <c r="BS3" s="134"/>
    </row>
    <row r="4" spans="1:71" ht="56.25" customHeight="1" thickBot="1" x14ac:dyDescent="0.3">
      <c r="B4" s="191"/>
      <c r="C4" s="2"/>
      <c r="D4" s="210"/>
      <c r="E4" s="210"/>
      <c r="F4" s="210"/>
      <c r="G4" s="210"/>
      <c r="H4" s="210"/>
      <c r="I4" s="79" t="s">
        <v>3</v>
      </c>
      <c r="J4" s="80" t="s">
        <v>4</v>
      </c>
      <c r="K4" s="81" t="s">
        <v>57</v>
      </c>
      <c r="L4" s="81" t="s">
        <v>5</v>
      </c>
      <c r="M4" s="80" t="s">
        <v>3</v>
      </c>
      <c r="N4" s="80" t="s">
        <v>4</v>
      </c>
      <c r="O4" s="80" t="s">
        <v>57</v>
      </c>
      <c r="P4" s="80" t="s">
        <v>19</v>
      </c>
      <c r="Q4" s="59"/>
      <c r="R4" s="121" t="s">
        <v>20</v>
      </c>
      <c r="S4" s="61" t="s">
        <v>21</v>
      </c>
      <c r="T4" s="61" t="s">
        <v>59</v>
      </c>
      <c r="U4" s="61" t="s">
        <v>22</v>
      </c>
      <c r="V4" s="122" t="s">
        <v>23</v>
      </c>
      <c r="W4" s="61" t="s">
        <v>24</v>
      </c>
      <c r="X4" s="122" t="s">
        <v>25</v>
      </c>
      <c r="Y4" s="61" t="s">
        <v>24</v>
      </c>
      <c r="Z4" s="124" t="s">
        <v>26</v>
      </c>
      <c r="AA4" s="124" t="s">
        <v>24</v>
      </c>
      <c r="AB4" s="59"/>
      <c r="AC4" s="218"/>
      <c r="AD4" s="201"/>
      <c r="AE4" s="61" t="s">
        <v>27</v>
      </c>
      <c r="AF4" s="121" t="s">
        <v>28</v>
      </c>
      <c r="AG4" s="61" t="s">
        <v>29</v>
      </c>
      <c r="AH4" s="123" t="s">
        <v>30</v>
      </c>
      <c r="AI4" s="61" t="s">
        <v>24</v>
      </c>
      <c r="AJ4" s="61" t="s">
        <v>31</v>
      </c>
      <c r="AK4" s="61" t="s">
        <v>24</v>
      </c>
      <c r="AL4" s="60"/>
      <c r="AM4" s="200"/>
      <c r="AN4" s="218"/>
      <c r="AO4" s="122" t="s">
        <v>27</v>
      </c>
      <c r="AP4" s="61" t="s">
        <v>28</v>
      </c>
      <c r="AQ4" s="121" t="s">
        <v>29</v>
      </c>
      <c r="AR4" s="61" t="s">
        <v>30</v>
      </c>
      <c r="AS4" s="122" t="s">
        <v>24</v>
      </c>
      <c r="AT4" s="61" t="s">
        <v>31</v>
      </c>
      <c r="AU4" s="123" t="s">
        <v>24</v>
      </c>
      <c r="AV4" s="60"/>
      <c r="AW4" s="218"/>
      <c r="AX4" s="218"/>
      <c r="AY4" s="122" t="s">
        <v>27</v>
      </c>
      <c r="AZ4" s="61" t="s">
        <v>58</v>
      </c>
      <c r="BA4" s="122" t="s">
        <v>60</v>
      </c>
      <c r="BB4" s="61" t="s">
        <v>29</v>
      </c>
      <c r="BC4" s="122" t="s">
        <v>55</v>
      </c>
      <c r="BD4" s="61" t="s">
        <v>24</v>
      </c>
      <c r="BE4" s="122" t="s">
        <v>56</v>
      </c>
      <c r="BF4" s="61" t="s">
        <v>24</v>
      </c>
      <c r="BG4" s="122" t="s">
        <v>69</v>
      </c>
      <c r="BH4" s="61" t="s">
        <v>24</v>
      </c>
      <c r="BI4" s="60"/>
      <c r="BJ4" s="200"/>
      <c r="BK4" s="218"/>
      <c r="BL4" s="122" t="s">
        <v>32</v>
      </c>
      <c r="BM4" s="61" t="s">
        <v>33</v>
      </c>
      <c r="BN4" s="61" t="s">
        <v>34</v>
      </c>
      <c r="BO4" s="61" t="s">
        <v>35</v>
      </c>
      <c r="BP4" s="122" t="s">
        <v>24</v>
      </c>
      <c r="BQ4" s="61" t="s">
        <v>36</v>
      </c>
      <c r="BR4" s="123" t="s">
        <v>24</v>
      </c>
      <c r="BS4" s="135"/>
    </row>
    <row r="5" spans="1:71" ht="15.75" thickBot="1" x14ac:dyDescent="0.3">
      <c r="B5" s="136"/>
      <c r="C5" s="137"/>
      <c r="D5" s="82"/>
      <c r="E5" s="70"/>
      <c r="F5" s="82"/>
      <c r="G5" s="70"/>
      <c r="H5" s="83"/>
      <c r="I5" s="84"/>
      <c r="J5" s="70"/>
      <c r="K5" s="85"/>
      <c r="L5" s="85"/>
      <c r="M5" s="83"/>
      <c r="N5" s="83"/>
      <c r="O5" s="83"/>
      <c r="P5" s="83"/>
      <c r="Q5" s="62"/>
      <c r="R5" s="138"/>
      <c r="S5" s="139"/>
      <c r="T5" s="139"/>
      <c r="U5" s="139"/>
      <c r="V5" s="140"/>
      <c r="W5" s="141"/>
      <c r="X5" s="140"/>
      <c r="Y5" s="141"/>
      <c r="Z5" s="140"/>
      <c r="AA5" s="141"/>
      <c r="AB5" s="63"/>
      <c r="AC5" s="142"/>
      <c r="AD5" s="143"/>
      <c r="AE5" s="93"/>
      <c r="AF5" s="118"/>
      <c r="AG5" s="93"/>
      <c r="AH5" s="93"/>
      <c r="AI5" s="94"/>
      <c r="AJ5" s="95"/>
      <c r="AK5" s="96"/>
      <c r="AL5" s="66"/>
      <c r="AM5" s="67"/>
      <c r="AN5" s="68"/>
      <c r="AO5" s="97"/>
      <c r="AP5" s="115"/>
      <c r="AQ5" s="98"/>
      <c r="AR5" s="99"/>
      <c r="AS5" s="100"/>
      <c r="AT5" s="101"/>
      <c r="AU5" s="102"/>
      <c r="AV5" s="66"/>
      <c r="AW5" s="103"/>
      <c r="AX5" s="104"/>
      <c r="AY5" s="105"/>
      <c r="AZ5" s="106"/>
      <c r="BA5" s="120"/>
      <c r="BB5" s="107"/>
      <c r="BC5" s="107"/>
      <c r="BD5" s="108"/>
      <c r="BE5" s="107"/>
      <c r="BF5" s="108"/>
      <c r="BG5" s="107"/>
      <c r="BH5" s="108"/>
      <c r="BI5" s="66"/>
      <c r="BJ5" s="71"/>
      <c r="BK5" s="68"/>
      <c r="BL5" s="72"/>
      <c r="BM5" s="64"/>
      <c r="BN5" s="64"/>
      <c r="BO5" s="69"/>
      <c r="BP5" s="73"/>
      <c r="BQ5" s="74"/>
      <c r="BR5" s="65"/>
      <c r="BS5" s="144"/>
    </row>
    <row r="6" spans="1:71" ht="15.75" thickBot="1" x14ac:dyDescent="0.3">
      <c r="B6" s="55">
        <v>46234</v>
      </c>
      <c r="D6" s="86">
        <f>R6+T6</f>
        <v>46908</v>
      </c>
      <c r="E6" s="158">
        <f t="shared" ref="E6:E35" si="0">F6/D6</f>
        <v>0.84034706233478296</v>
      </c>
      <c r="F6" s="86">
        <f t="shared" ref="F6:F37" si="1">D6-H6</f>
        <v>39419</v>
      </c>
      <c r="G6" s="158">
        <f t="shared" ref="G6:G37" si="2">H6/D6</f>
        <v>0.15965293766521702</v>
      </c>
      <c r="H6" s="145">
        <f t="shared" ref="H6:H37" si="3">U6+AG6+AQ6+BB6</f>
        <v>7489</v>
      </c>
      <c r="I6" s="159">
        <f t="shared" ref="I6:I37" si="4">AE6/(AE6+AO6+BL6+AY6)</f>
        <v>9.5766340024735996E-2</v>
      </c>
      <c r="J6" s="158">
        <f t="shared" ref="J6:J37" si="5">AO6/(AE6+AO6+BL6+AY6)</f>
        <v>0.14116639710779183</v>
      </c>
      <c r="K6" s="158">
        <f t="shared" ref="K6:K37" si="6">AY6/(AF6+AP6+BM6+AZ6+AY6)</f>
        <v>0.1610073571024335</v>
      </c>
      <c r="L6" s="160">
        <f t="shared" ref="L6:L37" si="7">BL6/(AE6+AO6+BL6+AY6)</f>
        <v>0.63314622776139284</v>
      </c>
      <c r="M6" s="145">
        <f>(S6+T6)*I6</f>
        <v>4418.27586338122</v>
      </c>
      <c r="N6" s="145">
        <f>(S6+T6)*J6</f>
        <v>6512.8528969650843</v>
      </c>
      <c r="O6" s="145">
        <f>(S6+T6)*K6</f>
        <v>7428.2354272778721</v>
      </c>
      <c r="P6" s="145">
        <f>(S6+T6)*L6</f>
        <v>29210.83436399962</v>
      </c>
      <c r="Q6" s="55">
        <v>46234</v>
      </c>
      <c r="R6" s="138">
        <v>46908</v>
      </c>
      <c r="S6" s="139">
        <v>46136</v>
      </c>
      <c r="T6" s="139">
        <v>0</v>
      </c>
      <c r="U6" s="139">
        <v>0</v>
      </c>
      <c r="V6" s="140">
        <v>11021</v>
      </c>
      <c r="W6" s="141">
        <v>0.77083333333333337</v>
      </c>
      <c r="X6" s="140">
        <v>3958</v>
      </c>
      <c r="Y6" s="141">
        <v>0.78125</v>
      </c>
      <c r="Z6" s="140">
        <v>0</v>
      </c>
      <c r="AA6" s="141">
        <v>0</v>
      </c>
      <c r="AB6" s="55">
        <v>46234</v>
      </c>
      <c r="AC6" s="75">
        <f t="shared" ref="AC6:AC7" si="8">+AF6/AE6</f>
        <v>1</v>
      </c>
      <c r="AD6" s="161">
        <f t="shared" ref="AD6:AD7" si="9">+AG6/AE6</f>
        <v>0</v>
      </c>
      <c r="AE6" s="162">
        <v>5033</v>
      </c>
      <c r="AF6" s="117">
        <f t="shared" ref="AF6" si="10">AE6-AG6</f>
        <v>5033</v>
      </c>
      <c r="AG6" s="146">
        <v>0</v>
      </c>
      <c r="AH6" s="147">
        <v>3091</v>
      </c>
      <c r="AI6" s="148">
        <v>0.32013888888888886</v>
      </c>
      <c r="AJ6" s="147">
        <v>0</v>
      </c>
      <c r="AK6" s="164">
        <v>0</v>
      </c>
      <c r="AL6" s="55">
        <v>46234</v>
      </c>
      <c r="AM6" s="76">
        <f t="shared" ref="AM6" si="11">+AP6/AO6</f>
        <v>0.46367434964280901</v>
      </c>
      <c r="AN6" s="75">
        <f t="shared" ref="AN6" si="12">+AQ6/AO6</f>
        <v>0.53632565035719104</v>
      </c>
      <c r="AO6" s="149">
        <v>7419</v>
      </c>
      <c r="AP6" s="116">
        <f t="shared" ref="AP6" si="13">AO6-AQ6</f>
        <v>3440</v>
      </c>
      <c r="AQ6" s="150">
        <v>3979</v>
      </c>
      <c r="AR6" s="151">
        <v>3586</v>
      </c>
      <c r="AS6" s="152">
        <v>0.31111111111111112</v>
      </c>
      <c r="AT6" s="151">
        <v>185</v>
      </c>
      <c r="AU6" s="153">
        <v>0.375</v>
      </c>
      <c r="AV6" s="55">
        <v>46234</v>
      </c>
      <c r="AW6" s="109">
        <f t="shared" ref="AW6:AW7" si="14">BA6/AZ6</f>
        <v>0.48594024604569419</v>
      </c>
      <c r="AX6" s="109">
        <f t="shared" ref="AX6:AX7" si="15">BB6/AZ6</f>
        <v>0.51405975395430581</v>
      </c>
      <c r="AY6" s="110">
        <f t="shared" ref="AY6" si="16">BA6+BB6</f>
        <v>6828</v>
      </c>
      <c r="AZ6" s="111">
        <v>6828</v>
      </c>
      <c r="BA6" s="119">
        <f t="shared" ref="BA6" si="17">AZ6-BB6</f>
        <v>3318</v>
      </c>
      <c r="BB6" s="112">
        <f>2812+698</f>
        <v>3510</v>
      </c>
      <c r="BC6" s="111">
        <v>3311</v>
      </c>
      <c r="BD6" s="113">
        <v>0.72916666666666663</v>
      </c>
      <c r="BE6" s="114">
        <v>0</v>
      </c>
      <c r="BF6" s="113">
        <v>0</v>
      </c>
      <c r="BG6" s="114">
        <v>158</v>
      </c>
      <c r="BH6" s="113">
        <v>0.89583333333333337</v>
      </c>
      <c r="BI6" s="55">
        <v>46234</v>
      </c>
      <c r="BJ6" s="77">
        <f t="shared" ref="BJ6" si="18">+BM6/BL6</f>
        <v>0.60943651389932385</v>
      </c>
      <c r="BK6" s="75">
        <f t="shared" ref="BK6" si="19">+BN6/BL6</f>
        <v>0.3905634861006762</v>
      </c>
      <c r="BL6" s="78">
        <f t="shared" ref="BL6" si="20">BM6+BN6</f>
        <v>33275</v>
      </c>
      <c r="BM6" s="154">
        <v>20279</v>
      </c>
      <c r="BN6" s="154">
        <v>12996</v>
      </c>
      <c r="BO6" s="155">
        <v>3789</v>
      </c>
      <c r="BP6" s="156">
        <v>0.43333333333333335</v>
      </c>
      <c r="BQ6" s="157">
        <v>2522</v>
      </c>
      <c r="BR6" s="156">
        <v>0.74027777777777781</v>
      </c>
    </row>
    <row r="7" spans="1:71" ht="15.75" thickBot="1" x14ac:dyDescent="0.3">
      <c r="A7" s="165"/>
      <c r="B7" s="55">
        <f>B6+1</f>
        <v>46235</v>
      </c>
      <c r="C7" s="125"/>
      <c r="D7" s="86">
        <f t="shared" ref="D7:D37" si="21">R7+T7</f>
        <v>33084</v>
      </c>
      <c r="E7" s="158">
        <f t="shared" si="0"/>
        <v>0.78624108330310727</v>
      </c>
      <c r="F7" s="86">
        <f t="shared" si="1"/>
        <v>26012</v>
      </c>
      <c r="G7" s="158">
        <f t="shared" si="2"/>
        <v>0.21375891669689276</v>
      </c>
      <c r="H7" s="189">
        <f t="shared" si="3"/>
        <v>7072</v>
      </c>
      <c r="I7" s="159">
        <f t="shared" si="4"/>
        <v>7.2040604704469796E-2</v>
      </c>
      <c r="J7" s="158">
        <f t="shared" si="5"/>
        <v>0.1542323855263876</v>
      </c>
      <c r="K7" s="158">
        <f t="shared" si="6"/>
        <v>0.16741337066853343</v>
      </c>
      <c r="L7" s="160">
        <f t="shared" si="7"/>
        <v>0.64320798995797634</v>
      </c>
      <c r="M7" s="145">
        <f t="shared" ref="M7:M37" si="22">(S7+T7)*I7</f>
        <v>2353.5665556950285</v>
      </c>
      <c r="N7" s="145">
        <f t="shared" ref="N7:N37" si="23">(S7+T7)*J7</f>
        <v>5038.7720351470825</v>
      </c>
      <c r="O7" s="145">
        <f t="shared" ref="O7:O37" si="24">(S7+T7)*K7</f>
        <v>5469.3948197409873</v>
      </c>
      <c r="P7" s="145">
        <f t="shared" ref="P7:P37" si="25">(S7+T7)*L7</f>
        <v>21013.605031927087</v>
      </c>
      <c r="Q7" s="55">
        <f>Q6+1</f>
        <v>46235</v>
      </c>
      <c r="R7" s="138">
        <v>33084</v>
      </c>
      <c r="S7" s="139">
        <v>32670</v>
      </c>
      <c r="T7" s="139">
        <v>0</v>
      </c>
      <c r="U7" s="139">
        <v>0</v>
      </c>
      <c r="V7" s="140">
        <v>6888</v>
      </c>
      <c r="W7" s="141">
        <v>0.76041666666666663</v>
      </c>
      <c r="X7" s="140">
        <v>2053</v>
      </c>
      <c r="Y7" s="141">
        <v>0.76041666666666663</v>
      </c>
      <c r="Z7" s="140">
        <v>0</v>
      </c>
      <c r="AA7" s="141">
        <v>0</v>
      </c>
      <c r="AB7" s="55">
        <f>AB6+1</f>
        <v>46235</v>
      </c>
      <c r="AC7" s="75">
        <f t="shared" si="8"/>
        <v>1</v>
      </c>
      <c r="AD7" s="161">
        <f t="shared" si="9"/>
        <v>0</v>
      </c>
      <c r="AE7" s="162">
        <v>2640</v>
      </c>
      <c r="AF7" s="117">
        <f t="shared" ref="AF7" si="26">AE7-AG7</f>
        <v>2640</v>
      </c>
      <c r="AG7" s="146">
        <v>0</v>
      </c>
      <c r="AH7" s="147">
        <v>1512</v>
      </c>
      <c r="AI7" s="148">
        <v>0.80763888888888891</v>
      </c>
      <c r="AJ7" s="147">
        <v>0</v>
      </c>
      <c r="AK7" s="164">
        <v>0</v>
      </c>
      <c r="AL7" s="55">
        <f>AL6+1</f>
        <v>46235</v>
      </c>
      <c r="AM7" s="76">
        <f t="shared" ref="AM7" si="27">+AP7/AO7</f>
        <v>0.33970276008492567</v>
      </c>
      <c r="AN7" s="75">
        <f t="shared" ref="AN7" si="28">+AQ7/AO7</f>
        <v>0.66029723991507427</v>
      </c>
      <c r="AO7" s="149">
        <v>5652</v>
      </c>
      <c r="AP7" s="116">
        <f t="shared" ref="AP7" si="29">AO7-AQ7</f>
        <v>1920</v>
      </c>
      <c r="AQ7" s="150">
        <v>3732</v>
      </c>
      <c r="AR7" s="151">
        <v>1604</v>
      </c>
      <c r="AS7" s="152">
        <v>0.80486111111111114</v>
      </c>
      <c r="AT7" s="151">
        <v>176</v>
      </c>
      <c r="AU7" s="153">
        <v>0.84375</v>
      </c>
      <c r="AV7" s="55">
        <f>AV6+1</f>
        <v>46235</v>
      </c>
      <c r="AW7" s="109">
        <f t="shared" si="14"/>
        <v>0.30169349780472504</v>
      </c>
      <c r="AX7" s="109">
        <f t="shared" si="15"/>
        <v>0.6983065021952749</v>
      </c>
      <c r="AY7" s="110">
        <f t="shared" ref="AY7" si="30">BA7+BB7</f>
        <v>4783</v>
      </c>
      <c r="AZ7" s="111">
        <v>4783</v>
      </c>
      <c r="BA7" s="119">
        <f t="shared" ref="BA7" si="31">AZ7-BB7</f>
        <v>1443</v>
      </c>
      <c r="BB7" s="112">
        <f>2642+698</f>
        <v>3340</v>
      </c>
      <c r="BC7" s="111">
        <v>1832</v>
      </c>
      <c r="BD7" s="113">
        <v>0.71875</v>
      </c>
      <c r="BE7" s="114">
        <v>0</v>
      </c>
      <c r="BF7" s="113">
        <v>0</v>
      </c>
      <c r="BG7" s="114">
        <v>149</v>
      </c>
      <c r="BH7" s="113">
        <v>0.875</v>
      </c>
      <c r="BI7" s="55">
        <f>BI6+1</f>
        <v>46235</v>
      </c>
      <c r="BJ7" s="77">
        <f t="shared" ref="BJ7" si="32">+BM7/BL7</f>
        <v>0.61278689915574225</v>
      </c>
      <c r="BK7" s="75">
        <f t="shared" ref="BK7" si="33">+BN7/BL7</f>
        <v>0.38721310084425775</v>
      </c>
      <c r="BL7" s="78">
        <f t="shared" ref="BL7" si="34">BM7+BN7</f>
        <v>23571</v>
      </c>
      <c r="BM7" s="154">
        <v>14444</v>
      </c>
      <c r="BN7" s="154">
        <v>9127</v>
      </c>
      <c r="BO7" s="155">
        <v>2696</v>
      </c>
      <c r="BP7" s="156">
        <v>0.71250000000000002</v>
      </c>
      <c r="BQ7" s="157">
        <v>1779</v>
      </c>
      <c r="BR7" s="156">
        <v>0.71250000000000002</v>
      </c>
    </row>
    <row r="8" spans="1:71" ht="15.75" thickBot="1" x14ac:dyDescent="0.3">
      <c r="A8" s="165"/>
      <c r="B8" s="55">
        <f>B7+1</f>
        <v>46236</v>
      </c>
      <c r="C8" s="163"/>
      <c r="D8" s="86">
        <f t="shared" si="21"/>
        <v>28342</v>
      </c>
      <c r="E8" s="158">
        <f t="shared" si="0"/>
        <v>0.74931197516053916</v>
      </c>
      <c r="F8" s="86">
        <f t="shared" si="1"/>
        <v>21237</v>
      </c>
      <c r="G8" s="158">
        <f t="shared" si="2"/>
        <v>0.25068802483946084</v>
      </c>
      <c r="H8" s="189">
        <f t="shared" si="3"/>
        <v>7105</v>
      </c>
      <c r="I8" s="159">
        <f t="shared" si="4"/>
        <v>5.7918668773581865E-2</v>
      </c>
      <c r="J8" s="158">
        <f t="shared" si="5"/>
        <v>0.16762875294269405</v>
      </c>
      <c r="K8" s="158">
        <f t="shared" si="6"/>
        <v>0.18237551088497789</v>
      </c>
      <c r="L8" s="160">
        <f t="shared" si="7"/>
        <v>0.63342900448256956</v>
      </c>
      <c r="M8" s="145">
        <f t="shared" si="22"/>
        <v>1592.3000419233126</v>
      </c>
      <c r="N8" s="145">
        <f t="shared" si="23"/>
        <v>4608.4496759005451</v>
      </c>
      <c r="O8" s="145">
        <f t="shared" si="24"/>
        <v>5013.8675452498119</v>
      </c>
      <c r="P8" s="145">
        <f t="shared" si="25"/>
        <v>17414.230191234801</v>
      </c>
      <c r="Q8" s="55">
        <f>Q7+1</f>
        <v>46236</v>
      </c>
      <c r="R8" s="138">
        <v>28342</v>
      </c>
      <c r="S8" s="139">
        <v>27492</v>
      </c>
      <c r="T8" s="139">
        <v>0</v>
      </c>
      <c r="U8" s="139">
        <v>0</v>
      </c>
      <c r="V8" s="140">
        <v>6102</v>
      </c>
      <c r="W8" s="141">
        <v>0.78125</v>
      </c>
      <c r="X8" s="140">
        <v>2093</v>
      </c>
      <c r="Y8" s="141">
        <v>0.75</v>
      </c>
      <c r="Z8" s="140">
        <v>0</v>
      </c>
      <c r="AA8" s="141">
        <v>0</v>
      </c>
      <c r="AB8" s="55">
        <f>AB7+1</f>
        <v>46236</v>
      </c>
      <c r="AC8" s="75">
        <f t="shared" ref="AC8:AC10" si="35">+AF8/AE8</f>
        <v>1</v>
      </c>
      <c r="AD8" s="161">
        <f t="shared" ref="AD8:AD10" si="36">+AG8/AE8</f>
        <v>0</v>
      </c>
      <c r="AE8" s="162">
        <v>1796</v>
      </c>
      <c r="AF8" s="117">
        <f>AE8-AG8</f>
        <v>1796</v>
      </c>
      <c r="AG8" s="146">
        <v>0</v>
      </c>
      <c r="AH8" s="147">
        <v>1502</v>
      </c>
      <c r="AI8" s="148">
        <v>0.93819444444444444</v>
      </c>
      <c r="AJ8" s="147">
        <v>0</v>
      </c>
      <c r="AK8" s="164">
        <v>0</v>
      </c>
      <c r="AL8" s="55">
        <f>AL7+1</f>
        <v>46236</v>
      </c>
      <c r="AM8" s="76">
        <f t="shared" ref="AM8:AM10" si="37">+AP8/AO8</f>
        <v>0.27029626779530591</v>
      </c>
      <c r="AN8" s="75">
        <f t="shared" ref="AN8:AN10" si="38">+AQ8/AO8</f>
        <v>0.72970373220469409</v>
      </c>
      <c r="AO8" s="149">
        <v>5198</v>
      </c>
      <c r="AP8" s="116">
        <f t="shared" ref="AP8:AP36" si="39">AO8-AQ8</f>
        <v>1405</v>
      </c>
      <c r="AQ8" s="150">
        <v>3793</v>
      </c>
      <c r="AR8" s="151">
        <v>1619</v>
      </c>
      <c r="AS8" s="152">
        <v>0.93263888888888891</v>
      </c>
      <c r="AT8" s="151">
        <v>161</v>
      </c>
      <c r="AU8" s="153">
        <v>1.0416666666666666E-2</v>
      </c>
      <c r="AV8" s="55">
        <f>AV7+1</f>
        <v>46236</v>
      </c>
      <c r="AW8" s="109">
        <f t="shared" ref="AW8:AW10" si="40">BA8/AZ8</f>
        <v>0.2426252000914704</v>
      </c>
      <c r="AX8" s="109">
        <f t="shared" ref="AX8:AX10" si="41">BB8/AZ8</f>
        <v>0.75737479990852963</v>
      </c>
      <c r="AY8" s="110">
        <f>BA8+BB8</f>
        <v>4373</v>
      </c>
      <c r="AZ8" s="111">
        <v>4373</v>
      </c>
      <c r="BA8" s="119">
        <f t="shared" ref="BA8:BA37" si="42">AZ8-BB8</f>
        <v>1061</v>
      </c>
      <c r="BB8" s="112">
        <f>2614+698</f>
        <v>3312</v>
      </c>
      <c r="BC8" s="111">
        <v>1608</v>
      </c>
      <c r="BD8" s="113">
        <v>0.70833333333333337</v>
      </c>
      <c r="BE8" s="114">
        <v>0</v>
      </c>
      <c r="BF8" s="113">
        <v>0</v>
      </c>
      <c r="BG8" s="114">
        <v>149</v>
      </c>
      <c r="BH8" s="113">
        <v>0.76041666666666663</v>
      </c>
      <c r="BI8" s="55">
        <f>BI7+1</f>
        <v>46236</v>
      </c>
      <c r="BJ8" s="77">
        <f t="shared" ref="BJ8:BJ10" si="43">+BM8/BL8</f>
        <v>0.61251400061093575</v>
      </c>
      <c r="BK8" s="75">
        <f t="shared" ref="BK8:BK10" si="44">+BN8/BL8</f>
        <v>0.38748599938906425</v>
      </c>
      <c r="BL8" s="78">
        <f t="shared" ref="BL8:BL10" si="45">BM8+BN8</f>
        <v>19642</v>
      </c>
      <c r="BM8" s="154">
        <v>12031</v>
      </c>
      <c r="BN8" s="154">
        <v>7611</v>
      </c>
      <c r="BO8" s="155">
        <v>2807</v>
      </c>
      <c r="BP8" s="156">
        <v>0.67222222222222228</v>
      </c>
      <c r="BQ8" s="157">
        <v>1823</v>
      </c>
      <c r="BR8" s="156">
        <v>0.67222222222222228</v>
      </c>
    </row>
    <row r="9" spans="1:71" ht="15.75" thickBot="1" x14ac:dyDescent="0.3">
      <c r="A9" s="165" t="s">
        <v>67</v>
      </c>
      <c r="B9" s="55">
        <f t="shared" ref="B9:B37" si="46">B8+1</f>
        <v>46237</v>
      </c>
      <c r="C9" s="163"/>
      <c r="D9" s="86">
        <f t="shared" si="21"/>
        <v>50684</v>
      </c>
      <c r="E9" s="158">
        <f t="shared" si="0"/>
        <v>0.85533896298634682</v>
      </c>
      <c r="F9" s="86">
        <f t="shared" si="1"/>
        <v>43352</v>
      </c>
      <c r="G9" s="158">
        <f t="shared" si="2"/>
        <v>0.14466103701365324</v>
      </c>
      <c r="H9" s="189">
        <f t="shared" si="3"/>
        <v>7332</v>
      </c>
      <c r="I9" s="159">
        <f t="shared" si="4"/>
        <v>0.10978903698472946</v>
      </c>
      <c r="J9" s="158">
        <f t="shared" si="5"/>
        <v>0.15821343454850384</v>
      </c>
      <c r="K9" s="158">
        <f t="shared" si="6"/>
        <v>0.16633043332072459</v>
      </c>
      <c r="L9" s="160">
        <f t="shared" si="7"/>
        <v>0.59226763174154828</v>
      </c>
      <c r="M9" s="145">
        <f t="shared" si="22"/>
        <v>5482.9742960543736</v>
      </c>
      <c r="N9" s="145">
        <f t="shared" si="23"/>
        <v>7901.3371347868306</v>
      </c>
      <c r="O9" s="145">
        <f t="shared" si="24"/>
        <v>8306.7081704703069</v>
      </c>
      <c r="P9" s="145">
        <f t="shared" si="25"/>
        <v>29578.437796804661</v>
      </c>
      <c r="Q9" s="55">
        <f t="shared" ref="Q9:Q37" si="47">Q8+1</f>
        <v>46237</v>
      </c>
      <c r="R9" s="138">
        <v>50684</v>
      </c>
      <c r="S9" s="139">
        <v>49941</v>
      </c>
      <c r="T9" s="139">
        <v>0</v>
      </c>
      <c r="U9" s="139">
        <v>0</v>
      </c>
      <c r="V9" s="140">
        <v>12449</v>
      </c>
      <c r="W9" s="141">
        <v>0.77083333333333337</v>
      </c>
      <c r="X9" s="140">
        <v>4142</v>
      </c>
      <c r="Y9" s="141">
        <v>0.38541666666666669</v>
      </c>
      <c r="Z9" s="140">
        <v>0</v>
      </c>
      <c r="AA9" s="141">
        <v>0</v>
      </c>
      <c r="AB9" s="55">
        <f t="shared" ref="AB9:AB37" si="48">AB8+1</f>
        <v>46237</v>
      </c>
      <c r="AC9" s="75">
        <f t="shared" si="35"/>
        <v>1</v>
      </c>
      <c r="AD9" s="161">
        <f t="shared" si="36"/>
        <v>0</v>
      </c>
      <c r="AE9" s="162">
        <v>6219</v>
      </c>
      <c r="AF9" s="117">
        <f t="shared" ref="AF9:AF37" si="49">AE9-AG9</f>
        <v>6219</v>
      </c>
      <c r="AG9" s="146">
        <v>0</v>
      </c>
      <c r="AH9" s="147">
        <v>3256</v>
      </c>
      <c r="AI9" s="148">
        <v>0.7368055555555556</v>
      </c>
      <c r="AJ9" s="147">
        <v>0</v>
      </c>
      <c r="AK9" s="164">
        <v>0</v>
      </c>
      <c r="AL9" s="55">
        <f t="shared" ref="AL9:AL37" si="50">AL8+1</f>
        <v>46237</v>
      </c>
      <c r="AM9" s="76">
        <f t="shared" si="37"/>
        <v>0.55913858513724612</v>
      </c>
      <c r="AN9" s="75">
        <f t="shared" si="38"/>
        <v>0.44086141486275388</v>
      </c>
      <c r="AO9" s="149">
        <v>8962</v>
      </c>
      <c r="AP9" s="116">
        <f t="shared" si="39"/>
        <v>5011</v>
      </c>
      <c r="AQ9" s="150">
        <v>3951</v>
      </c>
      <c r="AR9" s="151">
        <v>3388</v>
      </c>
      <c r="AS9" s="152">
        <v>0.33541666666666664</v>
      </c>
      <c r="AT9" s="151">
        <v>186</v>
      </c>
      <c r="AU9" s="153">
        <v>0.32291666666666669</v>
      </c>
      <c r="AV9" s="55">
        <f t="shared" ref="AV9:AV37" si="51">AV8+1</f>
        <v>46237</v>
      </c>
      <c r="AW9" s="109">
        <f t="shared" si="40"/>
        <v>0.57283638660770686</v>
      </c>
      <c r="AX9" s="109">
        <f t="shared" si="41"/>
        <v>0.42716361339229314</v>
      </c>
      <c r="AY9" s="110">
        <f t="shared" ref="AY9:AY37" si="52">BA9+BB9</f>
        <v>7915</v>
      </c>
      <c r="AZ9" s="111">
        <v>7915</v>
      </c>
      <c r="BA9" s="119">
        <f t="shared" si="42"/>
        <v>4534</v>
      </c>
      <c r="BB9" s="112">
        <f>2683+698</f>
        <v>3381</v>
      </c>
      <c r="BC9" s="111">
        <v>3810</v>
      </c>
      <c r="BD9" s="113">
        <v>0.34375</v>
      </c>
      <c r="BE9" s="114">
        <v>0</v>
      </c>
      <c r="BF9" s="113">
        <v>0</v>
      </c>
      <c r="BG9" s="114">
        <v>150</v>
      </c>
      <c r="BH9" s="113">
        <v>0.77083333333333337</v>
      </c>
      <c r="BI9" s="55">
        <f t="shared" ref="BI9:BI37" si="53">BI8+1</f>
        <v>46237</v>
      </c>
      <c r="BJ9" s="77">
        <f t="shared" si="43"/>
        <v>0.61182151479924884</v>
      </c>
      <c r="BK9" s="75">
        <f t="shared" si="44"/>
        <v>0.38817848520075116</v>
      </c>
      <c r="BL9" s="78">
        <f t="shared" si="45"/>
        <v>33549</v>
      </c>
      <c r="BM9" s="154">
        <v>20526</v>
      </c>
      <c r="BN9" s="154">
        <v>13023</v>
      </c>
      <c r="BO9" s="155">
        <v>4004</v>
      </c>
      <c r="BP9" s="156">
        <v>0.77638888888888891</v>
      </c>
      <c r="BQ9" s="157">
        <v>2699</v>
      </c>
      <c r="BR9" s="156">
        <v>0.77638888888888891</v>
      </c>
    </row>
    <row r="10" spans="1:71" ht="15.75" thickBot="1" x14ac:dyDescent="0.3">
      <c r="B10" s="55">
        <f t="shared" si="46"/>
        <v>46238</v>
      </c>
      <c r="C10" s="163"/>
      <c r="D10" s="86">
        <f t="shared" si="21"/>
        <v>52258</v>
      </c>
      <c r="E10" s="158">
        <f t="shared" si="0"/>
        <v>0.86015538290788018</v>
      </c>
      <c r="F10" s="86">
        <f t="shared" si="1"/>
        <v>44950</v>
      </c>
      <c r="G10" s="158">
        <f t="shared" si="2"/>
        <v>0.13984461709211987</v>
      </c>
      <c r="H10" s="189">
        <f t="shared" si="3"/>
        <v>7308</v>
      </c>
      <c r="I10" s="159">
        <f t="shared" si="4"/>
        <v>0.10949983677256404</v>
      </c>
      <c r="J10" s="158">
        <f t="shared" si="5"/>
        <v>0.15556433738251921</v>
      </c>
      <c r="K10" s="158">
        <f t="shared" si="6"/>
        <v>0.16549844236760125</v>
      </c>
      <c r="L10" s="160">
        <f t="shared" si="7"/>
        <v>0.59619250528341439</v>
      </c>
      <c r="M10" s="145">
        <f t="shared" si="22"/>
        <v>5639.5700932973659</v>
      </c>
      <c r="N10" s="145">
        <f t="shared" si="23"/>
        <v>8012.0300682118868</v>
      </c>
      <c r="O10" s="145">
        <f t="shared" si="24"/>
        <v>8523.6662772585678</v>
      </c>
      <c r="P10" s="145">
        <f t="shared" si="25"/>
        <v>30705.70259961169</v>
      </c>
      <c r="Q10" s="55">
        <f t="shared" si="47"/>
        <v>46238</v>
      </c>
      <c r="R10" s="138">
        <v>52258</v>
      </c>
      <c r="S10" s="139">
        <v>51503</v>
      </c>
      <c r="T10" s="139">
        <v>0</v>
      </c>
      <c r="U10" s="139">
        <v>0</v>
      </c>
      <c r="V10" s="140">
        <v>13595</v>
      </c>
      <c r="W10" s="141">
        <v>0.80208333333333337</v>
      </c>
      <c r="X10" s="140">
        <v>4459</v>
      </c>
      <c r="Y10" s="141">
        <v>0.78125</v>
      </c>
      <c r="Z10" s="140">
        <v>0</v>
      </c>
      <c r="AA10" s="141">
        <v>0</v>
      </c>
      <c r="AB10" s="55">
        <f t="shared" si="48"/>
        <v>46238</v>
      </c>
      <c r="AC10" s="75">
        <f t="shared" si="35"/>
        <v>1</v>
      </c>
      <c r="AD10" s="161">
        <f t="shared" si="36"/>
        <v>0</v>
      </c>
      <c r="AE10" s="162">
        <v>6373</v>
      </c>
      <c r="AF10" s="117">
        <f t="shared" si="49"/>
        <v>6373</v>
      </c>
      <c r="AG10" s="146">
        <v>0</v>
      </c>
      <c r="AH10" s="147">
        <v>3847</v>
      </c>
      <c r="AI10" s="148">
        <v>0.76180555555555551</v>
      </c>
      <c r="AJ10" s="147">
        <v>0</v>
      </c>
      <c r="AK10" s="164">
        <v>0</v>
      </c>
      <c r="AL10" s="55">
        <f t="shared" si="50"/>
        <v>46238</v>
      </c>
      <c r="AM10" s="76">
        <f t="shared" si="37"/>
        <v>0.56847802076430309</v>
      </c>
      <c r="AN10" s="75">
        <f t="shared" si="38"/>
        <v>0.43152197923569691</v>
      </c>
      <c r="AO10" s="149">
        <v>9054</v>
      </c>
      <c r="AP10" s="116">
        <f t="shared" si="39"/>
        <v>5147</v>
      </c>
      <c r="AQ10" s="150">
        <v>3907</v>
      </c>
      <c r="AR10" s="151">
        <v>3406</v>
      </c>
      <c r="AS10" s="152">
        <v>0.73819444444444449</v>
      </c>
      <c r="AT10" s="151">
        <v>188</v>
      </c>
      <c r="AU10" s="153">
        <v>0.3125</v>
      </c>
      <c r="AV10" s="55">
        <f t="shared" si="51"/>
        <v>46238</v>
      </c>
      <c r="AW10" s="109">
        <f t="shared" si="40"/>
        <v>0.57882352941176474</v>
      </c>
      <c r="AX10" s="109">
        <f t="shared" si="41"/>
        <v>0.42117647058823532</v>
      </c>
      <c r="AY10" s="110">
        <f t="shared" si="52"/>
        <v>8075</v>
      </c>
      <c r="AZ10" s="111">
        <v>8075</v>
      </c>
      <c r="BA10" s="119">
        <f t="shared" si="42"/>
        <v>4674</v>
      </c>
      <c r="BB10" s="112">
        <f>2703+698</f>
        <v>3401</v>
      </c>
      <c r="BC10" s="111">
        <v>3781</v>
      </c>
      <c r="BD10" s="113">
        <v>0.73958333333333337</v>
      </c>
      <c r="BE10" s="114">
        <v>0</v>
      </c>
      <c r="BF10" s="113">
        <v>0</v>
      </c>
      <c r="BG10" s="114">
        <v>157</v>
      </c>
      <c r="BH10" s="113">
        <v>0.82291666666666663</v>
      </c>
      <c r="BI10" s="55">
        <f t="shared" si="53"/>
        <v>46238</v>
      </c>
      <c r="BJ10" s="77">
        <f t="shared" si="43"/>
        <v>0.60872071241246151</v>
      </c>
      <c r="BK10" s="75">
        <f t="shared" si="44"/>
        <v>0.39127928758753855</v>
      </c>
      <c r="BL10" s="78">
        <f t="shared" si="45"/>
        <v>34699</v>
      </c>
      <c r="BM10" s="154">
        <v>21122</v>
      </c>
      <c r="BN10" s="154">
        <v>13577</v>
      </c>
      <c r="BO10" s="155">
        <v>4055</v>
      </c>
      <c r="BP10" s="156">
        <v>0.40694444444444444</v>
      </c>
      <c r="BQ10" s="157">
        <v>2697</v>
      </c>
      <c r="BR10" s="156">
        <v>0.74027777777777781</v>
      </c>
      <c r="BS10" s="14" t="s">
        <v>68</v>
      </c>
    </row>
    <row r="11" spans="1:71" ht="15.75" thickBot="1" x14ac:dyDescent="0.3">
      <c r="B11" s="55">
        <f t="shared" si="46"/>
        <v>46239</v>
      </c>
      <c r="C11" s="163"/>
      <c r="D11" s="86">
        <f t="shared" si="21"/>
        <v>55872</v>
      </c>
      <c r="E11" s="158">
        <f t="shared" si="0"/>
        <v>0.86991695303550975</v>
      </c>
      <c r="F11" s="86">
        <f t="shared" si="1"/>
        <v>48604</v>
      </c>
      <c r="G11" s="158">
        <f t="shared" si="2"/>
        <v>0.13008304696449027</v>
      </c>
      <c r="H11" s="189">
        <f t="shared" si="3"/>
        <v>7268</v>
      </c>
      <c r="I11" s="159">
        <f t="shared" si="4"/>
        <v>0.11645757409617183</v>
      </c>
      <c r="J11" s="158">
        <f t="shared" si="5"/>
        <v>0.15760957203212178</v>
      </c>
      <c r="K11" s="158">
        <f t="shared" si="6"/>
        <v>0.16792202876608631</v>
      </c>
      <c r="L11" s="160">
        <f t="shared" si="7"/>
        <v>0.58285225916728478</v>
      </c>
      <c r="M11" s="145">
        <f t="shared" si="22"/>
        <v>6421.2377205147222</v>
      </c>
      <c r="N11" s="145">
        <f t="shared" si="23"/>
        <v>8690.2765827071307</v>
      </c>
      <c r="O11" s="145">
        <f t="shared" si="24"/>
        <v>9258.8848221044664</v>
      </c>
      <c r="P11" s="145">
        <f t="shared" si="25"/>
        <v>32137.307865965748</v>
      </c>
      <c r="Q11" s="55">
        <f t="shared" si="47"/>
        <v>46239</v>
      </c>
      <c r="R11" s="138">
        <v>55872</v>
      </c>
      <c r="S11" s="139">
        <v>55138</v>
      </c>
      <c r="T11" s="139">
        <v>0</v>
      </c>
      <c r="U11" s="139">
        <v>0</v>
      </c>
      <c r="V11" s="140">
        <v>12708</v>
      </c>
      <c r="W11" s="141">
        <v>0.71875</v>
      </c>
      <c r="X11" s="140">
        <v>4523</v>
      </c>
      <c r="Y11" s="141">
        <v>0.77083333333333337</v>
      </c>
      <c r="Z11" s="140">
        <v>0</v>
      </c>
      <c r="AA11" s="141">
        <v>0</v>
      </c>
      <c r="AB11" s="55">
        <f t="shared" si="48"/>
        <v>46239</v>
      </c>
      <c r="AC11" s="75">
        <f t="shared" ref="AC11:AC33" si="54">+AF11/AE11</f>
        <v>1</v>
      </c>
      <c r="AD11" s="161">
        <f t="shared" ref="AD11:AD33" si="55">+AG11/AE11</f>
        <v>0</v>
      </c>
      <c r="AE11" s="162">
        <v>7222</v>
      </c>
      <c r="AF11" s="117">
        <f t="shared" si="49"/>
        <v>7222</v>
      </c>
      <c r="AG11" s="146">
        <v>0</v>
      </c>
      <c r="AH11" s="147">
        <v>3137</v>
      </c>
      <c r="AI11" s="148">
        <v>0.35555555555555557</v>
      </c>
      <c r="AJ11" s="147">
        <v>0</v>
      </c>
      <c r="AK11" s="164">
        <v>0</v>
      </c>
      <c r="AL11" s="55">
        <f t="shared" si="50"/>
        <v>46239</v>
      </c>
      <c r="AM11" s="76">
        <f t="shared" ref="AM11:AM33" si="56">+AP11/AO11</f>
        <v>0.60067526089625534</v>
      </c>
      <c r="AN11" s="75">
        <f t="shared" ref="AN11:AN33" si="57">+AQ11/AO11</f>
        <v>0.39932473910374461</v>
      </c>
      <c r="AO11" s="149">
        <v>9774</v>
      </c>
      <c r="AP11" s="116">
        <f t="shared" si="39"/>
        <v>5871</v>
      </c>
      <c r="AQ11" s="150">
        <v>3903</v>
      </c>
      <c r="AR11" s="151">
        <v>3367</v>
      </c>
      <c r="AS11" s="152">
        <v>0.39930555555555558</v>
      </c>
      <c r="AT11" s="151">
        <v>183</v>
      </c>
      <c r="AU11" s="153">
        <v>0.29166666666666669</v>
      </c>
      <c r="AV11" s="55">
        <f t="shared" si="51"/>
        <v>46239</v>
      </c>
      <c r="AW11" s="109">
        <f t="shared" ref="AW11:AW33" si="58">BA11/AZ11</f>
        <v>0.62075960779894057</v>
      </c>
      <c r="AX11" s="109">
        <f t="shared" ref="AX11:AX33" si="59">BB11/AZ11</f>
        <v>0.37924039220105937</v>
      </c>
      <c r="AY11" s="110">
        <f t="shared" si="52"/>
        <v>8873</v>
      </c>
      <c r="AZ11" s="111">
        <v>8873</v>
      </c>
      <c r="BA11" s="119">
        <f t="shared" si="42"/>
        <v>5508</v>
      </c>
      <c r="BB11" s="112">
        <f>2667+698</f>
        <v>3365</v>
      </c>
      <c r="BC11" s="111">
        <v>3787</v>
      </c>
      <c r="BD11" s="113">
        <v>0.72916666666666663</v>
      </c>
      <c r="BE11" s="114">
        <v>0</v>
      </c>
      <c r="BF11" s="113">
        <v>0</v>
      </c>
      <c r="BG11" s="114">
        <v>155</v>
      </c>
      <c r="BH11" s="113">
        <v>0.82291666666666663</v>
      </c>
      <c r="BI11" s="55">
        <f t="shared" si="53"/>
        <v>46239</v>
      </c>
      <c r="BJ11" s="77">
        <f t="shared" ref="BJ11:BJ33" si="60">+BM11/BL11</f>
        <v>0.60868723198229358</v>
      </c>
      <c r="BK11" s="75">
        <f t="shared" ref="BK11:BK33" si="61">+BN11/BL11</f>
        <v>0.39131276801770648</v>
      </c>
      <c r="BL11" s="78">
        <f t="shared" ref="BL11:BL33" si="62">BM11+BN11</f>
        <v>36145</v>
      </c>
      <c r="BM11" s="154">
        <v>22001</v>
      </c>
      <c r="BN11" s="154">
        <v>14144</v>
      </c>
      <c r="BO11" s="155">
        <v>3907</v>
      </c>
      <c r="BP11" s="156">
        <v>0.40277777777777779</v>
      </c>
      <c r="BQ11" s="157">
        <v>2625</v>
      </c>
      <c r="BR11" s="156">
        <v>0.40277777777777779</v>
      </c>
    </row>
    <row r="12" spans="1:71" ht="15.75" thickBot="1" x14ac:dyDescent="0.3">
      <c r="B12" s="55">
        <f t="shared" si="46"/>
        <v>46240</v>
      </c>
      <c r="C12" s="163"/>
      <c r="D12" s="86">
        <f t="shared" si="21"/>
        <v>53180</v>
      </c>
      <c r="E12" s="158">
        <f t="shared" si="0"/>
        <v>0.86239187664535544</v>
      </c>
      <c r="F12" s="86">
        <f t="shared" si="1"/>
        <v>45862</v>
      </c>
      <c r="G12" s="158">
        <f t="shared" si="2"/>
        <v>0.13760812335464459</v>
      </c>
      <c r="H12" s="189">
        <f t="shared" si="3"/>
        <v>7318</v>
      </c>
      <c r="I12" s="159">
        <f t="shared" si="4"/>
        <v>0.11438679245283019</v>
      </c>
      <c r="J12" s="158">
        <f t="shared" si="5"/>
        <v>0.15128032345013476</v>
      </c>
      <c r="K12" s="158">
        <f t="shared" si="6"/>
        <v>0.16153071500503524</v>
      </c>
      <c r="L12" s="160">
        <f t="shared" si="7"/>
        <v>0.59922506738544479</v>
      </c>
      <c r="M12" s="145">
        <f t="shared" si="22"/>
        <v>6057.9245283018872</v>
      </c>
      <c r="N12" s="145">
        <f t="shared" si="23"/>
        <v>8011.8059299191364</v>
      </c>
      <c r="O12" s="145">
        <f t="shared" si="24"/>
        <v>8554.6666666666661</v>
      </c>
      <c r="P12" s="145">
        <f t="shared" si="25"/>
        <v>31734.959568733157</v>
      </c>
      <c r="Q12" s="55">
        <f t="shared" si="47"/>
        <v>46240</v>
      </c>
      <c r="R12" s="138">
        <v>53180</v>
      </c>
      <c r="S12" s="139">
        <v>52960</v>
      </c>
      <c r="T12" s="139">
        <v>0</v>
      </c>
      <c r="U12" s="139">
        <v>0</v>
      </c>
      <c r="V12" s="140">
        <v>12690</v>
      </c>
      <c r="W12" s="141">
        <v>0.75</v>
      </c>
      <c r="X12" s="140">
        <v>4420</v>
      </c>
      <c r="Y12" s="141">
        <v>0.75</v>
      </c>
      <c r="Z12" s="140">
        <v>0</v>
      </c>
      <c r="AA12" s="141">
        <v>0</v>
      </c>
      <c r="AB12" s="55">
        <f t="shared" si="48"/>
        <v>46240</v>
      </c>
      <c r="AC12" s="75">
        <f t="shared" si="54"/>
        <v>1</v>
      </c>
      <c r="AD12" s="161">
        <f t="shared" si="55"/>
        <v>0</v>
      </c>
      <c r="AE12" s="162">
        <v>6790</v>
      </c>
      <c r="AF12" s="117">
        <f t="shared" si="49"/>
        <v>6790</v>
      </c>
      <c r="AG12" s="146">
        <v>0</v>
      </c>
      <c r="AH12" s="147">
        <v>3150</v>
      </c>
      <c r="AI12" s="148">
        <v>0.77083333333333337</v>
      </c>
      <c r="AJ12" s="147">
        <v>0</v>
      </c>
      <c r="AK12" s="164">
        <v>0</v>
      </c>
      <c r="AL12" s="55">
        <f t="shared" si="50"/>
        <v>46240</v>
      </c>
      <c r="AM12" s="76">
        <f t="shared" si="56"/>
        <v>0.56458797327394206</v>
      </c>
      <c r="AN12" s="75">
        <f t="shared" si="57"/>
        <v>0.43541202672605789</v>
      </c>
      <c r="AO12" s="149">
        <v>8980</v>
      </c>
      <c r="AP12" s="116">
        <f t="shared" si="39"/>
        <v>5070</v>
      </c>
      <c r="AQ12" s="150">
        <v>3910</v>
      </c>
      <c r="AR12" s="151">
        <v>3300</v>
      </c>
      <c r="AS12" s="152">
        <v>0.72916666666666663</v>
      </c>
      <c r="AT12" s="151">
        <v>185</v>
      </c>
      <c r="AU12" s="153">
        <v>0.35416666666666669</v>
      </c>
      <c r="AV12" s="55">
        <f t="shared" si="51"/>
        <v>46240</v>
      </c>
      <c r="AW12" s="109">
        <f t="shared" si="58"/>
        <v>0.57506234413965085</v>
      </c>
      <c r="AX12" s="109">
        <f t="shared" si="59"/>
        <v>0.42493765586034915</v>
      </c>
      <c r="AY12" s="110">
        <f t="shared" si="52"/>
        <v>8020</v>
      </c>
      <c r="AZ12" s="111">
        <v>8020</v>
      </c>
      <c r="BA12" s="119">
        <f t="shared" si="42"/>
        <v>4612</v>
      </c>
      <c r="BB12" s="112">
        <f>2710+698</f>
        <v>3408</v>
      </c>
      <c r="BC12" s="111">
        <v>3750</v>
      </c>
      <c r="BD12" s="113">
        <v>0.75</v>
      </c>
      <c r="BE12" s="114">
        <v>0</v>
      </c>
      <c r="BF12" s="113">
        <v>0</v>
      </c>
      <c r="BG12" s="114">
        <v>155</v>
      </c>
      <c r="BH12" s="113">
        <v>0.77083333333333337</v>
      </c>
      <c r="BI12" s="55">
        <f t="shared" si="53"/>
        <v>46240</v>
      </c>
      <c r="BJ12" s="77">
        <f t="shared" si="60"/>
        <v>0.61147034017430424</v>
      </c>
      <c r="BK12" s="75">
        <f t="shared" si="61"/>
        <v>0.38852965982569582</v>
      </c>
      <c r="BL12" s="78">
        <f t="shared" si="62"/>
        <v>35570</v>
      </c>
      <c r="BM12" s="154">
        <v>21750</v>
      </c>
      <c r="BN12" s="154">
        <v>13820</v>
      </c>
      <c r="BO12" s="155">
        <v>3920</v>
      </c>
      <c r="BP12" s="156">
        <v>0.35416666666666669</v>
      </c>
      <c r="BQ12" s="157">
        <v>2680</v>
      </c>
      <c r="BR12" s="156">
        <v>0.36458333333333331</v>
      </c>
    </row>
    <row r="13" spans="1:71" ht="15.75" thickBot="1" x14ac:dyDescent="0.3">
      <c r="B13" s="55">
        <f t="shared" si="46"/>
        <v>46241</v>
      </c>
      <c r="C13" s="163"/>
      <c r="D13" s="86">
        <f t="shared" si="21"/>
        <v>57154</v>
      </c>
      <c r="E13" s="158">
        <f t="shared" si="0"/>
        <v>0.87365713685831259</v>
      </c>
      <c r="F13" s="86">
        <f t="shared" si="1"/>
        <v>49933</v>
      </c>
      <c r="G13" s="158">
        <f t="shared" si="2"/>
        <v>0.12634286314168738</v>
      </c>
      <c r="H13" s="189">
        <f t="shared" si="3"/>
        <v>7221</v>
      </c>
      <c r="I13" s="159">
        <f t="shared" si="4"/>
        <v>0.11769612085923362</v>
      </c>
      <c r="J13" s="158">
        <f t="shared" si="5"/>
        <v>0.15404831221968684</v>
      </c>
      <c r="K13" s="158">
        <f t="shared" si="6"/>
        <v>0.16601916601916603</v>
      </c>
      <c r="L13" s="160">
        <f t="shared" si="7"/>
        <v>0.58703281139350072</v>
      </c>
      <c r="M13" s="145">
        <f t="shared" si="22"/>
        <v>6639.5912660319464</v>
      </c>
      <c r="N13" s="145">
        <f t="shared" si="23"/>
        <v>8690.3274372491942</v>
      </c>
      <c r="O13" s="145">
        <f t="shared" si="24"/>
        <v>9365.6392126392129</v>
      </c>
      <c r="P13" s="145">
        <f t="shared" si="25"/>
        <v>33116.281989141557</v>
      </c>
      <c r="Q13" s="55">
        <f t="shared" si="47"/>
        <v>46241</v>
      </c>
      <c r="R13" s="138">
        <v>57154</v>
      </c>
      <c r="S13" s="139">
        <v>56413</v>
      </c>
      <c r="T13" s="139">
        <v>0</v>
      </c>
      <c r="U13" s="139">
        <v>0</v>
      </c>
      <c r="V13" s="140">
        <v>14490</v>
      </c>
      <c r="W13" s="141">
        <v>0.40625</v>
      </c>
      <c r="X13" s="140">
        <v>4514</v>
      </c>
      <c r="Y13" s="141">
        <v>0.85416666666666663</v>
      </c>
      <c r="Z13" s="140">
        <v>0</v>
      </c>
      <c r="AA13" s="141">
        <v>0</v>
      </c>
      <c r="AB13" s="167">
        <f t="shared" si="48"/>
        <v>46241</v>
      </c>
      <c r="AC13" s="75">
        <f t="shared" si="54"/>
        <v>1</v>
      </c>
      <c r="AD13" s="161">
        <f t="shared" si="55"/>
        <v>0</v>
      </c>
      <c r="AE13" s="162">
        <v>7479</v>
      </c>
      <c r="AF13" s="117">
        <f t="shared" si="49"/>
        <v>7479</v>
      </c>
      <c r="AG13" s="146">
        <v>0</v>
      </c>
      <c r="AH13" s="147">
        <v>3461</v>
      </c>
      <c r="AI13" s="148">
        <v>0.40486111111111112</v>
      </c>
      <c r="AJ13" s="147">
        <v>0</v>
      </c>
      <c r="AK13" s="164">
        <v>0</v>
      </c>
      <c r="AL13" s="167">
        <f t="shared" si="50"/>
        <v>46241</v>
      </c>
      <c r="AM13" s="76">
        <f t="shared" si="56"/>
        <v>0.60179793645929103</v>
      </c>
      <c r="AN13" s="75">
        <f t="shared" si="57"/>
        <v>0.39820206354070897</v>
      </c>
      <c r="AO13" s="149">
        <v>9789</v>
      </c>
      <c r="AP13" s="116">
        <f t="shared" si="39"/>
        <v>5891</v>
      </c>
      <c r="AQ13" s="150">
        <v>3898</v>
      </c>
      <c r="AR13" s="151">
        <v>3705</v>
      </c>
      <c r="AS13" s="152">
        <v>0.3576388888888889</v>
      </c>
      <c r="AT13" s="151">
        <v>193</v>
      </c>
      <c r="AU13" s="153">
        <v>0.30208333333333331</v>
      </c>
      <c r="AV13" s="167">
        <f t="shared" si="51"/>
        <v>46241</v>
      </c>
      <c r="AW13" s="168">
        <f t="shared" si="58"/>
        <v>0.62970804546467574</v>
      </c>
      <c r="AX13" s="168">
        <f t="shared" si="59"/>
        <v>0.37029195453532426</v>
      </c>
      <c r="AY13" s="110">
        <f t="shared" si="52"/>
        <v>8974</v>
      </c>
      <c r="AZ13" s="111">
        <v>8974</v>
      </c>
      <c r="BA13" s="119">
        <f t="shared" si="42"/>
        <v>5651</v>
      </c>
      <c r="BB13" s="112">
        <f>2625+698</f>
        <v>3323</v>
      </c>
      <c r="BC13" s="111">
        <v>3863</v>
      </c>
      <c r="BD13" s="113">
        <v>0.36458333333333331</v>
      </c>
      <c r="BE13" s="114">
        <v>0</v>
      </c>
      <c r="BF13" s="113">
        <v>0</v>
      </c>
      <c r="BG13" s="114">
        <v>155</v>
      </c>
      <c r="BH13" s="113">
        <v>0.78125</v>
      </c>
      <c r="BI13" s="167">
        <f t="shared" si="53"/>
        <v>46241</v>
      </c>
      <c r="BJ13" s="169">
        <f t="shared" si="60"/>
        <v>0.60949521486207547</v>
      </c>
      <c r="BK13" s="75">
        <f t="shared" si="61"/>
        <v>0.39050478513792458</v>
      </c>
      <c r="BL13" s="78">
        <f t="shared" si="62"/>
        <v>37303</v>
      </c>
      <c r="BM13" s="154">
        <v>22736</v>
      </c>
      <c r="BN13" s="154">
        <v>14567</v>
      </c>
      <c r="BO13" s="155">
        <v>4077</v>
      </c>
      <c r="BP13" s="156">
        <v>0.72291666666666665</v>
      </c>
      <c r="BQ13" s="157">
        <v>2739</v>
      </c>
      <c r="BR13" s="156">
        <v>0.72361111111111109</v>
      </c>
    </row>
    <row r="14" spans="1:71" ht="15.75" thickBot="1" x14ac:dyDescent="0.3">
      <c r="B14" s="55">
        <f t="shared" si="46"/>
        <v>46242</v>
      </c>
      <c r="C14" s="163"/>
      <c r="D14" s="86">
        <f t="shared" si="21"/>
        <v>33848</v>
      </c>
      <c r="E14" s="158">
        <f t="shared" si="0"/>
        <v>0.79227723942330419</v>
      </c>
      <c r="F14" s="86">
        <f t="shared" si="1"/>
        <v>26817</v>
      </c>
      <c r="G14" s="158">
        <f t="shared" si="2"/>
        <v>0.20772276057669581</v>
      </c>
      <c r="H14" s="189">
        <f t="shared" si="3"/>
        <v>7031</v>
      </c>
      <c r="I14" s="159">
        <f t="shared" si="4"/>
        <v>0.12193013677734275</v>
      </c>
      <c r="J14" s="158">
        <f t="shared" si="5"/>
        <v>0.15210759139675598</v>
      </c>
      <c r="K14" s="158">
        <f t="shared" si="6"/>
        <v>0.15450035435861093</v>
      </c>
      <c r="L14" s="160">
        <f t="shared" si="7"/>
        <v>0.60403213504855846</v>
      </c>
      <c r="M14" s="145">
        <f t="shared" si="22"/>
        <v>4028.5717191234048</v>
      </c>
      <c r="N14" s="145">
        <f t="shared" si="23"/>
        <v>5025.6348197488178</v>
      </c>
      <c r="O14" s="145">
        <f t="shared" si="24"/>
        <v>5104.691708008505</v>
      </c>
      <c r="P14" s="145">
        <f t="shared" si="25"/>
        <v>19957.221742004371</v>
      </c>
      <c r="Q14" s="55">
        <f t="shared" si="47"/>
        <v>46242</v>
      </c>
      <c r="R14" s="138">
        <v>33848</v>
      </c>
      <c r="S14" s="139">
        <v>33040</v>
      </c>
      <c r="T14" s="139">
        <v>0</v>
      </c>
      <c r="U14" s="139">
        <v>0</v>
      </c>
      <c r="V14" s="140">
        <v>8244</v>
      </c>
      <c r="W14" s="141">
        <v>0.875</v>
      </c>
      <c r="X14" s="140">
        <v>2818</v>
      </c>
      <c r="Y14" s="141">
        <v>0.85416666666666663</v>
      </c>
      <c r="Z14" s="140">
        <v>0</v>
      </c>
      <c r="AA14" s="141">
        <v>0</v>
      </c>
      <c r="AB14" s="55">
        <f t="shared" si="48"/>
        <v>46242</v>
      </c>
      <c r="AC14" s="75">
        <f t="shared" si="54"/>
        <v>1</v>
      </c>
      <c r="AD14" s="161">
        <f t="shared" si="55"/>
        <v>0</v>
      </c>
      <c r="AE14" s="162">
        <v>4796</v>
      </c>
      <c r="AF14" s="117">
        <f t="shared" si="49"/>
        <v>4796</v>
      </c>
      <c r="AG14" s="146">
        <v>0</v>
      </c>
      <c r="AH14" s="147">
        <v>2213</v>
      </c>
      <c r="AI14" s="148">
        <v>0.80277777777777781</v>
      </c>
      <c r="AJ14" s="147">
        <v>0</v>
      </c>
      <c r="AK14" s="164">
        <v>0</v>
      </c>
      <c r="AL14" s="55">
        <f t="shared" si="50"/>
        <v>46242</v>
      </c>
      <c r="AM14" s="76">
        <f t="shared" si="56"/>
        <v>0.36403142236336289</v>
      </c>
      <c r="AN14" s="75">
        <f t="shared" si="57"/>
        <v>0.63596857763663717</v>
      </c>
      <c r="AO14" s="149">
        <v>5983</v>
      </c>
      <c r="AP14" s="116">
        <f t="shared" ref="AP14" si="63">AO14-AQ14</f>
        <v>2178</v>
      </c>
      <c r="AQ14" s="150">
        <v>3805</v>
      </c>
      <c r="AR14" s="151">
        <v>2231</v>
      </c>
      <c r="AS14" s="152">
        <v>0.82291666666666663</v>
      </c>
      <c r="AT14" s="151">
        <v>190</v>
      </c>
      <c r="AU14" s="153">
        <v>0.89583333333333337</v>
      </c>
      <c r="AV14" s="55">
        <f t="shared" si="51"/>
        <v>46242</v>
      </c>
      <c r="AW14" s="109">
        <f t="shared" si="58"/>
        <v>0.32735613010842368</v>
      </c>
      <c r="AX14" s="109">
        <f t="shared" si="59"/>
        <v>0.67264386989157632</v>
      </c>
      <c r="AY14" s="110">
        <f t="shared" si="52"/>
        <v>4796</v>
      </c>
      <c r="AZ14" s="111">
        <v>4796</v>
      </c>
      <c r="BA14" s="119">
        <f t="shared" si="42"/>
        <v>1570</v>
      </c>
      <c r="BB14" s="112">
        <f>2528+698</f>
        <v>3226</v>
      </c>
      <c r="BC14" s="111">
        <v>2245</v>
      </c>
      <c r="BD14" s="113">
        <v>0.82291666666666663</v>
      </c>
      <c r="BE14" s="114">
        <v>0</v>
      </c>
      <c r="BF14" s="113">
        <v>0</v>
      </c>
      <c r="BG14" s="114">
        <v>159</v>
      </c>
      <c r="BH14" s="113">
        <v>0.85416666666666663</v>
      </c>
      <c r="BI14" s="55">
        <f t="shared" si="53"/>
        <v>46242</v>
      </c>
      <c r="BJ14" s="77">
        <f t="shared" si="60"/>
        <v>0.60928490256323919</v>
      </c>
      <c r="BK14" s="75">
        <f t="shared" si="61"/>
        <v>0.39071509743676081</v>
      </c>
      <c r="BL14" s="78">
        <f t="shared" si="62"/>
        <v>23759</v>
      </c>
      <c r="BM14" s="154">
        <v>14476</v>
      </c>
      <c r="BN14" s="154">
        <v>9283</v>
      </c>
      <c r="BO14" s="155">
        <v>2960</v>
      </c>
      <c r="BP14" s="156">
        <v>0.80763888888888891</v>
      </c>
      <c r="BQ14" s="157">
        <v>1970</v>
      </c>
      <c r="BR14" s="156">
        <v>0.80763888888888891</v>
      </c>
    </row>
    <row r="15" spans="1:71" ht="15.75" thickBot="1" x14ac:dyDescent="0.3">
      <c r="B15" s="55">
        <f t="shared" si="46"/>
        <v>46243</v>
      </c>
      <c r="C15" s="163"/>
      <c r="D15" s="86">
        <f t="shared" si="21"/>
        <v>33672</v>
      </c>
      <c r="E15" s="158">
        <f t="shared" si="0"/>
        <v>0.79136968401045382</v>
      </c>
      <c r="F15" s="86">
        <f t="shared" si="1"/>
        <v>26647</v>
      </c>
      <c r="G15" s="158">
        <f t="shared" si="2"/>
        <v>0.20863031598954621</v>
      </c>
      <c r="H15" s="189">
        <f t="shared" si="3"/>
        <v>7025</v>
      </c>
      <c r="I15" s="159">
        <f t="shared" si="4"/>
        <v>8.3003952569169967E-2</v>
      </c>
      <c r="J15" s="158">
        <f t="shared" si="5"/>
        <v>0.16403162055335968</v>
      </c>
      <c r="K15" s="158">
        <f t="shared" si="6"/>
        <v>0.17292874190248891</v>
      </c>
      <c r="L15" s="160">
        <f t="shared" si="7"/>
        <v>0.61565325680870653</v>
      </c>
      <c r="M15" s="145">
        <f t="shared" si="22"/>
        <v>2725.517786561265</v>
      </c>
      <c r="N15" s="145">
        <f t="shared" si="23"/>
        <v>5386.1422924901181</v>
      </c>
      <c r="O15" s="145">
        <f t="shared" si="24"/>
        <v>5678.2881691101256</v>
      </c>
      <c r="P15" s="145">
        <f t="shared" si="25"/>
        <v>20215.590340570689</v>
      </c>
      <c r="Q15" s="55">
        <f t="shared" si="47"/>
        <v>46243</v>
      </c>
      <c r="R15" s="138">
        <v>33672</v>
      </c>
      <c r="S15" s="139">
        <v>32836</v>
      </c>
      <c r="T15" s="139">
        <v>0</v>
      </c>
      <c r="U15" s="139">
        <v>0</v>
      </c>
      <c r="V15" s="140">
        <v>11077</v>
      </c>
      <c r="W15" s="141">
        <v>0.78125</v>
      </c>
      <c r="X15" s="140">
        <v>2700</v>
      </c>
      <c r="Y15" s="141">
        <v>0.88541666666666663</v>
      </c>
      <c r="Z15" s="140">
        <v>0</v>
      </c>
      <c r="AA15" s="141">
        <v>0</v>
      </c>
      <c r="AB15" s="55">
        <f t="shared" si="48"/>
        <v>46243</v>
      </c>
      <c r="AC15" s="75">
        <f t="shared" si="54"/>
        <v>1</v>
      </c>
      <c r="AD15" s="161">
        <f t="shared" si="55"/>
        <v>0</v>
      </c>
      <c r="AE15" s="162">
        <v>3066</v>
      </c>
      <c r="AF15" s="117">
        <f t="shared" si="49"/>
        <v>3066</v>
      </c>
      <c r="AG15" s="146">
        <v>0</v>
      </c>
      <c r="AH15" s="147">
        <v>2404</v>
      </c>
      <c r="AI15" s="148">
        <v>0.70763888888888893</v>
      </c>
      <c r="AJ15" s="147">
        <v>0</v>
      </c>
      <c r="AK15" s="164">
        <v>0</v>
      </c>
      <c r="AL15" s="167">
        <f t="shared" si="50"/>
        <v>46243</v>
      </c>
      <c r="AM15" s="76">
        <f t="shared" si="56"/>
        <v>0.37629971942564777</v>
      </c>
      <c r="AN15" s="75">
        <f t="shared" si="57"/>
        <v>0.62370028057435223</v>
      </c>
      <c r="AO15" s="149">
        <v>6059</v>
      </c>
      <c r="AP15" s="116">
        <f t="shared" si="39"/>
        <v>2280</v>
      </c>
      <c r="AQ15" s="150">
        <v>3779</v>
      </c>
      <c r="AR15" s="151">
        <v>2795</v>
      </c>
      <c r="AS15" s="152">
        <v>0.79791666666666672</v>
      </c>
      <c r="AT15" s="151">
        <v>186</v>
      </c>
      <c r="AU15" s="153">
        <v>0.83333333333333337</v>
      </c>
      <c r="AV15" s="55">
        <f t="shared" si="51"/>
        <v>46243</v>
      </c>
      <c r="AW15" s="168">
        <f t="shared" si="58"/>
        <v>0.36001577287066244</v>
      </c>
      <c r="AX15" s="168">
        <f t="shared" si="59"/>
        <v>0.63998422712933756</v>
      </c>
      <c r="AY15" s="110">
        <f t="shared" si="52"/>
        <v>5072</v>
      </c>
      <c r="AZ15" s="111">
        <v>5072</v>
      </c>
      <c r="BA15" s="119">
        <f t="shared" si="42"/>
        <v>1826</v>
      </c>
      <c r="BB15" s="112">
        <f>2548+698</f>
        <v>3246</v>
      </c>
      <c r="BC15" s="111">
        <v>3129</v>
      </c>
      <c r="BD15" s="113">
        <v>0.72916666666666663</v>
      </c>
      <c r="BE15" s="114">
        <v>0</v>
      </c>
      <c r="BF15" s="113">
        <v>0</v>
      </c>
      <c r="BG15" s="114">
        <v>145</v>
      </c>
      <c r="BH15" s="113">
        <v>0.77083333333333337</v>
      </c>
      <c r="BI15" s="55">
        <f t="shared" si="53"/>
        <v>46243</v>
      </c>
      <c r="BJ15" s="169">
        <f t="shared" si="60"/>
        <v>0.6085924101842487</v>
      </c>
      <c r="BK15" s="75">
        <f t="shared" si="61"/>
        <v>0.3914075898157513</v>
      </c>
      <c r="BL15" s="78">
        <f t="shared" si="62"/>
        <v>22741</v>
      </c>
      <c r="BM15" s="154">
        <v>13840</v>
      </c>
      <c r="BN15" s="154">
        <v>8901</v>
      </c>
      <c r="BO15" s="155">
        <v>3481</v>
      </c>
      <c r="BP15" s="156">
        <v>0.87152777777777779</v>
      </c>
      <c r="BQ15" s="157">
        <v>2343</v>
      </c>
      <c r="BR15" s="156">
        <v>0.73472222222222228</v>
      </c>
    </row>
    <row r="16" spans="1:71" ht="15.75" thickBot="1" x14ac:dyDescent="0.3">
      <c r="B16" s="167">
        <f t="shared" si="46"/>
        <v>46244</v>
      </c>
      <c r="C16" s="187"/>
      <c r="D16" s="86">
        <f t="shared" si="21"/>
        <v>60140</v>
      </c>
      <c r="E16" s="158">
        <f t="shared" si="0"/>
        <v>0.87275939474559361</v>
      </c>
      <c r="F16" s="86">
        <f t="shared" si="1"/>
        <v>52487.75</v>
      </c>
      <c r="G16" s="158">
        <f t="shared" si="2"/>
        <v>0.12724060525440639</v>
      </c>
      <c r="H16" s="189">
        <f t="shared" si="3"/>
        <v>7652.25</v>
      </c>
      <c r="I16" s="159">
        <f t="shared" si="4"/>
        <v>0.1211549268955975</v>
      </c>
      <c r="J16" s="158">
        <f t="shared" si="5"/>
        <v>0.1599853638984319</v>
      </c>
      <c r="K16" s="158">
        <f t="shared" si="6"/>
        <v>0.17032601717971446</v>
      </c>
      <c r="L16" s="160">
        <f t="shared" si="7"/>
        <v>0.57252107744867442</v>
      </c>
      <c r="M16" s="145">
        <f t="shared" si="22"/>
        <v>7201.8728969184494</v>
      </c>
      <c r="N16" s="145">
        <f t="shared" si="23"/>
        <v>9510.0899788964362</v>
      </c>
      <c r="O16" s="145">
        <f t="shared" si="24"/>
        <v>10124.774602222356</v>
      </c>
      <c r="P16" s="145">
        <f t="shared" si="25"/>
        <v>34032.656667320276</v>
      </c>
      <c r="Q16" s="167">
        <f t="shared" si="47"/>
        <v>46244</v>
      </c>
      <c r="R16" s="138">
        <v>60140</v>
      </c>
      <c r="S16" s="139">
        <v>59443.5</v>
      </c>
      <c r="T16" s="139">
        <v>0</v>
      </c>
      <c r="U16" s="139">
        <v>0</v>
      </c>
      <c r="V16" s="140">
        <v>14795.12</v>
      </c>
      <c r="W16" s="141">
        <v>0.4375</v>
      </c>
      <c r="X16" s="140">
        <v>4867.28</v>
      </c>
      <c r="Y16" s="141">
        <v>0.80208333333333337</v>
      </c>
      <c r="Z16" s="140">
        <v>0</v>
      </c>
      <c r="AA16" s="141">
        <v>0</v>
      </c>
      <c r="AB16" s="167">
        <f t="shared" si="48"/>
        <v>46244</v>
      </c>
      <c r="AC16" s="75">
        <f t="shared" si="54"/>
        <v>1</v>
      </c>
      <c r="AD16" s="161">
        <f t="shared" si="55"/>
        <v>0</v>
      </c>
      <c r="AE16" s="162">
        <v>8118.88</v>
      </c>
      <c r="AF16" s="117">
        <f t="shared" si="49"/>
        <v>8118.88</v>
      </c>
      <c r="AG16" s="146">
        <v>0</v>
      </c>
      <c r="AH16" s="147">
        <v>3771.42</v>
      </c>
      <c r="AI16" s="148">
        <v>0.3659722222222222</v>
      </c>
      <c r="AJ16" s="147">
        <v>0</v>
      </c>
      <c r="AK16" s="164">
        <v>0</v>
      </c>
      <c r="AL16" s="167">
        <f t="shared" si="50"/>
        <v>46244</v>
      </c>
      <c r="AM16" s="76">
        <f t="shared" si="56"/>
        <v>0.60390821751702262</v>
      </c>
      <c r="AN16" s="75">
        <f t="shared" si="57"/>
        <v>0.39609178248297733</v>
      </c>
      <c r="AO16" s="149">
        <v>10721</v>
      </c>
      <c r="AP16" s="116">
        <f t="shared" si="39"/>
        <v>6474.5</v>
      </c>
      <c r="AQ16" s="150">
        <v>4246.5</v>
      </c>
      <c r="AR16" s="151">
        <v>3787.85</v>
      </c>
      <c r="AS16" s="152">
        <v>0.36527777777777776</v>
      </c>
      <c r="AT16" s="151">
        <v>203</v>
      </c>
      <c r="AU16" s="153">
        <v>0.77083333333333337</v>
      </c>
      <c r="AV16" s="167">
        <f t="shared" si="51"/>
        <v>46244</v>
      </c>
      <c r="AW16" s="168">
        <f t="shared" si="58"/>
        <v>0.652704838627441</v>
      </c>
      <c r="AX16" s="168">
        <f t="shared" si="59"/>
        <v>0.347295161372559</v>
      </c>
      <c r="AY16" s="110">
        <f t="shared" si="52"/>
        <v>9806.5</v>
      </c>
      <c r="AZ16" s="111">
        <v>9806.5</v>
      </c>
      <c r="BA16" s="188">
        <f t="shared" si="42"/>
        <v>6400.75</v>
      </c>
      <c r="BB16" s="112">
        <f>2707.75+698</f>
        <v>3405.75</v>
      </c>
      <c r="BC16" s="111">
        <v>4286.72</v>
      </c>
      <c r="BD16" s="113">
        <v>0.65625</v>
      </c>
      <c r="BE16" s="114">
        <v>0</v>
      </c>
      <c r="BF16" s="113">
        <v>0</v>
      </c>
      <c r="BG16" s="114">
        <v>152.59</v>
      </c>
      <c r="BH16" s="113">
        <v>0.78125</v>
      </c>
      <c r="BI16" s="167">
        <f t="shared" si="53"/>
        <v>46244</v>
      </c>
      <c r="BJ16" s="169">
        <f t="shared" si="60"/>
        <v>0.60909398946984306</v>
      </c>
      <c r="BK16" s="75">
        <f t="shared" si="61"/>
        <v>0.39090601053015689</v>
      </c>
      <c r="BL16" s="78">
        <f t="shared" si="62"/>
        <v>38366</v>
      </c>
      <c r="BM16" s="154">
        <v>23368.5</v>
      </c>
      <c r="BN16" s="154">
        <v>14997.5</v>
      </c>
      <c r="BO16" s="155">
        <v>4244.62</v>
      </c>
      <c r="BP16" s="156">
        <v>0.38819444444444445</v>
      </c>
      <c r="BQ16" s="157">
        <v>2858.52</v>
      </c>
      <c r="BR16" s="156">
        <v>0.38819444444444445</v>
      </c>
    </row>
    <row r="17" spans="1:70" ht="15.75" thickBot="1" x14ac:dyDescent="0.3">
      <c r="B17" s="167">
        <f t="shared" si="46"/>
        <v>46245</v>
      </c>
      <c r="C17" s="187"/>
      <c r="D17" s="86">
        <f t="shared" si="21"/>
        <v>60170</v>
      </c>
      <c r="E17" s="158">
        <f t="shared" si="0"/>
        <v>0.87139770649825499</v>
      </c>
      <c r="F17" s="86">
        <f t="shared" si="1"/>
        <v>52432</v>
      </c>
      <c r="G17" s="158">
        <f t="shared" si="2"/>
        <v>0.12860229350174507</v>
      </c>
      <c r="H17" s="189">
        <f t="shared" si="3"/>
        <v>7738</v>
      </c>
      <c r="I17" s="159">
        <f t="shared" si="4"/>
        <v>0.12557505705862007</v>
      </c>
      <c r="J17" s="158">
        <f t="shared" si="5"/>
        <v>0.17180065796060345</v>
      </c>
      <c r="K17" s="158">
        <f t="shared" si="6"/>
        <v>0.16097943387350255</v>
      </c>
      <c r="L17" s="160">
        <f t="shared" si="7"/>
        <v>0.56522865425461777</v>
      </c>
      <c r="M17" s="145">
        <f t="shared" si="22"/>
        <v>7469.0788187896633</v>
      </c>
      <c r="N17" s="145">
        <f t="shared" si="23"/>
        <v>10218.531334838734</v>
      </c>
      <c r="O17" s="145">
        <f t="shared" si="24"/>
        <v>9574.8957473620576</v>
      </c>
      <c r="P17" s="145">
        <f t="shared" si="25"/>
        <v>33619.235126410407</v>
      </c>
      <c r="Q17" s="167">
        <f t="shared" si="47"/>
        <v>46245</v>
      </c>
      <c r="R17" s="138">
        <v>60170</v>
      </c>
      <c r="S17" s="139">
        <v>59479</v>
      </c>
      <c r="T17" s="139">
        <v>0</v>
      </c>
      <c r="U17" s="139">
        <v>0</v>
      </c>
      <c r="V17" s="140">
        <v>14575.37</v>
      </c>
      <c r="W17" s="141">
        <v>0.79166666666666663</v>
      </c>
      <c r="X17" s="140">
        <v>4748.29</v>
      </c>
      <c r="Y17" s="141">
        <v>0.41666666666666669</v>
      </c>
      <c r="Z17" s="140">
        <v>0</v>
      </c>
      <c r="AA17" s="141">
        <v>0</v>
      </c>
      <c r="AB17" s="167">
        <f t="shared" si="48"/>
        <v>46245</v>
      </c>
      <c r="AC17" s="75">
        <f t="shared" si="54"/>
        <v>1</v>
      </c>
      <c r="AD17" s="161">
        <f t="shared" si="55"/>
        <v>0</v>
      </c>
      <c r="AE17" s="162">
        <v>8391.1299999999992</v>
      </c>
      <c r="AF17" s="117">
        <f t="shared" si="49"/>
        <v>8391.1299999999992</v>
      </c>
      <c r="AG17" s="146">
        <v>0</v>
      </c>
      <c r="AH17" s="147">
        <v>4580.82</v>
      </c>
      <c r="AI17" s="148">
        <v>0.33263888888888887</v>
      </c>
      <c r="AJ17" s="147">
        <v>0</v>
      </c>
      <c r="AK17" s="164">
        <v>0</v>
      </c>
      <c r="AL17" s="167">
        <f t="shared" si="50"/>
        <v>46245</v>
      </c>
      <c r="AM17" s="76">
        <f t="shared" si="56"/>
        <v>0.62926829268292683</v>
      </c>
      <c r="AN17" s="75">
        <f t="shared" si="57"/>
        <v>0.37073170731707317</v>
      </c>
      <c r="AO17" s="149">
        <v>11480</v>
      </c>
      <c r="AP17" s="116">
        <f t="shared" si="39"/>
        <v>7224</v>
      </c>
      <c r="AQ17" s="150">
        <v>4256</v>
      </c>
      <c r="AR17" s="151">
        <v>5065.3900000000003</v>
      </c>
      <c r="AS17" s="152">
        <v>0.75555555555555554</v>
      </c>
      <c r="AT17" s="151">
        <v>213.35</v>
      </c>
      <c r="AU17" s="153">
        <v>0.32291666666666669</v>
      </c>
      <c r="AV17" s="167">
        <f t="shared" si="51"/>
        <v>46245</v>
      </c>
      <c r="AW17" s="168">
        <f t="shared" si="58"/>
        <v>0.62073848164687939</v>
      </c>
      <c r="AX17" s="168">
        <f t="shared" si="59"/>
        <v>0.37926151835312055</v>
      </c>
      <c r="AY17" s="110">
        <f t="shared" si="52"/>
        <v>9181</v>
      </c>
      <c r="AZ17" s="111">
        <v>9181</v>
      </c>
      <c r="BA17" s="188">
        <f t="shared" si="42"/>
        <v>5699</v>
      </c>
      <c r="BB17" s="112">
        <f>2784+698</f>
        <v>3482</v>
      </c>
      <c r="BC17" s="111">
        <v>3761.12</v>
      </c>
      <c r="BD17" s="113">
        <v>0.41666666666666669</v>
      </c>
      <c r="BE17" s="114">
        <v>0</v>
      </c>
      <c r="BF17" s="113">
        <v>0</v>
      </c>
      <c r="BG17" s="114">
        <v>154.25</v>
      </c>
      <c r="BH17" s="113">
        <v>0.30208333333333331</v>
      </c>
      <c r="BI17" s="167">
        <f t="shared" si="53"/>
        <v>46245</v>
      </c>
      <c r="BJ17" s="169">
        <f t="shared" si="60"/>
        <v>0.6104131640609487</v>
      </c>
      <c r="BK17" s="75">
        <f t="shared" si="61"/>
        <v>0.38958683593905136</v>
      </c>
      <c r="BL17" s="78">
        <f t="shared" si="62"/>
        <v>37769.5</v>
      </c>
      <c r="BM17" s="154">
        <v>23055</v>
      </c>
      <c r="BN17" s="154">
        <v>14714.5</v>
      </c>
      <c r="BO17" s="155">
        <v>3865.3</v>
      </c>
      <c r="BP17" s="156">
        <v>0.75694444444444442</v>
      </c>
      <c r="BQ17" s="157">
        <v>2568.9499999999998</v>
      </c>
      <c r="BR17" s="156">
        <v>0.73541666666666672</v>
      </c>
    </row>
    <row r="18" spans="1:70" ht="15.75" thickBot="1" x14ac:dyDescent="0.3">
      <c r="B18" s="167">
        <f t="shared" si="46"/>
        <v>46246</v>
      </c>
      <c r="C18" s="187"/>
      <c r="D18" s="86">
        <f t="shared" si="21"/>
        <v>57956</v>
      </c>
      <c r="E18" s="158">
        <f t="shared" si="0"/>
        <v>0.87097108151011116</v>
      </c>
      <c r="F18" s="86">
        <f t="shared" si="1"/>
        <v>50478</v>
      </c>
      <c r="G18" s="158">
        <f t="shared" si="2"/>
        <v>0.12902891848988887</v>
      </c>
      <c r="H18" s="189">
        <f t="shared" si="3"/>
        <v>7478</v>
      </c>
      <c r="I18" s="159">
        <f t="shared" si="4"/>
        <v>0.11987215292000249</v>
      </c>
      <c r="J18" s="158">
        <f t="shared" si="5"/>
        <v>0.15861416247750262</v>
      </c>
      <c r="K18" s="158">
        <f t="shared" si="6"/>
        <v>0.16701340521374169</v>
      </c>
      <c r="L18" s="160">
        <f t="shared" si="7"/>
        <v>0.5782753056538199</v>
      </c>
      <c r="M18" s="145">
        <f t="shared" si="22"/>
        <v>6862.6807546701421</v>
      </c>
      <c r="N18" s="145">
        <f t="shared" si="23"/>
        <v>9080.6608018370243</v>
      </c>
      <c r="O18" s="145">
        <f t="shared" si="24"/>
        <v>9561.5174484867111</v>
      </c>
      <c r="P18" s="145">
        <f t="shared" si="25"/>
        <v>33106.261248681192</v>
      </c>
      <c r="Q18" s="167">
        <f t="shared" si="47"/>
        <v>46246</v>
      </c>
      <c r="R18" s="138">
        <v>57956</v>
      </c>
      <c r="S18" s="139">
        <v>57250</v>
      </c>
      <c r="T18" s="139">
        <v>0</v>
      </c>
      <c r="U18" s="139">
        <v>0</v>
      </c>
      <c r="V18" s="140">
        <v>13154</v>
      </c>
      <c r="W18" s="141">
        <v>0.8125</v>
      </c>
      <c r="X18" s="140">
        <v>4522</v>
      </c>
      <c r="Y18" s="141">
        <v>0.39583333333333331</v>
      </c>
      <c r="Z18" s="140">
        <v>0</v>
      </c>
      <c r="AA18" s="141">
        <v>0</v>
      </c>
      <c r="AB18" s="167">
        <f t="shared" si="48"/>
        <v>46246</v>
      </c>
      <c r="AC18" s="75">
        <f t="shared" si="54"/>
        <v>1</v>
      </c>
      <c r="AD18" s="161">
        <f t="shared" si="55"/>
        <v>0</v>
      </c>
      <c r="AE18" s="162">
        <v>7726</v>
      </c>
      <c r="AF18" s="117">
        <f t="shared" si="49"/>
        <v>7726</v>
      </c>
      <c r="AG18" s="146">
        <v>0</v>
      </c>
      <c r="AH18" s="147">
        <v>3913</v>
      </c>
      <c r="AI18" s="148">
        <v>0.77013888888888893</v>
      </c>
      <c r="AJ18" s="147">
        <v>0</v>
      </c>
      <c r="AK18" s="164">
        <v>0</v>
      </c>
      <c r="AL18" s="167">
        <f t="shared" si="50"/>
        <v>46246</v>
      </c>
      <c r="AM18" s="76">
        <f t="shared" si="56"/>
        <v>0.60158466203658423</v>
      </c>
      <c r="AN18" s="75">
        <f t="shared" si="57"/>
        <v>0.39841533796341583</v>
      </c>
      <c r="AO18" s="149">
        <v>10223</v>
      </c>
      <c r="AP18" s="116">
        <f t="shared" si="39"/>
        <v>6150</v>
      </c>
      <c r="AQ18" s="150">
        <v>4073</v>
      </c>
      <c r="AR18" s="151">
        <v>3380</v>
      </c>
      <c r="AS18" s="152">
        <v>0.76875000000000004</v>
      </c>
      <c r="AT18" s="151">
        <v>192</v>
      </c>
      <c r="AU18" s="153">
        <v>0.32291666666666669</v>
      </c>
      <c r="AV18" s="167">
        <f t="shared" si="51"/>
        <v>46246</v>
      </c>
      <c r="AW18" s="168">
        <f t="shared" si="58"/>
        <v>0.63117417677642984</v>
      </c>
      <c r="AX18" s="168">
        <f t="shared" si="59"/>
        <v>0.36882582322357021</v>
      </c>
      <c r="AY18" s="110">
        <f t="shared" si="52"/>
        <v>9232</v>
      </c>
      <c r="AZ18" s="111">
        <v>9232</v>
      </c>
      <c r="BA18" s="188">
        <f t="shared" si="42"/>
        <v>5827</v>
      </c>
      <c r="BB18" s="112">
        <f>2707+698</f>
        <v>3405</v>
      </c>
      <c r="BC18" s="111">
        <v>3811</v>
      </c>
      <c r="BD18" s="113">
        <v>0.82291666666666663</v>
      </c>
      <c r="BE18" s="114">
        <v>0</v>
      </c>
      <c r="BF18" s="113">
        <v>0</v>
      </c>
      <c r="BG18" s="114">
        <v>152</v>
      </c>
      <c r="BH18" s="113">
        <v>0.32291666666666669</v>
      </c>
      <c r="BI18" s="167">
        <f t="shared" si="53"/>
        <v>46246</v>
      </c>
      <c r="BJ18" s="169">
        <f t="shared" si="60"/>
        <v>0.61541144589627328</v>
      </c>
      <c r="BK18" s="75">
        <f t="shared" si="61"/>
        <v>0.38458855410372678</v>
      </c>
      <c r="BL18" s="78">
        <f t="shared" si="62"/>
        <v>37271</v>
      </c>
      <c r="BM18" s="154">
        <v>22937</v>
      </c>
      <c r="BN18" s="154">
        <v>14334</v>
      </c>
      <c r="BO18" s="155">
        <v>3932</v>
      </c>
      <c r="BP18" s="156">
        <v>0.7680555555555556</v>
      </c>
      <c r="BQ18" s="157">
        <v>2640</v>
      </c>
      <c r="BR18" s="156">
        <v>0.76875000000000004</v>
      </c>
    </row>
    <row r="19" spans="1:70" ht="15.75" thickBot="1" x14ac:dyDescent="0.3">
      <c r="B19" s="167">
        <f t="shared" si="46"/>
        <v>46247</v>
      </c>
      <c r="C19" s="187"/>
      <c r="D19" s="86">
        <f t="shared" si="21"/>
        <v>59386</v>
      </c>
      <c r="E19" s="158">
        <f t="shared" si="0"/>
        <v>0.89708011989357761</v>
      </c>
      <c r="F19" s="86">
        <f t="shared" si="1"/>
        <v>53274</v>
      </c>
      <c r="G19" s="158">
        <f t="shared" si="2"/>
        <v>0.10291988010642239</v>
      </c>
      <c r="H19" s="189">
        <f t="shared" si="3"/>
        <v>6112</v>
      </c>
      <c r="I19" s="159">
        <f t="shared" si="4"/>
        <v>0.10373851547388782</v>
      </c>
      <c r="J19" s="158">
        <f t="shared" si="5"/>
        <v>0.1610100338491296</v>
      </c>
      <c r="K19" s="158">
        <f t="shared" si="6"/>
        <v>0.16731911678857181</v>
      </c>
      <c r="L19" s="160">
        <f t="shared" si="7"/>
        <v>0.5879926257253385</v>
      </c>
      <c r="M19" s="145">
        <f t="shared" si="22"/>
        <v>6082.6041162959382</v>
      </c>
      <c r="N19" s="145">
        <f t="shared" si="23"/>
        <v>9440.6623247098651</v>
      </c>
      <c r="O19" s="145">
        <f t="shared" si="24"/>
        <v>9810.58909378112</v>
      </c>
      <c r="P19" s="145">
        <f t="shared" si="25"/>
        <v>34476.359616779497</v>
      </c>
      <c r="Q19" s="167">
        <f t="shared" si="47"/>
        <v>46247</v>
      </c>
      <c r="R19" s="138">
        <v>59386</v>
      </c>
      <c r="S19" s="139">
        <v>58634</v>
      </c>
      <c r="T19" s="139">
        <v>0</v>
      </c>
      <c r="U19" s="139">
        <v>0</v>
      </c>
      <c r="V19" s="140">
        <v>12610</v>
      </c>
      <c r="W19" s="141">
        <v>0.80208333333333337</v>
      </c>
      <c r="X19" s="140">
        <v>4606</v>
      </c>
      <c r="Y19" s="141">
        <v>0.76041666666666663</v>
      </c>
      <c r="Z19" s="140">
        <v>0</v>
      </c>
      <c r="AA19" s="141">
        <v>0</v>
      </c>
      <c r="AB19" s="167">
        <f t="shared" si="48"/>
        <v>46247</v>
      </c>
      <c r="AC19" s="75">
        <f t="shared" si="54"/>
        <v>1</v>
      </c>
      <c r="AD19" s="161">
        <f t="shared" si="55"/>
        <v>0</v>
      </c>
      <c r="AE19" s="162">
        <v>6865</v>
      </c>
      <c r="AF19" s="117">
        <f t="shared" si="49"/>
        <v>6865</v>
      </c>
      <c r="AG19" s="146">
        <v>0</v>
      </c>
      <c r="AH19" s="147">
        <v>3326</v>
      </c>
      <c r="AI19" s="148">
        <v>0.35833333333333334</v>
      </c>
      <c r="AJ19" s="147">
        <v>0</v>
      </c>
      <c r="AK19" s="164">
        <v>0</v>
      </c>
      <c r="AL19" s="167">
        <f t="shared" si="50"/>
        <v>46247</v>
      </c>
      <c r="AM19" s="76">
        <f t="shared" si="56"/>
        <v>0.7478179258564055</v>
      </c>
      <c r="AN19" s="75">
        <f t="shared" si="57"/>
        <v>0.25218207414359456</v>
      </c>
      <c r="AO19" s="149">
        <v>10655</v>
      </c>
      <c r="AP19" s="116">
        <f t="shared" si="39"/>
        <v>7968</v>
      </c>
      <c r="AQ19" s="150">
        <v>2687</v>
      </c>
      <c r="AR19" s="151">
        <v>5332</v>
      </c>
      <c r="AS19" s="152">
        <v>0.69027777777777777</v>
      </c>
      <c r="AT19" s="151">
        <v>191</v>
      </c>
      <c r="AU19" s="153">
        <v>0.32291666666666669</v>
      </c>
      <c r="AV19" s="167">
        <f t="shared" si="51"/>
        <v>46247</v>
      </c>
      <c r="AW19" s="168">
        <f t="shared" si="58"/>
        <v>0.64853771164699847</v>
      </c>
      <c r="AX19" s="168">
        <f t="shared" si="59"/>
        <v>0.35146228835300153</v>
      </c>
      <c r="AY19" s="110">
        <f t="shared" si="52"/>
        <v>9745</v>
      </c>
      <c r="AZ19" s="111">
        <v>9745</v>
      </c>
      <c r="BA19" s="188">
        <f t="shared" si="42"/>
        <v>6320</v>
      </c>
      <c r="BB19" s="112">
        <f>2727+698</f>
        <v>3425</v>
      </c>
      <c r="BC19" s="180">
        <v>3981</v>
      </c>
      <c r="BD19" s="113">
        <v>0.72916666666666663</v>
      </c>
      <c r="BE19" s="114">
        <v>0</v>
      </c>
      <c r="BF19" s="113">
        <v>0</v>
      </c>
      <c r="BG19" s="114">
        <v>159</v>
      </c>
      <c r="BH19" s="113">
        <v>0.89583333333333337</v>
      </c>
      <c r="BI19" s="167">
        <f t="shared" si="53"/>
        <v>46247</v>
      </c>
      <c r="BJ19" s="169">
        <f t="shared" si="60"/>
        <v>0.61471049317673665</v>
      </c>
      <c r="BK19" s="75">
        <f t="shared" si="61"/>
        <v>0.38528950682326335</v>
      </c>
      <c r="BL19" s="78">
        <f t="shared" si="62"/>
        <v>38911</v>
      </c>
      <c r="BM19" s="154">
        <v>23919</v>
      </c>
      <c r="BN19" s="154">
        <v>14992</v>
      </c>
      <c r="BO19" s="155">
        <v>4487</v>
      </c>
      <c r="BP19" s="156">
        <v>0.83680555555555558</v>
      </c>
      <c r="BQ19" s="157">
        <v>2980</v>
      </c>
      <c r="BR19" s="156">
        <v>0.83680555555555558</v>
      </c>
    </row>
    <row r="20" spans="1:70" ht="15.75" thickBot="1" x14ac:dyDescent="0.3">
      <c r="B20" s="167">
        <f t="shared" si="46"/>
        <v>46248</v>
      </c>
      <c r="C20" s="187"/>
      <c r="D20" s="86">
        <f t="shared" si="21"/>
        <v>54220</v>
      </c>
      <c r="E20" s="158">
        <f t="shared" si="0"/>
        <v>0.86807451125046109</v>
      </c>
      <c r="F20" s="86">
        <f t="shared" si="1"/>
        <v>47067</v>
      </c>
      <c r="G20" s="158">
        <f t="shared" si="2"/>
        <v>0.13192548874953891</v>
      </c>
      <c r="H20" s="189">
        <f t="shared" si="3"/>
        <v>7153</v>
      </c>
      <c r="I20" s="159">
        <f t="shared" si="4"/>
        <v>0.18254812647537985</v>
      </c>
      <c r="J20" s="158">
        <f t="shared" si="5"/>
        <v>0.10075805432722679</v>
      </c>
      <c r="K20" s="158">
        <f t="shared" si="6"/>
        <v>0.16785402310006795</v>
      </c>
      <c r="L20" s="160">
        <f t="shared" si="7"/>
        <v>0.57294610499717391</v>
      </c>
      <c r="M20" s="145">
        <f t="shared" si="22"/>
        <v>9762.8563520297903</v>
      </c>
      <c r="N20" s="145">
        <f t="shared" si="23"/>
        <v>5388.6415034744159</v>
      </c>
      <c r="O20" s="145">
        <f t="shared" si="24"/>
        <v>8977.0010094147347</v>
      </c>
      <c r="P20" s="145">
        <f t="shared" si="25"/>
        <v>30641.730641353857</v>
      </c>
      <c r="Q20" s="167">
        <f t="shared" si="47"/>
        <v>46248</v>
      </c>
      <c r="R20" s="138">
        <v>54220</v>
      </c>
      <c r="S20" s="139">
        <v>53481</v>
      </c>
      <c r="T20" s="139">
        <v>0</v>
      </c>
      <c r="U20" s="139">
        <v>0</v>
      </c>
      <c r="V20" s="140">
        <v>12848</v>
      </c>
      <c r="W20" s="141">
        <v>0.78125</v>
      </c>
      <c r="X20" s="140">
        <v>4301</v>
      </c>
      <c r="Y20" s="141">
        <v>0.39583333333333331</v>
      </c>
      <c r="Z20" s="140">
        <v>0</v>
      </c>
      <c r="AA20" s="141">
        <v>0</v>
      </c>
      <c r="AB20" s="167">
        <f t="shared" si="48"/>
        <v>46248</v>
      </c>
      <c r="AC20" s="75">
        <f t="shared" si="54"/>
        <v>0.69283307531190241</v>
      </c>
      <c r="AD20" s="161">
        <f t="shared" si="55"/>
        <v>0.30716692468809764</v>
      </c>
      <c r="AE20" s="162">
        <v>10981</v>
      </c>
      <c r="AF20" s="117">
        <f t="shared" si="49"/>
        <v>7608</v>
      </c>
      <c r="AG20" s="146">
        <v>3373</v>
      </c>
      <c r="AH20" s="147">
        <v>3609</v>
      </c>
      <c r="AI20" s="148">
        <v>0.7368055555555556</v>
      </c>
      <c r="AJ20" s="147">
        <v>194</v>
      </c>
      <c r="AK20" s="164">
        <v>0.3125</v>
      </c>
      <c r="AL20" s="167">
        <f t="shared" si="50"/>
        <v>46248</v>
      </c>
      <c r="AM20" s="76">
        <f t="shared" si="56"/>
        <v>0.93482923609965352</v>
      </c>
      <c r="AN20" s="75">
        <f t="shared" si="57"/>
        <v>6.5170763900346471E-2</v>
      </c>
      <c r="AO20" s="149">
        <v>6061</v>
      </c>
      <c r="AP20" s="116">
        <f t="shared" si="39"/>
        <v>5666</v>
      </c>
      <c r="AQ20" s="150">
        <v>395</v>
      </c>
      <c r="AR20" s="151">
        <v>3177</v>
      </c>
      <c r="AS20" s="152">
        <v>0.3659722222222222</v>
      </c>
      <c r="AT20" s="151">
        <v>138</v>
      </c>
      <c r="AU20" s="153">
        <v>4.1666666666666664E-2</v>
      </c>
      <c r="AV20" s="167">
        <f t="shared" si="51"/>
        <v>46248</v>
      </c>
      <c r="AW20" s="168">
        <f t="shared" si="58"/>
        <v>0.60853475193708806</v>
      </c>
      <c r="AX20" s="168">
        <f t="shared" si="59"/>
        <v>0.391465248062912</v>
      </c>
      <c r="AY20" s="110">
        <f t="shared" si="52"/>
        <v>8647</v>
      </c>
      <c r="AZ20" s="111">
        <v>8647</v>
      </c>
      <c r="BA20" s="188">
        <f t="shared" si="42"/>
        <v>5262</v>
      </c>
      <c r="BB20" s="112">
        <f>2687+698</f>
        <v>3385</v>
      </c>
      <c r="BC20" s="111">
        <v>4290</v>
      </c>
      <c r="BD20" s="113">
        <v>0.71875</v>
      </c>
      <c r="BE20" s="114">
        <v>0</v>
      </c>
      <c r="BF20" s="113">
        <v>0</v>
      </c>
      <c r="BG20" s="114">
        <v>160</v>
      </c>
      <c r="BH20" s="113">
        <v>0.76041666666666663</v>
      </c>
      <c r="BI20" s="167">
        <f t="shared" si="53"/>
        <v>46248</v>
      </c>
      <c r="BJ20" s="169">
        <f t="shared" si="60"/>
        <v>0.60777600464239079</v>
      </c>
      <c r="BK20" s="75">
        <f t="shared" si="61"/>
        <v>0.39222399535760916</v>
      </c>
      <c r="BL20" s="78">
        <f t="shared" si="62"/>
        <v>34465</v>
      </c>
      <c r="BM20" s="154">
        <v>20947</v>
      </c>
      <c r="BN20" s="154">
        <v>13518</v>
      </c>
      <c r="BO20" s="155">
        <v>4179</v>
      </c>
      <c r="BP20" s="156">
        <v>0.7104166666666667</v>
      </c>
      <c r="BQ20" s="157">
        <v>2757</v>
      </c>
      <c r="BR20" s="156">
        <v>0.71111111111111114</v>
      </c>
    </row>
    <row r="21" spans="1:70" ht="15.75" thickBot="1" x14ac:dyDescent="0.3">
      <c r="A21" s="14"/>
      <c r="B21" s="167">
        <f t="shared" si="46"/>
        <v>46249</v>
      </c>
      <c r="C21" s="187"/>
      <c r="D21" s="86">
        <f t="shared" si="21"/>
        <v>27620</v>
      </c>
      <c r="E21" s="158">
        <f t="shared" si="0"/>
        <v>0.75695148443157134</v>
      </c>
      <c r="F21" s="86">
        <f t="shared" si="1"/>
        <v>20907</v>
      </c>
      <c r="G21" s="158">
        <f t="shared" si="2"/>
        <v>0.24304851556842869</v>
      </c>
      <c r="H21" s="189">
        <f t="shared" si="3"/>
        <v>6713</v>
      </c>
      <c r="I21" s="159">
        <f t="shared" si="4"/>
        <v>5.8805970149253733E-2</v>
      </c>
      <c r="J21" s="158">
        <f t="shared" si="5"/>
        <v>0.15880597014925374</v>
      </c>
      <c r="K21" s="158">
        <f t="shared" si="6"/>
        <v>0.1809792360933094</v>
      </c>
      <c r="L21" s="160">
        <f t="shared" si="7"/>
        <v>0.64189054726368155</v>
      </c>
      <c r="M21" s="145">
        <f t="shared" si="22"/>
        <v>1573.2361194029852</v>
      </c>
      <c r="N21" s="145">
        <f t="shared" si="23"/>
        <v>4248.5361194029856</v>
      </c>
      <c r="O21" s="145">
        <f t="shared" si="24"/>
        <v>4841.7375032043064</v>
      </c>
      <c r="P21" s="145">
        <f t="shared" si="25"/>
        <v>17172.497810945271</v>
      </c>
      <c r="Q21" s="167">
        <f t="shared" si="47"/>
        <v>46249</v>
      </c>
      <c r="R21" s="138">
        <v>27620</v>
      </c>
      <c r="S21" s="139">
        <v>26753</v>
      </c>
      <c r="T21" s="139">
        <v>0</v>
      </c>
      <c r="U21" s="139">
        <v>0</v>
      </c>
      <c r="V21" s="140">
        <v>6057</v>
      </c>
      <c r="W21" s="141">
        <v>0.73958333333333337</v>
      </c>
      <c r="X21" s="140">
        <v>1911</v>
      </c>
      <c r="Y21" s="141">
        <v>0.73958333333333337</v>
      </c>
      <c r="Z21" s="140">
        <v>0</v>
      </c>
      <c r="AA21" s="141">
        <v>0</v>
      </c>
      <c r="AB21" s="167">
        <f t="shared" si="48"/>
        <v>46249</v>
      </c>
      <c r="AC21" s="75">
        <f t="shared" si="54"/>
        <v>1</v>
      </c>
      <c r="AD21" s="161">
        <f t="shared" si="55"/>
        <v>0</v>
      </c>
      <c r="AE21" s="162">
        <v>1773</v>
      </c>
      <c r="AF21" s="117">
        <f t="shared" si="49"/>
        <v>1773</v>
      </c>
      <c r="AG21" s="146">
        <v>0</v>
      </c>
      <c r="AH21" s="147">
        <v>1546</v>
      </c>
      <c r="AI21" s="148">
        <v>0.92361111111111116</v>
      </c>
      <c r="AJ21" s="147">
        <v>0</v>
      </c>
      <c r="AK21" s="164">
        <v>0</v>
      </c>
      <c r="AL21" s="167">
        <f t="shared" si="50"/>
        <v>46249</v>
      </c>
      <c r="AM21" s="76">
        <f t="shared" si="56"/>
        <v>0.27506265664160401</v>
      </c>
      <c r="AN21" s="75">
        <f t="shared" si="57"/>
        <v>0.72493734335839599</v>
      </c>
      <c r="AO21" s="149">
        <v>4788</v>
      </c>
      <c r="AP21" s="116">
        <f t="shared" si="39"/>
        <v>1317</v>
      </c>
      <c r="AQ21" s="150">
        <v>3471</v>
      </c>
      <c r="AR21" s="151">
        <v>1497</v>
      </c>
      <c r="AS21" s="152">
        <v>0.94444444444444442</v>
      </c>
      <c r="AT21" s="151">
        <v>173</v>
      </c>
      <c r="AU21" s="153">
        <v>0.78125</v>
      </c>
      <c r="AV21" s="167">
        <f t="shared" si="51"/>
        <v>46249</v>
      </c>
      <c r="AW21" s="168">
        <f t="shared" si="58"/>
        <v>0.23465533522190746</v>
      </c>
      <c r="AX21" s="168">
        <f t="shared" si="59"/>
        <v>0.76534466477809249</v>
      </c>
      <c r="AY21" s="110">
        <f t="shared" si="52"/>
        <v>4236</v>
      </c>
      <c r="AZ21" s="111">
        <v>4236</v>
      </c>
      <c r="BA21" s="188">
        <f t="shared" si="42"/>
        <v>994</v>
      </c>
      <c r="BB21" s="112">
        <f>2544+698</f>
        <v>3242</v>
      </c>
      <c r="BC21" s="111">
        <v>1480</v>
      </c>
      <c r="BD21" s="113">
        <v>0.69791666666666663</v>
      </c>
      <c r="BE21" s="114">
        <v>0</v>
      </c>
      <c r="BF21" s="113">
        <v>0</v>
      </c>
      <c r="BG21" s="114">
        <v>148</v>
      </c>
      <c r="BH21" s="113">
        <v>0.84375</v>
      </c>
      <c r="BI21" s="167">
        <f>BI20+1</f>
        <v>46249</v>
      </c>
      <c r="BJ21" s="169">
        <f t="shared" si="60"/>
        <v>0.61199813982328322</v>
      </c>
      <c r="BK21" s="75">
        <f t="shared" si="61"/>
        <v>0.38800186017671678</v>
      </c>
      <c r="BL21" s="78">
        <f t="shared" si="62"/>
        <v>19353</v>
      </c>
      <c r="BM21" s="154">
        <v>11844</v>
      </c>
      <c r="BN21" s="154">
        <v>7509</v>
      </c>
      <c r="BO21" s="155">
        <v>2526</v>
      </c>
      <c r="BP21" s="156">
        <v>0.67291666666666672</v>
      </c>
      <c r="BQ21" s="157">
        <v>1687</v>
      </c>
      <c r="BR21" s="156">
        <v>0.67291666666666672</v>
      </c>
    </row>
    <row r="22" spans="1:70" ht="15.75" thickBot="1" x14ac:dyDescent="0.3">
      <c r="A22" s="14"/>
      <c r="B22" s="167">
        <f t="shared" si="46"/>
        <v>46250</v>
      </c>
      <c r="C22" s="187"/>
      <c r="D22" s="86">
        <f t="shared" si="21"/>
        <v>28470</v>
      </c>
      <c r="E22" s="158">
        <f t="shared" si="0"/>
        <v>0.75939901650860553</v>
      </c>
      <c r="F22" s="86">
        <f t="shared" si="1"/>
        <v>21620.09</v>
      </c>
      <c r="G22" s="158">
        <f t="shared" si="2"/>
        <v>0.24060098349139444</v>
      </c>
      <c r="H22" s="189">
        <f t="shared" si="3"/>
        <v>6849.91</v>
      </c>
      <c r="I22" s="159">
        <f t="shared" si="4"/>
        <v>6.1899287926685184E-2</v>
      </c>
      <c r="J22" s="158">
        <f t="shared" si="5"/>
        <v>0.1655011655011655</v>
      </c>
      <c r="K22" s="158">
        <f t="shared" si="6"/>
        <v>0.17733119954502696</v>
      </c>
      <c r="L22" s="160">
        <f t="shared" si="7"/>
        <v>0.6355972794328959</v>
      </c>
      <c r="M22" s="145">
        <f t="shared" si="22"/>
        <v>1709.8440303988248</v>
      </c>
      <c r="N22" s="145">
        <f t="shared" si="23"/>
        <v>4571.6386946386947</v>
      </c>
      <c r="O22" s="145">
        <f t="shared" si="24"/>
        <v>4898.4197250322795</v>
      </c>
      <c r="P22" s="145">
        <f t="shared" si="25"/>
        <v>17557.103649774883</v>
      </c>
      <c r="Q22" s="167">
        <f t="shared" si="47"/>
        <v>46250</v>
      </c>
      <c r="R22" s="138">
        <v>28470</v>
      </c>
      <c r="S22" s="139">
        <v>27623</v>
      </c>
      <c r="T22" s="139">
        <v>0</v>
      </c>
      <c r="U22" s="139">
        <v>0</v>
      </c>
      <c r="V22" s="140">
        <v>6034.8</v>
      </c>
      <c r="W22" s="141">
        <v>0.58333333333333337</v>
      </c>
      <c r="X22" s="140">
        <v>1888.3</v>
      </c>
      <c r="Y22" s="141">
        <v>0.94791666666666663</v>
      </c>
      <c r="Z22" s="140">
        <v>0</v>
      </c>
      <c r="AA22" s="141">
        <v>0</v>
      </c>
      <c r="AB22" s="167">
        <f t="shared" si="48"/>
        <v>46250</v>
      </c>
      <c r="AC22" s="75">
        <f t="shared" si="54"/>
        <v>1</v>
      </c>
      <c r="AD22" s="161">
        <f t="shared" si="55"/>
        <v>0</v>
      </c>
      <c r="AE22" s="162">
        <v>1938.5</v>
      </c>
      <c r="AF22" s="117">
        <f t="shared" si="49"/>
        <v>1938.5</v>
      </c>
      <c r="AG22" s="146">
        <v>0</v>
      </c>
      <c r="AH22" s="147">
        <v>1387.18</v>
      </c>
      <c r="AI22" s="148">
        <v>0.90486111111111112</v>
      </c>
      <c r="AJ22" s="147">
        <v>0</v>
      </c>
      <c r="AK22" s="164">
        <v>0</v>
      </c>
      <c r="AL22" s="167">
        <f t="shared" si="50"/>
        <v>46250</v>
      </c>
      <c r="AM22" s="76">
        <f t="shared" si="56"/>
        <v>0.29487555469805132</v>
      </c>
      <c r="AN22" s="75">
        <f t="shared" si="57"/>
        <v>0.70512444530194862</v>
      </c>
      <c r="AO22" s="149">
        <v>5183</v>
      </c>
      <c r="AP22" s="116">
        <f t="shared" si="39"/>
        <v>1528.3400000000001</v>
      </c>
      <c r="AQ22" s="150">
        <v>3654.66</v>
      </c>
      <c r="AR22" s="151">
        <v>1684.53</v>
      </c>
      <c r="AS22" s="152">
        <v>0.90138888888888891</v>
      </c>
      <c r="AT22" s="151">
        <v>169.95</v>
      </c>
      <c r="AU22" s="153">
        <v>0.89583333333333337</v>
      </c>
      <c r="AV22" s="167">
        <f t="shared" si="51"/>
        <v>46250</v>
      </c>
      <c r="AW22" s="168">
        <f t="shared" si="58"/>
        <v>0.25527327817270712</v>
      </c>
      <c r="AX22" s="168">
        <f t="shared" si="59"/>
        <v>0.74472672182729283</v>
      </c>
      <c r="AY22" s="110">
        <f t="shared" si="52"/>
        <v>4290.5</v>
      </c>
      <c r="AZ22" s="111">
        <v>4290.5</v>
      </c>
      <c r="BA22" s="188">
        <f t="shared" si="42"/>
        <v>1095.25</v>
      </c>
      <c r="BB22" s="112">
        <f>2497.25+698</f>
        <v>3195.25</v>
      </c>
      <c r="BC22" s="111">
        <v>1729.45</v>
      </c>
      <c r="BD22" s="113">
        <v>0.40625</v>
      </c>
      <c r="BE22" s="114">
        <v>0</v>
      </c>
      <c r="BF22" s="113">
        <v>0</v>
      </c>
      <c r="BG22" s="114">
        <v>145.94</v>
      </c>
      <c r="BH22" s="113">
        <v>0.8125</v>
      </c>
      <c r="BI22" s="167">
        <f t="shared" si="53"/>
        <v>46250</v>
      </c>
      <c r="BJ22" s="169">
        <f t="shared" si="60"/>
        <v>0.61024868123587039</v>
      </c>
      <c r="BK22" s="75">
        <f t="shared" si="61"/>
        <v>0.38975131876412961</v>
      </c>
      <c r="BL22" s="78">
        <f t="shared" si="62"/>
        <v>19905</v>
      </c>
      <c r="BM22" s="154">
        <v>12147</v>
      </c>
      <c r="BN22" s="154">
        <v>7758</v>
      </c>
      <c r="BO22" s="155">
        <v>2617.31</v>
      </c>
      <c r="BP22" s="156">
        <v>0.57499999999999996</v>
      </c>
      <c r="BQ22" s="157">
        <v>1738.3</v>
      </c>
      <c r="BR22" s="156">
        <v>0.5756944444444444</v>
      </c>
    </row>
    <row r="23" spans="1:70" ht="15.75" thickBot="1" x14ac:dyDescent="0.3">
      <c r="A23" s="14"/>
      <c r="B23" s="167">
        <f t="shared" si="46"/>
        <v>46251</v>
      </c>
      <c r="C23" s="187"/>
      <c r="D23" s="86">
        <f t="shared" si="21"/>
        <v>56646</v>
      </c>
      <c r="E23" s="158">
        <f t="shared" si="0"/>
        <v>0.87201214560604456</v>
      </c>
      <c r="F23" s="86">
        <f t="shared" si="1"/>
        <v>49396</v>
      </c>
      <c r="G23" s="158">
        <f t="shared" si="2"/>
        <v>0.12798785439395544</v>
      </c>
      <c r="H23" s="189">
        <f t="shared" si="3"/>
        <v>7250</v>
      </c>
      <c r="I23" s="159">
        <f t="shared" si="4"/>
        <v>0.11860204355585036</v>
      </c>
      <c r="J23" s="158">
        <f t="shared" si="5"/>
        <v>0.15830451193127082</v>
      </c>
      <c r="K23" s="158">
        <f t="shared" si="6"/>
        <v>0.16840723831352469</v>
      </c>
      <c r="L23" s="160">
        <f t="shared" si="7"/>
        <v>0.5792075298873991</v>
      </c>
      <c r="M23" s="145">
        <f t="shared" si="22"/>
        <v>6630.5658470333701</v>
      </c>
      <c r="N23" s="145">
        <f t="shared" si="23"/>
        <v>8850.1720440296267</v>
      </c>
      <c r="O23" s="145">
        <f t="shared" si="24"/>
        <v>9414.9750651559116</v>
      </c>
      <c r="P23" s="145">
        <f t="shared" si="25"/>
        <v>32381.176165884935</v>
      </c>
      <c r="Q23" s="167">
        <f t="shared" si="47"/>
        <v>46251</v>
      </c>
      <c r="R23" s="138">
        <v>56646</v>
      </c>
      <c r="S23" s="139">
        <v>55906</v>
      </c>
      <c r="T23" s="139">
        <v>0</v>
      </c>
      <c r="U23" s="139">
        <v>0</v>
      </c>
      <c r="V23" s="140">
        <v>16126</v>
      </c>
      <c r="W23" s="141">
        <v>0.8125</v>
      </c>
      <c r="X23" s="140">
        <v>4778</v>
      </c>
      <c r="Y23" s="141">
        <v>0.8125</v>
      </c>
      <c r="Z23" s="140">
        <v>0</v>
      </c>
      <c r="AA23" s="141">
        <v>0</v>
      </c>
      <c r="AB23" s="167">
        <f t="shared" si="48"/>
        <v>46251</v>
      </c>
      <c r="AC23" s="75">
        <f t="shared" si="54"/>
        <v>1</v>
      </c>
      <c r="AD23" s="161">
        <f t="shared" si="55"/>
        <v>0</v>
      </c>
      <c r="AE23" s="162">
        <v>7510</v>
      </c>
      <c r="AF23" s="117">
        <f t="shared" si="49"/>
        <v>7510</v>
      </c>
      <c r="AG23" s="146">
        <v>0</v>
      </c>
      <c r="AH23" s="147">
        <v>3529</v>
      </c>
      <c r="AI23" s="148">
        <v>0.36875000000000002</v>
      </c>
      <c r="AJ23" s="147">
        <v>0</v>
      </c>
      <c r="AK23" s="164">
        <v>0</v>
      </c>
      <c r="AL23" s="167">
        <f t="shared" si="50"/>
        <v>46251</v>
      </c>
      <c r="AM23" s="76">
        <f t="shared" si="56"/>
        <v>0.60764166001596165</v>
      </c>
      <c r="AN23" s="75">
        <f t="shared" si="57"/>
        <v>0.3923583399840383</v>
      </c>
      <c r="AO23" s="149">
        <v>10024</v>
      </c>
      <c r="AP23" s="116">
        <f t="shared" si="39"/>
        <v>6091</v>
      </c>
      <c r="AQ23" s="150">
        <v>3933</v>
      </c>
      <c r="AR23" s="151">
        <v>4014</v>
      </c>
      <c r="AS23" s="152">
        <v>0.76388888888888884</v>
      </c>
      <c r="AT23" s="151">
        <v>180</v>
      </c>
      <c r="AU23" s="153">
        <v>0.59375</v>
      </c>
      <c r="AV23" s="167">
        <f t="shared" si="51"/>
        <v>46251</v>
      </c>
      <c r="AW23" s="168">
        <f t="shared" si="58"/>
        <v>0.63593458456810448</v>
      </c>
      <c r="AX23" s="168">
        <f t="shared" si="59"/>
        <v>0.36406541543189552</v>
      </c>
      <c r="AY23" s="110">
        <f t="shared" si="52"/>
        <v>9111</v>
      </c>
      <c r="AZ23" s="111">
        <v>9111</v>
      </c>
      <c r="BA23" s="188">
        <f t="shared" si="42"/>
        <v>5794</v>
      </c>
      <c r="BB23" s="112">
        <f>2619+698</f>
        <v>3317</v>
      </c>
      <c r="BC23" s="111">
        <v>4850</v>
      </c>
      <c r="BD23" s="113">
        <v>0.77083333333333337</v>
      </c>
      <c r="BE23" s="114">
        <v>0</v>
      </c>
      <c r="BF23" s="113">
        <v>0</v>
      </c>
      <c r="BG23" s="114">
        <v>151</v>
      </c>
      <c r="BH23" s="113">
        <v>0.79166666666666663</v>
      </c>
      <c r="BI23" s="167">
        <f t="shared" si="53"/>
        <v>46251</v>
      </c>
      <c r="BJ23" s="169">
        <f t="shared" si="60"/>
        <v>0.60742720034900211</v>
      </c>
      <c r="BK23" s="75">
        <f t="shared" si="61"/>
        <v>0.39257279965099795</v>
      </c>
      <c r="BL23" s="78">
        <f t="shared" si="62"/>
        <v>36676</v>
      </c>
      <c r="BM23" s="154">
        <v>22278</v>
      </c>
      <c r="BN23" s="154">
        <v>14398</v>
      </c>
      <c r="BO23" s="155">
        <v>4173</v>
      </c>
      <c r="BP23" s="156">
        <v>0.63055555555555554</v>
      </c>
      <c r="BQ23" s="157">
        <v>2791</v>
      </c>
      <c r="BR23" s="156">
        <v>0.63124999999999998</v>
      </c>
    </row>
    <row r="24" spans="1:70" ht="15.75" thickBot="1" x14ac:dyDescent="0.3">
      <c r="A24" s="14"/>
      <c r="B24" s="167">
        <f t="shared" si="46"/>
        <v>46252</v>
      </c>
      <c r="C24" s="187"/>
      <c r="D24" s="86">
        <f t="shared" si="21"/>
        <v>59684</v>
      </c>
      <c r="E24" s="158">
        <f t="shared" si="0"/>
        <v>0.87933114402519941</v>
      </c>
      <c r="F24" s="86">
        <f t="shared" si="1"/>
        <v>52482</v>
      </c>
      <c r="G24" s="158">
        <f t="shared" si="2"/>
        <v>0.12066885597480062</v>
      </c>
      <c r="H24" s="189">
        <f t="shared" si="3"/>
        <v>7202</v>
      </c>
      <c r="I24" s="159">
        <f t="shared" si="4"/>
        <v>0.11788163499592157</v>
      </c>
      <c r="J24" s="158">
        <f t="shared" si="5"/>
        <v>0.15488958037521525</v>
      </c>
      <c r="K24" s="158">
        <f t="shared" si="6"/>
        <v>0.16679640506687424</v>
      </c>
      <c r="L24" s="160">
        <f t="shared" si="7"/>
        <v>0.58481616869580977</v>
      </c>
      <c r="M24" s="145">
        <f t="shared" si="22"/>
        <v>6949.9475544545476</v>
      </c>
      <c r="N24" s="145">
        <f t="shared" si="23"/>
        <v>9131.8249901815652</v>
      </c>
      <c r="O24" s="145">
        <f t="shared" si="24"/>
        <v>9833.8156535277049</v>
      </c>
      <c r="P24" s="145">
        <f t="shared" si="25"/>
        <v>34479.006857798857</v>
      </c>
      <c r="Q24" s="167">
        <f t="shared" si="47"/>
        <v>46252</v>
      </c>
      <c r="R24" s="139">
        <v>59684</v>
      </c>
      <c r="S24" s="139">
        <v>58957</v>
      </c>
      <c r="T24" s="139">
        <v>0</v>
      </c>
      <c r="U24" s="139">
        <v>0</v>
      </c>
      <c r="V24" s="140">
        <v>13474</v>
      </c>
      <c r="W24" s="141">
        <v>0.80208333333333337</v>
      </c>
      <c r="X24" s="140">
        <v>4709</v>
      </c>
      <c r="Y24" s="141">
        <v>0.8125</v>
      </c>
      <c r="Z24" s="140">
        <v>0</v>
      </c>
      <c r="AA24" s="141">
        <v>0</v>
      </c>
      <c r="AB24" s="167">
        <f t="shared" si="48"/>
        <v>46252</v>
      </c>
      <c r="AC24" s="75">
        <f t="shared" si="54"/>
        <v>1</v>
      </c>
      <c r="AD24" s="161">
        <f t="shared" si="55"/>
        <v>0</v>
      </c>
      <c r="AE24" s="162">
        <v>7804</v>
      </c>
      <c r="AF24" s="117">
        <f t="shared" si="49"/>
        <v>7804</v>
      </c>
      <c r="AG24" s="146">
        <v>0</v>
      </c>
      <c r="AH24" s="147">
        <v>3803</v>
      </c>
      <c r="AI24" s="148">
        <v>0.7368055555555556</v>
      </c>
      <c r="AJ24" s="147">
        <v>0</v>
      </c>
      <c r="AK24" s="164">
        <v>0</v>
      </c>
      <c r="AL24" s="167">
        <f t="shared" si="50"/>
        <v>46252</v>
      </c>
      <c r="AM24" s="76">
        <f t="shared" si="56"/>
        <v>0.62151355568558608</v>
      </c>
      <c r="AN24" s="75">
        <f t="shared" si="57"/>
        <v>0.37848644431441386</v>
      </c>
      <c r="AO24" s="149">
        <v>10254</v>
      </c>
      <c r="AP24" s="116">
        <f t="shared" si="39"/>
        <v>6373</v>
      </c>
      <c r="AQ24" s="150">
        <v>3881</v>
      </c>
      <c r="AR24" s="151">
        <v>3769</v>
      </c>
      <c r="AS24" s="152">
        <v>0.36458333333333331</v>
      </c>
      <c r="AT24" s="151">
        <v>182</v>
      </c>
      <c r="AU24" s="153">
        <v>0.8125</v>
      </c>
      <c r="AV24" s="167">
        <f t="shared" si="51"/>
        <v>46252</v>
      </c>
      <c r="AW24" s="168">
        <f t="shared" si="58"/>
        <v>0.64775137887144674</v>
      </c>
      <c r="AX24" s="168">
        <f t="shared" si="59"/>
        <v>0.35224862112855326</v>
      </c>
      <c r="AY24" s="110">
        <f t="shared" si="52"/>
        <v>9428</v>
      </c>
      <c r="AZ24" s="111">
        <v>9428</v>
      </c>
      <c r="BA24" s="188">
        <f t="shared" si="42"/>
        <v>6107</v>
      </c>
      <c r="BB24" s="112">
        <f>2623+698</f>
        <v>3321</v>
      </c>
      <c r="BC24" s="111">
        <v>3842</v>
      </c>
      <c r="BD24" s="113">
        <v>0.42708333333333331</v>
      </c>
      <c r="BE24" s="114">
        <v>0</v>
      </c>
      <c r="BF24" s="113">
        <v>0</v>
      </c>
      <c r="BG24" s="114">
        <v>157</v>
      </c>
      <c r="BH24" s="113">
        <v>0.84375</v>
      </c>
      <c r="BI24" s="167">
        <f t="shared" si="53"/>
        <v>46252</v>
      </c>
      <c r="BJ24" s="169">
        <f t="shared" si="60"/>
        <v>0.60675173055067677</v>
      </c>
      <c r="BK24" s="75">
        <f t="shared" si="61"/>
        <v>0.39324826944932328</v>
      </c>
      <c r="BL24" s="78">
        <f t="shared" si="62"/>
        <v>38716</v>
      </c>
      <c r="BM24" s="154">
        <v>23491</v>
      </c>
      <c r="BN24" s="154">
        <v>15225</v>
      </c>
      <c r="BO24" s="155">
        <v>4455</v>
      </c>
      <c r="BP24" s="156">
        <v>0.4201388888888889</v>
      </c>
      <c r="BQ24" s="157">
        <v>2958</v>
      </c>
      <c r="BR24" s="156">
        <v>0.4201388888888889</v>
      </c>
    </row>
    <row r="25" spans="1:70" ht="15.75" thickBot="1" x14ac:dyDescent="0.3">
      <c r="A25" s="14"/>
      <c r="B25" s="167">
        <f t="shared" si="46"/>
        <v>46253</v>
      </c>
      <c r="C25" s="187"/>
      <c r="D25" s="86">
        <f t="shared" si="21"/>
        <v>57502</v>
      </c>
      <c r="E25" s="158">
        <f t="shared" si="0"/>
        <v>0.87315223818301968</v>
      </c>
      <c r="F25" s="86">
        <f t="shared" si="1"/>
        <v>50208</v>
      </c>
      <c r="G25" s="158">
        <f t="shared" si="2"/>
        <v>0.12684776181698029</v>
      </c>
      <c r="H25" s="189">
        <f t="shared" si="3"/>
        <v>7294</v>
      </c>
      <c r="I25" s="159">
        <f t="shared" si="4"/>
        <v>0.12014987379873641</v>
      </c>
      <c r="J25" s="158">
        <f t="shared" si="5"/>
        <v>0.16147490868045214</v>
      </c>
      <c r="K25" s="158">
        <f t="shared" si="6"/>
        <v>0.17061749539930399</v>
      </c>
      <c r="L25" s="160">
        <f t="shared" si="7"/>
        <v>0.57157414520200045</v>
      </c>
      <c r="M25" s="145">
        <f t="shared" si="22"/>
        <v>6821.388935049461</v>
      </c>
      <c r="N25" s="145">
        <f t="shared" si="23"/>
        <v>9167.5764654239902</v>
      </c>
      <c r="O25" s="145">
        <f t="shared" si="24"/>
        <v>9686.6376838000851</v>
      </c>
      <c r="P25" s="145">
        <f t="shared" si="25"/>
        <v>32450.550519698372</v>
      </c>
      <c r="Q25" s="167">
        <f t="shared" si="47"/>
        <v>46253</v>
      </c>
      <c r="R25" s="139">
        <v>57502</v>
      </c>
      <c r="S25" s="139">
        <v>56774</v>
      </c>
      <c r="T25" s="139">
        <v>0</v>
      </c>
      <c r="U25" s="139">
        <v>0</v>
      </c>
      <c r="V25" s="140">
        <v>13980</v>
      </c>
      <c r="W25" s="141">
        <v>0.78125</v>
      </c>
      <c r="X25" s="140">
        <v>4578</v>
      </c>
      <c r="Y25" s="141">
        <v>0.42708333333333331</v>
      </c>
      <c r="Z25" s="140">
        <v>0</v>
      </c>
      <c r="AA25" s="141">
        <v>0</v>
      </c>
      <c r="AB25" s="167">
        <f t="shared" si="48"/>
        <v>46253</v>
      </c>
      <c r="AC25" s="75">
        <f t="shared" si="54"/>
        <v>1</v>
      </c>
      <c r="AD25" s="161">
        <f t="shared" si="55"/>
        <v>0</v>
      </c>
      <c r="AE25" s="162">
        <v>7664</v>
      </c>
      <c r="AF25" s="117">
        <f t="shared" si="49"/>
        <v>7664</v>
      </c>
      <c r="AG25" s="146">
        <v>0</v>
      </c>
      <c r="AH25" s="147">
        <v>3843</v>
      </c>
      <c r="AI25" s="148">
        <v>0.67986111111111114</v>
      </c>
      <c r="AJ25" s="147">
        <v>0</v>
      </c>
      <c r="AK25" s="164">
        <v>0</v>
      </c>
      <c r="AL25" s="167">
        <f t="shared" si="50"/>
        <v>46253</v>
      </c>
      <c r="AM25" s="76">
        <f t="shared" si="56"/>
        <v>0.61699029126213589</v>
      </c>
      <c r="AN25" s="75">
        <f t="shared" si="57"/>
        <v>0.38300970873786405</v>
      </c>
      <c r="AO25" s="149">
        <v>10300</v>
      </c>
      <c r="AP25" s="116">
        <f t="shared" si="39"/>
        <v>6355</v>
      </c>
      <c r="AQ25" s="150">
        <v>3945</v>
      </c>
      <c r="AR25" s="151">
        <v>4665</v>
      </c>
      <c r="AS25" s="152">
        <v>0.3576388888888889</v>
      </c>
      <c r="AT25" s="151">
        <v>179</v>
      </c>
      <c r="AU25" s="153">
        <v>0.77083333333333337</v>
      </c>
      <c r="AV25" s="167">
        <f t="shared" si="51"/>
        <v>46253</v>
      </c>
      <c r="AW25" s="168">
        <f t="shared" si="58"/>
        <v>0.64235369500213579</v>
      </c>
      <c r="AX25" s="168">
        <f t="shared" si="59"/>
        <v>0.35764630499786415</v>
      </c>
      <c r="AY25" s="110">
        <f t="shared" si="52"/>
        <v>9364</v>
      </c>
      <c r="AZ25" s="111">
        <v>9364</v>
      </c>
      <c r="BA25" s="188">
        <f t="shared" si="42"/>
        <v>6015</v>
      </c>
      <c r="BB25" s="112">
        <f>2651+698</f>
        <v>3349</v>
      </c>
      <c r="BC25" s="111">
        <v>4257</v>
      </c>
      <c r="BD25" s="113">
        <v>0.71875</v>
      </c>
      <c r="BE25" s="114">
        <v>0</v>
      </c>
      <c r="BF25" s="113">
        <v>0</v>
      </c>
      <c r="BG25" s="114">
        <v>152</v>
      </c>
      <c r="BH25" s="113">
        <v>0.8125</v>
      </c>
      <c r="BI25" s="167">
        <f t="shared" si="53"/>
        <v>46253</v>
      </c>
      <c r="BJ25" s="169">
        <f t="shared" si="60"/>
        <v>0.60714775501247975</v>
      </c>
      <c r="BK25" s="75">
        <f t="shared" si="61"/>
        <v>0.39285224498752025</v>
      </c>
      <c r="BL25" s="78">
        <f t="shared" si="62"/>
        <v>36459</v>
      </c>
      <c r="BM25" s="154">
        <v>22136</v>
      </c>
      <c r="BN25" s="154">
        <v>14323</v>
      </c>
      <c r="BO25" s="155">
        <v>4086</v>
      </c>
      <c r="BP25" s="156">
        <v>0.82777777777777772</v>
      </c>
      <c r="BQ25" s="157">
        <v>2744</v>
      </c>
      <c r="BR25" s="156">
        <v>0.82777777777777772</v>
      </c>
    </row>
    <row r="26" spans="1:70" ht="15.75" thickBot="1" x14ac:dyDescent="0.3">
      <c r="A26" s="14"/>
      <c r="B26" s="167">
        <f t="shared" si="46"/>
        <v>46254</v>
      </c>
      <c r="C26" s="187"/>
      <c r="D26" s="86">
        <f t="shared" si="21"/>
        <v>59386</v>
      </c>
      <c r="E26" s="158">
        <f t="shared" si="0"/>
        <v>0.87668810830835553</v>
      </c>
      <c r="F26" s="86">
        <f t="shared" si="1"/>
        <v>52063</v>
      </c>
      <c r="G26" s="158">
        <f t="shared" si="2"/>
        <v>0.1233118916916445</v>
      </c>
      <c r="H26" s="189">
        <f t="shared" si="3"/>
        <v>7323</v>
      </c>
      <c r="I26" s="159">
        <f t="shared" si="4"/>
        <v>0.10373851547388782</v>
      </c>
      <c r="J26" s="158">
        <f t="shared" si="5"/>
        <v>0.1610100338491296</v>
      </c>
      <c r="K26" s="158">
        <f t="shared" si="6"/>
        <v>0.17087198190457822</v>
      </c>
      <c r="L26" s="160">
        <f t="shared" si="7"/>
        <v>0.5879926257253385</v>
      </c>
      <c r="M26" s="145">
        <f t="shared" si="22"/>
        <v>6082.6041162959382</v>
      </c>
      <c r="N26" s="145">
        <f t="shared" si="23"/>
        <v>9440.6623247098651</v>
      </c>
      <c r="O26" s="145">
        <f t="shared" si="24"/>
        <v>10018.907786993039</v>
      </c>
      <c r="P26" s="145">
        <f t="shared" si="25"/>
        <v>34476.359616779497</v>
      </c>
      <c r="Q26" s="167">
        <f t="shared" si="47"/>
        <v>46254</v>
      </c>
      <c r="R26" s="139">
        <v>59386</v>
      </c>
      <c r="S26" s="139">
        <v>58634</v>
      </c>
      <c r="T26" s="139">
        <v>0</v>
      </c>
      <c r="U26" s="139">
        <v>0</v>
      </c>
      <c r="V26" s="140">
        <v>12610</v>
      </c>
      <c r="W26" s="141">
        <v>0.80208333333333337</v>
      </c>
      <c r="X26" s="140">
        <v>4606</v>
      </c>
      <c r="Y26" s="141">
        <v>0.76041666666666663</v>
      </c>
      <c r="Z26" s="140">
        <v>0</v>
      </c>
      <c r="AA26" s="141">
        <v>0</v>
      </c>
      <c r="AB26" s="167">
        <f t="shared" si="48"/>
        <v>46254</v>
      </c>
      <c r="AC26" s="75">
        <f t="shared" si="54"/>
        <v>1</v>
      </c>
      <c r="AD26" s="161">
        <f t="shared" si="55"/>
        <v>0</v>
      </c>
      <c r="AE26" s="162">
        <v>6865</v>
      </c>
      <c r="AF26" s="117">
        <f t="shared" si="49"/>
        <v>6865</v>
      </c>
      <c r="AG26" s="146">
        <v>0</v>
      </c>
      <c r="AH26" s="147">
        <v>3326</v>
      </c>
      <c r="AI26" s="148">
        <v>0.35833333333333334</v>
      </c>
      <c r="AJ26" s="147">
        <v>0</v>
      </c>
      <c r="AK26" s="164">
        <v>0</v>
      </c>
      <c r="AL26" s="167">
        <f t="shared" si="50"/>
        <v>46254</v>
      </c>
      <c r="AM26" s="76">
        <f t="shared" si="56"/>
        <v>0.63416236508681367</v>
      </c>
      <c r="AN26" s="75">
        <f t="shared" si="57"/>
        <v>0.36583763491318627</v>
      </c>
      <c r="AO26" s="149">
        <v>10655</v>
      </c>
      <c r="AP26" s="116">
        <f t="shared" si="39"/>
        <v>6757</v>
      </c>
      <c r="AQ26" s="150">
        <v>3898</v>
      </c>
      <c r="AR26" s="151">
        <v>5332</v>
      </c>
      <c r="AS26" s="152">
        <v>0.69027777777777777</v>
      </c>
      <c r="AT26" s="151">
        <v>191</v>
      </c>
      <c r="AU26" s="153">
        <v>0.32291666666666669</v>
      </c>
      <c r="AV26" s="167">
        <f t="shared" si="51"/>
        <v>46254</v>
      </c>
      <c r="AW26" s="168">
        <f t="shared" si="58"/>
        <v>0.64853771164699847</v>
      </c>
      <c r="AX26" s="168">
        <f t="shared" si="59"/>
        <v>0.35146228835300153</v>
      </c>
      <c r="AY26" s="110">
        <f t="shared" si="52"/>
        <v>9745</v>
      </c>
      <c r="AZ26" s="111">
        <v>9745</v>
      </c>
      <c r="BA26" s="188">
        <f t="shared" si="42"/>
        <v>6320</v>
      </c>
      <c r="BB26" s="112">
        <f>2727+698</f>
        <v>3425</v>
      </c>
      <c r="BC26" s="111">
        <v>3981</v>
      </c>
      <c r="BD26" s="113">
        <v>0.64583333333333337</v>
      </c>
      <c r="BE26" s="114">
        <v>0</v>
      </c>
      <c r="BF26" s="113">
        <v>0</v>
      </c>
      <c r="BG26" s="114">
        <v>159</v>
      </c>
      <c r="BH26" s="113">
        <v>0.89583333333333337</v>
      </c>
      <c r="BI26" s="167">
        <f t="shared" si="53"/>
        <v>46254</v>
      </c>
      <c r="BJ26" s="169">
        <f t="shared" si="60"/>
        <v>0.61471049317673665</v>
      </c>
      <c r="BK26" s="75">
        <f t="shared" si="61"/>
        <v>0.38528950682326335</v>
      </c>
      <c r="BL26" s="78">
        <f t="shared" si="62"/>
        <v>38911</v>
      </c>
      <c r="BM26" s="154">
        <v>23919</v>
      </c>
      <c r="BN26" s="154">
        <v>14992</v>
      </c>
      <c r="BO26" s="155">
        <v>4487</v>
      </c>
      <c r="BP26" s="156">
        <v>0.83680555555555558</v>
      </c>
      <c r="BQ26" s="157">
        <v>2980</v>
      </c>
      <c r="BR26" s="156">
        <v>0.83680555555555558</v>
      </c>
    </row>
    <row r="27" spans="1:70" ht="15.75" thickBot="1" x14ac:dyDescent="0.3">
      <c r="A27" s="14"/>
      <c r="B27" s="167">
        <f t="shared" si="46"/>
        <v>46255</v>
      </c>
      <c r="C27" s="187"/>
      <c r="D27" s="86">
        <f t="shared" si="21"/>
        <v>57930</v>
      </c>
      <c r="E27" s="158">
        <f t="shared" si="0"/>
        <v>0.8950523045054376</v>
      </c>
      <c r="F27" s="86">
        <f t="shared" si="1"/>
        <v>51850.38</v>
      </c>
      <c r="G27" s="158">
        <f t="shared" si="2"/>
        <v>0.1049476954945624</v>
      </c>
      <c r="H27" s="189">
        <f t="shared" si="3"/>
        <v>6079.62</v>
      </c>
      <c r="I27" s="159">
        <f t="shared" si="4"/>
        <v>0.12158757636776008</v>
      </c>
      <c r="J27" s="158">
        <f t="shared" si="5"/>
        <v>0.15942364284115196</v>
      </c>
      <c r="K27" s="158">
        <f t="shared" si="6"/>
        <v>0.16862608995144127</v>
      </c>
      <c r="L27" s="160">
        <f t="shared" si="7"/>
        <v>0.56999486776225083</v>
      </c>
      <c r="M27" s="145">
        <f t="shared" si="22"/>
        <v>6953.1071421667275</v>
      </c>
      <c r="N27" s="145">
        <f t="shared" si="23"/>
        <v>9116.8004395141161</v>
      </c>
      <c r="O27" s="145">
        <f t="shared" si="24"/>
        <v>9643.0515799631194</v>
      </c>
      <c r="P27" s="145">
        <f t="shared" si="25"/>
        <v>32595.726507852076</v>
      </c>
      <c r="Q27" s="167">
        <f t="shared" si="47"/>
        <v>46255</v>
      </c>
      <c r="R27" s="139">
        <v>57930</v>
      </c>
      <c r="S27" s="139">
        <v>57186</v>
      </c>
      <c r="T27" s="139">
        <v>0</v>
      </c>
      <c r="U27" s="139">
        <v>0</v>
      </c>
      <c r="V27" s="140">
        <v>14354.1</v>
      </c>
      <c r="W27" s="141">
        <v>0.78125</v>
      </c>
      <c r="X27" s="140">
        <v>4879.99</v>
      </c>
      <c r="Y27" s="141">
        <v>0.80208333333333337</v>
      </c>
      <c r="Z27" s="140">
        <v>0</v>
      </c>
      <c r="AA27" s="141">
        <v>0</v>
      </c>
      <c r="AB27" s="167">
        <f t="shared" si="48"/>
        <v>46255</v>
      </c>
      <c r="AC27" s="75">
        <f t="shared" si="54"/>
        <v>1</v>
      </c>
      <c r="AD27" s="161">
        <f t="shared" si="55"/>
        <v>0</v>
      </c>
      <c r="AE27" s="162">
        <v>7799.06</v>
      </c>
      <c r="AF27" s="117">
        <f t="shared" si="49"/>
        <v>7799.06</v>
      </c>
      <c r="AG27" s="146">
        <v>0</v>
      </c>
      <c r="AH27" s="147">
        <v>3465.5</v>
      </c>
      <c r="AI27" s="148">
        <v>0.3659722222222222</v>
      </c>
      <c r="AJ27" s="147">
        <v>0</v>
      </c>
      <c r="AK27" s="164">
        <v>0</v>
      </c>
      <c r="AL27" s="167">
        <f t="shared" si="50"/>
        <v>46255</v>
      </c>
      <c r="AM27" s="76">
        <f t="shared" si="56"/>
        <v>0.73774007432035993</v>
      </c>
      <c r="AN27" s="75">
        <f t="shared" si="57"/>
        <v>0.26225992567964013</v>
      </c>
      <c r="AO27" s="149">
        <v>10226</v>
      </c>
      <c r="AP27" s="116">
        <f t="shared" si="39"/>
        <v>7544.13</v>
      </c>
      <c r="AQ27" s="150">
        <v>2681.87</v>
      </c>
      <c r="AR27" s="151">
        <v>3922.07</v>
      </c>
      <c r="AS27" s="152">
        <v>0.40138888888888891</v>
      </c>
      <c r="AT27" s="151">
        <v>183.66</v>
      </c>
      <c r="AU27" s="153">
        <v>0.80208333333333337</v>
      </c>
      <c r="AV27" s="167">
        <f t="shared" si="51"/>
        <v>46255</v>
      </c>
      <c r="AW27" s="168">
        <f t="shared" si="58"/>
        <v>0.64447525374071357</v>
      </c>
      <c r="AX27" s="168">
        <f t="shared" si="59"/>
        <v>0.35552474625928637</v>
      </c>
      <c r="AY27" s="110">
        <f t="shared" si="52"/>
        <v>9557</v>
      </c>
      <c r="AZ27" s="111">
        <v>9557</v>
      </c>
      <c r="BA27" s="188">
        <f t="shared" si="42"/>
        <v>6159.25</v>
      </c>
      <c r="BB27" s="112">
        <f>2699.75+698</f>
        <v>3397.75</v>
      </c>
      <c r="BC27" s="111">
        <v>4100.6499999999996</v>
      </c>
      <c r="BD27" s="113">
        <v>0.71875</v>
      </c>
      <c r="BE27" s="114">
        <v>0</v>
      </c>
      <c r="BF27" s="113">
        <v>0</v>
      </c>
      <c r="BG27" s="114">
        <v>158</v>
      </c>
      <c r="BH27" s="113">
        <v>0.8125</v>
      </c>
      <c r="BI27" s="167">
        <f t="shared" si="53"/>
        <v>46255</v>
      </c>
      <c r="BJ27" s="169">
        <f t="shared" si="60"/>
        <v>0.60770209099736061</v>
      </c>
      <c r="BK27" s="75">
        <f t="shared" si="61"/>
        <v>0.39229790900263939</v>
      </c>
      <c r="BL27" s="78">
        <f t="shared" si="62"/>
        <v>36561.5</v>
      </c>
      <c r="BM27" s="154">
        <v>22218.5</v>
      </c>
      <c r="BN27" s="154">
        <v>14343</v>
      </c>
      <c r="BO27" s="155">
        <v>4088.33</v>
      </c>
      <c r="BP27" s="156">
        <v>0.76041666666666663</v>
      </c>
      <c r="BQ27" s="157">
        <v>2720.68</v>
      </c>
      <c r="BR27" s="156">
        <v>0.76041666666666663</v>
      </c>
    </row>
    <row r="28" spans="1:70" ht="15.75" thickBot="1" x14ac:dyDescent="0.3">
      <c r="A28" s="14"/>
      <c r="B28" s="167">
        <f t="shared" si="46"/>
        <v>46256</v>
      </c>
      <c r="C28" s="187"/>
      <c r="D28" s="86">
        <f t="shared" si="21"/>
        <v>33432</v>
      </c>
      <c r="E28" s="158">
        <f t="shared" si="0"/>
        <v>0.79064309643455366</v>
      </c>
      <c r="F28" s="86">
        <f t="shared" si="1"/>
        <v>26432.78</v>
      </c>
      <c r="G28" s="158">
        <f t="shared" si="2"/>
        <v>0.20935690356544628</v>
      </c>
      <c r="H28" s="189">
        <f t="shared" si="3"/>
        <v>6999.22</v>
      </c>
      <c r="I28" s="159">
        <f t="shared" si="4"/>
        <v>8.0900497118239392E-2</v>
      </c>
      <c r="J28" s="158">
        <f t="shared" si="5"/>
        <v>0.15884635468708969</v>
      </c>
      <c r="K28" s="158">
        <f t="shared" si="6"/>
        <v>0.1648217812810828</v>
      </c>
      <c r="L28" s="160">
        <f t="shared" si="7"/>
        <v>0.6308828790726011</v>
      </c>
      <c r="M28" s="145">
        <f t="shared" si="22"/>
        <v>2638.0438602801091</v>
      </c>
      <c r="N28" s="145">
        <f t="shared" si="23"/>
        <v>5179.7413568139636</v>
      </c>
      <c r="O28" s="145">
        <f t="shared" si="24"/>
        <v>5374.5910549041882</v>
      </c>
      <c r="P28" s="145">
        <f t="shared" si="25"/>
        <v>20572.144362238912</v>
      </c>
      <c r="Q28" s="167">
        <f t="shared" si="47"/>
        <v>46256</v>
      </c>
      <c r="R28" s="139">
        <v>33432</v>
      </c>
      <c r="S28" s="139">
        <v>32608.5</v>
      </c>
      <c r="T28" s="139">
        <v>0</v>
      </c>
      <c r="U28" s="139">
        <v>0</v>
      </c>
      <c r="V28" s="140">
        <v>6371.49</v>
      </c>
      <c r="W28" s="141">
        <v>0.73958333333333337</v>
      </c>
      <c r="X28" s="140">
        <v>2263.1999999999998</v>
      </c>
      <c r="Y28" s="141">
        <v>0.86458333333333337</v>
      </c>
      <c r="Z28" s="140">
        <v>0</v>
      </c>
      <c r="AA28" s="141">
        <v>0</v>
      </c>
      <c r="AB28" s="167">
        <f t="shared" si="48"/>
        <v>46256</v>
      </c>
      <c r="AC28" s="75">
        <f t="shared" si="54"/>
        <v>1</v>
      </c>
      <c r="AD28" s="161">
        <f t="shared" si="55"/>
        <v>0</v>
      </c>
      <c r="AE28" s="162">
        <v>2991.63</v>
      </c>
      <c r="AF28" s="117">
        <f t="shared" si="49"/>
        <v>2991.63</v>
      </c>
      <c r="AG28" s="146">
        <v>0</v>
      </c>
      <c r="AH28" s="147">
        <v>1789.66</v>
      </c>
      <c r="AI28" s="148">
        <v>0.93541666666666667</v>
      </c>
      <c r="AJ28" s="147">
        <v>0</v>
      </c>
      <c r="AK28" s="164">
        <v>0</v>
      </c>
      <c r="AL28" s="167">
        <f t="shared" si="50"/>
        <v>46256</v>
      </c>
      <c r="AM28" s="76">
        <f t="shared" si="56"/>
        <v>0.36843037112700033</v>
      </c>
      <c r="AN28" s="75">
        <f t="shared" si="57"/>
        <v>0.63156962887299972</v>
      </c>
      <c r="AO28" s="149">
        <v>5874</v>
      </c>
      <c r="AP28" s="116">
        <f t="shared" si="39"/>
        <v>2164.16</v>
      </c>
      <c r="AQ28" s="150">
        <v>3709.84</v>
      </c>
      <c r="AR28" s="151">
        <v>1845.25</v>
      </c>
      <c r="AS28" s="152">
        <v>0.71388888888888891</v>
      </c>
      <c r="AT28" s="151">
        <v>177.89</v>
      </c>
      <c r="AU28" s="153">
        <v>0.80208333333333337</v>
      </c>
      <c r="AV28" s="167">
        <f t="shared" si="51"/>
        <v>46256</v>
      </c>
      <c r="AW28" s="168">
        <f t="shared" si="58"/>
        <v>0.31242056856187289</v>
      </c>
      <c r="AX28" s="168">
        <f t="shared" si="59"/>
        <v>0.68757943143812716</v>
      </c>
      <c r="AY28" s="110">
        <f t="shared" si="52"/>
        <v>4784</v>
      </c>
      <c r="AZ28" s="111">
        <v>4784</v>
      </c>
      <c r="BA28" s="188">
        <f t="shared" si="42"/>
        <v>1494.62</v>
      </c>
      <c r="BB28" s="112">
        <f>2591.38+698</f>
        <v>3289.38</v>
      </c>
      <c r="BC28" s="111">
        <v>1374.27</v>
      </c>
      <c r="BD28" s="113">
        <v>0.54166666666666663</v>
      </c>
      <c r="BE28" s="114">
        <v>0</v>
      </c>
      <c r="BF28" s="113">
        <v>0</v>
      </c>
      <c r="BG28" s="114">
        <v>151.13</v>
      </c>
      <c r="BH28" s="113">
        <v>0.8125</v>
      </c>
      <c r="BI28" s="167">
        <f t="shared" si="53"/>
        <v>46256</v>
      </c>
      <c r="BJ28" s="169">
        <f t="shared" si="60"/>
        <v>0.61302213935146488</v>
      </c>
      <c r="BK28" s="75">
        <f t="shared" si="61"/>
        <v>0.38697786064853512</v>
      </c>
      <c r="BL28" s="78">
        <f t="shared" si="62"/>
        <v>23329.5</v>
      </c>
      <c r="BM28" s="154">
        <v>14301.5</v>
      </c>
      <c r="BN28" s="154">
        <v>9028</v>
      </c>
      <c r="BO28" s="155">
        <v>2786.68</v>
      </c>
      <c r="BP28" s="156">
        <v>0.40208333333333335</v>
      </c>
      <c r="BQ28" s="157">
        <v>1860.63</v>
      </c>
      <c r="BR28" s="156">
        <v>0.40277777777777779</v>
      </c>
    </row>
    <row r="29" spans="1:70" ht="15.75" thickBot="1" x14ac:dyDescent="0.3">
      <c r="A29" s="14"/>
      <c r="B29" s="167">
        <f t="shared" si="46"/>
        <v>46257</v>
      </c>
      <c r="C29" s="187"/>
      <c r="D29" s="86">
        <f t="shared" si="21"/>
        <v>28212</v>
      </c>
      <c r="E29" s="158">
        <f t="shared" si="0"/>
        <v>0.75223309230114843</v>
      </c>
      <c r="F29" s="86">
        <f t="shared" si="1"/>
        <v>21222</v>
      </c>
      <c r="G29" s="158">
        <f t="shared" si="2"/>
        <v>0.24776690769885154</v>
      </c>
      <c r="H29" s="189">
        <f t="shared" si="3"/>
        <v>6990</v>
      </c>
      <c r="I29" s="159">
        <f t="shared" si="4"/>
        <v>6.2384787037935381E-2</v>
      </c>
      <c r="J29" s="158">
        <f t="shared" si="5"/>
        <v>0.16768539180492223</v>
      </c>
      <c r="K29" s="158">
        <f t="shared" si="6"/>
        <v>0.17730259028329917</v>
      </c>
      <c r="L29" s="160">
        <f t="shared" si="7"/>
        <v>0.63290320494162544</v>
      </c>
      <c r="M29" s="145">
        <f t="shared" si="22"/>
        <v>1706.3486950616086</v>
      </c>
      <c r="N29" s="145">
        <f t="shared" si="23"/>
        <v>4586.5308366482332</v>
      </c>
      <c r="O29" s="145">
        <f t="shared" si="24"/>
        <v>4849.5804494287986</v>
      </c>
      <c r="P29" s="145">
        <f t="shared" si="25"/>
        <v>17311.168461563338</v>
      </c>
      <c r="Q29" s="167">
        <f t="shared" si="47"/>
        <v>46257</v>
      </c>
      <c r="R29" s="138">
        <v>28212</v>
      </c>
      <c r="S29" s="139">
        <v>27352</v>
      </c>
      <c r="T29" s="139">
        <v>0</v>
      </c>
      <c r="U29" s="139">
        <v>0</v>
      </c>
      <c r="V29" s="140">
        <v>6609</v>
      </c>
      <c r="W29" s="141">
        <v>0.96875</v>
      </c>
      <c r="X29" s="140">
        <v>1971</v>
      </c>
      <c r="Y29" s="141">
        <v>0.90625</v>
      </c>
      <c r="Z29" s="140">
        <v>0</v>
      </c>
      <c r="AA29" s="141">
        <v>0</v>
      </c>
      <c r="AB29" s="167">
        <f t="shared" si="48"/>
        <v>46257</v>
      </c>
      <c r="AC29" s="75">
        <f t="shared" si="54"/>
        <v>1</v>
      </c>
      <c r="AD29" s="161">
        <f t="shared" si="55"/>
        <v>0</v>
      </c>
      <c r="AE29" s="162">
        <v>1929</v>
      </c>
      <c r="AF29" s="117">
        <f t="shared" si="49"/>
        <v>1929</v>
      </c>
      <c r="AG29" s="146">
        <v>0</v>
      </c>
      <c r="AH29" s="147">
        <v>1782</v>
      </c>
      <c r="AI29" s="148">
        <v>0.92708333333333337</v>
      </c>
      <c r="AJ29" s="147">
        <v>0</v>
      </c>
      <c r="AK29" s="164">
        <v>0</v>
      </c>
      <c r="AL29" s="167">
        <f t="shared" si="50"/>
        <v>46257</v>
      </c>
      <c r="AM29" s="76">
        <f t="shared" si="56"/>
        <v>0.28447444551591128</v>
      </c>
      <c r="AN29" s="75">
        <f t="shared" si="57"/>
        <v>0.71552555448408872</v>
      </c>
      <c r="AO29" s="149">
        <v>5185</v>
      </c>
      <c r="AP29" s="116">
        <f t="shared" si="39"/>
        <v>1475</v>
      </c>
      <c r="AQ29" s="150">
        <v>3710</v>
      </c>
      <c r="AR29" s="151">
        <v>1548</v>
      </c>
      <c r="AS29" s="152">
        <v>0.70347222222222228</v>
      </c>
      <c r="AT29" s="151">
        <v>180</v>
      </c>
      <c r="AU29" s="153">
        <v>0.86458333333333337</v>
      </c>
      <c r="AV29" s="167">
        <f t="shared" si="51"/>
        <v>46257</v>
      </c>
      <c r="AW29" s="168">
        <f t="shared" si="58"/>
        <v>0.22586735898041066</v>
      </c>
      <c r="AX29" s="168">
        <f t="shared" si="59"/>
        <v>0.77413264101958934</v>
      </c>
      <c r="AY29" s="110">
        <f t="shared" si="52"/>
        <v>4237</v>
      </c>
      <c r="AZ29" s="111">
        <v>4237</v>
      </c>
      <c r="BA29" s="188">
        <f t="shared" si="42"/>
        <v>957</v>
      </c>
      <c r="BB29" s="112">
        <f>2582+698</f>
        <v>3280</v>
      </c>
      <c r="BC29" s="111">
        <v>1541</v>
      </c>
      <c r="BD29" s="113">
        <v>0.77083333333333337</v>
      </c>
      <c r="BE29" s="114">
        <v>0</v>
      </c>
      <c r="BF29" s="113">
        <v>0</v>
      </c>
      <c r="BG29" s="114">
        <v>147</v>
      </c>
      <c r="BH29" s="113">
        <v>0.79166666666666663</v>
      </c>
      <c r="BI29" s="167">
        <f t="shared" si="53"/>
        <v>46257</v>
      </c>
      <c r="BJ29" s="169">
        <f t="shared" si="60"/>
        <v>0.61415431783341845</v>
      </c>
      <c r="BK29" s="75">
        <f t="shared" si="61"/>
        <v>0.38584568216658149</v>
      </c>
      <c r="BL29" s="78">
        <f t="shared" si="62"/>
        <v>19570</v>
      </c>
      <c r="BM29" s="154">
        <v>12019</v>
      </c>
      <c r="BN29" s="154">
        <v>7551</v>
      </c>
      <c r="BO29" s="155">
        <v>2641</v>
      </c>
      <c r="BP29" s="156">
        <v>0.41249999999999998</v>
      </c>
      <c r="BQ29" s="157">
        <v>1738</v>
      </c>
      <c r="BR29" s="156">
        <v>0.41319444444444442</v>
      </c>
    </row>
    <row r="30" spans="1:70" ht="15.75" thickBot="1" x14ac:dyDescent="0.3">
      <c r="A30" s="14"/>
      <c r="B30" s="167">
        <f t="shared" si="46"/>
        <v>46258</v>
      </c>
      <c r="C30" s="187"/>
      <c r="D30" s="86">
        <f t="shared" si="21"/>
        <v>58350</v>
      </c>
      <c r="E30" s="158">
        <f t="shared" si="0"/>
        <v>0.87167095115681237</v>
      </c>
      <c r="F30" s="86">
        <f t="shared" si="1"/>
        <v>50862</v>
      </c>
      <c r="G30" s="158">
        <f t="shared" si="2"/>
        <v>0.12832904884318766</v>
      </c>
      <c r="H30" s="145">
        <f t="shared" si="3"/>
        <v>7488</v>
      </c>
      <c r="I30" s="159">
        <f t="shared" si="4"/>
        <v>0.12062316828628722</v>
      </c>
      <c r="J30" s="158">
        <f t="shared" si="5"/>
        <v>0.1574888169057535</v>
      </c>
      <c r="K30" s="158">
        <f t="shared" si="6"/>
        <v>0.16780330222541279</v>
      </c>
      <c r="L30" s="160">
        <f t="shared" si="7"/>
        <v>0.57766466142218109</v>
      </c>
      <c r="M30" s="145">
        <f t="shared" si="22"/>
        <v>6993.7312972389327</v>
      </c>
      <c r="N30" s="145">
        <f t="shared" si="23"/>
        <v>9131.2016041955885</v>
      </c>
      <c r="O30" s="145">
        <f t="shared" si="24"/>
        <v>9729.235463029434</v>
      </c>
      <c r="P30" s="145">
        <f t="shared" si="25"/>
        <v>33492.997069258061</v>
      </c>
      <c r="Q30" s="167">
        <f t="shared" si="47"/>
        <v>46258</v>
      </c>
      <c r="R30" s="138">
        <v>58350</v>
      </c>
      <c r="S30" s="139">
        <v>57980</v>
      </c>
      <c r="T30" s="139">
        <v>0</v>
      </c>
      <c r="U30" s="139">
        <v>0</v>
      </c>
      <c r="V30" s="140">
        <v>13250</v>
      </c>
      <c r="W30" s="141">
        <v>0.75</v>
      </c>
      <c r="X30" s="140">
        <v>4550</v>
      </c>
      <c r="Y30" s="141">
        <v>0.8125</v>
      </c>
      <c r="Z30" s="140">
        <v>0</v>
      </c>
      <c r="AA30" s="141">
        <v>0</v>
      </c>
      <c r="AB30" s="167">
        <f t="shared" si="48"/>
        <v>46258</v>
      </c>
      <c r="AC30" s="75">
        <f t="shared" si="54"/>
        <v>1</v>
      </c>
      <c r="AD30" s="161">
        <f t="shared" si="55"/>
        <v>0</v>
      </c>
      <c r="AE30" s="162">
        <v>7820</v>
      </c>
      <c r="AF30" s="117">
        <f t="shared" si="49"/>
        <v>7820</v>
      </c>
      <c r="AG30" s="146">
        <v>0</v>
      </c>
      <c r="AH30" s="147">
        <v>3950</v>
      </c>
      <c r="AI30" s="148">
        <v>0.875</v>
      </c>
      <c r="AJ30" s="147">
        <v>0</v>
      </c>
      <c r="AK30" s="164">
        <v>0</v>
      </c>
      <c r="AL30" s="167">
        <f t="shared" si="50"/>
        <v>46258</v>
      </c>
      <c r="AM30" s="76">
        <f t="shared" si="56"/>
        <v>0.61018609206660135</v>
      </c>
      <c r="AN30" s="75">
        <f t="shared" si="57"/>
        <v>0.38981390793339865</v>
      </c>
      <c r="AO30" s="149">
        <v>10210</v>
      </c>
      <c r="AP30" s="116">
        <f t="shared" si="39"/>
        <v>6230</v>
      </c>
      <c r="AQ30" s="150">
        <v>3980</v>
      </c>
      <c r="AR30" s="151">
        <v>3590</v>
      </c>
      <c r="AS30" s="152">
        <v>0.75</v>
      </c>
      <c r="AT30" s="151">
        <v>190</v>
      </c>
      <c r="AU30" s="153">
        <v>0.875</v>
      </c>
      <c r="AV30" s="167">
        <f t="shared" si="51"/>
        <v>46258</v>
      </c>
      <c r="AW30" s="168">
        <f t="shared" si="58"/>
        <v>0.62481283422459888</v>
      </c>
      <c r="AX30" s="168">
        <f t="shared" si="59"/>
        <v>0.37518716577540107</v>
      </c>
      <c r="AY30" s="110">
        <f t="shared" si="52"/>
        <v>9350</v>
      </c>
      <c r="AZ30" s="111">
        <v>9350</v>
      </c>
      <c r="BA30" s="188">
        <f t="shared" si="42"/>
        <v>5842</v>
      </c>
      <c r="BB30" s="112">
        <f>2810+698</f>
        <v>3508</v>
      </c>
      <c r="BC30" s="111">
        <v>3970</v>
      </c>
      <c r="BD30" s="113">
        <v>0.72916666666666663</v>
      </c>
      <c r="BE30" s="114">
        <v>0</v>
      </c>
      <c r="BF30" s="113">
        <v>0</v>
      </c>
      <c r="BG30" s="114">
        <v>152</v>
      </c>
      <c r="BH30" s="113">
        <v>0.77083333333333337</v>
      </c>
      <c r="BI30" s="167">
        <f t="shared" si="53"/>
        <v>46258</v>
      </c>
      <c r="BJ30" s="169">
        <f t="shared" si="60"/>
        <v>0.61335113484646198</v>
      </c>
      <c r="BK30" s="75">
        <f t="shared" si="61"/>
        <v>0.38664886515353802</v>
      </c>
      <c r="BL30" s="78">
        <f t="shared" si="62"/>
        <v>37450</v>
      </c>
      <c r="BM30" s="154">
        <v>22970</v>
      </c>
      <c r="BN30" s="154">
        <v>14480</v>
      </c>
      <c r="BO30" s="155">
        <v>4010</v>
      </c>
      <c r="BP30" s="156">
        <v>0.72916666666666663</v>
      </c>
      <c r="BQ30" s="157">
        <v>2720</v>
      </c>
      <c r="BR30" s="156">
        <v>0.70833333333333337</v>
      </c>
    </row>
    <row r="31" spans="1:70" ht="15.75" thickBot="1" x14ac:dyDescent="0.3">
      <c r="A31" s="14"/>
      <c r="B31" s="167">
        <f t="shared" si="46"/>
        <v>46259</v>
      </c>
      <c r="C31" s="187"/>
      <c r="D31" s="86">
        <f t="shared" si="21"/>
        <v>57650</v>
      </c>
      <c r="E31" s="158">
        <f t="shared" si="0"/>
        <v>0.86950563746747611</v>
      </c>
      <c r="F31" s="86">
        <f t="shared" si="1"/>
        <v>50127</v>
      </c>
      <c r="G31" s="158">
        <f t="shared" si="2"/>
        <v>0.13049436253252386</v>
      </c>
      <c r="H31" s="145">
        <f t="shared" si="3"/>
        <v>7523</v>
      </c>
      <c r="I31" s="159">
        <f t="shared" si="4"/>
        <v>0.12021555893325964</v>
      </c>
      <c r="J31" s="158">
        <f t="shared" si="5"/>
        <v>0.15890562387729723</v>
      </c>
      <c r="K31" s="158">
        <f t="shared" si="6"/>
        <v>0.16859044118958844</v>
      </c>
      <c r="L31" s="160">
        <f t="shared" si="7"/>
        <v>0.57579107364930215</v>
      </c>
      <c r="M31" s="145">
        <f t="shared" si="22"/>
        <v>6882.3407489291139</v>
      </c>
      <c r="N31" s="145">
        <f t="shared" si="23"/>
        <v>9097.3469669752667</v>
      </c>
      <c r="O31" s="145">
        <f t="shared" si="24"/>
        <v>9651.8027581039387</v>
      </c>
      <c r="P31" s="145">
        <f t="shared" si="25"/>
        <v>32964.038966422551</v>
      </c>
      <c r="Q31" s="167">
        <f t="shared" si="47"/>
        <v>46259</v>
      </c>
      <c r="R31" s="138">
        <v>57650</v>
      </c>
      <c r="S31" s="139">
        <v>57250</v>
      </c>
      <c r="T31" s="139">
        <v>0</v>
      </c>
      <c r="U31" s="139">
        <v>0</v>
      </c>
      <c r="V31" s="140">
        <v>13235</v>
      </c>
      <c r="W31" s="141">
        <v>0.7104166666666667</v>
      </c>
      <c r="X31" s="140">
        <v>4520</v>
      </c>
      <c r="Y31" s="141">
        <v>0.77083333333333337</v>
      </c>
      <c r="Z31" s="140">
        <v>0</v>
      </c>
      <c r="AA31" s="141">
        <v>0</v>
      </c>
      <c r="AB31" s="167">
        <f t="shared" si="48"/>
        <v>46259</v>
      </c>
      <c r="AC31" s="75">
        <f t="shared" si="54"/>
        <v>1</v>
      </c>
      <c r="AD31" s="161">
        <f t="shared" si="55"/>
        <v>0</v>
      </c>
      <c r="AE31" s="162">
        <v>7830</v>
      </c>
      <c r="AF31" s="117">
        <f t="shared" si="49"/>
        <v>7830</v>
      </c>
      <c r="AG31" s="146">
        <v>0</v>
      </c>
      <c r="AH31" s="147">
        <v>3958</v>
      </c>
      <c r="AI31" s="148">
        <v>0.77083333333333337</v>
      </c>
      <c r="AJ31" s="147">
        <v>0</v>
      </c>
      <c r="AK31" s="164">
        <v>0</v>
      </c>
      <c r="AL31" s="167">
        <f t="shared" si="50"/>
        <v>46259</v>
      </c>
      <c r="AM31" s="76">
        <f t="shared" si="56"/>
        <v>0.61256038647342992</v>
      </c>
      <c r="AN31" s="75">
        <f t="shared" si="57"/>
        <v>0.38743961352657003</v>
      </c>
      <c r="AO31" s="149">
        <v>10350</v>
      </c>
      <c r="AP31" s="116">
        <f t="shared" si="39"/>
        <v>6340</v>
      </c>
      <c r="AQ31" s="150">
        <v>4010</v>
      </c>
      <c r="AR31" s="151">
        <v>3630</v>
      </c>
      <c r="AS31" s="152">
        <v>0.72916666666666663</v>
      </c>
      <c r="AT31" s="151">
        <v>191</v>
      </c>
      <c r="AU31" s="153">
        <v>0.75</v>
      </c>
      <c r="AV31" s="167">
        <f t="shared" si="51"/>
        <v>46259</v>
      </c>
      <c r="AW31" s="168">
        <f t="shared" si="58"/>
        <v>0.62825396825396829</v>
      </c>
      <c r="AX31" s="168">
        <f t="shared" si="59"/>
        <v>0.37174603174603177</v>
      </c>
      <c r="AY31" s="110">
        <f t="shared" si="52"/>
        <v>9450</v>
      </c>
      <c r="AZ31" s="111">
        <v>9450</v>
      </c>
      <c r="BA31" s="188">
        <f t="shared" si="42"/>
        <v>5937</v>
      </c>
      <c r="BB31" s="112">
        <f>2815+698</f>
        <v>3513</v>
      </c>
      <c r="BC31" s="111">
        <v>3980</v>
      </c>
      <c r="BD31" s="113">
        <v>0.75</v>
      </c>
      <c r="BE31" s="114">
        <v>0</v>
      </c>
      <c r="BF31" s="113">
        <v>0</v>
      </c>
      <c r="BG31" s="114">
        <v>155</v>
      </c>
      <c r="BH31" s="113">
        <v>0.73958333333333337</v>
      </c>
      <c r="BI31" s="167">
        <f t="shared" si="53"/>
        <v>46259</v>
      </c>
      <c r="BJ31" s="169">
        <f t="shared" si="60"/>
        <v>0.61283097352211824</v>
      </c>
      <c r="BK31" s="75">
        <f t="shared" si="61"/>
        <v>0.38716902647788176</v>
      </c>
      <c r="BL31" s="78">
        <f t="shared" si="62"/>
        <v>37503</v>
      </c>
      <c r="BM31" s="154">
        <v>22983</v>
      </c>
      <c r="BN31" s="154">
        <v>14520</v>
      </c>
      <c r="BO31" s="155">
        <v>4015</v>
      </c>
      <c r="BP31" s="156">
        <v>0.77083333333333337</v>
      </c>
      <c r="BQ31" s="157">
        <v>2730</v>
      </c>
      <c r="BR31" s="156">
        <v>0.75</v>
      </c>
    </row>
    <row r="32" spans="1:70" ht="15.75" thickBot="1" x14ac:dyDescent="0.3">
      <c r="A32" s="14"/>
      <c r="B32" s="167">
        <f t="shared" si="46"/>
        <v>46260</v>
      </c>
      <c r="C32" s="187"/>
      <c r="D32" s="86">
        <f t="shared" si="21"/>
        <v>56282</v>
      </c>
      <c r="E32" s="158">
        <f t="shared" si="0"/>
        <v>0.86761309121921748</v>
      </c>
      <c r="F32" s="86">
        <f t="shared" si="1"/>
        <v>48831</v>
      </c>
      <c r="G32" s="158">
        <f t="shared" si="2"/>
        <v>0.13238690878078249</v>
      </c>
      <c r="H32" s="145">
        <f t="shared" si="3"/>
        <v>7451</v>
      </c>
      <c r="I32" s="159">
        <f t="shared" si="4"/>
        <v>0.11634517118037813</v>
      </c>
      <c r="J32" s="158">
        <f t="shared" si="5"/>
        <v>0.15620209504343383</v>
      </c>
      <c r="K32" s="158">
        <f t="shared" si="6"/>
        <v>0.16898735366518217</v>
      </c>
      <c r="L32" s="160">
        <f t="shared" si="7"/>
        <v>0.58384964230965763</v>
      </c>
      <c r="M32" s="145">
        <f t="shared" si="22"/>
        <v>6463.2069494123652</v>
      </c>
      <c r="N32" s="145">
        <f t="shared" si="23"/>
        <v>8677.3387838528361</v>
      </c>
      <c r="O32" s="145">
        <f t="shared" si="24"/>
        <v>9387.5854708081988</v>
      </c>
      <c r="P32" s="145">
        <f t="shared" si="25"/>
        <v>32434.015329586102</v>
      </c>
      <c r="Q32" s="167">
        <f t="shared" si="47"/>
        <v>46260</v>
      </c>
      <c r="R32" s="138">
        <v>56282</v>
      </c>
      <c r="S32" s="139">
        <v>55552</v>
      </c>
      <c r="T32" s="139">
        <v>0</v>
      </c>
      <c r="U32" s="139">
        <v>0</v>
      </c>
      <c r="V32" s="140">
        <v>12102</v>
      </c>
      <c r="W32" s="141">
        <v>0.79166666666666663</v>
      </c>
      <c r="X32" s="140">
        <v>4679</v>
      </c>
      <c r="Y32" s="141">
        <v>0.80208333333333337</v>
      </c>
      <c r="Z32" s="140">
        <v>0</v>
      </c>
      <c r="AA32" s="141">
        <v>0</v>
      </c>
      <c r="AB32" s="167">
        <f t="shared" si="48"/>
        <v>46260</v>
      </c>
      <c r="AC32" s="75">
        <f t="shared" si="54"/>
        <v>1</v>
      </c>
      <c r="AD32" s="161">
        <f t="shared" si="55"/>
        <v>0</v>
      </c>
      <c r="AE32" s="162">
        <v>7286</v>
      </c>
      <c r="AF32" s="117">
        <f t="shared" si="49"/>
        <v>7286</v>
      </c>
      <c r="AG32" s="146">
        <v>0</v>
      </c>
      <c r="AH32" s="147">
        <v>3819</v>
      </c>
      <c r="AI32" s="148">
        <v>0.35347222222222224</v>
      </c>
      <c r="AJ32" s="147">
        <v>0</v>
      </c>
      <c r="AK32" s="164">
        <v>0</v>
      </c>
      <c r="AL32" s="167">
        <f t="shared" si="50"/>
        <v>46260</v>
      </c>
      <c r="AM32" s="76">
        <f t="shared" si="56"/>
        <v>0.59108566755264769</v>
      </c>
      <c r="AN32" s="75">
        <f t="shared" si="57"/>
        <v>0.40891433244735226</v>
      </c>
      <c r="AO32" s="149">
        <v>9782</v>
      </c>
      <c r="AP32" s="116">
        <f t="shared" si="39"/>
        <v>5782</v>
      </c>
      <c r="AQ32" s="150">
        <v>4000</v>
      </c>
      <c r="AR32" s="151">
        <v>3605</v>
      </c>
      <c r="AS32" s="152">
        <v>0.35208333333333336</v>
      </c>
      <c r="AT32" s="151"/>
      <c r="AU32" s="153"/>
      <c r="AV32" s="167">
        <f t="shared" si="51"/>
        <v>46260</v>
      </c>
      <c r="AW32" s="168">
        <f t="shared" si="58"/>
        <v>0.61625708884688091</v>
      </c>
      <c r="AX32" s="168">
        <f t="shared" si="59"/>
        <v>0.38374291115311909</v>
      </c>
      <c r="AY32" s="110">
        <f t="shared" si="52"/>
        <v>8993</v>
      </c>
      <c r="AZ32" s="111">
        <v>8993</v>
      </c>
      <c r="BA32" s="188">
        <f t="shared" si="42"/>
        <v>5542</v>
      </c>
      <c r="BB32" s="112">
        <f>2753+698</f>
        <v>3451</v>
      </c>
      <c r="BC32" s="111">
        <v>4169</v>
      </c>
      <c r="BD32" s="113">
        <v>0.39583333333333331</v>
      </c>
      <c r="BE32" s="114">
        <v>0</v>
      </c>
      <c r="BF32" s="113">
        <v>0</v>
      </c>
      <c r="BG32" s="114">
        <v>155</v>
      </c>
      <c r="BH32" s="113">
        <v>0.32291666666666669</v>
      </c>
      <c r="BI32" s="167">
        <f t="shared" si="53"/>
        <v>46260</v>
      </c>
      <c r="BJ32" s="169">
        <f t="shared" si="60"/>
        <v>0.60615923201050237</v>
      </c>
      <c r="BK32" s="75">
        <f t="shared" si="61"/>
        <v>0.39384076798949758</v>
      </c>
      <c r="BL32" s="78">
        <f t="shared" si="62"/>
        <v>36563</v>
      </c>
      <c r="BM32" s="154">
        <v>22163</v>
      </c>
      <c r="BN32" s="154">
        <v>14400</v>
      </c>
      <c r="BO32" s="155">
        <v>3925</v>
      </c>
      <c r="BP32" s="156">
        <v>0.69305555555555554</v>
      </c>
      <c r="BQ32" s="157">
        <v>2599</v>
      </c>
      <c r="BR32" s="156">
        <v>0.69305555555555554</v>
      </c>
    </row>
    <row r="33" spans="1:70" ht="15.75" thickBot="1" x14ac:dyDescent="0.3">
      <c r="A33" s="14"/>
      <c r="B33" s="167">
        <f t="shared" si="46"/>
        <v>46261</v>
      </c>
      <c r="C33" s="187"/>
      <c r="D33" s="86">
        <f t="shared" si="21"/>
        <v>57920</v>
      </c>
      <c r="E33" s="158">
        <f t="shared" si="0"/>
        <v>0.87203038674033151</v>
      </c>
      <c r="F33" s="86">
        <f t="shared" si="1"/>
        <v>50508</v>
      </c>
      <c r="G33" s="158">
        <f t="shared" si="2"/>
        <v>0.12796961325966852</v>
      </c>
      <c r="H33" s="145">
        <f t="shared" si="3"/>
        <v>7412</v>
      </c>
      <c r="I33" s="159">
        <f t="shared" si="4"/>
        <v>0.11633582565170758</v>
      </c>
      <c r="J33" s="158">
        <f t="shared" si="5"/>
        <v>0.15611447047302235</v>
      </c>
      <c r="K33" s="158">
        <f t="shared" si="6"/>
        <v>0.17106026542896513</v>
      </c>
      <c r="L33" s="160">
        <f t="shared" si="7"/>
        <v>0.58088635339105565</v>
      </c>
      <c r="M33" s="145">
        <f t="shared" si="22"/>
        <v>6651.0354883337741</v>
      </c>
      <c r="N33" s="145">
        <f t="shared" si="23"/>
        <v>8925.2203914131605</v>
      </c>
      <c r="O33" s="145">
        <f t="shared" si="24"/>
        <v>9779.6864348393647</v>
      </c>
      <c r="P33" s="145">
        <f t="shared" si="25"/>
        <v>33209.853709720046</v>
      </c>
      <c r="Q33" s="167">
        <f t="shared" si="47"/>
        <v>46261</v>
      </c>
      <c r="R33" s="138">
        <v>57920</v>
      </c>
      <c r="S33" s="139">
        <v>57171</v>
      </c>
      <c r="T33" s="139">
        <v>0</v>
      </c>
      <c r="U33" s="139">
        <v>0</v>
      </c>
      <c r="V33" s="140">
        <v>14855</v>
      </c>
      <c r="W33" s="141">
        <v>0.80208333333333337</v>
      </c>
      <c r="X33" s="140">
        <v>4977</v>
      </c>
      <c r="Y33" s="141">
        <v>0.80208333333333337</v>
      </c>
      <c r="Z33" s="140">
        <v>0</v>
      </c>
      <c r="AA33" s="141">
        <v>0</v>
      </c>
      <c r="AB33" s="167">
        <f t="shared" si="48"/>
        <v>46261</v>
      </c>
      <c r="AC33" s="75">
        <f t="shared" si="54"/>
        <v>1</v>
      </c>
      <c r="AD33" s="161">
        <f t="shared" si="55"/>
        <v>0</v>
      </c>
      <c r="AE33" s="162">
        <v>7484</v>
      </c>
      <c r="AF33" s="117">
        <f t="shared" si="49"/>
        <v>7484</v>
      </c>
      <c r="AG33" s="146">
        <v>0</v>
      </c>
      <c r="AH33" s="147">
        <v>4610</v>
      </c>
      <c r="AI33" s="148">
        <v>0.76388888888888884</v>
      </c>
      <c r="AJ33" s="147">
        <v>0</v>
      </c>
      <c r="AK33" s="164">
        <v>0</v>
      </c>
      <c r="AL33" s="167">
        <f t="shared" si="50"/>
        <v>46261</v>
      </c>
      <c r="AM33" s="76">
        <f t="shared" si="56"/>
        <v>0.60171263566663347</v>
      </c>
      <c r="AN33" s="75">
        <f t="shared" si="57"/>
        <v>0.39828736433336653</v>
      </c>
      <c r="AO33" s="149">
        <v>10043</v>
      </c>
      <c r="AP33" s="116">
        <f t="shared" si="39"/>
        <v>6043</v>
      </c>
      <c r="AQ33" s="150">
        <v>4000</v>
      </c>
      <c r="AR33" s="151">
        <v>3938</v>
      </c>
      <c r="AS33" s="152">
        <v>0.36875000000000002</v>
      </c>
      <c r="AT33" s="151"/>
      <c r="AU33" s="153"/>
      <c r="AV33" s="167">
        <f t="shared" si="51"/>
        <v>46261</v>
      </c>
      <c r="AW33" s="168">
        <f t="shared" si="58"/>
        <v>0.63836777954425017</v>
      </c>
      <c r="AX33" s="168">
        <f t="shared" si="59"/>
        <v>0.36163222045574989</v>
      </c>
      <c r="AY33" s="110">
        <f t="shared" si="52"/>
        <v>9435</v>
      </c>
      <c r="AZ33" s="111">
        <v>9435</v>
      </c>
      <c r="BA33" s="188">
        <f t="shared" si="42"/>
        <v>6023</v>
      </c>
      <c r="BB33" s="112">
        <f>2714+698</f>
        <v>3412</v>
      </c>
      <c r="BC33" s="111">
        <v>4225</v>
      </c>
      <c r="BD33" s="113">
        <v>0.70833333333333337</v>
      </c>
      <c r="BE33" s="114">
        <v>0</v>
      </c>
      <c r="BF33" s="113">
        <v>0</v>
      </c>
      <c r="BG33" s="114">
        <v>158</v>
      </c>
      <c r="BH33" s="113">
        <v>0.82291666666666663</v>
      </c>
      <c r="BI33" s="167">
        <f t="shared" si="53"/>
        <v>46261</v>
      </c>
      <c r="BJ33" s="169">
        <f t="shared" si="60"/>
        <v>0.60903422623029779</v>
      </c>
      <c r="BK33" s="75">
        <f t="shared" si="61"/>
        <v>0.39096577376970215</v>
      </c>
      <c r="BL33" s="78">
        <f t="shared" si="62"/>
        <v>37369</v>
      </c>
      <c r="BM33" s="154">
        <v>22759</v>
      </c>
      <c r="BN33" s="154">
        <v>14610</v>
      </c>
      <c r="BO33" s="155">
        <v>3851</v>
      </c>
      <c r="BP33" s="156">
        <v>0.29375000000000001</v>
      </c>
      <c r="BQ33" s="157">
        <v>2594</v>
      </c>
      <c r="BR33" s="156">
        <v>0.82847222222222228</v>
      </c>
    </row>
    <row r="34" spans="1:70" ht="15.75" thickBot="1" x14ac:dyDescent="0.3">
      <c r="A34" s="14"/>
      <c r="B34" s="55">
        <f t="shared" si="46"/>
        <v>46262</v>
      </c>
      <c r="C34" s="163"/>
      <c r="D34" s="86">
        <f t="shared" si="21"/>
        <v>0</v>
      </c>
      <c r="E34" s="158" t="e">
        <f t="shared" si="0"/>
        <v>#DIV/0!</v>
      </c>
      <c r="F34" s="86">
        <f t="shared" si="1"/>
        <v>0</v>
      </c>
      <c r="G34" s="158" t="e">
        <f t="shared" si="2"/>
        <v>#DIV/0!</v>
      </c>
      <c r="H34" s="145">
        <f t="shared" si="3"/>
        <v>0</v>
      </c>
      <c r="I34" s="159" t="e">
        <f t="shared" si="4"/>
        <v>#DIV/0!</v>
      </c>
      <c r="J34" s="158" t="e">
        <f t="shared" si="5"/>
        <v>#DIV/0!</v>
      </c>
      <c r="K34" s="158" t="e">
        <f t="shared" si="6"/>
        <v>#DIV/0!</v>
      </c>
      <c r="L34" s="160" t="e">
        <f t="shared" si="7"/>
        <v>#DIV/0!</v>
      </c>
      <c r="M34" s="145" t="e">
        <f t="shared" si="22"/>
        <v>#DIV/0!</v>
      </c>
      <c r="N34" s="145" t="e">
        <f t="shared" si="23"/>
        <v>#DIV/0!</v>
      </c>
      <c r="O34" s="145" t="e">
        <f t="shared" si="24"/>
        <v>#DIV/0!</v>
      </c>
      <c r="P34" s="145" t="e">
        <f t="shared" si="25"/>
        <v>#DIV/0!</v>
      </c>
      <c r="Q34" s="55">
        <f t="shared" si="47"/>
        <v>46262</v>
      </c>
      <c r="R34" s="138"/>
      <c r="S34" s="139"/>
      <c r="T34" s="139"/>
      <c r="U34" s="139"/>
      <c r="V34" s="140"/>
      <c r="W34" s="141"/>
      <c r="X34" s="140"/>
      <c r="Y34" s="141"/>
      <c r="Z34" s="140"/>
      <c r="AA34" s="141"/>
      <c r="AB34" s="55">
        <f t="shared" si="48"/>
        <v>46262</v>
      </c>
      <c r="AC34" s="75" t="e">
        <f t="shared" ref="AC34:AC36" si="64">+AF34/AE34</f>
        <v>#DIV/0!</v>
      </c>
      <c r="AD34" s="161" t="e">
        <f t="shared" ref="AD34:AD36" si="65">+AG34/AE34</f>
        <v>#DIV/0!</v>
      </c>
      <c r="AE34" s="162"/>
      <c r="AF34" s="117">
        <f t="shared" si="49"/>
        <v>0</v>
      </c>
      <c r="AG34" s="146"/>
      <c r="AH34" s="147"/>
      <c r="AI34" s="148"/>
      <c r="AJ34" s="147"/>
      <c r="AK34" s="164"/>
      <c r="AL34" s="55">
        <f t="shared" si="50"/>
        <v>46262</v>
      </c>
      <c r="AM34" s="76" t="e">
        <f t="shared" ref="AM34:AM36" si="66">+AP34/AO34</f>
        <v>#DIV/0!</v>
      </c>
      <c r="AN34" s="75">
        <v>0.05</v>
      </c>
      <c r="AO34" s="149"/>
      <c r="AP34" s="116">
        <f t="shared" si="39"/>
        <v>0</v>
      </c>
      <c r="AQ34" s="150"/>
      <c r="AR34" s="151"/>
      <c r="AS34" s="152"/>
      <c r="AT34" s="151"/>
      <c r="AU34" s="153"/>
      <c r="AV34" s="55">
        <f t="shared" si="51"/>
        <v>46262</v>
      </c>
      <c r="AW34" s="109" t="e">
        <f t="shared" ref="AW34:AW36" si="67">BA34/AZ34</f>
        <v>#DIV/0!</v>
      </c>
      <c r="AX34" s="109" t="e">
        <f t="shared" ref="AX34:AX36" si="68">BB34/AZ34</f>
        <v>#DIV/0!</v>
      </c>
      <c r="AY34" s="110">
        <f t="shared" si="52"/>
        <v>0</v>
      </c>
      <c r="AZ34" s="111"/>
      <c r="BA34" s="119">
        <f t="shared" si="42"/>
        <v>0</v>
      </c>
      <c r="BB34" s="112"/>
      <c r="BC34" s="111"/>
      <c r="BD34" s="113"/>
      <c r="BE34" s="114"/>
      <c r="BF34" s="113"/>
      <c r="BG34" s="114"/>
      <c r="BH34" s="113"/>
      <c r="BI34" s="55">
        <f t="shared" si="53"/>
        <v>46262</v>
      </c>
      <c r="BJ34" s="77" t="e">
        <f t="shared" ref="BJ34:BJ36" si="69">+BM34/BL34</f>
        <v>#DIV/0!</v>
      </c>
      <c r="BK34" s="75" t="e">
        <f t="shared" ref="BK34:BK36" si="70">+BN34/BL34</f>
        <v>#DIV/0!</v>
      </c>
      <c r="BL34" s="78">
        <f t="shared" ref="BL34:BL36" si="71">BM34+BN34</f>
        <v>0</v>
      </c>
      <c r="BM34" s="154"/>
      <c r="BN34" s="154"/>
      <c r="BO34" s="155"/>
      <c r="BP34" s="156"/>
      <c r="BQ34" s="157"/>
      <c r="BR34" s="156"/>
    </row>
    <row r="35" spans="1:70" ht="15.75" thickBot="1" x14ac:dyDescent="0.3">
      <c r="A35" s="14"/>
      <c r="B35" s="55">
        <f t="shared" si="46"/>
        <v>46263</v>
      </c>
      <c r="C35" s="163"/>
      <c r="D35" s="86">
        <f t="shared" si="21"/>
        <v>0</v>
      </c>
      <c r="E35" s="158" t="e">
        <f t="shared" si="0"/>
        <v>#DIV/0!</v>
      </c>
      <c r="F35" s="86">
        <f t="shared" si="1"/>
        <v>0</v>
      </c>
      <c r="G35" s="158" t="e">
        <f t="shared" si="2"/>
        <v>#DIV/0!</v>
      </c>
      <c r="H35" s="145">
        <f t="shared" si="3"/>
        <v>0</v>
      </c>
      <c r="I35" s="159" t="e">
        <f t="shared" si="4"/>
        <v>#DIV/0!</v>
      </c>
      <c r="J35" s="158" t="e">
        <f t="shared" si="5"/>
        <v>#DIV/0!</v>
      </c>
      <c r="K35" s="158" t="e">
        <f t="shared" si="6"/>
        <v>#DIV/0!</v>
      </c>
      <c r="L35" s="160" t="e">
        <f t="shared" si="7"/>
        <v>#DIV/0!</v>
      </c>
      <c r="M35" s="145" t="e">
        <f t="shared" si="22"/>
        <v>#DIV/0!</v>
      </c>
      <c r="N35" s="145" t="e">
        <f t="shared" si="23"/>
        <v>#DIV/0!</v>
      </c>
      <c r="O35" s="145" t="e">
        <f t="shared" si="24"/>
        <v>#DIV/0!</v>
      </c>
      <c r="P35" s="145" t="e">
        <f t="shared" si="25"/>
        <v>#DIV/0!</v>
      </c>
      <c r="Q35" s="55">
        <f t="shared" si="47"/>
        <v>46263</v>
      </c>
      <c r="R35" s="138"/>
      <c r="S35" s="139"/>
      <c r="T35" s="139"/>
      <c r="U35" s="139"/>
      <c r="V35" s="140"/>
      <c r="W35" s="141"/>
      <c r="X35" s="140"/>
      <c r="Y35" s="141"/>
      <c r="Z35" s="140"/>
      <c r="AA35" s="141"/>
      <c r="AB35" s="55">
        <f t="shared" si="48"/>
        <v>46263</v>
      </c>
      <c r="AC35" s="75" t="e">
        <f t="shared" ref="AC35" si="72">+AF35/AE35</f>
        <v>#DIV/0!</v>
      </c>
      <c r="AD35" s="161" t="e">
        <f t="shared" ref="AD35" si="73">+AG35/AE35</f>
        <v>#DIV/0!</v>
      </c>
      <c r="AE35" s="162"/>
      <c r="AF35" s="117">
        <f t="shared" ref="AF35" si="74">AE35-AG35</f>
        <v>0</v>
      </c>
      <c r="AG35" s="146"/>
      <c r="AH35" s="147"/>
      <c r="AI35" s="148"/>
      <c r="AJ35" s="147"/>
      <c r="AK35" s="164"/>
      <c r="AL35" s="55">
        <f t="shared" si="50"/>
        <v>46263</v>
      </c>
      <c r="AM35" s="76" t="e">
        <f t="shared" ref="AM35" si="75">+AP35/AO35</f>
        <v>#DIV/0!</v>
      </c>
      <c r="AN35" s="75" t="e">
        <f t="shared" ref="AN35" si="76">+AQ35/AO35</f>
        <v>#DIV/0!</v>
      </c>
      <c r="AO35" s="149"/>
      <c r="AP35" s="116">
        <f t="shared" ref="AP35" si="77">AO35-AQ35</f>
        <v>0</v>
      </c>
      <c r="AQ35" s="150"/>
      <c r="AR35" s="151"/>
      <c r="AS35" s="152"/>
      <c r="AT35" s="151"/>
      <c r="AU35" s="153"/>
      <c r="AV35" s="55">
        <f t="shared" si="51"/>
        <v>46263</v>
      </c>
      <c r="AW35" s="109" t="e">
        <f t="shared" ref="AW35" si="78">BA35/AZ35</f>
        <v>#DIV/0!</v>
      </c>
      <c r="AX35" s="109" t="e">
        <f t="shared" ref="AX35" si="79">BB35/AZ35</f>
        <v>#DIV/0!</v>
      </c>
      <c r="AY35" s="110">
        <f t="shared" ref="AY35" si="80">BA35+BB35</f>
        <v>0</v>
      </c>
      <c r="AZ35" s="111"/>
      <c r="BA35" s="119">
        <f t="shared" ref="BA35" si="81">AZ35-BB35</f>
        <v>0</v>
      </c>
      <c r="BB35" s="112"/>
      <c r="BC35" s="111"/>
      <c r="BD35" s="113"/>
      <c r="BE35" s="114"/>
      <c r="BF35" s="113"/>
      <c r="BG35" s="114"/>
      <c r="BH35" s="113"/>
      <c r="BI35" s="55">
        <f t="shared" si="53"/>
        <v>46263</v>
      </c>
      <c r="BJ35" s="77" t="e">
        <f t="shared" ref="BJ35" si="82">+BM35/BL35</f>
        <v>#DIV/0!</v>
      </c>
      <c r="BK35" s="75" t="e">
        <f t="shared" ref="BK35" si="83">+BN35/BL35</f>
        <v>#DIV/0!</v>
      </c>
      <c r="BL35" s="78">
        <f t="shared" ref="BL35" si="84">BM35+BN35</f>
        <v>0</v>
      </c>
      <c r="BM35" s="154"/>
      <c r="BN35" s="154"/>
      <c r="BO35" s="155"/>
      <c r="BP35" s="156"/>
      <c r="BQ35" s="157"/>
      <c r="BR35" s="156"/>
    </row>
    <row r="36" spans="1:70" ht="15.75" thickBot="1" x14ac:dyDescent="0.3">
      <c r="A36" s="14"/>
      <c r="B36" s="55">
        <f t="shared" si="46"/>
        <v>46264</v>
      </c>
      <c r="C36" s="163"/>
      <c r="D36" s="86">
        <f t="shared" si="21"/>
        <v>0</v>
      </c>
      <c r="E36" s="158" t="e">
        <f t="shared" ref="E36:E37" si="85">F36/D36</f>
        <v>#DIV/0!</v>
      </c>
      <c r="F36" s="86">
        <f t="shared" si="1"/>
        <v>0</v>
      </c>
      <c r="G36" s="158" t="e">
        <f t="shared" si="2"/>
        <v>#DIV/0!</v>
      </c>
      <c r="H36" s="145">
        <f t="shared" si="3"/>
        <v>0</v>
      </c>
      <c r="I36" s="159" t="e">
        <f t="shared" si="4"/>
        <v>#DIV/0!</v>
      </c>
      <c r="J36" s="158" t="e">
        <f t="shared" si="5"/>
        <v>#DIV/0!</v>
      </c>
      <c r="K36" s="158" t="e">
        <f t="shared" si="6"/>
        <v>#DIV/0!</v>
      </c>
      <c r="L36" s="160" t="e">
        <f t="shared" si="7"/>
        <v>#DIV/0!</v>
      </c>
      <c r="M36" s="145" t="e">
        <f>(S36+R36)*I36</f>
        <v>#DIV/0!</v>
      </c>
      <c r="N36" s="145" t="e">
        <f t="shared" si="23"/>
        <v>#DIV/0!</v>
      </c>
      <c r="O36" s="145" t="e">
        <f t="shared" si="24"/>
        <v>#DIV/0!</v>
      </c>
      <c r="P36" s="145" t="e">
        <f t="shared" si="25"/>
        <v>#DIV/0!</v>
      </c>
      <c r="Q36" s="55">
        <f t="shared" si="47"/>
        <v>46264</v>
      </c>
      <c r="R36" s="139"/>
      <c r="S36" s="139"/>
      <c r="T36" s="139"/>
      <c r="U36" s="139"/>
      <c r="V36" s="140"/>
      <c r="W36" s="141"/>
      <c r="X36" s="140"/>
      <c r="Y36" s="141"/>
      <c r="Z36" s="140"/>
      <c r="AA36" s="141"/>
      <c r="AB36" s="55">
        <f t="shared" si="48"/>
        <v>46264</v>
      </c>
      <c r="AC36" s="75" t="e">
        <f t="shared" si="64"/>
        <v>#DIV/0!</v>
      </c>
      <c r="AD36" s="161" t="e">
        <f t="shared" si="65"/>
        <v>#DIV/0!</v>
      </c>
      <c r="AE36" s="162"/>
      <c r="AF36" s="117">
        <f t="shared" si="49"/>
        <v>0</v>
      </c>
      <c r="AG36" s="146"/>
      <c r="AH36" s="147"/>
      <c r="AI36" s="148"/>
      <c r="AJ36" s="147"/>
      <c r="AK36" s="164"/>
      <c r="AL36" s="55">
        <f t="shared" si="50"/>
        <v>46264</v>
      </c>
      <c r="AM36" s="76" t="e">
        <f t="shared" si="66"/>
        <v>#DIV/0!</v>
      </c>
      <c r="AN36" s="75" t="e">
        <f t="shared" ref="AN36" si="86">+AQ36/AO36</f>
        <v>#DIV/0!</v>
      </c>
      <c r="AO36" s="149"/>
      <c r="AP36" s="116">
        <f t="shared" si="39"/>
        <v>0</v>
      </c>
      <c r="AQ36" s="150"/>
      <c r="AR36" s="151"/>
      <c r="AS36" s="152"/>
      <c r="AT36" s="151"/>
      <c r="AU36" s="153"/>
      <c r="AV36" s="55">
        <f t="shared" si="51"/>
        <v>46264</v>
      </c>
      <c r="AW36" s="109" t="e">
        <f t="shared" si="67"/>
        <v>#DIV/0!</v>
      </c>
      <c r="AX36" s="109" t="e">
        <f t="shared" si="68"/>
        <v>#DIV/0!</v>
      </c>
      <c r="AY36" s="110">
        <f t="shared" si="52"/>
        <v>0</v>
      </c>
      <c r="AZ36" s="111"/>
      <c r="BA36" s="119">
        <f t="shared" si="42"/>
        <v>0</v>
      </c>
      <c r="BB36" s="112"/>
      <c r="BC36" s="111"/>
      <c r="BD36" s="113"/>
      <c r="BE36" s="114"/>
      <c r="BF36" s="113"/>
      <c r="BG36" s="114"/>
      <c r="BH36" s="113"/>
      <c r="BI36" s="55">
        <f t="shared" si="53"/>
        <v>46264</v>
      </c>
      <c r="BJ36" s="77" t="e">
        <f t="shared" si="69"/>
        <v>#DIV/0!</v>
      </c>
      <c r="BK36" s="75" t="e">
        <f t="shared" si="70"/>
        <v>#DIV/0!</v>
      </c>
      <c r="BL36" s="78">
        <f t="shared" si="71"/>
        <v>0</v>
      </c>
      <c r="BM36" s="154"/>
      <c r="BN36" s="154"/>
      <c r="BO36" s="155"/>
      <c r="BP36" s="156"/>
      <c r="BQ36" s="157"/>
      <c r="BR36" s="156"/>
    </row>
    <row r="37" spans="1:70" ht="15.75" thickBot="1" x14ac:dyDescent="0.3">
      <c r="B37" s="55">
        <f t="shared" si="46"/>
        <v>46265</v>
      </c>
      <c r="D37" s="86">
        <f t="shared" si="21"/>
        <v>0</v>
      </c>
      <c r="E37" s="158" t="e">
        <f t="shared" si="85"/>
        <v>#DIV/0!</v>
      </c>
      <c r="F37" s="86">
        <f t="shared" si="1"/>
        <v>0</v>
      </c>
      <c r="G37" s="158" t="e">
        <f t="shared" si="2"/>
        <v>#DIV/0!</v>
      </c>
      <c r="H37" s="145">
        <f t="shared" si="3"/>
        <v>0</v>
      </c>
      <c r="I37" s="159" t="e">
        <f t="shared" si="4"/>
        <v>#DIV/0!</v>
      </c>
      <c r="J37" s="158" t="e">
        <f t="shared" si="5"/>
        <v>#DIV/0!</v>
      </c>
      <c r="K37" s="158" t="e">
        <f t="shared" si="6"/>
        <v>#DIV/0!</v>
      </c>
      <c r="L37" s="160" t="e">
        <f t="shared" si="7"/>
        <v>#DIV/0!</v>
      </c>
      <c r="M37" s="145" t="e">
        <f t="shared" si="22"/>
        <v>#DIV/0!</v>
      </c>
      <c r="N37" s="145" t="e">
        <f t="shared" si="23"/>
        <v>#DIV/0!</v>
      </c>
      <c r="O37" s="145" t="e">
        <f t="shared" si="24"/>
        <v>#DIV/0!</v>
      </c>
      <c r="P37" s="145" t="e">
        <f t="shared" si="25"/>
        <v>#DIV/0!</v>
      </c>
      <c r="Q37" s="55">
        <f t="shared" si="47"/>
        <v>46265</v>
      </c>
      <c r="R37" s="138"/>
      <c r="S37" s="139"/>
      <c r="T37" s="139"/>
      <c r="U37" s="139"/>
      <c r="V37" s="140"/>
      <c r="W37" s="141"/>
      <c r="X37" s="140"/>
      <c r="Y37" s="141"/>
      <c r="Z37" s="140"/>
      <c r="AA37" s="141"/>
      <c r="AB37" s="55">
        <f t="shared" si="48"/>
        <v>46265</v>
      </c>
      <c r="AC37" s="75" t="e">
        <f t="shared" ref="AC37" si="87">+AF37/AE37</f>
        <v>#DIV/0!</v>
      </c>
      <c r="AD37" s="161" t="e">
        <f t="shared" ref="AD37" si="88">+AG37/AE37</f>
        <v>#DIV/0!</v>
      </c>
      <c r="AE37" s="162"/>
      <c r="AF37" s="117">
        <f t="shared" si="49"/>
        <v>0</v>
      </c>
      <c r="AG37" s="146"/>
      <c r="AH37" s="147"/>
      <c r="AI37" s="148"/>
      <c r="AJ37" s="147"/>
      <c r="AK37" s="164"/>
      <c r="AL37" s="55">
        <f t="shared" si="50"/>
        <v>46265</v>
      </c>
      <c r="AM37" s="76" t="e">
        <f t="shared" ref="AM37" si="89">+AP37/AO37</f>
        <v>#DIV/0!</v>
      </c>
      <c r="AN37" s="75" t="e">
        <f t="shared" ref="AN37" si="90">+AQ37/AO37</f>
        <v>#DIV/0!</v>
      </c>
      <c r="AO37" s="149"/>
      <c r="AP37" s="116">
        <f t="shared" ref="AP37" si="91">AO37-AQ37</f>
        <v>0</v>
      </c>
      <c r="AQ37" s="150"/>
      <c r="AR37" s="151"/>
      <c r="AS37" s="152"/>
      <c r="AT37" s="151"/>
      <c r="AU37" s="153"/>
      <c r="AV37" s="55">
        <f t="shared" si="51"/>
        <v>46265</v>
      </c>
      <c r="AW37" s="109" t="e">
        <f t="shared" ref="AW37" si="92">BA37/AZ37</f>
        <v>#DIV/0!</v>
      </c>
      <c r="AX37" s="109" t="e">
        <f t="shared" ref="AX37" si="93">BB37/AZ37</f>
        <v>#DIV/0!</v>
      </c>
      <c r="AY37" s="110">
        <f t="shared" si="52"/>
        <v>0</v>
      </c>
      <c r="AZ37" s="111"/>
      <c r="BA37" s="119">
        <f t="shared" si="42"/>
        <v>0</v>
      </c>
      <c r="BB37" s="112"/>
      <c r="BC37" s="111"/>
      <c r="BD37" s="113"/>
      <c r="BE37" s="114"/>
      <c r="BF37" s="113"/>
      <c r="BG37" s="114"/>
      <c r="BH37" s="113"/>
      <c r="BI37" s="55">
        <f t="shared" si="53"/>
        <v>46265</v>
      </c>
      <c r="BJ37" s="77" t="e">
        <f t="shared" ref="BJ37" si="94">+BM37/BL37</f>
        <v>#DIV/0!</v>
      </c>
      <c r="BK37" s="75" t="e">
        <f t="shared" ref="BK37" si="95">+BN37/BL37</f>
        <v>#DIV/0!</v>
      </c>
      <c r="BL37" s="78">
        <f t="shared" ref="BL37" si="96">BM37+BN37</f>
        <v>0</v>
      </c>
      <c r="BM37" s="154"/>
      <c r="BN37" s="154"/>
      <c r="BO37" s="155"/>
      <c r="BP37" s="156"/>
      <c r="BQ37" s="157"/>
      <c r="BR37" s="156"/>
    </row>
    <row r="38" spans="1:70" x14ac:dyDescent="0.25">
      <c r="S38" s="175"/>
      <c r="T38" s="174"/>
    </row>
  </sheetData>
  <mergeCells count="32"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view="pageBreakPreview" topLeftCell="A19" zoomScale="118" zoomScaleNormal="100" zoomScaleSheetLayoutView="118" workbookViewId="0">
      <selection activeCell="F43" sqref="F43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13.8554687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26" t="s">
        <v>0</v>
      </c>
      <c r="D2" s="229" t="s">
        <v>37</v>
      </c>
      <c r="E2" s="230"/>
      <c r="F2" s="230"/>
      <c r="G2" s="230"/>
      <c r="H2" s="231"/>
      <c r="J2" s="229" t="s">
        <v>38</v>
      </c>
      <c r="K2" s="230"/>
      <c r="L2" s="231"/>
      <c r="N2" s="229" t="s">
        <v>39</v>
      </c>
      <c r="O2" s="230"/>
      <c r="P2" s="230"/>
      <c r="Q2" s="230"/>
      <c r="R2" s="230"/>
      <c r="S2" s="230"/>
      <c r="T2" s="231"/>
      <c r="V2" s="235" t="s">
        <v>40</v>
      </c>
      <c r="W2" s="236"/>
      <c r="X2" s="237"/>
    </row>
    <row r="3" spans="2:27" ht="15.75" thickBot="1" x14ac:dyDescent="0.3">
      <c r="B3" s="227"/>
      <c r="D3" s="232"/>
      <c r="E3" s="233"/>
      <c r="F3" s="233"/>
      <c r="G3" s="233"/>
      <c r="H3" s="234"/>
      <c r="J3" s="232"/>
      <c r="K3" s="233"/>
      <c r="L3" s="234"/>
      <c r="N3" s="232"/>
      <c r="O3" s="233"/>
      <c r="P3" s="233"/>
      <c r="Q3" s="233"/>
      <c r="R3" s="233"/>
      <c r="S3" s="233"/>
      <c r="T3" s="234"/>
      <c r="V3" s="238"/>
      <c r="W3" s="239"/>
      <c r="X3" s="240"/>
    </row>
    <row r="4" spans="2:27" ht="23.25" customHeight="1" x14ac:dyDescent="0.25">
      <c r="B4" s="227"/>
      <c r="D4" s="241" t="s">
        <v>41</v>
      </c>
      <c r="E4" s="242"/>
      <c r="F4" s="241" t="s">
        <v>42</v>
      </c>
      <c r="G4" s="243"/>
      <c r="H4" s="244"/>
      <c r="J4" s="241" t="s">
        <v>41</v>
      </c>
      <c r="K4" s="242"/>
      <c r="L4" s="16" t="s">
        <v>42</v>
      </c>
      <c r="N4" s="224" t="s">
        <v>41</v>
      </c>
      <c r="O4" s="245"/>
      <c r="P4" s="246"/>
      <c r="Q4" s="247"/>
      <c r="R4" s="241" t="s">
        <v>42</v>
      </c>
      <c r="S4" s="248"/>
      <c r="T4" s="244"/>
      <c r="V4" s="224" t="s">
        <v>41</v>
      </c>
      <c r="W4" s="225"/>
      <c r="X4" s="16" t="s">
        <v>42</v>
      </c>
    </row>
    <row r="5" spans="2:27" ht="23.25" thickBot="1" x14ac:dyDescent="0.3">
      <c r="B5" s="228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6"/>
      <c r="AA8" s="38" t="s">
        <v>54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89">
        <v>46234</v>
      </c>
      <c r="C14" s="13"/>
      <c r="D14" s="184">
        <v>110</v>
      </c>
      <c r="E14" s="183">
        <v>0.55208333333333337</v>
      </c>
      <c r="F14" s="182">
        <v>1251</v>
      </c>
      <c r="G14" s="92">
        <f t="shared" ref="G14" si="0">F14-H14</f>
        <v>778</v>
      </c>
      <c r="H14" s="182">
        <v>473</v>
      </c>
      <c r="I14" s="89">
        <f t="shared" ref="I14:I45" si="1">I13+1</f>
        <v>1</v>
      </c>
      <c r="J14" s="184">
        <v>32</v>
      </c>
      <c r="K14" s="183">
        <v>0.57291666666666663</v>
      </c>
      <c r="L14" s="182">
        <v>620</v>
      </c>
      <c r="M14" s="89">
        <f t="shared" ref="M14" si="2">B14</f>
        <v>46234</v>
      </c>
      <c r="N14" s="184">
        <v>26</v>
      </c>
      <c r="O14" s="183">
        <v>0.66666666666666663</v>
      </c>
      <c r="P14" s="184">
        <v>10</v>
      </c>
      <c r="Q14" s="183">
        <v>0.42708333333333331</v>
      </c>
      <c r="R14" s="185">
        <f t="shared" ref="R14" si="3">S14+T14</f>
        <v>548</v>
      </c>
      <c r="S14" s="182">
        <v>370</v>
      </c>
      <c r="T14" s="182">
        <v>178</v>
      </c>
      <c r="U14" s="89">
        <v>46234</v>
      </c>
      <c r="V14" s="184">
        <v>29</v>
      </c>
      <c r="W14" s="183">
        <v>0.51041666666666663</v>
      </c>
      <c r="X14" s="182">
        <v>556</v>
      </c>
    </row>
    <row r="15" spans="2:27" s="52" customFormat="1" ht="15.75" thickBot="1" x14ac:dyDescent="0.3">
      <c r="B15" s="89">
        <v>46235</v>
      </c>
      <c r="C15" s="13"/>
      <c r="D15" s="184">
        <v>85</v>
      </c>
      <c r="E15" s="183">
        <v>0.40625</v>
      </c>
      <c r="F15" s="182">
        <v>887</v>
      </c>
      <c r="G15" s="92">
        <f t="shared" ref="G15" si="4">F15-H15</f>
        <v>423</v>
      </c>
      <c r="H15" s="182">
        <v>464</v>
      </c>
      <c r="I15" s="89">
        <v>46204</v>
      </c>
      <c r="J15" s="184">
        <v>32</v>
      </c>
      <c r="K15" s="183">
        <v>0.9375</v>
      </c>
      <c r="L15" s="182">
        <v>601</v>
      </c>
      <c r="M15" s="89">
        <v>46204</v>
      </c>
      <c r="N15" s="184">
        <v>21</v>
      </c>
      <c r="O15" s="183">
        <v>0.86458333333333337</v>
      </c>
      <c r="P15" s="184">
        <v>8</v>
      </c>
      <c r="Q15" s="183">
        <v>0.9375</v>
      </c>
      <c r="R15" s="185">
        <f t="shared" ref="R15" si="5">S15+T15</f>
        <v>535</v>
      </c>
      <c r="S15" s="182">
        <v>365</v>
      </c>
      <c r="T15" s="182">
        <v>170</v>
      </c>
      <c r="U15" s="89">
        <v>46235</v>
      </c>
      <c r="V15" s="184">
        <v>28</v>
      </c>
      <c r="W15" s="183">
        <v>0.32291666666666669</v>
      </c>
      <c r="X15" s="182">
        <v>491</v>
      </c>
    </row>
    <row r="16" spans="2:27" s="52" customFormat="1" ht="15.75" thickBot="1" x14ac:dyDescent="0.3">
      <c r="B16" s="89">
        <v>46236</v>
      </c>
      <c r="C16" s="13"/>
      <c r="D16" s="50">
        <v>80</v>
      </c>
      <c r="E16" s="11">
        <v>0.77083333333333337</v>
      </c>
      <c r="F16" s="10">
        <v>796</v>
      </c>
      <c r="G16" s="92">
        <f t="shared" ref="G16:G45" si="6">F16-H16</f>
        <v>392</v>
      </c>
      <c r="H16" s="10">
        <v>404</v>
      </c>
      <c r="I16" s="89">
        <f t="shared" si="1"/>
        <v>46205</v>
      </c>
      <c r="J16" s="50">
        <v>22</v>
      </c>
      <c r="K16" s="54">
        <v>4.1666666666666664E-2</v>
      </c>
      <c r="L16" s="53">
        <v>591</v>
      </c>
      <c r="M16" s="89">
        <f t="shared" ref="M16:M44" si="7">B16</f>
        <v>46236</v>
      </c>
      <c r="N16" s="50">
        <v>23</v>
      </c>
      <c r="O16" s="11">
        <v>0.47916666666666669</v>
      </c>
      <c r="P16" s="50">
        <v>8</v>
      </c>
      <c r="Q16" s="11">
        <v>0.9375</v>
      </c>
      <c r="R16" s="91">
        <f t="shared" ref="R16:R20" si="8">S16+T16</f>
        <v>558</v>
      </c>
      <c r="S16" s="10">
        <v>389</v>
      </c>
      <c r="T16" s="10">
        <v>169</v>
      </c>
      <c r="U16" s="89">
        <v>46236</v>
      </c>
      <c r="V16" s="50">
        <v>26</v>
      </c>
      <c r="W16" s="11">
        <v>0.6875</v>
      </c>
      <c r="X16" s="10">
        <v>530</v>
      </c>
    </row>
    <row r="17" spans="2:24" ht="15.75" thickBot="1" x14ac:dyDescent="0.3">
      <c r="B17" s="89">
        <v>46237</v>
      </c>
      <c r="D17" s="50">
        <v>99</v>
      </c>
      <c r="E17" s="54">
        <v>0.55208333333333337</v>
      </c>
      <c r="F17" s="53">
        <v>1292</v>
      </c>
      <c r="G17" s="92">
        <f t="shared" si="6"/>
        <v>858</v>
      </c>
      <c r="H17" s="53">
        <v>434</v>
      </c>
      <c r="I17" s="89">
        <f t="shared" si="1"/>
        <v>46206</v>
      </c>
      <c r="J17" s="50">
        <v>32</v>
      </c>
      <c r="K17" s="54">
        <v>0.82291666666666663</v>
      </c>
      <c r="L17" s="53">
        <v>619</v>
      </c>
      <c r="M17" s="89">
        <f t="shared" si="7"/>
        <v>46237</v>
      </c>
      <c r="N17" s="50">
        <v>23</v>
      </c>
      <c r="O17" s="54">
        <v>0.48958333333333331</v>
      </c>
      <c r="P17" s="50">
        <v>9.8000000000000007</v>
      </c>
      <c r="Q17" s="54">
        <v>0.48958333333333331</v>
      </c>
      <c r="R17" s="91">
        <f t="shared" si="8"/>
        <v>579</v>
      </c>
      <c r="S17" s="53">
        <v>402</v>
      </c>
      <c r="T17" s="53">
        <v>177</v>
      </c>
      <c r="U17" s="89">
        <v>46237</v>
      </c>
      <c r="V17" s="50">
        <v>31</v>
      </c>
      <c r="W17" s="54">
        <v>0.27083333333333331</v>
      </c>
      <c r="X17" s="53">
        <v>560</v>
      </c>
    </row>
    <row r="18" spans="2:24" ht="15.75" thickBot="1" x14ac:dyDescent="0.3">
      <c r="B18" s="89">
        <v>46238</v>
      </c>
      <c r="D18" s="50">
        <v>87</v>
      </c>
      <c r="E18" s="54">
        <v>0.46875</v>
      </c>
      <c r="F18" s="53">
        <v>1293</v>
      </c>
      <c r="G18" s="92">
        <f t="shared" si="6"/>
        <v>847</v>
      </c>
      <c r="H18" s="53">
        <v>446</v>
      </c>
      <c r="I18" s="89">
        <f t="shared" si="1"/>
        <v>46207</v>
      </c>
      <c r="J18" s="50">
        <v>39</v>
      </c>
      <c r="K18" s="54">
        <v>0.35416666666666669</v>
      </c>
      <c r="L18" s="53">
        <v>617</v>
      </c>
      <c r="M18" s="89">
        <f t="shared" si="7"/>
        <v>46238</v>
      </c>
      <c r="N18" s="50">
        <v>23</v>
      </c>
      <c r="O18" s="54">
        <v>0.4375</v>
      </c>
      <c r="P18" s="50">
        <v>10</v>
      </c>
      <c r="Q18" s="54">
        <v>0.5625</v>
      </c>
      <c r="R18" s="51">
        <f t="shared" si="8"/>
        <v>582</v>
      </c>
      <c r="S18" s="53">
        <v>407</v>
      </c>
      <c r="T18" s="53">
        <v>175</v>
      </c>
      <c r="U18" s="89">
        <v>46238</v>
      </c>
      <c r="V18" s="50">
        <v>29</v>
      </c>
      <c r="W18" s="54">
        <v>0.10416666666666667</v>
      </c>
      <c r="X18" s="53">
        <v>505</v>
      </c>
    </row>
    <row r="19" spans="2:24" ht="15.75" thickBot="1" x14ac:dyDescent="0.3">
      <c r="B19" s="89">
        <v>46239</v>
      </c>
      <c r="D19" s="90">
        <v>88</v>
      </c>
      <c r="E19" s="88">
        <v>0.44791666666666669</v>
      </c>
      <c r="F19" s="87">
        <v>1224</v>
      </c>
      <c r="G19" s="92">
        <f t="shared" si="6"/>
        <v>772</v>
      </c>
      <c r="H19" s="87">
        <v>452</v>
      </c>
      <c r="I19" s="89">
        <f t="shared" si="1"/>
        <v>46208</v>
      </c>
      <c r="J19" s="90">
        <v>31</v>
      </c>
      <c r="K19" s="88">
        <v>0.35416666666666669</v>
      </c>
      <c r="L19" s="87">
        <v>600</v>
      </c>
      <c r="M19" s="89">
        <f t="shared" si="7"/>
        <v>46239</v>
      </c>
      <c r="N19" s="90">
        <v>24</v>
      </c>
      <c r="O19" s="88">
        <v>0.83333333333333337</v>
      </c>
      <c r="P19" s="90">
        <v>10</v>
      </c>
      <c r="Q19" s="88">
        <v>0.35416666666666669</v>
      </c>
      <c r="R19" s="91">
        <f t="shared" si="8"/>
        <v>580</v>
      </c>
      <c r="S19" s="87">
        <v>403</v>
      </c>
      <c r="T19" s="87">
        <v>177</v>
      </c>
      <c r="U19" s="89">
        <v>46239</v>
      </c>
      <c r="V19" s="90">
        <v>27</v>
      </c>
      <c r="W19" s="88">
        <v>0.20833333333333334</v>
      </c>
      <c r="X19" s="87">
        <v>508</v>
      </c>
    </row>
    <row r="20" spans="2:24" ht="15.75" thickBot="1" x14ac:dyDescent="0.3">
      <c r="B20" s="89">
        <v>46240</v>
      </c>
      <c r="D20" s="170">
        <v>90</v>
      </c>
      <c r="E20" s="171">
        <v>0.45833333333333331</v>
      </c>
      <c r="F20" s="172">
        <v>1250</v>
      </c>
      <c r="G20" s="92">
        <f t="shared" si="6"/>
        <v>800</v>
      </c>
      <c r="H20" s="172">
        <v>450</v>
      </c>
      <c r="I20" s="89">
        <f t="shared" si="1"/>
        <v>46209</v>
      </c>
      <c r="J20" s="170">
        <v>32</v>
      </c>
      <c r="K20" s="171">
        <v>0.47916666666666669</v>
      </c>
      <c r="L20" s="172">
        <v>601</v>
      </c>
      <c r="M20" s="89">
        <f t="shared" si="7"/>
        <v>46240</v>
      </c>
      <c r="N20" s="170">
        <v>24</v>
      </c>
      <c r="O20" s="171">
        <v>0.8125</v>
      </c>
      <c r="P20" s="170">
        <v>10</v>
      </c>
      <c r="Q20" s="171">
        <v>0.39583333333333331</v>
      </c>
      <c r="R20" s="91">
        <f t="shared" si="8"/>
        <v>579</v>
      </c>
      <c r="S20" s="172">
        <v>402</v>
      </c>
      <c r="T20" s="172">
        <v>177</v>
      </c>
      <c r="U20" s="89">
        <v>46240</v>
      </c>
      <c r="V20" s="170">
        <v>28</v>
      </c>
      <c r="W20" s="171">
        <v>0.70833333333333337</v>
      </c>
      <c r="X20" s="172">
        <v>505</v>
      </c>
    </row>
    <row r="21" spans="2:24" s="186" customFormat="1" ht="15.75" thickBot="1" x14ac:dyDescent="0.3">
      <c r="B21" s="89">
        <v>46241</v>
      </c>
      <c r="C21" s="13"/>
      <c r="D21" s="184">
        <v>112</v>
      </c>
      <c r="E21" s="183">
        <v>0.53125</v>
      </c>
      <c r="F21" s="182">
        <v>1385</v>
      </c>
      <c r="G21" s="92">
        <f t="shared" si="6"/>
        <v>897</v>
      </c>
      <c r="H21" s="182">
        <v>488</v>
      </c>
      <c r="I21" s="89">
        <f t="shared" si="1"/>
        <v>46210</v>
      </c>
      <c r="J21" s="184">
        <v>30</v>
      </c>
      <c r="K21" s="183">
        <v>0.77083333333333337</v>
      </c>
      <c r="L21" s="182">
        <v>596</v>
      </c>
      <c r="M21" s="89">
        <f t="shared" si="7"/>
        <v>46241</v>
      </c>
      <c r="N21" s="184">
        <v>27</v>
      </c>
      <c r="O21" s="183">
        <v>0.4375</v>
      </c>
      <c r="P21" s="184">
        <v>9</v>
      </c>
      <c r="Q21" s="183">
        <v>0.47916666666666669</v>
      </c>
      <c r="R21" s="185">
        <f t="shared" ref="R21:R41" si="9">S21+T21</f>
        <v>592</v>
      </c>
      <c r="S21" s="182">
        <v>415</v>
      </c>
      <c r="T21" s="182">
        <v>177</v>
      </c>
      <c r="U21" s="89">
        <v>46241</v>
      </c>
      <c r="V21" s="184">
        <v>30</v>
      </c>
      <c r="W21" s="183">
        <v>0.28125</v>
      </c>
      <c r="X21" s="182">
        <v>501</v>
      </c>
    </row>
    <row r="22" spans="2:24" ht="15.75" thickBot="1" x14ac:dyDescent="0.3">
      <c r="B22" s="89">
        <v>46242</v>
      </c>
      <c r="D22" s="170">
        <v>66</v>
      </c>
      <c r="E22" s="88">
        <v>0.28125</v>
      </c>
      <c r="F22" s="87">
        <v>882</v>
      </c>
      <c r="G22" s="92">
        <f t="shared" si="6"/>
        <v>425</v>
      </c>
      <c r="H22" s="87">
        <v>457</v>
      </c>
      <c r="I22" s="89">
        <f t="shared" si="1"/>
        <v>46211</v>
      </c>
      <c r="J22" s="90">
        <v>31</v>
      </c>
      <c r="K22" s="88">
        <v>0.96875</v>
      </c>
      <c r="L22" s="87">
        <v>591</v>
      </c>
      <c r="M22" s="89">
        <f t="shared" si="7"/>
        <v>46242</v>
      </c>
      <c r="N22" s="90">
        <v>26</v>
      </c>
      <c r="O22" s="88">
        <v>0.60416666666666663</v>
      </c>
      <c r="P22" s="90">
        <v>8.8000000000000007</v>
      </c>
      <c r="Q22" s="88">
        <v>0.77083333333333337</v>
      </c>
      <c r="R22" s="91">
        <f t="shared" si="9"/>
        <v>577</v>
      </c>
      <c r="S22" s="87">
        <v>405</v>
      </c>
      <c r="T22" s="87">
        <v>172</v>
      </c>
      <c r="U22" s="89">
        <v>46242</v>
      </c>
      <c r="V22" s="90">
        <v>28</v>
      </c>
      <c r="W22" s="88">
        <v>0.22916666666666666</v>
      </c>
      <c r="X22" s="87">
        <v>499</v>
      </c>
    </row>
    <row r="23" spans="2:24" ht="15.75" thickBot="1" x14ac:dyDescent="0.3">
      <c r="B23" s="89">
        <v>46243</v>
      </c>
      <c r="D23" s="170">
        <v>72</v>
      </c>
      <c r="E23" s="88">
        <v>0.17708333333333334</v>
      </c>
      <c r="F23" s="87">
        <v>864</v>
      </c>
      <c r="G23" s="92">
        <f t="shared" si="6"/>
        <v>412</v>
      </c>
      <c r="H23" s="87">
        <v>452</v>
      </c>
      <c r="I23" s="89">
        <f t="shared" si="1"/>
        <v>46212</v>
      </c>
      <c r="J23" s="90">
        <v>32</v>
      </c>
      <c r="K23" s="88">
        <v>4.1666666666666664E-2</v>
      </c>
      <c r="L23" s="87">
        <v>607</v>
      </c>
      <c r="M23" s="89">
        <f t="shared" si="7"/>
        <v>46243</v>
      </c>
      <c r="N23" s="90">
        <v>25</v>
      </c>
      <c r="O23" s="88">
        <v>0.57291666666666663</v>
      </c>
      <c r="P23" s="90">
        <v>8</v>
      </c>
      <c r="Q23" s="88">
        <v>0.875</v>
      </c>
      <c r="R23" s="91">
        <f t="shared" si="9"/>
        <v>581</v>
      </c>
      <c r="S23" s="87">
        <v>408</v>
      </c>
      <c r="T23" s="87">
        <v>173</v>
      </c>
      <c r="U23" s="89">
        <v>46243</v>
      </c>
      <c r="V23" s="90">
        <v>26</v>
      </c>
      <c r="W23" s="88">
        <v>0.71875</v>
      </c>
      <c r="X23" s="87">
        <v>488</v>
      </c>
    </row>
    <row r="24" spans="2:24" ht="15.75" thickBot="1" x14ac:dyDescent="0.3">
      <c r="B24" s="173">
        <v>46244</v>
      </c>
      <c r="C24" s="52"/>
      <c r="D24" s="184">
        <v>108.49</v>
      </c>
      <c r="E24" s="183">
        <v>0.55208333333333337</v>
      </c>
      <c r="F24" s="182">
        <v>1418.39</v>
      </c>
      <c r="G24" s="181">
        <f t="shared" si="6"/>
        <v>936.63000000000011</v>
      </c>
      <c r="H24" s="182">
        <v>481.76</v>
      </c>
      <c r="I24" s="173">
        <f t="shared" si="1"/>
        <v>46213</v>
      </c>
      <c r="J24" s="184">
        <v>34.61</v>
      </c>
      <c r="K24" s="183">
        <v>0.41666666666666669</v>
      </c>
      <c r="L24" s="182">
        <v>648.74</v>
      </c>
      <c r="M24" s="173">
        <f t="shared" si="7"/>
        <v>46244</v>
      </c>
      <c r="N24" s="184">
        <v>24.14</v>
      </c>
      <c r="O24" s="183">
        <v>0.77083333333333337</v>
      </c>
      <c r="P24" s="184">
        <v>11.42</v>
      </c>
      <c r="Q24" s="183">
        <v>0.4375</v>
      </c>
      <c r="R24" s="185">
        <f t="shared" si="9"/>
        <v>567.04999999999995</v>
      </c>
      <c r="S24" s="182">
        <v>382.31</v>
      </c>
      <c r="T24" s="182">
        <v>184.74</v>
      </c>
      <c r="U24" s="173">
        <v>46244</v>
      </c>
      <c r="V24" s="184">
        <v>28.99</v>
      </c>
      <c r="W24" s="183">
        <v>0.59375</v>
      </c>
      <c r="X24" s="182">
        <v>564.65</v>
      </c>
    </row>
    <row r="25" spans="2:24" ht="15.75" thickBot="1" x14ac:dyDescent="0.3">
      <c r="B25" s="173">
        <v>46245</v>
      </c>
      <c r="C25" s="52"/>
      <c r="D25" s="184">
        <v>118.4</v>
      </c>
      <c r="E25" s="183">
        <v>0.4375</v>
      </c>
      <c r="F25" s="182">
        <v>1440.12</v>
      </c>
      <c r="G25" s="181">
        <f t="shared" si="6"/>
        <v>974.25999999999988</v>
      </c>
      <c r="H25" s="182">
        <v>465.86</v>
      </c>
      <c r="I25" s="173">
        <f t="shared" si="1"/>
        <v>46214</v>
      </c>
      <c r="J25" s="184">
        <v>33.26</v>
      </c>
      <c r="K25" s="183">
        <v>0.40625</v>
      </c>
      <c r="L25" s="182">
        <v>654.33000000000004</v>
      </c>
      <c r="M25" s="173">
        <f t="shared" si="7"/>
        <v>46245</v>
      </c>
      <c r="N25" s="184">
        <v>24.8</v>
      </c>
      <c r="O25" s="183">
        <v>0.5625</v>
      </c>
      <c r="P25" s="184">
        <v>13.18</v>
      </c>
      <c r="Q25" s="183">
        <v>0.46875</v>
      </c>
      <c r="R25" s="185">
        <f t="shared" si="9"/>
        <v>591.55999999999995</v>
      </c>
      <c r="S25" s="182">
        <v>408.08</v>
      </c>
      <c r="T25" s="182">
        <v>183.48</v>
      </c>
      <c r="U25" s="173">
        <v>46245</v>
      </c>
      <c r="V25" s="184">
        <v>29.66</v>
      </c>
      <c r="W25" s="183">
        <v>0.30208333333333331</v>
      </c>
      <c r="X25" s="182">
        <v>570.37</v>
      </c>
    </row>
    <row r="26" spans="2:24" ht="15.75" thickBot="1" x14ac:dyDescent="0.3">
      <c r="B26" s="173">
        <v>46246</v>
      </c>
      <c r="C26" s="52"/>
      <c r="D26" s="184">
        <v>107</v>
      </c>
      <c r="E26" s="183">
        <v>0.35416666666666669</v>
      </c>
      <c r="F26" s="182">
        <v>1289</v>
      </c>
      <c r="G26" s="181">
        <f t="shared" si="6"/>
        <v>843</v>
      </c>
      <c r="H26" s="182">
        <v>446</v>
      </c>
      <c r="I26" s="173">
        <f t="shared" si="1"/>
        <v>46215</v>
      </c>
      <c r="J26" s="184">
        <v>32</v>
      </c>
      <c r="K26" s="183">
        <v>0.36458333333333331</v>
      </c>
      <c r="L26" s="182">
        <v>653</v>
      </c>
      <c r="M26" s="173">
        <f t="shared" si="7"/>
        <v>46246</v>
      </c>
      <c r="N26" s="184">
        <v>24</v>
      </c>
      <c r="O26" s="183">
        <v>0.52083333333333337</v>
      </c>
      <c r="P26" s="184">
        <v>12</v>
      </c>
      <c r="Q26" s="183">
        <v>0.4375</v>
      </c>
      <c r="R26" s="185">
        <f t="shared" si="9"/>
        <v>558</v>
      </c>
      <c r="S26" s="182">
        <v>375</v>
      </c>
      <c r="T26" s="182">
        <v>183</v>
      </c>
      <c r="U26" s="173">
        <v>46246</v>
      </c>
      <c r="V26" s="184">
        <v>30</v>
      </c>
      <c r="W26" s="183">
        <v>0.44791666666666669</v>
      </c>
      <c r="X26" s="182">
        <v>572</v>
      </c>
    </row>
    <row r="27" spans="2:24" ht="15.75" thickBot="1" x14ac:dyDescent="0.3">
      <c r="B27" s="173">
        <v>46247</v>
      </c>
      <c r="C27" s="52"/>
      <c r="D27" s="184">
        <v>102</v>
      </c>
      <c r="E27" s="183">
        <v>0.53125</v>
      </c>
      <c r="F27" s="182">
        <v>1270</v>
      </c>
      <c r="G27" s="181">
        <f t="shared" si="6"/>
        <v>833</v>
      </c>
      <c r="H27" s="182">
        <v>437</v>
      </c>
      <c r="I27" s="173">
        <f t="shared" si="1"/>
        <v>46216</v>
      </c>
      <c r="J27" s="184">
        <v>35</v>
      </c>
      <c r="K27" s="183">
        <v>0.35416666666666669</v>
      </c>
      <c r="L27" s="182">
        <v>621</v>
      </c>
      <c r="M27" s="173">
        <f t="shared" si="7"/>
        <v>46247</v>
      </c>
      <c r="N27" s="184">
        <v>25</v>
      </c>
      <c r="O27" s="183">
        <v>0.55208333333333337</v>
      </c>
      <c r="P27" s="184">
        <v>10</v>
      </c>
      <c r="Q27" s="183">
        <v>0.48958333333333331</v>
      </c>
      <c r="R27" s="185">
        <f t="shared" si="9"/>
        <v>569</v>
      </c>
      <c r="S27" s="182">
        <v>392</v>
      </c>
      <c r="T27" s="182">
        <v>177</v>
      </c>
      <c r="U27" s="173">
        <v>46247</v>
      </c>
      <c r="V27" s="184">
        <v>30</v>
      </c>
      <c r="W27" s="183">
        <v>0.59375</v>
      </c>
      <c r="X27" s="182">
        <v>555</v>
      </c>
    </row>
    <row r="28" spans="2:24" ht="15.75" thickBot="1" x14ac:dyDescent="0.3">
      <c r="B28" s="173">
        <v>46248</v>
      </c>
      <c r="C28" s="52"/>
      <c r="D28" s="184">
        <v>85</v>
      </c>
      <c r="E28" s="183">
        <v>0.63541666666666663</v>
      </c>
      <c r="F28" s="182">
        <v>1149</v>
      </c>
      <c r="G28" s="181">
        <f t="shared" si="6"/>
        <v>724</v>
      </c>
      <c r="H28" s="182">
        <v>425</v>
      </c>
      <c r="I28" s="173">
        <f t="shared" si="1"/>
        <v>46217</v>
      </c>
      <c r="J28" s="184">
        <v>33</v>
      </c>
      <c r="K28" s="183">
        <v>0.83333333333333337</v>
      </c>
      <c r="L28" s="182">
        <v>593</v>
      </c>
      <c r="M28" s="173">
        <f t="shared" si="7"/>
        <v>46248</v>
      </c>
      <c r="N28" s="184">
        <v>23</v>
      </c>
      <c r="O28" s="183">
        <v>0.70833333333333337</v>
      </c>
      <c r="P28" s="184">
        <v>11</v>
      </c>
      <c r="Q28" s="183">
        <v>0.45833333333333331</v>
      </c>
      <c r="R28" s="185">
        <f t="shared" si="9"/>
        <v>542</v>
      </c>
      <c r="S28" s="182">
        <v>376</v>
      </c>
      <c r="T28" s="182">
        <v>166</v>
      </c>
      <c r="U28" s="173">
        <v>46248</v>
      </c>
      <c r="V28" s="184">
        <v>30</v>
      </c>
      <c r="W28" s="183">
        <v>0.59375</v>
      </c>
      <c r="X28" s="182">
        <v>474</v>
      </c>
    </row>
    <row r="29" spans="2:24" ht="15.75" thickBot="1" x14ac:dyDescent="0.3">
      <c r="B29" s="173">
        <v>46249</v>
      </c>
      <c r="C29" s="52"/>
      <c r="D29" s="184">
        <v>46</v>
      </c>
      <c r="E29" s="183">
        <v>0.88541666666666663</v>
      </c>
      <c r="F29" s="182">
        <v>797</v>
      </c>
      <c r="G29" s="181">
        <f t="shared" si="6"/>
        <v>355</v>
      </c>
      <c r="H29" s="182">
        <v>442</v>
      </c>
      <c r="I29" s="173">
        <f t="shared" si="1"/>
        <v>46218</v>
      </c>
      <c r="J29" s="184">
        <v>33</v>
      </c>
      <c r="K29" s="183">
        <v>0.80208333333333337</v>
      </c>
      <c r="L29" s="182">
        <v>587</v>
      </c>
      <c r="M29" s="173">
        <f t="shared" si="7"/>
        <v>46249</v>
      </c>
      <c r="N29" s="184">
        <v>31</v>
      </c>
      <c r="O29" s="183">
        <v>0.67708333333333337</v>
      </c>
      <c r="P29" s="184">
        <v>8</v>
      </c>
      <c r="Q29" s="183">
        <v>0.92708333333333337</v>
      </c>
      <c r="R29" s="185">
        <f t="shared" si="9"/>
        <v>518</v>
      </c>
      <c r="S29" s="182">
        <v>369</v>
      </c>
      <c r="T29" s="182">
        <v>149</v>
      </c>
      <c r="U29" s="173">
        <v>46249</v>
      </c>
      <c r="V29" s="184">
        <v>29</v>
      </c>
      <c r="W29" s="183">
        <v>0.8125</v>
      </c>
      <c r="X29" s="182">
        <v>442</v>
      </c>
    </row>
    <row r="30" spans="2:24" ht="15.75" thickBot="1" x14ac:dyDescent="0.3">
      <c r="B30" s="173">
        <v>46250</v>
      </c>
      <c r="C30" s="52"/>
      <c r="D30" s="184">
        <v>83.05</v>
      </c>
      <c r="E30" s="183">
        <v>0.8125</v>
      </c>
      <c r="F30" s="182">
        <v>818.06</v>
      </c>
      <c r="G30" s="181">
        <f t="shared" si="6"/>
        <v>394.89999999999992</v>
      </c>
      <c r="H30" s="182">
        <v>423.16</v>
      </c>
      <c r="I30" s="173">
        <f t="shared" si="1"/>
        <v>46219</v>
      </c>
      <c r="J30" s="184">
        <v>31.08</v>
      </c>
      <c r="K30" s="183">
        <v>0.14583333333333334</v>
      </c>
      <c r="L30" s="182">
        <v>577.35</v>
      </c>
      <c r="M30" s="173">
        <f t="shared" si="7"/>
        <v>46250</v>
      </c>
      <c r="N30" s="184">
        <v>26.76</v>
      </c>
      <c r="O30" s="183">
        <v>0.64583333333333337</v>
      </c>
      <c r="P30" s="184">
        <v>7.65</v>
      </c>
      <c r="Q30" s="183">
        <v>0.91666666666666663</v>
      </c>
      <c r="R30" s="185">
        <f t="shared" si="9"/>
        <v>520.89</v>
      </c>
      <c r="S30" s="182">
        <v>372.07</v>
      </c>
      <c r="T30" s="182">
        <v>148.82</v>
      </c>
      <c r="U30" s="173">
        <v>46250</v>
      </c>
      <c r="V30" s="184">
        <v>30.84</v>
      </c>
      <c r="W30" s="183">
        <v>0.97916666666666663</v>
      </c>
      <c r="X30" s="182">
        <v>553.32000000000005</v>
      </c>
    </row>
    <row r="31" spans="2:24" ht="15.75" thickBot="1" x14ac:dyDescent="0.3">
      <c r="B31" s="173">
        <v>46251</v>
      </c>
      <c r="C31" s="52"/>
      <c r="D31" s="184">
        <v>100</v>
      </c>
      <c r="E31" s="183">
        <v>0.64583333333333337</v>
      </c>
      <c r="F31" s="182">
        <v>1244</v>
      </c>
      <c r="G31" s="181">
        <f t="shared" si="6"/>
        <v>794</v>
      </c>
      <c r="H31" s="182">
        <v>450</v>
      </c>
      <c r="I31" s="173">
        <f t="shared" si="1"/>
        <v>46220</v>
      </c>
      <c r="J31" s="184">
        <v>33</v>
      </c>
      <c r="K31" s="183">
        <v>0.78125</v>
      </c>
      <c r="L31" s="182">
        <v>621</v>
      </c>
      <c r="M31" s="173">
        <f t="shared" si="7"/>
        <v>46251</v>
      </c>
      <c r="N31" s="184">
        <v>23</v>
      </c>
      <c r="O31" s="183">
        <v>0.46875</v>
      </c>
      <c r="P31" s="184">
        <v>11</v>
      </c>
      <c r="Q31" s="183">
        <v>0.40625</v>
      </c>
      <c r="R31" s="185">
        <f t="shared" si="9"/>
        <v>581</v>
      </c>
      <c r="S31" s="182">
        <v>411</v>
      </c>
      <c r="T31" s="182">
        <v>170</v>
      </c>
      <c r="U31" s="173">
        <v>46251</v>
      </c>
      <c r="V31" s="184">
        <v>29</v>
      </c>
      <c r="W31" s="183">
        <v>0.15625</v>
      </c>
      <c r="X31" s="182">
        <v>570</v>
      </c>
    </row>
    <row r="32" spans="2:24" ht="15.75" thickBot="1" x14ac:dyDescent="0.3">
      <c r="B32" s="173">
        <v>46252</v>
      </c>
      <c r="C32" s="52"/>
      <c r="D32" s="184">
        <v>102</v>
      </c>
      <c r="E32" s="183">
        <v>0.64583333333333337</v>
      </c>
      <c r="F32" s="182">
        <v>1236</v>
      </c>
      <c r="G32" s="181">
        <f t="shared" si="6"/>
        <v>795</v>
      </c>
      <c r="H32" s="182">
        <v>441</v>
      </c>
      <c r="I32" s="173">
        <f t="shared" si="1"/>
        <v>46221</v>
      </c>
      <c r="J32" s="184">
        <v>30</v>
      </c>
      <c r="K32" s="183">
        <v>0.84375</v>
      </c>
      <c r="L32" s="182">
        <v>606</v>
      </c>
      <c r="M32" s="173">
        <f t="shared" si="7"/>
        <v>46252</v>
      </c>
      <c r="N32" s="184">
        <v>24</v>
      </c>
      <c r="O32" s="183">
        <v>0.33333333333333331</v>
      </c>
      <c r="P32" s="184">
        <v>10</v>
      </c>
      <c r="Q32" s="183">
        <v>0.34375</v>
      </c>
      <c r="R32" s="185">
        <f t="shared" si="9"/>
        <v>556</v>
      </c>
      <c r="S32" s="182">
        <v>386</v>
      </c>
      <c r="T32" s="182">
        <v>170</v>
      </c>
      <c r="U32" s="173">
        <v>46252</v>
      </c>
      <c r="V32" s="184">
        <v>30</v>
      </c>
      <c r="W32" s="183">
        <v>6.25E-2</v>
      </c>
      <c r="X32" s="182">
        <v>538</v>
      </c>
    </row>
    <row r="33" spans="2:24" ht="15.75" thickBot="1" x14ac:dyDescent="0.3">
      <c r="B33" s="173">
        <v>46253</v>
      </c>
      <c r="C33" s="52"/>
      <c r="D33" s="184">
        <v>105</v>
      </c>
      <c r="E33" s="183">
        <v>0.47916666666666669</v>
      </c>
      <c r="F33" s="182">
        <v>1279</v>
      </c>
      <c r="G33" s="181">
        <f t="shared" si="6"/>
        <v>848</v>
      </c>
      <c r="H33" s="182">
        <v>431</v>
      </c>
      <c r="I33" s="173">
        <f t="shared" si="1"/>
        <v>46222</v>
      </c>
      <c r="J33" s="184">
        <v>33</v>
      </c>
      <c r="K33" s="183">
        <v>0.83333333333333337</v>
      </c>
      <c r="L33" s="182">
        <v>605</v>
      </c>
      <c r="M33" s="173">
        <f t="shared" si="7"/>
        <v>46253</v>
      </c>
      <c r="N33" s="184">
        <v>23</v>
      </c>
      <c r="O33" s="183">
        <v>0.53125</v>
      </c>
      <c r="P33" s="184">
        <v>9</v>
      </c>
      <c r="Q33" s="183">
        <v>0.67708333333333337</v>
      </c>
      <c r="R33" s="185">
        <f t="shared" si="9"/>
        <v>559</v>
      </c>
      <c r="S33" s="182">
        <v>389</v>
      </c>
      <c r="T33" s="182">
        <v>170</v>
      </c>
      <c r="U33" s="173">
        <v>46253</v>
      </c>
      <c r="V33" s="184">
        <v>30</v>
      </c>
      <c r="W33" s="183">
        <v>0.5</v>
      </c>
      <c r="X33" s="182">
        <v>577</v>
      </c>
    </row>
    <row r="34" spans="2:24" ht="15.75" thickBot="1" x14ac:dyDescent="0.3">
      <c r="B34" s="173">
        <v>46254</v>
      </c>
      <c r="C34" s="52"/>
      <c r="D34" s="184">
        <v>102</v>
      </c>
      <c r="E34" s="183">
        <v>0.53125</v>
      </c>
      <c r="F34" s="182">
        <v>1270</v>
      </c>
      <c r="G34" s="181">
        <f t="shared" si="6"/>
        <v>833</v>
      </c>
      <c r="H34" s="182">
        <v>437</v>
      </c>
      <c r="I34" s="173">
        <f t="shared" si="1"/>
        <v>46223</v>
      </c>
      <c r="J34" s="184">
        <v>35</v>
      </c>
      <c r="K34" s="183">
        <v>0.35416666666666669</v>
      </c>
      <c r="L34" s="182">
        <v>621</v>
      </c>
      <c r="M34" s="173">
        <f t="shared" si="7"/>
        <v>46254</v>
      </c>
      <c r="N34" s="184">
        <v>25</v>
      </c>
      <c r="O34" s="183">
        <v>0.55208333333333337</v>
      </c>
      <c r="P34" s="184">
        <v>10</v>
      </c>
      <c r="Q34" s="183">
        <v>0.48958333333333331</v>
      </c>
      <c r="R34" s="185">
        <f t="shared" si="9"/>
        <v>569</v>
      </c>
      <c r="S34" s="182">
        <v>392</v>
      </c>
      <c r="T34" s="182">
        <v>177</v>
      </c>
      <c r="U34" s="173">
        <v>46254</v>
      </c>
      <c r="V34" s="184">
        <v>30</v>
      </c>
      <c r="W34" s="183">
        <v>0.59375</v>
      </c>
      <c r="X34" s="182">
        <v>555</v>
      </c>
    </row>
    <row r="35" spans="2:24" ht="15.75" thickBot="1" x14ac:dyDescent="0.3">
      <c r="B35" s="173">
        <v>46255</v>
      </c>
      <c r="C35" s="52"/>
      <c r="D35" s="184">
        <v>112.9</v>
      </c>
      <c r="E35" s="183">
        <v>0.55208333333333337</v>
      </c>
      <c r="F35" s="182">
        <v>971.18</v>
      </c>
      <c r="G35" s="181">
        <f t="shared" si="6"/>
        <v>651.16999999999996</v>
      </c>
      <c r="H35" s="182">
        <v>320.01</v>
      </c>
      <c r="I35" s="173">
        <f t="shared" si="1"/>
        <v>46224</v>
      </c>
      <c r="J35" s="184">
        <v>30.34</v>
      </c>
      <c r="K35" s="183">
        <v>0.77083333333333337</v>
      </c>
      <c r="L35" s="182">
        <v>425.39</v>
      </c>
      <c r="M35" s="173">
        <f t="shared" si="7"/>
        <v>46255</v>
      </c>
      <c r="N35" s="184">
        <v>25.93</v>
      </c>
      <c r="O35" s="183">
        <v>0.39583333333333331</v>
      </c>
      <c r="P35" s="184">
        <v>8.52</v>
      </c>
      <c r="Q35" s="183">
        <v>0.60416666666666663</v>
      </c>
      <c r="R35" s="185">
        <f t="shared" si="9"/>
        <v>400.71000000000004</v>
      </c>
      <c r="S35" s="182">
        <v>278.67</v>
      </c>
      <c r="T35" s="182">
        <v>122.04</v>
      </c>
      <c r="U35" s="173">
        <v>46255</v>
      </c>
      <c r="V35" s="184">
        <v>28.75</v>
      </c>
      <c r="W35" s="183">
        <v>0.77083333333333337</v>
      </c>
      <c r="X35" s="182">
        <v>350.32</v>
      </c>
    </row>
    <row r="36" spans="2:24" ht="15.75" thickBot="1" x14ac:dyDescent="0.3">
      <c r="B36" s="173">
        <v>46256</v>
      </c>
      <c r="C36" s="52"/>
      <c r="D36" s="184">
        <v>76.06</v>
      </c>
      <c r="E36" s="183">
        <v>0.23958333333333334</v>
      </c>
      <c r="F36" s="182">
        <v>949.8</v>
      </c>
      <c r="G36" s="181">
        <f t="shared" si="6"/>
        <v>525.8599999999999</v>
      </c>
      <c r="H36" s="182">
        <v>423.94</v>
      </c>
      <c r="I36" s="173">
        <f t="shared" si="1"/>
        <v>46225</v>
      </c>
      <c r="J36" s="184">
        <v>29.4</v>
      </c>
      <c r="K36" s="183">
        <v>0.1875</v>
      </c>
      <c r="L36" s="182">
        <v>573.23</v>
      </c>
      <c r="M36" s="173">
        <f t="shared" si="7"/>
        <v>46256</v>
      </c>
      <c r="N36" s="184">
        <v>25.87</v>
      </c>
      <c r="O36" s="183">
        <v>0.45833333333333331</v>
      </c>
      <c r="P36" s="184">
        <v>7.9</v>
      </c>
      <c r="Q36" s="183">
        <v>0.77083333333333337</v>
      </c>
      <c r="R36" s="185">
        <f t="shared" si="9"/>
        <v>533.71</v>
      </c>
      <c r="S36" s="182">
        <v>370.2</v>
      </c>
      <c r="T36" s="182">
        <v>163.51</v>
      </c>
      <c r="U36" s="173">
        <v>46256</v>
      </c>
      <c r="V36" s="184">
        <v>29.85</v>
      </c>
      <c r="W36" s="183">
        <v>0.27083333333333331</v>
      </c>
      <c r="X36" s="182">
        <v>503.21</v>
      </c>
    </row>
    <row r="37" spans="2:24" ht="15.75" thickBot="1" x14ac:dyDescent="0.3">
      <c r="B37" s="173">
        <v>46257</v>
      </c>
      <c r="C37" s="52"/>
      <c r="D37" s="184">
        <v>65</v>
      </c>
      <c r="E37" s="183">
        <v>0</v>
      </c>
      <c r="F37" s="182">
        <v>836</v>
      </c>
      <c r="G37" s="181">
        <f t="shared" si="6"/>
        <v>414</v>
      </c>
      <c r="H37" s="182">
        <v>422</v>
      </c>
      <c r="I37" s="173">
        <f t="shared" si="1"/>
        <v>46226</v>
      </c>
      <c r="J37" s="184">
        <v>30</v>
      </c>
      <c r="K37" s="183">
        <v>0.94791666666666663</v>
      </c>
      <c r="L37" s="182">
        <v>589</v>
      </c>
      <c r="M37" s="173">
        <f t="shared" si="7"/>
        <v>46257</v>
      </c>
      <c r="N37" s="184">
        <v>25</v>
      </c>
      <c r="O37" s="183">
        <v>0.53125</v>
      </c>
      <c r="P37" s="184">
        <v>8</v>
      </c>
      <c r="Q37" s="183">
        <v>0.8125</v>
      </c>
      <c r="R37" s="185">
        <f t="shared" si="9"/>
        <v>530</v>
      </c>
      <c r="S37" s="182">
        <v>372</v>
      </c>
      <c r="T37" s="182">
        <v>158</v>
      </c>
      <c r="U37" s="173">
        <v>46257</v>
      </c>
      <c r="V37" s="184">
        <v>30</v>
      </c>
      <c r="W37" s="183">
        <v>0.90625</v>
      </c>
      <c r="X37" s="182">
        <v>537</v>
      </c>
    </row>
    <row r="38" spans="2:24" ht="15.75" thickBot="1" x14ac:dyDescent="0.3">
      <c r="B38" s="173">
        <v>46258</v>
      </c>
      <c r="C38" s="52"/>
      <c r="D38" s="184">
        <v>105</v>
      </c>
      <c r="E38" s="183">
        <v>0.48958333333333331</v>
      </c>
      <c r="F38" s="182">
        <v>1275</v>
      </c>
      <c r="G38" s="181">
        <f t="shared" si="6"/>
        <v>817</v>
      </c>
      <c r="H38" s="182">
        <v>458</v>
      </c>
      <c r="I38" s="173">
        <f t="shared" si="1"/>
        <v>46227</v>
      </c>
      <c r="J38" s="184">
        <v>32</v>
      </c>
      <c r="K38" s="183">
        <v>0.89583333333333337</v>
      </c>
      <c r="L38" s="182">
        <v>625</v>
      </c>
      <c r="M38" s="173">
        <f t="shared" si="7"/>
        <v>46258</v>
      </c>
      <c r="N38" s="184">
        <v>25</v>
      </c>
      <c r="O38" s="183">
        <v>0.54166666666666663</v>
      </c>
      <c r="P38" s="184">
        <v>11</v>
      </c>
      <c r="Q38" s="183">
        <v>0.75</v>
      </c>
      <c r="R38" s="185">
        <f t="shared" si="9"/>
        <v>559</v>
      </c>
      <c r="S38" s="182">
        <v>380</v>
      </c>
      <c r="T38" s="182">
        <v>179</v>
      </c>
      <c r="U38" s="173">
        <v>46258</v>
      </c>
      <c r="V38" s="184">
        <v>30</v>
      </c>
      <c r="W38" s="183">
        <v>0.8125</v>
      </c>
      <c r="X38" s="182">
        <v>575</v>
      </c>
    </row>
    <row r="39" spans="2:24" ht="15.75" thickBot="1" x14ac:dyDescent="0.3">
      <c r="B39" s="173">
        <v>46259</v>
      </c>
      <c r="C39" s="52"/>
      <c r="D39" s="184">
        <v>108</v>
      </c>
      <c r="E39" s="183">
        <v>0.54166666666666663</v>
      </c>
      <c r="F39" s="182">
        <v>1260</v>
      </c>
      <c r="G39" s="181">
        <f t="shared" si="6"/>
        <v>800</v>
      </c>
      <c r="H39" s="182">
        <v>460</v>
      </c>
      <c r="I39" s="173">
        <f t="shared" si="1"/>
        <v>46228</v>
      </c>
      <c r="J39" s="184">
        <v>33</v>
      </c>
      <c r="K39" s="183">
        <v>0.83333333333333337</v>
      </c>
      <c r="L39" s="182">
        <v>621</v>
      </c>
      <c r="M39" s="173">
        <f t="shared" si="7"/>
        <v>46259</v>
      </c>
      <c r="N39" s="184">
        <v>26</v>
      </c>
      <c r="O39" s="183">
        <v>0.60416666666666663</v>
      </c>
      <c r="P39" s="184">
        <v>11</v>
      </c>
      <c r="Q39" s="183">
        <v>0.73958333333333337</v>
      </c>
      <c r="R39" s="185">
        <f t="shared" si="9"/>
        <v>563</v>
      </c>
      <c r="S39" s="182">
        <v>385</v>
      </c>
      <c r="T39" s="182">
        <v>178</v>
      </c>
      <c r="U39" s="173">
        <v>46259</v>
      </c>
      <c r="V39" s="184">
        <v>30</v>
      </c>
      <c r="W39" s="183">
        <v>0.75</v>
      </c>
      <c r="X39" s="182">
        <v>570</v>
      </c>
    </row>
    <row r="40" spans="2:24" ht="15.75" thickBot="1" x14ac:dyDescent="0.3">
      <c r="B40" s="173">
        <v>46260</v>
      </c>
      <c r="C40" s="52"/>
      <c r="D40" s="184">
        <v>75</v>
      </c>
      <c r="E40" s="183">
        <v>0.51041666666666663</v>
      </c>
      <c r="F40" s="182">
        <v>1235</v>
      </c>
      <c r="G40" s="181">
        <f t="shared" si="6"/>
        <v>785</v>
      </c>
      <c r="H40" s="182">
        <v>450</v>
      </c>
      <c r="I40" s="173">
        <f t="shared" si="1"/>
        <v>46229</v>
      </c>
      <c r="J40" s="184">
        <v>32</v>
      </c>
      <c r="K40" s="183">
        <v>0.82291666666666663</v>
      </c>
      <c r="L40" s="182">
        <v>646</v>
      </c>
      <c r="M40" s="173">
        <f t="shared" si="7"/>
        <v>46260</v>
      </c>
      <c r="N40" s="184">
        <v>26</v>
      </c>
      <c r="O40" s="183">
        <v>0.65625</v>
      </c>
      <c r="P40" s="184">
        <v>10</v>
      </c>
      <c r="Q40" s="183">
        <v>0.48958333333333331</v>
      </c>
      <c r="R40" s="185">
        <f t="shared" si="9"/>
        <v>563</v>
      </c>
      <c r="S40" s="182">
        <v>384</v>
      </c>
      <c r="T40" s="182">
        <v>179</v>
      </c>
      <c r="U40" s="173">
        <v>46260</v>
      </c>
      <c r="V40" s="184">
        <v>30</v>
      </c>
      <c r="W40" s="183">
        <v>0.42708333333333331</v>
      </c>
      <c r="X40" s="182">
        <v>566</v>
      </c>
    </row>
    <row r="41" spans="2:24" ht="15.75" thickBot="1" x14ac:dyDescent="0.3">
      <c r="B41" s="173">
        <v>46261</v>
      </c>
      <c r="C41" s="52"/>
      <c r="D41" s="184">
        <v>95</v>
      </c>
      <c r="E41" s="183">
        <v>0.55208333333333337</v>
      </c>
      <c r="F41" s="182">
        <v>1258</v>
      </c>
      <c r="G41" s="181">
        <f t="shared" si="6"/>
        <v>828</v>
      </c>
      <c r="H41" s="182">
        <v>430</v>
      </c>
      <c r="I41" s="173">
        <f t="shared" si="1"/>
        <v>46230</v>
      </c>
      <c r="J41" s="184">
        <v>34</v>
      </c>
      <c r="K41" s="183">
        <v>0.375</v>
      </c>
      <c r="L41" s="182">
        <v>648</v>
      </c>
      <c r="M41" s="173">
        <f t="shared" si="7"/>
        <v>46261</v>
      </c>
      <c r="N41" s="184">
        <v>27</v>
      </c>
      <c r="O41" s="183">
        <v>0.82291666666666663</v>
      </c>
      <c r="P41" s="184">
        <v>9</v>
      </c>
      <c r="Q41" s="183">
        <v>0.3125</v>
      </c>
      <c r="R41" s="185">
        <f t="shared" si="9"/>
        <v>585</v>
      </c>
      <c r="S41" s="182">
        <v>413</v>
      </c>
      <c r="T41" s="182">
        <v>172</v>
      </c>
      <c r="U41" s="173">
        <v>46261</v>
      </c>
      <c r="V41" s="184">
        <v>29</v>
      </c>
      <c r="W41" s="183">
        <v>0.1875</v>
      </c>
      <c r="X41" s="182">
        <v>526</v>
      </c>
    </row>
    <row r="42" spans="2:24" ht="15.75" thickBot="1" x14ac:dyDescent="0.3">
      <c r="B42" s="89">
        <v>46262</v>
      </c>
      <c r="D42" s="170"/>
      <c r="E42" s="88"/>
      <c r="F42" s="87"/>
      <c r="G42" s="92">
        <f t="shared" si="6"/>
        <v>0</v>
      </c>
      <c r="H42" s="87"/>
      <c r="I42" s="89">
        <f t="shared" si="1"/>
        <v>46231</v>
      </c>
      <c r="J42" s="90"/>
      <c r="K42" s="88"/>
      <c r="L42" s="87"/>
      <c r="M42" s="89">
        <f t="shared" si="7"/>
        <v>46262</v>
      </c>
      <c r="N42" s="90"/>
      <c r="O42" s="88"/>
      <c r="P42" s="90"/>
      <c r="Q42" s="88"/>
      <c r="R42" s="91">
        <f t="shared" ref="R42:R44" si="10">S42+T42</f>
        <v>0</v>
      </c>
      <c r="S42" s="87"/>
      <c r="T42" s="87"/>
      <c r="U42" s="89">
        <v>46262</v>
      </c>
      <c r="V42" s="90"/>
      <c r="W42" s="88"/>
      <c r="X42" s="87"/>
    </row>
    <row r="43" spans="2:24" ht="15.75" thickBot="1" x14ac:dyDescent="0.3">
      <c r="B43" s="89">
        <v>46263</v>
      </c>
      <c r="D43" s="170"/>
      <c r="E43" s="88"/>
      <c r="F43" s="87"/>
      <c r="G43" s="92">
        <f t="shared" si="6"/>
        <v>0</v>
      </c>
      <c r="H43" s="87"/>
      <c r="I43" s="89">
        <f t="shared" si="1"/>
        <v>46232</v>
      </c>
      <c r="J43" s="90"/>
      <c r="K43" s="88"/>
      <c r="L43" s="87"/>
      <c r="M43" s="173">
        <f t="shared" si="7"/>
        <v>46263</v>
      </c>
      <c r="N43" s="90"/>
      <c r="O43" s="88"/>
      <c r="P43" s="90"/>
      <c r="Q43" s="88"/>
      <c r="R43" s="91">
        <f t="shared" si="10"/>
        <v>0</v>
      </c>
      <c r="S43" s="87"/>
      <c r="T43" s="87"/>
      <c r="U43" s="89">
        <v>46263</v>
      </c>
      <c r="V43" s="90"/>
      <c r="W43" s="88"/>
      <c r="X43" s="87"/>
    </row>
    <row r="44" spans="2:24" ht="15.75" thickBot="1" x14ac:dyDescent="0.3">
      <c r="B44" s="89">
        <v>46264</v>
      </c>
      <c r="D44" s="170"/>
      <c r="E44" s="88"/>
      <c r="F44" s="87"/>
      <c r="G44" s="92">
        <f t="shared" si="6"/>
        <v>0</v>
      </c>
      <c r="H44" s="87"/>
      <c r="I44" s="89">
        <f t="shared" si="1"/>
        <v>46233</v>
      </c>
      <c r="J44" s="90"/>
      <c r="K44" s="88"/>
      <c r="L44" s="87"/>
      <c r="M44" s="89">
        <f t="shared" si="7"/>
        <v>46264</v>
      </c>
      <c r="N44" s="90"/>
      <c r="O44" s="88"/>
      <c r="P44" s="90"/>
      <c r="Q44" s="88"/>
      <c r="R44" s="91">
        <f t="shared" si="10"/>
        <v>0</v>
      </c>
      <c r="S44" s="87"/>
      <c r="T44" s="87"/>
      <c r="U44" s="89">
        <v>46264</v>
      </c>
      <c r="V44" s="90"/>
      <c r="W44" s="88"/>
      <c r="X44" s="87"/>
    </row>
    <row r="45" spans="2:24" x14ac:dyDescent="0.25">
      <c r="B45" s="89">
        <v>46265</v>
      </c>
      <c r="D45" s="170"/>
      <c r="E45" s="171"/>
      <c r="F45" s="172"/>
      <c r="G45" s="92">
        <f t="shared" si="6"/>
        <v>0</v>
      </c>
      <c r="H45" s="172"/>
      <c r="I45" s="89">
        <f t="shared" si="1"/>
        <v>46234</v>
      </c>
      <c r="J45" s="170"/>
      <c r="K45" s="171"/>
      <c r="L45" s="172"/>
      <c r="M45" s="89">
        <f t="shared" ref="M45" si="11">B45</f>
        <v>46265</v>
      </c>
      <c r="N45" s="170"/>
      <c r="O45" s="171"/>
      <c r="P45" s="170"/>
      <c r="Q45" s="171"/>
      <c r="R45" s="91">
        <f t="shared" ref="R45" si="12">S45+T45</f>
        <v>0</v>
      </c>
      <c r="S45" s="172"/>
      <c r="T45" s="172"/>
      <c r="U45" s="89">
        <v>46265</v>
      </c>
      <c r="V45" s="170"/>
      <c r="W45" s="171"/>
      <c r="X45" s="172"/>
    </row>
    <row r="47" spans="2:24" x14ac:dyDescent="0.25">
      <c r="E47" s="176" t="s">
        <v>61</v>
      </c>
      <c r="F47" s="176" t="s">
        <v>62</v>
      </c>
      <c r="G47" s="176" t="s">
        <v>63</v>
      </c>
      <c r="H47" s="176" t="s">
        <v>64</v>
      </c>
      <c r="I47" s="176" t="s">
        <v>65</v>
      </c>
      <c r="J47" s="176" t="s">
        <v>66</v>
      </c>
    </row>
    <row r="48" spans="2:24" x14ac:dyDescent="0.25">
      <c r="D48" s="179">
        <v>45838</v>
      </c>
      <c r="E48" s="177">
        <f t="shared" ref="E48:E78" si="13">F14/J48</f>
        <v>0.42050420168067226</v>
      </c>
      <c r="F48" s="177">
        <f t="shared" ref="F48:F78" si="14">L14/J48</f>
        <v>0.20840336134453782</v>
      </c>
      <c r="G48" s="177">
        <f t="shared" ref="G48:G78" si="15">S14/J48</f>
        <v>0.12436974789915967</v>
      </c>
      <c r="H48" s="177">
        <f t="shared" ref="H48:H78" si="16">T14/J48</f>
        <v>5.9831932773109241E-2</v>
      </c>
      <c r="I48" s="177">
        <f t="shared" ref="I48:I78" si="17">X14/J48</f>
        <v>0.186890756302521</v>
      </c>
      <c r="J48" s="178">
        <f>F14+L14+S14+T14+X14</f>
        <v>2975</v>
      </c>
    </row>
    <row r="49" spans="4:10" x14ac:dyDescent="0.25">
      <c r="D49" s="179">
        <v>45839</v>
      </c>
      <c r="E49" s="177">
        <f t="shared" si="13"/>
        <v>0.352824184566428</v>
      </c>
      <c r="F49" s="177">
        <f t="shared" si="14"/>
        <v>0.23906125696101829</v>
      </c>
      <c r="G49" s="177">
        <f t="shared" si="15"/>
        <v>0.14518695306284804</v>
      </c>
      <c r="H49" s="177">
        <f t="shared" si="16"/>
        <v>6.7621320604614163E-2</v>
      </c>
      <c r="I49" s="177">
        <f t="shared" si="17"/>
        <v>0.19530628480509149</v>
      </c>
      <c r="J49" s="178">
        <f t="shared" ref="J49:J78" si="18">F15+L15+S15+T15+X15</f>
        <v>2514</v>
      </c>
    </row>
    <row r="50" spans="4:10" x14ac:dyDescent="0.25">
      <c r="D50" s="179">
        <v>45840</v>
      </c>
      <c r="E50" s="177">
        <f t="shared" si="13"/>
        <v>0.32161616161616163</v>
      </c>
      <c r="F50" s="177">
        <f t="shared" si="14"/>
        <v>0.2387878787878788</v>
      </c>
      <c r="G50" s="177">
        <f t="shared" si="15"/>
        <v>0.15717171717171718</v>
      </c>
      <c r="H50" s="177">
        <f t="shared" si="16"/>
        <v>6.8282828282828278E-2</v>
      </c>
      <c r="I50" s="177">
        <f t="shared" si="17"/>
        <v>0.21414141414141413</v>
      </c>
      <c r="J50" s="178">
        <f t="shared" si="18"/>
        <v>2475</v>
      </c>
    </row>
    <row r="51" spans="4:10" x14ac:dyDescent="0.25">
      <c r="D51" s="179">
        <v>45841</v>
      </c>
      <c r="E51" s="177">
        <f t="shared" si="13"/>
        <v>0.42360655737704916</v>
      </c>
      <c r="F51" s="177">
        <f t="shared" si="14"/>
        <v>0.20295081967213116</v>
      </c>
      <c r="G51" s="177">
        <f t="shared" si="15"/>
        <v>0.13180327868852459</v>
      </c>
      <c r="H51" s="177">
        <f t="shared" si="16"/>
        <v>5.80327868852459E-2</v>
      </c>
      <c r="I51" s="177">
        <f t="shared" si="17"/>
        <v>0.18360655737704917</v>
      </c>
      <c r="J51" s="178">
        <f t="shared" si="18"/>
        <v>3050</v>
      </c>
    </row>
    <row r="52" spans="4:10" x14ac:dyDescent="0.25">
      <c r="D52" s="179">
        <v>45842</v>
      </c>
      <c r="E52" s="177">
        <f t="shared" si="13"/>
        <v>0.43143143143143142</v>
      </c>
      <c r="F52" s="177">
        <f t="shared" si="14"/>
        <v>0.20587253920587253</v>
      </c>
      <c r="G52" s="177">
        <f t="shared" si="15"/>
        <v>0.13580246913580246</v>
      </c>
      <c r="H52" s="177">
        <f t="shared" si="16"/>
        <v>5.8391725058391727E-2</v>
      </c>
      <c r="I52" s="177">
        <f t="shared" si="17"/>
        <v>0.16850183516850184</v>
      </c>
      <c r="J52" s="178">
        <f t="shared" si="18"/>
        <v>2997</v>
      </c>
    </row>
    <row r="53" spans="4:10" x14ac:dyDescent="0.25">
      <c r="D53" s="179">
        <v>45843</v>
      </c>
      <c r="E53" s="177">
        <f t="shared" si="13"/>
        <v>0.42032967032967034</v>
      </c>
      <c r="F53" s="177">
        <f t="shared" si="14"/>
        <v>0.20604395604395603</v>
      </c>
      <c r="G53" s="177">
        <f t="shared" si="15"/>
        <v>0.13839285714285715</v>
      </c>
      <c r="H53" s="177">
        <f t="shared" si="16"/>
        <v>6.0782967032967032E-2</v>
      </c>
      <c r="I53" s="177">
        <f t="shared" si="17"/>
        <v>0.17445054945054944</v>
      </c>
      <c r="J53" s="178">
        <f t="shared" si="18"/>
        <v>2912</v>
      </c>
    </row>
    <row r="54" spans="4:10" x14ac:dyDescent="0.25">
      <c r="D54" s="179">
        <v>45844</v>
      </c>
      <c r="E54" s="177">
        <f t="shared" si="13"/>
        <v>0.42589437819420783</v>
      </c>
      <c r="F54" s="177">
        <f t="shared" si="14"/>
        <v>0.20477001703577513</v>
      </c>
      <c r="G54" s="177">
        <f t="shared" si="15"/>
        <v>0.13696763202725723</v>
      </c>
      <c r="H54" s="177">
        <f t="shared" si="16"/>
        <v>6.0306643952299829E-2</v>
      </c>
      <c r="I54" s="177">
        <f t="shared" si="17"/>
        <v>0.17206132879045996</v>
      </c>
      <c r="J54" s="178">
        <f t="shared" si="18"/>
        <v>2935</v>
      </c>
    </row>
    <row r="55" spans="4:10" x14ac:dyDescent="0.25">
      <c r="D55" s="179">
        <v>45845</v>
      </c>
      <c r="E55" s="177">
        <f t="shared" si="13"/>
        <v>0.45055302537410541</v>
      </c>
      <c r="F55" s="177">
        <f t="shared" ref="F55:F65" si="19">L21/J55</f>
        <v>0.19388418998048146</v>
      </c>
      <c r="G55" s="177">
        <f t="shared" ref="G55:G65" si="20">S21/J55</f>
        <v>0.13500325309043593</v>
      </c>
      <c r="H55" s="177">
        <f t="shared" ref="H55:H65" si="21">T21/J55</f>
        <v>5.7579700715679895E-2</v>
      </c>
      <c r="I55" s="177">
        <f t="shared" ref="I55:I65" si="22">X21/J55</f>
        <v>0.16297983083929735</v>
      </c>
      <c r="J55" s="178">
        <f t="shared" ref="J55:J65" si="23">F21+L21+S21+T21+X21</f>
        <v>3074</v>
      </c>
    </row>
    <row r="56" spans="4:10" x14ac:dyDescent="0.25">
      <c r="D56" s="179">
        <v>45846</v>
      </c>
      <c r="E56" s="177">
        <f t="shared" si="13"/>
        <v>0.34601804629266381</v>
      </c>
      <c r="F56" s="177">
        <f t="shared" si="19"/>
        <v>0.23185562965868969</v>
      </c>
      <c r="G56" s="177">
        <f t="shared" si="20"/>
        <v>0.15888583758336602</v>
      </c>
      <c r="H56" s="177">
        <f t="shared" si="21"/>
        <v>6.7477442134170257E-2</v>
      </c>
      <c r="I56" s="177">
        <f t="shared" si="22"/>
        <v>0.19576304433111025</v>
      </c>
      <c r="J56" s="178">
        <f t="shared" si="23"/>
        <v>2549</v>
      </c>
    </row>
    <row r="57" spans="4:10" x14ac:dyDescent="0.25">
      <c r="D57" s="179">
        <v>45847</v>
      </c>
      <c r="E57" s="177">
        <f t="shared" si="13"/>
        <v>0.34015748031496063</v>
      </c>
      <c r="F57" s="177">
        <f t="shared" si="19"/>
        <v>0.23897637795275589</v>
      </c>
      <c r="G57" s="177">
        <f t="shared" si="20"/>
        <v>0.16062992125984252</v>
      </c>
      <c r="H57" s="177">
        <f t="shared" si="21"/>
        <v>6.8110236220472437E-2</v>
      </c>
      <c r="I57" s="177">
        <f t="shared" si="22"/>
        <v>0.1921259842519685</v>
      </c>
      <c r="J57" s="178">
        <f t="shared" si="23"/>
        <v>2540</v>
      </c>
    </row>
    <row r="58" spans="4:10" x14ac:dyDescent="0.25">
      <c r="D58" s="179">
        <v>45848</v>
      </c>
      <c r="E58" s="177">
        <f t="shared" si="13"/>
        <v>0.44340899641431397</v>
      </c>
      <c r="F58" s="177">
        <f t="shared" si="19"/>
        <v>0.20280540072463993</v>
      </c>
      <c r="G58" s="177">
        <f t="shared" si="20"/>
        <v>0.11951557288133473</v>
      </c>
      <c r="H58" s="177">
        <f t="shared" si="21"/>
        <v>5.7752365708712242E-2</v>
      </c>
      <c r="I58" s="177">
        <f t="shared" si="22"/>
        <v>0.17651766427099905</v>
      </c>
      <c r="J58" s="178">
        <f t="shared" si="23"/>
        <v>3198.8300000000004</v>
      </c>
    </row>
    <row r="59" spans="4:10" x14ac:dyDescent="0.25">
      <c r="D59" s="179">
        <v>45849</v>
      </c>
      <c r="E59" s="177">
        <f t="shared" si="13"/>
        <v>0.44224568385753504</v>
      </c>
      <c r="F59" s="177">
        <f t="shared" si="19"/>
        <v>0.20093785123357844</v>
      </c>
      <c r="G59" s="177">
        <f t="shared" si="20"/>
        <v>0.12531706987513744</v>
      </c>
      <c r="H59" s="177">
        <f t="shared" si="21"/>
        <v>5.6344775486890354E-2</v>
      </c>
      <c r="I59" s="177">
        <f t="shared" si="22"/>
        <v>0.17515461954685879</v>
      </c>
      <c r="J59" s="178">
        <f t="shared" si="23"/>
        <v>3256.3799999999997</v>
      </c>
    </row>
    <row r="60" spans="4:10" x14ac:dyDescent="0.25">
      <c r="D60" s="179">
        <v>45850</v>
      </c>
      <c r="E60" s="177">
        <f t="shared" si="13"/>
        <v>0.41959635416666669</v>
      </c>
      <c r="F60" s="177">
        <f t="shared" si="19"/>
        <v>0.21256510416666666</v>
      </c>
      <c r="G60" s="177">
        <f t="shared" si="20"/>
        <v>0.1220703125</v>
      </c>
      <c r="H60" s="177">
        <f t="shared" si="21"/>
        <v>5.95703125E-2</v>
      </c>
      <c r="I60" s="177">
        <f t="shared" si="22"/>
        <v>0.18619791666666666</v>
      </c>
      <c r="J60" s="178">
        <f t="shared" si="23"/>
        <v>3072</v>
      </c>
    </row>
    <row r="61" spans="4:10" x14ac:dyDescent="0.25">
      <c r="D61" s="179">
        <v>45851</v>
      </c>
      <c r="E61" s="177">
        <f t="shared" si="13"/>
        <v>0.42122719734660036</v>
      </c>
      <c r="F61" s="177">
        <f t="shared" si="19"/>
        <v>0.20597014925373133</v>
      </c>
      <c r="G61" s="177">
        <f t="shared" si="20"/>
        <v>0.13001658374792704</v>
      </c>
      <c r="H61" s="177">
        <f t="shared" si="21"/>
        <v>5.870646766169154E-2</v>
      </c>
      <c r="I61" s="177">
        <f t="shared" si="22"/>
        <v>0.18407960199004975</v>
      </c>
      <c r="J61" s="178">
        <f t="shared" si="23"/>
        <v>3015</v>
      </c>
    </row>
    <row r="62" spans="4:10" x14ac:dyDescent="0.25">
      <c r="D62" s="179">
        <v>45852</v>
      </c>
      <c r="E62" s="177">
        <f t="shared" si="13"/>
        <v>0.41660623640319072</v>
      </c>
      <c r="F62" s="177">
        <f t="shared" si="19"/>
        <v>0.21501087744742567</v>
      </c>
      <c r="G62" s="177">
        <f t="shared" si="20"/>
        <v>0.1363306744017404</v>
      </c>
      <c r="H62" s="177">
        <f t="shared" si="21"/>
        <v>6.0188542422044959E-2</v>
      </c>
      <c r="I62" s="177">
        <f t="shared" si="22"/>
        <v>0.17186366932559827</v>
      </c>
      <c r="J62" s="178">
        <f t="shared" si="23"/>
        <v>2758</v>
      </c>
    </row>
    <row r="63" spans="4:10" x14ac:dyDescent="0.25">
      <c r="D63" s="179">
        <v>45853</v>
      </c>
      <c r="E63" s="177">
        <f t="shared" si="13"/>
        <v>0.34001706484641636</v>
      </c>
      <c r="F63" s="177">
        <f t="shared" si="19"/>
        <v>0.25042662116040953</v>
      </c>
      <c r="G63" s="177">
        <f t="shared" si="20"/>
        <v>0.15742320819112629</v>
      </c>
      <c r="H63" s="177">
        <f t="shared" si="21"/>
        <v>6.3566552901023893E-2</v>
      </c>
      <c r="I63" s="177">
        <f t="shared" si="22"/>
        <v>0.18856655290102389</v>
      </c>
      <c r="J63" s="178">
        <f t="shared" si="23"/>
        <v>2344</v>
      </c>
    </row>
    <row r="64" spans="4:10" x14ac:dyDescent="0.25">
      <c r="D64" s="179">
        <v>45854</v>
      </c>
      <c r="E64" s="177">
        <f t="shared" si="13"/>
        <v>0.331249342004033</v>
      </c>
      <c r="F64" s="177">
        <f t="shared" si="19"/>
        <v>0.23378090556441883</v>
      </c>
      <c r="G64" s="177">
        <f t="shared" si="20"/>
        <v>0.15065880580818103</v>
      </c>
      <c r="H64" s="177">
        <f t="shared" si="21"/>
        <v>6.0260282958511838E-2</v>
      </c>
      <c r="I64" s="177">
        <f t="shared" si="22"/>
        <v>0.22405066366485535</v>
      </c>
      <c r="J64" s="178">
        <f t="shared" si="23"/>
        <v>2469.62</v>
      </c>
    </row>
    <row r="65" spans="4:10" x14ac:dyDescent="0.25">
      <c r="D65" s="179">
        <v>45855</v>
      </c>
      <c r="E65" s="177">
        <f t="shared" si="13"/>
        <v>0.41246684350132629</v>
      </c>
      <c r="F65" s="177">
        <f t="shared" si="19"/>
        <v>0.20590185676392572</v>
      </c>
      <c r="G65" s="177">
        <f t="shared" si="20"/>
        <v>0.13627320954907163</v>
      </c>
      <c r="H65" s="177">
        <f t="shared" si="21"/>
        <v>5.636604774535809E-2</v>
      </c>
      <c r="I65" s="177">
        <f t="shared" si="22"/>
        <v>0.18899204244031831</v>
      </c>
      <c r="J65" s="178">
        <f t="shared" si="23"/>
        <v>3016</v>
      </c>
    </row>
    <row r="66" spans="4:10" x14ac:dyDescent="0.25">
      <c r="D66" s="179">
        <v>45856</v>
      </c>
      <c r="E66" s="177">
        <f t="shared" si="13"/>
        <v>0.42098092643051771</v>
      </c>
      <c r="F66" s="177">
        <f t="shared" si="14"/>
        <v>0.20640326975476839</v>
      </c>
      <c r="G66" s="177">
        <f t="shared" si="15"/>
        <v>0.13147138964577657</v>
      </c>
      <c r="H66" s="177">
        <f t="shared" si="16"/>
        <v>5.790190735694823E-2</v>
      </c>
      <c r="I66" s="177">
        <f t="shared" si="17"/>
        <v>0.18324250681198911</v>
      </c>
      <c r="J66" s="178">
        <f t="shared" si="18"/>
        <v>2936</v>
      </c>
    </row>
    <row r="67" spans="4:10" x14ac:dyDescent="0.25">
      <c r="D67" s="179">
        <v>45857</v>
      </c>
      <c r="E67" s="177">
        <f t="shared" si="13"/>
        <v>0.42350993377483442</v>
      </c>
      <c r="F67" s="177">
        <f t="shared" si="14"/>
        <v>0.20033112582781457</v>
      </c>
      <c r="G67" s="177">
        <f t="shared" si="15"/>
        <v>0.12880794701986756</v>
      </c>
      <c r="H67" s="177">
        <f t="shared" si="16"/>
        <v>5.6291390728476824E-2</v>
      </c>
      <c r="I67" s="177">
        <f t="shared" si="17"/>
        <v>0.19105960264900662</v>
      </c>
      <c r="J67" s="178">
        <f t="shared" si="18"/>
        <v>3020</v>
      </c>
    </row>
    <row r="68" spans="4:10" x14ac:dyDescent="0.25">
      <c r="D68" s="179">
        <v>45858</v>
      </c>
      <c r="E68" s="177">
        <f t="shared" si="13"/>
        <v>0.42122719734660036</v>
      </c>
      <c r="F68" s="177">
        <f t="shared" si="14"/>
        <v>0.20597014925373133</v>
      </c>
      <c r="G68" s="177">
        <f t="shared" si="15"/>
        <v>0.13001658374792704</v>
      </c>
      <c r="H68" s="177">
        <f t="shared" si="16"/>
        <v>5.870646766169154E-2</v>
      </c>
      <c r="I68" s="177">
        <f t="shared" si="17"/>
        <v>0.18407960199004975</v>
      </c>
      <c r="J68" s="178">
        <f t="shared" si="18"/>
        <v>3015</v>
      </c>
    </row>
    <row r="69" spans="4:10" x14ac:dyDescent="0.25">
      <c r="D69" s="179">
        <v>45859</v>
      </c>
      <c r="E69" s="177">
        <f t="shared" si="13"/>
        <v>0.45221642764015646</v>
      </c>
      <c r="F69" s="177">
        <f t="shared" si="14"/>
        <v>0.19807692307692307</v>
      </c>
      <c r="G69" s="177">
        <f t="shared" si="15"/>
        <v>0.1297588005215124</v>
      </c>
      <c r="H69" s="177">
        <f t="shared" si="16"/>
        <v>5.6826224622834799E-2</v>
      </c>
      <c r="I69" s="177">
        <f t="shared" si="17"/>
        <v>0.16312162413857328</v>
      </c>
      <c r="J69" s="178">
        <f t="shared" si="18"/>
        <v>2147.6</v>
      </c>
    </row>
    <row r="70" spans="4:10" x14ac:dyDescent="0.25">
      <c r="D70" s="179">
        <v>45860</v>
      </c>
      <c r="E70" s="177">
        <f t="shared" si="13"/>
        <v>0.37102287154045976</v>
      </c>
      <c r="F70" s="177">
        <f t="shared" si="14"/>
        <v>0.22392234223324678</v>
      </c>
      <c r="G70" s="177">
        <f t="shared" si="15"/>
        <v>0.14461219945702064</v>
      </c>
      <c r="H70" s="177">
        <f t="shared" si="16"/>
        <v>6.3872341256665174E-2</v>
      </c>
      <c r="I70" s="177">
        <f t="shared" si="17"/>
        <v>0.19657024551260768</v>
      </c>
      <c r="J70" s="178">
        <f t="shared" si="18"/>
        <v>2559.9499999999998</v>
      </c>
    </row>
    <row r="71" spans="4:10" x14ac:dyDescent="0.25">
      <c r="D71" s="179">
        <v>45861</v>
      </c>
      <c r="E71" s="177">
        <f t="shared" si="13"/>
        <v>0.33547351524879615</v>
      </c>
      <c r="F71" s="177">
        <f t="shared" si="14"/>
        <v>0.23635634028892455</v>
      </c>
      <c r="G71" s="177">
        <f t="shared" si="15"/>
        <v>0.1492776886035313</v>
      </c>
      <c r="H71" s="177">
        <f t="shared" si="16"/>
        <v>6.3402889245585875E-2</v>
      </c>
      <c r="I71" s="177">
        <f t="shared" si="17"/>
        <v>0.21548956661316213</v>
      </c>
      <c r="J71" s="178">
        <f t="shared" si="18"/>
        <v>2492</v>
      </c>
    </row>
    <row r="72" spans="4:10" x14ac:dyDescent="0.25">
      <c r="D72" s="179">
        <v>45862</v>
      </c>
      <c r="E72" s="177">
        <f t="shared" si="13"/>
        <v>0.42023731048121293</v>
      </c>
      <c r="F72" s="177">
        <f t="shared" si="14"/>
        <v>0.20599868160843771</v>
      </c>
      <c r="G72" s="177">
        <f t="shared" si="15"/>
        <v>0.12524719841793014</v>
      </c>
      <c r="H72" s="177">
        <f t="shared" si="16"/>
        <v>5.8998022412656559E-2</v>
      </c>
      <c r="I72" s="177">
        <f t="shared" si="17"/>
        <v>0.18951878707976269</v>
      </c>
      <c r="J72" s="178">
        <f t="shared" si="18"/>
        <v>3034</v>
      </c>
    </row>
    <row r="73" spans="4:10" x14ac:dyDescent="0.25">
      <c r="D73" s="179">
        <v>45863</v>
      </c>
      <c r="E73" s="177">
        <f t="shared" si="13"/>
        <v>0.41804910418049102</v>
      </c>
      <c r="F73" s="177">
        <f t="shared" si="14"/>
        <v>0.20603848706038488</v>
      </c>
      <c r="G73" s="177">
        <f t="shared" si="15"/>
        <v>0.12773722627737227</v>
      </c>
      <c r="H73" s="177">
        <f t="shared" si="16"/>
        <v>5.9057730590577305E-2</v>
      </c>
      <c r="I73" s="177">
        <f t="shared" si="17"/>
        <v>0.18911745189117452</v>
      </c>
      <c r="J73" s="178">
        <f t="shared" si="18"/>
        <v>3014</v>
      </c>
    </row>
    <row r="74" spans="4:10" x14ac:dyDescent="0.25">
      <c r="D74" s="179">
        <v>45864</v>
      </c>
      <c r="E74" s="177">
        <f t="shared" si="13"/>
        <v>0.41029900332225916</v>
      </c>
      <c r="F74" s="177">
        <f t="shared" si="14"/>
        <v>0.21461794019933556</v>
      </c>
      <c r="G74" s="177">
        <f t="shared" si="15"/>
        <v>0.12757475083056477</v>
      </c>
      <c r="H74" s="177">
        <f t="shared" si="16"/>
        <v>5.9468438538205978E-2</v>
      </c>
      <c r="I74" s="177">
        <f t="shared" si="17"/>
        <v>0.18803986710963455</v>
      </c>
      <c r="J74" s="178">
        <f t="shared" si="18"/>
        <v>3010</v>
      </c>
    </row>
    <row r="75" spans="4:10" x14ac:dyDescent="0.25">
      <c r="D75" s="179">
        <v>45865</v>
      </c>
      <c r="E75" s="177">
        <f t="shared" si="13"/>
        <v>0.41697050049718265</v>
      </c>
      <c r="F75" s="177">
        <f t="shared" si="14"/>
        <v>0.21478289691746769</v>
      </c>
      <c r="G75" s="177">
        <f t="shared" si="15"/>
        <v>0.1368909512761021</v>
      </c>
      <c r="H75" s="177">
        <f t="shared" si="16"/>
        <v>5.7010275107722906E-2</v>
      </c>
      <c r="I75" s="177">
        <f t="shared" si="17"/>
        <v>0.17434537620152468</v>
      </c>
      <c r="J75" s="178">
        <f t="shared" si="18"/>
        <v>3017</v>
      </c>
    </row>
    <row r="76" spans="4:10" x14ac:dyDescent="0.25">
      <c r="D76" s="179">
        <v>45866</v>
      </c>
      <c r="E76" s="177" t="e">
        <f t="shared" si="13"/>
        <v>#DIV/0!</v>
      </c>
      <c r="F76" s="177" t="e">
        <f t="shared" si="14"/>
        <v>#DIV/0!</v>
      </c>
      <c r="G76" s="177" t="e">
        <f t="shared" si="15"/>
        <v>#DIV/0!</v>
      </c>
      <c r="H76" s="177" t="e">
        <f t="shared" si="16"/>
        <v>#DIV/0!</v>
      </c>
      <c r="I76" s="177" t="e">
        <f t="shared" si="17"/>
        <v>#DIV/0!</v>
      </c>
      <c r="J76" s="178">
        <f t="shared" si="18"/>
        <v>0</v>
      </c>
    </row>
    <row r="77" spans="4:10" x14ac:dyDescent="0.25">
      <c r="D77" s="179">
        <v>45867</v>
      </c>
      <c r="E77" s="177" t="e">
        <f t="shared" si="13"/>
        <v>#DIV/0!</v>
      </c>
      <c r="F77" s="177" t="e">
        <f t="shared" si="14"/>
        <v>#DIV/0!</v>
      </c>
      <c r="G77" s="177" t="e">
        <f t="shared" si="15"/>
        <v>#DIV/0!</v>
      </c>
      <c r="H77" s="177" t="e">
        <f t="shared" si="16"/>
        <v>#DIV/0!</v>
      </c>
      <c r="I77" s="177" t="e">
        <f t="shared" si="17"/>
        <v>#DIV/0!</v>
      </c>
      <c r="J77" s="178">
        <f t="shared" si="18"/>
        <v>0</v>
      </c>
    </row>
    <row r="78" spans="4:10" x14ac:dyDescent="0.25">
      <c r="D78" s="179">
        <v>45868</v>
      </c>
      <c r="E78" s="177" t="e">
        <f t="shared" si="13"/>
        <v>#DIV/0!</v>
      </c>
      <c r="F78" s="177" t="e">
        <f t="shared" si="14"/>
        <v>#DIV/0!</v>
      </c>
      <c r="G78" s="177" t="e">
        <f t="shared" si="15"/>
        <v>#DIV/0!</v>
      </c>
      <c r="H78" s="177" t="e">
        <f t="shared" si="16"/>
        <v>#DIV/0!</v>
      </c>
      <c r="I78" s="177" t="e">
        <f t="shared" si="17"/>
        <v>#DIV/0!</v>
      </c>
      <c r="J78" s="178">
        <f t="shared" si="18"/>
        <v>0</v>
      </c>
    </row>
    <row r="79" spans="4:10" x14ac:dyDescent="0.25">
      <c r="D79" s="179">
        <v>45869</v>
      </c>
      <c r="E79" s="177" t="e">
        <f t="shared" ref="E79" si="24">F45/J79</f>
        <v>#DIV/0!</v>
      </c>
      <c r="F79" s="177" t="e">
        <f t="shared" ref="F79" si="25">L45/J79</f>
        <v>#DIV/0!</v>
      </c>
      <c r="G79" s="177" t="e">
        <f t="shared" ref="G79" si="26">S45/J79</f>
        <v>#DIV/0!</v>
      </c>
      <c r="H79" s="177" t="e">
        <f t="shared" ref="H79" si="27">T45/J79</f>
        <v>#DIV/0!</v>
      </c>
      <c r="I79" s="177" t="e">
        <f t="shared" ref="I79" si="28">X45/J79</f>
        <v>#DIV/0!</v>
      </c>
      <c r="J79" s="178">
        <f t="shared" ref="J79" si="29">F45+L45+S45+T45+X45</f>
        <v>0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phoneticPr fontId="9" type="noConversion"/>
  <conditionalFormatting sqref="L16:L19 L22:L23 L42">
    <cfRule type="cellIs" dxfId="119" priority="416" operator="equal">
      <formula>MAX($L$14:$L$16)</formula>
    </cfRule>
  </conditionalFormatting>
  <conditionalFormatting sqref="T16:T19 T22:T23 T42:T43">
    <cfRule type="cellIs" dxfId="118" priority="417" operator="equal">
      <formula>MAX($T$14:$T$16)</formula>
    </cfRule>
  </conditionalFormatting>
  <conditionalFormatting sqref="X16:X19 X22:X23 X42:X43">
    <cfRule type="cellIs" dxfId="117" priority="418" operator="equal">
      <formula>MAX($X$14:$X$16)</formula>
    </cfRule>
  </conditionalFormatting>
  <conditionalFormatting sqref="J16:J19 J42 J23">
    <cfRule type="cellIs" dxfId="116" priority="419" operator="equal">
      <formula>MAX($J$14:$J$16)</formula>
    </cfRule>
  </conditionalFormatting>
  <conditionalFormatting sqref="V16:V19 V42:V43 V23">
    <cfRule type="cellIs" dxfId="115" priority="420" operator="equal">
      <formula>MAX($V$14:$V$16)</formula>
    </cfRule>
  </conditionalFormatting>
  <conditionalFormatting sqref="D16:D19">
    <cfRule type="cellIs" dxfId="114" priority="421" operator="equal">
      <formula>MAX($D$14:$D$16)</formula>
    </cfRule>
  </conditionalFormatting>
  <conditionalFormatting sqref="S16:S19 S22:S23 S42:S43">
    <cfRule type="cellIs" dxfId="113" priority="422" operator="equal">
      <formula>MAX($S$14:$S$16)</formula>
    </cfRule>
  </conditionalFormatting>
  <conditionalFormatting sqref="N16:N19 N42 N23">
    <cfRule type="cellIs" dxfId="112" priority="423" operator="equal">
      <formula>MAX($N$14:$N$16)</formula>
    </cfRule>
  </conditionalFormatting>
  <conditionalFormatting sqref="P16:P19 P42 P23">
    <cfRule type="cellIs" dxfId="111" priority="424" operator="equal">
      <formula>MAX($P$14:$P$16)</formula>
    </cfRule>
  </conditionalFormatting>
  <conditionalFormatting sqref="D45 D42 D20:D23">
    <cfRule type="cellIs" dxfId="110" priority="334" operator="equal">
      <formula>MAX($D$14:$D$42)</formula>
    </cfRule>
  </conditionalFormatting>
  <conditionalFormatting sqref="L20:L21">
    <cfRule type="cellIs" dxfId="109" priority="325" operator="equal">
      <formula>MAX($L$14:$L$42)</formula>
    </cfRule>
  </conditionalFormatting>
  <conditionalFormatting sqref="T20:T21">
    <cfRule type="cellIs" dxfId="108" priority="326" operator="equal">
      <formula>MAX($T$14:$T$42)</formula>
    </cfRule>
  </conditionalFormatting>
  <conditionalFormatting sqref="X20:X21">
    <cfRule type="cellIs" dxfId="107" priority="327" operator="equal">
      <formula>MAX($X$14:$X$42)</formula>
    </cfRule>
  </conditionalFormatting>
  <conditionalFormatting sqref="J20:J21">
    <cfRule type="cellIs" dxfId="106" priority="328" operator="equal">
      <formula>MAX($J$14:$J$42)</formula>
    </cfRule>
  </conditionalFormatting>
  <conditionalFormatting sqref="V20:V21">
    <cfRule type="cellIs" dxfId="105" priority="329" operator="equal">
      <formula>MAX($V$14:$V$42)</formula>
    </cfRule>
  </conditionalFormatting>
  <conditionalFormatting sqref="S20:S21">
    <cfRule type="cellIs" dxfId="104" priority="330" operator="equal">
      <formula>MAX($S$14:$S$42)</formula>
    </cfRule>
  </conditionalFormatting>
  <conditionalFormatting sqref="N20:N21">
    <cfRule type="cellIs" dxfId="103" priority="331" operator="equal">
      <formula>MAX($N$14:$N$42)</formula>
    </cfRule>
  </conditionalFormatting>
  <conditionalFormatting sqref="P20:P21">
    <cfRule type="cellIs" dxfId="102" priority="332" operator="equal">
      <formula>MAX($P$14:$P$42)</formula>
    </cfRule>
  </conditionalFormatting>
  <conditionalFormatting sqref="E48:E64">
    <cfRule type="top10" dxfId="101" priority="324" rank="2"/>
  </conditionalFormatting>
  <conditionalFormatting sqref="F48:F79">
    <cfRule type="top10" dxfId="100" priority="323" rank="2"/>
  </conditionalFormatting>
  <conditionalFormatting sqref="G48:G64">
    <cfRule type="top10" dxfId="99" priority="322" rank="2"/>
  </conditionalFormatting>
  <conditionalFormatting sqref="H48:H64">
    <cfRule type="top10" dxfId="98" priority="321" rank="2"/>
  </conditionalFormatting>
  <conditionalFormatting sqref="I48:I64">
    <cfRule type="top10" dxfId="97" priority="320" rank="2"/>
  </conditionalFormatting>
  <conditionalFormatting sqref="G18:G23 G42:G45">
    <cfRule type="cellIs" dxfId="96" priority="278" operator="equal">
      <formula>MAX($G$14:$G$16)</formula>
    </cfRule>
  </conditionalFormatting>
  <conditionalFormatting sqref="L45">
    <cfRule type="cellIs" dxfId="95" priority="268" operator="equal">
      <formula>MAX($L$14:$L$16)</formula>
    </cfRule>
  </conditionalFormatting>
  <conditionalFormatting sqref="T45">
    <cfRule type="cellIs" dxfId="94" priority="269" operator="equal">
      <formula>MAX($T$14:$T$16)</formula>
    </cfRule>
  </conditionalFormatting>
  <conditionalFormatting sqref="X45">
    <cfRule type="cellIs" dxfId="93" priority="270" operator="equal">
      <formula>MAX($X$14:$X$16)</formula>
    </cfRule>
  </conditionalFormatting>
  <conditionalFormatting sqref="J45">
    <cfRule type="cellIs" dxfId="92" priority="271" operator="equal">
      <formula>MAX($J$14:$J$16)</formula>
    </cfRule>
  </conditionalFormatting>
  <conditionalFormatting sqref="V45">
    <cfRule type="cellIs" dxfId="91" priority="272" operator="equal">
      <formula>MAX($V$14:$V$16)</formula>
    </cfRule>
  </conditionalFormatting>
  <conditionalFormatting sqref="S45">
    <cfRule type="cellIs" dxfId="90" priority="274" operator="equal">
      <formula>MAX($S$14:$S$16)</formula>
    </cfRule>
  </conditionalFormatting>
  <conditionalFormatting sqref="N45">
    <cfRule type="cellIs" dxfId="89" priority="275" operator="equal">
      <formula>MAX($N$14:$N$16)</formula>
    </cfRule>
  </conditionalFormatting>
  <conditionalFormatting sqref="P45">
    <cfRule type="cellIs" dxfId="88" priority="276" operator="equal">
      <formula>MAX($P$14:$P$16)</formula>
    </cfRule>
  </conditionalFormatting>
  <conditionalFormatting sqref="N43">
    <cfRule type="cellIs" dxfId="87" priority="227" operator="equal">
      <formula>MAX($N$14:$N$16)</formula>
    </cfRule>
  </conditionalFormatting>
  <conditionalFormatting sqref="P43">
    <cfRule type="cellIs" dxfId="86" priority="228" operator="equal">
      <formula>MAX($P$14:$P$16)</formula>
    </cfRule>
  </conditionalFormatting>
  <conditionalFormatting sqref="L43">
    <cfRule type="cellIs" dxfId="85" priority="223" operator="equal">
      <formula>MAX($L$14:$L$16)</formula>
    </cfRule>
  </conditionalFormatting>
  <conditionalFormatting sqref="J43">
    <cfRule type="cellIs" dxfId="84" priority="224" operator="equal">
      <formula>MAX($J$14:$J$16)</formula>
    </cfRule>
  </conditionalFormatting>
  <conditionalFormatting sqref="D43">
    <cfRule type="cellIs" dxfId="83" priority="221" operator="equal">
      <formula>MAX($D$14:$D$42)</formula>
    </cfRule>
  </conditionalFormatting>
  <conditionalFormatting sqref="G16:G17">
    <cfRule type="cellIs" dxfId="82" priority="162" operator="equal">
      <formula>MAX($G$14:$G$16)</formula>
    </cfRule>
  </conditionalFormatting>
  <conditionalFormatting sqref="D44">
    <cfRule type="cellIs" dxfId="81" priority="133" operator="equal">
      <formula>MAX($D$14:$D$42)</formula>
    </cfRule>
  </conditionalFormatting>
  <conditionalFormatting sqref="L44">
    <cfRule type="cellIs" dxfId="80" priority="129" operator="equal">
      <formula>MAX($L$14:$L$16)</formula>
    </cfRule>
  </conditionalFormatting>
  <conditionalFormatting sqref="J44">
    <cfRule type="cellIs" dxfId="79" priority="130" operator="equal">
      <formula>MAX($J$14:$J$16)</formula>
    </cfRule>
  </conditionalFormatting>
  <conditionalFormatting sqref="N44">
    <cfRule type="cellIs" dxfId="78" priority="125" operator="equal">
      <formula>MAX($N$14:$N$16)</formula>
    </cfRule>
  </conditionalFormatting>
  <conditionalFormatting sqref="P44">
    <cfRule type="cellIs" dxfId="77" priority="126" operator="equal">
      <formula>MAX($P$14:$P$16)</formula>
    </cfRule>
  </conditionalFormatting>
  <conditionalFormatting sqref="T44">
    <cfRule type="cellIs" dxfId="76" priority="121" operator="equal">
      <formula>MAX($T$14:$T$16)</formula>
    </cfRule>
  </conditionalFormatting>
  <conditionalFormatting sqref="S44">
    <cfRule type="cellIs" dxfId="75" priority="122" operator="equal">
      <formula>MAX($S$14:$S$16)</formula>
    </cfRule>
  </conditionalFormatting>
  <conditionalFormatting sqref="X44">
    <cfRule type="cellIs" dxfId="74" priority="117" operator="equal">
      <formula>MAX($X$14:$X$16)</formula>
    </cfRule>
  </conditionalFormatting>
  <conditionalFormatting sqref="V44">
    <cfRule type="cellIs" dxfId="73" priority="118" operator="equal">
      <formula>MAX($V$14:$V$16)</formula>
    </cfRule>
  </conditionalFormatting>
  <conditionalFormatting sqref="V22">
    <cfRule type="cellIs" dxfId="72" priority="95" operator="equal">
      <formula>MAX($V$14:$V$16)</formula>
    </cfRule>
  </conditionalFormatting>
  <conditionalFormatting sqref="N22">
    <cfRule type="cellIs" dxfId="71" priority="91" operator="equal">
      <formula>MAX($N$14:$N$16)</formula>
    </cfRule>
  </conditionalFormatting>
  <conditionalFormatting sqref="P22">
    <cfRule type="cellIs" dxfId="70" priority="92" operator="equal">
      <formula>MAX($P$14:$P$16)</formula>
    </cfRule>
  </conditionalFormatting>
  <conditionalFormatting sqref="J22">
    <cfRule type="cellIs" dxfId="69" priority="89" operator="equal">
      <formula>MAX($J$14:$J$16)</formula>
    </cfRule>
  </conditionalFormatting>
  <conditionalFormatting sqref="D15">
    <cfRule type="cellIs" dxfId="68" priority="88" operator="equal">
      <formula>MAX($D$14:$D$42)</formula>
    </cfRule>
  </conditionalFormatting>
  <conditionalFormatting sqref="G15">
    <cfRule type="cellIs" dxfId="67" priority="87" operator="equal">
      <formula>MAX($G$14:$G$16)</formula>
    </cfRule>
  </conditionalFormatting>
  <conditionalFormatting sqref="L15">
    <cfRule type="cellIs" dxfId="66" priority="79" operator="equal">
      <formula>MAX($L$14:$L$16)</formula>
    </cfRule>
  </conditionalFormatting>
  <conditionalFormatting sqref="T15">
    <cfRule type="cellIs" dxfId="65" priority="80" operator="equal">
      <formula>MAX($T$14:$T$16)</formula>
    </cfRule>
  </conditionalFormatting>
  <conditionalFormatting sqref="X15">
    <cfRule type="cellIs" dxfId="64" priority="81" operator="equal">
      <formula>MAX($X$14:$X$16)</formula>
    </cfRule>
  </conditionalFormatting>
  <conditionalFormatting sqref="J15">
    <cfRule type="cellIs" dxfId="63" priority="82" operator="equal">
      <formula>MAX($J$14:$J$16)</formula>
    </cfRule>
  </conditionalFormatting>
  <conditionalFormatting sqref="V15">
    <cfRule type="cellIs" dxfId="62" priority="83" operator="equal">
      <formula>MAX($V$14:$V$16)</formula>
    </cfRule>
  </conditionalFormatting>
  <conditionalFormatting sqref="S15">
    <cfRule type="cellIs" dxfId="61" priority="84" operator="equal">
      <formula>MAX($S$14:$S$16)</formula>
    </cfRule>
  </conditionalFormatting>
  <conditionalFormatting sqref="N15">
    <cfRule type="cellIs" dxfId="60" priority="85" operator="equal">
      <formula>MAX($N$14:$N$16)</formula>
    </cfRule>
  </conditionalFormatting>
  <conditionalFormatting sqref="P15">
    <cfRule type="cellIs" dxfId="59" priority="86" operator="equal">
      <formula>MAX($P$14:$P$16)</formula>
    </cfRule>
  </conditionalFormatting>
  <conditionalFormatting sqref="D14">
    <cfRule type="cellIs" dxfId="58" priority="59" operator="equal">
      <formula>MAX($D$14:$D$42)</formula>
    </cfRule>
  </conditionalFormatting>
  <conditionalFormatting sqref="G14">
    <cfRule type="cellIs" dxfId="57" priority="58" operator="equal">
      <formula>MAX($G$14:$G$16)</formula>
    </cfRule>
  </conditionalFormatting>
  <conditionalFormatting sqref="L14">
    <cfRule type="cellIs" dxfId="56" priority="50" operator="equal">
      <formula>MAX($L$14:$L$16)</formula>
    </cfRule>
  </conditionalFormatting>
  <conditionalFormatting sqref="T14">
    <cfRule type="cellIs" dxfId="55" priority="51" operator="equal">
      <formula>MAX($T$14:$T$16)</formula>
    </cfRule>
  </conditionalFormatting>
  <conditionalFormatting sqref="X14">
    <cfRule type="cellIs" dxfId="54" priority="52" operator="equal">
      <formula>MAX($X$14:$X$16)</formula>
    </cfRule>
  </conditionalFormatting>
  <conditionalFormatting sqref="J14">
    <cfRule type="cellIs" dxfId="53" priority="53" operator="equal">
      <formula>MAX($J$14:$J$16)</formula>
    </cfRule>
  </conditionalFormatting>
  <conditionalFormatting sqref="V14">
    <cfRule type="cellIs" dxfId="52" priority="54" operator="equal">
      <formula>MAX($V$14:$V$16)</formula>
    </cfRule>
  </conditionalFormatting>
  <conditionalFormatting sqref="S14">
    <cfRule type="cellIs" dxfId="51" priority="55" operator="equal">
      <formula>MAX($S$14:$S$16)</formula>
    </cfRule>
  </conditionalFormatting>
  <conditionalFormatting sqref="N14">
    <cfRule type="cellIs" dxfId="50" priority="56" operator="equal">
      <formula>MAX($N$14:$N$16)</formula>
    </cfRule>
  </conditionalFormatting>
  <conditionalFormatting sqref="P14">
    <cfRule type="cellIs" dxfId="49" priority="57" operator="equal">
      <formula>MAX($P$14:$P$16)</formula>
    </cfRule>
  </conditionalFormatting>
  <conditionalFormatting sqref="L27:L32 L24:L25 L34:L37">
    <cfRule type="cellIs" dxfId="48" priority="42" operator="equal">
      <formula>MAX($L$14:$L$16)</formula>
    </cfRule>
  </conditionalFormatting>
  <conditionalFormatting sqref="T27:T32 T24:T25 T34:T37">
    <cfRule type="cellIs" dxfId="47" priority="43" operator="equal">
      <formula>MAX($T$14:$T$16)</formula>
    </cfRule>
  </conditionalFormatting>
  <conditionalFormatting sqref="X27:X32 X24:X25 X34:X37">
    <cfRule type="cellIs" dxfId="46" priority="44" operator="equal">
      <formula>MAX($X$14:$X$16)</formula>
    </cfRule>
  </conditionalFormatting>
  <conditionalFormatting sqref="J27:J32 J34:J37 J24:J25">
    <cfRule type="cellIs" dxfId="45" priority="45" operator="equal">
      <formula>MAX($J$14:$J$16)</formula>
    </cfRule>
  </conditionalFormatting>
  <conditionalFormatting sqref="V27:V32 V34:V37">
    <cfRule type="cellIs" dxfId="44" priority="46" operator="equal">
      <formula>MAX($V$14:$V$16)</formula>
    </cfRule>
  </conditionalFormatting>
  <conditionalFormatting sqref="S27:S32 S24:S25 S34:S37">
    <cfRule type="cellIs" dxfId="43" priority="47" operator="equal">
      <formula>MAX($S$14:$S$16)</formula>
    </cfRule>
  </conditionalFormatting>
  <conditionalFormatting sqref="N27:N32 N34:N37 N24:N25">
    <cfRule type="cellIs" dxfId="42" priority="48" operator="equal">
      <formula>MAX($N$14:$N$16)</formula>
    </cfRule>
  </conditionalFormatting>
  <conditionalFormatting sqref="P27:P32 P34:P37 P24:P25">
    <cfRule type="cellIs" dxfId="41" priority="49" operator="equal">
      <formula>MAX($P$14:$P$16)</formula>
    </cfRule>
  </conditionalFormatting>
  <conditionalFormatting sqref="L26">
    <cfRule type="cellIs" dxfId="40" priority="34" operator="equal">
      <formula>MAX($L$14:$L$16)</formula>
    </cfRule>
  </conditionalFormatting>
  <conditionalFormatting sqref="T26">
    <cfRule type="cellIs" dxfId="39" priority="35" operator="equal">
      <formula>MAX($T$14:$T$16)</formula>
    </cfRule>
  </conditionalFormatting>
  <conditionalFormatting sqref="X26">
    <cfRule type="cellIs" dxfId="38" priority="36" operator="equal">
      <formula>MAX($X$14:$X$16)</formula>
    </cfRule>
  </conditionalFormatting>
  <conditionalFormatting sqref="J26">
    <cfRule type="cellIs" dxfId="37" priority="37" operator="equal">
      <formula>MAX($J$14:$J$16)</formula>
    </cfRule>
  </conditionalFormatting>
  <conditionalFormatting sqref="V26">
    <cfRule type="cellIs" dxfId="36" priority="38" operator="equal">
      <formula>MAX($V$14:$V$16)</formula>
    </cfRule>
  </conditionalFormatting>
  <conditionalFormatting sqref="S26">
    <cfRule type="cellIs" dxfId="35" priority="39" operator="equal">
      <formula>MAX($S$14:$S$16)</formula>
    </cfRule>
  </conditionalFormatting>
  <conditionalFormatting sqref="N26">
    <cfRule type="cellIs" dxfId="34" priority="40" operator="equal">
      <formula>MAX($N$14:$N$16)</formula>
    </cfRule>
  </conditionalFormatting>
  <conditionalFormatting sqref="P26">
    <cfRule type="cellIs" dxfId="33" priority="41" operator="equal">
      <formula>MAX($P$14:$P$16)</formula>
    </cfRule>
  </conditionalFormatting>
  <conditionalFormatting sqref="D34:D37 D24:D32">
    <cfRule type="cellIs" dxfId="32" priority="33" operator="equal">
      <formula>MAX($D$14:$D$42)</formula>
    </cfRule>
  </conditionalFormatting>
  <conditionalFormatting sqref="V24">
    <cfRule type="cellIs" dxfId="31" priority="32" operator="equal">
      <formula>MAX($J$14:$J$16)</formula>
    </cfRule>
  </conditionalFormatting>
  <conditionalFormatting sqref="V25">
    <cfRule type="cellIs" dxfId="30" priority="31" operator="equal">
      <formula>MAX($J$14:$J$16)</formula>
    </cfRule>
  </conditionalFormatting>
  <conditionalFormatting sqref="G24:G32 G34:G37">
    <cfRule type="cellIs" dxfId="29" priority="30" operator="equal">
      <formula>MAX($G$14:$G$16)</formula>
    </cfRule>
  </conditionalFormatting>
  <conditionalFormatting sqref="L33">
    <cfRule type="cellIs" dxfId="28" priority="22" operator="equal">
      <formula>MAX($L$14:$L$16)</formula>
    </cfRule>
  </conditionalFormatting>
  <conditionalFormatting sqref="T33">
    <cfRule type="cellIs" dxfId="27" priority="23" operator="equal">
      <formula>MAX($T$14:$T$16)</formula>
    </cfRule>
  </conditionalFormatting>
  <conditionalFormatting sqref="X33">
    <cfRule type="cellIs" dxfId="26" priority="24" operator="equal">
      <formula>MAX($X$14:$X$16)</formula>
    </cfRule>
  </conditionalFormatting>
  <conditionalFormatting sqref="J33">
    <cfRule type="cellIs" dxfId="25" priority="25" operator="equal">
      <formula>MAX($J$14:$J$16)</formula>
    </cfRule>
  </conditionalFormatting>
  <conditionalFormatting sqref="V33">
    <cfRule type="cellIs" dxfId="24" priority="26" operator="equal">
      <formula>MAX($V$14:$V$16)</formula>
    </cfRule>
  </conditionalFormatting>
  <conditionalFormatting sqref="S33">
    <cfRule type="cellIs" dxfId="23" priority="27" operator="equal">
      <formula>MAX($S$14:$S$16)</formula>
    </cfRule>
  </conditionalFormatting>
  <conditionalFormatting sqref="N33">
    <cfRule type="cellIs" dxfId="22" priority="28" operator="equal">
      <formula>MAX($N$14:$N$16)</formula>
    </cfRule>
  </conditionalFormatting>
  <conditionalFormatting sqref="P33">
    <cfRule type="cellIs" dxfId="21" priority="29" operator="equal">
      <formula>MAX($P$14:$P$16)</formula>
    </cfRule>
  </conditionalFormatting>
  <conditionalFormatting sqref="D33">
    <cfRule type="cellIs" dxfId="20" priority="21" operator="equal">
      <formula>MAX($D$14:$D$42)</formula>
    </cfRule>
  </conditionalFormatting>
  <conditionalFormatting sqref="G33">
    <cfRule type="cellIs" dxfId="19" priority="20" operator="equal">
      <formula>MAX($G$14:$G$16)</formula>
    </cfRule>
  </conditionalFormatting>
  <conditionalFormatting sqref="L41 L38:L39">
    <cfRule type="cellIs" dxfId="18" priority="12" operator="equal">
      <formula>MAX($L$14:$L$16)</formula>
    </cfRule>
  </conditionalFormatting>
  <conditionalFormatting sqref="T41 T38:T39">
    <cfRule type="cellIs" dxfId="17" priority="13" operator="equal">
      <formula>MAX($T$14:$T$16)</formula>
    </cfRule>
  </conditionalFormatting>
  <conditionalFormatting sqref="X41 X38:X39">
    <cfRule type="cellIs" dxfId="16" priority="14" operator="equal">
      <formula>MAX($X$14:$X$16)</formula>
    </cfRule>
  </conditionalFormatting>
  <conditionalFormatting sqref="J41 J38:J39">
    <cfRule type="cellIs" dxfId="15" priority="15" operator="equal">
      <formula>MAX($J$14:$J$16)</formula>
    </cfRule>
  </conditionalFormatting>
  <conditionalFormatting sqref="V41 V38:V39">
    <cfRule type="cellIs" dxfId="14" priority="16" operator="equal">
      <formula>MAX($V$14:$V$16)</formula>
    </cfRule>
  </conditionalFormatting>
  <conditionalFormatting sqref="S41 S38:S39">
    <cfRule type="cellIs" dxfId="13" priority="17" operator="equal">
      <formula>MAX($S$14:$S$16)</formula>
    </cfRule>
  </conditionalFormatting>
  <conditionalFormatting sqref="N41 N38:N39">
    <cfRule type="cellIs" dxfId="12" priority="18" operator="equal">
      <formula>MAX($N$14:$N$16)</formula>
    </cfRule>
  </conditionalFormatting>
  <conditionalFormatting sqref="P41 P39">
    <cfRule type="cellIs" dxfId="11" priority="19" operator="equal">
      <formula>MAX($P$14:$P$16)</formula>
    </cfRule>
  </conditionalFormatting>
  <conditionalFormatting sqref="L40">
    <cfRule type="cellIs" dxfId="10" priority="4" operator="equal">
      <formula>MAX($L$14:$L$16)</formula>
    </cfRule>
  </conditionalFormatting>
  <conditionalFormatting sqref="T40">
    <cfRule type="cellIs" dxfId="9" priority="5" operator="equal">
      <formula>MAX($T$14:$T$16)</formula>
    </cfRule>
  </conditionalFormatting>
  <conditionalFormatting sqref="X40">
    <cfRule type="cellIs" dxfId="8" priority="6" operator="equal">
      <formula>MAX($X$14:$X$16)</formula>
    </cfRule>
  </conditionalFormatting>
  <conditionalFormatting sqref="J40">
    <cfRule type="cellIs" dxfId="7" priority="7" operator="equal">
      <formula>MAX($J$14:$J$16)</formula>
    </cfRule>
  </conditionalFormatting>
  <conditionalFormatting sqref="V40">
    <cfRule type="cellIs" dxfId="6" priority="8" operator="equal">
      <formula>MAX($V$14:$V$16)</formula>
    </cfRule>
  </conditionalFormatting>
  <conditionalFormatting sqref="S40">
    <cfRule type="cellIs" dxfId="5" priority="9" operator="equal">
      <formula>MAX($S$14:$S$16)</formula>
    </cfRule>
  </conditionalFormatting>
  <conditionalFormatting sqref="N40">
    <cfRule type="cellIs" dxfId="4" priority="10" operator="equal">
      <formula>MAX($N$14:$N$16)</formula>
    </cfRule>
  </conditionalFormatting>
  <conditionalFormatting sqref="P40">
    <cfRule type="cellIs" dxfId="3" priority="11" operator="equal">
      <formula>MAX($P$14:$P$16)</formula>
    </cfRule>
  </conditionalFormatting>
  <conditionalFormatting sqref="D38:D41">
    <cfRule type="cellIs" dxfId="2" priority="3" operator="equal">
      <formula>MAX($D$14:$D$42)</formula>
    </cfRule>
  </conditionalFormatting>
  <conditionalFormatting sqref="G38:G41">
    <cfRule type="cellIs" dxfId="1" priority="2" operator="equal">
      <formula>MAX($G$14:$G$16)</formula>
    </cfRule>
  </conditionalFormatting>
  <conditionalFormatting sqref="P38">
    <cfRule type="cellIs" dxfId="0" priority="1" operator="equal">
      <formula>MAX($P$14:$P$16)</formula>
    </cfRule>
  </conditionalFormatting>
  <pageMargins left="0.7" right="0.7" top="0.75" bottom="0.75" header="0.3" footer="0.3"/>
  <pageSetup paperSize="9" scale="64" orientation="portrait" horizontalDpi="4294967295" verticalDpi="4294967295" r:id="rId1"/>
  <colBreaks count="1" manualBreakCount="1">
    <brk id="25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BCA511-7B91-4B72-B4F3-8175C2C806EF}">
  <ds:schemaRefs>
    <ds:schemaRef ds:uri="http://schemas.microsoft.com/office/2006/metadata/properties"/>
    <ds:schemaRef ds:uri="http://schemas.microsoft.com/office/infopath/2007/PartnerControls"/>
    <ds:schemaRef ds:uri="a49c09fe-4018-4f3a-9927-d6e5af32fdd5"/>
    <ds:schemaRef ds:uri="ffac592c-cdc9-47d3-9b5f-572462ebd9e4"/>
  </ds:schemaRefs>
</ds:datastoreItem>
</file>

<file path=customXml/itemProps2.xml><?xml version="1.0" encoding="utf-8"?>
<ds:datastoreItem xmlns:ds="http://schemas.openxmlformats.org/officeDocument/2006/customXml" ds:itemID="{2F8AAD19-02EA-4280-B365-8810DF5CEE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450C23-B9A2-45D4-8942-0C308DF3F8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2026-08-28T13:54:05Z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</Properties>
</file>