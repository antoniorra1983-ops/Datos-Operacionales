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Filezilla/2021/Energia/2025/Agosto/31-08-2025/"/>
    </mc:Choice>
  </mc:AlternateContent>
  <xr:revisionPtr revIDLastSave="7" documentId="13_ncr:1_{B90A061A-156C-4D8D-8A7F-2C02CA6C784F}" xr6:coauthVersionLast="47" xr6:coauthVersionMax="47" xr10:uidLastSave="{93F5AF04-335B-4CC2-9052-621EE40B3BB2}"/>
  <bookViews>
    <workbookView xWindow="-120" yWindow="-120" windowWidth="29040" windowHeight="15720" activeTab="1" xr2:uid="{00000000-000D-0000-FFFF-FFFF00000000}"/>
  </bookViews>
  <sheets>
    <sheet name="SEAT-SERs" sheetId="1" r:id="rId1"/>
    <sheet name="SAFs" sheetId="2" r:id="rId2"/>
    <sheet name="Hoja1" sheetId="4" r:id="rId3"/>
    <sheet name="Hoja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7" i="2" l="1"/>
  <c r="G47" i="2"/>
  <c r="G46" i="2"/>
  <c r="H46" i="2"/>
  <c r="F46" i="2"/>
  <c r="BB37" i="1"/>
  <c r="BB32" i="1"/>
  <c r="BB31" i="1"/>
  <c r="BI29" i="1"/>
  <c r="BB28" i="1"/>
  <c r="BI21" i="1"/>
  <c r="D18" i="1"/>
  <c r="BB13" i="1"/>
  <c r="BB12" i="1"/>
  <c r="BL26" i="1"/>
  <c r="BA19" i="1"/>
  <c r="AP27" i="1" l="1"/>
  <c r="AF22" i="1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15" i="2"/>
  <c r="G16" i="2"/>
  <c r="G17" i="2"/>
  <c r="G18" i="2"/>
  <c r="D13" i="1"/>
  <c r="BA6" i="1"/>
  <c r="AW6" i="1" s="1"/>
  <c r="D38" i="1"/>
  <c r="H38" i="1"/>
  <c r="F38" i="1" s="1"/>
  <c r="E38" i="1" s="1"/>
  <c r="AD38" i="1"/>
  <c r="AF38" i="1"/>
  <c r="AC38" i="1" s="1"/>
  <c r="AM38" i="1"/>
  <c r="AN38" i="1"/>
  <c r="AP38" i="1"/>
  <c r="AX38" i="1"/>
  <c r="BA38" i="1"/>
  <c r="AY38" i="1" s="1"/>
  <c r="BL38" i="1"/>
  <c r="L38" i="1" s="1"/>
  <c r="P38" i="1" s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8" i="1"/>
  <c r="AP29" i="1"/>
  <c r="AP30" i="1"/>
  <c r="AP31" i="1"/>
  <c r="AP32" i="1"/>
  <c r="AP33" i="1"/>
  <c r="AP34" i="1"/>
  <c r="AP35" i="1"/>
  <c r="AP36" i="1"/>
  <c r="AP37" i="1"/>
  <c r="AX7" i="1"/>
  <c r="BA7" i="1"/>
  <c r="AW7" i="1" s="1"/>
  <c r="AX8" i="1"/>
  <c r="AX9" i="1"/>
  <c r="AX10" i="1"/>
  <c r="BA10" i="1"/>
  <c r="AY10" i="1" s="1"/>
  <c r="AX11" i="1"/>
  <c r="AX12" i="1"/>
  <c r="BA12" i="1"/>
  <c r="AW12" i="1" s="1"/>
  <c r="AX13" i="1"/>
  <c r="AW13" i="1"/>
  <c r="AX14" i="1"/>
  <c r="BA14" i="1"/>
  <c r="AY14" i="1" s="1"/>
  <c r="AX15" i="1"/>
  <c r="BA15" i="1"/>
  <c r="AW15" i="1" s="1"/>
  <c r="AX16" i="1"/>
  <c r="BA16" i="1"/>
  <c r="AY16" i="1" s="1"/>
  <c r="AX17" i="1"/>
  <c r="BA17" i="1"/>
  <c r="AW17" i="1" s="1"/>
  <c r="AX18" i="1"/>
  <c r="BA18" i="1"/>
  <c r="AY18" i="1" s="1"/>
  <c r="AX19" i="1"/>
  <c r="AW19" i="1"/>
  <c r="AX20" i="1"/>
  <c r="BA20" i="1"/>
  <c r="AY20" i="1" s="1"/>
  <c r="AX21" i="1"/>
  <c r="BA21" i="1"/>
  <c r="AW21" i="1" s="1"/>
  <c r="AX22" i="1"/>
  <c r="BA22" i="1"/>
  <c r="AY22" i="1" s="1"/>
  <c r="AX23" i="1"/>
  <c r="BA23" i="1"/>
  <c r="AW23" i="1" s="1"/>
  <c r="AX24" i="1"/>
  <c r="BA24" i="1"/>
  <c r="AY24" i="1" s="1"/>
  <c r="AX25" i="1"/>
  <c r="BA25" i="1"/>
  <c r="AW25" i="1" s="1"/>
  <c r="AX26" i="1"/>
  <c r="BA26" i="1"/>
  <c r="AY26" i="1" s="1"/>
  <c r="BA27" i="1"/>
  <c r="AW27" i="1" s="1"/>
  <c r="AX27" i="1"/>
  <c r="BA28" i="1"/>
  <c r="AX29" i="1"/>
  <c r="BA29" i="1"/>
  <c r="AW29" i="1" s="1"/>
  <c r="AX30" i="1"/>
  <c r="BA30" i="1"/>
  <c r="AY30" i="1" s="1"/>
  <c r="AX31" i="1"/>
  <c r="BA31" i="1"/>
  <c r="AW31" i="1" s="1"/>
  <c r="AX32" i="1"/>
  <c r="BA32" i="1"/>
  <c r="AY32" i="1" s="1"/>
  <c r="AX33" i="1"/>
  <c r="BA33" i="1"/>
  <c r="AW33" i="1" s="1"/>
  <c r="AX34" i="1"/>
  <c r="BA34" i="1"/>
  <c r="AY34" i="1" s="1"/>
  <c r="AX35" i="1"/>
  <c r="BA35" i="1"/>
  <c r="AW35" i="1" s="1"/>
  <c r="AX36" i="1"/>
  <c r="BA36" i="1"/>
  <c r="AY36" i="1" s="1"/>
  <c r="BA37" i="1"/>
  <c r="AW38" i="1" l="1"/>
  <c r="K38" i="1"/>
  <c r="O38" i="1" s="1"/>
  <c r="G38" i="1"/>
  <c r="AW32" i="1"/>
  <c r="AY29" i="1"/>
  <c r="AW36" i="1"/>
  <c r="AX6" i="1"/>
  <c r="AY31" i="1"/>
  <c r="AW30" i="1"/>
  <c r="J38" i="1"/>
  <c r="N38" i="1" s="1"/>
  <c r="AX37" i="1"/>
  <c r="BK38" i="1"/>
  <c r="I38" i="1"/>
  <c r="M38" i="1" s="1"/>
  <c r="BA8" i="1"/>
  <c r="AW34" i="1"/>
  <c r="AW10" i="1"/>
  <c r="BJ38" i="1"/>
  <c r="BA9" i="1"/>
  <c r="AY7" i="1"/>
  <c r="AX28" i="1"/>
  <c r="AY12" i="1"/>
  <c r="AY33" i="1"/>
  <c r="AY35" i="1"/>
  <c r="AY6" i="1"/>
  <c r="AW37" i="1"/>
  <c r="AY37" i="1"/>
  <c r="AW28" i="1"/>
  <c r="AY28" i="1"/>
  <c r="AW26" i="1"/>
  <c r="AW24" i="1"/>
  <c r="AW22" i="1"/>
  <c r="AW20" i="1"/>
  <c r="AW18" i="1"/>
  <c r="AW16" i="1"/>
  <c r="AW14" i="1"/>
  <c r="AY27" i="1"/>
  <c r="AY25" i="1"/>
  <c r="AY23" i="1"/>
  <c r="AY21" i="1"/>
  <c r="AY19" i="1"/>
  <c r="AY17" i="1"/>
  <c r="AY15" i="1"/>
  <c r="AY13" i="1"/>
  <c r="BA11" i="1"/>
  <c r="AY9" i="1" l="1"/>
  <c r="AW9" i="1"/>
  <c r="AW8" i="1"/>
  <c r="AY8" i="1"/>
  <c r="AW11" i="1"/>
  <c r="AY11" i="1"/>
  <c r="R44" i="2" l="1"/>
  <c r="BL36" i="1"/>
  <c r="AM36" i="1"/>
  <c r="AN36" i="1"/>
  <c r="AD36" i="1"/>
  <c r="AC36" i="1"/>
  <c r="H36" i="1"/>
  <c r="D36" i="1"/>
  <c r="F36" i="1" l="1"/>
  <c r="E36" i="1" s="1"/>
  <c r="L36" i="1"/>
  <c r="P36" i="1" s="1"/>
  <c r="K36" i="1"/>
  <c r="O36" i="1" s="1"/>
  <c r="G36" i="1"/>
  <c r="I36" i="1"/>
  <c r="M36" i="1" s="1"/>
  <c r="J36" i="1"/>
  <c r="N36" i="1" s="1"/>
  <c r="BJ36" i="1"/>
  <c r="BK36" i="1"/>
  <c r="H22" i="1"/>
  <c r="BL6" i="1"/>
  <c r="BJ6" i="1" s="1"/>
  <c r="AM6" i="1"/>
  <c r="AN6" i="1"/>
  <c r="AD6" i="1"/>
  <c r="AC6" i="1"/>
  <c r="H6" i="1"/>
  <c r="D6" i="1"/>
  <c r="BK6" i="1" l="1"/>
  <c r="L6" i="1"/>
  <c r="P6" i="1" s="1"/>
  <c r="F6" i="1"/>
  <c r="E6" i="1" s="1"/>
  <c r="K6" i="1"/>
  <c r="O6" i="1" s="1"/>
  <c r="J6" i="1"/>
  <c r="N6" i="1" s="1"/>
  <c r="G6" i="1"/>
  <c r="I6" i="1"/>
  <c r="M6" i="1" s="1"/>
  <c r="U14" i="2" l="1"/>
  <c r="M14" i="2"/>
  <c r="I14" i="2"/>
  <c r="R14" i="2"/>
  <c r="G14" i="2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L7" i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2" i="1" s="1"/>
  <c r="BI23" i="1" s="1"/>
  <c r="BI24" i="1" s="1"/>
  <c r="BI25" i="1" s="1"/>
  <c r="BI26" i="1" s="1"/>
  <c r="BI27" i="1" s="1"/>
  <c r="BI28" i="1" s="1"/>
  <c r="BI30" i="1" s="1"/>
  <c r="BI31" i="1" s="1"/>
  <c r="BI32" i="1" s="1"/>
  <c r="BI33" i="1" s="1"/>
  <c r="BI34" i="1" s="1"/>
  <c r="BI35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R45" i="2"/>
  <c r="H28" i="1"/>
  <c r="AD11" i="1"/>
  <c r="AC15" i="1"/>
  <c r="AM15" i="1"/>
  <c r="H33" i="1"/>
  <c r="H30" i="1"/>
  <c r="H31" i="1"/>
  <c r="H32" i="1"/>
  <c r="H34" i="1"/>
  <c r="H35" i="1"/>
  <c r="H37" i="1"/>
  <c r="H7" i="1"/>
  <c r="J50" i="2"/>
  <c r="I50" i="2" s="1"/>
  <c r="J51" i="2"/>
  <c r="F51" i="2" s="1"/>
  <c r="J52" i="2"/>
  <c r="G52" i="2" s="1"/>
  <c r="J53" i="2"/>
  <c r="H53" i="2" s="1"/>
  <c r="J54" i="2"/>
  <c r="G54" i="2" s="1"/>
  <c r="J55" i="2"/>
  <c r="I55" i="2" s="1"/>
  <c r="J56" i="2"/>
  <c r="I56" i="2" s="1"/>
  <c r="J57" i="2"/>
  <c r="F57" i="2" s="1"/>
  <c r="J58" i="2"/>
  <c r="I58" i="2" s="1"/>
  <c r="J59" i="2"/>
  <c r="F59" i="2" s="1"/>
  <c r="J60" i="2"/>
  <c r="G60" i="2" s="1"/>
  <c r="J61" i="2"/>
  <c r="H61" i="2" s="1"/>
  <c r="J62" i="2"/>
  <c r="E62" i="2" s="1"/>
  <c r="J63" i="2"/>
  <c r="I63" i="2" s="1"/>
  <c r="J64" i="2"/>
  <c r="I64" i="2" s="1"/>
  <c r="J65" i="2"/>
  <c r="F65" i="2" s="1"/>
  <c r="J66" i="2"/>
  <c r="H66" i="2" s="1"/>
  <c r="J67" i="2"/>
  <c r="G67" i="2" s="1"/>
  <c r="J68" i="2"/>
  <c r="E68" i="2" s="1"/>
  <c r="J69" i="2"/>
  <c r="G69" i="2" s="1"/>
  <c r="J70" i="2"/>
  <c r="G70" i="2" s="1"/>
  <c r="J71" i="2"/>
  <c r="F71" i="2" s="1"/>
  <c r="J72" i="2"/>
  <c r="E72" i="2" s="1"/>
  <c r="J73" i="2"/>
  <c r="I73" i="2" s="1"/>
  <c r="J74" i="2"/>
  <c r="H74" i="2" s="1"/>
  <c r="J75" i="2"/>
  <c r="E75" i="2" s="1"/>
  <c r="J76" i="2"/>
  <c r="F76" i="2" s="1"/>
  <c r="J77" i="2"/>
  <c r="F77" i="2" s="1"/>
  <c r="J78" i="2"/>
  <c r="F78" i="2" s="1"/>
  <c r="J79" i="2"/>
  <c r="E79" i="2" s="1"/>
  <c r="J49" i="2"/>
  <c r="H49" i="2" s="1"/>
  <c r="BL15" i="1"/>
  <c r="BK15" i="1" s="1"/>
  <c r="AN15" i="1"/>
  <c r="AD15" i="1"/>
  <c r="AB36" i="1" l="1"/>
  <c r="AB37" i="1" s="1"/>
  <c r="AB38" i="1" s="1"/>
  <c r="Q36" i="1"/>
  <c r="Q37" i="1" s="1"/>
  <c r="Q38" i="1" s="1"/>
  <c r="BI36" i="1"/>
  <c r="BI37" i="1" s="1"/>
  <c r="BI38" i="1" s="1"/>
  <c r="AV36" i="1"/>
  <c r="AV37" i="1" s="1"/>
  <c r="AV38" i="1" s="1"/>
  <c r="B37" i="1"/>
  <c r="B38" i="1" s="1"/>
  <c r="E49" i="2"/>
  <c r="I49" i="2"/>
  <c r="F49" i="2"/>
  <c r="H60" i="2"/>
  <c r="H64" i="2"/>
  <c r="I54" i="2"/>
  <c r="I53" i="2"/>
  <c r="H52" i="2"/>
  <c r="I62" i="2"/>
  <c r="F60" i="2"/>
  <c r="I61" i="2"/>
  <c r="F56" i="2"/>
  <c r="F64" i="2"/>
  <c r="I60" i="2"/>
  <c r="F52" i="2"/>
  <c r="H56" i="2"/>
  <c r="I52" i="2"/>
  <c r="E51" i="2"/>
  <c r="G51" i="2"/>
  <c r="E58" i="2"/>
  <c r="E50" i="2"/>
  <c r="G58" i="2"/>
  <c r="G50" i="2"/>
  <c r="H59" i="2"/>
  <c r="H51" i="2"/>
  <c r="F63" i="2"/>
  <c r="F55" i="2"/>
  <c r="E65" i="2"/>
  <c r="E57" i="2"/>
  <c r="G65" i="2"/>
  <c r="G57" i="2"/>
  <c r="H75" i="2"/>
  <c r="H58" i="2"/>
  <c r="H50" i="2"/>
  <c r="F62" i="2"/>
  <c r="F54" i="2"/>
  <c r="E64" i="2"/>
  <c r="E56" i="2"/>
  <c r="G64" i="2"/>
  <c r="G56" i="2"/>
  <c r="H65" i="2"/>
  <c r="H57" i="2"/>
  <c r="I59" i="2"/>
  <c r="I51" i="2"/>
  <c r="F61" i="2"/>
  <c r="F53" i="2"/>
  <c r="E59" i="2"/>
  <c r="E55" i="2"/>
  <c r="G55" i="2"/>
  <c r="G62" i="2"/>
  <c r="H55" i="2"/>
  <c r="E61" i="2"/>
  <c r="E53" i="2"/>
  <c r="G61" i="2"/>
  <c r="G53" i="2"/>
  <c r="H62" i="2"/>
  <c r="H54" i="2"/>
  <c r="F75" i="2"/>
  <c r="F58" i="2"/>
  <c r="F50" i="2"/>
  <c r="G59" i="2"/>
  <c r="E63" i="2"/>
  <c r="G63" i="2"/>
  <c r="I75" i="2"/>
  <c r="E54" i="2"/>
  <c r="H63" i="2"/>
  <c r="I65" i="2"/>
  <c r="I57" i="2"/>
  <c r="E60" i="2"/>
  <c r="E52" i="2"/>
  <c r="G49" i="2"/>
  <c r="G79" i="2"/>
  <c r="F79" i="2"/>
  <c r="H79" i="2"/>
  <c r="I79" i="2"/>
  <c r="E78" i="2"/>
  <c r="I78" i="2"/>
  <c r="G78" i="2"/>
  <c r="H78" i="2"/>
  <c r="E77" i="2"/>
  <c r="G77" i="2"/>
  <c r="H77" i="2"/>
  <c r="I77" i="2"/>
  <c r="I71" i="2"/>
  <c r="H71" i="2"/>
  <c r="E71" i="2"/>
  <c r="G71" i="2"/>
  <c r="H70" i="2"/>
  <c r="G76" i="2"/>
  <c r="H76" i="2"/>
  <c r="I76" i="2"/>
  <c r="E76" i="2"/>
  <c r="G75" i="2"/>
  <c r="F74" i="2"/>
  <c r="I74" i="2"/>
  <c r="E74" i="2"/>
  <c r="G74" i="2"/>
  <c r="F73" i="2"/>
  <c r="E73" i="2"/>
  <c r="G73" i="2"/>
  <c r="H73" i="2"/>
  <c r="G72" i="2"/>
  <c r="H72" i="2"/>
  <c r="I72" i="2"/>
  <c r="F72" i="2"/>
  <c r="I70" i="2"/>
  <c r="E70" i="2"/>
  <c r="F70" i="2"/>
  <c r="E69" i="2"/>
  <c r="H69" i="2"/>
  <c r="F69" i="2"/>
  <c r="I69" i="2"/>
  <c r="F68" i="2"/>
  <c r="G68" i="2"/>
  <c r="H68" i="2"/>
  <c r="I68" i="2"/>
  <c r="F67" i="2"/>
  <c r="H67" i="2"/>
  <c r="I67" i="2"/>
  <c r="E67" i="2"/>
  <c r="G66" i="2"/>
  <c r="F66" i="2"/>
  <c r="I66" i="2"/>
  <c r="E66" i="2"/>
  <c r="BJ15" i="1"/>
  <c r="R20" i="2" l="1"/>
  <c r="S41" i="1" l="1"/>
  <c r="R40" i="1" s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6" i="2"/>
  <c r="R35" i="2"/>
  <c r="R34" i="2"/>
  <c r="R33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D24" i="1"/>
  <c r="H24" i="1"/>
  <c r="AD24" i="1"/>
  <c r="AC24" i="1"/>
  <c r="AN24" i="1"/>
  <c r="AM24" i="1"/>
  <c r="BL24" i="1"/>
  <c r="BJ24" i="1" s="1"/>
  <c r="D25" i="1"/>
  <c r="H25" i="1"/>
  <c r="AD25" i="1"/>
  <c r="AC25" i="1"/>
  <c r="AN25" i="1"/>
  <c r="AM25" i="1"/>
  <c r="BL25" i="1"/>
  <c r="BK25" i="1" s="1"/>
  <c r="D26" i="1"/>
  <c r="H26" i="1"/>
  <c r="AD26" i="1"/>
  <c r="AC26" i="1"/>
  <c r="AN26" i="1"/>
  <c r="BJ26" i="1"/>
  <c r="D27" i="1"/>
  <c r="H27" i="1"/>
  <c r="AD27" i="1"/>
  <c r="AC27" i="1"/>
  <c r="AN27" i="1"/>
  <c r="BL27" i="1"/>
  <c r="BK27" i="1" s="1"/>
  <c r="D28" i="1"/>
  <c r="AD28" i="1"/>
  <c r="AC28" i="1"/>
  <c r="AN28" i="1"/>
  <c r="BL28" i="1"/>
  <c r="BJ28" i="1" s="1"/>
  <c r="D29" i="1"/>
  <c r="H29" i="1"/>
  <c r="AD29" i="1"/>
  <c r="AC29" i="1"/>
  <c r="AN29" i="1"/>
  <c r="BL29" i="1"/>
  <c r="BK29" i="1" s="1"/>
  <c r="D30" i="1"/>
  <c r="F30" i="1" s="1"/>
  <c r="AD30" i="1"/>
  <c r="AC30" i="1"/>
  <c r="AN30" i="1"/>
  <c r="BL30" i="1"/>
  <c r="BJ30" i="1" s="1"/>
  <c r="D31" i="1"/>
  <c r="AC31" i="1"/>
  <c r="AN31" i="1"/>
  <c r="BL31" i="1"/>
  <c r="BK31" i="1" s="1"/>
  <c r="D32" i="1"/>
  <c r="AD32" i="1"/>
  <c r="AC32" i="1"/>
  <c r="AN32" i="1"/>
  <c r="BL32" i="1"/>
  <c r="BJ32" i="1" s="1"/>
  <c r="D33" i="1"/>
  <c r="D34" i="1"/>
  <c r="AD34" i="1"/>
  <c r="AC34" i="1"/>
  <c r="AN34" i="1"/>
  <c r="BL34" i="1"/>
  <c r="BK34" i="1" s="1"/>
  <c r="D35" i="1"/>
  <c r="AD35" i="1"/>
  <c r="AC35" i="1"/>
  <c r="AN35" i="1"/>
  <c r="BL35" i="1"/>
  <c r="BK35" i="1" s="1"/>
  <c r="D37" i="1"/>
  <c r="AD37" i="1"/>
  <c r="AC37" i="1"/>
  <c r="AN37" i="1"/>
  <c r="BL37" i="1"/>
  <c r="BK37" i="1" s="1"/>
  <c r="D11" i="1"/>
  <c r="H11" i="1"/>
  <c r="AC11" i="1"/>
  <c r="AN11" i="1"/>
  <c r="AM11" i="1"/>
  <c r="BL11" i="1"/>
  <c r="D12" i="1"/>
  <c r="H12" i="1"/>
  <c r="AD12" i="1"/>
  <c r="AC12" i="1"/>
  <c r="AN12" i="1"/>
  <c r="AM12" i="1"/>
  <c r="BL12" i="1"/>
  <c r="BK12" i="1" s="1"/>
  <c r="H13" i="1"/>
  <c r="AD13" i="1"/>
  <c r="AC13" i="1"/>
  <c r="AN13" i="1"/>
  <c r="AM13" i="1"/>
  <c r="BL13" i="1"/>
  <c r="BK13" i="1" s="1"/>
  <c r="D14" i="1"/>
  <c r="H14" i="1"/>
  <c r="AD14" i="1"/>
  <c r="AC14" i="1"/>
  <c r="AN14" i="1"/>
  <c r="AM14" i="1"/>
  <c r="BL14" i="1"/>
  <c r="BK14" i="1" s="1"/>
  <c r="D15" i="1"/>
  <c r="H15" i="1"/>
  <c r="D16" i="1"/>
  <c r="H16" i="1"/>
  <c r="AD16" i="1"/>
  <c r="AC16" i="1"/>
  <c r="AN16" i="1"/>
  <c r="AM16" i="1"/>
  <c r="BL16" i="1"/>
  <c r="BK16" i="1" s="1"/>
  <c r="D17" i="1"/>
  <c r="H17" i="1"/>
  <c r="AD17" i="1"/>
  <c r="AC17" i="1"/>
  <c r="AN17" i="1"/>
  <c r="AM17" i="1"/>
  <c r="BL17" i="1"/>
  <c r="H18" i="1"/>
  <c r="AD18" i="1"/>
  <c r="AC18" i="1"/>
  <c r="AN18" i="1"/>
  <c r="AM18" i="1"/>
  <c r="BL18" i="1"/>
  <c r="BK18" i="1" s="1"/>
  <c r="D19" i="1"/>
  <c r="H19" i="1"/>
  <c r="AD19" i="1"/>
  <c r="D20" i="1"/>
  <c r="H20" i="1"/>
  <c r="AD20" i="1"/>
  <c r="AC20" i="1"/>
  <c r="AN20" i="1"/>
  <c r="AM20" i="1"/>
  <c r="BL20" i="1"/>
  <c r="D21" i="1"/>
  <c r="H21" i="1"/>
  <c r="AD21" i="1"/>
  <c r="AC21" i="1"/>
  <c r="AN21" i="1"/>
  <c r="AM21" i="1"/>
  <c r="BL21" i="1"/>
  <c r="D22" i="1"/>
  <c r="AD22" i="1"/>
  <c r="AC22" i="1"/>
  <c r="AN22" i="1"/>
  <c r="AM22" i="1"/>
  <c r="BL22" i="1"/>
  <c r="D23" i="1"/>
  <c r="H23" i="1"/>
  <c r="AD23" i="1"/>
  <c r="AC23" i="1"/>
  <c r="AN23" i="1"/>
  <c r="AM23" i="1"/>
  <c r="BL23" i="1"/>
  <c r="BK23" i="1" s="1"/>
  <c r="H9" i="1"/>
  <c r="H10" i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F13" i="1"/>
  <c r="E13" i="1" s="1"/>
  <c r="BK32" i="1"/>
  <c r="G24" i="1"/>
  <c r="I19" i="1"/>
  <c r="M19" i="1" s="1"/>
  <c r="G15" i="1"/>
  <c r="BJ25" i="1"/>
  <c r="BK19" i="1"/>
  <c r="F16" i="1"/>
  <c r="E16" i="1" s="1"/>
  <c r="J37" i="1"/>
  <c r="N37" i="1" s="1"/>
  <c r="BJ37" i="1"/>
  <c r="F37" i="1"/>
  <c r="E37" i="1" s="1"/>
  <c r="BJ35" i="1"/>
  <c r="BJ34" i="1"/>
  <c r="F35" i="1"/>
  <c r="E35" i="1" s="1"/>
  <c r="F34" i="1"/>
  <c r="E34" i="1" s="1"/>
  <c r="F33" i="1"/>
  <c r="E33" i="1" s="1"/>
  <c r="F32" i="1"/>
  <c r="E32" i="1" s="1"/>
  <c r="BJ31" i="1"/>
  <c r="F31" i="1"/>
  <c r="E31" i="1" s="1"/>
  <c r="BK30" i="1"/>
  <c r="E30" i="1"/>
  <c r="BJ29" i="1"/>
  <c r="F29" i="1"/>
  <c r="E29" i="1" s="1"/>
  <c r="BJ27" i="1"/>
  <c r="G18" i="1"/>
  <c r="F18" i="1"/>
  <c r="E18" i="1" s="1"/>
  <c r="G19" i="1"/>
  <c r="F17" i="1"/>
  <c r="E17" i="1" s="1"/>
  <c r="F19" i="1"/>
  <c r="E19" i="1" s="1"/>
  <c r="G17" i="1"/>
  <c r="G16" i="1"/>
  <c r="F15" i="1"/>
  <c r="E15" i="1" s="1"/>
  <c r="G14" i="1"/>
  <c r="F14" i="1"/>
  <c r="E14" i="1" s="1"/>
  <c r="G13" i="1"/>
  <c r="K12" i="1"/>
  <c r="O12" i="1" s="1"/>
  <c r="L12" i="1"/>
  <c r="P12" i="1" s="1"/>
  <c r="F12" i="1"/>
  <c r="E12" i="1" s="1"/>
  <c r="I11" i="1"/>
  <c r="M11" i="1" s="1"/>
  <c r="F11" i="1"/>
  <c r="E11" i="1" s="1"/>
  <c r="F10" i="1"/>
  <c r="E10" i="1" s="1"/>
  <c r="F9" i="1"/>
  <c r="E9" i="1" s="1"/>
  <c r="G8" i="1"/>
  <c r="I15" i="1"/>
  <c r="M15" i="1" s="1"/>
  <c r="I13" i="1"/>
  <c r="M13" i="1" s="1"/>
  <c r="G37" i="1"/>
  <c r="G35" i="1"/>
  <c r="K33" i="1"/>
  <c r="O33" i="1" s="1"/>
  <c r="G33" i="1"/>
  <c r="G31" i="1"/>
  <c r="G29" i="1"/>
  <c r="F27" i="1"/>
  <c r="E27" i="1" s="1"/>
  <c r="F25" i="1"/>
  <c r="E25" i="1" s="1"/>
  <c r="F8" i="1"/>
  <c r="E8" i="1" s="1"/>
  <c r="F23" i="1"/>
  <c r="E23" i="1" s="1"/>
  <c r="F22" i="1"/>
  <c r="E22" i="1" s="1"/>
  <c r="F21" i="1"/>
  <c r="E21" i="1" s="1"/>
  <c r="F20" i="1"/>
  <c r="E20" i="1" s="1"/>
  <c r="G11" i="1"/>
  <c r="G34" i="1"/>
  <c r="G32" i="1"/>
  <c r="G30" i="1"/>
  <c r="BK28" i="1"/>
  <c r="F28" i="1"/>
  <c r="E28" i="1" s="1"/>
  <c r="BK26" i="1"/>
  <c r="F26" i="1"/>
  <c r="E26" i="1" s="1"/>
  <c r="BK24" i="1"/>
  <c r="BK22" i="1"/>
  <c r="L19" i="1"/>
  <c r="P19" i="1" s="1"/>
  <c r="BK17" i="1"/>
  <c r="BK21" i="1"/>
  <c r="BK20" i="1"/>
  <c r="BJ10" i="1"/>
  <c r="BK11" i="1"/>
  <c r="F24" i="1"/>
  <c r="E24" i="1" s="1"/>
  <c r="BJ9" i="1"/>
  <c r="L33" i="1"/>
  <c r="P33" i="1" s="1"/>
  <c r="I33" i="1"/>
  <c r="M33" i="1" s="1"/>
  <c r="J33" i="1"/>
  <c r="N33" i="1" s="1"/>
  <c r="AM37" i="1"/>
  <c r="AM35" i="1"/>
  <c r="AM34" i="1"/>
  <c r="AM32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3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3" i="1" s="1"/>
  <c r="AL14" i="1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I32" i="1"/>
  <c r="M32" i="1" s="1"/>
  <c r="L34" i="1"/>
  <c r="P34" i="1" s="1"/>
  <c r="J35" i="1"/>
  <c r="N35" i="1" s="1"/>
  <c r="K34" i="1"/>
  <c r="O34" i="1" s="1"/>
  <c r="J34" i="1"/>
  <c r="N34" i="1" s="1"/>
  <c r="AL15" i="1"/>
  <c r="AL16" i="1" s="1"/>
  <c r="AL17" i="1" s="1"/>
  <c r="AL18" i="1" s="1"/>
  <c r="AL19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K37" i="1"/>
  <c r="O37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I37" i="1"/>
  <c r="M37" i="1" s="1"/>
  <c r="L13" i="1"/>
  <c r="P13" i="1" s="1"/>
  <c r="J22" i="1"/>
  <c r="N22" i="1" s="1"/>
  <c r="L37" i="1"/>
  <c r="P37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AL20" i="1" l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I40" i="2"/>
  <c r="I41" i="2" s="1"/>
  <c r="I42" i="2" s="1"/>
  <c r="I43" i="2" s="1"/>
  <c r="U40" i="2"/>
  <c r="U41" i="2" s="1"/>
  <c r="U42" i="2" s="1"/>
  <c r="U43" i="2" s="1"/>
  <c r="B15" i="2"/>
  <c r="U44" i="2" l="1"/>
  <c r="U45" i="2" s="1"/>
  <c r="I44" i="2"/>
  <c r="I45" i="2" s="1"/>
  <c r="AL36" i="1"/>
  <c r="AL37" i="1" s="1"/>
  <c r="AL38" i="1" s="1"/>
  <c r="B16" i="2"/>
  <c r="M15" i="2"/>
  <c r="B17" i="2" l="1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2" i="2"/>
  <c r="B34" i="2" l="1"/>
  <c r="M33" i="2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B45" i="2" l="1"/>
  <c r="M45" i="2" s="1"/>
  <c r="M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<sst xmlns="http://schemas.openxmlformats.org/spreadsheetml/2006/main" count="125" uniqueCount="72">
  <si>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</si>
  <si>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</si>
  <si>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</si>
  <si>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</si>
  <si>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</si>
  <si>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</si>
  <si>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</si>
  <si>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</si>
  <si>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</si>
  <si>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</si>
  <si>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</si>
  <si>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</si>
  <si>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</si>
  <si>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</si>
  <si>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</si>
  <si>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</si>
  <si>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</si>
  <si>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</si>
  <si>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</si>
  <si>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</si>
  <si>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</si>
  <si>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</si>
  <si>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</si>
  <si>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</si>
  <si>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</si>
  <si>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</si>
  <si>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</si>
  <si>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</si>
  <si>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</si>
  <si>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</si>
  <si>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</si>
  <si>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</si>
  <si>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</si>
  <si>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</si>
  <si>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</si>
  <si>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</si>
  <si>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</si>
  <si>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: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</si>
  <si>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</si>
  <si>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</si>
  <si>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</si>
  <si>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</si>
  <si>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</si>
  <si>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</si>
  <si>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</si>
  <si>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</si>
  <si>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</si>
  <si>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</si>
  <si>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</si>
  <si>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</si>
  <si>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</si>
  <si>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</si>
  <si>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</si>
  <si>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</si>
  <si>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</si>
  <si>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</si>
  <si>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</si>
  <si>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</si>
  <si>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</si>
  <si>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</si>
  <si>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</si>
  <si>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</si>
  <si>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</si>
  <si>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</si>
  <si>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</si>
  <si>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</si>
  <si>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</si>
  <si>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</si>
  <si>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</si>
  <si>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</si>
  <si>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0.00</t>
  </si>
  <si>
    <t>04:[00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</si>
</sst>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6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165" fontId="8" fillId="0" borderId="50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5" fontId="9" fillId="9" borderId="47" xfId="0" applyNumberFormat="1" applyFont="1" applyFill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165" fontId="0" fillId="0" borderId="0" xfId="0" applyNumberFormat="1"/>
    <xf numFmtId="9" fontId="4" fillId="0" borderId="0" xfId="2" applyFont="1" applyFill="1" applyBorder="1" applyAlignment="1">
      <alignment horizontal="center"/>
    </xf>
    <xf numFmtId="9" fontId="0" fillId="0" borderId="0" xfId="2" applyFont="1"/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7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</c:numCache>
            </c:numRef>
          </c:cat>
          <c:val>
            <c:numRef>
              <c:f>'SEAT-SERs'!$D$7:$D$10</c:f>
              <c:numCache>
                <c:formatCode>#,##0\ "Kwh"</c:formatCode>
                <c:ptCount val="4"/>
                <c:pt idx="0">
                  <c:v>46900</c:v>
                </c:pt>
                <c:pt idx="1">
                  <c:v>31790</c:v>
                </c:pt>
                <c:pt idx="2">
                  <c:v>28042</c:v>
                </c:pt>
                <c:pt idx="3">
                  <c:v>50256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'SEAT-SERs'!$B$7:$B$10</c15:sqref>
                        </c15:formulaRef>
                      </c:ext>
                    </c:extLst>
                    <c:numCache>
                      <c:formatCode>dd/mm/yy;@</c:formatCode>
                      <c:ptCount val="4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</c:numCache>
            </c:numRef>
          </c:cat>
          <c:val>
            <c:numRef>
              <c:f>'SEAT-SERs'!$F$7:$F$10</c:f>
              <c:numCache>
                <c:formatCode>#,##0\ "Kwh"</c:formatCode>
                <c:ptCount val="4"/>
                <c:pt idx="0">
                  <c:v>40807</c:v>
                </c:pt>
                <c:pt idx="1">
                  <c:v>25340</c:v>
                </c:pt>
                <c:pt idx="2">
                  <c:v>22269.599999999999</c:v>
                </c:pt>
                <c:pt idx="3">
                  <c:v>43864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41</xdr:row>
      <xdr:rowOff>42862</xdr:rowOff>
    </xdr:from>
    <xdr:to>
      <xdr:col>7</xdr:col>
      <xdr:colOff>495300</xdr:colOff>
      <xdr:row>56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41</xdr:row>
      <xdr:rowOff>42862</xdr:rowOff>
    </xdr:from>
    <xdr:to>
      <xdr:col>16</xdr:col>
      <xdr:colOff>104775</xdr:colOff>
      <xdr:row>56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3"/>
  <sheetViews>
    <sheetView topLeftCell="N25" zoomScale="136" zoomScaleNormal="136" zoomScaleSheetLayoutView="120" workbookViewId="0">
      <selection activeCell="BB42" sqref="BB42"/>
    </sheetView>
  </sheetViews>
  <sheetFormatPr baseColWidth="10" defaultColWidth="11.42578125" defaultRowHeight="15" x14ac:dyDescent="0.25"/>
  <cols>
    <col min="1" max="1" width="2.28515625" style="134" customWidth="1"/>
    <col min="2" max="2" width="10.42578125" style="14" customWidth="1"/>
    <col min="3" max="3" width="2.28515625" style="167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2" s="133" customFormat="1" ht="14.65" customHeight="1" x14ac:dyDescent="0.25">
      <c r="A1" s="127">
        <v>1.1111111E+55</v>
      </c>
      <c r="B1" s="184" t="s">
        <v>0</v>
      </c>
      <c r="C1" s="128"/>
      <c r="D1" s="186" t="s">
        <v>1</v>
      </c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8"/>
      <c r="P1" s="189"/>
      <c r="Q1" s="129"/>
      <c r="R1" s="194" t="s">
        <v>2</v>
      </c>
      <c r="S1" s="195"/>
      <c r="T1" s="195"/>
      <c r="U1" s="195"/>
      <c r="V1" s="195"/>
      <c r="W1" s="195"/>
      <c r="X1" s="195"/>
      <c r="Y1" s="195"/>
      <c r="Z1" s="195"/>
      <c r="AA1" s="196"/>
      <c r="AB1" s="130"/>
      <c r="AC1" s="194" t="s">
        <v>3</v>
      </c>
      <c r="AD1" s="195"/>
      <c r="AE1" s="195"/>
      <c r="AF1" s="195"/>
      <c r="AG1" s="195"/>
      <c r="AH1" s="195"/>
      <c r="AI1" s="195"/>
      <c r="AJ1" s="195"/>
      <c r="AK1" s="196"/>
      <c r="AL1" s="131"/>
      <c r="AM1" s="194" t="s">
        <v>4</v>
      </c>
      <c r="AN1" s="195"/>
      <c r="AO1" s="195"/>
      <c r="AP1" s="195"/>
      <c r="AQ1" s="195"/>
      <c r="AR1" s="195"/>
      <c r="AS1" s="195"/>
      <c r="AT1" s="195"/>
      <c r="AU1" s="196"/>
      <c r="AV1" s="131"/>
      <c r="AW1" s="194" t="s">
        <v>58</v>
      </c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6"/>
      <c r="BI1" s="131"/>
      <c r="BJ1" s="194" t="s">
        <v>5</v>
      </c>
      <c r="BK1" s="195"/>
      <c r="BL1" s="195"/>
      <c r="BM1" s="195"/>
      <c r="BN1" s="195"/>
      <c r="BO1" s="195"/>
      <c r="BP1" s="195"/>
      <c r="BQ1" s="195"/>
      <c r="BR1" s="196"/>
      <c r="BS1" s="132"/>
    </row>
    <row r="2" spans="1:72" ht="15" customHeight="1" thickBot="1" x14ac:dyDescent="0.3">
      <c r="B2" s="184"/>
      <c r="C2" s="1"/>
      <c r="D2" s="190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2"/>
      <c r="P2" s="193"/>
      <c r="Q2" s="58"/>
      <c r="R2" s="197"/>
      <c r="S2" s="198"/>
      <c r="T2" s="198"/>
      <c r="U2" s="198"/>
      <c r="V2" s="198"/>
      <c r="W2" s="198"/>
      <c r="X2" s="198"/>
      <c r="Y2" s="198"/>
      <c r="Z2" s="198"/>
      <c r="AA2" s="199"/>
      <c r="AB2" s="60"/>
      <c r="AC2" s="197"/>
      <c r="AD2" s="198"/>
      <c r="AE2" s="198"/>
      <c r="AF2" s="198"/>
      <c r="AG2" s="198"/>
      <c r="AH2" s="198"/>
      <c r="AI2" s="198"/>
      <c r="AJ2" s="198"/>
      <c r="AK2" s="199"/>
      <c r="AL2" s="59"/>
      <c r="AM2" s="197"/>
      <c r="AN2" s="198"/>
      <c r="AO2" s="198"/>
      <c r="AP2" s="198"/>
      <c r="AQ2" s="198"/>
      <c r="AR2" s="198"/>
      <c r="AS2" s="198"/>
      <c r="AT2" s="198"/>
      <c r="AU2" s="199"/>
      <c r="AV2" s="59"/>
      <c r="AW2" s="197"/>
      <c r="AX2" s="198"/>
      <c r="AY2" s="198"/>
      <c r="AZ2" s="198"/>
      <c r="BA2" s="198"/>
      <c r="BB2" s="198"/>
      <c r="BC2" s="198"/>
      <c r="BD2" s="198"/>
      <c r="BE2" s="198"/>
      <c r="BF2" s="198"/>
      <c r="BG2" s="198"/>
      <c r="BH2" s="199"/>
      <c r="BI2" s="59"/>
      <c r="BJ2" s="197"/>
      <c r="BK2" s="198"/>
      <c r="BL2" s="198"/>
      <c r="BM2" s="198"/>
      <c r="BN2" s="198"/>
      <c r="BO2" s="198"/>
      <c r="BP2" s="198"/>
      <c r="BQ2" s="198"/>
      <c r="BR2" s="199"/>
      <c r="BS2" s="135"/>
    </row>
    <row r="3" spans="1:72" ht="30" customHeight="1" thickBot="1" x14ac:dyDescent="0.3">
      <c r="B3" s="184"/>
      <c r="C3" s="1"/>
      <c r="D3" s="203" t="s">
        <v>6</v>
      </c>
      <c r="E3" s="203" t="s">
        <v>7</v>
      </c>
      <c r="F3" s="203" t="s">
        <v>8</v>
      </c>
      <c r="G3" s="203" t="s">
        <v>9</v>
      </c>
      <c r="H3" s="203" t="s">
        <v>10</v>
      </c>
      <c r="I3" s="205" t="s">
        <v>11</v>
      </c>
      <c r="J3" s="206"/>
      <c r="K3" s="207"/>
      <c r="L3" s="208"/>
      <c r="M3" s="205" t="s">
        <v>12</v>
      </c>
      <c r="N3" s="206"/>
      <c r="O3" s="207"/>
      <c r="P3" s="208"/>
      <c r="Q3" s="58"/>
      <c r="R3" s="209" t="s">
        <v>13</v>
      </c>
      <c r="S3" s="201"/>
      <c r="T3" s="210"/>
      <c r="U3" s="210"/>
      <c r="V3" s="209" t="s">
        <v>14</v>
      </c>
      <c r="W3" s="201"/>
      <c r="X3" s="201"/>
      <c r="Y3" s="201"/>
      <c r="Z3" s="201"/>
      <c r="AA3" s="202"/>
      <c r="AB3" s="60"/>
      <c r="AC3" s="211" t="s">
        <v>15</v>
      </c>
      <c r="AD3" s="213" t="s">
        <v>9</v>
      </c>
      <c r="AE3" s="209" t="s">
        <v>13</v>
      </c>
      <c r="AF3" s="201"/>
      <c r="AG3" s="202"/>
      <c r="AH3" s="209" t="s">
        <v>14</v>
      </c>
      <c r="AI3" s="201"/>
      <c r="AJ3" s="201"/>
      <c r="AK3" s="202"/>
      <c r="AL3" s="59"/>
      <c r="AM3" s="214" t="s">
        <v>15</v>
      </c>
      <c r="AN3" s="211" t="s">
        <v>9</v>
      </c>
      <c r="AO3" s="200" t="s">
        <v>13</v>
      </c>
      <c r="AP3" s="201"/>
      <c r="AQ3" s="202"/>
      <c r="AR3" s="209" t="s">
        <v>14</v>
      </c>
      <c r="AS3" s="201"/>
      <c r="AT3" s="201"/>
      <c r="AU3" s="202"/>
      <c r="AV3" s="59"/>
      <c r="AW3" s="211" t="s">
        <v>15</v>
      </c>
      <c r="AX3" s="211" t="s">
        <v>9</v>
      </c>
      <c r="AY3" s="200" t="s">
        <v>13</v>
      </c>
      <c r="AZ3" s="200"/>
      <c r="BA3" s="201"/>
      <c r="BB3" s="202"/>
      <c r="BC3" s="209" t="s">
        <v>14</v>
      </c>
      <c r="BD3" s="200"/>
      <c r="BE3" s="200"/>
      <c r="BF3" s="201"/>
      <c r="BG3" s="201"/>
      <c r="BH3" s="202"/>
      <c r="BI3" s="59"/>
      <c r="BJ3" s="214" t="s">
        <v>16</v>
      </c>
      <c r="BK3" s="211" t="s">
        <v>17</v>
      </c>
      <c r="BL3" s="215" t="s">
        <v>18</v>
      </c>
      <c r="BM3" s="216"/>
      <c r="BN3" s="217"/>
      <c r="BO3" s="200" t="s">
        <v>14</v>
      </c>
      <c r="BP3" s="201"/>
      <c r="BQ3" s="201"/>
      <c r="BR3" s="202"/>
      <c r="BS3" s="135"/>
    </row>
    <row r="4" spans="1:72" ht="56.25" customHeight="1" thickBot="1" x14ac:dyDescent="0.3">
      <c r="B4" s="185"/>
      <c r="C4" s="2"/>
      <c r="D4" s="204"/>
      <c r="E4" s="204"/>
      <c r="F4" s="204"/>
      <c r="G4" s="204"/>
      <c r="H4" s="204"/>
      <c r="I4" s="80" t="s">
        <v>3</v>
      </c>
      <c r="J4" s="81" t="s">
        <v>4</v>
      </c>
      <c r="K4" s="82" t="s">
        <v>58</v>
      </c>
      <c r="L4" s="82" t="s">
        <v>5</v>
      </c>
      <c r="M4" s="81" t="s">
        <v>3</v>
      </c>
      <c r="N4" s="81" t="s">
        <v>4</v>
      </c>
      <c r="O4" s="81" t="s">
        <v>58</v>
      </c>
      <c r="P4" s="81" t="s">
        <v>19</v>
      </c>
      <c r="Q4" s="60"/>
      <c r="R4" s="122" t="s">
        <v>20</v>
      </c>
      <c r="S4" s="62" t="s">
        <v>21</v>
      </c>
      <c r="T4" s="62" t="s">
        <v>60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212"/>
      <c r="AD4" s="195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94"/>
      <c r="AN4" s="212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212"/>
      <c r="AX4" s="212"/>
      <c r="AY4" s="123" t="s">
        <v>27</v>
      </c>
      <c r="AZ4" s="62" t="s">
        <v>59</v>
      </c>
      <c r="BA4" s="123" t="s">
        <v>61</v>
      </c>
      <c r="BB4" s="62" t="s">
        <v>29</v>
      </c>
      <c r="BC4" s="123" t="s">
        <v>56</v>
      </c>
      <c r="BD4" s="62" t="s">
        <v>24</v>
      </c>
      <c r="BE4" s="123" t="s">
        <v>57</v>
      </c>
      <c r="BF4" s="62" t="s">
        <v>24</v>
      </c>
      <c r="BG4" s="123" t="s">
        <v>31</v>
      </c>
      <c r="BH4" s="62" t="s">
        <v>24</v>
      </c>
      <c r="BI4" s="61"/>
      <c r="BJ4" s="194"/>
      <c r="BK4" s="212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6"/>
    </row>
    <row r="5" spans="1:72" ht="15.75" thickBot="1" x14ac:dyDescent="0.3">
      <c r="B5" s="137"/>
      <c r="C5" s="138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9"/>
      <c r="S5" s="140"/>
      <c r="T5" s="140"/>
      <c r="U5" s="140"/>
      <c r="V5" s="141"/>
      <c r="W5" s="142"/>
      <c r="X5" s="141"/>
      <c r="Y5" s="142"/>
      <c r="Z5" s="141"/>
      <c r="AA5" s="142"/>
      <c r="AB5" s="64"/>
      <c r="AC5" s="143"/>
      <c r="AD5" s="144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5"/>
    </row>
    <row r="6" spans="1:72" ht="15.75" thickBot="1" x14ac:dyDescent="0.3">
      <c r="B6" s="168">
        <v>45869</v>
      </c>
      <c r="C6" s="183"/>
      <c r="D6" s="87">
        <f t="shared" ref="D6" si="0">R6</f>
        <v>47800</v>
      </c>
      <c r="E6" s="159">
        <f t="shared" ref="E6" si="1">F6/D6</f>
        <v>0.87309623430962346</v>
      </c>
      <c r="F6" s="87">
        <f t="shared" ref="F6" si="2">D6-H6</f>
        <v>41734</v>
      </c>
      <c r="G6" s="159">
        <f t="shared" ref="G6" si="3">H6/D6</f>
        <v>0.12690376569037656</v>
      </c>
      <c r="H6" s="146">
        <f t="shared" ref="H6" si="4">U6+AG6+AQ6+BB6</f>
        <v>6066</v>
      </c>
      <c r="I6" s="160">
        <f t="shared" ref="I6" si="5">AE6/(AE6+AO6+BL6+AY6)</f>
        <v>0.10418023180101575</v>
      </c>
      <c r="J6" s="159">
        <f t="shared" ref="J6" si="6">AO6/(AE6+AO6+BL6+AY6)</f>
        <v>0.1536875461214568</v>
      </c>
      <c r="K6" s="159">
        <f t="shared" ref="K6" si="7">AY6/(AF6+AP6+BM6+AZ6+AY6)</f>
        <v>0.18407368121491216</v>
      </c>
      <c r="L6" s="161">
        <f t="shared" ref="L6" si="8">BL6/(AE6+AO6+BL6+AY6)</f>
        <v>0.58770673264748019</v>
      </c>
      <c r="M6" s="146">
        <f>(S6+T6)*I6</f>
        <v>4912.0979294178924</v>
      </c>
      <c r="N6" s="146">
        <f>(S6+T6)*J6</f>
        <v>7246.3677996266879</v>
      </c>
      <c r="O6" s="146">
        <f>(S6+T6)*K6</f>
        <v>8679.0740692831077</v>
      </c>
      <c r="P6" s="146">
        <f>(S6+T6)*L6</f>
        <v>27710.372444328692</v>
      </c>
      <c r="Q6" s="168">
        <v>45869</v>
      </c>
      <c r="R6" s="139">
        <v>47800</v>
      </c>
      <c r="S6" s="140">
        <v>0</v>
      </c>
      <c r="T6" s="140">
        <v>47150</v>
      </c>
      <c r="U6" s="140">
        <v>0</v>
      </c>
      <c r="V6" s="141">
        <v>12200</v>
      </c>
      <c r="W6" s="142">
        <v>0.72916666666666663</v>
      </c>
      <c r="X6" s="141">
        <v>4250</v>
      </c>
      <c r="Y6" s="142">
        <v>0.79166666666666663</v>
      </c>
      <c r="Z6" s="141">
        <v>0</v>
      </c>
      <c r="AA6" s="142">
        <v>0</v>
      </c>
      <c r="AB6" s="168">
        <v>45869</v>
      </c>
      <c r="AC6" s="76">
        <f t="shared" ref="AC6" si="9">+AF6/AE6</f>
        <v>1</v>
      </c>
      <c r="AD6" s="162">
        <f t="shared" ref="AD6" si="10">+AG6/AE6</f>
        <v>0</v>
      </c>
      <c r="AE6" s="163">
        <v>4800</v>
      </c>
      <c r="AF6" s="118">
        <f t="shared" ref="AF6" si="11">+AE6-AG6</f>
        <v>4800</v>
      </c>
      <c r="AG6" s="147">
        <v>0</v>
      </c>
      <c r="AH6" s="148">
        <v>3414</v>
      </c>
      <c r="AI6" s="149">
        <v>0.75624999999999998</v>
      </c>
      <c r="AJ6" s="148">
        <v>0</v>
      </c>
      <c r="AK6" s="165">
        <v>0</v>
      </c>
      <c r="AL6" s="168">
        <v>45869</v>
      </c>
      <c r="AM6" s="77">
        <f t="shared" ref="AM6" si="12">+AP6/AO6</f>
        <v>0.44414630701878266</v>
      </c>
      <c r="AN6" s="76">
        <f t="shared" ref="AN6" si="13">+AQ6/AO6</f>
        <v>0.55585369298121734</v>
      </c>
      <c r="AO6" s="150">
        <v>7081</v>
      </c>
      <c r="AP6" s="117">
        <f t="shared" ref="AP6" si="14">AO6-AQ6</f>
        <v>3145</v>
      </c>
      <c r="AQ6" s="151">
        <v>3936</v>
      </c>
      <c r="AR6" s="152">
        <v>3056</v>
      </c>
      <c r="AS6" s="153">
        <v>0.35694444444444445</v>
      </c>
      <c r="AT6" s="152">
        <v>192</v>
      </c>
      <c r="AU6" s="154">
        <v>0.74652777777777779</v>
      </c>
      <c r="AV6" s="168">
        <v>45869</v>
      </c>
      <c r="AW6" s="169">
        <f t="shared" ref="AW6" si="15">BA6/AZ6</f>
        <v>0.70063246661981726</v>
      </c>
      <c r="AX6" s="169">
        <f t="shared" ref="AX6" si="16">BB6/AZ6</f>
        <v>0.29936753338018274</v>
      </c>
      <c r="AY6" s="111">
        <f t="shared" ref="AY6" si="17">BA6+BB6</f>
        <v>7115</v>
      </c>
      <c r="AZ6" s="112">
        <v>7115</v>
      </c>
      <c r="BA6" s="170">
        <f t="shared" ref="BA6" si="18">AZ6-BB6</f>
        <v>4985</v>
      </c>
      <c r="BB6" s="113">
        <v>2130</v>
      </c>
      <c r="BC6" s="112">
        <v>3560</v>
      </c>
      <c r="BD6" s="114">
        <v>0.35416666666666669</v>
      </c>
      <c r="BE6" s="115">
        <v>0</v>
      </c>
      <c r="BF6" s="114">
        <v>0</v>
      </c>
      <c r="BG6" s="115">
        <v>134</v>
      </c>
      <c r="BH6" s="114">
        <v>0.3125</v>
      </c>
      <c r="BI6" s="168">
        <v>45869</v>
      </c>
      <c r="BJ6" s="171">
        <f t="shared" ref="BJ6" si="19">+BM6/BL6</f>
        <v>0.60853829677228743</v>
      </c>
      <c r="BK6" s="76">
        <f t="shared" ref="BK6" si="20">+BN6/BL6</f>
        <v>0.39146170322771251</v>
      </c>
      <c r="BL6" s="79">
        <f t="shared" ref="BL6" si="21">BM6+BN6</f>
        <v>27078</v>
      </c>
      <c r="BM6" s="155">
        <v>16478</v>
      </c>
      <c r="BN6" s="155">
        <v>10600</v>
      </c>
      <c r="BO6" s="156">
        <v>4078</v>
      </c>
      <c r="BP6" s="157">
        <v>0.70625000000000004</v>
      </c>
      <c r="BQ6" s="158">
        <v>2720</v>
      </c>
      <c r="BR6" s="157">
        <v>0.70625000000000004</v>
      </c>
    </row>
    <row r="7" spans="1:72" ht="15.75" thickBot="1" x14ac:dyDescent="0.3">
      <c r="A7" s="166"/>
      <c r="B7" s="56">
        <f>B6+1</f>
        <v>45870</v>
      </c>
      <c r="C7" s="126"/>
      <c r="D7" s="87">
        <f t="shared" ref="D7:D10" si="22">R7</f>
        <v>46900</v>
      </c>
      <c r="E7" s="159">
        <f t="shared" ref="E7:E10" si="23">F7/D7</f>
        <v>0.87008528784648187</v>
      </c>
      <c r="F7" s="87">
        <f t="shared" ref="F7:F10" si="24">D7-H7</f>
        <v>40807</v>
      </c>
      <c r="G7" s="159">
        <f t="shared" ref="G7:G10" si="25">H7/D7</f>
        <v>0.12991471215351813</v>
      </c>
      <c r="H7" s="146">
        <f t="shared" ref="H7:H10" si="26">U7+AG7+AQ7+BB7</f>
        <v>6093</v>
      </c>
      <c r="I7" s="160">
        <f t="shared" ref="I7:I10" si="27">AE7/(AE7+AO7+BL7+AY7)</f>
        <v>0.10407108166782301</v>
      </c>
      <c r="J7" s="159">
        <f t="shared" ref="J7:J10" si="28">AO7/(AE7+AO7+BL7+AY7)</f>
        <v>0.15328663190170319</v>
      </c>
      <c r="K7" s="159">
        <f t="shared" ref="K7:K10" si="29">AY7/(AF7+AP7+BM7+AZ7+AY7)</f>
        <v>0.18832841926315511</v>
      </c>
      <c r="L7" s="161">
        <f t="shared" ref="L7:L10" si="30">BL7/(AE7+AO7+BL7+AY7)</f>
        <v>0.58396186298426622</v>
      </c>
      <c r="M7" s="146">
        <f t="shared" ref="M7:M10" si="31">(S7+T7)*I7</f>
        <v>4896.5443924710726</v>
      </c>
      <c r="N7" s="146">
        <f t="shared" ref="N7:N10" si="32">(S7+T7)*J7</f>
        <v>7212.1360309751353</v>
      </c>
      <c r="O7" s="146">
        <f t="shared" ref="O7:O10" si="33">(S7+T7)*K7</f>
        <v>8860.8521263314469</v>
      </c>
      <c r="P7" s="146">
        <f t="shared" ref="P7:P10" si="34">(S7+T7)*L7</f>
        <v>27475.405653409725</v>
      </c>
      <c r="Q7" s="56">
        <f>Q6+1</f>
        <v>45870</v>
      </c>
      <c r="R7" s="139">
        <v>46900</v>
      </c>
      <c r="S7" s="140">
        <v>0</v>
      </c>
      <c r="T7" s="140">
        <v>47050</v>
      </c>
      <c r="U7" s="140">
        <v>0</v>
      </c>
      <c r="V7" s="141">
        <v>12150</v>
      </c>
      <c r="W7" s="142">
        <v>0.77083333333333337</v>
      </c>
      <c r="X7" s="141">
        <v>4120</v>
      </c>
      <c r="Y7" s="142">
        <v>0.75</v>
      </c>
      <c r="Z7" s="141">
        <v>0</v>
      </c>
      <c r="AA7" s="142">
        <v>0</v>
      </c>
      <c r="AB7" s="56">
        <f>AB6+1</f>
        <v>45870</v>
      </c>
      <c r="AC7" s="76">
        <f t="shared" ref="AC7:AC10" si="35">+AF7/AE7</f>
        <v>1</v>
      </c>
      <c r="AD7" s="162">
        <f t="shared" ref="AD7:AD10" si="36">+AG7/AE7</f>
        <v>0</v>
      </c>
      <c r="AE7" s="163">
        <v>4650</v>
      </c>
      <c r="AF7" s="118">
        <f t="shared" ref="AF7:AF38" si="37">+AE7-AG7</f>
        <v>4650</v>
      </c>
      <c r="AG7" s="147">
        <v>0</v>
      </c>
      <c r="AH7" s="148">
        <v>3150</v>
      </c>
      <c r="AI7" s="149">
        <v>0.3347222222222222</v>
      </c>
      <c r="AJ7" s="148">
        <v>0</v>
      </c>
      <c r="AK7" s="165">
        <v>0</v>
      </c>
      <c r="AL7" s="56">
        <f t="shared" ref="AL7:AL38" si="38">AL6+1</f>
        <v>45870</v>
      </c>
      <c r="AM7" s="77">
        <f t="shared" ref="AM7:AM10" si="39">+AP7/AO7</f>
        <v>0.4199153161045408</v>
      </c>
      <c r="AN7" s="76">
        <f t="shared" ref="AN7:AN10" si="40">+AQ7/AO7</f>
        <v>0.5800846838954592</v>
      </c>
      <c r="AO7" s="150">
        <v>6849</v>
      </c>
      <c r="AP7" s="117">
        <f t="shared" ref="AP7:AP38" si="41">AO7-AQ7</f>
        <v>2876</v>
      </c>
      <c r="AQ7" s="151">
        <v>3973</v>
      </c>
      <c r="AR7" s="152">
        <v>3424</v>
      </c>
      <c r="AS7" s="153">
        <v>0.33958333333333335</v>
      </c>
      <c r="AT7" s="152">
        <v>198</v>
      </c>
      <c r="AU7" s="154">
        <v>0.35069444444444442</v>
      </c>
      <c r="AV7" s="56">
        <f>AV6+1</f>
        <v>45870</v>
      </c>
      <c r="AW7" s="110">
        <f t="shared" ref="AW7:AW10" si="42">BA7/AZ7</f>
        <v>0.70098730606488013</v>
      </c>
      <c r="AX7" s="110">
        <f t="shared" ref="AX7:AX10" si="43">BB7/AZ7</f>
        <v>0.29901269393511987</v>
      </c>
      <c r="AY7" s="111">
        <f t="shared" ref="AY7:AY37" si="44">BA7+BB7</f>
        <v>7090</v>
      </c>
      <c r="AZ7" s="112">
        <v>7090</v>
      </c>
      <c r="BA7" s="120">
        <f t="shared" ref="BA7:BA12" si="45">AZ7-BB7</f>
        <v>4970</v>
      </c>
      <c r="BB7" s="113">
        <v>2120</v>
      </c>
      <c r="BC7" s="112">
        <v>3490</v>
      </c>
      <c r="BD7" s="114">
        <v>0.3125</v>
      </c>
      <c r="BE7" s="115">
        <v>0</v>
      </c>
      <c r="BF7" s="114" t="s">
        <v>70</v>
      </c>
      <c r="BG7" s="115">
        <v>133</v>
      </c>
      <c r="BH7" s="114">
        <v>0.35416666666666669</v>
      </c>
      <c r="BI7" s="56">
        <f>BI6+1</f>
        <v>45870</v>
      </c>
      <c r="BJ7" s="78">
        <f t="shared" ref="BJ7:BJ10" si="46">+BM7/BL7</f>
        <v>0.61095354898053045</v>
      </c>
      <c r="BK7" s="76">
        <f t="shared" ref="BK7:BK10" si="47">+BN7/BL7</f>
        <v>0.38904645101946955</v>
      </c>
      <c r="BL7" s="79">
        <f t="shared" ref="BL7:BL10" si="48">BM7+BN7</f>
        <v>26092</v>
      </c>
      <c r="BM7" s="155">
        <v>15941</v>
      </c>
      <c r="BN7" s="155">
        <v>10151</v>
      </c>
      <c r="BO7" s="156">
        <v>3434</v>
      </c>
      <c r="BP7" s="157">
        <v>0.36944444444444446</v>
      </c>
      <c r="BQ7" s="158">
        <v>3246</v>
      </c>
      <c r="BR7" s="157">
        <v>0.45069444444444445</v>
      </c>
    </row>
    <row r="8" spans="1:72" ht="15.75" thickBot="1" x14ac:dyDescent="0.3">
      <c r="A8" s="166"/>
      <c r="B8" s="56">
        <f t="shared" ref="B8:B36" si="49">B7+1</f>
        <v>45871</v>
      </c>
      <c r="C8" s="164"/>
      <c r="D8" s="87">
        <f t="shared" si="22"/>
        <v>31790</v>
      </c>
      <c r="E8" s="159">
        <f t="shared" si="23"/>
        <v>0.7971060081786725</v>
      </c>
      <c r="F8" s="87">
        <f t="shared" si="24"/>
        <v>25340</v>
      </c>
      <c r="G8" s="159">
        <f t="shared" si="25"/>
        <v>0.20289399182132747</v>
      </c>
      <c r="H8" s="146">
        <v>6450</v>
      </c>
      <c r="I8" s="160">
        <f t="shared" si="27"/>
        <v>7.5534455310438939E-2</v>
      </c>
      <c r="J8" s="159">
        <f t="shared" si="28"/>
        <v>0.16155901751193996</v>
      </c>
      <c r="K8" s="159">
        <f t="shared" si="29"/>
        <v>0.16112200717906969</v>
      </c>
      <c r="L8" s="161">
        <f t="shared" si="30"/>
        <v>0.63912895155788041</v>
      </c>
      <c r="M8" s="146">
        <f t="shared" si="31"/>
        <v>2290.7334261996816</v>
      </c>
      <c r="N8" s="146">
        <f t="shared" si="32"/>
        <v>4899.600324084603</v>
      </c>
      <c r="O8" s="146">
        <f t="shared" si="33"/>
        <v>4886.3471117196468</v>
      </c>
      <c r="P8" s="146">
        <f t="shared" si="34"/>
        <v>19382.86371389584</v>
      </c>
      <c r="Q8" s="56">
        <f t="shared" ref="Q8:Q37" si="50">Q7+1</f>
        <v>45871</v>
      </c>
      <c r="R8" s="139">
        <v>31790</v>
      </c>
      <c r="S8" s="140">
        <v>0</v>
      </c>
      <c r="T8" s="140">
        <v>30327</v>
      </c>
      <c r="U8" s="140">
        <v>0</v>
      </c>
      <c r="V8" s="141">
        <v>7039</v>
      </c>
      <c r="W8" s="142">
        <v>0.57291666666666663</v>
      </c>
      <c r="X8" s="141">
        <v>2081</v>
      </c>
      <c r="Y8" s="142">
        <v>0.40625</v>
      </c>
      <c r="Z8" s="141">
        <v>0</v>
      </c>
      <c r="AA8" s="142">
        <v>0</v>
      </c>
      <c r="AB8" s="56">
        <f t="shared" ref="AB8:AB38" si="51">AB7+1</f>
        <v>45871</v>
      </c>
      <c r="AC8" s="76">
        <f t="shared" si="35"/>
        <v>1</v>
      </c>
      <c r="AD8" s="162">
        <f t="shared" si="36"/>
        <v>0</v>
      </c>
      <c r="AE8" s="163">
        <v>2657</v>
      </c>
      <c r="AF8" s="118">
        <f t="shared" si="37"/>
        <v>2657</v>
      </c>
      <c r="AG8" s="147">
        <v>0</v>
      </c>
      <c r="AH8" s="148">
        <v>1621</v>
      </c>
      <c r="AI8" s="149">
        <v>0.80277777777777781</v>
      </c>
      <c r="AJ8" s="148">
        <v>0</v>
      </c>
      <c r="AK8" s="165">
        <v>0</v>
      </c>
      <c r="AL8" s="56">
        <f t="shared" si="38"/>
        <v>45871</v>
      </c>
      <c r="AM8" s="77">
        <f t="shared" si="39"/>
        <v>0.33257082526834419</v>
      </c>
      <c r="AN8" s="76">
        <f t="shared" si="40"/>
        <v>0.66742917473165586</v>
      </c>
      <c r="AO8" s="150">
        <v>5683</v>
      </c>
      <c r="AP8" s="117">
        <f t="shared" si="41"/>
        <v>1890</v>
      </c>
      <c r="AQ8" s="151">
        <v>3793</v>
      </c>
      <c r="AR8" s="152">
        <v>1842</v>
      </c>
      <c r="AS8" s="153">
        <v>0.35694444444444445</v>
      </c>
      <c r="AT8" s="152">
        <v>180</v>
      </c>
      <c r="AU8" s="154">
        <v>0.125</v>
      </c>
      <c r="AV8" s="56">
        <f t="shared" ref="AV8:AV38" si="52">AV7+1</f>
        <v>45871</v>
      </c>
      <c r="AW8" s="110">
        <f t="shared" si="42"/>
        <v>0.5186035829122646</v>
      </c>
      <c r="AX8" s="110">
        <f t="shared" si="43"/>
        <v>0.4813964170877354</v>
      </c>
      <c r="AY8" s="111">
        <f t="shared" si="44"/>
        <v>4354</v>
      </c>
      <c r="AZ8" s="112">
        <v>4354</v>
      </c>
      <c r="BA8" s="120">
        <f t="shared" si="45"/>
        <v>2258</v>
      </c>
      <c r="BB8" s="113">
        <v>2096</v>
      </c>
      <c r="BC8" s="112">
        <v>1755</v>
      </c>
      <c r="BD8" s="114">
        <v>0.55208333333333337</v>
      </c>
      <c r="BE8" s="115">
        <v>0</v>
      </c>
      <c r="BF8" s="114">
        <v>0</v>
      </c>
      <c r="BG8" s="115">
        <v>125</v>
      </c>
      <c r="BH8" s="114">
        <v>0.89583333333333337</v>
      </c>
      <c r="BI8" s="56">
        <f t="shared" ref="BI8:BI38" si="53">BI7+1</f>
        <v>45871</v>
      </c>
      <c r="BJ8" s="78">
        <f t="shared" si="46"/>
        <v>0.6124010319366604</v>
      </c>
      <c r="BK8" s="76">
        <f t="shared" si="47"/>
        <v>0.38759896806333954</v>
      </c>
      <c r="BL8" s="79">
        <f t="shared" si="48"/>
        <v>22482</v>
      </c>
      <c r="BM8" s="155">
        <v>13768</v>
      </c>
      <c r="BN8" s="155">
        <v>8714</v>
      </c>
      <c r="BO8" s="156">
        <v>2717</v>
      </c>
      <c r="BP8" s="157">
        <v>0.53055555555555556</v>
      </c>
      <c r="BQ8" s="158">
        <v>1781</v>
      </c>
      <c r="BR8" s="157">
        <v>0.53055555555555556</v>
      </c>
    </row>
    <row r="9" spans="1:72" ht="15.75" thickBot="1" x14ac:dyDescent="0.3">
      <c r="A9" s="166" t="s">
        <v>68</v>
      </c>
      <c r="B9" s="56">
        <f t="shared" si="49"/>
        <v>45872</v>
      </c>
      <c r="C9" s="164"/>
      <c r="D9" s="87">
        <f t="shared" si="22"/>
        <v>28042</v>
      </c>
      <c r="E9" s="159">
        <f t="shared" si="23"/>
        <v>0.79415162969830966</v>
      </c>
      <c r="F9" s="87">
        <f t="shared" si="24"/>
        <v>22269.599999999999</v>
      </c>
      <c r="G9" s="159">
        <f t="shared" si="25"/>
        <v>0.20584837030169031</v>
      </c>
      <c r="H9" s="146">
        <f t="shared" si="26"/>
        <v>5772.4</v>
      </c>
      <c r="I9" s="160">
        <f t="shared" si="27"/>
        <v>6.1658536585365853E-2</v>
      </c>
      <c r="J9" s="159">
        <f t="shared" si="28"/>
        <v>0.16731707317073172</v>
      </c>
      <c r="K9" s="159">
        <f t="shared" si="29"/>
        <v>0.17029624735189336</v>
      </c>
      <c r="L9" s="161">
        <f t="shared" si="30"/>
        <v>0.64094308943089429</v>
      </c>
      <c r="M9" s="146">
        <f t="shared" si="31"/>
        <v>1645.7896585365854</v>
      </c>
      <c r="N9" s="146">
        <f t="shared" si="32"/>
        <v>4466.0273170731707</v>
      </c>
      <c r="O9" s="146">
        <f t="shared" si="33"/>
        <v>4545.547434316738</v>
      </c>
      <c r="P9" s="146">
        <f t="shared" si="34"/>
        <v>17108.052943089431</v>
      </c>
      <c r="Q9" s="56">
        <f t="shared" si="50"/>
        <v>45872</v>
      </c>
      <c r="R9" s="139">
        <v>28042</v>
      </c>
      <c r="S9" s="140">
        <v>0</v>
      </c>
      <c r="T9" s="140">
        <v>26692</v>
      </c>
      <c r="U9" s="140">
        <v>0</v>
      </c>
      <c r="V9" s="141">
        <v>7167.15</v>
      </c>
      <c r="W9" s="142">
        <v>0.97916666666666663</v>
      </c>
      <c r="X9" s="141">
        <v>1912.56</v>
      </c>
      <c r="Y9" s="142">
        <v>0.45833333333333331</v>
      </c>
      <c r="Z9" s="141">
        <v>0</v>
      </c>
      <c r="AA9" s="142">
        <v>0</v>
      </c>
      <c r="AB9" s="56">
        <f t="shared" si="51"/>
        <v>45872</v>
      </c>
      <c r="AC9" s="76">
        <f t="shared" si="35"/>
        <v>1</v>
      </c>
      <c r="AD9" s="162">
        <f t="shared" si="36"/>
        <v>0</v>
      </c>
      <c r="AE9" s="163">
        <v>1896</v>
      </c>
      <c r="AF9" s="118">
        <f t="shared" si="37"/>
        <v>1896</v>
      </c>
      <c r="AG9" s="147">
        <v>0</v>
      </c>
      <c r="AH9" s="148">
        <v>2133.7800000000002</v>
      </c>
      <c r="AI9" s="149">
        <v>0.92222222222222228</v>
      </c>
      <c r="AJ9" s="148">
        <v>0</v>
      </c>
      <c r="AK9" s="165">
        <v>0</v>
      </c>
      <c r="AL9" s="56">
        <f t="shared" si="38"/>
        <v>45872</v>
      </c>
      <c r="AM9" s="77">
        <f t="shared" si="39"/>
        <v>0.28998639455782316</v>
      </c>
      <c r="AN9" s="76">
        <f t="shared" si="40"/>
        <v>0.71001360544217684</v>
      </c>
      <c r="AO9" s="150">
        <v>5145</v>
      </c>
      <c r="AP9" s="117">
        <f t="shared" si="41"/>
        <v>1491.98</v>
      </c>
      <c r="AQ9" s="151">
        <v>3653.02</v>
      </c>
      <c r="AR9" s="152">
        <v>2164.77</v>
      </c>
      <c r="AS9" s="153">
        <v>0.93055555555555558</v>
      </c>
      <c r="AT9" s="152">
        <v>179.79</v>
      </c>
      <c r="AU9" s="154">
        <v>0.29166666666666669</v>
      </c>
      <c r="AV9" s="56">
        <f t="shared" si="52"/>
        <v>45872</v>
      </c>
      <c r="AW9" s="110">
        <f t="shared" si="42"/>
        <v>0.47015499999999999</v>
      </c>
      <c r="AX9" s="110">
        <f t="shared" si="43"/>
        <v>0.52984500000000001</v>
      </c>
      <c r="AY9" s="111">
        <f t="shared" si="44"/>
        <v>4000</v>
      </c>
      <c r="AZ9" s="112">
        <v>4000</v>
      </c>
      <c r="BA9" s="120">
        <f t="shared" si="45"/>
        <v>1880.62</v>
      </c>
      <c r="BB9" s="113">
        <v>2119.38</v>
      </c>
      <c r="BC9" s="112">
        <v>1640</v>
      </c>
      <c r="BD9" s="114">
        <v>0.95833333333333337</v>
      </c>
      <c r="BE9" s="115">
        <v>0</v>
      </c>
      <c r="BF9" s="114">
        <v>0</v>
      </c>
      <c r="BG9" s="115">
        <v>133.46</v>
      </c>
      <c r="BH9" s="114">
        <v>0.90625</v>
      </c>
      <c r="BI9" s="56">
        <f t="shared" si="53"/>
        <v>45872</v>
      </c>
      <c r="BJ9" s="78">
        <f t="shared" si="46"/>
        <v>0.61395809021259318</v>
      </c>
      <c r="BK9" s="76">
        <f t="shared" si="47"/>
        <v>0.38604190978740677</v>
      </c>
      <c r="BL9" s="79">
        <f t="shared" si="48"/>
        <v>19709</v>
      </c>
      <c r="BM9" s="155">
        <v>12100.5</v>
      </c>
      <c r="BN9" s="155">
        <v>7608.5</v>
      </c>
      <c r="BO9" s="156">
        <v>3128.42</v>
      </c>
      <c r="BP9" s="157">
        <v>0.41666666666666669</v>
      </c>
      <c r="BQ9" s="158">
        <v>2051.6</v>
      </c>
      <c r="BR9" s="157">
        <v>0.41666666666666669</v>
      </c>
    </row>
    <row r="10" spans="1:72" ht="15.75" thickBot="1" x14ac:dyDescent="0.3">
      <c r="B10" s="56">
        <f t="shared" si="49"/>
        <v>45873</v>
      </c>
      <c r="C10" s="164"/>
      <c r="D10" s="87">
        <f t="shared" si="22"/>
        <v>50256</v>
      </c>
      <c r="E10" s="159">
        <f t="shared" si="23"/>
        <v>0.87281120662209488</v>
      </c>
      <c r="F10" s="87">
        <f t="shared" si="24"/>
        <v>43864</v>
      </c>
      <c r="G10" s="159">
        <f t="shared" si="25"/>
        <v>0.12718879337790512</v>
      </c>
      <c r="H10" s="146">
        <f t="shared" si="26"/>
        <v>6392</v>
      </c>
      <c r="I10" s="160">
        <f t="shared" si="27"/>
        <v>0.1099564018151081</v>
      </c>
      <c r="J10" s="159">
        <f t="shared" si="28"/>
        <v>0.15876857371652281</v>
      </c>
      <c r="K10" s="159">
        <f t="shared" si="29"/>
        <v>0.16071390126805743</v>
      </c>
      <c r="L10" s="161">
        <f t="shared" si="30"/>
        <v>0.59843402437939319</v>
      </c>
      <c r="M10" s="146">
        <f t="shared" si="31"/>
        <v>5376.4282231515253</v>
      </c>
      <c r="N10" s="146">
        <f t="shared" si="32"/>
        <v>7763.1481804430996</v>
      </c>
      <c r="O10" s="146">
        <f t="shared" si="33"/>
        <v>7858.2669164029357</v>
      </c>
      <c r="P10" s="146">
        <f t="shared" si="34"/>
        <v>29261.030056054809</v>
      </c>
      <c r="Q10" s="56">
        <f t="shared" si="50"/>
        <v>45873</v>
      </c>
      <c r="R10" s="139">
        <v>50256</v>
      </c>
      <c r="S10" s="140">
        <v>0</v>
      </c>
      <c r="T10" s="140">
        <v>48896</v>
      </c>
      <c r="U10" s="140">
        <v>0</v>
      </c>
      <c r="V10" s="141">
        <v>13280</v>
      </c>
      <c r="W10" s="142">
        <v>0.78125</v>
      </c>
      <c r="X10" s="141">
        <v>4368</v>
      </c>
      <c r="Y10" s="142">
        <v>0.42708333333333331</v>
      </c>
      <c r="Z10" s="141">
        <v>0</v>
      </c>
      <c r="AA10" s="142">
        <v>0</v>
      </c>
      <c r="AB10" s="56">
        <f t="shared" si="51"/>
        <v>45873</v>
      </c>
      <c r="AC10" s="76">
        <f t="shared" si="35"/>
        <v>1</v>
      </c>
      <c r="AD10" s="162">
        <f t="shared" si="36"/>
        <v>0</v>
      </c>
      <c r="AE10" s="163">
        <v>6179</v>
      </c>
      <c r="AF10" s="118">
        <f t="shared" si="37"/>
        <v>6179</v>
      </c>
      <c r="AG10" s="147">
        <v>0</v>
      </c>
      <c r="AH10" s="148">
        <v>3704</v>
      </c>
      <c r="AI10" s="149">
        <v>0.36319444444444443</v>
      </c>
      <c r="AJ10" s="148">
        <v>0</v>
      </c>
      <c r="AK10" s="165">
        <v>0</v>
      </c>
      <c r="AL10" s="56">
        <f t="shared" si="38"/>
        <v>45873</v>
      </c>
      <c r="AM10" s="77">
        <f t="shared" si="39"/>
        <v>0.53485765523425244</v>
      </c>
      <c r="AN10" s="76">
        <f t="shared" si="40"/>
        <v>0.46514234476574762</v>
      </c>
      <c r="AO10" s="150">
        <v>8922</v>
      </c>
      <c r="AP10" s="117">
        <f t="shared" si="41"/>
        <v>4772</v>
      </c>
      <c r="AQ10" s="151">
        <v>4150</v>
      </c>
      <c r="AR10" s="152">
        <v>3636</v>
      </c>
      <c r="AS10" s="153">
        <v>0.73750000000000004</v>
      </c>
      <c r="AT10" s="152">
        <v>203</v>
      </c>
      <c r="AU10" s="154">
        <v>1830</v>
      </c>
      <c r="AV10" s="56">
        <f t="shared" si="52"/>
        <v>45873</v>
      </c>
      <c r="AW10" s="110">
        <f t="shared" si="42"/>
        <v>0.69966510381781644</v>
      </c>
      <c r="AX10" s="110">
        <f t="shared" si="43"/>
        <v>0.30033489618218351</v>
      </c>
      <c r="AY10" s="111">
        <f t="shared" si="44"/>
        <v>7465</v>
      </c>
      <c r="AZ10" s="112">
        <v>7465</v>
      </c>
      <c r="BA10" s="120">
        <f t="shared" si="45"/>
        <v>5223</v>
      </c>
      <c r="BB10" s="113">
        <v>2242</v>
      </c>
      <c r="BC10" s="112">
        <v>3713</v>
      </c>
      <c r="BD10" s="114">
        <v>0.73958333333333337</v>
      </c>
      <c r="BE10" s="115">
        <v>0</v>
      </c>
      <c r="BF10" s="114">
        <v>0</v>
      </c>
      <c r="BG10" s="115">
        <v>140</v>
      </c>
      <c r="BH10" s="114">
        <v>0.28125</v>
      </c>
      <c r="BI10" s="56">
        <f t="shared" si="53"/>
        <v>45873</v>
      </c>
      <c r="BJ10" s="78">
        <f t="shared" si="46"/>
        <v>0.61161497517023999</v>
      </c>
      <c r="BK10" s="76">
        <f t="shared" si="47"/>
        <v>0.38838502482976001</v>
      </c>
      <c r="BL10" s="79">
        <f t="shared" si="48"/>
        <v>33629</v>
      </c>
      <c r="BM10" s="155">
        <v>20568</v>
      </c>
      <c r="BN10" s="155">
        <v>13061</v>
      </c>
      <c r="BO10" s="156">
        <v>3714</v>
      </c>
      <c r="BP10" s="157">
        <v>0.38819444444444445</v>
      </c>
      <c r="BQ10" s="158">
        <v>2410</v>
      </c>
      <c r="BR10" s="157">
        <v>0.38819444444444445</v>
      </c>
      <c r="BS10" s="14" t="s">
        <v>69</v>
      </c>
    </row>
    <row r="11" spans="1:72" ht="15.75" thickBot="1" x14ac:dyDescent="0.3">
      <c r="B11" s="56">
        <f t="shared" si="49"/>
        <v>45874</v>
      </c>
      <c r="C11" s="164"/>
      <c r="D11" s="87">
        <f t="shared" ref="D11:D24" si="54">R11</f>
        <v>50790</v>
      </c>
      <c r="E11" s="159">
        <f t="shared" ref="E11:E24" si="55">F11/D11</f>
        <v>0.87592045678283126</v>
      </c>
      <c r="F11" s="87">
        <f t="shared" ref="F11:F24" si="56">D11-H11</f>
        <v>44488</v>
      </c>
      <c r="G11" s="159">
        <f t="shared" ref="G11:G24" si="57">H11/D11</f>
        <v>0.12407954321716873</v>
      </c>
      <c r="H11" s="146">
        <f t="shared" ref="H11:H24" si="58">U11+AG11+AQ11+BB11</f>
        <v>6302</v>
      </c>
      <c r="I11" s="160">
        <f t="shared" ref="I11:I24" si="59">AE11/(AE11+AO11+BL11+AY11)</f>
        <v>0.10809665112335735</v>
      </c>
      <c r="J11" s="159">
        <f t="shared" ref="J11:J24" si="60">AO11/(AE11+AO11+BL11+AY11)</f>
        <v>0.15734068107955348</v>
      </c>
      <c r="K11" s="159">
        <f t="shared" ref="K11:K24" si="61">AY11/(AF11+AP11+BM11+AZ11+AY11)</f>
        <v>0.16084020684644643</v>
      </c>
      <c r="L11" s="161">
        <f t="shared" ref="L11:L24" si="62">BL11/(AE11+AO11+BL11+AY11)</f>
        <v>0.60161438462625405</v>
      </c>
      <c r="M11" s="146">
        <f t="shared" ref="M11:M24" si="63">(S11+T11)*I11</f>
        <v>5323.8681644764729</v>
      </c>
      <c r="N11" s="146">
        <f t="shared" ref="N11:N24" si="64">(S11+T11)*J11</f>
        <v>7749.1858838490889</v>
      </c>
      <c r="O11" s="146">
        <f t="shared" ref="O11:O24" si="65">(S11+T11)*K11</f>
        <v>7921.5410273943326</v>
      </c>
      <c r="P11" s="146">
        <f t="shared" ref="P11:P24" si="66">(S11+T11)*L11</f>
        <v>29630.110057227637</v>
      </c>
      <c r="Q11" s="56">
        <f t="shared" si="50"/>
        <v>45874</v>
      </c>
      <c r="R11" s="139">
        <v>50790</v>
      </c>
      <c r="S11" s="140">
        <v>0</v>
      </c>
      <c r="T11" s="140">
        <v>49251</v>
      </c>
      <c r="U11" s="140">
        <v>0</v>
      </c>
      <c r="V11" s="141">
        <v>12525</v>
      </c>
      <c r="W11" s="142">
        <v>0.80208333333333337</v>
      </c>
      <c r="X11" s="141">
        <v>4352</v>
      </c>
      <c r="Y11" s="142">
        <v>0.80208333333333337</v>
      </c>
      <c r="Z11" s="141">
        <v>0</v>
      </c>
      <c r="AA11" s="142">
        <v>0</v>
      </c>
      <c r="AB11" s="56">
        <f t="shared" si="51"/>
        <v>45874</v>
      </c>
      <c r="AC11" s="76">
        <f t="shared" ref="AC11:AC24" si="67">+AF11/AE11</f>
        <v>1</v>
      </c>
      <c r="AD11" s="162">
        <f t="shared" ref="AD11:AD24" si="68">+AG11/AE11</f>
        <v>0</v>
      </c>
      <c r="AE11" s="163">
        <v>6120</v>
      </c>
      <c r="AF11" s="118">
        <f t="shared" si="37"/>
        <v>6120</v>
      </c>
      <c r="AG11" s="147">
        <v>0</v>
      </c>
      <c r="AH11" s="148">
        <v>4081</v>
      </c>
      <c r="AI11" s="149">
        <v>0.75208333333333333</v>
      </c>
      <c r="AJ11" s="148">
        <v>0</v>
      </c>
      <c r="AK11" s="165">
        <v>0</v>
      </c>
      <c r="AL11" s="56">
        <f t="shared" si="38"/>
        <v>45874</v>
      </c>
      <c r="AM11" s="77">
        <f t="shared" ref="AM11:AM24" si="69">+AP11/AO11</f>
        <v>0.541311180960934</v>
      </c>
      <c r="AN11" s="76">
        <f t="shared" ref="AN11:AN24" si="70">+AQ11/AO11</f>
        <v>0.458688819039066</v>
      </c>
      <c r="AO11" s="150">
        <v>8908</v>
      </c>
      <c r="AP11" s="117">
        <f t="shared" si="41"/>
        <v>4822</v>
      </c>
      <c r="AQ11" s="151">
        <v>4086</v>
      </c>
      <c r="AR11" s="152">
        <v>3801</v>
      </c>
      <c r="AS11" s="153">
        <v>0.73611111111111116</v>
      </c>
      <c r="AT11" s="152">
        <v>207</v>
      </c>
      <c r="AU11" s="154">
        <v>0.3125</v>
      </c>
      <c r="AV11" s="56">
        <f t="shared" si="52"/>
        <v>45874</v>
      </c>
      <c r="AW11" s="110">
        <f t="shared" ref="AW11:AW24" si="71">BA11/AZ11</f>
        <v>0.70559319782117713</v>
      </c>
      <c r="AX11" s="110">
        <f t="shared" ref="AX11:AX24" si="72">BB11/AZ11</f>
        <v>0.29440680217882292</v>
      </c>
      <c r="AY11" s="111">
        <f t="shared" si="44"/>
        <v>7527</v>
      </c>
      <c r="AZ11" s="112">
        <v>7527</v>
      </c>
      <c r="BA11" s="170">
        <f t="shared" si="45"/>
        <v>5311</v>
      </c>
      <c r="BB11" s="113">
        <v>2216</v>
      </c>
      <c r="BC11" s="112">
        <v>3975</v>
      </c>
      <c r="BD11" s="114">
        <v>0.66666666666666663</v>
      </c>
      <c r="BE11" s="115">
        <v>0</v>
      </c>
      <c r="BF11" s="114">
        <v>0</v>
      </c>
      <c r="BG11" s="115">
        <v>137</v>
      </c>
      <c r="BH11" s="114">
        <v>0.27083333333333331</v>
      </c>
      <c r="BI11" s="56">
        <f t="shared" si="53"/>
        <v>45874</v>
      </c>
      <c r="BJ11" s="78">
        <f t="shared" ref="BJ11:BJ24" si="73">+BM11/BL11</f>
        <v>0.61072781186694458</v>
      </c>
      <c r="BK11" s="76">
        <f t="shared" ref="BK11:BK24" si="74">+BN11/BL11</f>
        <v>0.38927218813305542</v>
      </c>
      <c r="BL11" s="79">
        <f t="shared" ref="BL11:BL24" si="75">BM11+BN11</f>
        <v>34061</v>
      </c>
      <c r="BM11" s="155">
        <v>20802</v>
      </c>
      <c r="BN11" s="155">
        <v>13259</v>
      </c>
      <c r="BO11" s="156">
        <v>4019</v>
      </c>
      <c r="BP11" s="157">
        <v>0.76111111111111107</v>
      </c>
      <c r="BQ11" s="158">
        <v>2671</v>
      </c>
      <c r="BR11" s="157">
        <v>0.76111111111111107</v>
      </c>
    </row>
    <row r="12" spans="1:72" ht="15.75" thickBot="1" x14ac:dyDescent="0.3">
      <c r="B12" s="56">
        <f t="shared" si="49"/>
        <v>45875</v>
      </c>
      <c r="C12" s="164"/>
      <c r="D12" s="87">
        <f t="shared" si="54"/>
        <v>48432</v>
      </c>
      <c r="E12" s="159">
        <f t="shared" si="55"/>
        <v>0.86583250743310203</v>
      </c>
      <c r="F12" s="87">
        <f t="shared" si="56"/>
        <v>41934</v>
      </c>
      <c r="G12" s="159">
        <f>H12/D12</f>
        <v>0.13416749256689792</v>
      </c>
      <c r="H12" s="146">
        <f t="shared" si="58"/>
        <v>6498</v>
      </c>
      <c r="I12" s="160">
        <f t="shared" si="59"/>
        <v>0.11041999331575625</v>
      </c>
      <c r="J12" s="159">
        <f t="shared" si="60"/>
        <v>0.15743250770544767</v>
      </c>
      <c r="K12" s="159">
        <f t="shared" si="61"/>
        <v>0.15991834720384038</v>
      </c>
      <c r="L12" s="161">
        <f t="shared" si="62"/>
        <v>0.59978090534368156</v>
      </c>
      <c r="M12" s="146">
        <f t="shared" si="63"/>
        <v>5215.2467042964836</v>
      </c>
      <c r="N12" s="146">
        <f t="shared" si="64"/>
        <v>7435.6947714359994</v>
      </c>
      <c r="O12" s="146">
        <f t="shared" si="65"/>
        <v>7553.1034567845845</v>
      </c>
      <c r="P12" s="146">
        <f t="shared" si="66"/>
        <v>28328.251940287424</v>
      </c>
      <c r="Q12" s="56">
        <f t="shared" si="50"/>
        <v>45875</v>
      </c>
      <c r="R12" s="139">
        <v>48432</v>
      </c>
      <c r="S12" s="140">
        <v>0</v>
      </c>
      <c r="T12" s="140">
        <v>47231</v>
      </c>
      <c r="U12" s="140">
        <v>0</v>
      </c>
      <c r="V12" s="141">
        <v>12169</v>
      </c>
      <c r="W12" s="142">
        <v>0.8125</v>
      </c>
      <c r="X12" s="141">
        <v>4189</v>
      </c>
      <c r="Y12" s="142">
        <v>0.80208333333333337</v>
      </c>
      <c r="Z12" s="141">
        <v>0</v>
      </c>
      <c r="AA12" s="142">
        <v>0</v>
      </c>
      <c r="AB12" s="56">
        <f t="shared" si="51"/>
        <v>45875</v>
      </c>
      <c r="AC12" s="76">
        <f t="shared" si="67"/>
        <v>1</v>
      </c>
      <c r="AD12" s="162">
        <f t="shared" si="68"/>
        <v>0</v>
      </c>
      <c r="AE12" s="163">
        <v>5947</v>
      </c>
      <c r="AF12" s="118">
        <f t="shared" si="37"/>
        <v>5947</v>
      </c>
      <c r="AG12" s="147">
        <v>0</v>
      </c>
      <c r="AH12" s="148">
        <v>4046</v>
      </c>
      <c r="AI12" s="149">
        <v>0.33611111111111114</v>
      </c>
      <c r="AJ12" s="148">
        <v>0</v>
      </c>
      <c r="AK12" s="165">
        <v>0</v>
      </c>
      <c r="AL12" s="56">
        <f t="shared" si="38"/>
        <v>45875</v>
      </c>
      <c r="AM12" s="77">
        <f t="shared" si="69"/>
        <v>0.55348508078782876</v>
      </c>
      <c r="AN12" s="76">
        <f t="shared" si="70"/>
        <v>0.44651491921217124</v>
      </c>
      <c r="AO12" s="150">
        <v>8479</v>
      </c>
      <c r="AP12" s="117">
        <f t="shared" si="41"/>
        <v>4693</v>
      </c>
      <c r="AQ12" s="151">
        <v>3786</v>
      </c>
      <c r="AR12" s="152">
        <v>3489</v>
      </c>
      <c r="AS12" s="153">
        <v>0.35902777777777778</v>
      </c>
      <c r="AT12" s="152">
        <v>181</v>
      </c>
      <c r="AU12" s="154">
        <v>0.32291666666666669</v>
      </c>
      <c r="AV12" s="56">
        <f t="shared" si="52"/>
        <v>45875</v>
      </c>
      <c r="AW12" s="110">
        <f t="shared" si="71"/>
        <v>0.61958198905877404</v>
      </c>
      <c r="AX12" s="110">
        <f t="shared" si="72"/>
        <v>0.38041801094122596</v>
      </c>
      <c r="AY12" s="111">
        <f t="shared" si="44"/>
        <v>7129</v>
      </c>
      <c r="AZ12" s="112">
        <v>7129</v>
      </c>
      <c r="BA12" s="170">
        <f t="shared" si="45"/>
        <v>4417</v>
      </c>
      <c r="BB12" s="113">
        <f>1122+1590</f>
        <v>2712</v>
      </c>
      <c r="BC12" s="112">
        <v>3732</v>
      </c>
      <c r="BD12" s="114">
        <v>0.77083333333333337</v>
      </c>
      <c r="BE12" s="115">
        <v>0</v>
      </c>
      <c r="BF12" s="114">
        <v>0</v>
      </c>
      <c r="BG12" s="115">
        <v>142</v>
      </c>
      <c r="BH12" s="114">
        <v>0.27083333333333331</v>
      </c>
      <c r="BI12" s="56">
        <f t="shared" si="53"/>
        <v>45875</v>
      </c>
      <c r="BJ12" s="78">
        <f t="shared" si="73"/>
        <v>0.60926229761941619</v>
      </c>
      <c r="BK12" s="76">
        <f t="shared" si="74"/>
        <v>0.39073770238058386</v>
      </c>
      <c r="BL12" s="79">
        <f t="shared" si="75"/>
        <v>32303</v>
      </c>
      <c r="BM12" s="155">
        <v>19681</v>
      </c>
      <c r="BN12" s="155">
        <v>12622</v>
      </c>
      <c r="BO12" s="156">
        <v>4133</v>
      </c>
      <c r="BP12" s="157">
        <v>0.7680555555555556</v>
      </c>
      <c r="BQ12" s="158">
        <v>2718</v>
      </c>
      <c r="BR12" s="157">
        <v>0.7680555555555556</v>
      </c>
      <c r="BT12" s="14" t="s">
        <v>37</v>
      </c>
    </row>
    <row r="13" spans="1:72" ht="15.75" thickBot="1" x14ac:dyDescent="0.3">
      <c r="B13" s="56">
        <f t="shared" si="49"/>
        <v>45876</v>
      </c>
      <c r="C13" s="164"/>
      <c r="D13" s="87">
        <f t="shared" si="54"/>
        <v>48152</v>
      </c>
      <c r="E13" s="159">
        <f t="shared" si="55"/>
        <v>0.86633992357534473</v>
      </c>
      <c r="F13" s="87">
        <f t="shared" si="56"/>
        <v>41716</v>
      </c>
      <c r="G13" s="159">
        <f t="shared" si="57"/>
        <v>0.13366007642465527</v>
      </c>
      <c r="H13" s="146">
        <f t="shared" si="58"/>
        <v>6436</v>
      </c>
      <c r="I13" s="160">
        <f t="shared" si="59"/>
        <v>0.11313068611666117</v>
      </c>
      <c r="J13" s="159">
        <f t="shared" si="60"/>
        <v>0.15980291361952242</v>
      </c>
      <c r="K13" s="159">
        <f t="shared" si="61"/>
        <v>0.11549749124301809</v>
      </c>
      <c r="L13" s="161">
        <f t="shared" si="62"/>
        <v>0.63240286318403138</v>
      </c>
      <c r="M13" s="146">
        <f t="shared" si="63"/>
        <v>5302.4352582879092</v>
      </c>
      <c r="N13" s="146">
        <f t="shared" si="64"/>
        <v>7489.9625613470162</v>
      </c>
      <c r="O13" s="146">
        <f t="shared" si="65"/>
        <v>5413.3674145602581</v>
      </c>
      <c r="P13" s="146">
        <f t="shared" si="66"/>
        <v>29640.722197435553</v>
      </c>
      <c r="Q13" s="56">
        <f t="shared" si="50"/>
        <v>45876</v>
      </c>
      <c r="R13" s="139">
        <v>48152</v>
      </c>
      <c r="S13" s="140">
        <v>0</v>
      </c>
      <c r="T13" s="140">
        <v>46870</v>
      </c>
      <c r="U13" s="140">
        <v>0</v>
      </c>
      <c r="V13" s="141">
        <v>12250</v>
      </c>
      <c r="W13" s="142">
        <v>0.76041666666666663</v>
      </c>
      <c r="X13" s="141">
        <v>4220</v>
      </c>
      <c r="Y13" s="142">
        <v>0.79166666666666663</v>
      </c>
      <c r="Z13" s="141">
        <v>0</v>
      </c>
      <c r="AA13" s="142">
        <v>0</v>
      </c>
      <c r="AB13" s="56">
        <f t="shared" si="51"/>
        <v>45876</v>
      </c>
      <c r="AC13" s="76">
        <f t="shared" si="67"/>
        <v>1</v>
      </c>
      <c r="AD13" s="162">
        <f t="shared" si="68"/>
        <v>0</v>
      </c>
      <c r="AE13" s="163">
        <v>5832</v>
      </c>
      <c r="AF13" s="118">
        <f t="shared" si="37"/>
        <v>5832</v>
      </c>
      <c r="AG13" s="147">
        <v>0</v>
      </c>
      <c r="AH13" s="148">
        <v>3515</v>
      </c>
      <c r="AI13" s="149">
        <v>0.72222222222222221</v>
      </c>
      <c r="AJ13" s="148">
        <v>0</v>
      </c>
      <c r="AK13" s="165">
        <v>0</v>
      </c>
      <c r="AL13" s="56">
        <f t="shared" si="38"/>
        <v>45876</v>
      </c>
      <c r="AM13" s="77">
        <f t="shared" si="69"/>
        <v>0.54248604030104397</v>
      </c>
      <c r="AN13" s="76">
        <f t="shared" si="70"/>
        <v>0.45751395969895603</v>
      </c>
      <c r="AO13" s="150">
        <v>8238</v>
      </c>
      <c r="AP13" s="117">
        <f t="shared" si="41"/>
        <v>4469</v>
      </c>
      <c r="AQ13" s="151">
        <v>3769</v>
      </c>
      <c r="AR13" s="152">
        <v>3573</v>
      </c>
      <c r="AS13" s="153">
        <v>0.71875</v>
      </c>
      <c r="AT13" s="152">
        <v>182</v>
      </c>
      <c r="AU13" s="154">
        <v>0.77083333333333337</v>
      </c>
      <c r="AV13" s="56">
        <f t="shared" si="52"/>
        <v>45876</v>
      </c>
      <c r="AW13" s="110">
        <f t="shared" si="71"/>
        <v>0.31524216524216525</v>
      </c>
      <c r="AX13" s="110">
        <f t="shared" si="72"/>
        <v>0.3799145299145299</v>
      </c>
      <c r="AY13" s="111">
        <f t="shared" si="44"/>
        <v>4880</v>
      </c>
      <c r="AZ13" s="112">
        <v>7020</v>
      </c>
      <c r="BA13" s="170">
        <v>2213</v>
      </c>
      <c r="BB13" s="113">
        <f>1556+1111</f>
        <v>2667</v>
      </c>
      <c r="BC13" s="112">
        <v>3724</v>
      </c>
      <c r="BD13" s="114">
        <v>0.70833333333333337</v>
      </c>
      <c r="BE13" s="115">
        <v>0</v>
      </c>
      <c r="BF13" s="114">
        <v>0</v>
      </c>
      <c r="BG13" s="115">
        <v>140</v>
      </c>
      <c r="BH13" s="114">
        <v>0.89583333333333337</v>
      </c>
      <c r="BI13" s="56">
        <f t="shared" si="53"/>
        <v>45876</v>
      </c>
      <c r="BJ13" s="78">
        <f t="shared" si="73"/>
        <v>0.61504248335940614</v>
      </c>
      <c r="BK13" s="76">
        <f t="shared" si="74"/>
        <v>0.38495751664059386</v>
      </c>
      <c r="BL13" s="79">
        <f t="shared" si="75"/>
        <v>32601</v>
      </c>
      <c r="BM13" s="155">
        <v>20051</v>
      </c>
      <c r="BN13" s="155">
        <v>12550</v>
      </c>
      <c r="BO13" s="156">
        <v>3703</v>
      </c>
      <c r="BP13" s="157">
        <v>0.83263888888888893</v>
      </c>
      <c r="BQ13" s="158">
        <v>2438</v>
      </c>
      <c r="BR13" s="157">
        <v>0.83263888888888893</v>
      </c>
    </row>
    <row r="14" spans="1:72" ht="15.75" thickBot="1" x14ac:dyDescent="0.3">
      <c r="B14" s="56">
        <f t="shared" si="49"/>
        <v>45877</v>
      </c>
      <c r="C14" s="164"/>
      <c r="D14" s="87">
        <f t="shared" si="54"/>
        <v>48694</v>
      </c>
      <c r="E14" s="159">
        <f t="shared" si="55"/>
        <v>0.8767379964677372</v>
      </c>
      <c r="F14" s="87">
        <f t="shared" si="56"/>
        <v>42691.88</v>
      </c>
      <c r="G14" s="159">
        <f t="shared" si="57"/>
        <v>0.1232620035322627</v>
      </c>
      <c r="H14" s="146">
        <f t="shared" si="58"/>
        <v>6002.12</v>
      </c>
      <c r="I14" s="160">
        <f t="shared" si="59"/>
        <v>0.10955162454207384</v>
      </c>
      <c r="J14" s="159">
        <f t="shared" si="60"/>
        <v>0.1546475468076664</v>
      </c>
      <c r="K14" s="159">
        <f t="shared" si="61"/>
        <v>0.1613365184897797</v>
      </c>
      <c r="L14" s="161">
        <f t="shared" si="62"/>
        <v>0.60210945934723026</v>
      </c>
      <c r="M14" s="146">
        <f t="shared" si="63"/>
        <v>5205.1263368675545</v>
      </c>
      <c r="N14" s="146">
        <f t="shared" si="64"/>
        <v>7347.7688914726541</v>
      </c>
      <c r="O14" s="146">
        <f t="shared" si="65"/>
        <v>7665.5820030049026</v>
      </c>
      <c r="P14" s="146">
        <f t="shared" si="66"/>
        <v>28608.02674196495</v>
      </c>
      <c r="Q14" s="56">
        <f t="shared" si="50"/>
        <v>45877</v>
      </c>
      <c r="R14" s="139">
        <v>48694</v>
      </c>
      <c r="S14" s="140">
        <v>0</v>
      </c>
      <c r="T14" s="140">
        <v>47513</v>
      </c>
      <c r="U14" s="140">
        <v>0</v>
      </c>
      <c r="V14" s="141">
        <v>13254</v>
      </c>
      <c r="W14" s="142">
        <v>0.79166666666666663</v>
      </c>
      <c r="X14" s="141">
        <v>4269</v>
      </c>
      <c r="Y14" s="142">
        <v>0.80208333333333337</v>
      </c>
      <c r="Z14" s="141">
        <v>0</v>
      </c>
      <c r="AA14" s="142">
        <v>0</v>
      </c>
      <c r="AB14" s="56">
        <f t="shared" si="51"/>
        <v>45877</v>
      </c>
      <c r="AC14" s="76">
        <f t="shared" si="67"/>
        <v>1</v>
      </c>
      <c r="AD14" s="162">
        <f t="shared" si="68"/>
        <v>0</v>
      </c>
      <c r="AE14" s="163">
        <v>5936</v>
      </c>
      <c r="AF14" s="118">
        <f t="shared" si="37"/>
        <v>5936</v>
      </c>
      <c r="AG14" s="147">
        <v>0</v>
      </c>
      <c r="AH14" s="148">
        <v>3914.4</v>
      </c>
      <c r="AI14" s="149">
        <v>0.76041666666666663</v>
      </c>
      <c r="AJ14" s="148">
        <v>0</v>
      </c>
      <c r="AK14" s="165">
        <v>0</v>
      </c>
      <c r="AL14" s="56">
        <f t="shared" si="38"/>
        <v>45877</v>
      </c>
      <c r="AM14" s="77">
        <f t="shared" si="69"/>
        <v>0.54966764126737877</v>
      </c>
      <c r="AN14" s="76">
        <f t="shared" si="70"/>
        <v>0.45033235873262129</v>
      </c>
      <c r="AO14" s="150">
        <v>8379.5</v>
      </c>
      <c r="AP14" s="117">
        <f t="shared" si="41"/>
        <v>4605.9400000000005</v>
      </c>
      <c r="AQ14" s="151">
        <v>3773.56</v>
      </c>
      <c r="AR14" s="152">
        <v>3445.05</v>
      </c>
      <c r="AS14" s="153">
        <v>0.78472222222222221</v>
      </c>
      <c r="AT14" s="152">
        <v>182.5</v>
      </c>
      <c r="AU14" s="154">
        <v>0.33333333333333331</v>
      </c>
      <c r="AV14" s="56">
        <f t="shared" si="52"/>
        <v>45877</v>
      </c>
      <c r="AW14" s="110">
        <f t="shared" si="71"/>
        <v>0.69235781336278301</v>
      </c>
      <c r="AX14" s="110">
        <f t="shared" si="72"/>
        <v>0.30764218663721699</v>
      </c>
      <c r="AY14" s="111">
        <f t="shared" si="44"/>
        <v>7244</v>
      </c>
      <c r="AZ14" s="112">
        <v>7244</v>
      </c>
      <c r="BA14" s="120">
        <f t="shared" ref="BA14:BA24" si="76">AZ14-BB14</f>
        <v>5015.4400000000005</v>
      </c>
      <c r="BB14" s="113">
        <v>2228.56</v>
      </c>
      <c r="BC14" s="112">
        <v>3979.3</v>
      </c>
      <c r="BD14" s="114">
        <v>0.75</v>
      </c>
      <c r="BE14" s="115">
        <v>0</v>
      </c>
      <c r="BF14" s="114">
        <v>0</v>
      </c>
      <c r="BG14" s="115">
        <v>146.96</v>
      </c>
      <c r="BH14" s="114">
        <v>0.29166666666666669</v>
      </c>
      <c r="BI14" s="56">
        <f t="shared" si="53"/>
        <v>45877</v>
      </c>
      <c r="BJ14" s="78">
        <f t="shared" si="73"/>
        <v>0.60904214559386971</v>
      </c>
      <c r="BK14" s="76">
        <f t="shared" si="74"/>
        <v>0.39095785440613029</v>
      </c>
      <c r="BL14" s="79">
        <f t="shared" si="75"/>
        <v>32625</v>
      </c>
      <c r="BM14" s="155">
        <v>19870</v>
      </c>
      <c r="BN14" s="155">
        <v>12755</v>
      </c>
      <c r="BO14" s="156">
        <v>3986</v>
      </c>
      <c r="BP14" s="157">
        <v>0.77777777777777779</v>
      </c>
      <c r="BQ14" s="158">
        <v>2641.9</v>
      </c>
      <c r="BR14" s="157">
        <v>0.77777777777777779</v>
      </c>
    </row>
    <row r="15" spans="1:72" ht="15.75" thickBot="1" x14ac:dyDescent="0.3">
      <c r="B15" s="56">
        <f t="shared" si="49"/>
        <v>45878</v>
      </c>
      <c r="C15" s="164"/>
      <c r="D15" s="87">
        <f t="shared" si="54"/>
        <v>32194</v>
      </c>
      <c r="E15" s="159">
        <f t="shared" si="55"/>
        <v>0.81773218612163756</v>
      </c>
      <c r="F15" s="87">
        <f t="shared" si="56"/>
        <v>26326.07</v>
      </c>
      <c r="G15" s="159">
        <f t="shared" si="57"/>
        <v>0.18226781387836244</v>
      </c>
      <c r="H15" s="146">
        <f t="shared" si="58"/>
        <v>5867.93</v>
      </c>
      <c r="I15" s="160">
        <f t="shared" si="59"/>
        <v>7.6297028453660279E-2</v>
      </c>
      <c r="J15" s="159">
        <f t="shared" si="60"/>
        <v>0.15916945314854927</v>
      </c>
      <c r="K15" s="159">
        <f t="shared" si="61"/>
        <v>0.16193468977989259</v>
      </c>
      <c r="L15" s="161">
        <f t="shared" si="62"/>
        <v>0.6390682284985244</v>
      </c>
      <c r="M15" s="146">
        <f t="shared" si="63"/>
        <v>2355.3655653929463</v>
      </c>
      <c r="N15" s="146">
        <f t="shared" si="64"/>
        <v>4913.7201881488645</v>
      </c>
      <c r="O15" s="146">
        <f t="shared" si="65"/>
        <v>4999.0858081950637</v>
      </c>
      <c r="P15" s="146">
        <f t="shared" si="66"/>
        <v>19728.675281977947</v>
      </c>
      <c r="Q15" s="56">
        <f t="shared" si="50"/>
        <v>45878</v>
      </c>
      <c r="R15" s="139">
        <v>32194</v>
      </c>
      <c r="S15" s="140">
        <v>0</v>
      </c>
      <c r="T15" s="140">
        <v>30871</v>
      </c>
      <c r="U15" s="140">
        <v>0</v>
      </c>
      <c r="V15" s="141">
        <v>5862.41</v>
      </c>
      <c r="W15" s="142">
        <v>0.90625</v>
      </c>
      <c r="X15" s="141">
        <v>2097.63</v>
      </c>
      <c r="Y15" s="142">
        <v>0.46875</v>
      </c>
      <c r="Z15" s="141">
        <v>0</v>
      </c>
      <c r="AA15" s="142">
        <v>0</v>
      </c>
      <c r="AB15" s="56">
        <f t="shared" si="51"/>
        <v>45878</v>
      </c>
      <c r="AC15" s="76">
        <f t="shared" si="67"/>
        <v>1</v>
      </c>
      <c r="AD15" s="162">
        <f t="shared" si="68"/>
        <v>0</v>
      </c>
      <c r="AE15" s="163">
        <v>2721</v>
      </c>
      <c r="AF15" s="118">
        <f t="shared" si="37"/>
        <v>2721</v>
      </c>
      <c r="AG15" s="147">
        <v>0</v>
      </c>
      <c r="AH15" s="148">
        <v>1656.49</v>
      </c>
      <c r="AI15" s="149">
        <v>0.94444444444444442</v>
      </c>
      <c r="AJ15" s="148">
        <v>0</v>
      </c>
      <c r="AK15" s="165">
        <v>0</v>
      </c>
      <c r="AL15" s="168">
        <f t="shared" si="38"/>
        <v>45878</v>
      </c>
      <c r="AM15" s="77">
        <f t="shared" si="69"/>
        <v>0.35259578965912097</v>
      </c>
      <c r="AN15" s="76">
        <f t="shared" si="70"/>
        <v>0.64740421034087903</v>
      </c>
      <c r="AO15" s="150">
        <v>5676.5</v>
      </c>
      <c r="AP15" s="117">
        <f t="shared" si="41"/>
        <v>2001.5100000000002</v>
      </c>
      <c r="AQ15" s="151">
        <v>3674.99</v>
      </c>
      <c r="AR15" s="152">
        <v>1651.69</v>
      </c>
      <c r="AS15" s="153">
        <v>0.59652777777777777</v>
      </c>
      <c r="AT15" s="152">
        <v>178.86</v>
      </c>
      <c r="AU15" s="154">
        <v>0.73958333333333337</v>
      </c>
      <c r="AV15" s="56">
        <f t="shared" si="52"/>
        <v>45878</v>
      </c>
      <c r="AW15" s="169">
        <f t="shared" si="71"/>
        <v>0.5099027824337915</v>
      </c>
      <c r="AX15" s="169">
        <f t="shared" si="72"/>
        <v>0.49009721756620855</v>
      </c>
      <c r="AY15" s="111">
        <f t="shared" si="44"/>
        <v>4474.5</v>
      </c>
      <c r="AZ15" s="112">
        <v>4474.5</v>
      </c>
      <c r="BA15" s="170">
        <f t="shared" si="76"/>
        <v>2281.56</v>
      </c>
      <c r="BB15" s="113">
        <v>2192.94</v>
      </c>
      <c r="BC15" s="112">
        <v>1765.55</v>
      </c>
      <c r="BD15" s="114">
        <v>0.36458333333333331</v>
      </c>
      <c r="BE15" s="115">
        <v>0</v>
      </c>
      <c r="BF15" s="114">
        <v>0</v>
      </c>
      <c r="BG15" s="115">
        <v>129.37</v>
      </c>
      <c r="BH15" s="114">
        <v>0.88541666666666663</v>
      </c>
      <c r="BI15" s="56">
        <f t="shared" si="53"/>
        <v>45878</v>
      </c>
      <c r="BJ15" s="171">
        <f t="shared" si="73"/>
        <v>0.61251576811276254</v>
      </c>
      <c r="BK15" s="76">
        <f t="shared" si="74"/>
        <v>0.38748423188723741</v>
      </c>
      <c r="BL15" s="79">
        <f t="shared" si="75"/>
        <v>22791.25</v>
      </c>
      <c r="BM15" s="155">
        <v>13960</v>
      </c>
      <c r="BN15" s="155">
        <v>8831.25</v>
      </c>
      <c r="BO15" s="156">
        <v>2669.35</v>
      </c>
      <c r="BP15" s="157">
        <v>0.76388888888888884</v>
      </c>
      <c r="BQ15" s="158">
        <v>1752</v>
      </c>
      <c r="BR15" s="157">
        <v>0.76388888888888884</v>
      </c>
    </row>
    <row r="16" spans="1:72" ht="15.75" thickBot="1" x14ac:dyDescent="0.3">
      <c r="B16" s="56">
        <f t="shared" si="49"/>
        <v>45879</v>
      </c>
      <c r="C16" s="164"/>
      <c r="D16" s="87">
        <f t="shared" si="54"/>
        <v>27222</v>
      </c>
      <c r="E16" s="159">
        <f t="shared" si="55"/>
        <v>0.78928807582102711</v>
      </c>
      <c r="F16" s="87">
        <f t="shared" si="56"/>
        <v>21486</v>
      </c>
      <c r="G16" s="159">
        <f t="shared" si="57"/>
        <v>0.21071192417897289</v>
      </c>
      <c r="H16" s="146">
        <f t="shared" si="58"/>
        <v>5736</v>
      </c>
      <c r="I16" s="160">
        <f t="shared" si="59"/>
        <v>6.2969323500690302E-2</v>
      </c>
      <c r="J16" s="159">
        <f t="shared" si="60"/>
        <v>0.17301410916927637</v>
      </c>
      <c r="K16" s="159">
        <f t="shared" si="61"/>
        <v>0.1748483658419514</v>
      </c>
      <c r="L16" s="161">
        <f t="shared" si="62"/>
        <v>0.62908711317641508</v>
      </c>
      <c r="M16" s="146">
        <f t="shared" si="63"/>
        <v>1636.1319325184361</v>
      </c>
      <c r="N16" s="146">
        <f t="shared" si="64"/>
        <v>4495.4255985453083</v>
      </c>
      <c r="O16" s="146">
        <f t="shared" si="65"/>
        <v>4543.0850896714237</v>
      </c>
      <c r="P16" s="146">
        <f t="shared" si="66"/>
        <v>16345.570461662794</v>
      </c>
      <c r="Q16" s="56">
        <f t="shared" si="50"/>
        <v>45879</v>
      </c>
      <c r="R16" s="139">
        <v>27222</v>
      </c>
      <c r="S16" s="140">
        <v>0</v>
      </c>
      <c r="T16" s="140">
        <v>25983</v>
      </c>
      <c r="U16" s="140">
        <v>0</v>
      </c>
      <c r="V16" s="141">
        <v>6759</v>
      </c>
      <c r="W16" s="142">
        <v>0.63541666666666663</v>
      </c>
      <c r="X16" s="141">
        <v>1853</v>
      </c>
      <c r="Y16" s="142">
        <v>0.70833333333333337</v>
      </c>
      <c r="Z16" s="141">
        <v>0</v>
      </c>
      <c r="AA16" s="142">
        <v>0</v>
      </c>
      <c r="AB16" s="56">
        <f t="shared" si="51"/>
        <v>45879</v>
      </c>
      <c r="AC16" s="76">
        <f t="shared" si="67"/>
        <v>1</v>
      </c>
      <c r="AD16" s="162">
        <f t="shared" si="68"/>
        <v>0</v>
      </c>
      <c r="AE16" s="163">
        <v>1870</v>
      </c>
      <c r="AF16" s="118">
        <f t="shared" si="37"/>
        <v>1870</v>
      </c>
      <c r="AG16" s="147">
        <v>0</v>
      </c>
      <c r="AH16" s="148">
        <v>1689</v>
      </c>
      <c r="AI16" s="149">
        <v>0.9243055555555556</v>
      </c>
      <c r="AJ16" s="148">
        <v>0</v>
      </c>
      <c r="AK16" s="165">
        <v>0</v>
      </c>
      <c r="AL16" s="56">
        <f t="shared" si="38"/>
        <v>45879</v>
      </c>
      <c r="AM16" s="77">
        <f t="shared" si="69"/>
        <v>0.3010899182561308</v>
      </c>
      <c r="AN16" s="76">
        <f t="shared" si="70"/>
        <v>0.69891008174386926</v>
      </c>
      <c r="AO16" s="150">
        <v>5138</v>
      </c>
      <c r="AP16" s="117">
        <f t="shared" si="41"/>
        <v>1547</v>
      </c>
      <c r="AQ16" s="151">
        <v>3591</v>
      </c>
      <c r="AR16" s="152">
        <v>1653</v>
      </c>
      <c r="AS16" s="153">
        <v>0.58819444444444446</v>
      </c>
      <c r="AT16" s="152">
        <v>177</v>
      </c>
      <c r="AU16" s="154">
        <v>0.86458333333333337</v>
      </c>
      <c r="AV16" s="56">
        <f t="shared" si="52"/>
        <v>45879</v>
      </c>
      <c r="AW16" s="110">
        <f t="shared" si="71"/>
        <v>0.4646867981033192</v>
      </c>
      <c r="AX16" s="110">
        <f t="shared" si="72"/>
        <v>0.53531320189668086</v>
      </c>
      <c r="AY16" s="111">
        <f t="shared" si="44"/>
        <v>4007</v>
      </c>
      <c r="AZ16" s="112">
        <v>4007</v>
      </c>
      <c r="BA16" s="120">
        <f t="shared" si="76"/>
        <v>1862</v>
      </c>
      <c r="BB16" s="113">
        <v>2145</v>
      </c>
      <c r="BC16" s="112">
        <v>1555</v>
      </c>
      <c r="BD16" s="114">
        <v>0.64583333333333337</v>
      </c>
      <c r="BE16" s="115">
        <v>0</v>
      </c>
      <c r="BF16" s="114">
        <v>0</v>
      </c>
      <c r="BG16" s="115">
        <v>129</v>
      </c>
      <c r="BH16" s="114">
        <v>0.23958333333333334</v>
      </c>
      <c r="BI16" s="56">
        <f t="shared" si="53"/>
        <v>45879</v>
      </c>
      <c r="BJ16" s="78">
        <f t="shared" si="73"/>
        <v>0.61481640081361744</v>
      </c>
      <c r="BK16" s="76">
        <f t="shared" si="74"/>
        <v>0.38518359918638262</v>
      </c>
      <c r="BL16" s="79">
        <f t="shared" si="75"/>
        <v>18682</v>
      </c>
      <c r="BM16" s="155">
        <v>11486</v>
      </c>
      <c r="BN16" s="155">
        <v>7196</v>
      </c>
      <c r="BO16" s="156">
        <v>2534</v>
      </c>
      <c r="BP16" s="157">
        <v>0.41805555555555557</v>
      </c>
      <c r="BQ16" s="158">
        <v>1692</v>
      </c>
      <c r="BR16" s="157">
        <v>0.41805555555555557</v>
      </c>
    </row>
    <row r="17" spans="1:70" ht="15.75" thickBot="1" x14ac:dyDescent="0.3">
      <c r="B17" s="56">
        <f t="shared" si="49"/>
        <v>45880</v>
      </c>
      <c r="C17" s="164"/>
      <c r="D17" s="87">
        <f t="shared" si="54"/>
        <v>52524</v>
      </c>
      <c r="E17" s="159">
        <f t="shared" si="55"/>
        <v>0.88698499733455183</v>
      </c>
      <c r="F17" s="87">
        <f t="shared" si="56"/>
        <v>46588</v>
      </c>
      <c r="G17" s="159">
        <f t="shared" si="57"/>
        <v>0.11301500266544817</v>
      </c>
      <c r="H17" s="146">
        <f t="shared" si="58"/>
        <v>5936</v>
      </c>
      <c r="I17" s="160">
        <f t="shared" si="59"/>
        <v>0.1100313587649471</v>
      </c>
      <c r="J17" s="159">
        <f t="shared" si="60"/>
        <v>0.15986078086770736</v>
      </c>
      <c r="K17" s="159">
        <f t="shared" si="61"/>
        <v>0.16497705252422235</v>
      </c>
      <c r="L17" s="161">
        <f t="shared" si="62"/>
        <v>0.59075088734966741</v>
      </c>
      <c r="M17" s="146">
        <f t="shared" si="63"/>
        <v>5643.3983596953722</v>
      </c>
      <c r="N17" s="146">
        <f t="shared" si="64"/>
        <v>8199.0995899238424</v>
      </c>
      <c r="O17" s="146">
        <f t="shared" si="65"/>
        <v>8461.5080469148397</v>
      </c>
      <c r="P17" s="146">
        <f t="shared" si="66"/>
        <v>30299.022261277092</v>
      </c>
      <c r="Q17" s="56">
        <f t="shared" si="50"/>
        <v>45880</v>
      </c>
      <c r="R17" s="139">
        <v>52524</v>
      </c>
      <c r="S17" s="140">
        <v>0</v>
      </c>
      <c r="T17" s="140">
        <v>51289</v>
      </c>
      <c r="U17" s="140">
        <v>0</v>
      </c>
      <c r="V17" s="141">
        <v>13181</v>
      </c>
      <c r="W17" s="142">
        <v>0.78125</v>
      </c>
      <c r="X17" s="141">
        <v>4462</v>
      </c>
      <c r="Y17" s="142">
        <v>0.15625</v>
      </c>
      <c r="Z17" s="141">
        <v>0</v>
      </c>
      <c r="AA17" s="142">
        <v>0</v>
      </c>
      <c r="AB17" s="56">
        <f t="shared" si="51"/>
        <v>45880</v>
      </c>
      <c r="AC17" s="76">
        <f t="shared" si="67"/>
        <v>1</v>
      </c>
      <c r="AD17" s="162">
        <f t="shared" si="68"/>
        <v>0</v>
      </c>
      <c r="AE17" s="163">
        <v>6386</v>
      </c>
      <c r="AF17" s="118">
        <f t="shared" si="37"/>
        <v>6386</v>
      </c>
      <c r="AG17" s="147">
        <v>0</v>
      </c>
      <c r="AH17" s="148">
        <v>4174</v>
      </c>
      <c r="AI17" s="149">
        <v>0.35625000000000001</v>
      </c>
      <c r="AJ17" s="148">
        <v>0</v>
      </c>
      <c r="AK17" s="165">
        <v>0</v>
      </c>
      <c r="AL17" s="56">
        <f t="shared" si="38"/>
        <v>45880</v>
      </c>
      <c r="AM17" s="77">
        <f t="shared" si="69"/>
        <v>0.59603362793705539</v>
      </c>
      <c r="AN17" s="76">
        <f t="shared" si="70"/>
        <v>0.40396637206294461</v>
      </c>
      <c r="AO17" s="150">
        <v>9278</v>
      </c>
      <c r="AP17" s="117">
        <f t="shared" si="41"/>
        <v>5530</v>
      </c>
      <c r="AQ17" s="151">
        <v>3748</v>
      </c>
      <c r="AR17" s="152">
        <v>3295</v>
      </c>
      <c r="AS17" s="153">
        <v>0.36388888888888887</v>
      </c>
      <c r="AT17" s="152">
        <v>186</v>
      </c>
      <c r="AU17" s="154">
        <v>0.78125</v>
      </c>
      <c r="AV17" s="56">
        <f t="shared" si="52"/>
        <v>45880</v>
      </c>
      <c r="AW17" s="110">
        <f t="shared" si="71"/>
        <v>0.7294757665677547</v>
      </c>
      <c r="AX17" s="110">
        <f t="shared" si="72"/>
        <v>0.2705242334322453</v>
      </c>
      <c r="AY17" s="111">
        <f t="shared" si="44"/>
        <v>8088</v>
      </c>
      <c r="AZ17" s="112">
        <v>8088</v>
      </c>
      <c r="BA17" s="120">
        <f t="shared" si="76"/>
        <v>5900</v>
      </c>
      <c r="BB17" s="113">
        <v>2188</v>
      </c>
      <c r="BC17" s="112">
        <v>4211</v>
      </c>
      <c r="BD17" s="114">
        <v>0.36458333333333331</v>
      </c>
      <c r="BE17" s="115">
        <v>0</v>
      </c>
      <c r="BF17" s="114">
        <v>0</v>
      </c>
      <c r="BG17" s="115">
        <v>140</v>
      </c>
      <c r="BH17" s="114">
        <v>0</v>
      </c>
      <c r="BI17" s="56">
        <f t="shared" si="53"/>
        <v>45880</v>
      </c>
      <c r="BJ17" s="78">
        <f t="shared" si="73"/>
        <v>0.61054074549378756</v>
      </c>
      <c r="BK17" s="76">
        <f t="shared" si="74"/>
        <v>0.38945925450621244</v>
      </c>
      <c r="BL17" s="79">
        <f t="shared" si="75"/>
        <v>34286</v>
      </c>
      <c r="BM17" s="155">
        <v>20933</v>
      </c>
      <c r="BN17" s="155">
        <v>13353</v>
      </c>
      <c r="BO17" s="156">
        <v>3664</v>
      </c>
      <c r="BP17" s="157">
        <v>0.42291666666666666</v>
      </c>
      <c r="BQ17" s="158">
        <v>2428</v>
      </c>
      <c r="BR17" s="157">
        <v>0.42291666666666666</v>
      </c>
    </row>
    <row r="18" spans="1:70" ht="15.75" thickBot="1" x14ac:dyDescent="0.3">
      <c r="B18" s="56">
        <f t="shared" si="49"/>
        <v>45881</v>
      </c>
      <c r="C18" s="164"/>
      <c r="D18" s="87">
        <f t="shared" si="54"/>
        <v>52080</v>
      </c>
      <c r="E18" s="159">
        <f t="shared" si="55"/>
        <v>0.8892089093701997</v>
      </c>
      <c r="F18" s="87">
        <f t="shared" si="56"/>
        <v>46310</v>
      </c>
      <c r="G18" s="159">
        <f t="shared" si="57"/>
        <v>0.1107910906298003</v>
      </c>
      <c r="H18" s="146">
        <f t="shared" si="58"/>
        <v>5770</v>
      </c>
      <c r="I18" s="160">
        <f t="shared" si="59"/>
        <v>0.12172462650429543</v>
      </c>
      <c r="J18" s="159">
        <f t="shared" si="60"/>
        <v>0.15034883512384095</v>
      </c>
      <c r="K18" s="159">
        <f t="shared" si="61"/>
        <v>0.12900440567645952</v>
      </c>
      <c r="L18" s="161">
        <f t="shared" si="62"/>
        <v>0.6234194809620317</v>
      </c>
      <c r="M18" s="146">
        <f t="shared" si="63"/>
        <v>5904.8616317233709</v>
      </c>
      <c r="N18" s="146">
        <f t="shared" si="64"/>
        <v>7293.4219918575245</v>
      </c>
      <c r="O18" s="146">
        <f t="shared" si="65"/>
        <v>6258.0037193650514</v>
      </c>
      <c r="P18" s="146">
        <f t="shared" si="66"/>
        <v>30242.079021468158</v>
      </c>
      <c r="Q18" s="56">
        <f t="shared" si="50"/>
        <v>45881</v>
      </c>
      <c r="R18" s="139">
        <v>52080</v>
      </c>
      <c r="S18" s="140">
        <v>0</v>
      </c>
      <c r="T18" s="140">
        <v>48510</v>
      </c>
      <c r="U18" s="140">
        <v>2320</v>
      </c>
      <c r="V18" s="141">
        <v>14383</v>
      </c>
      <c r="W18" s="142">
        <v>1015</v>
      </c>
      <c r="X18" s="141">
        <v>4337</v>
      </c>
      <c r="Y18" s="142">
        <v>0.80208333333333337</v>
      </c>
      <c r="Z18" s="141">
        <v>156</v>
      </c>
      <c r="AA18" s="142">
        <v>0.27083333333333331</v>
      </c>
      <c r="AB18" s="56">
        <f t="shared" si="51"/>
        <v>45881</v>
      </c>
      <c r="AC18" s="76">
        <f t="shared" si="67"/>
        <v>1</v>
      </c>
      <c r="AD18" s="162">
        <f t="shared" si="68"/>
        <v>0</v>
      </c>
      <c r="AE18" s="163">
        <v>6787</v>
      </c>
      <c r="AF18" s="118">
        <f t="shared" si="37"/>
        <v>6787</v>
      </c>
      <c r="AG18" s="147">
        <v>0</v>
      </c>
      <c r="AH18" s="148">
        <v>4377</v>
      </c>
      <c r="AI18" s="149">
        <v>0.34375</v>
      </c>
      <c r="AJ18" s="148">
        <v>0</v>
      </c>
      <c r="AK18" s="165">
        <v>0</v>
      </c>
      <c r="AL18" s="56">
        <f t="shared" si="38"/>
        <v>45881</v>
      </c>
      <c r="AM18" s="77">
        <f t="shared" si="69"/>
        <v>0.64762018370511754</v>
      </c>
      <c r="AN18" s="76">
        <f t="shared" si="70"/>
        <v>0.35237981629488252</v>
      </c>
      <c r="AO18" s="150">
        <v>8383</v>
      </c>
      <c r="AP18" s="117">
        <f t="shared" si="41"/>
        <v>5429</v>
      </c>
      <c r="AQ18" s="151">
        <v>2954</v>
      </c>
      <c r="AR18" s="152">
        <v>4037</v>
      </c>
      <c r="AS18" s="153">
        <v>0.34305555555555556</v>
      </c>
      <c r="AT18" s="152">
        <v>181</v>
      </c>
      <c r="AU18" s="154">
        <v>0.80208333333333337</v>
      </c>
      <c r="AV18" s="56">
        <f t="shared" si="52"/>
        <v>45881</v>
      </c>
      <c r="AW18" s="110">
        <f t="shared" si="71"/>
        <v>0.91487901149819806</v>
      </c>
      <c r="AX18" s="110">
        <f t="shared" si="72"/>
        <v>8.5120988501801956E-2</v>
      </c>
      <c r="AY18" s="111">
        <f t="shared" si="44"/>
        <v>5827</v>
      </c>
      <c r="AZ18" s="112">
        <v>5827</v>
      </c>
      <c r="BA18" s="120">
        <f t="shared" si="76"/>
        <v>5331</v>
      </c>
      <c r="BB18" s="113">
        <v>496</v>
      </c>
      <c r="BC18" s="112">
        <v>4275</v>
      </c>
      <c r="BD18" s="114">
        <v>0.39583333333333331</v>
      </c>
      <c r="BE18" s="115">
        <v>0</v>
      </c>
      <c r="BF18" s="114">
        <v>0</v>
      </c>
      <c r="BG18" s="115">
        <v>330</v>
      </c>
      <c r="BH18" s="114">
        <v>0.19791666666666666</v>
      </c>
      <c r="BI18" s="56">
        <f t="shared" si="53"/>
        <v>45881</v>
      </c>
      <c r="BJ18" s="78">
        <f t="shared" si="73"/>
        <v>0.61274453394706563</v>
      </c>
      <c r="BK18" s="76">
        <f t="shared" si="74"/>
        <v>0.38725546605293443</v>
      </c>
      <c r="BL18" s="79">
        <f t="shared" si="75"/>
        <v>34760</v>
      </c>
      <c r="BM18" s="155">
        <v>21299</v>
      </c>
      <c r="BN18" s="155">
        <v>13461</v>
      </c>
      <c r="BO18" s="156">
        <v>3947</v>
      </c>
      <c r="BP18" s="157">
        <v>0.69236111111111109</v>
      </c>
      <c r="BQ18" s="158">
        <v>2616</v>
      </c>
      <c r="BR18" s="157">
        <v>0.69305555555555554</v>
      </c>
    </row>
    <row r="19" spans="1:70" ht="15.75" thickBot="1" x14ac:dyDescent="0.3">
      <c r="B19" s="56">
        <f t="shared" si="49"/>
        <v>45882</v>
      </c>
      <c r="C19" s="164"/>
      <c r="D19" s="87">
        <f t="shared" si="54"/>
        <v>51174</v>
      </c>
      <c r="E19" s="159">
        <f t="shared" si="55"/>
        <v>0.86844159143314958</v>
      </c>
      <c r="F19" s="87">
        <f t="shared" si="56"/>
        <v>44441.63</v>
      </c>
      <c r="G19" s="159">
        <f t="shared" si="57"/>
        <v>0.13155840856685036</v>
      </c>
      <c r="H19" s="146">
        <f t="shared" si="58"/>
        <v>6732.37</v>
      </c>
      <c r="I19" s="160">
        <f t="shared" si="59"/>
        <v>0.12161517549912702</v>
      </c>
      <c r="J19" s="159">
        <f t="shared" si="60"/>
        <v>0.16740842970077852</v>
      </c>
      <c r="K19" s="159">
        <f t="shared" si="61"/>
        <v>0.11385356558920709</v>
      </c>
      <c r="L19" s="161">
        <f t="shared" si="62"/>
        <v>0.62244647496607652</v>
      </c>
      <c r="M19" s="146">
        <f t="shared" si="63"/>
        <v>5680.6448475642237</v>
      </c>
      <c r="N19" s="146">
        <f t="shared" si="64"/>
        <v>7819.6477513233649</v>
      </c>
      <c r="O19" s="146">
        <f t="shared" si="65"/>
        <v>5318.1000486718631</v>
      </c>
      <c r="P19" s="146">
        <f t="shared" si="66"/>
        <v>29074.474845665434</v>
      </c>
      <c r="Q19" s="56">
        <f t="shared" si="50"/>
        <v>45882</v>
      </c>
      <c r="R19" s="139">
        <v>51174</v>
      </c>
      <c r="S19" s="140">
        <v>0</v>
      </c>
      <c r="T19" s="140">
        <v>46710</v>
      </c>
      <c r="U19" s="140">
        <v>2980.21</v>
      </c>
      <c r="V19" s="141">
        <v>12152.84</v>
      </c>
      <c r="W19" s="142">
        <v>0.80208333333333337</v>
      </c>
      <c r="X19" s="141">
        <v>4401.95</v>
      </c>
      <c r="Y19" s="142">
        <v>0.38541666666666669</v>
      </c>
      <c r="Z19" s="141">
        <v>151</v>
      </c>
      <c r="AA19" s="142">
        <v>0.78125</v>
      </c>
      <c r="AB19" s="56">
        <f t="shared" si="51"/>
        <v>45882</v>
      </c>
      <c r="AC19" s="76">
        <f t="shared" si="67"/>
        <v>1</v>
      </c>
      <c r="AD19" s="162">
        <f t="shared" si="68"/>
        <v>0</v>
      </c>
      <c r="AE19" s="163">
        <v>6565</v>
      </c>
      <c r="AF19" s="118">
        <f t="shared" si="37"/>
        <v>6565</v>
      </c>
      <c r="AG19" s="147">
        <v>0</v>
      </c>
      <c r="AH19" s="148">
        <v>3850.38</v>
      </c>
      <c r="AI19" s="149">
        <v>0.34305555555555556</v>
      </c>
      <c r="AJ19" s="148">
        <v>0</v>
      </c>
      <c r="AK19" s="165">
        <v>0</v>
      </c>
      <c r="AL19" s="56">
        <f t="shared" si="38"/>
        <v>45882</v>
      </c>
      <c r="AM19" s="77">
        <f t="shared" ref="AM19" si="77">+AP19/AO19</f>
        <v>0.58481465087971662</v>
      </c>
      <c r="AN19" s="76">
        <f t="shared" ref="AN19" si="78">+AQ19/AO19</f>
        <v>0.41518534912028332</v>
      </c>
      <c r="AO19" s="150">
        <v>9037</v>
      </c>
      <c r="AP19" s="117">
        <f t="shared" si="41"/>
        <v>5284.9699999999993</v>
      </c>
      <c r="AQ19" s="151">
        <v>3752.03</v>
      </c>
      <c r="AR19" s="152">
        <v>3606.4</v>
      </c>
      <c r="AS19" s="153">
        <v>0.33958333333333335</v>
      </c>
      <c r="AT19" s="152">
        <v>190.45</v>
      </c>
      <c r="AU19" s="154">
        <v>0.78125</v>
      </c>
      <c r="AV19" s="56">
        <f t="shared" si="52"/>
        <v>45882</v>
      </c>
      <c r="AW19" s="110">
        <f t="shared" ref="AW19" si="79">BA19/AZ19</f>
        <v>0.99997279765641345</v>
      </c>
      <c r="AX19" s="110">
        <f t="shared" ref="AX19" si="80">BB19/AZ19</f>
        <v>2.7202343586524379E-5</v>
      </c>
      <c r="AY19" s="111">
        <f t="shared" si="44"/>
        <v>4779</v>
      </c>
      <c r="AZ19" s="112">
        <v>4779</v>
      </c>
      <c r="BA19" s="120">
        <f t="shared" si="76"/>
        <v>4778.87</v>
      </c>
      <c r="BB19" s="113">
        <v>0.13</v>
      </c>
      <c r="BC19" s="112">
        <v>3723.32</v>
      </c>
      <c r="BD19" s="114">
        <v>0.69791666666666663</v>
      </c>
      <c r="BE19" s="115">
        <v>0</v>
      </c>
      <c r="BF19" s="114">
        <v>0</v>
      </c>
      <c r="BG19" s="115">
        <v>0</v>
      </c>
      <c r="BH19" s="114">
        <v>0</v>
      </c>
      <c r="BI19" s="56">
        <f t="shared" si="53"/>
        <v>45882</v>
      </c>
      <c r="BJ19" s="78">
        <f t="shared" ref="BJ19" si="81">+BM19/BL19</f>
        <v>0.6120994323043385</v>
      </c>
      <c r="BK19" s="76">
        <f t="shared" ref="BK19" si="82">+BN19/BL19</f>
        <v>0.38790056769566156</v>
      </c>
      <c r="BL19" s="79">
        <f t="shared" ref="BL19" si="83">BM19+BN19</f>
        <v>33600.75</v>
      </c>
      <c r="BM19" s="155">
        <v>20567</v>
      </c>
      <c r="BN19" s="155">
        <v>13033.75</v>
      </c>
      <c r="BO19" s="156">
        <v>3683.73</v>
      </c>
      <c r="BP19" s="157">
        <v>0.75069444444444444</v>
      </c>
      <c r="BQ19" s="158">
        <v>2410.6</v>
      </c>
      <c r="BR19" s="157">
        <v>0.75069444444444444</v>
      </c>
    </row>
    <row r="20" spans="1:70" ht="15.75" thickBot="1" x14ac:dyDescent="0.3">
      <c r="B20" s="56">
        <f t="shared" si="49"/>
        <v>45883</v>
      </c>
      <c r="C20" s="164"/>
      <c r="D20" s="87">
        <f t="shared" si="54"/>
        <v>51820</v>
      </c>
      <c r="E20" s="159">
        <f t="shared" si="55"/>
        <v>0.86732921651871864</v>
      </c>
      <c r="F20" s="87">
        <f t="shared" si="56"/>
        <v>44945</v>
      </c>
      <c r="G20" s="159">
        <f t="shared" si="57"/>
        <v>0.13267078348128136</v>
      </c>
      <c r="H20" s="146">
        <f t="shared" si="58"/>
        <v>6875</v>
      </c>
      <c r="I20" s="160">
        <f t="shared" si="59"/>
        <v>0.12127335182497842</v>
      </c>
      <c r="J20" s="159">
        <f t="shared" si="60"/>
        <v>0.16664523595216665</v>
      </c>
      <c r="K20" s="159">
        <f t="shared" si="61"/>
        <v>0.11389833711262283</v>
      </c>
      <c r="L20" s="161">
        <f t="shared" si="62"/>
        <v>0.6235052076636235</v>
      </c>
      <c r="M20" s="146">
        <f t="shared" si="63"/>
        <v>5716.2194382703583</v>
      </c>
      <c r="N20" s="146">
        <f t="shared" si="64"/>
        <v>7854.8231966053754</v>
      </c>
      <c r="O20" s="146">
        <f t="shared" si="65"/>
        <v>5368.5981198034769</v>
      </c>
      <c r="P20" s="146">
        <f t="shared" si="66"/>
        <v>29388.917963224892</v>
      </c>
      <c r="Q20" s="56">
        <f t="shared" si="50"/>
        <v>45883</v>
      </c>
      <c r="R20" s="139">
        <v>51820</v>
      </c>
      <c r="S20" s="140">
        <v>0</v>
      </c>
      <c r="T20" s="140">
        <v>47135</v>
      </c>
      <c r="U20" s="140">
        <v>3073</v>
      </c>
      <c r="V20" s="141">
        <v>13122</v>
      </c>
      <c r="W20" s="142">
        <v>0.8125</v>
      </c>
      <c r="X20" s="141">
        <v>4231</v>
      </c>
      <c r="Y20" s="142">
        <v>0.39583333333333331</v>
      </c>
      <c r="Z20" s="141">
        <v>159</v>
      </c>
      <c r="AA20" s="142">
        <v>0.78125</v>
      </c>
      <c r="AB20" s="56">
        <f t="shared" si="51"/>
        <v>45883</v>
      </c>
      <c r="AC20" s="76">
        <f t="shared" si="67"/>
        <v>1</v>
      </c>
      <c r="AD20" s="162">
        <f t="shared" si="68"/>
        <v>0</v>
      </c>
      <c r="AE20" s="163">
        <v>6602</v>
      </c>
      <c r="AF20" s="118">
        <f t="shared" si="37"/>
        <v>6602</v>
      </c>
      <c r="AG20" s="147">
        <v>0</v>
      </c>
      <c r="AH20" s="148">
        <v>3843</v>
      </c>
      <c r="AI20" s="149">
        <v>0.33958333333333335</v>
      </c>
      <c r="AJ20" s="148">
        <v>0</v>
      </c>
      <c r="AK20" s="165">
        <v>0</v>
      </c>
      <c r="AL20" s="56">
        <f t="shared" si="38"/>
        <v>45883</v>
      </c>
      <c r="AM20" s="77">
        <f t="shared" si="69"/>
        <v>0.58090828924162252</v>
      </c>
      <c r="AN20" s="76">
        <f t="shared" si="70"/>
        <v>0.41909171075837742</v>
      </c>
      <c r="AO20" s="150">
        <v>9072</v>
      </c>
      <c r="AP20" s="117">
        <f t="shared" si="41"/>
        <v>5270</v>
      </c>
      <c r="AQ20" s="151">
        <v>3802</v>
      </c>
      <c r="AR20" s="152">
        <v>4070</v>
      </c>
      <c r="AS20" s="153">
        <v>0.77222222222222225</v>
      </c>
      <c r="AT20" s="152">
        <v>179</v>
      </c>
      <c r="AU20" s="154">
        <v>0.76041666666666663</v>
      </c>
      <c r="AV20" s="56">
        <f t="shared" si="52"/>
        <v>45883</v>
      </c>
      <c r="AW20" s="110">
        <f t="shared" si="71"/>
        <v>1</v>
      </c>
      <c r="AX20" s="110">
        <f t="shared" si="72"/>
        <v>0</v>
      </c>
      <c r="AY20" s="111">
        <f t="shared" si="44"/>
        <v>4822</v>
      </c>
      <c r="AZ20" s="112">
        <v>4822</v>
      </c>
      <c r="BA20" s="120">
        <f t="shared" ref="BA20" si="84">AZ20-BB20</f>
        <v>4822</v>
      </c>
      <c r="BB20" s="113">
        <v>0</v>
      </c>
      <c r="BC20" s="112">
        <v>3810</v>
      </c>
      <c r="BD20" s="114">
        <v>0.35416666666666669</v>
      </c>
      <c r="BE20" s="115">
        <v>0</v>
      </c>
      <c r="BF20" s="114">
        <v>0</v>
      </c>
      <c r="BG20" s="115">
        <v>0</v>
      </c>
      <c r="BH20" s="114">
        <v>0</v>
      </c>
      <c r="BI20" s="56">
        <f t="shared" si="53"/>
        <v>45883</v>
      </c>
      <c r="BJ20" s="78">
        <f t="shared" si="73"/>
        <v>0.61338125681289224</v>
      </c>
      <c r="BK20" s="76">
        <f t="shared" si="74"/>
        <v>0.38661874318710782</v>
      </c>
      <c r="BL20" s="79">
        <f t="shared" si="75"/>
        <v>33943</v>
      </c>
      <c r="BM20" s="155">
        <v>20820</v>
      </c>
      <c r="BN20" s="155">
        <v>13123</v>
      </c>
      <c r="BO20" s="156">
        <v>4157</v>
      </c>
      <c r="BP20" s="157">
        <v>0.74930555555555556</v>
      </c>
      <c r="BQ20" s="158">
        <v>2721</v>
      </c>
      <c r="BR20" s="157">
        <v>0.74930555555555556</v>
      </c>
    </row>
    <row r="21" spans="1:70" ht="15.75" thickBot="1" x14ac:dyDescent="0.3">
      <c r="A21" s="14"/>
      <c r="B21" s="56">
        <f t="shared" si="49"/>
        <v>45884</v>
      </c>
      <c r="C21" s="164"/>
      <c r="D21" s="87">
        <f t="shared" si="54"/>
        <v>27458</v>
      </c>
      <c r="E21" s="159">
        <f t="shared" si="55"/>
        <v>0.75956005535727289</v>
      </c>
      <c r="F21" s="87">
        <f t="shared" si="56"/>
        <v>20856</v>
      </c>
      <c r="G21" s="159">
        <f t="shared" si="57"/>
        <v>0.24043994464272708</v>
      </c>
      <c r="H21" s="146">
        <f t="shared" si="58"/>
        <v>6602</v>
      </c>
      <c r="I21" s="160">
        <f t="shared" si="59"/>
        <v>6.7614205662968052E-2</v>
      </c>
      <c r="J21" s="159">
        <f t="shared" si="60"/>
        <v>0.1919323115745723</v>
      </c>
      <c r="K21" s="159">
        <f t="shared" si="61"/>
        <v>5.7031526744597945E-2</v>
      </c>
      <c r="L21" s="161">
        <f t="shared" si="62"/>
        <v>0.70460533640108358</v>
      </c>
      <c r="M21" s="146">
        <f t="shared" si="63"/>
        <v>1554.5182023972984</v>
      </c>
      <c r="N21" s="146">
        <f t="shared" si="64"/>
        <v>4412.7157754109921</v>
      </c>
      <c r="O21" s="146">
        <f t="shared" si="65"/>
        <v>1311.2118313850513</v>
      </c>
      <c r="P21" s="146">
        <f t="shared" si="66"/>
        <v>16199.581289197313</v>
      </c>
      <c r="Q21" s="56">
        <f t="shared" si="50"/>
        <v>45884</v>
      </c>
      <c r="R21" s="139">
        <v>27458</v>
      </c>
      <c r="S21" s="140">
        <v>0</v>
      </c>
      <c r="T21" s="140">
        <v>22991</v>
      </c>
      <c r="U21" s="140">
        <v>2927</v>
      </c>
      <c r="V21" s="141">
        <v>6709</v>
      </c>
      <c r="W21" s="142">
        <v>0.88541666666666663</v>
      </c>
      <c r="X21" s="141">
        <v>2012</v>
      </c>
      <c r="Y21" s="142">
        <v>0.73958333333333337</v>
      </c>
      <c r="Z21" s="141">
        <v>152</v>
      </c>
      <c r="AA21" s="142">
        <v>6.25E-2</v>
      </c>
      <c r="AB21" s="56">
        <f t="shared" si="51"/>
        <v>45884</v>
      </c>
      <c r="AC21" s="76">
        <f t="shared" si="67"/>
        <v>1</v>
      </c>
      <c r="AD21" s="162">
        <f t="shared" si="68"/>
        <v>0</v>
      </c>
      <c r="AE21" s="163">
        <v>1822</v>
      </c>
      <c r="AF21" s="118">
        <f t="shared" si="37"/>
        <v>1822</v>
      </c>
      <c r="AG21" s="147">
        <v>0</v>
      </c>
      <c r="AH21" s="148">
        <v>1842</v>
      </c>
      <c r="AI21" s="149">
        <v>0.93055555555555558</v>
      </c>
      <c r="AJ21" s="148">
        <v>0</v>
      </c>
      <c r="AK21" s="165">
        <v>0</v>
      </c>
      <c r="AL21" s="56">
        <f t="shared" si="38"/>
        <v>45884</v>
      </c>
      <c r="AM21" s="77">
        <f t="shared" si="69"/>
        <v>0.28944315545243621</v>
      </c>
      <c r="AN21" s="76">
        <f t="shared" si="70"/>
        <v>0.71055684454756385</v>
      </c>
      <c r="AO21" s="150">
        <v>5172</v>
      </c>
      <c r="AP21" s="117">
        <f t="shared" si="41"/>
        <v>1497</v>
      </c>
      <c r="AQ21" s="151">
        <v>3675</v>
      </c>
      <c r="AR21" s="152">
        <v>1617</v>
      </c>
      <c r="AS21" s="153">
        <v>0.94236111111111109</v>
      </c>
      <c r="AT21" s="152">
        <v>172</v>
      </c>
      <c r="AU21" s="154">
        <v>0.3125</v>
      </c>
      <c r="AV21" s="56">
        <f t="shared" si="52"/>
        <v>45884</v>
      </c>
      <c r="AW21" s="110">
        <f t="shared" si="71"/>
        <v>1</v>
      </c>
      <c r="AX21" s="110">
        <f t="shared" si="72"/>
        <v>0</v>
      </c>
      <c r="AY21" s="111">
        <f t="shared" si="44"/>
        <v>966</v>
      </c>
      <c r="AZ21" s="112">
        <v>966</v>
      </c>
      <c r="BA21" s="120">
        <f t="shared" si="76"/>
        <v>966</v>
      </c>
      <c r="BB21" s="113">
        <v>0</v>
      </c>
      <c r="BC21" s="112">
        <v>1444</v>
      </c>
      <c r="BD21" s="114">
        <v>0.95833333333333337</v>
      </c>
      <c r="BE21" s="115">
        <v>0</v>
      </c>
      <c r="BF21" s="114">
        <v>0</v>
      </c>
      <c r="BG21" s="115">
        <v>0</v>
      </c>
      <c r="BH21" s="114">
        <v>0</v>
      </c>
      <c r="BI21" s="56">
        <f>BI20+1</f>
        <v>45884</v>
      </c>
      <c r="BJ21" s="78">
        <f t="shared" si="73"/>
        <v>0.61552641280876386</v>
      </c>
      <c r="BK21" s="76">
        <f t="shared" si="74"/>
        <v>0.38447358719123609</v>
      </c>
      <c r="BL21" s="79">
        <f t="shared" si="75"/>
        <v>18987</v>
      </c>
      <c r="BM21" s="155">
        <v>11687</v>
      </c>
      <c r="BN21" s="155">
        <v>7300</v>
      </c>
      <c r="BO21" s="156">
        <v>2487</v>
      </c>
      <c r="BP21" s="157">
        <v>0.41180555555555554</v>
      </c>
      <c r="BQ21" s="158">
        <v>1643</v>
      </c>
      <c r="BR21" s="157">
        <v>0.41180555555555554</v>
      </c>
    </row>
    <row r="22" spans="1:70" ht="15.75" thickBot="1" x14ac:dyDescent="0.3">
      <c r="A22" s="14"/>
      <c r="B22" s="56">
        <f t="shared" si="49"/>
        <v>45885</v>
      </c>
      <c r="C22" s="164"/>
      <c r="D22" s="87">
        <f t="shared" si="54"/>
        <v>32048</v>
      </c>
      <c r="E22" s="159">
        <f t="shared" si="55"/>
        <v>0.79767848227658511</v>
      </c>
      <c r="F22" s="87">
        <f t="shared" si="56"/>
        <v>25564</v>
      </c>
      <c r="G22" s="159">
        <f t="shared" si="57"/>
        <v>0.20232151772341489</v>
      </c>
      <c r="H22" s="146">
        <f>U22+AG22+AQ22+BB22</f>
        <v>6484</v>
      </c>
      <c r="I22" s="160">
        <f t="shared" si="59"/>
        <v>8.2228520922861231E-2</v>
      </c>
      <c r="J22" s="159">
        <f t="shared" si="60"/>
        <v>0.17253360153607022</v>
      </c>
      <c r="K22" s="159">
        <f t="shared" si="61"/>
        <v>6.4371534195933458E-2</v>
      </c>
      <c r="L22" s="161">
        <f t="shared" si="62"/>
        <v>0.70278260339520282</v>
      </c>
      <c r="M22" s="146">
        <f t="shared" si="63"/>
        <v>2266.3824936759011</v>
      </c>
      <c r="N22" s="146">
        <f t="shared" si="64"/>
        <v>4755.3711255371672</v>
      </c>
      <c r="O22" s="146">
        <f t="shared" si="65"/>
        <v>1774.208225508318</v>
      </c>
      <c r="P22" s="146">
        <f t="shared" si="66"/>
        <v>19370.094114778582</v>
      </c>
      <c r="Q22" s="56">
        <f t="shared" si="50"/>
        <v>45885</v>
      </c>
      <c r="R22" s="139">
        <v>32048</v>
      </c>
      <c r="S22" s="140">
        <v>0</v>
      </c>
      <c r="T22" s="140">
        <v>27562</v>
      </c>
      <c r="U22" s="140">
        <v>2854</v>
      </c>
      <c r="V22" s="141">
        <v>6194</v>
      </c>
      <c r="W22" s="142">
        <v>0.89583333333333337</v>
      </c>
      <c r="X22" s="141">
        <v>2022</v>
      </c>
      <c r="Y22" s="142">
        <v>0.63541666666666663</v>
      </c>
      <c r="Z22" s="141">
        <v>150</v>
      </c>
      <c r="AA22" s="142">
        <v>0.21875</v>
      </c>
      <c r="AB22" s="56">
        <f t="shared" si="51"/>
        <v>45885</v>
      </c>
      <c r="AC22" s="76">
        <f t="shared" si="67"/>
        <v>1</v>
      </c>
      <c r="AD22" s="162">
        <f t="shared" si="68"/>
        <v>0</v>
      </c>
      <c r="AE22" s="163">
        <v>2698</v>
      </c>
      <c r="AF22" s="118">
        <f t="shared" si="37"/>
        <v>2698</v>
      </c>
      <c r="AG22" s="147">
        <v>0</v>
      </c>
      <c r="AH22" s="148">
        <v>1606</v>
      </c>
      <c r="AI22" s="149">
        <v>0.44374999999999998</v>
      </c>
      <c r="AJ22" s="148">
        <v>0</v>
      </c>
      <c r="AK22" s="165">
        <v>0</v>
      </c>
      <c r="AL22" s="56">
        <f t="shared" si="38"/>
        <v>45885</v>
      </c>
      <c r="AM22" s="77">
        <f t="shared" si="69"/>
        <v>0.35877053524112346</v>
      </c>
      <c r="AN22" s="76">
        <f t="shared" si="70"/>
        <v>0.64122946475887654</v>
      </c>
      <c r="AO22" s="150">
        <v>5661</v>
      </c>
      <c r="AP22" s="117">
        <f t="shared" si="41"/>
        <v>2031</v>
      </c>
      <c r="AQ22" s="151">
        <v>3630</v>
      </c>
      <c r="AR22" s="152">
        <v>1634</v>
      </c>
      <c r="AS22" s="153">
        <v>0.94166666666666665</v>
      </c>
      <c r="AT22" s="152">
        <v>177</v>
      </c>
      <c r="AU22" s="154">
        <v>0.85416666666666663</v>
      </c>
      <c r="AV22" s="56">
        <f t="shared" si="52"/>
        <v>45885</v>
      </c>
      <c r="AW22" s="110">
        <f t="shared" si="71"/>
        <v>1</v>
      </c>
      <c r="AX22" s="110">
        <f t="shared" si="72"/>
        <v>0</v>
      </c>
      <c r="AY22" s="111">
        <f t="shared" si="44"/>
        <v>1393</v>
      </c>
      <c r="AZ22" s="112">
        <v>1393</v>
      </c>
      <c r="BA22" s="120">
        <f t="shared" si="76"/>
        <v>1393</v>
      </c>
      <c r="BB22" s="113">
        <v>0</v>
      </c>
      <c r="BC22" s="112">
        <v>1305</v>
      </c>
      <c r="BD22" s="114">
        <v>0.84375</v>
      </c>
      <c r="BE22" s="115">
        <v>0</v>
      </c>
      <c r="BF22" s="114">
        <v>0</v>
      </c>
      <c r="BG22" s="115">
        <v>0</v>
      </c>
      <c r="BH22" s="114">
        <v>0</v>
      </c>
      <c r="BI22" s="56">
        <f t="shared" si="53"/>
        <v>45885</v>
      </c>
      <c r="BJ22" s="78">
        <f t="shared" si="73"/>
        <v>0.61255908755800337</v>
      </c>
      <c r="BK22" s="76">
        <f t="shared" si="74"/>
        <v>0.38744091244199663</v>
      </c>
      <c r="BL22" s="79">
        <f t="shared" si="75"/>
        <v>23059</v>
      </c>
      <c r="BM22" s="155">
        <v>14125</v>
      </c>
      <c r="BN22" s="155">
        <v>8934</v>
      </c>
      <c r="BO22" s="156">
        <v>2466</v>
      </c>
      <c r="BP22" s="157">
        <v>0.36736111111111114</v>
      </c>
      <c r="BQ22" s="158">
        <v>1625</v>
      </c>
      <c r="BR22" s="157">
        <v>0.36736111111111114</v>
      </c>
    </row>
    <row r="23" spans="1:70" ht="15.75" thickBot="1" x14ac:dyDescent="0.3">
      <c r="A23" s="14"/>
      <c r="B23" s="56">
        <f t="shared" si="49"/>
        <v>45886</v>
      </c>
      <c r="C23" s="164"/>
      <c r="D23" s="87">
        <f t="shared" si="54"/>
        <v>27706</v>
      </c>
      <c r="E23" s="159">
        <f t="shared" si="55"/>
        <v>0.76358911427127696</v>
      </c>
      <c r="F23" s="87">
        <f t="shared" si="56"/>
        <v>21156</v>
      </c>
      <c r="G23" s="159">
        <f t="shared" si="57"/>
        <v>0.23641088572872301</v>
      </c>
      <c r="H23" s="146">
        <f t="shared" si="58"/>
        <v>6550</v>
      </c>
      <c r="I23" s="160">
        <f t="shared" si="59"/>
        <v>7.044052702653382E-2</v>
      </c>
      <c r="J23" s="159">
        <f t="shared" si="60"/>
        <v>0.19117486039636483</v>
      </c>
      <c r="K23" s="159">
        <f t="shared" si="61"/>
        <v>5.6466091388197137E-2</v>
      </c>
      <c r="L23" s="161">
        <f t="shared" si="62"/>
        <v>0.70279937223986277</v>
      </c>
      <c r="M23" s="146">
        <f t="shared" si="63"/>
        <v>1648.6605350560239</v>
      </c>
      <c r="N23" s="146">
        <f t="shared" si="64"/>
        <v>4474.4476075769189</v>
      </c>
      <c r="O23" s="146">
        <f t="shared" si="65"/>
        <v>1321.5888689407541</v>
      </c>
      <c r="P23" s="146">
        <f t="shared" si="66"/>
        <v>16449.019307273989</v>
      </c>
      <c r="Q23" s="56">
        <f t="shared" si="50"/>
        <v>45886</v>
      </c>
      <c r="R23" s="139">
        <v>27706</v>
      </c>
      <c r="S23" s="140">
        <v>0</v>
      </c>
      <c r="T23" s="140">
        <v>23405</v>
      </c>
      <c r="U23" s="140">
        <v>2867</v>
      </c>
      <c r="V23" s="141">
        <v>6665</v>
      </c>
      <c r="W23" s="142">
        <v>0.96736111111111112</v>
      </c>
      <c r="X23" s="141">
        <v>1865</v>
      </c>
      <c r="Y23" s="142">
        <v>0.96875</v>
      </c>
      <c r="Z23" s="141">
        <v>150</v>
      </c>
      <c r="AA23" s="142">
        <v>0.92708333333333337</v>
      </c>
      <c r="AB23" s="56">
        <f t="shared" si="51"/>
        <v>45886</v>
      </c>
      <c r="AC23" s="76">
        <f t="shared" si="67"/>
        <v>1</v>
      </c>
      <c r="AD23" s="162">
        <f t="shared" si="68"/>
        <v>0</v>
      </c>
      <c r="AE23" s="163">
        <v>1930</v>
      </c>
      <c r="AF23" s="118">
        <f t="shared" si="37"/>
        <v>1930</v>
      </c>
      <c r="AG23" s="147">
        <v>0</v>
      </c>
      <c r="AH23" s="148">
        <v>1476</v>
      </c>
      <c r="AI23" s="149">
        <v>0.92222222222222228</v>
      </c>
      <c r="AJ23" s="148">
        <v>0</v>
      </c>
      <c r="AK23" s="165">
        <v>0</v>
      </c>
      <c r="AL23" s="56">
        <f t="shared" si="38"/>
        <v>45886</v>
      </c>
      <c r="AM23" s="77">
        <f t="shared" si="69"/>
        <v>0.29686903398243603</v>
      </c>
      <c r="AN23" s="76">
        <f t="shared" si="70"/>
        <v>0.70313096601756397</v>
      </c>
      <c r="AO23" s="150">
        <v>5238</v>
      </c>
      <c r="AP23" s="117">
        <f t="shared" si="41"/>
        <v>1555</v>
      </c>
      <c r="AQ23" s="151">
        <v>3683</v>
      </c>
      <c r="AR23" s="152">
        <v>1526</v>
      </c>
      <c r="AS23" s="153">
        <v>0.78611111111111109</v>
      </c>
      <c r="AT23" s="152">
        <v>177</v>
      </c>
      <c r="AU23" s="154">
        <v>0.79166666666666663</v>
      </c>
      <c r="AV23" s="56">
        <f t="shared" si="52"/>
        <v>45886</v>
      </c>
      <c r="AW23" s="110">
        <f t="shared" si="71"/>
        <v>1</v>
      </c>
      <c r="AX23" s="110">
        <f t="shared" si="72"/>
        <v>0</v>
      </c>
      <c r="AY23" s="111">
        <f t="shared" si="44"/>
        <v>975</v>
      </c>
      <c r="AZ23" s="112">
        <v>975</v>
      </c>
      <c r="BA23" s="120">
        <f t="shared" si="76"/>
        <v>975</v>
      </c>
      <c r="BB23" s="113">
        <v>0</v>
      </c>
      <c r="BC23" s="112">
        <v>1139</v>
      </c>
      <c r="BD23" s="114">
        <v>0.92708333333333337</v>
      </c>
      <c r="BE23" s="115">
        <v>0</v>
      </c>
      <c r="BF23" s="114">
        <v>0</v>
      </c>
      <c r="BG23" s="115">
        <v>0</v>
      </c>
      <c r="BH23" s="114">
        <v>0</v>
      </c>
      <c r="BI23" s="56">
        <f t="shared" si="53"/>
        <v>45886</v>
      </c>
      <c r="BJ23" s="78">
        <f t="shared" si="73"/>
        <v>0.61445783132530118</v>
      </c>
      <c r="BK23" s="76">
        <f t="shared" si="74"/>
        <v>0.38554216867469882</v>
      </c>
      <c r="BL23" s="79">
        <f t="shared" si="75"/>
        <v>19256</v>
      </c>
      <c r="BM23" s="155">
        <v>11832</v>
      </c>
      <c r="BN23" s="155">
        <v>7424</v>
      </c>
      <c r="BO23" s="156">
        <v>2430</v>
      </c>
      <c r="BP23" s="157">
        <v>0.41736111111111113</v>
      </c>
      <c r="BQ23" s="158">
        <v>1605</v>
      </c>
      <c r="BR23" s="157">
        <v>0.41736111111111113</v>
      </c>
    </row>
    <row r="24" spans="1:70" ht="15.75" thickBot="1" x14ac:dyDescent="0.3">
      <c r="A24" s="14"/>
      <c r="B24" s="56">
        <f t="shared" si="49"/>
        <v>45887</v>
      </c>
      <c r="C24" s="164"/>
      <c r="D24" s="87">
        <f t="shared" si="54"/>
        <v>53844</v>
      </c>
      <c r="E24" s="159">
        <f t="shared" si="55"/>
        <v>0.87276205333927648</v>
      </c>
      <c r="F24" s="87">
        <f t="shared" si="56"/>
        <v>46993</v>
      </c>
      <c r="G24" s="159">
        <f t="shared" si="57"/>
        <v>0.12723794666072358</v>
      </c>
      <c r="H24" s="146">
        <f t="shared" si="58"/>
        <v>6851</v>
      </c>
      <c r="I24" s="160">
        <f t="shared" si="59"/>
        <v>0.12319120539477381</v>
      </c>
      <c r="J24" s="159">
        <f t="shared" si="60"/>
        <v>0.16742764821579095</v>
      </c>
      <c r="K24" s="159">
        <f t="shared" si="61"/>
        <v>0.12078801925476912</v>
      </c>
      <c r="L24" s="161">
        <f t="shared" si="62"/>
        <v>0.61419991570665922</v>
      </c>
      <c r="M24" s="146">
        <f t="shared" si="63"/>
        <v>6078.0076917673505</v>
      </c>
      <c r="N24" s="146">
        <f t="shared" si="64"/>
        <v>8260.5453076706945</v>
      </c>
      <c r="O24" s="146">
        <f t="shared" si="65"/>
        <v>5959.4392939917989</v>
      </c>
      <c r="P24" s="146">
        <f t="shared" si="66"/>
        <v>30303.395441135151</v>
      </c>
      <c r="Q24" s="56">
        <f t="shared" si="50"/>
        <v>45887</v>
      </c>
      <c r="R24" s="139">
        <v>53844</v>
      </c>
      <c r="S24" s="140">
        <v>0</v>
      </c>
      <c r="T24" s="140">
        <v>49338</v>
      </c>
      <c r="U24" s="140">
        <v>2996</v>
      </c>
      <c r="V24" s="141">
        <v>11704</v>
      </c>
      <c r="W24" s="142">
        <v>0.78125</v>
      </c>
      <c r="X24" s="141">
        <v>4681</v>
      </c>
      <c r="Y24" s="142">
        <v>0.40625</v>
      </c>
      <c r="Z24" s="141">
        <v>161</v>
      </c>
      <c r="AA24" s="142">
        <v>0.29166666666666669</v>
      </c>
      <c r="AB24" s="56">
        <f t="shared" si="51"/>
        <v>45887</v>
      </c>
      <c r="AC24" s="76">
        <f t="shared" si="67"/>
        <v>1</v>
      </c>
      <c r="AD24" s="162">
        <f t="shared" si="68"/>
        <v>0</v>
      </c>
      <c r="AE24" s="163">
        <v>7015</v>
      </c>
      <c r="AF24" s="118">
        <f t="shared" si="37"/>
        <v>7015</v>
      </c>
      <c r="AG24" s="147">
        <v>0</v>
      </c>
      <c r="AH24" s="148">
        <v>3529</v>
      </c>
      <c r="AI24" s="149">
        <v>0.71666666666666667</v>
      </c>
      <c r="AJ24" s="148">
        <v>0</v>
      </c>
      <c r="AK24" s="165">
        <v>0</v>
      </c>
      <c r="AL24" s="56">
        <f t="shared" si="38"/>
        <v>45887</v>
      </c>
      <c r="AM24" s="77">
        <f t="shared" si="69"/>
        <v>0.59565764631843932</v>
      </c>
      <c r="AN24" s="76">
        <f t="shared" si="70"/>
        <v>0.40434235368156074</v>
      </c>
      <c r="AO24" s="150">
        <v>9534</v>
      </c>
      <c r="AP24" s="117">
        <f t="shared" si="41"/>
        <v>5679</v>
      </c>
      <c r="AQ24" s="151">
        <v>3855</v>
      </c>
      <c r="AR24" s="152">
        <v>3363</v>
      </c>
      <c r="AS24" s="153">
        <v>0.70833333333333337</v>
      </c>
      <c r="AT24" s="152">
        <v>184</v>
      </c>
      <c r="AU24" s="154">
        <v>0.82291666666666663</v>
      </c>
      <c r="AV24" s="56">
        <f t="shared" si="52"/>
        <v>45887</v>
      </c>
      <c r="AW24" s="110">
        <f t="shared" si="71"/>
        <v>1</v>
      </c>
      <c r="AX24" s="110">
        <f t="shared" si="72"/>
        <v>0</v>
      </c>
      <c r="AY24" s="111">
        <f t="shared" si="44"/>
        <v>5420</v>
      </c>
      <c r="AZ24" s="112">
        <v>5420</v>
      </c>
      <c r="BA24" s="120">
        <f t="shared" si="76"/>
        <v>5420</v>
      </c>
      <c r="BB24" s="113">
        <v>0</v>
      </c>
      <c r="BC24" s="112">
        <v>3420</v>
      </c>
      <c r="BD24" s="114">
        <v>0.62638888888888888</v>
      </c>
      <c r="BE24" s="115">
        <v>0</v>
      </c>
      <c r="BF24" s="114">
        <v>0</v>
      </c>
      <c r="BG24" s="115">
        <v>0</v>
      </c>
      <c r="BH24" s="114">
        <v>0</v>
      </c>
      <c r="BI24" s="56">
        <f t="shared" si="53"/>
        <v>45887</v>
      </c>
      <c r="BJ24" s="78">
        <f t="shared" si="73"/>
        <v>0.61009292351679767</v>
      </c>
      <c r="BK24" s="76">
        <f t="shared" si="74"/>
        <v>0.38990707648320228</v>
      </c>
      <c r="BL24" s="79">
        <f t="shared" si="75"/>
        <v>34975</v>
      </c>
      <c r="BM24" s="155">
        <v>21338</v>
      </c>
      <c r="BN24" s="155">
        <v>13637</v>
      </c>
      <c r="BO24" s="156">
        <v>3965</v>
      </c>
      <c r="BP24" s="157">
        <v>0.37222222222222223</v>
      </c>
      <c r="BQ24" s="158">
        <v>2607</v>
      </c>
      <c r="BR24" s="157">
        <v>0.37291666666666667</v>
      </c>
    </row>
    <row r="25" spans="1:70" ht="15.75" thickBot="1" x14ac:dyDescent="0.3">
      <c r="A25" s="14"/>
      <c r="B25" s="56">
        <f t="shared" si="49"/>
        <v>45888</v>
      </c>
      <c r="C25" s="164"/>
      <c r="D25" s="87">
        <f t="shared" ref="D25:D37" si="85">R25</f>
        <v>54404</v>
      </c>
      <c r="E25" s="159">
        <f t="shared" ref="E25:E37" si="86">F25/D25</f>
        <v>0.88851922652746118</v>
      </c>
      <c r="F25" s="87">
        <f t="shared" ref="F25:F37" si="87">D25-H25</f>
        <v>48339</v>
      </c>
      <c r="G25" s="159">
        <f t="shared" ref="G25:G37" si="88">H25/D25</f>
        <v>0.11148077347253878</v>
      </c>
      <c r="H25" s="146">
        <f t="shared" ref="H25:H37" si="89">U25+AG25+AQ25+BB25</f>
        <v>6065</v>
      </c>
      <c r="I25" s="160">
        <f t="shared" ref="I25:I37" si="90">AE25/(AE25+AO25+BL25+AY25)</f>
        <v>0.11806455902396862</v>
      </c>
      <c r="J25" s="159">
        <f t="shared" ref="J25:J37" si="91">AO25/(AE25+AO25+BL25+AY25)</f>
        <v>0.15951929789568167</v>
      </c>
      <c r="K25" s="159">
        <f t="shared" ref="K25:K37" si="92">AY25/(AF25+AP25+BM25+AZ25+AY25)</f>
        <v>0.16204594541527587</v>
      </c>
      <c r="L25" s="161">
        <f t="shared" ref="L25:L37" si="93">BL25/(AE25+AO25+BL25+AY25)</f>
        <v>0.58523652804095605</v>
      </c>
      <c r="M25" s="146">
        <f t="shared" ref="M25:M37" si="94">(S25+T25)*I25</f>
        <v>624.08925900069812</v>
      </c>
      <c r="N25" s="146">
        <f t="shared" ref="N25:N37" si="95">(S25+T25)*J25</f>
        <v>843.21900867657337</v>
      </c>
      <c r="O25" s="146">
        <f t="shared" ref="O25:O37" si="96">(S25+T25)*K25</f>
        <v>856.57486746514826</v>
      </c>
      <c r="P25" s="146">
        <f t="shared" ref="P25:P37" si="97">(S25+T25)*L25</f>
        <v>3093.5602872244935</v>
      </c>
      <c r="Q25" s="56">
        <f t="shared" si="50"/>
        <v>45888</v>
      </c>
      <c r="R25" s="139">
        <v>54404</v>
      </c>
      <c r="S25" s="140">
        <v>0</v>
      </c>
      <c r="T25" s="140">
        <v>5286</v>
      </c>
      <c r="U25" s="140">
        <v>328</v>
      </c>
      <c r="V25" s="141">
        <v>15675</v>
      </c>
      <c r="W25" s="142">
        <v>0.79166666666666663</v>
      </c>
      <c r="X25" s="141">
        <v>4682</v>
      </c>
      <c r="Y25" s="142">
        <v>0.80208333333333337</v>
      </c>
      <c r="Z25" s="141">
        <v>144</v>
      </c>
      <c r="AA25" s="142">
        <v>2.0833333333333332E-2</v>
      </c>
      <c r="AB25" s="56">
        <f t="shared" si="51"/>
        <v>45888</v>
      </c>
      <c r="AC25" s="76">
        <f t="shared" ref="AC25:AC37" si="98">+AF25/AE25</f>
        <v>1</v>
      </c>
      <c r="AD25" s="162">
        <f t="shared" ref="AD25:AD37" si="99">+AG25/AE25</f>
        <v>0</v>
      </c>
      <c r="AE25" s="163">
        <v>7103</v>
      </c>
      <c r="AF25" s="118">
        <f t="shared" si="37"/>
        <v>7103</v>
      </c>
      <c r="AG25" s="147">
        <v>0</v>
      </c>
      <c r="AH25" s="148">
        <v>4403</v>
      </c>
      <c r="AI25" s="149">
        <v>0.34166666666666667</v>
      </c>
      <c r="AJ25" s="148">
        <v>0</v>
      </c>
      <c r="AK25" s="165">
        <v>0</v>
      </c>
      <c r="AL25" s="56">
        <f t="shared" si="38"/>
        <v>45888</v>
      </c>
      <c r="AM25" s="77">
        <f t="shared" ref="AM25:AM37" si="100">+AP25/AO25</f>
        <v>0.60685630926331147</v>
      </c>
      <c r="AN25" s="76">
        <f t="shared" ref="AN25:AN37" si="101">+AQ25/AO25</f>
        <v>0.39314369073668853</v>
      </c>
      <c r="AO25" s="150">
        <v>9597</v>
      </c>
      <c r="AP25" s="117">
        <f t="shared" si="41"/>
        <v>5824</v>
      </c>
      <c r="AQ25" s="151">
        <v>3773</v>
      </c>
      <c r="AR25" s="152">
        <v>3926</v>
      </c>
      <c r="AS25" s="153">
        <v>0.34236111111111112</v>
      </c>
      <c r="AT25" s="152">
        <v>179</v>
      </c>
      <c r="AU25" s="154">
        <v>0.29166666666666669</v>
      </c>
      <c r="AV25" s="56">
        <f t="shared" si="52"/>
        <v>45888</v>
      </c>
      <c r="AW25" s="110">
        <f t="shared" ref="AW25:AW37" si="102">BA25/AZ25</f>
        <v>0.76202592996486129</v>
      </c>
      <c r="AX25" s="110">
        <f t="shared" ref="AX25:AX37" si="103">BB25/AZ25</f>
        <v>0.23797407003513874</v>
      </c>
      <c r="AY25" s="111">
        <f t="shared" si="44"/>
        <v>8253</v>
      </c>
      <c r="AZ25" s="112">
        <v>8253</v>
      </c>
      <c r="BA25" s="120">
        <f t="shared" ref="BA25:BA37" si="104">AZ25-BB25</f>
        <v>6289</v>
      </c>
      <c r="BB25" s="113">
        <v>1964</v>
      </c>
      <c r="BC25" s="112">
        <v>4232</v>
      </c>
      <c r="BD25" s="114">
        <v>0.35416666666666669</v>
      </c>
      <c r="BE25" s="115">
        <v>0</v>
      </c>
      <c r="BF25" s="114">
        <v>0</v>
      </c>
      <c r="BG25" s="115">
        <v>137</v>
      </c>
      <c r="BH25" s="114">
        <v>0.29166666666666669</v>
      </c>
      <c r="BI25" s="56">
        <f t="shared" si="53"/>
        <v>45888</v>
      </c>
      <c r="BJ25" s="78">
        <f t="shared" ref="BJ25:BJ37" si="105">+BM25/BL25</f>
        <v>0.61055411968530771</v>
      </c>
      <c r="BK25" s="76">
        <f t="shared" ref="BK25:BK37" si="106">+BN25/BL25</f>
        <v>0.38944588031469224</v>
      </c>
      <c r="BL25" s="79">
        <f t="shared" ref="BL25:BL37" si="107">BM25+BN25</f>
        <v>35209</v>
      </c>
      <c r="BM25" s="155">
        <v>21497</v>
      </c>
      <c r="BN25" s="155">
        <v>13712</v>
      </c>
      <c r="BO25" s="156">
        <v>4229</v>
      </c>
      <c r="BP25" s="157">
        <v>0.74722222222222223</v>
      </c>
      <c r="BQ25" s="158">
        <v>2771</v>
      </c>
      <c r="BR25" s="157">
        <v>0.74722222222222223</v>
      </c>
    </row>
    <row r="26" spans="1:70" ht="15.75" thickBot="1" x14ac:dyDescent="0.3">
      <c r="A26" s="14"/>
      <c r="B26" s="56">
        <f t="shared" si="49"/>
        <v>45889</v>
      </c>
      <c r="C26" s="164"/>
      <c r="D26" s="87">
        <f t="shared" si="85"/>
        <v>54108</v>
      </c>
      <c r="E26" s="159">
        <f t="shared" si="86"/>
        <v>0.88918459377541215</v>
      </c>
      <c r="F26" s="87">
        <f t="shared" si="87"/>
        <v>48112</v>
      </c>
      <c r="G26" s="159">
        <f t="shared" si="88"/>
        <v>0.11081540622458787</v>
      </c>
      <c r="H26" s="146">
        <f t="shared" si="89"/>
        <v>5996</v>
      </c>
      <c r="I26" s="160">
        <f t="shared" si="90"/>
        <v>0.11943161160126087</v>
      </c>
      <c r="J26" s="159">
        <f t="shared" si="91"/>
        <v>0.16097666738938274</v>
      </c>
      <c r="K26" s="159">
        <f t="shared" si="92"/>
        <v>0.16387296851691921</v>
      </c>
      <c r="L26" s="161">
        <f t="shared" si="93"/>
        <v>0.58034657015627344</v>
      </c>
      <c r="M26" s="146">
        <f t="shared" si="94"/>
        <v>6312.7966944078453</v>
      </c>
      <c r="N26" s="146">
        <f t="shared" si="95"/>
        <v>8508.7437082006036</v>
      </c>
      <c r="O26" s="146">
        <f t="shared" si="96"/>
        <v>8661.8334968987983</v>
      </c>
      <c r="P26" s="146">
        <f t="shared" si="97"/>
        <v>30675.378658750145</v>
      </c>
      <c r="Q26" s="56">
        <f t="shared" si="50"/>
        <v>45889</v>
      </c>
      <c r="R26" s="139">
        <v>54108</v>
      </c>
      <c r="S26" s="140">
        <v>0</v>
      </c>
      <c r="T26" s="140">
        <v>52857</v>
      </c>
      <c r="U26" s="140">
        <v>0</v>
      </c>
      <c r="V26" s="141">
        <v>13777</v>
      </c>
      <c r="W26" s="142">
        <v>0.78125</v>
      </c>
      <c r="X26" s="141">
        <v>4498</v>
      </c>
      <c r="Y26" s="142">
        <v>0.39583333333333331</v>
      </c>
      <c r="Z26" s="141">
        <v>0</v>
      </c>
      <c r="AA26" s="142">
        <v>0</v>
      </c>
      <c r="AB26" s="56">
        <f t="shared" si="51"/>
        <v>45889</v>
      </c>
      <c r="AC26" s="76">
        <f t="shared" si="98"/>
        <v>1</v>
      </c>
      <c r="AD26" s="162">
        <f t="shared" si="99"/>
        <v>0</v>
      </c>
      <c r="AE26" s="163">
        <v>7161</v>
      </c>
      <c r="AF26" s="118">
        <f t="shared" si="37"/>
        <v>7161</v>
      </c>
      <c r="AG26" s="147">
        <v>0</v>
      </c>
      <c r="AH26" s="148">
        <v>3827</v>
      </c>
      <c r="AI26" s="149">
        <v>0.7895833333333333</v>
      </c>
      <c r="AJ26" s="148">
        <v>0</v>
      </c>
      <c r="AK26" s="165">
        <v>0</v>
      </c>
      <c r="AL26" s="56">
        <f t="shared" si="38"/>
        <v>45889</v>
      </c>
      <c r="AM26" s="77">
        <f t="shared" si="100"/>
        <v>0.60443431413178617</v>
      </c>
      <c r="AN26" s="76">
        <f t="shared" si="101"/>
        <v>0.39556568586821383</v>
      </c>
      <c r="AO26" s="150">
        <v>9652</v>
      </c>
      <c r="AP26" s="117">
        <f t="shared" si="41"/>
        <v>5834</v>
      </c>
      <c r="AQ26" s="151">
        <v>3818</v>
      </c>
      <c r="AR26" s="152">
        <v>3385</v>
      </c>
      <c r="AS26" s="153">
        <v>0.78611111111111109</v>
      </c>
      <c r="AT26" s="152">
        <v>182</v>
      </c>
      <c r="AU26" s="154">
        <v>0.79166666666666663</v>
      </c>
      <c r="AV26" s="56">
        <f t="shared" si="52"/>
        <v>45889</v>
      </c>
      <c r="AW26" s="110">
        <f t="shared" si="102"/>
        <v>0.73913043478260865</v>
      </c>
      <c r="AX26" s="110">
        <f t="shared" si="103"/>
        <v>0.2608695652173913</v>
      </c>
      <c r="AY26" s="111">
        <f t="shared" si="44"/>
        <v>8349</v>
      </c>
      <c r="AZ26" s="112">
        <v>8349</v>
      </c>
      <c r="BA26" s="120">
        <f t="shared" si="104"/>
        <v>6171</v>
      </c>
      <c r="BB26" s="113">
        <v>2178</v>
      </c>
      <c r="BC26" s="112">
        <v>4315</v>
      </c>
      <c r="BD26" s="114">
        <v>0.73958333333333337</v>
      </c>
      <c r="BE26" s="115">
        <v>0</v>
      </c>
      <c r="BF26" s="114">
        <v>0</v>
      </c>
      <c r="BG26" s="115">
        <v>135</v>
      </c>
      <c r="BH26" s="114">
        <v>0.28125</v>
      </c>
      <c r="BI26" s="56">
        <f t="shared" si="53"/>
        <v>45889</v>
      </c>
      <c r="BJ26" s="78">
        <f t="shared" si="105"/>
        <v>0.61082851969997409</v>
      </c>
      <c r="BK26" s="76">
        <f t="shared" si="106"/>
        <v>0.38917148030002585</v>
      </c>
      <c r="BL26" s="79">
        <f t="shared" si="107"/>
        <v>34797</v>
      </c>
      <c r="BM26" s="155">
        <v>21255</v>
      </c>
      <c r="BN26" s="155">
        <v>13542</v>
      </c>
      <c r="BO26" s="156">
        <v>4245</v>
      </c>
      <c r="BP26" s="157">
        <v>0.80555555555555558</v>
      </c>
      <c r="BQ26" s="158">
        <v>2815</v>
      </c>
      <c r="BR26" s="157">
        <v>0.80555555555555558</v>
      </c>
    </row>
    <row r="27" spans="1:70" ht="15.75" thickBot="1" x14ac:dyDescent="0.3">
      <c r="A27" s="14"/>
      <c r="B27" s="56">
        <f t="shared" si="49"/>
        <v>45890</v>
      </c>
      <c r="C27" s="164"/>
      <c r="D27" s="87">
        <f t="shared" si="85"/>
        <v>55026</v>
      </c>
      <c r="E27" s="159">
        <f t="shared" si="86"/>
        <v>0.8875622433031658</v>
      </c>
      <c r="F27" s="87">
        <f t="shared" si="87"/>
        <v>48839</v>
      </c>
      <c r="G27" s="159">
        <f t="shared" si="88"/>
        <v>0.11243775669683423</v>
      </c>
      <c r="H27" s="146">
        <f t="shared" si="89"/>
        <v>6187</v>
      </c>
      <c r="I27" s="160">
        <f t="shared" si="90"/>
        <v>0.11648394675019577</v>
      </c>
      <c r="J27" s="159">
        <f t="shared" si="91"/>
        <v>0.15532824327851735</v>
      </c>
      <c r="K27" s="159">
        <f t="shared" si="92"/>
        <v>0.16364092857970566</v>
      </c>
      <c r="L27" s="161">
        <f t="shared" si="93"/>
        <v>0.5899569303054033</v>
      </c>
      <c r="M27" s="146">
        <f t="shared" si="94"/>
        <v>6246.2186765857477</v>
      </c>
      <c r="N27" s="146">
        <f t="shared" si="95"/>
        <v>8329.1663893239365</v>
      </c>
      <c r="O27" s="146">
        <f t="shared" si="96"/>
        <v>8774.9175132295568</v>
      </c>
      <c r="P27" s="146">
        <f t="shared" si="97"/>
        <v>31635.260473766641</v>
      </c>
      <c r="Q27" s="56">
        <f t="shared" si="50"/>
        <v>45890</v>
      </c>
      <c r="R27" s="139">
        <v>55026</v>
      </c>
      <c r="S27" s="140">
        <v>0</v>
      </c>
      <c r="T27" s="140">
        <v>53623</v>
      </c>
      <c r="U27" s="140">
        <v>0</v>
      </c>
      <c r="V27" s="141">
        <v>13154</v>
      </c>
      <c r="W27" s="142">
        <v>0.79166666666666663</v>
      </c>
      <c r="X27" s="141">
        <v>4990</v>
      </c>
      <c r="Y27" s="142">
        <v>0.86458333333333337</v>
      </c>
      <c r="Z27" s="141">
        <v>0</v>
      </c>
      <c r="AA27" s="142">
        <v>0</v>
      </c>
      <c r="AB27" s="56">
        <f t="shared" si="51"/>
        <v>45890</v>
      </c>
      <c r="AC27" s="76">
        <f t="shared" si="98"/>
        <v>1</v>
      </c>
      <c r="AD27" s="162">
        <f t="shared" si="99"/>
        <v>0</v>
      </c>
      <c r="AE27" s="163">
        <v>7140</v>
      </c>
      <c r="AF27" s="118">
        <f t="shared" si="37"/>
        <v>7140</v>
      </c>
      <c r="AG27" s="147">
        <v>0</v>
      </c>
      <c r="AH27" s="148">
        <v>3807</v>
      </c>
      <c r="AI27" s="149">
        <v>0.33263888888888887</v>
      </c>
      <c r="AJ27" s="148">
        <v>0</v>
      </c>
      <c r="AK27" s="165">
        <v>0</v>
      </c>
      <c r="AL27" s="56">
        <f t="shared" si="38"/>
        <v>45890</v>
      </c>
      <c r="AM27" s="77">
        <f t="shared" si="100"/>
        <v>0.58901375905892239</v>
      </c>
      <c r="AN27" s="76">
        <f t="shared" si="101"/>
        <v>0.41098624094107761</v>
      </c>
      <c r="AO27" s="150">
        <v>9521</v>
      </c>
      <c r="AP27" s="117">
        <f t="shared" si="41"/>
        <v>5608</v>
      </c>
      <c r="AQ27" s="151">
        <v>3913</v>
      </c>
      <c r="AR27" s="152">
        <v>3761</v>
      </c>
      <c r="AS27" s="153">
        <v>0.33263888888888887</v>
      </c>
      <c r="AT27" s="152">
        <v>188</v>
      </c>
      <c r="AU27" s="154">
        <v>0.78125</v>
      </c>
      <c r="AV27" s="56">
        <f t="shared" si="52"/>
        <v>45890</v>
      </c>
      <c r="AW27" s="110">
        <f t="shared" si="102"/>
        <v>0.73161808096305914</v>
      </c>
      <c r="AX27" s="110">
        <f t="shared" si="103"/>
        <v>0.26838191903694086</v>
      </c>
      <c r="AY27" s="111">
        <f t="shared" si="44"/>
        <v>8473</v>
      </c>
      <c r="AZ27" s="112">
        <v>8473</v>
      </c>
      <c r="BA27" s="120">
        <f t="shared" si="104"/>
        <v>6199</v>
      </c>
      <c r="BB27" s="113">
        <v>2274</v>
      </c>
      <c r="BC27" s="112">
        <v>4548</v>
      </c>
      <c r="BD27" s="114">
        <v>0.83333333333333337</v>
      </c>
      <c r="BE27" s="115">
        <v>0</v>
      </c>
      <c r="BF27" s="114">
        <v>0</v>
      </c>
      <c r="BG27" s="115">
        <v>137</v>
      </c>
      <c r="BH27" s="114">
        <v>0.84375</v>
      </c>
      <c r="BI27" s="56">
        <f t="shared" si="53"/>
        <v>45890</v>
      </c>
      <c r="BJ27" s="78">
        <f t="shared" si="105"/>
        <v>0.61069631104474309</v>
      </c>
      <c r="BK27" s="76">
        <f t="shared" si="106"/>
        <v>0.38930368895525691</v>
      </c>
      <c r="BL27" s="79">
        <f t="shared" si="107"/>
        <v>36162</v>
      </c>
      <c r="BM27" s="155">
        <v>22084</v>
      </c>
      <c r="BN27" s="155">
        <v>14078</v>
      </c>
      <c r="BO27" s="156">
        <v>4530</v>
      </c>
      <c r="BP27" s="157">
        <v>0.75069444444444444</v>
      </c>
      <c r="BQ27" s="158">
        <v>3023</v>
      </c>
      <c r="BR27" s="157">
        <v>0.75069444444444444</v>
      </c>
    </row>
    <row r="28" spans="1:70" ht="15.75" thickBot="1" x14ac:dyDescent="0.3">
      <c r="A28" s="14"/>
      <c r="B28" s="56">
        <f t="shared" si="49"/>
        <v>45891</v>
      </c>
      <c r="C28" s="164"/>
      <c r="D28" s="87">
        <f t="shared" si="85"/>
        <v>53078</v>
      </c>
      <c r="E28" s="159">
        <f t="shared" si="86"/>
        <v>0.86964467387618227</v>
      </c>
      <c r="F28" s="87">
        <f t="shared" si="87"/>
        <v>46159</v>
      </c>
      <c r="G28" s="159">
        <f t="shared" si="88"/>
        <v>0.13035532612381778</v>
      </c>
      <c r="H28" s="146">
        <f>U28+AG28+AQ28+BB28</f>
        <v>6919</v>
      </c>
      <c r="I28" s="160">
        <f t="shared" si="90"/>
        <v>0.10911453060673551</v>
      </c>
      <c r="J28" s="159">
        <f t="shared" si="91"/>
        <v>0.15031720321252615</v>
      </c>
      <c r="K28" s="159">
        <f t="shared" si="92"/>
        <v>0.16099810254422295</v>
      </c>
      <c r="L28" s="161">
        <f t="shared" si="93"/>
        <v>0.60742727947627728</v>
      </c>
      <c r="M28" s="146">
        <f t="shared" si="94"/>
        <v>5637.6204528582039</v>
      </c>
      <c r="N28" s="146">
        <f t="shared" si="95"/>
        <v>7766.4389383815887</v>
      </c>
      <c r="O28" s="146">
        <f t="shared" si="96"/>
        <v>8318.288964152367</v>
      </c>
      <c r="P28" s="146">
        <f t="shared" si="97"/>
        <v>31383.945248700817</v>
      </c>
      <c r="Q28" s="56">
        <f t="shared" si="50"/>
        <v>45891</v>
      </c>
      <c r="R28" s="139">
        <v>53078</v>
      </c>
      <c r="S28" s="140">
        <v>0</v>
      </c>
      <c r="T28" s="140">
        <v>51667</v>
      </c>
      <c r="U28" s="140">
        <v>0</v>
      </c>
      <c r="V28" s="141">
        <v>10442</v>
      </c>
      <c r="W28" s="142">
        <v>0.4375</v>
      </c>
      <c r="X28" s="141">
        <v>4051</v>
      </c>
      <c r="Y28" s="142">
        <v>0.42708333333333331</v>
      </c>
      <c r="Z28" s="141">
        <v>0</v>
      </c>
      <c r="AA28" s="142">
        <v>0</v>
      </c>
      <c r="AB28" s="56">
        <f t="shared" si="51"/>
        <v>45891</v>
      </c>
      <c r="AC28" s="76">
        <f t="shared" si="98"/>
        <v>1</v>
      </c>
      <c r="AD28" s="162">
        <f t="shared" si="99"/>
        <v>0</v>
      </c>
      <c r="AE28" s="163">
        <v>6467</v>
      </c>
      <c r="AF28" s="118">
        <f t="shared" si="37"/>
        <v>6467</v>
      </c>
      <c r="AG28" s="147">
        <v>0</v>
      </c>
      <c r="AH28" s="148">
        <v>3134</v>
      </c>
      <c r="AI28" s="149">
        <v>0.36666666666666664</v>
      </c>
      <c r="AJ28" s="148">
        <v>0</v>
      </c>
      <c r="AK28" s="165">
        <v>0</v>
      </c>
      <c r="AL28" s="56">
        <f t="shared" si="38"/>
        <v>45891</v>
      </c>
      <c r="AM28" s="77">
        <f t="shared" si="100"/>
        <v>0.52912784824334946</v>
      </c>
      <c r="AN28" s="76">
        <f t="shared" si="101"/>
        <v>0.47087215175665059</v>
      </c>
      <c r="AO28" s="150">
        <v>8909</v>
      </c>
      <c r="AP28" s="117">
        <f t="shared" si="41"/>
        <v>4714</v>
      </c>
      <c r="AQ28" s="151">
        <v>4195</v>
      </c>
      <c r="AR28" s="152">
        <v>2947</v>
      </c>
      <c r="AS28" s="153">
        <v>0.34652777777777777</v>
      </c>
      <c r="AT28" s="152">
        <v>208</v>
      </c>
      <c r="AU28" s="154">
        <v>0.80208333333333337</v>
      </c>
      <c r="AV28" s="56">
        <f t="shared" si="52"/>
        <v>45891</v>
      </c>
      <c r="AW28" s="110">
        <f t="shared" si="102"/>
        <v>0.65479660372576354</v>
      </c>
      <c r="AX28" s="110">
        <f t="shared" si="103"/>
        <v>0.34520339627423646</v>
      </c>
      <c r="AY28" s="111">
        <f t="shared" si="44"/>
        <v>7891</v>
      </c>
      <c r="AZ28" s="112">
        <v>7891</v>
      </c>
      <c r="BA28" s="120">
        <f t="shared" si="104"/>
        <v>5167</v>
      </c>
      <c r="BB28" s="113">
        <f>1598+1126</f>
        <v>2724</v>
      </c>
      <c r="BC28" s="112">
        <v>3274</v>
      </c>
      <c r="BD28" s="114">
        <v>0.39583333333333331</v>
      </c>
      <c r="BE28" s="115">
        <v>0</v>
      </c>
      <c r="BF28" s="114">
        <v>0</v>
      </c>
      <c r="BG28" s="115">
        <v>143</v>
      </c>
      <c r="BH28" s="114">
        <v>0.30208333333333331</v>
      </c>
      <c r="BI28" s="56">
        <f t="shared" si="53"/>
        <v>45891</v>
      </c>
      <c r="BJ28" s="78">
        <f t="shared" si="105"/>
        <v>0.61248298658370603</v>
      </c>
      <c r="BK28" s="76">
        <f t="shared" si="106"/>
        <v>0.38751701341629397</v>
      </c>
      <c r="BL28" s="79">
        <f t="shared" si="107"/>
        <v>36001</v>
      </c>
      <c r="BM28" s="155">
        <v>22050</v>
      </c>
      <c r="BN28" s="155">
        <v>13951</v>
      </c>
      <c r="BO28" s="156">
        <v>4051</v>
      </c>
      <c r="BP28" s="157">
        <v>0.69722222222222219</v>
      </c>
      <c r="BQ28" s="158">
        <v>2690</v>
      </c>
      <c r="BR28" s="157">
        <v>0.69722222222222219</v>
      </c>
    </row>
    <row r="29" spans="1:70" ht="15.75" thickBot="1" x14ac:dyDescent="0.3">
      <c r="A29" s="14"/>
      <c r="B29" s="56">
        <f t="shared" si="49"/>
        <v>45892</v>
      </c>
      <c r="C29" s="164"/>
      <c r="D29" s="87">
        <f t="shared" si="85"/>
        <v>32784</v>
      </c>
      <c r="E29" s="159">
        <f t="shared" si="86"/>
        <v>0.8111578818936066</v>
      </c>
      <c r="F29" s="87">
        <f t="shared" si="87"/>
        <v>26593</v>
      </c>
      <c r="G29" s="159">
        <f t="shared" si="88"/>
        <v>0.18884211810639337</v>
      </c>
      <c r="H29" s="146">
        <f t="shared" si="89"/>
        <v>6191</v>
      </c>
      <c r="I29" s="160">
        <f t="shared" si="90"/>
        <v>7.6006775586033554E-2</v>
      </c>
      <c r="J29" s="159">
        <f t="shared" si="91"/>
        <v>0.16510026774493197</v>
      </c>
      <c r="K29" s="159">
        <f t="shared" si="92"/>
        <v>0.15722596994681801</v>
      </c>
      <c r="L29" s="161">
        <f t="shared" si="93"/>
        <v>0.6385443418392438</v>
      </c>
      <c r="M29" s="146">
        <f t="shared" si="94"/>
        <v>2372.0954592645212</v>
      </c>
      <c r="N29" s="146">
        <f t="shared" si="95"/>
        <v>5152.6142560515818</v>
      </c>
      <c r="O29" s="146">
        <f t="shared" si="96"/>
        <v>4906.8652960702429</v>
      </c>
      <c r="P29" s="146">
        <f t="shared" si="97"/>
        <v>19928.330364460959</v>
      </c>
      <c r="Q29" s="56">
        <f t="shared" si="50"/>
        <v>45892</v>
      </c>
      <c r="R29" s="139">
        <v>32784</v>
      </c>
      <c r="S29" s="140">
        <v>0</v>
      </c>
      <c r="T29" s="140">
        <v>31209</v>
      </c>
      <c r="U29" s="140">
        <v>0</v>
      </c>
      <c r="V29" s="141">
        <v>6756</v>
      </c>
      <c r="W29" s="142">
        <v>0.71875</v>
      </c>
      <c r="X29" s="141">
        <v>2043</v>
      </c>
      <c r="Y29" s="142">
        <v>0.88541666666666663</v>
      </c>
      <c r="Z29" s="141">
        <v>0</v>
      </c>
      <c r="AA29" s="142">
        <v>0</v>
      </c>
      <c r="AB29" s="56">
        <f t="shared" si="51"/>
        <v>45892</v>
      </c>
      <c r="AC29" s="76">
        <f t="shared" si="98"/>
        <v>1</v>
      </c>
      <c r="AD29" s="162">
        <f t="shared" si="99"/>
        <v>0</v>
      </c>
      <c r="AE29" s="163">
        <v>2782</v>
      </c>
      <c r="AF29" s="118">
        <f t="shared" si="37"/>
        <v>2782</v>
      </c>
      <c r="AG29" s="147">
        <v>0</v>
      </c>
      <c r="AH29" s="148">
        <v>1688</v>
      </c>
      <c r="AI29" s="149">
        <v>0.38750000000000001</v>
      </c>
      <c r="AJ29" s="148">
        <v>0</v>
      </c>
      <c r="AK29" s="165">
        <v>0</v>
      </c>
      <c r="AL29" s="56">
        <f t="shared" si="38"/>
        <v>45892</v>
      </c>
      <c r="AM29" s="77">
        <f t="shared" si="100"/>
        <v>0.33261625020685093</v>
      </c>
      <c r="AN29" s="76">
        <f t="shared" si="101"/>
        <v>0.66738374979314907</v>
      </c>
      <c r="AO29" s="150">
        <v>6043</v>
      </c>
      <c r="AP29" s="117">
        <f t="shared" si="41"/>
        <v>2010</v>
      </c>
      <c r="AQ29" s="151">
        <v>4033</v>
      </c>
      <c r="AR29" s="152">
        <v>1726</v>
      </c>
      <c r="AS29" s="153">
        <v>0.94097222222222221</v>
      </c>
      <c r="AT29" s="152">
        <v>186</v>
      </c>
      <c r="AU29" s="154">
        <v>0.30208333333333331</v>
      </c>
      <c r="AV29" s="56">
        <f t="shared" si="52"/>
        <v>45892</v>
      </c>
      <c r="AW29" s="110">
        <f t="shared" si="102"/>
        <v>0.51010215664018166</v>
      </c>
      <c r="AX29" s="110">
        <f t="shared" si="103"/>
        <v>0.4898978433598184</v>
      </c>
      <c r="AY29" s="111">
        <f t="shared" si="44"/>
        <v>4405</v>
      </c>
      <c r="AZ29" s="112">
        <v>4405</v>
      </c>
      <c r="BA29" s="120">
        <f t="shared" si="104"/>
        <v>2247</v>
      </c>
      <c r="BB29" s="182">
        <v>2158</v>
      </c>
      <c r="BC29" s="112">
        <v>1448</v>
      </c>
      <c r="BD29" s="114">
        <v>0.8125</v>
      </c>
      <c r="BE29" s="115">
        <v>0</v>
      </c>
      <c r="BF29" s="114">
        <v>0</v>
      </c>
      <c r="BG29" s="115">
        <v>135</v>
      </c>
      <c r="BH29" s="114">
        <v>0.78125</v>
      </c>
      <c r="BI29" s="56">
        <f t="shared" si="53"/>
        <v>45892</v>
      </c>
      <c r="BJ29" s="78">
        <f t="shared" si="105"/>
        <v>0.61676364881054258</v>
      </c>
      <c r="BK29" s="76">
        <f t="shared" si="106"/>
        <v>0.38323635118945748</v>
      </c>
      <c r="BL29" s="79">
        <f t="shared" si="107"/>
        <v>23372</v>
      </c>
      <c r="BM29" s="155">
        <v>14415</v>
      </c>
      <c r="BN29" s="155">
        <v>8957</v>
      </c>
      <c r="BO29" s="156">
        <v>2671</v>
      </c>
      <c r="BP29" s="157">
        <v>0.96388888888888891</v>
      </c>
      <c r="BQ29" s="158">
        <v>1757</v>
      </c>
      <c r="BR29" s="157">
        <v>0.96388888888888891</v>
      </c>
    </row>
    <row r="30" spans="1:70" ht="15.75" thickBot="1" x14ac:dyDescent="0.3">
      <c r="A30" s="14"/>
      <c r="B30" s="56">
        <f t="shared" si="49"/>
        <v>45893</v>
      </c>
      <c r="C30" s="164"/>
      <c r="D30" s="87">
        <f t="shared" si="85"/>
        <v>27552</v>
      </c>
      <c r="E30" s="159">
        <f t="shared" si="86"/>
        <v>0.77780197444831589</v>
      </c>
      <c r="F30" s="87">
        <f t="shared" si="87"/>
        <v>21430</v>
      </c>
      <c r="G30" s="159">
        <f t="shared" si="88"/>
        <v>0.22219802555168408</v>
      </c>
      <c r="H30" s="146">
        <f t="shared" si="89"/>
        <v>6122</v>
      </c>
      <c r="I30" s="160">
        <f t="shared" si="90"/>
        <v>6.3944710973932298E-2</v>
      </c>
      <c r="J30" s="159">
        <f t="shared" si="91"/>
        <v>0.184285570503573</v>
      </c>
      <c r="K30" s="159">
        <f t="shared" si="92"/>
        <v>0.17352383472240596</v>
      </c>
      <c r="L30" s="161">
        <f t="shared" si="93"/>
        <v>0.61975374911933434</v>
      </c>
      <c r="M30" s="146">
        <f t="shared" si="94"/>
        <v>1682.5132351461066</v>
      </c>
      <c r="N30" s="146">
        <f t="shared" si="95"/>
        <v>4848.9219310900125</v>
      </c>
      <c r="O30" s="146">
        <f t="shared" si="96"/>
        <v>4565.7591392159457</v>
      </c>
      <c r="P30" s="146">
        <f t="shared" si="97"/>
        <v>16306.960646827925</v>
      </c>
      <c r="Q30" s="56">
        <f t="shared" si="50"/>
        <v>45893</v>
      </c>
      <c r="R30" s="139">
        <v>27552</v>
      </c>
      <c r="S30" s="140">
        <v>0</v>
      </c>
      <c r="T30" s="140">
        <v>26312</v>
      </c>
      <c r="U30" s="140">
        <v>0</v>
      </c>
      <c r="V30" s="141">
        <v>6018</v>
      </c>
      <c r="W30" s="142">
        <v>0.86458333333333337</v>
      </c>
      <c r="X30" s="141">
        <v>1823</v>
      </c>
      <c r="Y30" s="142">
        <v>0.96875</v>
      </c>
      <c r="Z30" s="141">
        <v>0</v>
      </c>
      <c r="AA30" s="142">
        <v>0</v>
      </c>
      <c r="AB30" s="56">
        <f t="shared" si="51"/>
        <v>45893</v>
      </c>
      <c r="AC30" s="76">
        <f t="shared" si="98"/>
        <v>1</v>
      </c>
      <c r="AD30" s="162">
        <f t="shared" si="99"/>
        <v>0</v>
      </c>
      <c r="AE30" s="163">
        <v>1906</v>
      </c>
      <c r="AF30" s="118">
        <f t="shared" si="37"/>
        <v>1906</v>
      </c>
      <c r="AG30" s="147">
        <v>0</v>
      </c>
      <c r="AH30" s="148">
        <v>1570</v>
      </c>
      <c r="AI30" s="149">
        <v>0.39027777777777778</v>
      </c>
      <c r="AJ30" s="148">
        <v>0</v>
      </c>
      <c r="AK30" s="165">
        <v>0</v>
      </c>
      <c r="AL30" s="56">
        <f t="shared" si="38"/>
        <v>45893</v>
      </c>
      <c r="AM30" s="77">
        <f t="shared" si="100"/>
        <v>0.2712543236846896</v>
      </c>
      <c r="AN30" s="76">
        <f t="shared" si="101"/>
        <v>0.7287456763153104</v>
      </c>
      <c r="AO30" s="150">
        <v>5493</v>
      </c>
      <c r="AP30" s="117">
        <f t="shared" si="41"/>
        <v>1490</v>
      </c>
      <c r="AQ30" s="151">
        <v>4003</v>
      </c>
      <c r="AR30" s="152">
        <v>1596</v>
      </c>
      <c r="AS30" s="153">
        <v>0.93194444444444446</v>
      </c>
      <c r="AT30" s="152">
        <v>190</v>
      </c>
      <c r="AU30" s="154">
        <v>4.1666666666666664E-2</v>
      </c>
      <c r="AV30" s="56">
        <f t="shared" si="52"/>
        <v>45893</v>
      </c>
      <c r="AW30" s="110">
        <f t="shared" si="102"/>
        <v>0.46149936467598474</v>
      </c>
      <c r="AX30" s="110">
        <f t="shared" si="103"/>
        <v>0.53850063532401526</v>
      </c>
      <c r="AY30" s="111">
        <f t="shared" si="44"/>
        <v>3935</v>
      </c>
      <c r="AZ30" s="112">
        <v>3935</v>
      </c>
      <c r="BA30" s="120">
        <f t="shared" si="104"/>
        <v>1816</v>
      </c>
      <c r="BB30" s="113">
        <v>2119</v>
      </c>
      <c r="BC30" s="112">
        <v>1420</v>
      </c>
      <c r="BD30" s="114">
        <v>0.82291666666666663</v>
      </c>
      <c r="BE30" s="115">
        <v>0</v>
      </c>
      <c r="BF30" s="114">
        <v>0</v>
      </c>
      <c r="BG30" s="115">
        <v>131</v>
      </c>
      <c r="BH30" s="114">
        <v>0.21875</v>
      </c>
      <c r="BI30" s="56">
        <f t="shared" si="53"/>
        <v>45893</v>
      </c>
      <c r="BJ30" s="78">
        <f t="shared" si="105"/>
        <v>0.61771233692415961</v>
      </c>
      <c r="BK30" s="76">
        <f t="shared" si="106"/>
        <v>0.38228766307584039</v>
      </c>
      <c r="BL30" s="79">
        <f t="shared" si="107"/>
        <v>18473</v>
      </c>
      <c r="BM30" s="155">
        <v>11411</v>
      </c>
      <c r="BN30" s="155">
        <v>7062</v>
      </c>
      <c r="BO30" s="156">
        <v>2321</v>
      </c>
      <c r="BP30" s="157">
        <v>0.40625</v>
      </c>
      <c r="BQ30" s="158">
        <v>1529</v>
      </c>
      <c r="BR30" s="157">
        <v>0.41249999999999998</v>
      </c>
    </row>
    <row r="31" spans="1:70" ht="15.75" thickBot="1" x14ac:dyDescent="0.3">
      <c r="A31" s="14"/>
      <c r="B31" s="56">
        <f t="shared" si="49"/>
        <v>45894</v>
      </c>
      <c r="C31" s="164"/>
      <c r="D31" s="87">
        <f t="shared" si="85"/>
        <v>54262</v>
      </c>
      <c r="E31" s="159">
        <f t="shared" si="86"/>
        <v>0.87892079171427517</v>
      </c>
      <c r="F31" s="87">
        <f t="shared" si="87"/>
        <v>47692</v>
      </c>
      <c r="G31" s="159">
        <f t="shared" si="88"/>
        <v>0.12107920828572481</v>
      </c>
      <c r="H31" s="146">
        <f t="shared" si="89"/>
        <v>6570</v>
      </c>
      <c r="I31" s="160">
        <f t="shared" si="90"/>
        <v>0.11757611802217045</v>
      </c>
      <c r="J31" s="159">
        <f t="shared" si="91"/>
        <v>0.16102492937503099</v>
      </c>
      <c r="K31" s="159">
        <f t="shared" si="92"/>
        <v>0.16493663012207449</v>
      </c>
      <c r="L31" s="161">
        <f t="shared" si="93"/>
        <v>0.58122284449290451</v>
      </c>
      <c r="M31" s="146">
        <f t="shared" si="94"/>
        <v>6222.4808940873272</v>
      </c>
      <c r="N31" s="146">
        <f t="shared" si="95"/>
        <v>8521.9223373147652</v>
      </c>
      <c r="O31" s="146">
        <f t="shared" si="96"/>
        <v>8728.9412759505485</v>
      </c>
      <c r="P31" s="146">
        <f t="shared" si="97"/>
        <v>30760.056599097985</v>
      </c>
      <c r="Q31" s="56">
        <f t="shared" si="50"/>
        <v>45894</v>
      </c>
      <c r="R31" s="139">
        <v>54262</v>
      </c>
      <c r="S31" s="140">
        <v>0</v>
      </c>
      <c r="T31" s="140">
        <v>52923</v>
      </c>
      <c r="U31" s="140">
        <v>0</v>
      </c>
      <c r="V31" s="141">
        <v>13661</v>
      </c>
      <c r="W31" s="142">
        <v>0.78125</v>
      </c>
      <c r="X31" s="141">
        <v>4567</v>
      </c>
      <c r="Y31" s="142">
        <v>0.42708333333333331</v>
      </c>
      <c r="Z31" s="141">
        <v>0</v>
      </c>
      <c r="AA31" s="142">
        <v>0</v>
      </c>
      <c r="AB31" s="56">
        <f t="shared" si="51"/>
        <v>45894</v>
      </c>
      <c r="AC31" s="76">
        <f t="shared" si="98"/>
        <v>1</v>
      </c>
      <c r="AD31" s="162">
        <f t="shared" si="99"/>
        <v>0</v>
      </c>
      <c r="AE31" s="163">
        <v>7117</v>
      </c>
      <c r="AF31" s="118">
        <f t="shared" si="37"/>
        <v>7117</v>
      </c>
      <c r="AG31" s="147">
        <v>0</v>
      </c>
      <c r="AH31" s="148">
        <v>4168</v>
      </c>
      <c r="AI31" s="149">
        <v>0.33402777777777776</v>
      </c>
      <c r="AJ31" s="148">
        <v>0</v>
      </c>
      <c r="AK31" s="165">
        <v>0</v>
      </c>
      <c r="AL31" s="56">
        <f t="shared" si="38"/>
        <v>45894</v>
      </c>
      <c r="AM31" s="77">
        <f t="shared" si="100"/>
        <v>0.59905611983174312</v>
      </c>
      <c r="AN31" s="76">
        <f t="shared" si="101"/>
        <v>0.40094388016825688</v>
      </c>
      <c r="AO31" s="150">
        <v>9747</v>
      </c>
      <c r="AP31" s="117">
        <f t="shared" si="41"/>
        <v>5839</v>
      </c>
      <c r="AQ31" s="151">
        <v>3908</v>
      </c>
      <c r="AR31" s="152">
        <v>4012</v>
      </c>
      <c r="AS31" s="153">
        <v>0.74375000000000002</v>
      </c>
      <c r="AT31" s="152">
        <v>192</v>
      </c>
      <c r="AU31" s="154">
        <v>0.89583333333333337</v>
      </c>
      <c r="AV31" s="56">
        <f t="shared" si="52"/>
        <v>45894</v>
      </c>
      <c r="AW31" s="110">
        <f t="shared" si="102"/>
        <v>0.6862698880377136</v>
      </c>
      <c r="AX31" s="110">
        <f t="shared" si="103"/>
        <v>0.3137301119622864</v>
      </c>
      <c r="AY31" s="111">
        <f t="shared" si="44"/>
        <v>8485</v>
      </c>
      <c r="AZ31" s="112">
        <v>8485</v>
      </c>
      <c r="BA31" s="120">
        <f t="shared" si="104"/>
        <v>5823</v>
      </c>
      <c r="BB31" s="113">
        <f>1576+1086</f>
        <v>2662</v>
      </c>
      <c r="BC31" s="112">
        <v>4198</v>
      </c>
      <c r="BD31" s="114">
        <v>0.76041666666666663</v>
      </c>
      <c r="BE31" s="115">
        <v>0</v>
      </c>
      <c r="BF31" s="114">
        <v>0</v>
      </c>
      <c r="BG31" s="115">
        <v>134</v>
      </c>
      <c r="BH31" s="114">
        <v>0.89583333333333337</v>
      </c>
      <c r="BI31" s="56">
        <f t="shared" si="53"/>
        <v>45894</v>
      </c>
      <c r="BJ31" s="78">
        <f t="shared" si="105"/>
        <v>0.6116195781933943</v>
      </c>
      <c r="BK31" s="76">
        <f t="shared" si="106"/>
        <v>0.38838042180660565</v>
      </c>
      <c r="BL31" s="79">
        <f t="shared" si="107"/>
        <v>35182</v>
      </c>
      <c r="BM31" s="155">
        <v>21518</v>
      </c>
      <c r="BN31" s="155">
        <v>13664</v>
      </c>
      <c r="BO31" s="156">
        <v>4052</v>
      </c>
      <c r="BP31" s="157">
        <v>0.75138888888888888</v>
      </c>
      <c r="BQ31" s="158">
        <v>2725</v>
      </c>
      <c r="BR31" s="157">
        <v>0.75138888888888888</v>
      </c>
    </row>
    <row r="32" spans="1:70" ht="15.75" thickBot="1" x14ac:dyDescent="0.3">
      <c r="A32" s="14"/>
      <c r="B32" s="56">
        <f t="shared" si="49"/>
        <v>45895</v>
      </c>
      <c r="C32" s="164"/>
      <c r="D32" s="87">
        <f t="shared" si="85"/>
        <v>54178</v>
      </c>
      <c r="E32" s="159">
        <f t="shared" si="86"/>
        <v>0.88033888294141538</v>
      </c>
      <c r="F32" s="87">
        <f t="shared" si="87"/>
        <v>47695</v>
      </c>
      <c r="G32" s="159">
        <f t="shared" si="88"/>
        <v>0.11966111705858466</v>
      </c>
      <c r="H32" s="146">
        <f t="shared" si="89"/>
        <v>6483</v>
      </c>
      <c r="I32" s="160">
        <f t="shared" si="90"/>
        <v>0.11595212042839617</v>
      </c>
      <c r="J32" s="159">
        <f t="shared" si="91"/>
        <v>0.15550913491826651</v>
      </c>
      <c r="K32" s="159">
        <f t="shared" si="92"/>
        <v>0.16579106692967208</v>
      </c>
      <c r="L32" s="161">
        <f t="shared" si="93"/>
        <v>0.5878013196724029</v>
      </c>
      <c r="M32" s="146">
        <f t="shared" si="94"/>
        <v>6117.9817301634675</v>
      </c>
      <c r="N32" s="146">
        <f t="shared" si="95"/>
        <v>8205.1284856924958</v>
      </c>
      <c r="O32" s="146">
        <f t="shared" si="96"/>
        <v>8747.6340644102875</v>
      </c>
      <c r="P32" s="146">
        <f t="shared" si="97"/>
        <v>31014.161029874995</v>
      </c>
      <c r="Q32" s="56">
        <f t="shared" si="50"/>
        <v>45895</v>
      </c>
      <c r="R32" s="139">
        <v>54178</v>
      </c>
      <c r="S32" s="140">
        <v>0</v>
      </c>
      <c r="T32" s="140">
        <v>52763</v>
      </c>
      <c r="U32" s="140">
        <v>0</v>
      </c>
      <c r="V32" s="141">
        <v>13632</v>
      </c>
      <c r="W32" s="142">
        <v>0.82291666666666663</v>
      </c>
      <c r="X32" s="141">
        <v>4449</v>
      </c>
      <c r="Y32" s="142">
        <v>0.83333333333333337</v>
      </c>
      <c r="Z32" s="141">
        <v>0</v>
      </c>
      <c r="AA32" s="142">
        <v>0</v>
      </c>
      <c r="AB32" s="56">
        <f t="shared" si="51"/>
        <v>45895</v>
      </c>
      <c r="AC32" s="76">
        <f t="shared" si="98"/>
        <v>1</v>
      </c>
      <c r="AD32" s="162">
        <f t="shared" si="99"/>
        <v>0</v>
      </c>
      <c r="AE32" s="163">
        <v>6994</v>
      </c>
      <c r="AF32" s="118">
        <f t="shared" si="37"/>
        <v>6994</v>
      </c>
      <c r="AG32" s="147">
        <v>0</v>
      </c>
      <c r="AH32" s="148">
        <v>3727</v>
      </c>
      <c r="AI32" s="149">
        <v>0.34722222222222221</v>
      </c>
      <c r="AJ32" s="148">
        <v>0</v>
      </c>
      <c r="AK32" s="165">
        <v>0</v>
      </c>
      <c r="AL32" s="56">
        <f t="shared" si="38"/>
        <v>45895</v>
      </c>
      <c r="AM32" s="77">
        <f t="shared" si="100"/>
        <v>0.59466950959488274</v>
      </c>
      <c r="AN32" s="76">
        <f t="shared" si="101"/>
        <v>0.40533049040511726</v>
      </c>
      <c r="AO32" s="150">
        <v>9380</v>
      </c>
      <c r="AP32" s="117">
        <f t="shared" si="41"/>
        <v>5578</v>
      </c>
      <c r="AQ32" s="151">
        <v>3802</v>
      </c>
      <c r="AR32" s="152">
        <v>3866</v>
      </c>
      <c r="AS32" s="153">
        <v>0.37638888888888888</v>
      </c>
      <c r="AT32" s="152">
        <v>181</v>
      </c>
      <c r="AU32" s="154">
        <v>0.78125</v>
      </c>
      <c r="AV32" s="56">
        <f t="shared" si="52"/>
        <v>45895</v>
      </c>
      <c r="AW32" s="110">
        <f t="shared" si="102"/>
        <v>0.68417952644598889</v>
      </c>
      <c r="AX32" s="110">
        <f t="shared" si="103"/>
        <v>0.31582047355401105</v>
      </c>
      <c r="AY32" s="111">
        <f t="shared" si="44"/>
        <v>8489</v>
      </c>
      <c r="AZ32" s="112">
        <v>8489</v>
      </c>
      <c r="BA32" s="120">
        <f t="shared" si="104"/>
        <v>5808</v>
      </c>
      <c r="BB32" s="113">
        <f>1569+1112</f>
        <v>2681</v>
      </c>
      <c r="BC32" s="112">
        <v>4247</v>
      </c>
      <c r="BD32" s="114">
        <v>0.375</v>
      </c>
      <c r="BE32" s="115">
        <v>0</v>
      </c>
      <c r="BF32" s="114">
        <v>0</v>
      </c>
      <c r="BG32" s="115">
        <v>141</v>
      </c>
      <c r="BH32" s="114">
        <v>0.30208333333333331</v>
      </c>
      <c r="BI32" s="56">
        <f t="shared" si="53"/>
        <v>45895</v>
      </c>
      <c r="BJ32" s="78">
        <f t="shared" si="105"/>
        <v>0.61071781131011138</v>
      </c>
      <c r="BK32" s="76">
        <f t="shared" si="106"/>
        <v>0.38928218868988856</v>
      </c>
      <c r="BL32" s="79">
        <f t="shared" si="107"/>
        <v>35455</v>
      </c>
      <c r="BM32" s="155">
        <v>21653</v>
      </c>
      <c r="BN32" s="155">
        <v>13802</v>
      </c>
      <c r="BO32" s="156">
        <v>3902</v>
      </c>
      <c r="BP32" s="157">
        <v>0.62291666666666667</v>
      </c>
      <c r="BQ32" s="158">
        <v>2568</v>
      </c>
      <c r="BR32" s="157">
        <v>0.62291666666666667</v>
      </c>
    </row>
    <row r="33" spans="1:70" ht="15.75" thickBot="1" x14ac:dyDescent="0.3">
      <c r="A33" s="14"/>
      <c r="B33" s="56">
        <f t="shared" si="49"/>
        <v>45896</v>
      </c>
      <c r="C33" s="164"/>
      <c r="D33" s="87">
        <f t="shared" si="85"/>
        <v>53626</v>
      </c>
      <c r="E33" s="159">
        <f t="shared" si="86"/>
        <v>0.88770018274717488</v>
      </c>
      <c r="F33" s="87">
        <f t="shared" si="87"/>
        <v>47603.81</v>
      </c>
      <c r="G33" s="159">
        <f t="shared" si="88"/>
        <v>0.11229981725282513</v>
      </c>
      <c r="H33" s="146">
        <f t="shared" si="89"/>
        <v>6022.1900000000005</v>
      </c>
      <c r="I33" s="160">
        <f t="shared" si="90"/>
        <v>0.11838396229189335</v>
      </c>
      <c r="J33" s="159">
        <f t="shared" si="91"/>
        <v>0.16023424732921915</v>
      </c>
      <c r="K33" s="159">
        <f t="shared" si="92"/>
        <v>0.16523332685049469</v>
      </c>
      <c r="L33" s="161">
        <f t="shared" si="93"/>
        <v>0.58090060872378058</v>
      </c>
      <c r="M33" s="146">
        <f t="shared" si="94"/>
        <v>6194.0264830552978</v>
      </c>
      <c r="N33" s="146">
        <f t="shared" si="95"/>
        <v>8383.69617163574</v>
      </c>
      <c r="O33" s="146">
        <f t="shared" si="96"/>
        <v>8645.2555108081579</v>
      </c>
      <c r="P33" s="146">
        <f t="shared" si="97"/>
        <v>30393.591199341285</v>
      </c>
      <c r="Q33" s="56">
        <f t="shared" si="50"/>
        <v>45896</v>
      </c>
      <c r="R33" s="139">
        <v>53626</v>
      </c>
      <c r="S33" s="140">
        <v>0</v>
      </c>
      <c r="T33" s="140">
        <v>52321.5</v>
      </c>
      <c r="U33" s="140">
        <v>0</v>
      </c>
      <c r="V33" s="141">
        <v>14598.21</v>
      </c>
      <c r="W33" s="142">
        <v>0.78125</v>
      </c>
      <c r="X33" s="141">
        <v>4442.0600000000004</v>
      </c>
      <c r="Y33" s="142">
        <v>0.79166666666666663</v>
      </c>
      <c r="Z33" s="141">
        <v>0</v>
      </c>
      <c r="AA33" s="142">
        <v>0</v>
      </c>
      <c r="AB33" s="56">
        <f t="shared" si="51"/>
        <v>45896</v>
      </c>
      <c r="AC33" s="76">
        <f t="shared" si="98"/>
        <v>1</v>
      </c>
      <c r="AD33" s="162">
        <f t="shared" si="99"/>
        <v>0</v>
      </c>
      <c r="AE33" s="163">
        <v>7045</v>
      </c>
      <c r="AF33" s="118">
        <f t="shared" si="37"/>
        <v>7045</v>
      </c>
      <c r="AG33" s="147">
        <v>0</v>
      </c>
      <c r="AH33" s="148">
        <v>3747.67</v>
      </c>
      <c r="AI33" s="149">
        <v>0.76944444444444449</v>
      </c>
      <c r="AJ33" s="148">
        <v>0</v>
      </c>
      <c r="AK33" s="165">
        <v>0</v>
      </c>
      <c r="AL33" s="168">
        <f t="shared" si="38"/>
        <v>45896</v>
      </c>
      <c r="AM33" s="77">
        <f t="shared" si="100"/>
        <v>0.59819831157254466</v>
      </c>
      <c r="AN33" s="76">
        <f t="shared" si="101"/>
        <v>0.40180168842745528</v>
      </c>
      <c r="AO33" s="150">
        <v>9535.5</v>
      </c>
      <c r="AP33" s="117">
        <f t="shared" si="41"/>
        <v>5704.12</v>
      </c>
      <c r="AQ33" s="151">
        <v>3831.38</v>
      </c>
      <c r="AR33" s="152">
        <v>3411.34</v>
      </c>
      <c r="AS33" s="153">
        <v>0.3527777777777778</v>
      </c>
      <c r="AT33" s="152">
        <v>190.92</v>
      </c>
      <c r="AU33" s="154">
        <v>0.80763888888888891</v>
      </c>
      <c r="AV33" s="56">
        <f t="shared" si="52"/>
        <v>45896</v>
      </c>
      <c r="AW33" s="169">
        <f t="shared" si="102"/>
        <v>0.73794138755980865</v>
      </c>
      <c r="AX33" s="169">
        <f t="shared" si="103"/>
        <v>0.26205861244019141</v>
      </c>
      <c r="AY33" s="111">
        <f t="shared" si="44"/>
        <v>8360</v>
      </c>
      <c r="AZ33" s="112">
        <v>8360</v>
      </c>
      <c r="BA33" s="170">
        <f t="shared" si="104"/>
        <v>6169.1900000000005</v>
      </c>
      <c r="BB33" s="113">
        <v>2190.81</v>
      </c>
      <c r="BC33" s="112">
        <v>4144.3599999999997</v>
      </c>
      <c r="BD33" s="114">
        <v>0.73958333333333337</v>
      </c>
      <c r="BE33" s="115">
        <v>0</v>
      </c>
      <c r="BF33" s="114">
        <v>0</v>
      </c>
      <c r="BG33" s="115">
        <v>141.49</v>
      </c>
      <c r="BH33" s="114">
        <v>0.78125</v>
      </c>
      <c r="BI33" s="56">
        <f t="shared" si="53"/>
        <v>45896</v>
      </c>
      <c r="BJ33" s="171">
        <f t="shared" si="105"/>
        <v>0.61112115536206313</v>
      </c>
      <c r="BK33" s="76">
        <f t="shared" si="106"/>
        <v>0.38887884463793687</v>
      </c>
      <c r="BL33" s="79">
        <f t="shared" si="107"/>
        <v>34569.25</v>
      </c>
      <c r="BM33" s="155">
        <v>21126</v>
      </c>
      <c r="BN33" s="155">
        <v>13443.25</v>
      </c>
      <c r="BO33" s="156">
        <v>4330.97</v>
      </c>
      <c r="BP33" s="157">
        <v>0.75069444444444444</v>
      </c>
      <c r="BQ33" s="158">
        <v>2859.55</v>
      </c>
      <c r="BR33" s="157">
        <v>0.75069444444444444</v>
      </c>
    </row>
    <row r="34" spans="1:70" ht="15.75" thickBot="1" x14ac:dyDescent="0.3">
      <c r="A34" s="14"/>
      <c r="B34" s="56">
        <f t="shared" si="49"/>
        <v>45897</v>
      </c>
      <c r="C34" s="164"/>
      <c r="D34" s="87">
        <f t="shared" si="85"/>
        <v>53226</v>
      </c>
      <c r="E34" s="159">
        <f t="shared" si="86"/>
        <v>0.88527448991094582</v>
      </c>
      <c r="F34" s="87">
        <f t="shared" si="87"/>
        <v>47119.62</v>
      </c>
      <c r="G34" s="159">
        <f t="shared" si="88"/>
        <v>0.11472551008905423</v>
      </c>
      <c r="H34" s="146">
        <f t="shared" si="89"/>
        <v>6106.38</v>
      </c>
      <c r="I34" s="160">
        <f t="shared" si="90"/>
        <v>0.11629116777547041</v>
      </c>
      <c r="J34" s="159">
        <f t="shared" si="91"/>
        <v>0.15859347575082156</v>
      </c>
      <c r="K34" s="159">
        <f t="shared" si="92"/>
        <v>0.16400240384615383</v>
      </c>
      <c r="L34" s="161">
        <f t="shared" si="93"/>
        <v>0.58661145909550372</v>
      </c>
      <c r="M34" s="146">
        <f t="shared" si="94"/>
        <v>6035.337170795251</v>
      </c>
      <c r="N34" s="146">
        <f t="shared" si="95"/>
        <v>8230.7635012540122</v>
      </c>
      <c r="O34" s="146">
        <f t="shared" si="96"/>
        <v>8511.4787560096138</v>
      </c>
      <c r="P34" s="146">
        <f t="shared" si="97"/>
        <v>30444.254809867998</v>
      </c>
      <c r="Q34" s="56">
        <f t="shared" si="50"/>
        <v>45897</v>
      </c>
      <c r="R34" s="139">
        <v>53226</v>
      </c>
      <c r="S34" s="140">
        <v>0</v>
      </c>
      <c r="T34" s="140">
        <v>51898.5</v>
      </c>
      <c r="U34" s="140">
        <v>0</v>
      </c>
      <c r="V34" s="141">
        <v>13194.88</v>
      </c>
      <c r="W34" s="142">
        <v>0.78125</v>
      </c>
      <c r="X34" s="141">
        <v>4465.09</v>
      </c>
      <c r="Y34" s="142">
        <v>0.8125</v>
      </c>
      <c r="Z34" s="141">
        <v>0</v>
      </c>
      <c r="AA34" s="142">
        <v>0</v>
      </c>
      <c r="AB34" s="56">
        <f t="shared" si="51"/>
        <v>45897</v>
      </c>
      <c r="AC34" s="76">
        <f t="shared" si="98"/>
        <v>1</v>
      </c>
      <c r="AD34" s="162">
        <f t="shared" si="99"/>
        <v>0</v>
      </c>
      <c r="AE34" s="163">
        <v>6874</v>
      </c>
      <c r="AF34" s="118">
        <f t="shared" si="37"/>
        <v>6874</v>
      </c>
      <c r="AG34" s="147">
        <v>0</v>
      </c>
      <c r="AH34" s="148">
        <v>3741.99</v>
      </c>
      <c r="AI34" s="149">
        <v>0.73611111111111116</v>
      </c>
      <c r="AJ34" s="148">
        <v>0</v>
      </c>
      <c r="AK34" s="165">
        <v>0</v>
      </c>
      <c r="AL34" s="56">
        <f t="shared" si="38"/>
        <v>45897</v>
      </c>
      <c r="AM34" s="77">
        <f t="shared" si="100"/>
        <v>0.58829804256227003</v>
      </c>
      <c r="AN34" s="76">
        <f t="shared" si="101"/>
        <v>0.41170195743773003</v>
      </c>
      <c r="AO34" s="150">
        <v>9374.5</v>
      </c>
      <c r="AP34" s="117">
        <f t="shared" si="41"/>
        <v>5515</v>
      </c>
      <c r="AQ34" s="151">
        <v>3859.5</v>
      </c>
      <c r="AR34" s="152">
        <v>3492.06</v>
      </c>
      <c r="AS34" s="153">
        <v>0.68888888888888888</v>
      </c>
      <c r="AT34" s="152">
        <v>199.97</v>
      </c>
      <c r="AU34" s="154">
        <v>0.99930555555555556</v>
      </c>
      <c r="AV34" s="56">
        <f t="shared" si="52"/>
        <v>45897</v>
      </c>
      <c r="AW34" s="110">
        <f t="shared" si="102"/>
        <v>0.72555514840600954</v>
      </c>
      <c r="AX34" s="110">
        <f t="shared" si="103"/>
        <v>0.27444485159399051</v>
      </c>
      <c r="AY34" s="111">
        <f t="shared" si="44"/>
        <v>8187</v>
      </c>
      <c r="AZ34" s="112">
        <v>8187</v>
      </c>
      <c r="BA34" s="120">
        <f t="shared" si="104"/>
        <v>5940.12</v>
      </c>
      <c r="BB34" s="113">
        <v>2246.88</v>
      </c>
      <c r="BC34" s="112">
        <v>3849.35</v>
      </c>
      <c r="BD34" s="114">
        <v>0.73958333333333337</v>
      </c>
      <c r="BE34" s="115">
        <v>0</v>
      </c>
      <c r="BF34" s="114">
        <v>0</v>
      </c>
      <c r="BG34" s="115">
        <v>137.19</v>
      </c>
      <c r="BH34" s="114">
        <v>0.80208333333333337</v>
      </c>
      <c r="BI34" s="56">
        <f t="shared" si="53"/>
        <v>45897</v>
      </c>
      <c r="BJ34" s="78">
        <f t="shared" si="105"/>
        <v>0.6101558050166187</v>
      </c>
      <c r="BK34" s="76">
        <f t="shared" si="106"/>
        <v>0.3898441949833813</v>
      </c>
      <c r="BL34" s="79">
        <f t="shared" si="107"/>
        <v>34674.75</v>
      </c>
      <c r="BM34" s="155">
        <v>21157</v>
      </c>
      <c r="BN34" s="155">
        <v>13517.75</v>
      </c>
      <c r="BO34" s="156">
        <v>4643.84</v>
      </c>
      <c r="BP34" s="157">
        <v>0.73611111111111116</v>
      </c>
      <c r="BQ34" s="158">
        <v>3062.55</v>
      </c>
      <c r="BR34" s="157">
        <v>0.73611111111111116</v>
      </c>
    </row>
    <row r="35" spans="1:70" ht="15.75" thickBot="1" x14ac:dyDescent="0.3">
      <c r="A35" s="14"/>
      <c r="B35" s="56">
        <f t="shared" si="49"/>
        <v>45898</v>
      </c>
      <c r="C35" s="164"/>
      <c r="D35" s="87">
        <f t="shared" si="85"/>
        <v>53078</v>
      </c>
      <c r="E35" s="159">
        <f t="shared" si="86"/>
        <v>0.86964467387618227</v>
      </c>
      <c r="F35" s="87">
        <f t="shared" si="87"/>
        <v>46159</v>
      </c>
      <c r="G35" s="159">
        <f t="shared" si="88"/>
        <v>0.13035532612381778</v>
      </c>
      <c r="H35" s="146">
        <f t="shared" si="89"/>
        <v>6919</v>
      </c>
      <c r="I35" s="160">
        <f t="shared" si="90"/>
        <v>0.11664684650852267</v>
      </c>
      <c r="J35" s="159">
        <f t="shared" si="91"/>
        <v>0.15059147524566566</v>
      </c>
      <c r="K35" s="159">
        <f t="shared" si="92"/>
        <v>0.1921494143716366</v>
      </c>
      <c r="L35" s="161">
        <f t="shared" si="93"/>
        <v>0.56812918570445015</v>
      </c>
      <c r="M35" s="146">
        <f t="shared" si="94"/>
        <v>6026.7926185558408</v>
      </c>
      <c r="N35" s="146">
        <f t="shared" si="95"/>
        <v>7780.6097515178071</v>
      </c>
      <c r="O35" s="146">
        <f t="shared" si="96"/>
        <v>9927.783792339349</v>
      </c>
      <c r="P35" s="146">
        <f t="shared" si="97"/>
        <v>29353.530637791824</v>
      </c>
      <c r="Q35" s="56">
        <f t="shared" si="50"/>
        <v>45898</v>
      </c>
      <c r="R35" s="139">
        <v>53078</v>
      </c>
      <c r="S35" s="140">
        <v>0</v>
      </c>
      <c r="T35" s="140">
        <v>51667</v>
      </c>
      <c r="U35" s="140">
        <v>0</v>
      </c>
      <c r="V35" s="141">
        <v>10442</v>
      </c>
      <c r="W35" s="142">
        <v>0.4375</v>
      </c>
      <c r="X35" s="141">
        <v>4051</v>
      </c>
      <c r="Y35" s="142">
        <v>0.42708333333333331</v>
      </c>
      <c r="Z35" s="141">
        <v>0</v>
      </c>
      <c r="AA35" s="142">
        <v>0</v>
      </c>
      <c r="AB35" s="56">
        <f t="shared" si="51"/>
        <v>45898</v>
      </c>
      <c r="AC35" s="76">
        <f t="shared" si="98"/>
        <v>1</v>
      </c>
      <c r="AD35" s="162">
        <f t="shared" si="99"/>
        <v>0</v>
      </c>
      <c r="AE35" s="163">
        <v>5591</v>
      </c>
      <c r="AF35" s="118">
        <f t="shared" si="37"/>
        <v>5591</v>
      </c>
      <c r="AG35" s="147">
        <v>0</v>
      </c>
      <c r="AH35" s="148">
        <v>3134</v>
      </c>
      <c r="AI35" s="149">
        <v>0.36666666666666664</v>
      </c>
      <c r="AJ35" s="148">
        <v>0</v>
      </c>
      <c r="AK35" s="165">
        <v>0</v>
      </c>
      <c r="AL35" s="56">
        <f t="shared" si="38"/>
        <v>45898</v>
      </c>
      <c r="AM35" s="77">
        <f t="shared" si="100"/>
        <v>0.41881407592130782</v>
      </c>
      <c r="AN35" s="76">
        <f t="shared" si="101"/>
        <v>0.58118592407869218</v>
      </c>
      <c r="AO35" s="150">
        <v>7218</v>
      </c>
      <c r="AP35" s="117">
        <f t="shared" si="41"/>
        <v>3023</v>
      </c>
      <c r="AQ35" s="151">
        <v>4195</v>
      </c>
      <c r="AR35" s="152">
        <v>2947</v>
      </c>
      <c r="AS35" s="153">
        <v>0.34652777777777777</v>
      </c>
      <c r="AT35" s="152">
        <v>208</v>
      </c>
      <c r="AU35" s="154">
        <v>0.80069444444444449</v>
      </c>
      <c r="AV35" s="56">
        <f t="shared" si="52"/>
        <v>45898</v>
      </c>
      <c r="AW35" s="110">
        <f t="shared" si="102"/>
        <v>0.65479660372576354</v>
      </c>
      <c r="AX35" s="110">
        <f t="shared" si="103"/>
        <v>0.34520339627423646</v>
      </c>
      <c r="AY35" s="111">
        <f t="shared" si="44"/>
        <v>7891</v>
      </c>
      <c r="AZ35" s="112">
        <v>7891</v>
      </c>
      <c r="BA35" s="120">
        <f t="shared" si="104"/>
        <v>5167</v>
      </c>
      <c r="BB35" s="113">
        <v>2724</v>
      </c>
      <c r="BC35" s="112">
        <v>3274</v>
      </c>
      <c r="BD35" s="114">
        <v>0.39583333333333331</v>
      </c>
      <c r="BE35" s="115">
        <v>0</v>
      </c>
      <c r="BF35" s="114">
        <v>0</v>
      </c>
      <c r="BG35" s="115">
        <v>143</v>
      </c>
      <c r="BH35" s="114">
        <v>0.30208333333333331</v>
      </c>
      <c r="BI35" s="56">
        <f t="shared" si="53"/>
        <v>45898</v>
      </c>
      <c r="BJ35" s="78">
        <f t="shared" si="105"/>
        <v>0.61220667621460834</v>
      </c>
      <c r="BK35" s="76">
        <f t="shared" si="106"/>
        <v>0.38779332378539166</v>
      </c>
      <c r="BL35" s="79">
        <f t="shared" si="107"/>
        <v>27231</v>
      </c>
      <c r="BM35" s="155">
        <v>16671</v>
      </c>
      <c r="BN35" s="155">
        <v>10560</v>
      </c>
      <c r="BO35" s="156">
        <v>4051</v>
      </c>
      <c r="BP35" s="157">
        <v>0.69722222222222219</v>
      </c>
      <c r="BQ35" s="158">
        <v>2690</v>
      </c>
      <c r="BR35" s="157">
        <v>0.69722222222222219</v>
      </c>
    </row>
    <row r="36" spans="1:70" ht="15.75" thickBot="1" x14ac:dyDescent="0.3">
      <c r="A36" s="14"/>
      <c r="B36" s="56">
        <f t="shared" si="49"/>
        <v>45899</v>
      </c>
      <c r="C36" s="164"/>
      <c r="D36" s="87">
        <f t="shared" si="85"/>
        <v>30354</v>
      </c>
      <c r="E36" s="159">
        <f t="shared" si="86"/>
        <v>0.79073598207814455</v>
      </c>
      <c r="F36" s="87">
        <f t="shared" si="87"/>
        <v>24002</v>
      </c>
      <c r="G36" s="159">
        <f t="shared" si="88"/>
        <v>0.20926401792185545</v>
      </c>
      <c r="H36" s="146">
        <f t="shared" si="89"/>
        <v>6352</v>
      </c>
      <c r="I36" s="160">
        <f t="shared" si="90"/>
        <v>0.10220197418375095</v>
      </c>
      <c r="J36" s="159">
        <f t="shared" si="91"/>
        <v>0.17843583902809415</v>
      </c>
      <c r="K36" s="159">
        <f t="shared" si="92"/>
        <v>0.15322548432194927</v>
      </c>
      <c r="L36" s="161">
        <f t="shared" si="93"/>
        <v>0.60285497342444949</v>
      </c>
      <c r="M36" s="146">
        <f>(S36+T36)*I36</f>
        <v>2941.0662110858011</v>
      </c>
      <c r="N36" s="146">
        <f>(S36+T36)*J36</f>
        <v>5134.8481397114656</v>
      </c>
      <c r="O36" s="146">
        <f>(S36+T36)*K36</f>
        <v>4409.3697623327344</v>
      </c>
      <c r="P36" s="146">
        <f>(S36+T36)*L36</f>
        <v>17348.357570235385</v>
      </c>
      <c r="Q36" s="56">
        <f t="shared" si="50"/>
        <v>45899</v>
      </c>
      <c r="R36" s="139">
        <v>30354</v>
      </c>
      <c r="S36" s="140">
        <v>0</v>
      </c>
      <c r="T36" s="140">
        <v>28777</v>
      </c>
      <c r="U36" s="140">
        <v>390</v>
      </c>
      <c r="V36" s="141">
        <v>6970</v>
      </c>
      <c r="W36" s="142">
        <v>0.63541666666666663</v>
      </c>
      <c r="X36" s="141">
        <v>1951</v>
      </c>
      <c r="Y36" s="142">
        <v>0.65625</v>
      </c>
      <c r="Z36" s="141">
        <v>0</v>
      </c>
      <c r="AA36" s="142">
        <v>0</v>
      </c>
      <c r="AB36" s="56">
        <f t="shared" si="51"/>
        <v>45899</v>
      </c>
      <c r="AC36" s="76">
        <f t="shared" si="98"/>
        <v>1</v>
      </c>
      <c r="AD36" s="162">
        <f t="shared" si="99"/>
        <v>0</v>
      </c>
      <c r="AE36" s="163">
        <v>3365</v>
      </c>
      <c r="AF36" s="118">
        <f t="shared" si="37"/>
        <v>3365</v>
      </c>
      <c r="AG36" s="147">
        <v>0</v>
      </c>
      <c r="AH36" s="148">
        <v>1787</v>
      </c>
      <c r="AI36" s="149">
        <v>0.9458333333333333</v>
      </c>
      <c r="AJ36" s="148">
        <v>0</v>
      </c>
      <c r="AK36" s="165">
        <v>0</v>
      </c>
      <c r="AL36" s="56">
        <f t="shared" si="38"/>
        <v>45899</v>
      </c>
      <c r="AM36" s="77">
        <f t="shared" si="100"/>
        <v>0.31353191489361704</v>
      </c>
      <c r="AN36" s="76">
        <f t="shared" si="101"/>
        <v>0.68646808510638302</v>
      </c>
      <c r="AO36" s="150">
        <v>5875</v>
      </c>
      <c r="AP36" s="117">
        <f t="shared" si="41"/>
        <v>1842</v>
      </c>
      <c r="AQ36" s="151">
        <v>4033</v>
      </c>
      <c r="AR36" s="152">
        <v>3124</v>
      </c>
      <c r="AS36" s="153">
        <v>0.95486111111111116</v>
      </c>
      <c r="AT36" s="152">
        <v>186</v>
      </c>
      <c r="AU36" s="154">
        <v>0.30208333333333331</v>
      </c>
      <c r="AV36" s="56">
        <f t="shared" si="52"/>
        <v>45899</v>
      </c>
      <c r="AW36" s="110">
        <f t="shared" si="102"/>
        <v>0.49713242961418141</v>
      </c>
      <c r="AX36" s="110">
        <f t="shared" si="103"/>
        <v>0.50286757038581853</v>
      </c>
      <c r="AY36" s="111">
        <f t="shared" si="44"/>
        <v>3836</v>
      </c>
      <c r="AZ36" s="112">
        <v>3836</v>
      </c>
      <c r="BA36" s="120">
        <f t="shared" si="104"/>
        <v>1907</v>
      </c>
      <c r="BB36" s="113">
        <v>1929</v>
      </c>
      <c r="BC36" s="112">
        <v>1551</v>
      </c>
      <c r="BD36" s="114">
        <v>0.54166666666666663</v>
      </c>
      <c r="BE36" s="115">
        <v>0</v>
      </c>
      <c r="BF36" s="114">
        <v>0</v>
      </c>
      <c r="BG36" s="115">
        <v>156</v>
      </c>
      <c r="BH36" s="114">
        <v>6.25E-2</v>
      </c>
      <c r="BI36" s="56">
        <f t="shared" si="53"/>
        <v>45899</v>
      </c>
      <c r="BJ36" s="78">
        <f t="shared" si="105"/>
        <v>0.61242379968764171</v>
      </c>
      <c r="BK36" s="76">
        <f t="shared" si="106"/>
        <v>0.38757620031235829</v>
      </c>
      <c r="BL36" s="79">
        <f t="shared" si="107"/>
        <v>19849</v>
      </c>
      <c r="BM36" s="155">
        <v>12156</v>
      </c>
      <c r="BN36" s="155">
        <v>7693</v>
      </c>
      <c r="BO36" s="156">
        <v>2882</v>
      </c>
      <c r="BP36" s="157">
        <v>0.37638888888888888</v>
      </c>
      <c r="BQ36" s="158">
        <v>1878</v>
      </c>
      <c r="BR36" s="157">
        <v>0.37638888888888888</v>
      </c>
    </row>
    <row r="37" spans="1:70" ht="15.75" thickBot="1" x14ac:dyDescent="0.3">
      <c r="A37" s="14"/>
      <c r="B37" s="56">
        <f>B36+1</f>
        <v>45900</v>
      </c>
      <c r="C37" s="164"/>
      <c r="D37" s="87">
        <f t="shared" si="85"/>
        <v>27618</v>
      </c>
      <c r="E37" s="159">
        <f t="shared" si="86"/>
        <v>0.78046925917879639</v>
      </c>
      <c r="F37" s="87">
        <f t="shared" si="87"/>
        <v>21555</v>
      </c>
      <c r="G37" s="159">
        <f t="shared" si="88"/>
        <v>0.21953074082120355</v>
      </c>
      <c r="H37" s="146">
        <f t="shared" si="89"/>
        <v>6063</v>
      </c>
      <c r="I37" s="160">
        <f t="shared" si="90"/>
        <v>6.1640619759876586E-2</v>
      </c>
      <c r="J37" s="159">
        <f t="shared" si="91"/>
        <v>0.1657388154805822</v>
      </c>
      <c r="K37" s="159">
        <f t="shared" si="92"/>
        <v>0.15531580130366374</v>
      </c>
      <c r="L37" s="161">
        <f t="shared" si="93"/>
        <v>0.65675095579851095</v>
      </c>
      <c r="M37" s="146">
        <f t="shared" si="94"/>
        <v>1570.6029914816554</v>
      </c>
      <c r="N37" s="146">
        <f t="shared" si="95"/>
        <v>4223.0250184452343</v>
      </c>
      <c r="O37" s="146">
        <f t="shared" si="96"/>
        <v>3957.446617217352</v>
      </c>
      <c r="P37" s="146">
        <f t="shared" si="97"/>
        <v>16734.014353746057</v>
      </c>
      <c r="Q37" s="56">
        <f t="shared" si="50"/>
        <v>45900</v>
      </c>
      <c r="R37" s="139">
        <v>27618</v>
      </c>
      <c r="S37" s="140">
        <v>0</v>
      </c>
      <c r="T37" s="140">
        <v>25480</v>
      </c>
      <c r="U37" s="140">
        <v>471</v>
      </c>
      <c r="V37" s="141">
        <v>5589</v>
      </c>
      <c r="W37" s="142">
        <v>0.52083333333333337</v>
      </c>
      <c r="X37" s="141">
        <v>1883</v>
      </c>
      <c r="Y37" s="142">
        <v>0.59375</v>
      </c>
      <c r="Z37" s="141">
        <v>163</v>
      </c>
      <c r="AA37" s="142">
        <v>2.0833333333333332E-2</v>
      </c>
      <c r="AB37" s="56">
        <f t="shared" si="51"/>
        <v>45900</v>
      </c>
      <c r="AC37" s="76">
        <f t="shared" si="98"/>
        <v>1</v>
      </c>
      <c r="AD37" s="162">
        <f t="shared" si="99"/>
        <v>0</v>
      </c>
      <c r="AE37" s="163">
        <v>1838</v>
      </c>
      <c r="AF37" s="118">
        <f t="shared" si="37"/>
        <v>1838</v>
      </c>
      <c r="AG37" s="147">
        <v>0</v>
      </c>
      <c r="AH37" s="148">
        <v>1877</v>
      </c>
      <c r="AI37" s="149">
        <v>0.94027777777777777</v>
      </c>
      <c r="AJ37" s="148">
        <v>0</v>
      </c>
      <c r="AK37" s="165">
        <v>0</v>
      </c>
      <c r="AL37" s="56">
        <f t="shared" si="38"/>
        <v>45900</v>
      </c>
      <c r="AM37" s="77">
        <f t="shared" si="100"/>
        <v>0.29562929987859166</v>
      </c>
      <c r="AN37" s="76">
        <f t="shared" si="101"/>
        <v>0.70437070012140834</v>
      </c>
      <c r="AO37" s="150">
        <v>4942</v>
      </c>
      <c r="AP37" s="117">
        <f t="shared" si="41"/>
        <v>1461</v>
      </c>
      <c r="AQ37" s="151">
        <v>3481</v>
      </c>
      <c r="AR37" s="152">
        <v>1556</v>
      </c>
      <c r="AS37" s="153">
        <v>0.39444444444444443</v>
      </c>
      <c r="AT37" s="152">
        <v>174</v>
      </c>
      <c r="AU37" s="154">
        <v>0.88541666666666663</v>
      </c>
      <c r="AV37" s="56">
        <f t="shared" si="52"/>
        <v>45900</v>
      </c>
      <c r="AW37" s="110">
        <f t="shared" si="102"/>
        <v>0.38900144717800289</v>
      </c>
      <c r="AX37" s="110">
        <f t="shared" si="103"/>
        <v>0.61099855282199711</v>
      </c>
      <c r="AY37" s="111">
        <f t="shared" si="44"/>
        <v>3455</v>
      </c>
      <c r="AZ37" s="112">
        <v>3455</v>
      </c>
      <c r="BA37" s="120">
        <f t="shared" si="104"/>
        <v>1344</v>
      </c>
      <c r="BB37" s="113">
        <f>1062+1049</f>
        <v>2111</v>
      </c>
      <c r="BC37" s="112">
        <v>1417</v>
      </c>
      <c r="BD37" s="114">
        <v>0.95833333333333337</v>
      </c>
      <c r="BE37" s="115">
        <v>0</v>
      </c>
      <c r="BF37" s="114">
        <v>0</v>
      </c>
      <c r="BG37" s="115">
        <v>141</v>
      </c>
      <c r="BH37" s="114">
        <v>0.14583333333333334</v>
      </c>
      <c r="BI37" s="56">
        <f t="shared" si="53"/>
        <v>45900</v>
      </c>
      <c r="BJ37" s="78">
        <f t="shared" si="105"/>
        <v>0.61461471684624425</v>
      </c>
      <c r="BK37" s="76">
        <f t="shared" si="106"/>
        <v>0.38538528315375581</v>
      </c>
      <c r="BL37" s="79">
        <f t="shared" si="107"/>
        <v>19583</v>
      </c>
      <c r="BM37" s="155">
        <v>12036</v>
      </c>
      <c r="BN37" s="155">
        <v>7547</v>
      </c>
      <c r="BO37" s="156">
        <v>2527</v>
      </c>
      <c r="BP37" s="157">
        <v>0.4777777777777778</v>
      </c>
      <c r="BQ37" s="158">
        <v>1648</v>
      </c>
      <c r="BR37" s="157">
        <v>0.4777777777777778</v>
      </c>
    </row>
    <row r="38" spans="1:70" ht="15.75" thickBot="1" x14ac:dyDescent="0.3">
      <c r="A38" s="14"/>
      <c r="B38" s="56">
        <f t="shared" ref="B38" si="108">B37+1</f>
        <v>45901</v>
      </c>
      <c r="C38" s="164"/>
      <c r="D38" s="87">
        <f t="shared" ref="D38" si="109">R38</f>
        <v>0</v>
      </c>
      <c r="E38" s="159" t="e">
        <f t="shared" ref="E38" si="110">F38/D38</f>
        <v>#DIV/0!</v>
      </c>
      <c r="F38" s="87">
        <f t="shared" ref="F38" si="111">D38-H38</f>
        <v>0</v>
      </c>
      <c r="G38" s="159" t="e">
        <f t="shared" ref="G38" si="112">H38/D38</f>
        <v>#DIV/0!</v>
      </c>
      <c r="H38" s="146">
        <f t="shared" ref="H38" si="113">U38+AG38+AQ38+BB38</f>
        <v>0</v>
      </c>
      <c r="I38" s="160" t="e">
        <f t="shared" ref="I38" si="114">AE38/(AE38+AO38+BL38+AY38)</f>
        <v>#DIV/0!</v>
      </c>
      <c r="J38" s="159" t="e">
        <f t="shared" ref="J38" si="115">AO38/(AE38+AO38+BL38+AY38)</f>
        <v>#DIV/0!</v>
      </c>
      <c r="K38" s="159" t="e">
        <f t="shared" ref="K38" si="116">AY38/(AF38+AP38+BM38+AZ38+AY38)</f>
        <v>#DIV/0!</v>
      </c>
      <c r="L38" s="161" t="e">
        <f t="shared" ref="L38" si="117">BL38/(AE38+AO38+BL38+AY38)</f>
        <v>#DIV/0!</v>
      </c>
      <c r="M38" s="146" t="e">
        <f t="shared" ref="M38" si="118">(S38+T38)*I38</f>
        <v>#DIV/0!</v>
      </c>
      <c r="N38" s="146" t="e">
        <f t="shared" ref="N38" si="119">(S38+T38)*J38</f>
        <v>#DIV/0!</v>
      </c>
      <c r="O38" s="146" t="e">
        <f t="shared" ref="O38" si="120">(S38+T38)*K38</f>
        <v>#DIV/0!</v>
      </c>
      <c r="P38" s="146" t="e">
        <f t="shared" ref="P38" si="121">(S38+T38)*L38</f>
        <v>#DIV/0!</v>
      </c>
      <c r="Q38" s="56">
        <f t="shared" ref="Q38" si="122">Q37+1</f>
        <v>45901</v>
      </c>
      <c r="R38" s="139"/>
      <c r="S38" s="140"/>
      <c r="T38" s="140"/>
      <c r="U38" s="140"/>
      <c r="V38" s="141"/>
      <c r="W38" s="142"/>
      <c r="X38" s="141"/>
      <c r="Y38" s="142"/>
      <c r="Z38" s="141"/>
      <c r="AA38" s="142"/>
      <c r="AB38" s="56">
        <f t="shared" si="51"/>
        <v>45901</v>
      </c>
      <c r="AC38" s="76" t="e">
        <f t="shared" ref="AC38" si="123">+AF38/AE38</f>
        <v>#DIV/0!</v>
      </c>
      <c r="AD38" s="162" t="e">
        <f t="shared" ref="AD38" si="124">+AG38/AE38</f>
        <v>#DIV/0!</v>
      </c>
      <c r="AE38" s="163"/>
      <c r="AF38" s="118">
        <f t="shared" si="37"/>
        <v>0</v>
      </c>
      <c r="AG38" s="147"/>
      <c r="AH38" s="148"/>
      <c r="AI38" s="149"/>
      <c r="AJ38" s="148"/>
      <c r="AK38" s="165"/>
      <c r="AL38" s="56">
        <f t="shared" si="38"/>
        <v>45901</v>
      </c>
      <c r="AM38" s="77" t="e">
        <f t="shared" ref="AM38" si="125">+AP38/AO38</f>
        <v>#DIV/0!</v>
      </c>
      <c r="AN38" s="76" t="e">
        <f t="shared" ref="AN38" si="126">+AQ38/AO38</f>
        <v>#DIV/0!</v>
      </c>
      <c r="AO38" s="150"/>
      <c r="AP38" s="117">
        <f t="shared" si="41"/>
        <v>0</v>
      </c>
      <c r="AQ38" s="151"/>
      <c r="AR38" s="152"/>
      <c r="AS38" s="153"/>
      <c r="AT38" s="152"/>
      <c r="AU38" s="154"/>
      <c r="AV38" s="56">
        <f t="shared" si="52"/>
        <v>45901</v>
      </c>
      <c r="AW38" s="110" t="e">
        <f t="shared" ref="AW38" si="127">BA38/AZ38</f>
        <v>#DIV/0!</v>
      </c>
      <c r="AX38" s="110" t="e">
        <f t="shared" ref="AX38" si="128">BB38/AZ38</f>
        <v>#DIV/0!</v>
      </c>
      <c r="AY38" s="111">
        <f t="shared" ref="AY38" si="129">BA38+BB38</f>
        <v>0</v>
      </c>
      <c r="AZ38" s="112"/>
      <c r="BA38" s="120">
        <f t="shared" ref="BA38" si="130">AZ38-BB38</f>
        <v>0</v>
      </c>
      <c r="BB38" s="113"/>
      <c r="BC38" s="112"/>
      <c r="BD38" s="114"/>
      <c r="BE38" s="115"/>
      <c r="BF38" s="114"/>
      <c r="BG38" s="115"/>
      <c r="BH38" s="114"/>
      <c r="BI38" s="56">
        <f t="shared" si="53"/>
        <v>45901</v>
      </c>
      <c r="BJ38" s="78" t="e">
        <f t="shared" ref="BJ38" si="131">+BM38/BL38</f>
        <v>#DIV/0!</v>
      </c>
      <c r="BK38" s="76" t="e">
        <f t="shared" ref="BK38" si="132">+BN38/BL38</f>
        <v>#DIV/0!</v>
      </c>
      <c r="BL38" s="79">
        <f t="shared" ref="BL38" si="133">BM38+BN38</f>
        <v>0</v>
      </c>
      <c r="BM38" s="155"/>
      <c r="BN38" s="155"/>
      <c r="BO38" s="156"/>
      <c r="BP38" s="157"/>
      <c r="BQ38" s="158"/>
      <c r="BR38" s="157"/>
    </row>
    <row r="40" spans="1:70" x14ac:dyDescent="0.25">
      <c r="R40" s="176">
        <f>R37-S41</f>
        <v>26041</v>
      </c>
    </row>
    <row r="41" spans="1:70" x14ac:dyDescent="0.25">
      <c r="S41" s="177">
        <f>R36-T36</f>
        <v>1577</v>
      </c>
      <c r="T41" s="177"/>
      <c r="U41" s="176"/>
    </row>
    <row r="43" spans="1:70" x14ac:dyDescent="0.25">
      <c r="S43" s="177"/>
      <c r="T43" s="176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8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tabSelected="1" topLeftCell="A28" zoomScale="136" zoomScaleNormal="136" workbookViewId="0">
      <selection activeCell="G47" sqref="G47:H47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20" t="s">
        <v>0</v>
      </c>
      <c r="D2" s="223" t="s">
        <v>38</v>
      </c>
      <c r="E2" s="224"/>
      <c r="F2" s="224"/>
      <c r="G2" s="224"/>
      <c r="H2" s="225"/>
      <c r="J2" s="223" t="s">
        <v>39</v>
      </c>
      <c r="K2" s="224"/>
      <c r="L2" s="225"/>
      <c r="N2" s="223" t="s">
        <v>40</v>
      </c>
      <c r="O2" s="224"/>
      <c r="P2" s="224"/>
      <c r="Q2" s="224"/>
      <c r="R2" s="224"/>
      <c r="S2" s="224"/>
      <c r="T2" s="225"/>
      <c r="V2" s="229" t="s">
        <v>41</v>
      </c>
      <c r="W2" s="230"/>
      <c r="X2" s="231"/>
    </row>
    <row r="3" spans="2:27" ht="15.75" thickBot="1" x14ac:dyDescent="0.3">
      <c r="B3" s="221"/>
      <c r="D3" s="226"/>
      <c r="E3" s="227"/>
      <c r="F3" s="227"/>
      <c r="G3" s="227"/>
      <c r="H3" s="228"/>
      <c r="J3" s="226"/>
      <c r="K3" s="227"/>
      <c r="L3" s="228"/>
      <c r="N3" s="226"/>
      <c r="O3" s="227"/>
      <c r="P3" s="227"/>
      <c r="Q3" s="227"/>
      <c r="R3" s="227"/>
      <c r="S3" s="227"/>
      <c r="T3" s="228"/>
      <c r="V3" s="232"/>
      <c r="W3" s="233"/>
      <c r="X3" s="234"/>
    </row>
    <row r="4" spans="2:27" ht="23.25" customHeight="1" x14ac:dyDescent="0.25">
      <c r="B4" s="221"/>
      <c r="D4" s="235" t="s">
        <v>42</v>
      </c>
      <c r="E4" s="236"/>
      <c r="F4" s="235" t="s">
        <v>43</v>
      </c>
      <c r="G4" s="237"/>
      <c r="H4" s="238"/>
      <c r="J4" s="235" t="s">
        <v>42</v>
      </c>
      <c r="K4" s="236"/>
      <c r="L4" s="16" t="s">
        <v>43</v>
      </c>
      <c r="N4" s="218" t="s">
        <v>42</v>
      </c>
      <c r="O4" s="239"/>
      <c r="P4" s="240"/>
      <c r="Q4" s="241"/>
      <c r="R4" s="235" t="s">
        <v>43</v>
      </c>
      <c r="S4" s="242"/>
      <c r="T4" s="238"/>
      <c r="V4" s="218" t="s">
        <v>42</v>
      </c>
      <c r="W4" s="219"/>
      <c r="X4" s="16" t="s">
        <v>43</v>
      </c>
    </row>
    <row r="5" spans="2:27" ht="23.25" thickBot="1" x14ac:dyDescent="0.3">
      <c r="B5" s="222"/>
      <c r="D5" s="17" t="s">
        <v>44</v>
      </c>
      <c r="E5" s="18" t="s">
        <v>45</v>
      </c>
      <c r="F5" s="17" t="s">
        <v>46</v>
      </c>
      <c r="G5" s="19" t="s">
        <v>47</v>
      </c>
      <c r="H5" s="20" t="s">
        <v>48</v>
      </c>
      <c r="J5" s="17" t="s">
        <v>49</v>
      </c>
      <c r="K5" s="18" t="s">
        <v>45</v>
      </c>
      <c r="L5" s="21" t="s">
        <v>39</v>
      </c>
      <c r="N5" s="17" t="s">
        <v>50</v>
      </c>
      <c r="O5" s="18" t="s">
        <v>45</v>
      </c>
      <c r="P5" s="17" t="s">
        <v>51</v>
      </c>
      <c r="Q5" s="18" t="s">
        <v>45</v>
      </c>
      <c r="R5" s="22" t="s">
        <v>52</v>
      </c>
      <c r="S5" s="23" t="s">
        <v>50</v>
      </c>
      <c r="T5" s="24" t="s">
        <v>51</v>
      </c>
      <c r="V5" s="17" t="s">
        <v>53</v>
      </c>
      <c r="W5" s="18" t="s">
        <v>45</v>
      </c>
      <c r="X5" s="21" t="s">
        <v>41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54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55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90">
        <v>45869</v>
      </c>
      <c r="C14" s="13"/>
      <c r="D14" s="172">
        <v>130</v>
      </c>
      <c r="E14" s="89">
        <v>0.5541666666666667</v>
      </c>
      <c r="F14" s="88">
        <v>1490</v>
      </c>
      <c r="G14" s="93">
        <f t="shared" ref="G14:G45" si="0">F14-H14</f>
        <v>979</v>
      </c>
      <c r="H14" s="88">
        <v>511</v>
      </c>
      <c r="I14" s="90">
        <f>B14</f>
        <v>45869</v>
      </c>
      <c r="J14" s="91">
        <v>35</v>
      </c>
      <c r="K14" s="89">
        <v>0.7729166666666667</v>
      </c>
      <c r="L14" s="88">
        <v>624</v>
      </c>
      <c r="M14" s="90">
        <f>B14</f>
        <v>45869</v>
      </c>
      <c r="N14" s="91">
        <v>30</v>
      </c>
      <c r="O14" s="89">
        <v>0.49930555555555556</v>
      </c>
      <c r="P14" s="91">
        <v>15</v>
      </c>
      <c r="Q14" s="89">
        <v>0.39652777777777776</v>
      </c>
      <c r="R14" s="92">
        <f t="shared" ref="R14" si="1">S14+T14</f>
        <v>530</v>
      </c>
      <c r="S14" s="88">
        <v>310</v>
      </c>
      <c r="T14" s="88">
        <v>220</v>
      </c>
      <c r="U14" s="90">
        <f>B14</f>
        <v>45869</v>
      </c>
      <c r="V14" s="91">
        <v>31</v>
      </c>
      <c r="W14" s="89">
        <v>0.2986111111111111</v>
      </c>
      <c r="X14" s="88">
        <v>526</v>
      </c>
    </row>
    <row r="15" spans="2:27" s="52" customFormat="1" ht="15.75" thickBot="1" x14ac:dyDescent="0.3">
      <c r="B15" s="55">
        <f t="shared" ref="B15:B16" si="2">B14+1</f>
        <v>45870</v>
      </c>
      <c r="C15" s="13"/>
      <c r="D15" s="172">
        <v>128</v>
      </c>
      <c r="E15" s="173">
        <v>0.47569444444444442</v>
      </c>
      <c r="F15" s="174">
        <v>1399</v>
      </c>
      <c r="G15" s="93">
        <f t="shared" si="0"/>
        <v>875</v>
      </c>
      <c r="H15" s="174">
        <v>524</v>
      </c>
      <c r="I15" s="90">
        <f t="shared" ref="I15:I45" si="3">I14+1</f>
        <v>45870</v>
      </c>
      <c r="J15" s="172">
        <v>36</v>
      </c>
      <c r="K15" s="173">
        <v>0.43541666666666667</v>
      </c>
      <c r="L15" s="174">
        <v>635</v>
      </c>
      <c r="M15" s="90">
        <f t="shared" ref="M15:M45" si="4">B15</f>
        <v>45870</v>
      </c>
      <c r="N15" s="172">
        <v>29</v>
      </c>
      <c r="O15" s="173">
        <v>0.60416666666666663</v>
      </c>
      <c r="P15" s="172">
        <v>15</v>
      </c>
      <c r="Q15" s="173">
        <v>0.44027777777777777</v>
      </c>
      <c r="R15" s="92">
        <f t="shared" ref="R15:R25" si="5">S15+T15</f>
        <v>546</v>
      </c>
      <c r="S15" s="174">
        <v>320</v>
      </c>
      <c r="T15" s="174">
        <v>226</v>
      </c>
      <c r="U15" s="90">
        <f t="shared" ref="U15:U45" si="6">U14+1</f>
        <v>45870</v>
      </c>
      <c r="V15" s="172">
        <v>29</v>
      </c>
      <c r="W15" s="173">
        <v>0.38680555555555557</v>
      </c>
      <c r="X15" s="174">
        <v>501</v>
      </c>
    </row>
    <row r="16" spans="2:27" s="52" customFormat="1" ht="15.75" thickBot="1" x14ac:dyDescent="0.3">
      <c r="B16" s="55">
        <f t="shared" si="2"/>
        <v>45871</v>
      </c>
      <c r="C16" s="13"/>
      <c r="D16" s="50">
        <v>65</v>
      </c>
      <c r="E16" s="11">
        <v>0.85416666666666663</v>
      </c>
      <c r="F16" s="10">
        <v>878</v>
      </c>
      <c r="G16" s="93">
        <f t="shared" si="0"/>
        <v>398</v>
      </c>
      <c r="H16" s="10">
        <v>480</v>
      </c>
      <c r="I16" s="90">
        <f t="shared" si="3"/>
        <v>45871</v>
      </c>
      <c r="J16" s="50">
        <v>29</v>
      </c>
      <c r="K16" s="54">
        <v>0.83333333333333337</v>
      </c>
      <c r="L16" s="53">
        <v>569</v>
      </c>
      <c r="M16" s="90">
        <f t="shared" si="4"/>
        <v>45871</v>
      </c>
      <c r="N16" s="50">
        <v>26</v>
      </c>
      <c r="O16" s="11">
        <v>0.91666666666666663</v>
      </c>
      <c r="P16" s="50">
        <v>12</v>
      </c>
      <c r="Q16" s="11">
        <v>0.56319444444444444</v>
      </c>
      <c r="R16" s="92">
        <f t="shared" si="5"/>
        <v>529</v>
      </c>
      <c r="S16" s="10">
        <v>344</v>
      </c>
      <c r="T16" s="10">
        <v>185</v>
      </c>
      <c r="U16" s="90">
        <f t="shared" si="6"/>
        <v>45871</v>
      </c>
      <c r="V16" s="50">
        <v>27</v>
      </c>
      <c r="W16" s="11">
        <v>0.47430555555555554</v>
      </c>
      <c r="X16" s="10">
        <v>505</v>
      </c>
    </row>
    <row r="17" spans="2:24" ht="15.75" thickBot="1" x14ac:dyDescent="0.3">
      <c r="B17" s="55">
        <f t="shared" ref="B17:B45" si="7">B16+1</f>
        <v>45872</v>
      </c>
      <c r="D17" s="50">
        <v>77.89</v>
      </c>
      <c r="E17" s="54">
        <v>0.875</v>
      </c>
      <c r="F17" s="53">
        <v>933.31</v>
      </c>
      <c r="G17" s="93">
        <f t="shared" si="0"/>
        <v>464.70999999999992</v>
      </c>
      <c r="H17" s="53">
        <v>468.6</v>
      </c>
      <c r="I17" s="90">
        <f t="shared" si="3"/>
        <v>45872</v>
      </c>
      <c r="J17" s="50">
        <v>30.67</v>
      </c>
      <c r="K17" s="54">
        <v>0.45833333333333331</v>
      </c>
      <c r="L17" s="53">
        <v>586.70000000000005</v>
      </c>
      <c r="M17" s="90">
        <f t="shared" si="4"/>
        <v>45872</v>
      </c>
      <c r="N17" s="50">
        <v>28.41</v>
      </c>
      <c r="O17" s="54">
        <v>0.80208333333333337</v>
      </c>
      <c r="P17" s="50">
        <v>8.1999999999999993</v>
      </c>
      <c r="Q17" s="54">
        <v>0.82291666666666663</v>
      </c>
      <c r="R17" s="92">
        <f t="shared" si="5"/>
        <v>508.02</v>
      </c>
      <c r="S17" s="53">
        <v>346.7</v>
      </c>
      <c r="T17" s="53">
        <v>161.32</v>
      </c>
      <c r="U17" s="90">
        <f t="shared" si="6"/>
        <v>45872</v>
      </c>
      <c r="V17" s="50">
        <v>25.5</v>
      </c>
      <c r="W17" s="54">
        <v>0.11458333333333333</v>
      </c>
      <c r="X17" s="53">
        <v>472.42</v>
      </c>
    </row>
    <row r="18" spans="2:24" ht="15.75" thickBot="1" x14ac:dyDescent="0.3">
      <c r="B18" s="55">
        <f t="shared" si="7"/>
        <v>45873</v>
      </c>
      <c r="D18" s="50">
        <v>107</v>
      </c>
      <c r="E18" s="54">
        <v>0.42708333333333331</v>
      </c>
      <c r="F18" s="53">
        <v>1451</v>
      </c>
      <c r="G18" s="93">
        <f t="shared" si="0"/>
        <v>947</v>
      </c>
      <c r="H18" s="53">
        <v>504</v>
      </c>
      <c r="I18" s="90">
        <f t="shared" si="3"/>
        <v>45873</v>
      </c>
      <c r="J18" s="50">
        <v>32</v>
      </c>
      <c r="K18" s="54">
        <v>0.27083333333333331</v>
      </c>
      <c r="L18" s="53">
        <v>623</v>
      </c>
      <c r="M18" s="90">
        <f t="shared" si="4"/>
        <v>45873</v>
      </c>
      <c r="N18" s="50">
        <v>24</v>
      </c>
      <c r="O18" s="54">
        <v>0.71875</v>
      </c>
      <c r="P18" s="50">
        <v>14</v>
      </c>
      <c r="Q18" s="54">
        <v>0.47916666666666669</v>
      </c>
      <c r="R18" s="51">
        <f t="shared" si="5"/>
        <v>571</v>
      </c>
      <c r="S18" s="53">
        <v>355</v>
      </c>
      <c r="T18" s="53">
        <v>216</v>
      </c>
      <c r="U18" s="90">
        <f t="shared" si="6"/>
        <v>45873</v>
      </c>
      <c r="V18" s="50">
        <v>27</v>
      </c>
      <c r="W18" s="54">
        <v>0.39583333333333331</v>
      </c>
      <c r="X18" s="53">
        <v>527</v>
      </c>
    </row>
    <row r="19" spans="2:24" ht="15.75" thickBot="1" x14ac:dyDescent="0.3">
      <c r="B19" s="90">
        <f t="shared" si="7"/>
        <v>45874</v>
      </c>
      <c r="D19" s="91">
        <v>102</v>
      </c>
      <c r="E19" s="89">
        <v>0.375</v>
      </c>
      <c r="F19" s="88">
        <v>1402</v>
      </c>
      <c r="G19" s="93">
        <f t="shared" si="0"/>
        <v>902</v>
      </c>
      <c r="H19" s="88">
        <v>500</v>
      </c>
      <c r="I19" s="90">
        <f t="shared" si="3"/>
        <v>45874</v>
      </c>
      <c r="J19" s="91">
        <v>32</v>
      </c>
      <c r="K19" s="89">
        <v>0.36458333333333331</v>
      </c>
      <c r="L19" s="88">
        <v>607</v>
      </c>
      <c r="M19" s="90">
        <f t="shared" si="4"/>
        <v>45874</v>
      </c>
      <c r="N19" s="91">
        <v>26</v>
      </c>
      <c r="O19" s="89">
        <v>0.36458333333333331</v>
      </c>
      <c r="P19" s="91">
        <v>15</v>
      </c>
      <c r="Q19" s="89">
        <v>0.44791666666666669</v>
      </c>
      <c r="R19" s="92">
        <f t="shared" si="5"/>
        <v>582</v>
      </c>
      <c r="S19" s="88">
        <v>359</v>
      </c>
      <c r="T19" s="88">
        <v>223</v>
      </c>
      <c r="U19" s="90">
        <f t="shared" si="6"/>
        <v>45874</v>
      </c>
      <c r="V19" s="91">
        <v>26</v>
      </c>
      <c r="W19" s="89">
        <v>0.1875</v>
      </c>
      <c r="X19" s="88">
        <v>474</v>
      </c>
    </row>
    <row r="20" spans="2:24" ht="15.75" thickBot="1" x14ac:dyDescent="0.3">
      <c r="B20" s="90">
        <f t="shared" si="7"/>
        <v>45875</v>
      </c>
      <c r="D20" s="172">
        <v>86</v>
      </c>
      <c r="E20" s="173">
        <v>0.44791666666666669</v>
      </c>
      <c r="F20" s="174">
        <v>1300</v>
      </c>
      <c r="G20" s="93">
        <f t="shared" si="0"/>
        <v>810</v>
      </c>
      <c r="H20" s="174">
        <v>490</v>
      </c>
      <c r="I20" s="90">
        <f t="shared" si="3"/>
        <v>45875</v>
      </c>
      <c r="J20" s="172">
        <v>31</v>
      </c>
      <c r="K20" s="173">
        <v>0.78125</v>
      </c>
      <c r="L20" s="174">
        <v>595</v>
      </c>
      <c r="M20" s="90">
        <f t="shared" si="4"/>
        <v>45875</v>
      </c>
      <c r="N20" s="172">
        <v>26</v>
      </c>
      <c r="O20" s="173">
        <v>0.75</v>
      </c>
      <c r="P20" s="172">
        <v>15</v>
      </c>
      <c r="Q20" s="173">
        <v>0.5</v>
      </c>
      <c r="R20" s="92">
        <f t="shared" si="5"/>
        <v>581</v>
      </c>
      <c r="S20" s="174">
        <v>358</v>
      </c>
      <c r="T20" s="174">
        <v>223</v>
      </c>
      <c r="U20" s="175">
        <f t="shared" si="6"/>
        <v>45875</v>
      </c>
      <c r="V20" s="172">
        <v>27</v>
      </c>
      <c r="W20" s="173">
        <v>0.80208333333333337</v>
      </c>
      <c r="X20" s="174">
        <v>462</v>
      </c>
    </row>
    <row r="21" spans="2:24" ht="15.75" thickBot="1" x14ac:dyDescent="0.3">
      <c r="B21" s="90">
        <f t="shared" si="7"/>
        <v>45876</v>
      </c>
      <c r="D21" s="172">
        <v>97</v>
      </c>
      <c r="E21" s="173">
        <v>0.75</v>
      </c>
      <c r="F21" s="88">
        <v>1329</v>
      </c>
      <c r="G21" s="93">
        <f t="shared" si="0"/>
        <v>819</v>
      </c>
      <c r="H21" s="88">
        <v>510</v>
      </c>
      <c r="I21" s="90">
        <f t="shared" si="3"/>
        <v>45876</v>
      </c>
      <c r="J21" s="91">
        <v>30</v>
      </c>
      <c r="K21" s="89">
        <v>0.85416666666666663</v>
      </c>
      <c r="L21" s="88">
        <v>575</v>
      </c>
      <c r="M21" s="90">
        <f t="shared" si="4"/>
        <v>45876</v>
      </c>
      <c r="N21" s="91">
        <v>28</v>
      </c>
      <c r="O21" s="89">
        <v>0.67708333333333337</v>
      </c>
      <c r="P21" s="91">
        <v>15</v>
      </c>
      <c r="Q21" s="89">
        <v>0.41666666666666669</v>
      </c>
      <c r="R21" s="92">
        <f t="shared" si="5"/>
        <v>584</v>
      </c>
      <c r="S21" s="88">
        <v>358</v>
      </c>
      <c r="T21" s="88">
        <v>226</v>
      </c>
      <c r="U21" s="90">
        <f t="shared" si="6"/>
        <v>45876</v>
      </c>
      <c r="V21" s="91">
        <v>25</v>
      </c>
      <c r="W21" s="89">
        <v>0.82291666666666663</v>
      </c>
      <c r="X21" s="88">
        <v>458</v>
      </c>
    </row>
    <row r="22" spans="2:24" ht="15.75" thickBot="1" x14ac:dyDescent="0.3">
      <c r="B22" s="90">
        <f t="shared" si="7"/>
        <v>45877</v>
      </c>
      <c r="D22" s="172">
        <v>110.35</v>
      </c>
      <c r="E22" s="89">
        <v>0.55208333333333337</v>
      </c>
      <c r="F22" s="88">
        <v>1338.47</v>
      </c>
      <c r="G22" s="93">
        <f t="shared" si="0"/>
        <v>812.69</v>
      </c>
      <c r="H22" s="88">
        <v>525.78</v>
      </c>
      <c r="I22" s="90">
        <f t="shared" si="3"/>
        <v>45877</v>
      </c>
      <c r="J22" s="91">
        <v>31.7</v>
      </c>
      <c r="K22" s="89">
        <v>0.29166666666666669</v>
      </c>
      <c r="L22" s="88">
        <v>596.66</v>
      </c>
      <c r="M22" s="90">
        <f t="shared" si="4"/>
        <v>45877</v>
      </c>
      <c r="N22" s="91">
        <v>25.9</v>
      </c>
      <c r="O22" s="89">
        <v>0.64583333333333337</v>
      </c>
      <c r="P22" s="91">
        <v>15</v>
      </c>
      <c r="Q22" s="89">
        <v>0.44791666666666669</v>
      </c>
      <c r="R22" s="92">
        <f t="shared" si="5"/>
        <v>578.1</v>
      </c>
      <c r="S22" s="88">
        <v>351.97</v>
      </c>
      <c r="T22" s="88">
        <v>226.13</v>
      </c>
      <c r="U22" s="90">
        <f t="shared" si="6"/>
        <v>45877</v>
      </c>
      <c r="V22" s="91">
        <v>26.6</v>
      </c>
      <c r="W22" s="89">
        <v>0.69791666666666663</v>
      </c>
      <c r="X22" s="88">
        <v>491.02</v>
      </c>
    </row>
    <row r="23" spans="2:24" ht="15.75" thickBot="1" x14ac:dyDescent="0.3">
      <c r="B23" s="90">
        <f t="shared" si="7"/>
        <v>45878</v>
      </c>
      <c r="D23" s="172">
        <v>84.99</v>
      </c>
      <c r="E23" s="89">
        <v>6.25E-2</v>
      </c>
      <c r="F23" s="88">
        <v>1087.02</v>
      </c>
      <c r="G23" s="93">
        <f t="shared" si="0"/>
        <v>574.66</v>
      </c>
      <c r="H23" s="88">
        <v>512.36</v>
      </c>
      <c r="I23" s="90">
        <f t="shared" si="3"/>
        <v>45878</v>
      </c>
      <c r="J23" s="91">
        <v>29.87</v>
      </c>
      <c r="K23" s="89">
        <v>0.32291666666666669</v>
      </c>
      <c r="L23" s="88">
        <v>574.04999999999995</v>
      </c>
      <c r="M23" s="90">
        <f t="shared" si="4"/>
        <v>45878</v>
      </c>
      <c r="N23" s="91">
        <v>27.63</v>
      </c>
      <c r="O23" s="89">
        <v>0.73958333333333337</v>
      </c>
      <c r="P23" s="91">
        <v>11.4</v>
      </c>
      <c r="Q23" s="89">
        <v>0.54166666666666663</v>
      </c>
      <c r="R23" s="92">
        <f t="shared" si="5"/>
        <v>533.01</v>
      </c>
      <c r="S23" s="88">
        <v>347.8</v>
      </c>
      <c r="T23" s="88">
        <v>185.21</v>
      </c>
      <c r="U23" s="90">
        <f t="shared" si="6"/>
        <v>45878</v>
      </c>
      <c r="V23" s="91">
        <v>26.11</v>
      </c>
      <c r="W23" s="89">
        <v>0.47916666666666669</v>
      </c>
      <c r="X23" s="88">
        <v>500.57</v>
      </c>
    </row>
    <row r="24" spans="2:24" ht="15.75" thickBot="1" x14ac:dyDescent="0.3">
      <c r="B24" s="90">
        <f t="shared" si="7"/>
        <v>45879</v>
      </c>
      <c r="D24" s="172">
        <v>76</v>
      </c>
      <c r="E24" s="89">
        <v>0.84375</v>
      </c>
      <c r="F24" s="88">
        <v>965</v>
      </c>
      <c r="G24" s="93">
        <f t="shared" si="0"/>
        <v>453</v>
      </c>
      <c r="H24" s="88">
        <v>512</v>
      </c>
      <c r="I24" s="90">
        <f t="shared" si="3"/>
        <v>45879</v>
      </c>
      <c r="J24" s="91">
        <v>31</v>
      </c>
      <c r="K24" s="89">
        <v>0.30208333333333331</v>
      </c>
      <c r="L24" s="88">
        <v>577</v>
      </c>
      <c r="M24" s="90">
        <f t="shared" si="4"/>
        <v>45879</v>
      </c>
      <c r="N24" s="91">
        <v>30</v>
      </c>
      <c r="O24" s="89">
        <v>0.71875</v>
      </c>
      <c r="P24" s="91">
        <v>8</v>
      </c>
      <c r="Q24" s="89">
        <v>0.48958333333333331</v>
      </c>
      <c r="R24" s="92">
        <f t="shared" si="5"/>
        <v>522</v>
      </c>
      <c r="S24" s="88">
        <v>351</v>
      </c>
      <c r="T24" s="88">
        <v>171</v>
      </c>
      <c r="U24" s="90">
        <f t="shared" si="6"/>
        <v>45879</v>
      </c>
      <c r="V24" s="91">
        <v>28</v>
      </c>
      <c r="W24" s="89">
        <v>0.3125</v>
      </c>
      <c r="X24" s="88">
        <v>465</v>
      </c>
    </row>
    <row r="25" spans="2:24" ht="15.75" thickBot="1" x14ac:dyDescent="0.3">
      <c r="B25" s="90">
        <f t="shared" si="7"/>
        <v>45880</v>
      </c>
      <c r="D25" s="172">
        <v>107</v>
      </c>
      <c r="E25" s="89">
        <v>0.38541666666666669</v>
      </c>
      <c r="F25" s="88">
        <v>1364</v>
      </c>
      <c r="G25" s="93">
        <f t="shared" si="0"/>
        <v>791</v>
      </c>
      <c r="H25" s="88">
        <v>573</v>
      </c>
      <c r="I25" s="90">
        <f t="shared" si="3"/>
        <v>45880</v>
      </c>
      <c r="J25" s="91">
        <v>31</v>
      </c>
      <c r="K25" s="89">
        <v>0.89583333333333337</v>
      </c>
      <c r="L25" s="88">
        <v>609</v>
      </c>
      <c r="M25" s="90">
        <f t="shared" si="4"/>
        <v>45880</v>
      </c>
      <c r="N25" s="91">
        <v>26</v>
      </c>
      <c r="O25" s="89">
        <v>0.40625</v>
      </c>
      <c r="P25" s="91">
        <v>13</v>
      </c>
      <c r="Q25" s="89">
        <v>0.47916666666666669</v>
      </c>
      <c r="R25" s="92">
        <f t="shared" si="5"/>
        <v>581</v>
      </c>
      <c r="S25" s="88">
        <v>360</v>
      </c>
      <c r="T25" s="88">
        <v>221</v>
      </c>
      <c r="U25" s="90">
        <f t="shared" si="6"/>
        <v>45880</v>
      </c>
      <c r="V25" s="91">
        <v>27</v>
      </c>
      <c r="W25" s="89">
        <v>0.8125</v>
      </c>
      <c r="X25" s="88">
        <v>469</v>
      </c>
    </row>
    <row r="26" spans="2:24" ht="15.75" thickBot="1" x14ac:dyDescent="0.3">
      <c r="B26" s="90">
        <f t="shared" si="7"/>
        <v>45881</v>
      </c>
      <c r="D26" s="172">
        <v>101</v>
      </c>
      <c r="E26" s="89">
        <v>0.55208333333333337</v>
      </c>
      <c r="F26" s="88">
        <v>1285</v>
      </c>
      <c r="G26" s="93">
        <f t="shared" si="0"/>
        <v>766</v>
      </c>
      <c r="H26" s="88">
        <v>519</v>
      </c>
      <c r="I26" s="90">
        <f t="shared" si="3"/>
        <v>45881</v>
      </c>
      <c r="J26" s="91">
        <v>34</v>
      </c>
      <c r="K26" s="89">
        <v>0.10416666666666667</v>
      </c>
      <c r="L26" s="88">
        <v>606</v>
      </c>
      <c r="M26" s="90">
        <f t="shared" si="4"/>
        <v>45881</v>
      </c>
      <c r="N26" s="91">
        <v>25</v>
      </c>
      <c r="O26" s="89">
        <v>0.66666666666666663</v>
      </c>
      <c r="P26" s="91">
        <v>14</v>
      </c>
      <c r="Q26" s="89">
        <v>0.48958333333333331</v>
      </c>
      <c r="R26" s="92">
        <f t="shared" ref="R26:R44" si="8">S26+T26</f>
        <v>587</v>
      </c>
      <c r="S26" s="88">
        <v>365</v>
      </c>
      <c r="T26" s="88">
        <v>222</v>
      </c>
      <c r="U26" s="90">
        <f t="shared" si="6"/>
        <v>45881</v>
      </c>
      <c r="V26" s="91">
        <v>25</v>
      </c>
      <c r="W26" s="89">
        <v>0.2986111111111111</v>
      </c>
      <c r="X26" s="88">
        <v>456</v>
      </c>
    </row>
    <row r="27" spans="2:24" ht="15.75" thickBot="1" x14ac:dyDescent="0.3">
      <c r="B27" s="90">
        <f t="shared" si="7"/>
        <v>45882</v>
      </c>
      <c r="D27" s="172">
        <v>98.06</v>
      </c>
      <c r="E27" s="89">
        <v>0.51041666666666663</v>
      </c>
      <c r="F27" s="88">
        <v>1329.28</v>
      </c>
      <c r="G27" s="93">
        <f t="shared" si="0"/>
        <v>809.67</v>
      </c>
      <c r="H27" s="88">
        <v>519.61</v>
      </c>
      <c r="I27" s="90">
        <f t="shared" si="3"/>
        <v>45882</v>
      </c>
      <c r="J27" s="91">
        <v>30.5</v>
      </c>
      <c r="K27" s="89">
        <v>0.1875</v>
      </c>
      <c r="L27" s="88">
        <v>579.17999999999995</v>
      </c>
      <c r="M27" s="90">
        <f t="shared" si="4"/>
        <v>45882</v>
      </c>
      <c r="N27" s="91">
        <v>28.55</v>
      </c>
      <c r="O27" s="89">
        <v>0.32291666666666669</v>
      </c>
      <c r="P27" s="91">
        <v>13.23</v>
      </c>
      <c r="Q27" s="89">
        <v>0.72916666666666663</v>
      </c>
      <c r="R27" s="92">
        <f t="shared" si="8"/>
        <v>582.45000000000005</v>
      </c>
      <c r="S27" s="88">
        <v>360.96</v>
      </c>
      <c r="T27" s="88">
        <v>221.49</v>
      </c>
      <c r="U27" s="90">
        <f t="shared" si="6"/>
        <v>45882</v>
      </c>
      <c r="V27" s="91">
        <v>27.47</v>
      </c>
      <c r="W27" s="89">
        <v>0.19791666666666666</v>
      </c>
      <c r="X27" s="88">
        <v>522.72</v>
      </c>
    </row>
    <row r="28" spans="2:24" ht="15.75" thickBot="1" x14ac:dyDescent="0.3">
      <c r="B28" s="90">
        <f t="shared" si="7"/>
        <v>45883</v>
      </c>
      <c r="D28" s="172">
        <v>109</v>
      </c>
      <c r="E28" s="89">
        <v>0.69791666666666663</v>
      </c>
      <c r="F28" s="88">
        <v>1311</v>
      </c>
      <c r="G28" s="93">
        <f t="shared" si="0"/>
        <v>825</v>
      </c>
      <c r="H28" s="88">
        <v>486</v>
      </c>
      <c r="I28" s="90">
        <f t="shared" si="3"/>
        <v>45883</v>
      </c>
      <c r="J28" s="91">
        <v>33</v>
      </c>
      <c r="K28" s="89">
        <v>0.95833333333333337</v>
      </c>
      <c r="L28" s="88">
        <v>594</v>
      </c>
      <c r="M28" s="90">
        <f t="shared" si="4"/>
        <v>45883</v>
      </c>
      <c r="N28" s="91">
        <v>29</v>
      </c>
      <c r="O28" s="89">
        <v>0.71875</v>
      </c>
      <c r="P28" s="91">
        <v>16</v>
      </c>
      <c r="Q28" s="89">
        <v>0.54166666666666663</v>
      </c>
      <c r="R28" s="92">
        <f t="shared" si="8"/>
        <v>587</v>
      </c>
      <c r="S28" s="88">
        <v>363</v>
      </c>
      <c r="T28" s="88">
        <v>224</v>
      </c>
      <c r="U28" s="90">
        <f t="shared" si="6"/>
        <v>45883</v>
      </c>
      <c r="V28" s="91">
        <v>27</v>
      </c>
      <c r="W28" s="89">
        <v>0.6875</v>
      </c>
      <c r="X28" s="88">
        <v>515</v>
      </c>
    </row>
    <row r="29" spans="2:24" ht="15.75" thickBot="1" x14ac:dyDescent="0.3">
      <c r="B29" s="90">
        <f t="shared" si="7"/>
        <v>45884</v>
      </c>
      <c r="D29" s="172">
        <v>94</v>
      </c>
      <c r="E29" s="89">
        <v>8.3333333333333329E-2</v>
      </c>
      <c r="F29" s="88">
        <v>967</v>
      </c>
      <c r="G29" s="93">
        <f t="shared" si="0"/>
        <v>520</v>
      </c>
      <c r="H29" s="88">
        <v>447</v>
      </c>
      <c r="I29" s="90">
        <f t="shared" si="3"/>
        <v>45884</v>
      </c>
      <c r="J29" s="91">
        <v>33</v>
      </c>
      <c r="K29" s="89">
        <v>3.125E-2</v>
      </c>
      <c r="L29" s="88">
        <v>592</v>
      </c>
      <c r="M29" s="90">
        <f t="shared" si="4"/>
        <v>45884</v>
      </c>
      <c r="N29" s="91">
        <v>26</v>
      </c>
      <c r="O29" s="89">
        <v>0.40625</v>
      </c>
      <c r="P29" s="91">
        <v>10</v>
      </c>
      <c r="Q29" s="89">
        <v>0.79166666666666663</v>
      </c>
      <c r="R29" s="92">
        <f t="shared" si="8"/>
        <v>541</v>
      </c>
      <c r="S29" s="88">
        <v>348</v>
      </c>
      <c r="T29" s="88">
        <v>193</v>
      </c>
      <c r="U29" s="90">
        <f t="shared" si="6"/>
        <v>45884</v>
      </c>
      <c r="V29" s="91">
        <v>27</v>
      </c>
      <c r="W29" s="89">
        <v>0.8125</v>
      </c>
      <c r="X29" s="88">
        <v>500</v>
      </c>
    </row>
    <row r="30" spans="2:24" ht="15.75" thickBot="1" x14ac:dyDescent="0.3">
      <c r="B30" s="90">
        <f t="shared" si="7"/>
        <v>45885</v>
      </c>
      <c r="D30" s="172">
        <v>108</v>
      </c>
      <c r="E30" s="89">
        <v>0.28125</v>
      </c>
      <c r="F30" s="88">
        <v>869</v>
      </c>
      <c r="G30" s="93">
        <f t="shared" si="0"/>
        <v>410</v>
      </c>
      <c r="H30" s="88">
        <v>459</v>
      </c>
      <c r="I30" s="90">
        <f t="shared" si="3"/>
        <v>45885</v>
      </c>
      <c r="J30" s="91">
        <v>28</v>
      </c>
      <c r="K30" s="89">
        <v>0.29166666666666669</v>
      </c>
      <c r="L30" s="88">
        <v>560</v>
      </c>
      <c r="M30" s="90">
        <f t="shared" si="4"/>
        <v>45885</v>
      </c>
      <c r="N30" s="91">
        <v>23</v>
      </c>
      <c r="O30" s="89">
        <v>0.48958333333333331</v>
      </c>
      <c r="P30" s="91">
        <v>12</v>
      </c>
      <c r="Q30" s="89">
        <v>0.57291666666666663</v>
      </c>
      <c r="R30" s="92">
        <f t="shared" si="8"/>
        <v>533</v>
      </c>
      <c r="S30" s="88">
        <v>349</v>
      </c>
      <c r="T30" s="88">
        <v>184</v>
      </c>
      <c r="U30" s="90">
        <f t="shared" si="6"/>
        <v>45885</v>
      </c>
      <c r="V30" s="91">
        <v>25</v>
      </c>
      <c r="W30" s="89">
        <v>0.8125</v>
      </c>
      <c r="X30" s="88">
        <v>444</v>
      </c>
    </row>
    <row r="31" spans="2:24" ht="15.75" thickBot="1" x14ac:dyDescent="0.3">
      <c r="B31" s="90">
        <f t="shared" si="7"/>
        <v>45886</v>
      </c>
      <c r="D31" s="172">
        <v>90</v>
      </c>
      <c r="E31" s="89">
        <v>0.86458333333333337</v>
      </c>
      <c r="F31" s="88">
        <v>845</v>
      </c>
      <c r="G31" s="93">
        <f t="shared" si="0"/>
        <v>392</v>
      </c>
      <c r="H31" s="88">
        <v>453</v>
      </c>
      <c r="I31" s="90">
        <f t="shared" si="3"/>
        <v>45886</v>
      </c>
      <c r="J31" s="91">
        <v>28</v>
      </c>
      <c r="K31" s="89">
        <v>0.89583333333333337</v>
      </c>
      <c r="L31" s="88">
        <v>589</v>
      </c>
      <c r="M31" s="90">
        <f t="shared" si="4"/>
        <v>45886</v>
      </c>
      <c r="N31" s="91">
        <v>28</v>
      </c>
      <c r="O31" s="89">
        <v>0.75</v>
      </c>
      <c r="P31" s="91">
        <v>8</v>
      </c>
      <c r="Q31" s="89">
        <v>0.73958333333333337</v>
      </c>
      <c r="R31" s="92">
        <f t="shared" si="8"/>
        <v>509</v>
      </c>
      <c r="S31" s="88">
        <v>348</v>
      </c>
      <c r="T31" s="88">
        <v>161</v>
      </c>
      <c r="U31" s="90">
        <f t="shared" si="6"/>
        <v>45886</v>
      </c>
      <c r="V31" s="91">
        <v>24</v>
      </c>
      <c r="W31" s="89">
        <v>0.35416666666666669</v>
      </c>
      <c r="X31" s="88">
        <v>494</v>
      </c>
    </row>
    <row r="32" spans="2:24" ht="15.75" thickBot="1" x14ac:dyDescent="0.3">
      <c r="B32" s="90">
        <f t="shared" si="7"/>
        <v>45887</v>
      </c>
      <c r="D32" s="172">
        <v>104</v>
      </c>
      <c r="E32" s="89">
        <v>0.54166666666666663</v>
      </c>
      <c r="F32" s="88">
        <v>1302</v>
      </c>
      <c r="G32" s="93">
        <f t="shared" si="0"/>
        <v>799</v>
      </c>
      <c r="H32" s="88">
        <v>503</v>
      </c>
      <c r="I32" s="90">
        <f t="shared" si="3"/>
        <v>45887</v>
      </c>
      <c r="J32" s="91">
        <v>35</v>
      </c>
      <c r="K32" s="89">
        <v>0.25</v>
      </c>
      <c r="L32" s="88">
        <v>611</v>
      </c>
      <c r="M32" s="90">
        <f t="shared" si="4"/>
        <v>45887</v>
      </c>
      <c r="N32" s="91">
        <v>25</v>
      </c>
      <c r="O32" s="89">
        <v>0.91666666666666663</v>
      </c>
      <c r="P32" s="91">
        <v>13</v>
      </c>
      <c r="Q32" s="89">
        <v>0.47916666666666669</v>
      </c>
      <c r="R32" s="92">
        <f t="shared" si="8"/>
        <v>573</v>
      </c>
      <c r="S32" s="88">
        <v>357</v>
      </c>
      <c r="T32" s="88">
        <v>216</v>
      </c>
      <c r="U32" s="90">
        <f t="shared" si="6"/>
        <v>45887</v>
      </c>
      <c r="V32" s="91">
        <v>28</v>
      </c>
      <c r="W32" s="89">
        <v>0.375</v>
      </c>
      <c r="X32" s="88">
        <v>480</v>
      </c>
    </row>
    <row r="33" spans="2:24" ht="15.75" thickBot="1" x14ac:dyDescent="0.3">
      <c r="B33" s="90">
        <f t="shared" si="7"/>
        <v>45888</v>
      </c>
      <c r="D33" s="172">
        <v>102</v>
      </c>
      <c r="E33" s="89">
        <v>0.55208333333333337</v>
      </c>
      <c r="F33" s="88">
        <v>1196</v>
      </c>
      <c r="G33" s="93">
        <f t="shared" si="0"/>
        <v>713</v>
      </c>
      <c r="H33" s="88">
        <v>483</v>
      </c>
      <c r="I33" s="90">
        <f t="shared" si="3"/>
        <v>45888</v>
      </c>
      <c r="J33" s="91">
        <v>37</v>
      </c>
      <c r="K33" s="89">
        <v>0.45833333333333331</v>
      </c>
      <c r="L33" s="88">
        <v>605</v>
      </c>
      <c r="M33" s="90">
        <f t="shared" si="4"/>
        <v>45888</v>
      </c>
      <c r="N33" s="91">
        <v>26</v>
      </c>
      <c r="O33" s="89">
        <v>0.61458333333333337</v>
      </c>
      <c r="P33" s="91">
        <v>14</v>
      </c>
      <c r="Q33" s="89">
        <v>0.46875</v>
      </c>
      <c r="R33" s="92">
        <f t="shared" si="8"/>
        <v>580</v>
      </c>
      <c r="S33" s="88">
        <v>359</v>
      </c>
      <c r="T33" s="88">
        <v>221</v>
      </c>
      <c r="U33" s="90">
        <f t="shared" si="6"/>
        <v>45888</v>
      </c>
      <c r="V33" s="91">
        <v>26</v>
      </c>
      <c r="W33" s="89">
        <v>2.0833333333333332E-2</v>
      </c>
      <c r="X33" s="88">
        <v>465</v>
      </c>
    </row>
    <row r="34" spans="2:24" ht="15.75" thickBot="1" x14ac:dyDescent="0.3">
      <c r="B34" s="90">
        <f t="shared" si="7"/>
        <v>45889</v>
      </c>
      <c r="D34" s="172">
        <v>111</v>
      </c>
      <c r="E34" s="89">
        <v>0.5625</v>
      </c>
      <c r="F34" s="88">
        <v>1190</v>
      </c>
      <c r="G34" s="93">
        <f t="shared" si="0"/>
        <v>715</v>
      </c>
      <c r="H34" s="88">
        <v>475</v>
      </c>
      <c r="I34" s="90">
        <f t="shared" si="3"/>
        <v>45889</v>
      </c>
      <c r="J34" s="91">
        <v>33</v>
      </c>
      <c r="K34" s="89">
        <v>0.5</v>
      </c>
      <c r="L34" s="88">
        <v>582</v>
      </c>
      <c r="M34" s="90">
        <f t="shared" si="4"/>
        <v>45889</v>
      </c>
      <c r="N34" s="91">
        <v>26</v>
      </c>
      <c r="O34" s="89">
        <v>0.5</v>
      </c>
      <c r="P34" s="91">
        <v>14</v>
      </c>
      <c r="Q34" s="89">
        <v>0.51041666666666663</v>
      </c>
      <c r="R34" s="92">
        <f t="shared" si="8"/>
        <v>577</v>
      </c>
      <c r="S34" s="88">
        <v>357</v>
      </c>
      <c r="T34" s="88">
        <v>220</v>
      </c>
      <c r="U34" s="90">
        <f t="shared" si="6"/>
        <v>45889</v>
      </c>
      <c r="V34" s="91">
        <v>26</v>
      </c>
      <c r="W34" s="89">
        <v>0.53125</v>
      </c>
      <c r="X34" s="88">
        <v>467</v>
      </c>
    </row>
    <row r="35" spans="2:24" ht="15.75" thickBot="1" x14ac:dyDescent="0.3">
      <c r="B35" s="90">
        <f t="shared" si="7"/>
        <v>45890</v>
      </c>
      <c r="D35" s="172">
        <v>112</v>
      </c>
      <c r="E35" s="89">
        <v>0.54166666666666663</v>
      </c>
      <c r="F35" s="88">
        <v>1329</v>
      </c>
      <c r="G35" s="93">
        <f t="shared" si="0"/>
        <v>833</v>
      </c>
      <c r="H35" s="88">
        <v>496</v>
      </c>
      <c r="I35" s="90">
        <f t="shared" si="3"/>
        <v>45890</v>
      </c>
      <c r="J35" s="91">
        <v>31</v>
      </c>
      <c r="K35" s="89">
        <v>0.84375</v>
      </c>
      <c r="L35" s="88">
        <v>607</v>
      </c>
      <c r="M35" s="90">
        <f t="shared" si="4"/>
        <v>45890</v>
      </c>
      <c r="N35" s="91">
        <v>25</v>
      </c>
      <c r="O35" s="89">
        <v>0.59375</v>
      </c>
      <c r="P35" s="91">
        <v>13</v>
      </c>
      <c r="Q35" s="89">
        <v>0.34375</v>
      </c>
      <c r="R35" s="92">
        <f t="shared" si="8"/>
        <v>567</v>
      </c>
      <c r="S35" s="88">
        <v>355</v>
      </c>
      <c r="T35" s="88">
        <v>212</v>
      </c>
      <c r="U35" s="90">
        <f t="shared" si="6"/>
        <v>45890</v>
      </c>
      <c r="V35" s="91">
        <v>26</v>
      </c>
      <c r="W35" s="89">
        <v>0.54166666666666663</v>
      </c>
      <c r="X35" s="88">
        <v>523</v>
      </c>
    </row>
    <row r="36" spans="2:24" ht="15.75" thickBot="1" x14ac:dyDescent="0.3">
      <c r="B36" s="90">
        <f t="shared" si="7"/>
        <v>45891</v>
      </c>
      <c r="D36" s="172">
        <v>132</v>
      </c>
      <c r="E36" s="89">
        <v>0.53125</v>
      </c>
      <c r="F36" s="88">
        <v>1536</v>
      </c>
      <c r="G36" s="93">
        <f t="shared" si="0"/>
        <v>1029</v>
      </c>
      <c r="H36" s="88">
        <v>507</v>
      </c>
      <c r="I36" s="90">
        <f t="shared" si="3"/>
        <v>45891</v>
      </c>
      <c r="J36" s="91">
        <v>31</v>
      </c>
      <c r="K36" s="89">
        <v>0.86458333333333337</v>
      </c>
      <c r="L36" s="88">
        <v>632</v>
      </c>
      <c r="M36" s="90">
        <f t="shared" si="4"/>
        <v>45891</v>
      </c>
      <c r="N36" s="91">
        <v>28</v>
      </c>
      <c r="O36" s="89">
        <v>0.33333333333333331</v>
      </c>
      <c r="P36" s="91">
        <v>11</v>
      </c>
      <c r="Q36" s="89">
        <v>0.4375</v>
      </c>
      <c r="R36" s="92">
        <f t="shared" si="8"/>
        <v>567</v>
      </c>
      <c r="S36" s="88">
        <v>359</v>
      </c>
      <c r="T36" s="88">
        <v>208</v>
      </c>
      <c r="U36" s="90">
        <f t="shared" si="6"/>
        <v>45891</v>
      </c>
      <c r="V36" s="91">
        <v>28</v>
      </c>
      <c r="W36" s="89">
        <v>0.6875</v>
      </c>
      <c r="X36" s="88">
        <v>541</v>
      </c>
    </row>
    <row r="37" spans="2:24" ht="15.75" thickBot="1" x14ac:dyDescent="0.3">
      <c r="B37" s="90">
        <f t="shared" si="7"/>
        <v>45892</v>
      </c>
      <c r="D37" s="172">
        <v>88</v>
      </c>
      <c r="E37" s="89">
        <v>0.14583333333333334</v>
      </c>
      <c r="F37" s="88">
        <v>1051</v>
      </c>
      <c r="G37" s="93">
        <f t="shared" si="0"/>
        <v>595</v>
      </c>
      <c r="H37" s="88">
        <v>456</v>
      </c>
      <c r="I37" s="90">
        <f t="shared" si="3"/>
        <v>45892</v>
      </c>
      <c r="J37" s="91">
        <v>30</v>
      </c>
      <c r="K37" s="89">
        <v>0.29166666666666669</v>
      </c>
      <c r="L37" s="88">
        <v>597</v>
      </c>
      <c r="M37" s="90">
        <f t="shared" si="4"/>
        <v>45892</v>
      </c>
      <c r="N37" s="91">
        <v>22</v>
      </c>
      <c r="O37" s="89">
        <v>0.57291666666666663</v>
      </c>
      <c r="P37" s="91">
        <v>10</v>
      </c>
      <c r="Q37" s="89">
        <v>0.35416666666666669</v>
      </c>
      <c r="R37" s="92">
        <f t="shared" si="8"/>
        <v>533</v>
      </c>
      <c r="S37" s="88">
        <v>359</v>
      </c>
      <c r="T37" s="88">
        <v>174</v>
      </c>
      <c r="U37" s="90">
        <f t="shared" si="6"/>
        <v>45892</v>
      </c>
      <c r="V37" s="91">
        <v>28</v>
      </c>
      <c r="W37" s="89">
        <v>3.125E-2</v>
      </c>
      <c r="X37" s="88">
        <v>515</v>
      </c>
    </row>
    <row r="38" spans="2:24" ht="15.75" thickBot="1" x14ac:dyDescent="0.3">
      <c r="B38" s="90">
        <f t="shared" si="7"/>
        <v>45893</v>
      </c>
      <c r="D38" s="172">
        <v>77</v>
      </c>
      <c r="E38" s="89">
        <v>0.125</v>
      </c>
      <c r="F38" s="88">
        <v>942</v>
      </c>
      <c r="G38" s="93">
        <f t="shared" si="0"/>
        <v>469</v>
      </c>
      <c r="H38" s="88">
        <v>473</v>
      </c>
      <c r="I38" s="90">
        <f t="shared" si="3"/>
        <v>45893</v>
      </c>
      <c r="J38" s="91">
        <v>30</v>
      </c>
      <c r="K38" s="89">
        <v>0.22916666666666666</v>
      </c>
      <c r="L38" s="88">
        <v>578</v>
      </c>
      <c r="M38" s="90">
        <f t="shared" si="4"/>
        <v>45893</v>
      </c>
      <c r="N38" s="91">
        <v>23</v>
      </c>
      <c r="O38" s="89" t="s">
        <v>71</v>
      </c>
      <c r="P38" s="91">
        <v>8</v>
      </c>
      <c r="Q38" s="89">
        <v>0.47916666666666669</v>
      </c>
      <c r="R38" s="92">
        <f t="shared" si="8"/>
        <v>519</v>
      </c>
      <c r="S38" s="88">
        <v>357</v>
      </c>
      <c r="T38" s="88">
        <v>162</v>
      </c>
      <c r="U38" s="90">
        <f t="shared" si="6"/>
        <v>45893</v>
      </c>
      <c r="V38" s="91">
        <v>26</v>
      </c>
      <c r="W38" s="89">
        <v>0.85416666666666663</v>
      </c>
      <c r="X38" s="88">
        <v>464</v>
      </c>
    </row>
    <row r="39" spans="2:24" ht="15.75" thickBot="1" x14ac:dyDescent="0.3">
      <c r="B39" s="90">
        <f t="shared" si="7"/>
        <v>45894</v>
      </c>
      <c r="D39" s="172">
        <v>102</v>
      </c>
      <c r="E39" s="89">
        <v>0.40625</v>
      </c>
      <c r="F39" s="88">
        <v>1324</v>
      </c>
      <c r="G39" s="93">
        <f t="shared" si="0"/>
        <v>804</v>
      </c>
      <c r="H39" s="88">
        <v>520</v>
      </c>
      <c r="I39" s="90">
        <f t="shared" si="3"/>
        <v>45894</v>
      </c>
      <c r="J39" s="91">
        <v>31</v>
      </c>
      <c r="K39" s="89">
        <v>0.85416666666666663</v>
      </c>
      <c r="L39" s="88">
        <v>620</v>
      </c>
      <c r="M39" s="90">
        <f t="shared" si="4"/>
        <v>45894</v>
      </c>
      <c r="N39" s="91">
        <v>25</v>
      </c>
      <c r="O39" s="89">
        <v>0.39583333333333331</v>
      </c>
      <c r="P39" s="91">
        <v>12</v>
      </c>
      <c r="Q39" s="89">
        <v>0.57291666666666663</v>
      </c>
      <c r="R39" s="92">
        <f t="shared" si="8"/>
        <v>577</v>
      </c>
      <c r="S39" s="88">
        <v>369</v>
      </c>
      <c r="T39" s="88">
        <v>208</v>
      </c>
      <c r="U39" s="90">
        <f t="shared" si="6"/>
        <v>45894</v>
      </c>
      <c r="V39" s="91">
        <v>26</v>
      </c>
      <c r="W39" s="89">
        <v>0.80208333333333337</v>
      </c>
      <c r="X39" s="88">
        <v>465</v>
      </c>
    </row>
    <row r="40" spans="2:24" ht="15.75" thickBot="1" x14ac:dyDescent="0.3">
      <c r="B40" s="90">
        <f t="shared" si="7"/>
        <v>45895</v>
      </c>
      <c r="D40" s="172">
        <v>105</v>
      </c>
      <c r="E40" s="173">
        <v>0.55208333333333337</v>
      </c>
      <c r="F40" s="174">
        <v>1338</v>
      </c>
      <c r="G40" s="93">
        <f t="shared" si="0"/>
        <v>826</v>
      </c>
      <c r="H40" s="174">
        <v>512</v>
      </c>
      <c r="I40" s="175">
        <f t="shared" si="3"/>
        <v>45895</v>
      </c>
      <c r="J40" s="172">
        <v>34</v>
      </c>
      <c r="K40" s="173">
        <v>0.9375</v>
      </c>
      <c r="L40" s="174">
        <v>617</v>
      </c>
      <c r="M40" s="175">
        <f t="shared" si="4"/>
        <v>45895</v>
      </c>
      <c r="N40" s="172">
        <v>26</v>
      </c>
      <c r="O40" s="173">
        <v>0.34375</v>
      </c>
      <c r="P40" s="172">
        <v>14</v>
      </c>
      <c r="Q40" s="173">
        <v>0.75</v>
      </c>
      <c r="R40" s="92">
        <f t="shared" si="8"/>
        <v>599</v>
      </c>
      <c r="S40" s="174">
        <v>374</v>
      </c>
      <c r="T40" s="174">
        <v>225</v>
      </c>
      <c r="U40" s="175">
        <f t="shared" si="6"/>
        <v>45895</v>
      </c>
      <c r="V40" s="172">
        <v>27</v>
      </c>
      <c r="W40" s="173">
        <v>0.78125</v>
      </c>
      <c r="X40" s="174">
        <v>468</v>
      </c>
    </row>
    <row r="41" spans="2:24" ht="15.75" thickBot="1" x14ac:dyDescent="0.3">
      <c r="B41" s="90">
        <f t="shared" si="7"/>
        <v>45896</v>
      </c>
      <c r="D41" s="172">
        <v>131.66999999999999</v>
      </c>
      <c r="E41" s="89">
        <v>0.42083333333333334</v>
      </c>
      <c r="F41" s="88">
        <v>1323.84</v>
      </c>
      <c r="G41" s="93">
        <f t="shared" si="0"/>
        <v>815.3</v>
      </c>
      <c r="H41" s="88">
        <v>508.54</v>
      </c>
      <c r="I41" s="90">
        <f t="shared" si="3"/>
        <v>45896</v>
      </c>
      <c r="J41" s="91">
        <v>39.83</v>
      </c>
      <c r="K41" s="89">
        <v>0.94444444444444442</v>
      </c>
      <c r="L41" s="88">
        <v>601.17999999999995</v>
      </c>
      <c r="M41" s="90">
        <f t="shared" si="4"/>
        <v>45896</v>
      </c>
      <c r="N41" s="91">
        <v>30.42</v>
      </c>
      <c r="O41" s="89">
        <v>0.35416666666666669</v>
      </c>
      <c r="P41" s="91">
        <v>14.94</v>
      </c>
      <c r="Q41" s="89">
        <v>0.66736111111111107</v>
      </c>
      <c r="R41" s="92">
        <f t="shared" si="8"/>
        <v>599.11</v>
      </c>
      <c r="S41" s="88">
        <v>376.43</v>
      </c>
      <c r="T41" s="88">
        <v>222.68</v>
      </c>
      <c r="U41" s="90">
        <f t="shared" si="6"/>
        <v>45896</v>
      </c>
      <c r="V41" s="91">
        <v>29.67</v>
      </c>
      <c r="W41" s="89">
        <v>0.74097222222222225</v>
      </c>
      <c r="X41" s="88">
        <v>524.63</v>
      </c>
    </row>
    <row r="42" spans="2:24" ht="15.75" thickBot="1" x14ac:dyDescent="0.3">
      <c r="B42" s="90">
        <f t="shared" si="7"/>
        <v>45897</v>
      </c>
      <c r="D42" s="172">
        <v>130.69999999999999</v>
      </c>
      <c r="E42" s="89">
        <v>0.50763888888888886</v>
      </c>
      <c r="F42" s="88">
        <v>1368</v>
      </c>
      <c r="G42" s="93">
        <f t="shared" si="0"/>
        <v>866.52</v>
      </c>
      <c r="H42" s="88">
        <v>501.48</v>
      </c>
      <c r="I42" s="90">
        <f t="shared" si="3"/>
        <v>45897</v>
      </c>
      <c r="J42" s="91">
        <v>35.31</v>
      </c>
      <c r="K42" s="89">
        <v>5.9722222222222225E-2</v>
      </c>
      <c r="L42" s="88">
        <v>609.02</v>
      </c>
      <c r="M42" s="90">
        <f t="shared" si="4"/>
        <v>45897</v>
      </c>
      <c r="N42" s="91">
        <v>30.63</v>
      </c>
      <c r="O42" s="89">
        <v>0.62083333333333335</v>
      </c>
      <c r="P42" s="91">
        <v>15.11</v>
      </c>
      <c r="Q42" s="89">
        <v>0.63263888888888886</v>
      </c>
      <c r="R42" s="92">
        <f t="shared" si="8"/>
        <v>595.74</v>
      </c>
      <c r="S42" s="88">
        <v>373.32</v>
      </c>
      <c r="T42" s="88">
        <v>222.42</v>
      </c>
      <c r="U42" s="90">
        <f t="shared" si="6"/>
        <v>45897</v>
      </c>
      <c r="V42" s="91">
        <v>31.35</v>
      </c>
      <c r="W42" s="89">
        <v>0.7680555555555556</v>
      </c>
      <c r="X42" s="88">
        <v>540.6</v>
      </c>
    </row>
    <row r="43" spans="2:24" ht="15.75" thickBot="1" x14ac:dyDescent="0.3">
      <c r="B43" s="90">
        <f t="shared" si="7"/>
        <v>45898</v>
      </c>
      <c r="D43" s="172">
        <v>88</v>
      </c>
      <c r="E43" s="89">
        <v>0.14583333333333334</v>
      </c>
      <c r="F43" s="88">
        <v>1051</v>
      </c>
      <c r="G43" s="93">
        <f t="shared" si="0"/>
        <v>544</v>
      </c>
      <c r="H43" s="88">
        <v>507</v>
      </c>
      <c r="I43" s="90">
        <f t="shared" si="3"/>
        <v>45898</v>
      </c>
      <c r="J43" s="91">
        <v>30</v>
      </c>
      <c r="K43" s="89">
        <v>0.29166666666666669</v>
      </c>
      <c r="L43" s="88">
        <v>597</v>
      </c>
      <c r="M43" s="175">
        <f t="shared" si="4"/>
        <v>45898</v>
      </c>
      <c r="N43" s="91">
        <v>22</v>
      </c>
      <c r="O43" s="89">
        <v>0.57291666666666663</v>
      </c>
      <c r="P43" s="91">
        <v>10</v>
      </c>
      <c r="Q43" s="89">
        <v>0.35416666666666669</v>
      </c>
      <c r="R43" s="92">
        <f t="shared" si="8"/>
        <v>533</v>
      </c>
      <c r="S43" s="88">
        <v>359</v>
      </c>
      <c r="T43" s="88">
        <v>174</v>
      </c>
      <c r="U43" s="90">
        <f t="shared" si="6"/>
        <v>45898</v>
      </c>
      <c r="V43" s="91">
        <v>28</v>
      </c>
      <c r="W43" s="89">
        <v>3.125E-2</v>
      </c>
      <c r="X43" s="88">
        <v>515</v>
      </c>
    </row>
    <row r="44" spans="2:24" ht="15.75" thickBot="1" x14ac:dyDescent="0.3">
      <c r="B44" s="90">
        <f t="shared" si="7"/>
        <v>45899</v>
      </c>
      <c r="D44" s="172">
        <v>90</v>
      </c>
      <c r="E44" s="173">
        <v>0.29097222222222224</v>
      </c>
      <c r="F44" s="174">
        <v>815</v>
      </c>
      <c r="G44" s="93">
        <f t="shared" si="0"/>
        <v>396</v>
      </c>
      <c r="H44" s="174">
        <v>419</v>
      </c>
      <c r="I44" s="90">
        <f t="shared" si="3"/>
        <v>45899</v>
      </c>
      <c r="J44" s="172">
        <v>35</v>
      </c>
      <c r="K44" s="173">
        <v>0.94791666666666663</v>
      </c>
      <c r="L44" s="174">
        <v>570</v>
      </c>
      <c r="M44" s="90">
        <f t="shared" si="4"/>
        <v>45899</v>
      </c>
      <c r="N44" s="172">
        <v>32</v>
      </c>
      <c r="O44" s="173">
        <v>0.67777777777777781</v>
      </c>
      <c r="P44" s="172">
        <v>13</v>
      </c>
      <c r="Q44" s="173">
        <v>0.40416666666666667</v>
      </c>
      <c r="R44" s="92">
        <f t="shared" si="8"/>
        <v>550</v>
      </c>
      <c r="S44" s="174">
        <v>365</v>
      </c>
      <c r="T44" s="174">
        <v>185</v>
      </c>
      <c r="U44" s="90">
        <f t="shared" si="6"/>
        <v>45899</v>
      </c>
      <c r="V44" s="172">
        <v>30</v>
      </c>
      <c r="W44" s="173">
        <v>0.44236111111111109</v>
      </c>
      <c r="X44" s="174">
        <v>502</v>
      </c>
    </row>
    <row r="45" spans="2:24" x14ac:dyDescent="0.25">
      <c r="B45" s="90">
        <f t="shared" si="7"/>
        <v>45900</v>
      </c>
      <c r="D45" s="172">
        <v>59</v>
      </c>
      <c r="E45" s="89">
        <v>0.86458333333333337</v>
      </c>
      <c r="F45" s="88">
        <v>761</v>
      </c>
      <c r="G45" s="93">
        <f t="shared" si="0"/>
        <v>350</v>
      </c>
      <c r="H45" s="88">
        <v>411</v>
      </c>
      <c r="I45" s="90">
        <f t="shared" si="3"/>
        <v>45900</v>
      </c>
      <c r="J45" s="91">
        <v>35</v>
      </c>
      <c r="K45" s="89">
        <v>2.0833333333333332E-2</v>
      </c>
      <c r="L45" s="88">
        <v>588</v>
      </c>
      <c r="M45" s="90">
        <f t="shared" si="4"/>
        <v>45900</v>
      </c>
      <c r="N45" s="91">
        <v>26</v>
      </c>
      <c r="O45" s="89">
        <v>0.70833333333333337</v>
      </c>
      <c r="P45" s="91">
        <v>8</v>
      </c>
      <c r="Q45" s="89">
        <v>0.57291666666666663</v>
      </c>
      <c r="R45" s="92">
        <f t="shared" ref="R45" si="9">S45+T45</f>
        <v>515</v>
      </c>
      <c r="S45" s="88">
        <v>358</v>
      </c>
      <c r="T45" s="88">
        <v>157</v>
      </c>
      <c r="U45" s="90">
        <f t="shared" si="6"/>
        <v>45900</v>
      </c>
      <c r="V45" s="91">
        <v>26</v>
      </c>
      <c r="W45" s="89">
        <v>0.54166666666666663</v>
      </c>
      <c r="X45" s="88">
        <v>504</v>
      </c>
    </row>
    <row r="46" spans="2:24" x14ac:dyDescent="0.25">
      <c r="F46" s="243">
        <f>SUM(F15:F45)</f>
        <v>36579.919999999998</v>
      </c>
      <c r="G46" s="243">
        <f t="shared" ref="G46:H46" si="10">SUM(G15:G45)</f>
        <v>21324.55</v>
      </c>
      <c r="H46" s="243">
        <f t="shared" si="10"/>
        <v>15255.369999999999</v>
      </c>
    </row>
    <row r="47" spans="2:24" x14ac:dyDescent="0.25">
      <c r="G47" s="244">
        <f>G46/F46</f>
        <v>0.58295780854632817</v>
      </c>
      <c r="H47" s="245">
        <f>H46/F46</f>
        <v>0.41704219145367183</v>
      </c>
    </row>
    <row r="48" spans="2:24" x14ac:dyDescent="0.25">
      <c r="E48" s="178" t="s">
        <v>62</v>
      </c>
      <c r="F48" s="178" t="s">
        <v>63</v>
      </c>
      <c r="G48" s="178" t="s">
        <v>64</v>
      </c>
      <c r="H48" s="178" t="s">
        <v>65</v>
      </c>
      <c r="I48" s="178" t="s">
        <v>66</v>
      </c>
      <c r="J48" s="178" t="s">
        <v>67</v>
      </c>
    </row>
    <row r="49" spans="4:10" x14ac:dyDescent="0.25">
      <c r="D49" s="181">
        <v>45838</v>
      </c>
      <c r="E49" s="179">
        <f t="shared" ref="E49:E79" si="11">F14/J49</f>
        <v>0.47003154574132494</v>
      </c>
      <c r="F49" s="179">
        <f t="shared" ref="F49:F79" si="12">L14/J49</f>
        <v>0.19684542586750789</v>
      </c>
      <c r="G49" s="179">
        <f t="shared" ref="G49:G79" si="13">S14/J49</f>
        <v>9.7791798107255523E-2</v>
      </c>
      <c r="H49" s="179">
        <f t="shared" ref="H49:H79" si="14">T14/J49</f>
        <v>6.9400630914826497E-2</v>
      </c>
      <c r="I49" s="179">
        <f t="shared" ref="I49:I79" si="15">X14/J49</f>
        <v>0.16593059936908516</v>
      </c>
      <c r="J49" s="180">
        <f>F14+L14+S14+T14+X14</f>
        <v>3170</v>
      </c>
    </row>
    <row r="50" spans="4:10" x14ac:dyDescent="0.25">
      <c r="D50" s="181">
        <v>45839</v>
      </c>
      <c r="E50" s="179">
        <f t="shared" si="11"/>
        <v>0.45407335280753003</v>
      </c>
      <c r="F50" s="179">
        <f t="shared" si="12"/>
        <v>0.20610191496267447</v>
      </c>
      <c r="G50" s="179">
        <f t="shared" si="13"/>
        <v>0.103862382343395</v>
      </c>
      <c r="H50" s="179">
        <f t="shared" si="14"/>
        <v>7.3352807530022726E-2</v>
      </c>
      <c r="I50" s="179">
        <f t="shared" si="15"/>
        <v>0.16260954235637781</v>
      </c>
      <c r="J50" s="180">
        <f t="shared" ref="J50:J79" si="16">F15+L15+S15+T15+X15</f>
        <v>3081</v>
      </c>
    </row>
    <row r="51" spans="4:10" x14ac:dyDescent="0.25">
      <c r="D51" s="181">
        <v>45840</v>
      </c>
      <c r="E51" s="179">
        <f t="shared" si="11"/>
        <v>0.35388956066102378</v>
      </c>
      <c r="F51" s="179">
        <f t="shared" si="12"/>
        <v>0.22934300685207579</v>
      </c>
      <c r="G51" s="179">
        <f t="shared" si="13"/>
        <v>0.13865376864167675</v>
      </c>
      <c r="H51" s="179">
        <f t="shared" si="14"/>
        <v>7.4566706972994765E-2</v>
      </c>
      <c r="I51" s="179">
        <f t="shared" si="15"/>
        <v>0.20354695687222893</v>
      </c>
      <c r="J51" s="180">
        <f t="shared" si="16"/>
        <v>2481</v>
      </c>
    </row>
    <row r="52" spans="4:10" x14ac:dyDescent="0.25">
      <c r="D52" s="181">
        <v>45841</v>
      </c>
      <c r="E52" s="179">
        <f t="shared" si="11"/>
        <v>0.37325681377352077</v>
      </c>
      <c r="F52" s="179">
        <f t="shared" si="12"/>
        <v>0.23463776520226362</v>
      </c>
      <c r="G52" s="179">
        <f t="shared" si="13"/>
        <v>0.13865504209242338</v>
      </c>
      <c r="H52" s="179">
        <f t="shared" si="14"/>
        <v>6.4516387050330942E-2</v>
      </c>
      <c r="I52" s="179">
        <f t="shared" si="15"/>
        <v>0.18893399188146134</v>
      </c>
      <c r="J52" s="180">
        <f t="shared" si="16"/>
        <v>2500.4499999999998</v>
      </c>
    </row>
    <row r="53" spans="4:10" x14ac:dyDescent="0.25">
      <c r="D53" s="181">
        <v>45842</v>
      </c>
      <c r="E53" s="179">
        <f t="shared" si="11"/>
        <v>0.45744010088272385</v>
      </c>
      <c r="F53" s="179">
        <f t="shared" si="12"/>
        <v>0.19640605296343</v>
      </c>
      <c r="G53" s="179">
        <f t="shared" si="13"/>
        <v>0.11191677175283733</v>
      </c>
      <c r="H53" s="179">
        <f t="shared" si="14"/>
        <v>6.8095838587641871E-2</v>
      </c>
      <c r="I53" s="179">
        <f t="shared" si="15"/>
        <v>0.16614123581336696</v>
      </c>
      <c r="J53" s="180">
        <f t="shared" si="16"/>
        <v>3172</v>
      </c>
    </row>
    <row r="54" spans="4:10" x14ac:dyDescent="0.25">
      <c r="D54" s="181">
        <v>45843</v>
      </c>
      <c r="E54" s="179">
        <f t="shared" si="11"/>
        <v>0.45742251223491026</v>
      </c>
      <c r="F54" s="179">
        <f t="shared" si="12"/>
        <v>0.19804241435562805</v>
      </c>
      <c r="G54" s="179">
        <f t="shared" si="13"/>
        <v>0.11712887438825449</v>
      </c>
      <c r="H54" s="179">
        <f t="shared" si="14"/>
        <v>7.2756933115823819E-2</v>
      </c>
      <c r="I54" s="179">
        <f t="shared" si="15"/>
        <v>0.15464926590538336</v>
      </c>
      <c r="J54" s="180">
        <f t="shared" si="16"/>
        <v>3065</v>
      </c>
    </row>
    <row r="55" spans="4:10" x14ac:dyDescent="0.25">
      <c r="D55" s="181">
        <v>45844</v>
      </c>
      <c r="E55" s="179">
        <f t="shared" si="11"/>
        <v>0.44247787610619471</v>
      </c>
      <c r="F55" s="179">
        <f t="shared" si="12"/>
        <v>0.20251872021783526</v>
      </c>
      <c r="G55" s="179">
        <f t="shared" si="13"/>
        <v>0.12185159972770593</v>
      </c>
      <c r="H55" s="179">
        <f t="shared" si="14"/>
        <v>7.5901974132062622E-2</v>
      </c>
      <c r="I55" s="179">
        <f t="shared" si="15"/>
        <v>0.1572498298162015</v>
      </c>
      <c r="J55" s="180">
        <f t="shared" si="16"/>
        <v>2938</v>
      </c>
    </row>
    <row r="56" spans="4:10" x14ac:dyDescent="0.25">
      <c r="D56" s="181">
        <v>45845</v>
      </c>
      <c r="E56" s="179">
        <f t="shared" si="11"/>
        <v>0.45112016293279023</v>
      </c>
      <c r="F56" s="179">
        <f t="shared" si="12"/>
        <v>0.19517990495587237</v>
      </c>
      <c r="G56" s="179">
        <f t="shared" si="13"/>
        <v>0.12152070604209098</v>
      </c>
      <c r="H56" s="179">
        <f t="shared" si="14"/>
        <v>7.6714188730482011E-2</v>
      </c>
      <c r="I56" s="179">
        <f t="shared" si="15"/>
        <v>0.15546503733876443</v>
      </c>
      <c r="J56" s="180">
        <f t="shared" si="16"/>
        <v>2946</v>
      </c>
    </row>
    <row r="57" spans="4:10" x14ac:dyDescent="0.25">
      <c r="D57" s="181">
        <v>45846</v>
      </c>
      <c r="E57" s="179">
        <f t="shared" si="11"/>
        <v>0.44552550553382703</v>
      </c>
      <c r="F57" s="179">
        <f t="shared" si="12"/>
        <v>0.19860530914537733</v>
      </c>
      <c r="G57" s="179">
        <f t="shared" si="13"/>
        <v>0.11715736040609136</v>
      </c>
      <c r="H57" s="179">
        <f t="shared" si="14"/>
        <v>7.5270034118332343E-2</v>
      </c>
      <c r="I57" s="179">
        <f t="shared" si="15"/>
        <v>0.16344179079637178</v>
      </c>
      <c r="J57" s="180">
        <f t="shared" si="16"/>
        <v>3004.2500000000005</v>
      </c>
    </row>
    <row r="58" spans="4:10" x14ac:dyDescent="0.25">
      <c r="D58" s="181">
        <v>45847</v>
      </c>
      <c r="E58" s="179">
        <f t="shared" si="11"/>
        <v>0.40339932829866587</v>
      </c>
      <c r="F58" s="179">
        <f t="shared" si="12"/>
        <v>0.21303323251628223</v>
      </c>
      <c r="G58" s="179">
        <f t="shared" si="13"/>
        <v>0.12907056575065406</v>
      </c>
      <c r="H58" s="179">
        <f t="shared" si="14"/>
        <v>6.87324884493348E-2</v>
      </c>
      <c r="I58" s="179">
        <f t="shared" si="15"/>
        <v>0.18576438498506298</v>
      </c>
      <c r="J58" s="180">
        <f t="shared" si="16"/>
        <v>2694.65</v>
      </c>
    </row>
    <row r="59" spans="4:10" x14ac:dyDescent="0.25">
      <c r="D59" s="181">
        <v>45848</v>
      </c>
      <c r="E59" s="179">
        <f t="shared" si="11"/>
        <v>0.38157374456306842</v>
      </c>
      <c r="F59" s="179">
        <f t="shared" si="12"/>
        <v>0.22815342032423883</v>
      </c>
      <c r="G59" s="179">
        <f t="shared" si="13"/>
        <v>0.13879003558718861</v>
      </c>
      <c r="H59" s="179">
        <f t="shared" si="14"/>
        <v>6.7615658362989328E-2</v>
      </c>
      <c r="I59" s="179">
        <f t="shared" si="15"/>
        <v>0.18386714116251482</v>
      </c>
      <c r="J59" s="180">
        <f t="shared" si="16"/>
        <v>2529</v>
      </c>
    </row>
    <row r="60" spans="4:10" x14ac:dyDescent="0.25">
      <c r="D60" s="181">
        <v>45849</v>
      </c>
      <c r="E60" s="179">
        <f t="shared" si="11"/>
        <v>0.4512074098577572</v>
      </c>
      <c r="F60" s="179">
        <f t="shared" si="12"/>
        <v>0.20145550777373469</v>
      </c>
      <c r="G60" s="179">
        <f t="shared" si="13"/>
        <v>0.11908699966920278</v>
      </c>
      <c r="H60" s="179">
        <f t="shared" si="14"/>
        <v>7.3106185908038371E-2</v>
      </c>
      <c r="I60" s="179">
        <f t="shared" si="15"/>
        <v>0.15514389679126694</v>
      </c>
      <c r="J60" s="180">
        <f t="shared" si="16"/>
        <v>3023</v>
      </c>
    </row>
    <row r="61" spans="4:10" x14ac:dyDescent="0.25">
      <c r="D61" s="181">
        <v>45850</v>
      </c>
      <c r="E61" s="179">
        <f t="shared" si="11"/>
        <v>0.43796864349011588</v>
      </c>
      <c r="F61" s="179">
        <f t="shared" si="12"/>
        <v>0.20654396728016361</v>
      </c>
      <c r="G61" s="179">
        <f t="shared" si="13"/>
        <v>0.12440354464894342</v>
      </c>
      <c r="H61" s="179">
        <f t="shared" si="14"/>
        <v>7.5664621676891614E-2</v>
      </c>
      <c r="I61" s="179">
        <f t="shared" si="15"/>
        <v>0.15541922290388549</v>
      </c>
      <c r="J61" s="180">
        <f t="shared" si="16"/>
        <v>2934</v>
      </c>
    </row>
    <row r="62" spans="4:10" x14ac:dyDescent="0.25">
      <c r="D62" s="181">
        <v>45851</v>
      </c>
      <c r="E62" s="179">
        <f t="shared" si="11"/>
        <v>0.44108931753400382</v>
      </c>
      <c r="F62" s="179">
        <f t="shared" si="12"/>
        <v>0.19218683116374602</v>
      </c>
      <c r="G62" s="179">
        <f t="shared" si="13"/>
        <v>0.11977581853114018</v>
      </c>
      <c r="H62" s="179">
        <f t="shared" si="14"/>
        <v>7.3496082797158246E-2</v>
      </c>
      <c r="I62" s="179">
        <f t="shared" si="15"/>
        <v>0.17345194997395169</v>
      </c>
      <c r="J62" s="180">
        <f t="shared" si="16"/>
        <v>3013.63</v>
      </c>
    </row>
    <row r="63" spans="4:10" x14ac:dyDescent="0.25">
      <c r="D63" s="181">
        <v>45852</v>
      </c>
      <c r="E63" s="179">
        <f t="shared" si="11"/>
        <v>0.4359827070169604</v>
      </c>
      <c r="F63" s="179">
        <f t="shared" si="12"/>
        <v>0.1975390754905221</v>
      </c>
      <c r="G63" s="179">
        <f t="shared" si="13"/>
        <v>0.12071832391087463</v>
      </c>
      <c r="H63" s="179">
        <f t="shared" si="14"/>
        <v>7.4492850016627865E-2</v>
      </c>
      <c r="I63" s="179">
        <f t="shared" si="15"/>
        <v>0.17126704356501496</v>
      </c>
      <c r="J63" s="180">
        <f t="shared" si="16"/>
        <v>3007</v>
      </c>
    </row>
    <row r="64" spans="4:10" x14ac:dyDescent="0.25">
      <c r="D64" s="181">
        <v>45853</v>
      </c>
      <c r="E64" s="179">
        <f t="shared" si="11"/>
        <v>0.37192307692307691</v>
      </c>
      <c r="F64" s="179">
        <f t="shared" si="12"/>
        <v>0.22769230769230769</v>
      </c>
      <c r="G64" s="179">
        <f t="shared" si="13"/>
        <v>0.13384615384615384</v>
      </c>
      <c r="H64" s="179">
        <f t="shared" si="14"/>
        <v>7.4230769230769225E-2</v>
      </c>
      <c r="I64" s="179">
        <f t="shared" si="15"/>
        <v>0.19230769230769232</v>
      </c>
      <c r="J64" s="180">
        <f t="shared" si="16"/>
        <v>2600</v>
      </c>
    </row>
    <row r="65" spans="4:10" x14ac:dyDescent="0.25">
      <c r="D65" s="181">
        <v>45854</v>
      </c>
      <c r="E65" s="179">
        <f t="shared" si="11"/>
        <v>0.36118038237738986</v>
      </c>
      <c r="F65" s="179">
        <f t="shared" si="12"/>
        <v>0.23275145469659186</v>
      </c>
      <c r="G65" s="179">
        <f t="shared" si="13"/>
        <v>0.14505403158769742</v>
      </c>
      <c r="H65" s="179">
        <f t="shared" si="14"/>
        <v>7.647547797173733E-2</v>
      </c>
      <c r="I65" s="179">
        <f t="shared" si="15"/>
        <v>0.18453865336658354</v>
      </c>
      <c r="J65" s="180">
        <f t="shared" si="16"/>
        <v>2406</v>
      </c>
    </row>
    <row r="66" spans="4:10" x14ac:dyDescent="0.25">
      <c r="D66" s="181">
        <v>45855</v>
      </c>
      <c r="E66" s="179">
        <f t="shared" si="11"/>
        <v>0.34673779236766517</v>
      </c>
      <c r="F66" s="179">
        <f t="shared" si="12"/>
        <v>0.24169060320065655</v>
      </c>
      <c r="G66" s="179">
        <f t="shared" si="13"/>
        <v>0.14279852277390234</v>
      </c>
      <c r="H66" s="179">
        <f t="shared" si="14"/>
        <v>6.6064833812064017E-2</v>
      </c>
      <c r="I66" s="179">
        <f t="shared" si="15"/>
        <v>0.20270824784571195</v>
      </c>
      <c r="J66" s="180">
        <f t="shared" si="16"/>
        <v>2437</v>
      </c>
    </row>
    <row r="67" spans="4:10" x14ac:dyDescent="0.25">
      <c r="D67" s="181">
        <v>45856</v>
      </c>
      <c r="E67" s="179">
        <f t="shared" si="11"/>
        <v>0.4389750505731625</v>
      </c>
      <c r="F67" s="179">
        <f t="shared" si="12"/>
        <v>0.20600134861766689</v>
      </c>
      <c r="G67" s="179">
        <f t="shared" si="13"/>
        <v>0.12036412677006068</v>
      </c>
      <c r="H67" s="179">
        <f t="shared" si="14"/>
        <v>7.2825354012137564E-2</v>
      </c>
      <c r="I67" s="179">
        <f t="shared" si="15"/>
        <v>0.16183412002697237</v>
      </c>
      <c r="J67" s="180">
        <f t="shared" si="16"/>
        <v>2966</v>
      </c>
    </row>
    <row r="68" spans="4:10" x14ac:dyDescent="0.25">
      <c r="D68" s="181">
        <v>45857</v>
      </c>
      <c r="E68" s="179">
        <f t="shared" si="11"/>
        <v>0.42023893183415317</v>
      </c>
      <c r="F68" s="179">
        <f t="shared" si="12"/>
        <v>0.21257905832747717</v>
      </c>
      <c r="G68" s="179">
        <f t="shared" si="13"/>
        <v>0.12614195361911454</v>
      </c>
      <c r="H68" s="179">
        <f t="shared" si="14"/>
        <v>7.7652846099789175E-2</v>
      </c>
      <c r="I68" s="179">
        <f t="shared" si="15"/>
        <v>0.16338721011946591</v>
      </c>
      <c r="J68" s="180">
        <f t="shared" si="16"/>
        <v>2846</v>
      </c>
    </row>
    <row r="69" spans="4:10" x14ac:dyDescent="0.25">
      <c r="D69" s="181">
        <v>45858</v>
      </c>
      <c r="E69" s="179">
        <f t="shared" si="11"/>
        <v>0.42258522727272729</v>
      </c>
      <c r="F69" s="179">
        <f t="shared" si="12"/>
        <v>0.20667613636363635</v>
      </c>
      <c r="G69" s="179">
        <f t="shared" si="13"/>
        <v>0.12677556818181818</v>
      </c>
      <c r="H69" s="179">
        <f t="shared" si="14"/>
        <v>7.8125E-2</v>
      </c>
      <c r="I69" s="179">
        <f t="shared" si="15"/>
        <v>0.16583806818181818</v>
      </c>
      <c r="J69" s="180">
        <f t="shared" si="16"/>
        <v>2816</v>
      </c>
    </row>
    <row r="70" spans="4:10" x14ac:dyDescent="0.25">
      <c r="D70" s="181">
        <v>45859</v>
      </c>
      <c r="E70" s="179">
        <f t="shared" si="11"/>
        <v>0.43919365499008595</v>
      </c>
      <c r="F70" s="179">
        <f t="shared" si="12"/>
        <v>0.2005948446794448</v>
      </c>
      <c r="G70" s="179">
        <f t="shared" si="13"/>
        <v>0.11731658955717118</v>
      </c>
      <c r="H70" s="179">
        <f t="shared" si="14"/>
        <v>7.005948446794448E-2</v>
      </c>
      <c r="I70" s="179">
        <f t="shared" si="15"/>
        <v>0.17283542630535359</v>
      </c>
      <c r="J70" s="180">
        <f t="shared" si="16"/>
        <v>3026</v>
      </c>
    </row>
    <row r="71" spans="4:10" x14ac:dyDescent="0.25">
      <c r="D71" s="181">
        <v>45860</v>
      </c>
      <c r="E71" s="179">
        <f t="shared" si="11"/>
        <v>0.46886446886446886</v>
      </c>
      <c r="F71" s="179">
        <f t="shared" si="12"/>
        <v>0.19291819291819293</v>
      </c>
      <c r="G71" s="179">
        <f t="shared" si="13"/>
        <v>0.10958485958485958</v>
      </c>
      <c r="H71" s="179">
        <f t="shared" si="14"/>
        <v>6.3492063492063489E-2</v>
      </c>
      <c r="I71" s="179">
        <f t="shared" si="15"/>
        <v>0.16514041514041514</v>
      </c>
      <c r="J71" s="180">
        <f t="shared" si="16"/>
        <v>3276</v>
      </c>
    </row>
    <row r="72" spans="4:10" x14ac:dyDescent="0.25">
      <c r="D72" s="181">
        <v>45861</v>
      </c>
      <c r="E72" s="179">
        <f t="shared" si="11"/>
        <v>0.38983679525222553</v>
      </c>
      <c r="F72" s="179">
        <f t="shared" si="12"/>
        <v>0.22143916913946587</v>
      </c>
      <c r="G72" s="179">
        <f t="shared" si="13"/>
        <v>0.13316023738872404</v>
      </c>
      <c r="H72" s="179">
        <f t="shared" si="14"/>
        <v>6.4540059347181003E-2</v>
      </c>
      <c r="I72" s="179">
        <f t="shared" si="15"/>
        <v>0.19102373887240356</v>
      </c>
      <c r="J72" s="180">
        <f t="shared" si="16"/>
        <v>2696</v>
      </c>
    </row>
    <row r="73" spans="4:10" x14ac:dyDescent="0.25">
      <c r="D73" s="181">
        <v>45862</v>
      </c>
      <c r="E73" s="179">
        <f t="shared" si="11"/>
        <v>0.37634838194166997</v>
      </c>
      <c r="F73" s="179">
        <f t="shared" si="12"/>
        <v>0.23092289252896525</v>
      </c>
      <c r="G73" s="179">
        <f t="shared" si="13"/>
        <v>0.14262884538553736</v>
      </c>
      <c r="H73" s="179">
        <f t="shared" si="14"/>
        <v>6.4722333200159812E-2</v>
      </c>
      <c r="I73" s="179">
        <f t="shared" si="15"/>
        <v>0.18537754694366759</v>
      </c>
      <c r="J73" s="180">
        <f t="shared" si="16"/>
        <v>2503</v>
      </c>
    </row>
    <row r="74" spans="4:10" x14ac:dyDescent="0.25">
      <c r="D74" s="181">
        <v>45863</v>
      </c>
      <c r="E74" s="179">
        <f t="shared" si="11"/>
        <v>0.4434025452109846</v>
      </c>
      <c r="F74" s="179">
        <f t="shared" si="12"/>
        <v>0.20763563295378432</v>
      </c>
      <c r="G74" s="179">
        <f t="shared" si="13"/>
        <v>0.12357669122572003</v>
      </c>
      <c r="H74" s="179">
        <f t="shared" si="14"/>
        <v>6.9658405894172812E-2</v>
      </c>
      <c r="I74" s="179">
        <f t="shared" si="15"/>
        <v>0.15572672471533824</v>
      </c>
      <c r="J74" s="180">
        <f t="shared" si="16"/>
        <v>2986</v>
      </c>
    </row>
    <row r="75" spans="4:10" x14ac:dyDescent="0.25">
      <c r="D75" s="181">
        <v>45864</v>
      </c>
      <c r="E75" s="179">
        <f t="shared" si="11"/>
        <v>0.44275314361350099</v>
      </c>
      <c r="F75" s="179">
        <f t="shared" si="12"/>
        <v>0.20416942422236931</v>
      </c>
      <c r="G75" s="179">
        <f t="shared" si="13"/>
        <v>0.12375909993381866</v>
      </c>
      <c r="H75" s="179">
        <f t="shared" si="14"/>
        <v>7.4454003970880214E-2</v>
      </c>
      <c r="I75" s="179">
        <f t="shared" si="15"/>
        <v>0.15486432825943083</v>
      </c>
      <c r="J75" s="180">
        <f t="shared" si="16"/>
        <v>3022</v>
      </c>
    </row>
    <row r="76" spans="4:10" x14ac:dyDescent="0.25">
      <c r="D76" s="181">
        <v>45865</v>
      </c>
      <c r="E76" s="179">
        <f t="shared" si="11"/>
        <v>0.43422243797478322</v>
      </c>
      <c r="F76" s="179">
        <f t="shared" si="12"/>
        <v>0.1971883651058135</v>
      </c>
      <c r="G76" s="179">
        <f t="shared" si="13"/>
        <v>0.12346986971752451</v>
      </c>
      <c r="H76" s="179">
        <f t="shared" si="14"/>
        <v>7.3039530825647153E-2</v>
      </c>
      <c r="I76" s="179">
        <f t="shared" si="15"/>
        <v>0.17207979637623166</v>
      </c>
      <c r="J76" s="180">
        <f t="shared" si="16"/>
        <v>3048.7599999999998</v>
      </c>
    </row>
    <row r="77" spans="4:10" x14ac:dyDescent="0.25">
      <c r="D77" s="181">
        <v>45866</v>
      </c>
      <c r="E77" s="179">
        <f t="shared" si="11"/>
        <v>0.43939666469666211</v>
      </c>
      <c r="F77" s="179">
        <f t="shared" si="12"/>
        <v>0.1956150268520184</v>
      </c>
      <c r="G77" s="179">
        <f t="shared" si="13"/>
        <v>0.11990903718169436</v>
      </c>
      <c r="H77" s="179">
        <f t="shared" si="14"/>
        <v>7.1440501580286239E-2</v>
      </c>
      <c r="I77" s="179">
        <f t="shared" si="15"/>
        <v>0.17363876968933886</v>
      </c>
      <c r="J77" s="180">
        <f t="shared" si="16"/>
        <v>3113.36</v>
      </c>
    </row>
    <row r="78" spans="4:10" x14ac:dyDescent="0.25">
      <c r="D78" s="181">
        <v>45867</v>
      </c>
      <c r="E78" s="179">
        <f t="shared" si="11"/>
        <v>0.38983679525222553</v>
      </c>
      <c r="F78" s="179">
        <f t="shared" si="12"/>
        <v>0.22143916913946587</v>
      </c>
      <c r="G78" s="179">
        <f t="shared" si="13"/>
        <v>0.13316023738872404</v>
      </c>
      <c r="H78" s="179">
        <f t="shared" si="14"/>
        <v>6.4540059347181003E-2</v>
      </c>
      <c r="I78" s="179">
        <f t="shared" si="15"/>
        <v>0.19102373887240356</v>
      </c>
      <c r="J78" s="180">
        <f t="shared" si="16"/>
        <v>2696</v>
      </c>
    </row>
    <row r="79" spans="4:10" x14ac:dyDescent="0.25">
      <c r="D79" s="181">
        <v>45868</v>
      </c>
      <c r="E79" s="179">
        <f t="shared" si="11"/>
        <v>0.33442757488715635</v>
      </c>
      <c r="F79" s="179">
        <f t="shared" si="12"/>
        <v>0.23389413212966761</v>
      </c>
      <c r="G79" s="179">
        <f t="shared" si="13"/>
        <v>0.14977431267952401</v>
      </c>
      <c r="H79" s="179">
        <f t="shared" si="14"/>
        <v>7.5913007796471074E-2</v>
      </c>
      <c r="I79" s="179">
        <f t="shared" si="15"/>
        <v>0.20599097250718096</v>
      </c>
      <c r="J79" s="180">
        <f t="shared" si="16"/>
        <v>2437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9 L21:L25 L41:L42 L45">
    <cfRule type="cellIs" dxfId="72" priority="196" operator="equal">
      <formula>MAX($L$14:$L$16)</formula>
    </cfRule>
  </conditionalFormatting>
  <conditionalFormatting sqref="T16:T19 T27:T39 T21:T25 T41:T43 T45">
    <cfRule type="cellIs" dxfId="71" priority="197" operator="equal">
      <formula>MAX($T$14:$T$16)</formula>
    </cfRule>
  </conditionalFormatting>
  <conditionalFormatting sqref="X16:X19 X27:X39 X21:X25 X41:X43 X45">
    <cfRule type="cellIs" dxfId="70" priority="198" operator="equal">
      <formula>MAX($X$14:$X$16)</formula>
    </cfRule>
  </conditionalFormatting>
  <conditionalFormatting sqref="J16:J19 J27:J39 J21:J25 J41:J42 J45">
    <cfRule type="cellIs" dxfId="69" priority="199" operator="equal">
      <formula>MAX($J$14:$J$16)</formula>
    </cfRule>
  </conditionalFormatting>
  <conditionalFormatting sqref="V16:V19 V27:V39 V21:V23 V41:V43 V45">
    <cfRule type="cellIs" dxfId="68" priority="200" operator="equal">
      <formula>MAX($V$14:$V$16)</formula>
    </cfRule>
  </conditionalFormatting>
  <conditionalFormatting sqref="D16:D19">
    <cfRule type="cellIs" dxfId="67" priority="201" operator="equal">
      <formula>MAX($D$14:$D$16)</formula>
    </cfRule>
  </conditionalFormatting>
  <conditionalFormatting sqref="S16:S19 S27:S39 S21:S25 S41:S43 S45">
    <cfRule type="cellIs" dxfId="66" priority="202" operator="equal">
      <formula>MAX($S$14:$S$16)</formula>
    </cfRule>
  </conditionalFormatting>
  <conditionalFormatting sqref="N16:N19 N27:N39 N21:N25 N41:N42 N45">
    <cfRule type="cellIs" dxfId="65" priority="203" operator="equal">
      <formula>MAX($N$14:$N$16)</formula>
    </cfRule>
  </conditionalFormatting>
  <conditionalFormatting sqref="P16:P19 P27:P39 P21:P25 P41:P42 P45">
    <cfRule type="cellIs" dxfId="64" priority="204" operator="equal">
      <formula>MAX($P$14:$P$16)</formula>
    </cfRule>
  </conditionalFormatting>
  <conditionalFormatting sqref="L26">
    <cfRule type="cellIs" dxfId="63" priority="128" operator="equal">
      <formula>MAX($L$14:$L$16)</formula>
    </cfRule>
  </conditionalFormatting>
  <conditionalFormatting sqref="T26">
    <cfRule type="cellIs" dxfId="62" priority="129" operator="equal">
      <formula>MAX($T$14:$T$16)</formula>
    </cfRule>
  </conditionalFormatting>
  <conditionalFormatting sqref="X26">
    <cfRule type="cellIs" dxfId="61" priority="130" operator="equal">
      <formula>MAX($X$14:$X$16)</formula>
    </cfRule>
  </conditionalFormatting>
  <conditionalFormatting sqref="J26">
    <cfRule type="cellIs" dxfId="60" priority="131" operator="equal">
      <formula>MAX($J$14:$J$16)</formula>
    </cfRule>
  </conditionalFormatting>
  <conditionalFormatting sqref="V26">
    <cfRule type="cellIs" dxfId="59" priority="132" operator="equal">
      <formula>MAX($V$14:$V$16)</formula>
    </cfRule>
  </conditionalFormatting>
  <conditionalFormatting sqref="S26">
    <cfRule type="cellIs" dxfId="58" priority="134" operator="equal">
      <formula>MAX($S$14:$S$16)</formula>
    </cfRule>
  </conditionalFormatting>
  <conditionalFormatting sqref="N26">
    <cfRule type="cellIs" dxfId="57" priority="135" operator="equal">
      <formula>MAX($N$14:$N$16)</formula>
    </cfRule>
  </conditionalFormatting>
  <conditionalFormatting sqref="P26">
    <cfRule type="cellIs" dxfId="56" priority="136" operator="equal">
      <formula>MAX($P$14:$P$16)</formula>
    </cfRule>
  </conditionalFormatting>
  <conditionalFormatting sqref="L40">
    <cfRule type="cellIs" dxfId="55" priority="118" operator="equal">
      <formula>MAX($L$14:$L$16)</formula>
    </cfRule>
  </conditionalFormatting>
  <conditionalFormatting sqref="T40">
    <cfRule type="cellIs" dxfId="54" priority="119" operator="equal">
      <formula>MAX($T$14:$T$16)</formula>
    </cfRule>
  </conditionalFormatting>
  <conditionalFormatting sqref="X40">
    <cfRule type="cellIs" dxfId="53" priority="120" operator="equal">
      <formula>MAX($X$14:$X$16)</formula>
    </cfRule>
  </conditionalFormatting>
  <conditionalFormatting sqref="J40">
    <cfRule type="cellIs" dxfId="52" priority="121" operator="equal">
      <formula>MAX($J$14:$J$16)</formula>
    </cfRule>
  </conditionalFormatting>
  <conditionalFormatting sqref="V40">
    <cfRule type="cellIs" dxfId="51" priority="122" operator="equal">
      <formula>MAX($V$14:$V$16)</formula>
    </cfRule>
  </conditionalFormatting>
  <conditionalFormatting sqref="S40">
    <cfRule type="cellIs" dxfId="50" priority="124" operator="equal">
      <formula>MAX($S$14:$S$16)</formula>
    </cfRule>
  </conditionalFormatting>
  <conditionalFormatting sqref="N40">
    <cfRule type="cellIs" dxfId="49" priority="125" operator="equal">
      <formula>MAX($N$14:$N$16)</formula>
    </cfRule>
  </conditionalFormatting>
  <conditionalFormatting sqref="P40">
    <cfRule type="cellIs" dxfId="48" priority="126" operator="equal">
      <formula>MAX($P$14:$P$16)</formula>
    </cfRule>
  </conditionalFormatting>
  <conditionalFormatting sqref="D20:D42 D44:D45">
    <cfRule type="cellIs" dxfId="47" priority="114" operator="equal">
      <formula>MAX($D$14:$D$42)</formula>
    </cfRule>
  </conditionalFormatting>
  <conditionalFormatting sqref="L20">
    <cfRule type="cellIs" dxfId="46" priority="105" operator="equal">
      <formula>MAX($L$14:$L$42)</formula>
    </cfRule>
  </conditionalFormatting>
  <conditionalFormatting sqref="T20">
    <cfRule type="cellIs" dxfId="45" priority="106" operator="equal">
      <formula>MAX($T$14:$T$42)</formula>
    </cfRule>
  </conditionalFormatting>
  <conditionalFormatting sqref="X20">
    <cfRule type="cellIs" dxfId="44" priority="107" operator="equal">
      <formula>MAX($X$14:$X$42)</formula>
    </cfRule>
  </conditionalFormatting>
  <conditionalFormatting sqref="J20">
    <cfRule type="cellIs" dxfId="43" priority="108" operator="equal">
      <formula>MAX($J$14:$J$42)</formula>
    </cfRule>
  </conditionalFormatting>
  <conditionalFormatting sqref="V20">
    <cfRule type="cellIs" dxfId="42" priority="109" operator="equal">
      <formula>MAX($V$14:$V$42)</formula>
    </cfRule>
  </conditionalFormatting>
  <conditionalFormatting sqref="S20">
    <cfRule type="cellIs" dxfId="41" priority="110" operator="equal">
      <formula>MAX($S$14:$S$42)</formula>
    </cfRule>
  </conditionalFormatting>
  <conditionalFormatting sqref="N20">
    <cfRule type="cellIs" dxfId="40" priority="111" operator="equal">
      <formula>MAX($N$14:$N$42)</formula>
    </cfRule>
  </conditionalFormatting>
  <conditionalFormatting sqref="P20">
    <cfRule type="cellIs" dxfId="39" priority="112" operator="equal">
      <formula>MAX($P$14:$P$42)</formula>
    </cfRule>
  </conditionalFormatting>
  <conditionalFormatting sqref="E49:E65">
    <cfRule type="top10" dxfId="38" priority="104" rank="2"/>
  </conditionalFormatting>
  <conditionalFormatting sqref="F49:F79">
    <cfRule type="top10" dxfId="37" priority="103" rank="2"/>
  </conditionalFormatting>
  <conditionalFormatting sqref="G49:G65">
    <cfRule type="top10" dxfId="36" priority="102" rank="2"/>
  </conditionalFormatting>
  <conditionalFormatting sqref="H49:H65">
    <cfRule type="top10" dxfId="35" priority="101" rank="2"/>
  </conditionalFormatting>
  <conditionalFormatting sqref="I49:I65">
    <cfRule type="top10" dxfId="34" priority="100" rank="2"/>
  </conditionalFormatting>
  <conditionalFormatting sqref="V24">
    <cfRule type="cellIs" dxfId="33" priority="70" operator="equal">
      <formula>MAX($J$14:$J$16)</formula>
    </cfRule>
  </conditionalFormatting>
  <conditionalFormatting sqref="V25">
    <cfRule type="cellIs" dxfId="32" priority="69" operator="equal">
      <formula>MAX($J$14:$J$16)</formula>
    </cfRule>
  </conditionalFormatting>
  <conditionalFormatting sqref="G14:G45 G47">
    <cfRule type="cellIs" dxfId="31" priority="58" operator="equal">
      <formula>MAX($G$14:$G$16)</formula>
    </cfRule>
  </conditionalFormatting>
  <conditionalFormatting sqref="L44">
    <cfRule type="cellIs" dxfId="30" priority="48" operator="equal">
      <formula>MAX($L$14:$L$16)</formula>
    </cfRule>
  </conditionalFormatting>
  <conditionalFormatting sqref="T44">
    <cfRule type="cellIs" dxfId="29" priority="49" operator="equal">
      <formula>MAX($T$14:$T$16)</formula>
    </cfRule>
  </conditionalFormatting>
  <conditionalFormatting sqref="X44">
    <cfRule type="cellIs" dxfId="28" priority="50" operator="equal">
      <formula>MAX($X$14:$X$16)</formula>
    </cfRule>
  </conditionalFormatting>
  <conditionalFormatting sqref="J44">
    <cfRule type="cellIs" dxfId="27" priority="51" operator="equal">
      <formula>MAX($J$14:$J$16)</formula>
    </cfRule>
  </conditionalFormatting>
  <conditionalFormatting sqref="V44">
    <cfRule type="cellIs" dxfId="26" priority="52" operator="equal">
      <formula>MAX($V$14:$V$16)</formula>
    </cfRule>
  </conditionalFormatting>
  <conditionalFormatting sqref="S44">
    <cfRule type="cellIs" dxfId="25" priority="54" operator="equal">
      <formula>MAX($S$14:$S$16)</formula>
    </cfRule>
  </conditionalFormatting>
  <conditionalFormatting sqref="N44">
    <cfRule type="cellIs" dxfId="24" priority="55" operator="equal">
      <formula>MAX($N$14:$N$16)</formula>
    </cfRule>
  </conditionalFormatting>
  <conditionalFormatting sqref="P44">
    <cfRule type="cellIs" dxfId="23" priority="56" operator="equal">
      <formula>MAX($P$14:$P$16)</formula>
    </cfRule>
  </conditionalFormatting>
  <conditionalFormatting sqref="D15">
    <cfRule type="cellIs" dxfId="22" priority="37" operator="equal">
      <formula>MAX($D$14:$D$16)</formula>
    </cfRule>
  </conditionalFormatting>
  <conditionalFormatting sqref="L15">
    <cfRule type="cellIs" dxfId="21" priority="34" operator="equal">
      <formula>MAX($L$14:$L$16)</formula>
    </cfRule>
  </conditionalFormatting>
  <conditionalFormatting sqref="J15">
    <cfRule type="cellIs" dxfId="20" priority="35" operator="equal">
      <formula>MAX($J$14:$J$16)</formula>
    </cfRule>
  </conditionalFormatting>
  <conditionalFormatting sqref="N15">
    <cfRule type="cellIs" dxfId="19" priority="30" operator="equal">
      <formula>MAX($N$14:$N$16)</formula>
    </cfRule>
  </conditionalFormatting>
  <conditionalFormatting sqref="P15">
    <cfRule type="cellIs" dxfId="18" priority="31" operator="equal">
      <formula>MAX($P$14:$P$16)</formula>
    </cfRule>
  </conditionalFormatting>
  <conditionalFormatting sqref="T15">
    <cfRule type="cellIs" dxfId="17" priority="26" operator="equal">
      <formula>MAX($T$14:$T$16)</formula>
    </cfRule>
  </conditionalFormatting>
  <conditionalFormatting sqref="S15">
    <cfRule type="cellIs" dxfId="16" priority="27" operator="equal">
      <formula>MAX($S$14:$S$16)</formula>
    </cfRule>
  </conditionalFormatting>
  <conditionalFormatting sqref="X15">
    <cfRule type="cellIs" dxfId="15" priority="22" operator="equal">
      <formula>MAX($X$14:$X$16)</formula>
    </cfRule>
  </conditionalFormatting>
  <conditionalFormatting sqref="V15">
    <cfRule type="cellIs" dxfId="14" priority="23" operator="equal">
      <formula>MAX($V$14:$V$16)</formula>
    </cfRule>
  </conditionalFormatting>
  <conditionalFormatting sqref="D14">
    <cfRule type="cellIs" dxfId="13" priority="19" operator="equal">
      <formula>MAX($D$14:$D$42)</formula>
    </cfRule>
  </conditionalFormatting>
  <conditionalFormatting sqref="L14">
    <cfRule type="cellIs" dxfId="12" priority="17" operator="equal">
      <formula>MAX($L$14:$L$16)</formula>
    </cfRule>
  </conditionalFormatting>
  <conditionalFormatting sqref="J14">
    <cfRule type="cellIs" dxfId="11" priority="18" operator="equal">
      <formula>MAX($J$14:$J$16)</formula>
    </cfRule>
  </conditionalFormatting>
  <conditionalFormatting sqref="N14">
    <cfRule type="cellIs" dxfId="10" priority="15" operator="equal">
      <formula>MAX($N$14:$N$16)</formula>
    </cfRule>
  </conditionalFormatting>
  <conditionalFormatting sqref="P14">
    <cfRule type="cellIs" dxfId="9" priority="16" operator="equal">
      <formula>MAX($P$14:$P$16)</formula>
    </cfRule>
  </conditionalFormatting>
  <conditionalFormatting sqref="T14">
    <cfRule type="cellIs" dxfId="8" priority="13" operator="equal">
      <formula>MAX($T$14:$T$16)</formula>
    </cfRule>
  </conditionalFormatting>
  <conditionalFormatting sqref="S14">
    <cfRule type="cellIs" dxfId="7" priority="14" operator="equal">
      <formula>MAX($S$14:$S$16)</formula>
    </cfRule>
  </conditionalFormatting>
  <conditionalFormatting sqref="X14">
    <cfRule type="cellIs" dxfId="6" priority="11" operator="equal">
      <formula>MAX($X$14:$X$16)</formula>
    </cfRule>
  </conditionalFormatting>
  <conditionalFormatting sqref="V14">
    <cfRule type="cellIs" dxfId="5" priority="12" operator="equal">
      <formula>MAX($V$14:$V$16)</formula>
    </cfRule>
  </conditionalFormatting>
  <conditionalFormatting sqref="N43">
    <cfRule type="cellIs" dxfId="4" priority="7" operator="equal">
      <formula>MAX($N$14:$N$16)</formula>
    </cfRule>
  </conditionalFormatting>
  <conditionalFormatting sqref="P43">
    <cfRule type="cellIs" dxfId="3" priority="8" operator="equal">
      <formula>MAX($P$14:$P$16)</formula>
    </cfRule>
  </conditionalFormatting>
  <conditionalFormatting sqref="L43">
    <cfRule type="cellIs" dxfId="2" priority="3" operator="equal">
      <formula>MAX($L$14:$L$16)</formula>
    </cfRule>
  </conditionalFormatting>
  <conditionalFormatting sqref="J43">
    <cfRule type="cellIs" dxfId="1" priority="4" operator="equal">
      <formula>MAX($J$14:$J$16)</formula>
    </cfRule>
  </conditionalFormatting>
  <conditionalFormatting sqref="D43">
    <cfRule type="cellIs" dxfId="0" priority="1" operator="equal">
      <formula>MAX($D$14:$D$42)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E12F763E-D83C-4C1A-B10A-043144A27BE4}"/>
</file>

<file path=customXml/itemProps2.xml><?xml version="1.0" encoding="utf-8"?>
<ds:datastoreItem xmlns:ds="http://schemas.openxmlformats.org/officeDocument/2006/customXml" ds:itemID="{C160DE32-593D-4530-9C4E-58C658A94187}"/>
</file>

<file path=customXml/itemProps3.xml><?xml version="1.0" encoding="utf-8"?>
<ds:datastoreItem xmlns:ds="http://schemas.openxmlformats.org/officeDocument/2006/customXml" ds:itemID="{0FA3C117-2CAE-47C4-8F47-C444CC783B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SEAT-SERs</vt:lpstr>
      <vt:lpstr>SAFs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2026-02-03T13:36:07Z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