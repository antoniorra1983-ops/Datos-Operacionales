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SEAT/2026/"/>
    </mc:Choice>
  </mc:AlternateContent>
  <xr:revisionPtr revIDLastSave="13" documentId="8_{BAE63285-95B3-49F3-B125-11C8B18AB0CE}" xr6:coauthVersionLast="47" xr6:coauthVersionMax="47" xr10:uidLastSave="{4E101004-9DB2-4251-A5FD-A1318CAFCB91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2" i="1" l="1"/>
  <c r="BB31" i="1"/>
  <c r="BB30" i="1"/>
  <c r="BB29" i="1"/>
  <c r="BA30" i="1"/>
  <c r="R40" i="2"/>
  <c r="G40" i="2"/>
  <c r="R39" i="2"/>
  <c r="I39" i="2"/>
  <c r="I40" i="2" s="1"/>
  <c r="G39" i="2"/>
  <c r="R38" i="2"/>
  <c r="I38" i="2"/>
  <c r="G38" i="2"/>
  <c r="B38" i="2"/>
  <c r="M38" i="2" s="1"/>
  <c r="BL32" i="1"/>
  <c r="BK32" i="1"/>
  <c r="BJ32" i="1"/>
  <c r="BA32" i="1"/>
  <c r="AY32" i="1" s="1"/>
  <c r="AX32" i="1"/>
  <c r="AW32" i="1"/>
  <c r="AP32" i="1"/>
  <c r="AM32" i="1" s="1"/>
  <c r="AN32" i="1"/>
  <c r="AF32" i="1"/>
  <c r="AD32" i="1"/>
  <c r="AC32" i="1"/>
  <c r="H32" i="1"/>
  <c r="G32" i="1" s="1"/>
  <c r="D32" i="1"/>
  <c r="BL31" i="1"/>
  <c r="BK31" i="1"/>
  <c r="BJ31" i="1"/>
  <c r="BA31" i="1"/>
  <c r="AW31" i="1" s="1"/>
  <c r="AX31" i="1"/>
  <c r="AP31" i="1"/>
  <c r="AM31" i="1" s="1"/>
  <c r="AN31" i="1"/>
  <c r="AF31" i="1"/>
  <c r="AD31" i="1"/>
  <c r="AC31" i="1"/>
  <c r="H31" i="1"/>
  <c r="G31" i="1" s="1"/>
  <c r="D31" i="1"/>
  <c r="F31" i="1" s="1"/>
  <c r="E31" i="1" s="1"/>
  <c r="BL30" i="1"/>
  <c r="BK30" i="1"/>
  <c r="BJ30" i="1"/>
  <c r="BI30" i="1"/>
  <c r="BI31" i="1" s="1"/>
  <c r="BI32" i="1" s="1"/>
  <c r="AV30" i="1"/>
  <c r="AV31" i="1" s="1"/>
  <c r="AV32" i="1" s="1"/>
  <c r="AP30" i="1"/>
  <c r="AM30" i="1" s="1"/>
  <c r="AN30" i="1"/>
  <c r="AL30" i="1"/>
  <c r="AL31" i="1" s="1"/>
  <c r="AL32" i="1" s="1"/>
  <c r="AF30" i="1"/>
  <c r="AD30" i="1"/>
  <c r="AC30" i="1"/>
  <c r="AB30" i="1"/>
  <c r="AB31" i="1" s="1"/>
  <c r="AB32" i="1" s="1"/>
  <c r="Q30" i="1"/>
  <c r="Q31" i="1" s="1"/>
  <c r="Q32" i="1" s="1"/>
  <c r="D30" i="1"/>
  <c r="B30" i="1"/>
  <c r="B31" i="1" s="1"/>
  <c r="B32" i="1" s="1"/>
  <c r="BB28" i="1"/>
  <c r="BA28" i="1" s="1"/>
  <c r="BB27" i="1"/>
  <c r="BA27" i="1" s="1"/>
  <c r="BB25" i="1"/>
  <c r="R37" i="2"/>
  <c r="G37" i="2"/>
  <c r="R36" i="2"/>
  <c r="I36" i="2"/>
  <c r="I37" i="2" s="1"/>
  <c r="G36" i="2"/>
  <c r="R35" i="2"/>
  <c r="I35" i="2"/>
  <c r="G35" i="2"/>
  <c r="B35" i="2"/>
  <c r="B36" i="2" s="1"/>
  <c r="BL29" i="1"/>
  <c r="BK29" i="1"/>
  <c r="BJ29" i="1"/>
  <c r="BA29" i="1"/>
  <c r="AW29" i="1" s="1"/>
  <c r="AX29" i="1"/>
  <c r="AP29" i="1"/>
  <c r="AN29" i="1"/>
  <c r="AM29" i="1"/>
  <c r="AF29" i="1"/>
  <c r="AC29" i="1" s="1"/>
  <c r="AD29" i="1"/>
  <c r="H29" i="1"/>
  <c r="G29" i="1"/>
  <c r="F29" i="1"/>
  <c r="E29" i="1"/>
  <c r="D29" i="1"/>
  <c r="BL28" i="1"/>
  <c r="BK28" i="1"/>
  <c r="BJ28" i="1"/>
  <c r="AX28" i="1"/>
  <c r="AP28" i="1"/>
  <c r="AN28" i="1"/>
  <c r="AM28" i="1"/>
  <c r="AF28" i="1"/>
  <c r="AC28" i="1" s="1"/>
  <c r="AD28" i="1"/>
  <c r="D28" i="1"/>
  <c r="BL27" i="1"/>
  <c r="BK27" i="1"/>
  <c r="BJ27" i="1"/>
  <c r="BI27" i="1"/>
  <c r="BI28" i="1" s="1"/>
  <c r="BI29" i="1" s="1"/>
  <c r="AV27" i="1"/>
  <c r="AV28" i="1" s="1"/>
  <c r="AV29" i="1" s="1"/>
  <c r="AP27" i="1"/>
  <c r="AN27" i="1"/>
  <c r="AM27" i="1"/>
  <c r="AL27" i="1"/>
  <c r="AL28" i="1" s="1"/>
  <c r="AL29" i="1" s="1"/>
  <c r="AF27" i="1"/>
  <c r="AC27" i="1" s="1"/>
  <c r="AD27" i="1"/>
  <c r="AB27" i="1"/>
  <c r="AB28" i="1" s="1"/>
  <c r="AB29" i="1" s="1"/>
  <c r="Q27" i="1"/>
  <c r="Q28" i="1" s="1"/>
  <c r="Q29" i="1" s="1"/>
  <c r="D27" i="1"/>
  <c r="B27" i="1"/>
  <c r="B28" i="1" s="1"/>
  <c r="B29" i="1" s="1"/>
  <c r="F32" i="1" l="1"/>
  <c r="E32" i="1" s="1"/>
  <c r="AY31" i="1"/>
  <c r="L31" i="1"/>
  <c r="P31" i="1" s="1"/>
  <c r="AY30" i="1"/>
  <c r="L30" i="1" s="1"/>
  <c r="P30" i="1" s="1"/>
  <c r="AW30" i="1"/>
  <c r="AX30" i="1"/>
  <c r="H30" i="1"/>
  <c r="G30" i="1" s="1"/>
  <c r="B39" i="2"/>
  <c r="I32" i="1"/>
  <c r="M32" i="1" s="1"/>
  <c r="J32" i="1"/>
  <c r="N32" i="1" s="1"/>
  <c r="K32" i="1"/>
  <c r="O32" i="1" s="1"/>
  <c r="L32" i="1"/>
  <c r="P32" i="1" s="1"/>
  <c r="K31" i="1"/>
  <c r="O31" i="1" s="1"/>
  <c r="K30" i="1"/>
  <c r="O30" i="1" s="1"/>
  <c r="AY29" i="1"/>
  <c r="J29" i="1" s="1"/>
  <c r="N29" i="1" s="1"/>
  <c r="AW28" i="1"/>
  <c r="AY28" i="1"/>
  <c r="J28" i="1" s="1"/>
  <c r="N28" i="1" s="1"/>
  <c r="H28" i="1"/>
  <c r="AW27" i="1"/>
  <c r="AY27" i="1"/>
  <c r="J27" i="1" s="1"/>
  <c r="N27" i="1" s="1"/>
  <c r="H27" i="1"/>
  <c r="AX27" i="1"/>
  <c r="M36" i="2"/>
  <c r="B37" i="2"/>
  <c r="M37" i="2" s="1"/>
  <c r="M35" i="2"/>
  <c r="K28" i="1"/>
  <c r="O28" i="1" s="1"/>
  <c r="K29" i="1"/>
  <c r="O29" i="1" s="1"/>
  <c r="L28" i="1"/>
  <c r="P28" i="1" s="1"/>
  <c r="L29" i="1"/>
  <c r="P29" i="1" s="1"/>
  <c r="I29" i="1"/>
  <c r="M29" i="1" s="1"/>
  <c r="I31" i="1" l="1"/>
  <c r="M31" i="1" s="1"/>
  <c r="J31" i="1"/>
  <c r="N31" i="1" s="1"/>
  <c r="F30" i="1"/>
  <c r="E30" i="1" s="1"/>
  <c r="J30" i="1"/>
  <c r="N30" i="1" s="1"/>
  <c r="I30" i="1"/>
  <c r="M30" i="1" s="1"/>
  <c r="M39" i="2"/>
  <c r="B40" i="2"/>
  <c r="M40" i="2" s="1"/>
  <c r="G28" i="1"/>
  <c r="F28" i="1"/>
  <c r="E28" i="1" s="1"/>
  <c r="I28" i="1"/>
  <c r="M28" i="1" s="1"/>
  <c r="L27" i="1"/>
  <c r="P27" i="1" s="1"/>
  <c r="K27" i="1"/>
  <c r="O27" i="1" s="1"/>
  <c r="I27" i="1"/>
  <c r="M27" i="1" s="1"/>
  <c r="G27" i="1"/>
  <c r="F27" i="1"/>
  <c r="E27" i="1" s="1"/>
  <c r="BB26" i="1"/>
  <c r="BB24" i="1"/>
  <c r="H24" i="1" s="1"/>
  <c r="BB22" i="1"/>
  <c r="H22" i="1" s="1"/>
  <c r="BB21" i="1"/>
  <c r="BB20" i="1"/>
  <c r="BB19" i="1"/>
  <c r="BB18" i="1"/>
  <c r="BB17" i="1"/>
  <c r="BB16" i="1"/>
  <c r="BB15" i="1"/>
  <c r="BB14" i="1"/>
  <c r="BB13" i="1"/>
  <c r="BB12" i="1"/>
  <c r="BB11" i="1"/>
  <c r="H11" i="1" s="1"/>
  <c r="BB10" i="1"/>
  <c r="BB9" i="1"/>
  <c r="BB8" i="1"/>
  <c r="BB7" i="1"/>
  <c r="D26" i="1"/>
  <c r="D25" i="1"/>
  <c r="D24" i="1"/>
  <c r="D21" i="1"/>
  <c r="BI7" i="1"/>
  <c r="AV7" i="1"/>
  <c r="AL7" i="1"/>
  <c r="AB7" i="1"/>
  <c r="Q7" i="1"/>
  <c r="BL7" i="1"/>
  <c r="BJ7" i="1" s="1"/>
  <c r="BK7" i="1"/>
  <c r="BA7" i="1"/>
  <c r="AY7" i="1"/>
  <c r="I7" i="1" s="1"/>
  <c r="M7" i="1" s="1"/>
  <c r="AX7" i="1"/>
  <c r="AW7" i="1"/>
  <c r="AP7" i="1"/>
  <c r="AM7" i="1" s="1"/>
  <c r="AN7" i="1"/>
  <c r="AF7" i="1"/>
  <c r="AD7" i="1"/>
  <c r="AC7" i="1"/>
  <c r="BL6" i="1"/>
  <c r="BK6" i="1" s="1"/>
  <c r="BJ6" i="1"/>
  <c r="BA6" i="1"/>
  <c r="AW6" i="1" s="1"/>
  <c r="AY6" i="1"/>
  <c r="AX6" i="1"/>
  <c r="AP6" i="1"/>
  <c r="AN6" i="1"/>
  <c r="AM6" i="1"/>
  <c r="AF6" i="1"/>
  <c r="AC6" i="1" s="1"/>
  <c r="AD6" i="1"/>
  <c r="R15" i="2"/>
  <c r="G15" i="2"/>
  <c r="R14" i="2"/>
  <c r="G14" i="2"/>
  <c r="D36" i="1"/>
  <c r="D37" i="1"/>
  <c r="AP33" i="1"/>
  <c r="AP34" i="1"/>
  <c r="R21" i="2"/>
  <c r="D13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2" i="1"/>
  <c r="D23" i="1"/>
  <c r="D33" i="1"/>
  <c r="D34" i="1"/>
  <c r="D35" i="1"/>
  <c r="H7" i="1"/>
  <c r="F7" i="1" s="1"/>
  <c r="E7" i="1" s="1"/>
  <c r="H8" i="1"/>
  <c r="H9" i="1"/>
  <c r="H10" i="1"/>
  <c r="H12" i="1"/>
  <c r="H13" i="1"/>
  <c r="H14" i="1"/>
  <c r="H15" i="1"/>
  <c r="H16" i="1"/>
  <c r="H17" i="1"/>
  <c r="H18" i="1"/>
  <c r="H19" i="1"/>
  <c r="H20" i="1"/>
  <c r="H21" i="1"/>
  <c r="H23" i="1"/>
  <c r="H25" i="1"/>
  <c r="H26" i="1"/>
  <c r="H33" i="1"/>
  <c r="F33" i="1" s="1"/>
  <c r="E33" i="1" s="1"/>
  <c r="H34" i="1"/>
  <c r="F34" i="1" s="1"/>
  <c r="E34" i="1" s="1"/>
  <c r="H35" i="1"/>
  <c r="G35" i="1" s="1"/>
  <c r="H36" i="1"/>
  <c r="F36" i="1" s="1"/>
  <c r="E36" i="1" s="1"/>
  <c r="H37" i="1"/>
  <c r="L7" i="1"/>
  <c r="P7" i="1" s="1"/>
  <c r="J7" i="1" l="1"/>
  <c r="N7" i="1" s="1"/>
  <c r="K7" i="1"/>
  <c r="O7" i="1" s="1"/>
  <c r="G13" i="1"/>
  <c r="G9" i="1"/>
  <c r="F8" i="1"/>
  <c r="E8" i="1" s="1"/>
  <c r="G8" i="1"/>
  <c r="F9" i="1"/>
  <c r="E9" i="1" s="1"/>
  <c r="G7" i="1"/>
  <c r="F37" i="1"/>
  <c r="E37" i="1" s="1"/>
  <c r="G37" i="1"/>
  <c r="G16" i="1"/>
  <c r="F11" i="1"/>
  <c r="E11" i="1" s="1"/>
  <c r="G36" i="1"/>
  <c r="F35" i="1"/>
  <c r="E35" i="1" s="1"/>
  <c r="G34" i="1"/>
  <c r="G33" i="1"/>
  <c r="G26" i="1"/>
  <c r="F26" i="1"/>
  <c r="E26" i="1" s="1"/>
  <c r="G25" i="1"/>
  <c r="F25" i="1"/>
  <c r="E25" i="1" s="1"/>
  <c r="F24" i="1"/>
  <c r="E24" i="1" s="1"/>
  <c r="G24" i="1"/>
  <c r="F23" i="1"/>
  <c r="E23" i="1" s="1"/>
  <c r="G23" i="1"/>
  <c r="F22" i="1"/>
  <c r="E22" i="1" s="1"/>
  <c r="G21" i="1"/>
  <c r="G20" i="1"/>
  <c r="F19" i="1"/>
  <c r="E19" i="1" s="1"/>
  <c r="G19" i="1"/>
  <c r="G18" i="1"/>
  <c r="F18" i="1"/>
  <c r="E18" i="1" s="1"/>
  <c r="G17" i="1"/>
  <c r="F17" i="1"/>
  <c r="E17" i="1" s="1"/>
  <c r="F16" i="1"/>
  <c r="E16" i="1" s="1"/>
  <c r="F15" i="1"/>
  <c r="E15" i="1" s="1"/>
  <c r="G15" i="1"/>
  <c r="F14" i="1"/>
  <c r="E14" i="1" s="1"/>
  <c r="G12" i="1"/>
  <c r="G11" i="1"/>
  <c r="G10" i="1"/>
  <c r="F10" i="1"/>
  <c r="E10" i="1" s="1"/>
  <c r="G22" i="1"/>
  <c r="G14" i="1"/>
  <c r="F21" i="1"/>
  <c r="E21" i="1" s="1"/>
  <c r="F13" i="1"/>
  <c r="E13" i="1" s="1"/>
  <c r="F20" i="1"/>
  <c r="E20" i="1" s="1"/>
  <c r="F12" i="1"/>
  <c r="E12" i="1" s="1"/>
  <c r="B16" i="2" l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41" i="2" s="1"/>
  <c r="B42" i="2" s="1"/>
  <c r="B43" i="2" s="1"/>
  <c r="B44" i="2" s="1"/>
  <c r="B45" i="2" s="1"/>
  <c r="K6" i="1"/>
  <c r="O6" i="1" s="1"/>
  <c r="H6" i="1"/>
  <c r="D6" i="1"/>
  <c r="F6" i="1" s="1"/>
  <c r="E6" i="1" s="1"/>
  <c r="BL35" i="1"/>
  <c r="BJ35" i="1" s="1"/>
  <c r="BA35" i="1"/>
  <c r="AY35" i="1" s="1"/>
  <c r="AX35" i="1"/>
  <c r="AP35" i="1"/>
  <c r="AN35" i="1"/>
  <c r="AF35" i="1"/>
  <c r="AD35" i="1"/>
  <c r="AC35" i="1"/>
  <c r="R25" i="2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33" i="1"/>
  <c r="AF34" i="1"/>
  <c r="K34" i="1" s="1"/>
  <c r="O34" i="1" s="1"/>
  <c r="AF36" i="1"/>
  <c r="AF37" i="1"/>
  <c r="AF38" i="1"/>
  <c r="AF39" i="1"/>
  <c r="AF8" i="1"/>
  <c r="BA9" i="1"/>
  <c r="AY9" i="1" s="1"/>
  <c r="BA10" i="1"/>
  <c r="AY10" i="1" s="1"/>
  <c r="BA11" i="1"/>
  <c r="AY11" i="1" s="1"/>
  <c r="BA12" i="1"/>
  <c r="AY12" i="1" s="1"/>
  <c r="BA13" i="1"/>
  <c r="AY13" i="1" s="1"/>
  <c r="BA14" i="1"/>
  <c r="AY14" i="1" s="1"/>
  <c r="BA15" i="1"/>
  <c r="AY15" i="1" s="1"/>
  <c r="BA16" i="1"/>
  <c r="AY16" i="1" s="1"/>
  <c r="BA17" i="1"/>
  <c r="AY17" i="1" s="1"/>
  <c r="BA18" i="1"/>
  <c r="AY18" i="1" s="1"/>
  <c r="BA19" i="1"/>
  <c r="AY19" i="1" s="1"/>
  <c r="BA20" i="1"/>
  <c r="AY20" i="1" s="1"/>
  <c r="BA21" i="1"/>
  <c r="AY21" i="1" s="1"/>
  <c r="BA22" i="1"/>
  <c r="AY22" i="1" s="1"/>
  <c r="BA23" i="1"/>
  <c r="AY23" i="1" s="1"/>
  <c r="BA24" i="1"/>
  <c r="AY24" i="1" s="1"/>
  <c r="BA25" i="1"/>
  <c r="AY25" i="1" s="1"/>
  <c r="BA26" i="1"/>
  <c r="AY26" i="1" s="1"/>
  <c r="BA33" i="1"/>
  <c r="AY33" i="1" s="1"/>
  <c r="BA34" i="1"/>
  <c r="AY34" i="1" s="1"/>
  <c r="BA36" i="1"/>
  <c r="AY36" i="1" s="1"/>
  <c r="BA37" i="1"/>
  <c r="AY37" i="1" s="1"/>
  <c r="BA38" i="1"/>
  <c r="AY38" i="1" s="1"/>
  <c r="BA39" i="1"/>
  <c r="AY39" i="1"/>
  <c r="G6" i="1" l="1"/>
  <c r="L35" i="1"/>
  <c r="P35" i="1" s="1"/>
  <c r="J35" i="1"/>
  <c r="N35" i="1" s="1"/>
  <c r="I35" i="1"/>
  <c r="M35" i="1" s="1"/>
  <c r="AM35" i="1"/>
  <c r="K35" i="1"/>
  <c r="O35" i="1" s="1"/>
  <c r="K33" i="1"/>
  <c r="O33" i="1" s="1"/>
  <c r="J6" i="1"/>
  <c r="N6" i="1" s="1"/>
  <c r="L6" i="1"/>
  <c r="P6" i="1" s="1"/>
  <c r="I6" i="1"/>
  <c r="M6" i="1" s="1"/>
  <c r="BK35" i="1"/>
  <c r="AW35" i="1"/>
  <c r="BA8" i="1"/>
  <c r="AY8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33" i="1" s="1"/>
  <c r="Q34" i="1" s="1"/>
  <c r="AB8" i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33" i="1" s="1"/>
  <c r="AB34" i="1" s="1"/>
  <c r="AL8" i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33" i="1" s="1"/>
  <c r="AL34" i="1" s="1"/>
  <c r="AV8" i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33" i="1" s="1"/>
  <c r="AV34" i="1" s="1"/>
  <c r="BI8" i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33" i="1" s="1"/>
  <c r="BI34" i="1" s="1"/>
  <c r="AC8" i="1"/>
  <c r="AD8" i="1"/>
  <c r="AN8" i="1"/>
  <c r="AP8" i="1"/>
  <c r="AM8" i="1" s="1"/>
  <c r="AX8" i="1"/>
  <c r="BL8" i="1"/>
  <c r="AD9" i="1"/>
  <c r="AC9" i="1"/>
  <c r="AN9" i="1"/>
  <c r="AP9" i="1"/>
  <c r="AM9" i="1" s="1"/>
  <c r="AX9" i="1"/>
  <c r="AW9" i="1"/>
  <c r="BL9" i="1"/>
  <c r="AC10" i="1"/>
  <c r="AD10" i="1"/>
  <c r="AN10" i="1"/>
  <c r="AP10" i="1"/>
  <c r="AX10" i="1"/>
  <c r="BL10" i="1"/>
  <c r="J10" i="1" s="1"/>
  <c r="N10" i="1" s="1"/>
  <c r="AD11" i="1"/>
  <c r="AN11" i="1"/>
  <c r="AP11" i="1"/>
  <c r="AM11" i="1" s="1"/>
  <c r="AW11" i="1"/>
  <c r="AX11" i="1"/>
  <c r="BL11" i="1"/>
  <c r="BJ11" i="1" s="1"/>
  <c r="AD12" i="1"/>
  <c r="AC12" i="1"/>
  <c r="AN12" i="1"/>
  <c r="AP12" i="1"/>
  <c r="AM12" i="1" s="1"/>
  <c r="AX12" i="1"/>
  <c r="AW12" i="1"/>
  <c r="BL12" i="1"/>
  <c r="BJ12" i="1" s="1"/>
  <c r="AD13" i="1"/>
  <c r="AC13" i="1"/>
  <c r="AN13" i="1"/>
  <c r="AP13" i="1"/>
  <c r="AM13" i="1" s="1"/>
  <c r="AX13" i="1"/>
  <c r="AW13" i="1"/>
  <c r="BL13" i="1"/>
  <c r="L13" i="1" s="1"/>
  <c r="P13" i="1" s="1"/>
  <c r="AD14" i="1"/>
  <c r="AC14" i="1"/>
  <c r="AN14" i="1"/>
  <c r="AP14" i="1"/>
  <c r="AW14" i="1"/>
  <c r="AX14" i="1"/>
  <c r="BL14" i="1"/>
  <c r="I14" i="1" s="1"/>
  <c r="M14" i="1" s="1"/>
  <c r="AD15" i="1"/>
  <c r="AC15" i="1"/>
  <c r="AN15" i="1"/>
  <c r="AP15" i="1"/>
  <c r="AW15" i="1"/>
  <c r="AX15" i="1"/>
  <c r="BL15" i="1"/>
  <c r="I15" i="1" s="1"/>
  <c r="M15" i="1" s="1"/>
  <c r="AD16" i="1"/>
  <c r="AC16" i="1"/>
  <c r="AN16" i="1"/>
  <c r="AP16" i="1"/>
  <c r="AM16" i="1" s="1"/>
  <c r="AX16" i="1"/>
  <c r="AW16" i="1"/>
  <c r="BL16" i="1"/>
  <c r="BJ16" i="1" s="1"/>
  <c r="AD17" i="1"/>
  <c r="AC17" i="1"/>
  <c r="AN17" i="1"/>
  <c r="AP17" i="1"/>
  <c r="AX17" i="1"/>
  <c r="AW17" i="1"/>
  <c r="BL17" i="1"/>
  <c r="I17" i="1" s="1"/>
  <c r="M17" i="1" s="1"/>
  <c r="AD18" i="1"/>
  <c r="AC18" i="1"/>
  <c r="AN18" i="1"/>
  <c r="AP18" i="1"/>
  <c r="AM18" i="1" s="1"/>
  <c r="AX18" i="1"/>
  <c r="BL18" i="1"/>
  <c r="BJ18" i="1" s="1"/>
  <c r="AD19" i="1"/>
  <c r="AC19" i="1"/>
  <c r="AN19" i="1"/>
  <c r="AP19" i="1"/>
  <c r="AM19" i="1" s="1"/>
  <c r="AX19" i="1"/>
  <c r="AW19" i="1"/>
  <c r="BL19" i="1"/>
  <c r="BJ19" i="1" s="1"/>
  <c r="AD20" i="1"/>
  <c r="AC20" i="1"/>
  <c r="AN20" i="1"/>
  <c r="AP20" i="1"/>
  <c r="AM20" i="1" s="1"/>
  <c r="AX20" i="1"/>
  <c r="AW20" i="1"/>
  <c r="BL20" i="1"/>
  <c r="BJ20" i="1" s="1"/>
  <c r="AD21" i="1"/>
  <c r="AC21" i="1"/>
  <c r="AN21" i="1"/>
  <c r="AP21" i="1"/>
  <c r="AM21" i="1" s="1"/>
  <c r="AX21" i="1"/>
  <c r="BL21" i="1"/>
  <c r="BJ21" i="1" s="1"/>
  <c r="AD22" i="1"/>
  <c r="AC22" i="1"/>
  <c r="AN22" i="1"/>
  <c r="AP22" i="1"/>
  <c r="AM22" i="1" s="1"/>
  <c r="AX22" i="1"/>
  <c r="AW22" i="1"/>
  <c r="BL22" i="1"/>
  <c r="J22" i="1" s="1"/>
  <c r="N22" i="1" s="1"/>
  <c r="AD23" i="1"/>
  <c r="AN23" i="1"/>
  <c r="AP23" i="1"/>
  <c r="AX23" i="1"/>
  <c r="AW23" i="1"/>
  <c r="BL23" i="1"/>
  <c r="J23" i="1" s="1"/>
  <c r="N23" i="1" s="1"/>
  <c r="AD24" i="1"/>
  <c r="AC24" i="1"/>
  <c r="AN24" i="1"/>
  <c r="AP24" i="1"/>
  <c r="AW24" i="1"/>
  <c r="AX24" i="1"/>
  <c r="BL24" i="1"/>
  <c r="BJ24" i="1" s="1"/>
  <c r="AD25" i="1"/>
  <c r="AC25" i="1"/>
  <c r="AN25" i="1"/>
  <c r="AP25" i="1"/>
  <c r="AW25" i="1"/>
  <c r="AX25" i="1"/>
  <c r="BL25" i="1"/>
  <c r="L25" i="1" s="1"/>
  <c r="P25" i="1" s="1"/>
  <c r="AD26" i="1"/>
  <c r="AC26" i="1"/>
  <c r="AN26" i="1"/>
  <c r="AP26" i="1"/>
  <c r="AX26" i="1"/>
  <c r="BL26" i="1"/>
  <c r="L26" i="1" s="1"/>
  <c r="P26" i="1" s="1"/>
  <c r="AD33" i="1"/>
  <c r="AC33" i="1"/>
  <c r="AM33" i="1"/>
  <c r="AN33" i="1"/>
  <c r="AX33" i="1"/>
  <c r="BL33" i="1"/>
  <c r="I33" i="1" s="1"/>
  <c r="M33" i="1" s="1"/>
  <c r="AD34" i="1"/>
  <c r="AC34" i="1"/>
  <c r="AM34" i="1"/>
  <c r="AX34" i="1"/>
  <c r="AW34" i="1"/>
  <c r="BL34" i="1"/>
  <c r="BJ34" i="1" s="1"/>
  <c r="AD36" i="1"/>
  <c r="AC36" i="1"/>
  <c r="AN36" i="1"/>
  <c r="AP36" i="1"/>
  <c r="AX36" i="1"/>
  <c r="BL36" i="1"/>
  <c r="BK36" i="1" s="1"/>
  <c r="AD37" i="1"/>
  <c r="AC37" i="1"/>
  <c r="AN37" i="1"/>
  <c r="AP37" i="1"/>
  <c r="AM37" i="1" s="1"/>
  <c r="AW37" i="1"/>
  <c r="AX37" i="1"/>
  <c r="BL37" i="1"/>
  <c r="L37" i="1" s="1"/>
  <c r="P37" i="1" s="1"/>
  <c r="G45" i="2"/>
  <c r="G44" i="2"/>
  <c r="G43" i="2"/>
  <c r="G42" i="2"/>
  <c r="G41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J79" i="2"/>
  <c r="E79" i="2" s="1"/>
  <c r="L24" i="1" l="1"/>
  <c r="P24" i="1" s="1"/>
  <c r="L16" i="1"/>
  <c r="P16" i="1" s="1"/>
  <c r="I13" i="1"/>
  <c r="M13" i="1" s="1"/>
  <c r="I10" i="1"/>
  <c r="M10" i="1" s="1"/>
  <c r="L10" i="1"/>
  <c r="P10" i="1" s="1"/>
  <c r="L12" i="1"/>
  <c r="P12" i="1" s="1"/>
  <c r="I12" i="1"/>
  <c r="M12" i="1" s="1"/>
  <c r="K9" i="1"/>
  <c r="O9" i="1" s="1"/>
  <c r="K8" i="1"/>
  <c r="O8" i="1" s="1"/>
  <c r="J37" i="1"/>
  <c r="N37" i="1" s="1"/>
  <c r="I37" i="1"/>
  <c r="M37" i="1" s="1"/>
  <c r="K37" i="1"/>
  <c r="O37" i="1" s="1"/>
  <c r="J36" i="1"/>
  <c r="N36" i="1" s="1"/>
  <c r="L36" i="1"/>
  <c r="P36" i="1" s="1"/>
  <c r="I36" i="1"/>
  <c r="M36" i="1" s="1"/>
  <c r="AM36" i="1"/>
  <c r="K36" i="1"/>
  <c r="O36" i="1" s="1"/>
  <c r="L34" i="1"/>
  <c r="P34" i="1" s="1"/>
  <c r="J34" i="1"/>
  <c r="N34" i="1" s="1"/>
  <c r="I34" i="1"/>
  <c r="M34" i="1" s="1"/>
  <c r="J33" i="1"/>
  <c r="N33" i="1" s="1"/>
  <c r="L33" i="1"/>
  <c r="P33" i="1" s="1"/>
  <c r="J26" i="1"/>
  <c r="N26" i="1" s="1"/>
  <c r="I26" i="1"/>
  <c r="M26" i="1" s="1"/>
  <c r="AM26" i="1"/>
  <c r="K26" i="1"/>
  <c r="O26" i="1" s="1"/>
  <c r="J25" i="1"/>
  <c r="N25" i="1" s="1"/>
  <c r="I25" i="1"/>
  <c r="M25" i="1" s="1"/>
  <c r="AM25" i="1"/>
  <c r="K25" i="1"/>
  <c r="O25" i="1" s="1"/>
  <c r="J24" i="1"/>
  <c r="N24" i="1" s="1"/>
  <c r="I24" i="1"/>
  <c r="M24" i="1" s="1"/>
  <c r="AM24" i="1"/>
  <c r="K24" i="1"/>
  <c r="O24" i="1" s="1"/>
  <c r="L23" i="1"/>
  <c r="P23" i="1" s="1"/>
  <c r="I23" i="1"/>
  <c r="M23" i="1" s="1"/>
  <c r="AM23" i="1"/>
  <c r="K23" i="1"/>
  <c r="O23" i="1" s="1"/>
  <c r="I22" i="1"/>
  <c r="M22" i="1" s="1"/>
  <c r="L22" i="1"/>
  <c r="P22" i="1" s="1"/>
  <c r="K22" i="1"/>
  <c r="O22" i="1" s="1"/>
  <c r="L21" i="1"/>
  <c r="P21" i="1" s="1"/>
  <c r="J21" i="1"/>
  <c r="N21" i="1" s="1"/>
  <c r="I21" i="1"/>
  <c r="M21" i="1" s="1"/>
  <c r="K21" i="1"/>
  <c r="O21" i="1" s="1"/>
  <c r="L20" i="1"/>
  <c r="P20" i="1" s="1"/>
  <c r="I20" i="1"/>
  <c r="M20" i="1" s="1"/>
  <c r="J20" i="1"/>
  <c r="N20" i="1" s="1"/>
  <c r="K20" i="1"/>
  <c r="O20" i="1" s="1"/>
  <c r="L19" i="1"/>
  <c r="P19" i="1" s="1"/>
  <c r="I19" i="1"/>
  <c r="M19" i="1" s="1"/>
  <c r="J19" i="1"/>
  <c r="N19" i="1" s="1"/>
  <c r="K19" i="1"/>
  <c r="O19" i="1" s="1"/>
  <c r="I18" i="1"/>
  <c r="M18" i="1" s="1"/>
  <c r="L18" i="1"/>
  <c r="P18" i="1" s="1"/>
  <c r="J18" i="1"/>
  <c r="N18" i="1" s="1"/>
  <c r="K18" i="1"/>
  <c r="O18" i="1" s="1"/>
  <c r="J17" i="1"/>
  <c r="N17" i="1" s="1"/>
  <c r="L17" i="1"/>
  <c r="P17" i="1" s="1"/>
  <c r="AM17" i="1"/>
  <c r="K17" i="1"/>
  <c r="O17" i="1" s="1"/>
  <c r="J16" i="1"/>
  <c r="N16" i="1" s="1"/>
  <c r="I16" i="1"/>
  <c r="M16" i="1" s="1"/>
  <c r="K16" i="1"/>
  <c r="O16" i="1" s="1"/>
  <c r="J15" i="1"/>
  <c r="N15" i="1" s="1"/>
  <c r="L15" i="1"/>
  <c r="P15" i="1" s="1"/>
  <c r="AM15" i="1"/>
  <c r="K15" i="1"/>
  <c r="O15" i="1" s="1"/>
  <c r="L14" i="1"/>
  <c r="P14" i="1" s="1"/>
  <c r="J14" i="1"/>
  <c r="N14" i="1" s="1"/>
  <c r="AM14" i="1"/>
  <c r="K14" i="1"/>
  <c r="O14" i="1" s="1"/>
  <c r="J13" i="1"/>
  <c r="N13" i="1" s="1"/>
  <c r="K13" i="1"/>
  <c r="O13" i="1" s="1"/>
  <c r="J12" i="1"/>
  <c r="N12" i="1" s="1"/>
  <c r="K12" i="1"/>
  <c r="O12" i="1" s="1"/>
  <c r="J11" i="1"/>
  <c r="N11" i="1" s="1"/>
  <c r="I11" i="1"/>
  <c r="M11" i="1" s="1"/>
  <c r="L11" i="1"/>
  <c r="P11" i="1" s="1"/>
  <c r="K11" i="1"/>
  <c r="O11" i="1" s="1"/>
  <c r="AM10" i="1"/>
  <c r="K10" i="1"/>
  <c r="O10" i="1" s="1"/>
  <c r="BJ8" i="1"/>
  <c r="J8" i="1"/>
  <c r="N8" i="1" s="1"/>
  <c r="I8" i="1"/>
  <c r="M8" i="1" s="1"/>
  <c r="L8" i="1"/>
  <c r="P8" i="1" s="1"/>
  <c r="BJ9" i="1"/>
  <c r="J9" i="1"/>
  <c r="N9" i="1" s="1"/>
  <c r="I9" i="1"/>
  <c r="M9" i="1" s="1"/>
  <c r="L9" i="1"/>
  <c r="P9" i="1" s="1"/>
  <c r="Q35" i="1"/>
  <c r="Q36" i="1" s="1"/>
  <c r="Q37" i="1" s="1"/>
  <c r="AL35" i="1"/>
  <c r="AL36" i="1" s="1"/>
  <c r="AL37" i="1" s="1"/>
  <c r="BI35" i="1"/>
  <c r="BI36" i="1" s="1"/>
  <c r="BI37" i="1" s="1"/>
  <c r="AB35" i="1"/>
  <c r="AB36" i="1" s="1"/>
  <c r="AB37" i="1" s="1"/>
  <c r="AV35" i="1"/>
  <c r="AV36" i="1" s="1"/>
  <c r="AV37" i="1" s="1"/>
  <c r="AW8" i="1"/>
  <c r="BJ33" i="1"/>
  <c r="BJ13" i="1"/>
  <c r="BK16" i="1"/>
  <c r="BK24" i="1"/>
  <c r="BJ36" i="1"/>
  <c r="BJ23" i="1"/>
  <c r="BK37" i="1"/>
  <c r="BJ26" i="1"/>
  <c r="BJ15" i="1"/>
  <c r="BK26" i="1"/>
  <c r="BK8" i="1"/>
  <c r="BK33" i="1"/>
  <c r="BK21" i="1"/>
  <c r="AC23" i="1"/>
  <c r="AC11" i="1"/>
  <c r="BJ25" i="1"/>
  <c r="BK25" i="1"/>
  <c r="AW21" i="1"/>
  <c r="BJ14" i="1"/>
  <c r="BK14" i="1"/>
  <c r="BJ17" i="1"/>
  <c r="BK17" i="1"/>
  <c r="AW26" i="1"/>
  <c r="AW10" i="1"/>
  <c r="BJ37" i="1"/>
  <c r="AW36" i="1"/>
  <c r="AW33" i="1"/>
  <c r="BJ22" i="1"/>
  <c r="BK22" i="1"/>
  <c r="AW18" i="1"/>
  <c r="BK23" i="1"/>
  <c r="BK15" i="1"/>
  <c r="BK10" i="1"/>
  <c r="BK9" i="1"/>
  <c r="BK18" i="1"/>
  <c r="BK11" i="1"/>
  <c r="BJ10" i="1"/>
  <c r="BK34" i="1"/>
  <c r="BK19" i="1"/>
  <c r="BK12" i="1"/>
  <c r="BK20" i="1"/>
  <c r="BK13" i="1"/>
  <c r="I79" i="2"/>
  <c r="H79" i="2"/>
  <c r="G79" i="2"/>
  <c r="F79" i="2"/>
  <c r="R33" i="2"/>
  <c r="R45" i="2" l="1"/>
  <c r="R44" i="2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33" i="1" s="1"/>
  <c r="B34" i="1" s="1"/>
  <c r="B35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E48" i="2" l="1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S39" i="1" l="1"/>
  <c r="R38" i="1" s="1"/>
  <c r="R43" i="2"/>
  <c r="R41" i="2"/>
  <c r="R42" i="2"/>
  <c r="R34" i="2"/>
  <c r="R32" i="2"/>
  <c r="R31" i="2"/>
  <c r="R30" i="2"/>
  <c r="R29" i="2" l="1"/>
  <c r="R28" i="2"/>
  <c r="R27" i="2"/>
  <c r="R26" i="2"/>
  <c r="R24" i="2"/>
  <c r="R23" i="2"/>
  <c r="R22" i="2"/>
  <c r="R19" i="2"/>
  <c r="R18" i="2"/>
  <c r="R16" i="2"/>
  <c r="R17" i="2"/>
  <c r="I16" i="2" l="1"/>
  <c r="I17" i="2" s="1"/>
  <c r="I18" i="2" s="1"/>
  <c r="I19" i="2" s="1"/>
  <c r="I20" i="2" s="1"/>
  <c r="I21" i="2" s="1"/>
  <c r="I22" i="2" s="1"/>
  <c r="I23" i="2" s="1"/>
  <c r="I24" i="2" s="1"/>
  <c r="I25" i="2" s="1"/>
  <c r="I26" i="2" l="1"/>
  <c r="I27" i="2" s="1"/>
  <c r="I28" i="2" s="1"/>
  <c r="I29" i="2" s="1"/>
  <c r="I30" i="2" s="1"/>
  <c r="I31" i="2" s="1"/>
  <c r="I32" i="2" s="1"/>
  <c r="I33" i="2" l="1"/>
  <c r="I34" i="2" s="1"/>
  <c r="I41" i="2" l="1"/>
  <c r="I42" i="2" s="1"/>
  <c r="I43" i="2" s="1"/>
  <c r="I44" i="2" s="1"/>
  <c r="I45" i="2" s="1"/>
  <c r="M16" i="2" l="1"/>
  <c r="M17" i="2" l="1"/>
  <c r="M18" i="2" l="1"/>
  <c r="M20" i="2" l="1"/>
  <c r="M19" i="2"/>
  <c r="M21" i="2" l="1"/>
  <c r="M22" i="2" l="1"/>
  <c r="M23" i="2" l="1"/>
  <c r="M24" i="2" l="1"/>
  <c r="M25" i="2" l="1"/>
  <c r="M26" i="2" l="1"/>
  <c r="M27" i="2" l="1"/>
  <c r="M28" i="2" l="1"/>
  <c r="M29" i="2" l="1"/>
  <c r="M30" i="2" l="1"/>
  <c r="M31" i="2" l="1"/>
  <c r="M33" i="2" l="1"/>
  <c r="M32" i="2"/>
  <c r="M34" i="2" l="1"/>
  <c r="M41" i="2" l="1"/>
  <c r="M42" i="2" l="1"/>
  <c r="M43" i="2" l="1"/>
  <c r="M45" i="2"/>
  <c r="M44" i="2" l="1"/>
  <c r="B36" i="1" l="1"/>
  <c r="B36" i="1" a="1"/>
  <c r="B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  <author>Eduardo Barrera Jimenez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AE13" authorId="2" shapeId="0" xr:uid="{A186A383-B561-4ADC-AD7B-1617EE0F1C97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valor excede parametros normales, se reviza umr e incidentes , oits no habria motivo real para este valor, al parecer es un error puntual en este dia del medidor.</t>
        </r>
      </text>
    </comment>
    <comment ref="AE23" authorId="3" shapeId="0" xr:uid="{28FB122F-C983-46A0-9617-2E13330D94D4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falla 125 serpo queda apagado equipo</t>
        </r>
      </text>
    </comment>
    <comment ref="BB23" authorId="3" shapeId="0" xr:uid="{C52669CB-2D1C-4E56-8342-FE21DF73A07C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apertura 52.8 provoa falla asiemtria en linea de 12kv sereb</t>
        </r>
      </text>
    </comment>
    <comment ref="I24" authorId="3" shapeId="0" xr:uid="{C3E20BEB-9511-4642-92F1-DAC03FB9DC00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no hay dato, falla total comunicación serpo</t>
        </r>
      </text>
    </comment>
    <comment ref="AE24" authorId="3" shapeId="0" xr:uid="{4DE860B3-7C36-45A6-861C-2340CCA832EC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continua falla 125 vcc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<sst xmlns="http://schemas.openxmlformats.org/spreadsheetml/2006/main" count="124" uniqueCount="72">
  <si>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</si>
  <si>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</si>
  <si>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</si>
  <si>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</si>
  <si>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</si>
  <si>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</si>
  <si>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</si>
  <si>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</si>
  <si>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</si>
  <si>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</si>
  <si>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</si>
  <si>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</si>
  <si>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</si>
  <si>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</si>
  <si>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</si>
  <si>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</si>
  <si>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</si>
  <si>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</si>
  <si>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</si>
  <si>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</si>
  <si>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</si>
  <si>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</si>
  <si>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</si>
  <si>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</si>
  <si>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</si>
  <si>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</si>
  <si>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</si>
  <si>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</si>
  <si>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</si>
  <si>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</si>
  <si>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</si>
  <si>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</si>
  <si>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</si>
  <si>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</si>
  <si>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</si>
  <si>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</si>
  <si>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</si>
  <si>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</si>
  <si>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</si>
  <si>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</si>
  <si>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</si>
  <si>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</si>
  <si>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</si>
  <si>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</si>
  <si>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</si>
  <si>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</si>
  <si>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</si>
  <si>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</si>
  <si>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</si>
  <si>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</si>
  <si>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</si>
  <si>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</si>
  <si>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</si>
  <si>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</si>
  <si>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</si>
  <si>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</si>
  <si>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</si>
  <si>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</si>
  <si>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</si>
  <si>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</si>
  <si>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</si>
  <si>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</si>
  <si>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</si>
  <si>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</si>
  <si>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</si>
  <si>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</si>
  <si>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</si>
  <si>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</si>
  <si>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</si>
  <si>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</si>
  <si>
    <t>0.00</t>
  </si>
  <si>
    <t>17.30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</si>
</sst>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6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4" fontId="5" fillId="10" borderId="30" xfId="0" applyNumberFormat="1" applyFont="1" applyFill="1" applyBorder="1" applyAlignment="1">
      <alignment horizontal="center"/>
    </xf>
    <xf numFmtId="0" fontId="0" fillId="10" borderId="0" xfId="0" applyFill="1" applyBorder="1"/>
    <xf numFmtId="166" fontId="4" fillId="10" borderId="58" xfId="2" applyNumberFormat="1" applyFont="1" applyFill="1" applyBorder="1" applyAlignment="1">
      <alignment horizontal="center"/>
    </xf>
    <xf numFmtId="167" fontId="4" fillId="10" borderId="58" xfId="0" applyNumberFormat="1" applyFont="1" applyFill="1" applyBorder="1" applyAlignment="1">
      <alignment horizontal="center"/>
    </xf>
    <xf numFmtId="165" fontId="4" fillId="10" borderId="34" xfId="2" applyNumberFormat="1" applyFont="1" applyFill="1" applyBorder="1" applyAlignment="1">
      <alignment horizontal="center"/>
    </xf>
    <xf numFmtId="166" fontId="4" fillId="10" borderId="34" xfId="2" applyNumberFormat="1" applyFont="1" applyFill="1" applyBorder="1" applyAlignment="1">
      <alignment horizontal="center"/>
    </xf>
    <xf numFmtId="167" fontId="4" fillId="10" borderId="34" xfId="0" applyNumberFormat="1" applyFont="1" applyFill="1" applyBorder="1" applyAlignment="1">
      <alignment horizontal="center"/>
    </xf>
    <xf numFmtId="165" fontId="4" fillId="10" borderId="29" xfId="2" applyNumberFormat="1" applyFont="1" applyFill="1" applyBorder="1" applyAlignment="1">
      <alignment horizontal="center"/>
    </xf>
    <xf numFmtId="0" fontId="0" fillId="10" borderId="0" xfId="0" applyFill="1"/>
    <xf numFmtId="0" fontId="4" fillId="0" borderId="65" xfId="0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8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2 2 2" xfId="17" xr:uid="{A428DFBE-41F1-4A24-B001-5CB04C31FA12}"/>
    <cellStyle name="Millares 2 2 3" xfId="13" xr:uid="{D870F808-9D24-410B-B2DE-55E697674203}"/>
    <cellStyle name="Millares 2 3" xfId="7" xr:uid="{00000000-0005-0000-0000-000004000000}"/>
    <cellStyle name="Millares 2 3 2" xfId="15" xr:uid="{3D35D6E6-D826-43D6-99AB-4D7C9DACECAB}"/>
    <cellStyle name="Millares 2 4" xfId="11" xr:uid="{ACDF0624-9D0E-40AB-8239-9293C77ACCC9}"/>
    <cellStyle name="Millares 3" xfId="4" xr:uid="{00000000-0005-0000-0000-000005000000}"/>
    <cellStyle name="Millares 3 2" xfId="8" xr:uid="{00000000-0005-0000-0000-000006000000}"/>
    <cellStyle name="Millares 3 2 2" xfId="16" xr:uid="{CA7E45CC-D214-4430-BD8F-F5243051E132}"/>
    <cellStyle name="Millares 3 3" xfId="12" xr:uid="{6290801E-373E-4935-93F9-843C72E84193}"/>
    <cellStyle name="Millares 4" xfId="6" xr:uid="{00000000-0005-0000-0000-000007000000}"/>
    <cellStyle name="Millares 4 2" xfId="14" xr:uid="{C3A6EC7A-3A13-40EC-8378-3E23082E6DD6}"/>
    <cellStyle name="Millares 5" xfId="10" xr:uid="{271882CF-CE02-4F51-B9E3-463519BC5BE5}"/>
    <cellStyle name="Normal" xfId="0" builtinId="0"/>
    <cellStyle name="Porcentaje" xfId="2" builtinId="5"/>
  </cellStyles>
  <dxfs count="119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58650</c:v>
                </c:pt>
                <c:pt idx="1">
                  <c:v>58530</c:v>
                </c:pt>
                <c:pt idx="2">
                  <c:v>58870</c:v>
                </c:pt>
                <c:pt idx="3">
                  <c:v>35316</c:v>
                </c:pt>
                <c:pt idx="4">
                  <c:v>29174</c:v>
                </c:pt>
                <c:pt idx="5">
                  <c:v>58314</c:v>
                </c:pt>
                <c:pt idx="6">
                  <c:v>60034</c:v>
                </c:pt>
                <c:pt idx="7">
                  <c:v>57350</c:v>
                </c:pt>
                <c:pt idx="8">
                  <c:v>53328</c:v>
                </c:pt>
                <c:pt idx="9">
                  <c:v>53686</c:v>
                </c:pt>
                <c:pt idx="10">
                  <c:v>33324</c:v>
                </c:pt>
                <c:pt idx="11">
                  <c:v>28988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46204</c:v>
                      </c:pt>
                      <c:pt idx="1">
                        <c:v>46205</c:v>
                      </c:pt>
                      <c:pt idx="2">
                        <c:v>46206</c:v>
                      </c:pt>
                      <c:pt idx="3">
                        <c:v>46207</c:v>
                      </c:pt>
                      <c:pt idx="4">
                        <c:v>46208</c:v>
                      </c:pt>
                      <c:pt idx="5">
                        <c:v>46209</c:v>
                      </c:pt>
                      <c:pt idx="6">
                        <c:v>46210</c:v>
                      </c:pt>
                      <c:pt idx="7">
                        <c:v>46211</c:v>
                      </c:pt>
                      <c:pt idx="8">
                        <c:v>46212</c:v>
                      </c:pt>
                      <c:pt idx="9">
                        <c:v>46213</c:v>
                      </c:pt>
                      <c:pt idx="10">
                        <c:v>46214</c:v>
                      </c:pt>
                      <c:pt idx="11">
                        <c:v>46215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50977</c:v>
                </c:pt>
                <c:pt idx="1">
                  <c:v>51012</c:v>
                </c:pt>
                <c:pt idx="2">
                  <c:v>51207</c:v>
                </c:pt>
                <c:pt idx="3">
                  <c:v>27760</c:v>
                </c:pt>
                <c:pt idx="4">
                  <c:v>21848</c:v>
                </c:pt>
                <c:pt idx="5">
                  <c:v>50756</c:v>
                </c:pt>
                <c:pt idx="6">
                  <c:v>52510</c:v>
                </c:pt>
                <c:pt idx="7">
                  <c:v>49736</c:v>
                </c:pt>
                <c:pt idx="8">
                  <c:v>45808</c:v>
                </c:pt>
                <c:pt idx="9">
                  <c:v>46159.63</c:v>
                </c:pt>
                <c:pt idx="10">
                  <c:v>25948.510000000002</c:v>
                </c:pt>
                <c:pt idx="11">
                  <c:v>21506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7673</c:v>
                </c:pt>
                <c:pt idx="1">
                  <c:v>7518</c:v>
                </c:pt>
                <c:pt idx="2">
                  <c:v>7663</c:v>
                </c:pt>
                <c:pt idx="3">
                  <c:v>7556</c:v>
                </c:pt>
                <c:pt idx="4">
                  <c:v>7326</c:v>
                </c:pt>
                <c:pt idx="5">
                  <c:v>7558</c:v>
                </c:pt>
                <c:pt idx="6">
                  <c:v>7524</c:v>
                </c:pt>
                <c:pt idx="7">
                  <c:v>7614</c:v>
                </c:pt>
                <c:pt idx="8">
                  <c:v>7520</c:v>
                </c:pt>
                <c:pt idx="9">
                  <c:v>7526.37</c:v>
                </c:pt>
                <c:pt idx="10">
                  <c:v>7375.49</c:v>
                </c:pt>
                <c:pt idx="11">
                  <c:v>7482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3220.5499999999997</c:v>
                </c:pt>
                <c:pt idx="1">
                  <c:v>3139</c:v>
                </c:pt>
                <c:pt idx="2">
                  <c:v>3125</c:v>
                </c:pt>
                <c:pt idx="3">
                  <c:v>3167</c:v>
                </c:pt>
                <c:pt idx="4">
                  <c:v>2602</c:v>
                </c:pt>
                <c:pt idx="5">
                  <c:v>2436</c:v>
                </c:pt>
                <c:pt idx="6">
                  <c:v>3227</c:v>
                </c:pt>
                <c:pt idx="7">
                  <c:v>3181</c:v>
                </c:pt>
                <c:pt idx="8">
                  <c:v>3156</c:v>
                </c:pt>
                <c:pt idx="9">
                  <c:v>3078</c:v>
                </c:pt>
                <c:pt idx="10">
                  <c:v>2966.57</c:v>
                </c:pt>
                <c:pt idx="11">
                  <c:v>2559.1099999999997</c:v>
                </c:pt>
                <c:pt idx="12">
                  <c:v>2500</c:v>
                </c:pt>
                <c:pt idx="13">
                  <c:v>2994</c:v>
                </c:pt>
                <c:pt idx="14">
                  <c:v>3014</c:v>
                </c:pt>
                <c:pt idx="15">
                  <c:v>2895</c:v>
                </c:pt>
                <c:pt idx="16">
                  <c:v>2460</c:v>
                </c:pt>
                <c:pt idx="17">
                  <c:v>1294</c:v>
                </c:pt>
                <c:pt idx="18">
                  <c:v>3209</c:v>
                </c:pt>
                <c:pt idx="19">
                  <c:v>2274</c:v>
                </c:pt>
                <c:pt idx="20">
                  <c:v>2880</c:v>
                </c:pt>
                <c:pt idx="21">
                  <c:v>2360</c:v>
                </c:pt>
                <c:pt idx="22">
                  <c:v>3100</c:v>
                </c:pt>
                <c:pt idx="23">
                  <c:v>2932</c:v>
                </c:pt>
                <c:pt idx="24">
                  <c:v>2945</c:v>
                </c:pt>
                <c:pt idx="25">
                  <c:v>2910</c:v>
                </c:pt>
                <c:pt idx="26">
                  <c:v>2406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1"/>
  <sheetViews>
    <sheetView tabSelected="1" topLeftCell="A4" zoomScaleNormal="100" zoomScaleSheetLayoutView="120" workbookViewId="0">
      <selection activeCell="H7" sqref="H7:H32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197" t="s">
        <v>0</v>
      </c>
      <c r="C1" s="127"/>
      <c r="D1" s="199" t="s">
        <v>1</v>
      </c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  <c r="P1" s="202"/>
      <c r="Q1" s="128"/>
      <c r="R1" s="207" t="s">
        <v>2</v>
      </c>
      <c r="S1" s="208"/>
      <c r="T1" s="208"/>
      <c r="U1" s="208"/>
      <c r="V1" s="208"/>
      <c r="W1" s="208"/>
      <c r="X1" s="208"/>
      <c r="Y1" s="208"/>
      <c r="Z1" s="208"/>
      <c r="AA1" s="209"/>
      <c r="AB1" s="129"/>
      <c r="AC1" s="207" t="s">
        <v>3</v>
      </c>
      <c r="AD1" s="208"/>
      <c r="AE1" s="208"/>
      <c r="AF1" s="208"/>
      <c r="AG1" s="208"/>
      <c r="AH1" s="208"/>
      <c r="AI1" s="208"/>
      <c r="AJ1" s="208"/>
      <c r="AK1" s="209"/>
      <c r="AL1" s="130"/>
      <c r="AM1" s="207" t="s">
        <v>4</v>
      </c>
      <c r="AN1" s="208"/>
      <c r="AO1" s="208"/>
      <c r="AP1" s="208"/>
      <c r="AQ1" s="208"/>
      <c r="AR1" s="208"/>
      <c r="AS1" s="208"/>
      <c r="AT1" s="208"/>
      <c r="AU1" s="209"/>
      <c r="AV1" s="130"/>
      <c r="AW1" s="207" t="s">
        <v>57</v>
      </c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9"/>
      <c r="BI1" s="130"/>
      <c r="BJ1" s="207" t="s">
        <v>5</v>
      </c>
      <c r="BK1" s="208"/>
      <c r="BL1" s="208"/>
      <c r="BM1" s="208"/>
      <c r="BN1" s="208"/>
      <c r="BO1" s="208"/>
      <c r="BP1" s="208"/>
      <c r="BQ1" s="208"/>
      <c r="BR1" s="209"/>
      <c r="BS1" s="131"/>
    </row>
    <row r="2" spans="1:71" ht="15" customHeight="1" thickBot="1" x14ac:dyDescent="0.3">
      <c r="B2" s="197"/>
      <c r="C2" s="1"/>
      <c r="D2" s="203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5"/>
      <c r="P2" s="206"/>
      <c r="Q2" s="57"/>
      <c r="R2" s="210"/>
      <c r="S2" s="211"/>
      <c r="T2" s="211"/>
      <c r="U2" s="211"/>
      <c r="V2" s="211"/>
      <c r="W2" s="211"/>
      <c r="X2" s="211"/>
      <c r="Y2" s="211"/>
      <c r="Z2" s="211"/>
      <c r="AA2" s="212"/>
      <c r="AB2" s="59"/>
      <c r="AC2" s="210"/>
      <c r="AD2" s="211"/>
      <c r="AE2" s="211"/>
      <c r="AF2" s="211"/>
      <c r="AG2" s="211"/>
      <c r="AH2" s="211"/>
      <c r="AI2" s="211"/>
      <c r="AJ2" s="211"/>
      <c r="AK2" s="212"/>
      <c r="AL2" s="58"/>
      <c r="AM2" s="210"/>
      <c r="AN2" s="211"/>
      <c r="AO2" s="211"/>
      <c r="AP2" s="211"/>
      <c r="AQ2" s="211"/>
      <c r="AR2" s="211"/>
      <c r="AS2" s="211"/>
      <c r="AT2" s="211"/>
      <c r="AU2" s="212"/>
      <c r="AV2" s="58"/>
      <c r="AW2" s="210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2"/>
      <c r="BI2" s="58"/>
      <c r="BJ2" s="210"/>
      <c r="BK2" s="211"/>
      <c r="BL2" s="211"/>
      <c r="BM2" s="211"/>
      <c r="BN2" s="211"/>
      <c r="BO2" s="211"/>
      <c r="BP2" s="211"/>
      <c r="BQ2" s="211"/>
      <c r="BR2" s="212"/>
      <c r="BS2" s="134"/>
    </row>
    <row r="3" spans="1:71" ht="30" customHeight="1" thickBot="1" x14ac:dyDescent="0.3">
      <c r="B3" s="197"/>
      <c r="C3" s="1"/>
      <c r="D3" s="216" t="s">
        <v>6</v>
      </c>
      <c r="E3" s="216" t="s">
        <v>7</v>
      </c>
      <c r="F3" s="216" t="s">
        <v>8</v>
      </c>
      <c r="G3" s="216" t="s">
        <v>9</v>
      </c>
      <c r="H3" s="216" t="s">
        <v>10</v>
      </c>
      <c r="I3" s="218" t="s">
        <v>11</v>
      </c>
      <c r="J3" s="219"/>
      <c r="K3" s="220"/>
      <c r="L3" s="221"/>
      <c r="M3" s="218" t="s">
        <v>12</v>
      </c>
      <c r="N3" s="219"/>
      <c r="O3" s="220"/>
      <c r="P3" s="221"/>
      <c r="Q3" s="57"/>
      <c r="R3" s="222" t="s">
        <v>13</v>
      </c>
      <c r="S3" s="214"/>
      <c r="T3" s="223"/>
      <c r="U3" s="223"/>
      <c r="V3" s="222" t="s">
        <v>14</v>
      </c>
      <c r="W3" s="214"/>
      <c r="X3" s="214"/>
      <c r="Y3" s="214"/>
      <c r="Z3" s="214"/>
      <c r="AA3" s="215"/>
      <c r="AB3" s="59"/>
      <c r="AC3" s="224" t="s">
        <v>15</v>
      </c>
      <c r="AD3" s="226" t="s">
        <v>9</v>
      </c>
      <c r="AE3" s="222" t="s">
        <v>13</v>
      </c>
      <c r="AF3" s="214"/>
      <c r="AG3" s="215"/>
      <c r="AH3" s="222" t="s">
        <v>14</v>
      </c>
      <c r="AI3" s="214"/>
      <c r="AJ3" s="214"/>
      <c r="AK3" s="215"/>
      <c r="AL3" s="58"/>
      <c r="AM3" s="227" t="s">
        <v>15</v>
      </c>
      <c r="AN3" s="224" t="s">
        <v>9</v>
      </c>
      <c r="AO3" s="213" t="s">
        <v>13</v>
      </c>
      <c r="AP3" s="214"/>
      <c r="AQ3" s="215"/>
      <c r="AR3" s="222" t="s">
        <v>14</v>
      </c>
      <c r="AS3" s="214"/>
      <c r="AT3" s="214"/>
      <c r="AU3" s="215"/>
      <c r="AV3" s="58"/>
      <c r="AW3" s="224" t="s">
        <v>15</v>
      </c>
      <c r="AX3" s="224" t="s">
        <v>9</v>
      </c>
      <c r="AY3" s="213" t="s">
        <v>13</v>
      </c>
      <c r="AZ3" s="213"/>
      <c r="BA3" s="214"/>
      <c r="BB3" s="215"/>
      <c r="BC3" s="222" t="s">
        <v>14</v>
      </c>
      <c r="BD3" s="213"/>
      <c r="BE3" s="213"/>
      <c r="BF3" s="214"/>
      <c r="BG3" s="214"/>
      <c r="BH3" s="215"/>
      <c r="BI3" s="58"/>
      <c r="BJ3" s="227" t="s">
        <v>16</v>
      </c>
      <c r="BK3" s="224" t="s">
        <v>17</v>
      </c>
      <c r="BL3" s="228" t="s">
        <v>18</v>
      </c>
      <c r="BM3" s="229"/>
      <c r="BN3" s="230"/>
      <c r="BO3" s="213" t="s">
        <v>14</v>
      </c>
      <c r="BP3" s="214"/>
      <c r="BQ3" s="214"/>
      <c r="BR3" s="215"/>
      <c r="BS3" s="134"/>
    </row>
    <row r="4" spans="1:71" ht="56.25" customHeight="1" thickBot="1" x14ac:dyDescent="0.3">
      <c r="B4" s="198"/>
      <c r="C4" s="2"/>
      <c r="D4" s="217"/>
      <c r="E4" s="217"/>
      <c r="F4" s="217"/>
      <c r="G4" s="217"/>
      <c r="H4" s="217"/>
      <c r="I4" s="79" t="s">
        <v>3</v>
      </c>
      <c r="J4" s="80" t="s">
        <v>4</v>
      </c>
      <c r="K4" s="81" t="s">
        <v>57</v>
      </c>
      <c r="L4" s="81" t="s">
        <v>5</v>
      </c>
      <c r="M4" s="80" t="s">
        <v>3</v>
      </c>
      <c r="N4" s="80" t="s">
        <v>4</v>
      </c>
      <c r="O4" s="80" t="s">
        <v>57</v>
      </c>
      <c r="P4" s="80" t="s">
        <v>19</v>
      </c>
      <c r="Q4" s="59"/>
      <c r="R4" s="121" t="s">
        <v>20</v>
      </c>
      <c r="S4" s="61" t="s">
        <v>21</v>
      </c>
      <c r="T4" s="61" t="s">
        <v>59</v>
      </c>
      <c r="U4" s="61" t="s">
        <v>22</v>
      </c>
      <c r="V4" s="122" t="s">
        <v>23</v>
      </c>
      <c r="W4" s="61" t="s">
        <v>24</v>
      </c>
      <c r="X4" s="122" t="s">
        <v>25</v>
      </c>
      <c r="Y4" s="61" t="s">
        <v>24</v>
      </c>
      <c r="Z4" s="124" t="s">
        <v>26</v>
      </c>
      <c r="AA4" s="124" t="s">
        <v>24</v>
      </c>
      <c r="AB4" s="59"/>
      <c r="AC4" s="225"/>
      <c r="AD4" s="208"/>
      <c r="AE4" s="61" t="s">
        <v>27</v>
      </c>
      <c r="AF4" s="121" t="s">
        <v>28</v>
      </c>
      <c r="AG4" s="61" t="s">
        <v>29</v>
      </c>
      <c r="AH4" s="123" t="s">
        <v>30</v>
      </c>
      <c r="AI4" s="61" t="s">
        <v>24</v>
      </c>
      <c r="AJ4" s="61" t="s">
        <v>31</v>
      </c>
      <c r="AK4" s="61" t="s">
        <v>24</v>
      </c>
      <c r="AL4" s="60"/>
      <c r="AM4" s="207"/>
      <c r="AN4" s="225"/>
      <c r="AO4" s="122" t="s">
        <v>27</v>
      </c>
      <c r="AP4" s="61" t="s">
        <v>28</v>
      </c>
      <c r="AQ4" s="121" t="s">
        <v>29</v>
      </c>
      <c r="AR4" s="61" t="s">
        <v>30</v>
      </c>
      <c r="AS4" s="122" t="s">
        <v>24</v>
      </c>
      <c r="AT4" s="61" t="s">
        <v>31</v>
      </c>
      <c r="AU4" s="123" t="s">
        <v>24</v>
      </c>
      <c r="AV4" s="60"/>
      <c r="AW4" s="225"/>
      <c r="AX4" s="225"/>
      <c r="AY4" s="122" t="s">
        <v>27</v>
      </c>
      <c r="AZ4" s="61" t="s">
        <v>58</v>
      </c>
      <c r="BA4" s="122" t="s">
        <v>60</v>
      </c>
      <c r="BB4" s="61" t="s">
        <v>29</v>
      </c>
      <c r="BC4" s="122" t="s">
        <v>55</v>
      </c>
      <c r="BD4" s="61" t="s">
        <v>24</v>
      </c>
      <c r="BE4" s="122" t="s">
        <v>56</v>
      </c>
      <c r="BF4" s="61" t="s">
        <v>24</v>
      </c>
      <c r="BG4" s="122" t="s">
        <v>69</v>
      </c>
      <c r="BH4" s="61" t="s">
        <v>24</v>
      </c>
      <c r="BI4" s="60"/>
      <c r="BJ4" s="207"/>
      <c r="BK4" s="225"/>
      <c r="BL4" s="122" t="s">
        <v>32</v>
      </c>
      <c r="BM4" s="61" t="s">
        <v>33</v>
      </c>
      <c r="BN4" s="61" t="s">
        <v>34</v>
      </c>
      <c r="BO4" s="61" t="s">
        <v>35</v>
      </c>
      <c r="BP4" s="122" t="s">
        <v>24</v>
      </c>
      <c r="BQ4" s="61" t="s">
        <v>36</v>
      </c>
      <c r="BR4" s="123" t="s">
        <v>24</v>
      </c>
      <c r="BS4" s="135"/>
    </row>
    <row r="5" spans="1:71" ht="15.75" thickBot="1" x14ac:dyDescent="0.3">
      <c r="B5" s="136"/>
      <c r="C5" s="137"/>
      <c r="D5" s="82"/>
      <c r="E5" s="70"/>
      <c r="F5" s="82"/>
      <c r="G5" s="70"/>
      <c r="H5" s="83"/>
      <c r="I5" s="84"/>
      <c r="J5" s="70"/>
      <c r="K5" s="85"/>
      <c r="L5" s="85"/>
      <c r="M5" s="83"/>
      <c r="N5" s="83"/>
      <c r="O5" s="83"/>
      <c r="P5" s="83"/>
      <c r="Q5" s="62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3"/>
      <c r="AC5" s="142"/>
      <c r="AD5" s="143"/>
      <c r="AE5" s="93"/>
      <c r="AF5" s="118"/>
      <c r="AG5" s="93"/>
      <c r="AH5" s="93"/>
      <c r="AI5" s="94"/>
      <c r="AJ5" s="95"/>
      <c r="AK5" s="96"/>
      <c r="AL5" s="66"/>
      <c r="AM5" s="67"/>
      <c r="AN5" s="68"/>
      <c r="AO5" s="97"/>
      <c r="AP5" s="115"/>
      <c r="AQ5" s="98"/>
      <c r="AR5" s="99"/>
      <c r="AS5" s="100"/>
      <c r="AT5" s="101"/>
      <c r="AU5" s="102"/>
      <c r="AV5" s="66"/>
      <c r="AW5" s="103"/>
      <c r="AX5" s="104"/>
      <c r="AY5" s="105"/>
      <c r="AZ5" s="106"/>
      <c r="BA5" s="120"/>
      <c r="BB5" s="107"/>
      <c r="BC5" s="107"/>
      <c r="BD5" s="108"/>
      <c r="BE5" s="107"/>
      <c r="BF5" s="108"/>
      <c r="BG5" s="107"/>
      <c r="BH5" s="108"/>
      <c r="BI5" s="66"/>
      <c r="BJ5" s="71"/>
      <c r="BK5" s="68"/>
      <c r="BL5" s="72"/>
      <c r="BM5" s="64"/>
      <c r="BN5" s="64"/>
      <c r="BO5" s="69"/>
      <c r="BP5" s="73"/>
      <c r="BQ5" s="74"/>
      <c r="BR5" s="65"/>
      <c r="BS5" s="144"/>
    </row>
    <row r="6" spans="1:71" ht="15.75" thickBot="1" x14ac:dyDescent="0.3">
      <c r="B6" s="55">
        <v>46203</v>
      </c>
      <c r="D6" s="86">
        <f t="shared" ref="D6:D35" si="0">R6+S6</f>
        <v>58638</v>
      </c>
      <c r="E6" s="158">
        <f t="shared" ref="E6:E35" si="1">F6/D6</f>
        <v>0.88277567447730132</v>
      </c>
      <c r="F6" s="86">
        <f t="shared" ref="F6:F35" si="2">D6-H6</f>
        <v>51764.2</v>
      </c>
      <c r="G6" s="158">
        <f t="shared" ref="G6:G37" si="3">H6/D6</f>
        <v>0.1172243255226986</v>
      </c>
      <c r="H6" s="145">
        <f t="shared" ref="H6:H37" si="4">U6+AG6+AQ6+BB6</f>
        <v>6873.8</v>
      </c>
      <c r="I6" s="159">
        <f t="shared" ref="I6:I37" si="5">AE6/(AE6+AO6+BL6+AY6)</f>
        <v>0.12131587009803922</v>
      </c>
      <c r="J6" s="158">
        <f t="shared" ref="J6:J37" si="6">AO6/(AE6+AO6+BL6+AY6)</f>
        <v>0.15663296568627452</v>
      </c>
      <c r="K6" s="158">
        <f t="shared" ref="K6:K37" si="7">AY6/(AF6+AP6+BM6+AZ6+AY6)</f>
        <v>0.17157384741921888</v>
      </c>
      <c r="L6" s="160">
        <f t="shared" ref="L6:L37" si="8">BL6/(AE6+AO6+BL6+AY6)</f>
        <v>0.57457873774509804</v>
      </c>
      <c r="M6" s="145">
        <f>(S6+T6)*I6</f>
        <v>6962.8030484068631</v>
      </c>
      <c r="N6" s="145">
        <f>(S6+T6)*J6</f>
        <v>8989.7924325980403</v>
      </c>
      <c r="O6" s="145">
        <f>(S6+T6)*K6</f>
        <v>9847.3093987786488</v>
      </c>
      <c r="P6" s="145">
        <f>(S6+T6)*L6</f>
        <v>32977.372074142157</v>
      </c>
      <c r="Q6" s="55">
        <v>46203</v>
      </c>
      <c r="R6" s="139">
        <v>58638</v>
      </c>
      <c r="S6" s="139">
        <v>0</v>
      </c>
      <c r="T6" s="139">
        <v>57394</v>
      </c>
      <c r="U6" s="139">
        <v>0</v>
      </c>
      <c r="V6" s="140">
        <v>14064.68</v>
      </c>
      <c r="W6" s="141">
        <v>0.76041666666666663</v>
      </c>
      <c r="X6" s="140">
        <v>4782.46</v>
      </c>
      <c r="Y6" s="141">
        <v>0.40625</v>
      </c>
      <c r="Z6" s="140">
        <v>0</v>
      </c>
      <c r="AA6" s="141">
        <v>0</v>
      </c>
      <c r="AB6" s="55">
        <v>46203</v>
      </c>
      <c r="AC6" s="75">
        <f t="shared" ref="AC6:AC7" si="9">+AF6/AE6</f>
        <v>1</v>
      </c>
      <c r="AD6" s="161">
        <f t="shared" ref="AD6:AD7" si="10">+AG6/AE6</f>
        <v>0</v>
      </c>
      <c r="AE6" s="162">
        <v>7919.5</v>
      </c>
      <c r="AF6" s="117">
        <f t="shared" ref="AF6:AF7" si="11">AE6-AG6</f>
        <v>7919.5</v>
      </c>
      <c r="AG6" s="146">
        <v>0</v>
      </c>
      <c r="AH6" s="147">
        <v>4071.65</v>
      </c>
      <c r="AI6" s="148">
        <v>0.34444444444444444</v>
      </c>
      <c r="AJ6" s="147">
        <v>0</v>
      </c>
      <c r="AK6" s="164">
        <v>0</v>
      </c>
      <c r="AL6" s="55">
        <v>46203</v>
      </c>
      <c r="AM6" s="76">
        <f t="shared" ref="AM6:AM7" si="12">+AP6/AO6</f>
        <v>0.61036185819070898</v>
      </c>
      <c r="AN6" s="75">
        <f t="shared" ref="AN6:AN7" si="13">+AQ6/AO6</f>
        <v>0.38963814180929096</v>
      </c>
      <c r="AO6" s="149">
        <v>10225</v>
      </c>
      <c r="AP6" s="116">
        <f t="shared" ref="AP6:AP7" si="14">AO6-AQ6</f>
        <v>6240.95</v>
      </c>
      <c r="AQ6" s="150">
        <v>3984.05</v>
      </c>
      <c r="AR6" s="151">
        <v>3875.13</v>
      </c>
      <c r="AS6" s="152">
        <v>0.71805555555555556</v>
      </c>
      <c r="AT6" s="151">
        <v>191.11</v>
      </c>
      <c r="AU6" s="153">
        <v>0.45833333333333331</v>
      </c>
      <c r="AV6" s="55">
        <v>46203</v>
      </c>
      <c r="AW6" s="109">
        <f t="shared" ref="AW6:AW7" si="15">BA6/AZ6</f>
        <v>0.69982860704269245</v>
      </c>
      <c r="AX6" s="109">
        <f t="shared" ref="AX6:AX7" si="16">BB6/AZ6</f>
        <v>0.30017139295730755</v>
      </c>
      <c r="AY6" s="110">
        <f t="shared" ref="AY6:AY7" si="17">BA6+BB6</f>
        <v>9627</v>
      </c>
      <c r="AZ6" s="111">
        <v>9627</v>
      </c>
      <c r="BA6" s="119">
        <f t="shared" ref="BA6:BA7" si="18">AZ6-BB6</f>
        <v>6737.25</v>
      </c>
      <c r="BB6" s="112">
        <v>2889.75</v>
      </c>
      <c r="BC6" s="111">
        <v>3669.13</v>
      </c>
      <c r="BD6" s="113">
        <v>0.70833333333333337</v>
      </c>
      <c r="BE6" s="114">
        <v>0</v>
      </c>
      <c r="BF6" s="113">
        <v>0</v>
      </c>
      <c r="BG6" s="114">
        <v>169.5</v>
      </c>
      <c r="BH6" s="113">
        <v>0.33333333333333331</v>
      </c>
      <c r="BI6" s="55">
        <v>46203</v>
      </c>
      <c r="BJ6" s="77">
        <f t="shared" ref="BJ6:BJ7" si="19">+BM6/BL6</f>
        <v>0.6050761827319141</v>
      </c>
      <c r="BK6" s="75">
        <f t="shared" ref="BK6:BK7" si="20">+BN6/BL6</f>
        <v>0.3949238172680859</v>
      </c>
      <c r="BL6" s="78">
        <f t="shared" ref="BL6:BL7" si="21">BM6+BN6</f>
        <v>37508.5</v>
      </c>
      <c r="BM6" s="154">
        <v>22695.5</v>
      </c>
      <c r="BN6" s="154">
        <v>14813</v>
      </c>
      <c r="BO6" s="155">
        <v>2213</v>
      </c>
      <c r="BP6" s="156">
        <v>0.41666666666666669</v>
      </c>
      <c r="BQ6" s="157">
        <v>2821.84</v>
      </c>
      <c r="BR6" s="156">
        <v>0.41666666666666669</v>
      </c>
    </row>
    <row r="7" spans="1:71" ht="15.75" thickBot="1" x14ac:dyDescent="0.3">
      <c r="A7" s="165"/>
      <c r="B7" s="55">
        <f>B6+1</f>
        <v>46204</v>
      </c>
      <c r="C7" s="125"/>
      <c r="D7" s="86">
        <f t="shared" si="0"/>
        <v>58650</v>
      </c>
      <c r="E7" s="158">
        <f t="shared" si="1"/>
        <v>0.86917306052855925</v>
      </c>
      <c r="F7" s="86">
        <f t="shared" si="2"/>
        <v>50977</v>
      </c>
      <c r="G7" s="158">
        <f t="shared" si="3"/>
        <v>0.13082693947144075</v>
      </c>
      <c r="H7" s="145">
        <f t="shared" si="4"/>
        <v>7673</v>
      </c>
      <c r="I7" s="159">
        <f t="shared" si="5"/>
        <v>0.12118759258976435</v>
      </c>
      <c r="J7" s="158">
        <f t="shared" si="6"/>
        <v>0.15745987140522627</v>
      </c>
      <c r="K7" s="158">
        <f t="shared" si="7"/>
        <v>0.17114731960411522</v>
      </c>
      <c r="L7" s="160">
        <f t="shared" si="8"/>
        <v>0.5742474456679445</v>
      </c>
      <c r="M7" s="145">
        <f t="shared" ref="M7:M37" si="22">(S7+T7)*I7</f>
        <v>6958.5915665042685</v>
      </c>
      <c r="N7" s="145">
        <f t="shared" ref="N7:N37" si="23">(S7+T7)*J7</f>
        <v>9041.3458160880928</v>
      </c>
      <c r="O7" s="145">
        <f t="shared" ref="O7:O37" si="24">(S7+T7)*K7</f>
        <v>9827.2790916682952</v>
      </c>
      <c r="P7" s="145">
        <f t="shared" ref="P7:P37" si="25">(S7+T7)*L7</f>
        <v>32973.288330253374</v>
      </c>
      <c r="Q7" s="55">
        <f>Q6+1</f>
        <v>46204</v>
      </c>
      <c r="R7" s="138">
        <v>58650</v>
      </c>
      <c r="S7" s="139">
        <v>0</v>
      </c>
      <c r="T7" s="139">
        <v>57420</v>
      </c>
      <c r="U7" s="139">
        <v>0</v>
      </c>
      <c r="V7" s="140">
        <v>14065</v>
      </c>
      <c r="W7" s="141">
        <v>0.73958333333333337</v>
      </c>
      <c r="X7" s="140">
        <v>4750</v>
      </c>
      <c r="Y7" s="141">
        <v>0.70833333333333337</v>
      </c>
      <c r="Z7" s="140">
        <v>0</v>
      </c>
      <c r="AA7" s="141">
        <v>0</v>
      </c>
      <c r="AB7" s="55">
        <f>AB6+1</f>
        <v>46204</v>
      </c>
      <c r="AC7" s="75">
        <f t="shared" si="9"/>
        <v>1</v>
      </c>
      <c r="AD7" s="161">
        <f t="shared" si="10"/>
        <v>0</v>
      </c>
      <c r="AE7" s="162">
        <v>7935</v>
      </c>
      <c r="AF7" s="117">
        <f t="shared" si="11"/>
        <v>7935</v>
      </c>
      <c r="AG7" s="146">
        <v>0</v>
      </c>
      <c r="AH7" s="147">
        <v>4080</v>
      </c>
      <c r="AI7" s="148">
        <v>0.33333333333333331</v>
      </c>
      <c r="AJ7" s="147">
        <v>0</v>
      </c>
      <c r="AK7" s="164">
        <v>0</v>
      </c>
      <c r="AL7" s="55">
        <f>AL6+1</f>
        <v>46204</v>
      </c>
      <c r="AM7" s="76">
        <f t="shared" si="12"/>
        <v>0.61396702230843836</v>
      </c>
      <c r="AN7" s="75">
        <f t="shared" si="13"/>
        <v>0.38603297769156159</v>
      </c>
      <c r="AO7" s="149">
        <v>10310</v>
      </c>
      <c r="AP7" s="116">
        <f t="shared" si="14"/>
        <v>6330</v>
      </c>
      <c r="AQ7" s="150">
        <v>3980</v>
      </c>
      <c r="AR7" s="151">
        <v>3940</v>
      </c>
      <c r="AS7" s="152">
        <v>0.77083333333333337</v>
      </c>
      <c r="AT7" s="151">
        <v>194</v>
      </c>
      <c r="AU7" s="153">
        <v>0.72916666666666663</v>
      </c>
      <c r="AV7" s="55">
        <f>AV6+1</f>
        <v>46204</v>
      </c>
      <c r="AW7" s="109">
        <f t="shared" si="15"/>
        <v>0.61659053156146182</v>
      </c>
      <c r="AX7" s="109">
        <f t="shared" si="16"/>
        <v>0.38340946843853818</v>
      </c>
      <c r="AY7" s="110">
        <f t="shared" si="17"/>
        <v>9632</v>
      </c>
      <c r="AZ7" s="111">
        <v>9632</v>
      </c>
      <c r="BA7" s="119">
        <f t="shared" si="18"/>
        <v>5939</v>
      </c>
      <c r="BB7" s="112">
        <f>2995+698</f>
        <v>3693</v>
      </c>
      <c r="BC7" s="111">
        <v>3680</v>
      </c>
      <c r="BD7" s="113">
        <v>0.75</v>
      </c>
      <c r="BE7" s="114">
        <v>0</v>
      </c>
      <c r="BF7" s="113">
        <v>0</v>
      </c>
      <c r="BG7" s="114">
        <v>171</v>
      </c>
      <c r="BH7" s="113">
        <v>0.75</v>
      </c>
      <c r="BI7" s="55">
        <f>BI6+1</f>
        <v>46204</v>
      </c>
      <c r="BJ7" s="77">
        <f t="shared" si="19"/>
        <v>0.60505319148936165</v>
      </c>
      <c r="BK7" s="75">
        <f t="shared" si="20"/>
        <v>0.39494680851063829</v>
      </c>
      <c r="BL7" s="78">
        <f t="shared" si="21"/>
        <v>37600</v>
      </c>
      <c r="BM7" s="154">
        <v>22750</v>
      </c>
      <c r="BN7" s="154">
        <v>14850</v>
      </c>
      <c r="BO7" s="155">
        <v>2670</v>
      </c>
      <c r="BP7" s="156">
        <v>0.35416666666666669</v>
      </c>
      <c r="BQ7" s="157">
        <v>2850</v>
      </c>
      <c r="BR7" s="156">
        <v>0.70833333333333337</v>
      </c>
    </row>
    <row r="8" spans="1:71" ht="15.75" thickBot="1" x14ac:dyDescent="0.3">
      <c r="A8" s="165"/>
      <c r="B8" s="55">
        <f t="shared" ref="B8:B37" si="26">B7+1</f>
        <v>46205</v>
      </c>
      <c r="C8" s="163"/>
      <c r="D8" s="86">
        <f t="shared" si="0"/>
        <v>58530</v>
      </c>
      <c r="E8" s="158">
        <f t="shared" si="1"/>
        <v>0.87155304971809333</v>
      </c>
      <c r="F8" s="86">
        <f t="shared" si="2"/>
        <v>51012</v>
      </c>
      <c r="G8" s="158">
        <f t="shared" si="3"/>
        <v>0.12844695028190672</v>
      </c>
      <c r="H8" s="145">
        <f t="shared" si="4"/>
        <v>7518</v>
      </c>
      <c r="I8" s="159">
        <f t="shared" si="5"/>
        <v>0.12131127394503587</v>
      </c>
      <c r="J8" s="158">
        <f t="shared" si="6"/>
        <v>0.15668924835245865</v>
      </c>
      <c r="K8" s="158">
        <f t="shared" si="7"/>
        <v>0.17150419371568576</v>
      </c>
      <c r="L8" s="160">
        <f t="shared" si="8"/>
        <v>0.57468086086916448</v>
      </c>
      <c r="M8" s="145">
        <f t="shared" si="22"/>
        <v>6957.201560747807</v>
      </c>
      <c r="N8" s="145">
        <f t="shared" si="23"/>
        <v>8986.1283930135032</v>
      </c>
      <c r="O8" s="145">
        <f t="shared" si="24"/>
        <v>9835.7655095945775</v>
      </c>
      <c r="P8" s="145">
        <f t="shared" si="25"/>
        <v>32957.947370846581</v>
      </c>
      <c r="Q8" s="55">
        <f t="shared" ref="Q8:Q37" si="27">Q7+1</f>
        <v>46205</v>
      </c>
      <c r="R8" s="138">
        <v>58530</v>
      </c>
      <c r="S8" s="139">
        <v>0</v>
      </c>
      <c r="T8" s="139">
        <v>57350</v>
      </c>
      <c r="U8" s="139">
        <v>0</v>
      </c>
      <c r="V8" s="140">
        <v>14020</v>
      </c>
      <c r="W8" s="141">
        <v>0.77083333333333337</v>
      </c>
      <c r="X8" s="140">
        <v>4720</v>
      </c>
      <c r="Y8" s="141">
        <v>0.75</v>
      </c>
      <c r="Z8" s="140">
        <v>0</v>
      </c>
      <c r="AA8" s="141">
        <v>0</v>
      </c>
      <c r="AB8" s="55">
        <f t="shared" ref="AB8:AB37" si="28">AB7+1</f>
        <v>46205</v>
      </c>
      <c r="AC8" s="75">
        <f t="shared" ref="AC8:AC10" si="29">+AF8/AE8</f>
        <v>1</v>
      </c>
      <c r="AD8" s="161">
        <f t="shared" ref="AD8:AD10" si="30">+AG8/AE8</f>
        <v>0</v>
      </c>
      <c r="AE8" s="162">
        <v>7897</v>
      </c>
      <c r="AF8" s="117">
        <f>AE8-AG8</f>
        <v>7897</v>
      </c>
      <c r="AG8" s="146">
        <v>0</v>
      </c>
      <c r="AH8" s="147">
        <v>4030</v>
      </c>
      <c r="AI8" s="148">
        <v>0.32291666666666669</v>
      </c>
      <c r="AJ8" s="147">
        <v>0</v>
      </c>
      <c r="AK8" s="164">
        <v>0</v>
      </c>
      <c r="AL8" s="55">
        <f t="shared" ref="AL8:AL37" si="31">AL7+1</f>
        <v>46205</v>
      </c>
      <c r="AM8" s="76">
        <f t="shared" ref="AM8:AM10" si="32">+AP8/AO8</f>
        <v>0.61274509803921573</v>
      </c>
      <c r="AN8" s="75">
        <f t="shared" ref="AN8:AN10" si="33">+AQ8/AO8</f>
        <v>0.38725490196078433</v>
      </c>
      <c r="AO8" s="149">
        <v>10200</v>
      </c>
      <c r="AP8" s="116">
        <f t="shared" ref="AP8:AP36" si="34">AO8-AQ8</f>
        <v>6250</v>
      </c>
      <c r="AQ8" s="150">
        <v>3950</v>
      </c>
      <c r="AR8" s="151">
        <v>3920</v>
      </c>
      <c r="AS8" s="152">
        <v>0.72916666666666663</v>
      </c>
      <c r="AT8" s="151">
        <v>194</v>
      </c>
      <c r="AU8" s="153">
        <v>0.77083333333333337</v>
      </c>
      <c r="AV8" s="55">
        <f t="shared" ref="AV8:AV37" si="35">AV7+1</f>
        <v>46205</v>
      </c>
      <c r="AW8" s="109">
        <f t="shared" ref="AW8:AW10" si="36">BA8/AZ8</f>
        <v>0.62794577685088637</v>
      </c>
      <c r="AX8" s="109">
        <f t="shared" ref="AX8:AX10" si="37">BB8/AZ8</f>
        <v>0.37205422314911368</v>
      </c>
      <c r="AY8" s="110">
        <f>BA8+BB8</f>
        <v>9590</v>
      </c>
      <c r="AZ8" s="111">
        <v>9590</v>
      </c>
      <c r="BA8" s="119">
        <f t="shared" ref="BA8:BA39" si="38">AZ8-BB8</f>
        <v>6022</v>
      </c>
      <c r="BB8" s="112">
        <f>2870+698</f>
        <v>3568</v>
      </c>
      <c r="BC8" s="111">
        <v>3530</v>
      </c>
      <c r="BD8" s="113">
        <v>0.72916666666666663</v>
      </c>
      <c r="BE8" s="114">
        <v>0</v>
      </c>
      <c r="BF8" s="113">
        <v>0</v>
      </c>
      <c r="BG8" s="114">
        <v>171</v>
      </c>
      <c r="BH8" s="113">
        <v>0.8125</v>
      </c>
      <c r="BI8" s="55">
        <f t="shared" ref="BI8:BI37" si="39">BI7+1</f>
        <v>46205</v>
      </c>
      <c r="BJ8" s="77">
        <f t="shared" ref="BJ8:BJ10" si="40">+BM8/BL8</f>
        <v>0.60384923817161185</v>
      </c>
      <c r="BK8" s="75">
        <f t="shared" ref="BK8:BK10" si="41">+BN8/BL8</f>
        <v>0.39615076182838815</v>
      </c>
      <c r="BL8" s="78">
        <f t="shared" ref="BL8:BL10" si="42">BM8+BN8</f>
        <v>37410</v>
      </c>
      <c r="BM8" s="154">
        <v>22590</v>
      </c>
      <c r="BN8" s="154">
        <v>14820</v>
      </c>
      <c r="BO8" s="155">
        <v>2550</v>
      </c>
      <c r="BP8" s="156">
        <v>0.39583333333333331</v>
      </c>
      <c r="BQ8" s="157">
        <v>2810</v>
      </c>
      <c r="BR8" s="156">
        <v>0.77083333333333337</v>
      </c>
    </row>
    <row r="9" spans="1:71" ht="15.75" thickBot="1" x14ac:dyDescent="0.3">
      <c r="A9" s="165" t="s">
        <v>67</v>
      </c>
      <c r="B9" s="55">
        <f t="shared" si="26"/>
        <v>46206</v>
      </c>
      <c r="C9" s="163"/>
      <c r="D9" s="86">
        <f t="shared" si="0"/>
        <v>58870</v>
      </c>
      <c r="E9" s="158">
        <f t="shared" si="1"/>
        <v>0.8698318328520469</v>
      </c>
      <c r="F9" s="86">
        <f t="shared" si="2"/>
        <v>51207</v>
      </c>
      <c r="G9" s="158">
        <f t="shared" si="3"/>
        <v>0.13016816714795312</v>
      </c>
      <c r="H9" s="145">
        <f t="shared" si="4"/>
        <v>7663</v>
      </c>
      <c r="I9" s="159">
        <f t="shared" si="5"/>
        <v>0.12087577923065228</v>
      </c>
      <c r="J9" s="158">
        <f t="shared" si="6"/>
        <v>0.15843089554508136</v>
      </c>
      <c r="K9" s="158">
        <f t="shared" si="7"/>
        <v>0.17209425469949696</v>
      </c>
      <c r="L9" s="160">
        <f t="shared" si="8"/>
        <v>0.57244944503573059</v>
      </c>
      <c r="M9" s="145">
        <f t="shared" si="22"/>
        <v>6958.8186103086518</v>
      </c>
      <c r="N9" s="145">
        <f t="shared" si="23"/>
        <v>9120.8666565303338</v>
      </c>
      <c r="O9" s="145">
        <f t="shared" si="24"/>
        <v>9907.4662430500393</v>
      </c>
      <c r="P9" s="145">
        <f t="shared" si="25"/>
        <v>32955.914550707013</v>
      </c>
      <c r="Q9" s="55">
        <f t="shared" si="27"/>
        <v>46206</v>
      </c>
      <c r="R9" s="138">
        <v>58870</v>
      </c>
      <c r="S9" s="139">
        <v>0</v>
      </c>
      <c r="T9" s="139">
        <v>57570</v>
      </c>
      <c r="U9" s="139">
        <v>0</v>
      </c>
      <c r="V9" s="140">
        <v>14200</v>
      </c>
      <c r="W9" s="141">
        <v>0.70833333333333337</v>
      </c>
      <c r="X9" s="140">
        <v>4890</v>
      </c>
      <c r="Y9" s="141">
        <v>0.7104166666666667</v>
      </c>
      <c r="Z9" s="140">
        <v>0</v>
      </c>
      <c r="AA9" s="141">
        <v>0</v>
      </c>
      <c r="AB9" s="55">
        <f t="shared" si="28"/>
        <v>46206</v>
      </c>
      <c r="AC9" s="75">
        <f t="shared" si="29"/>
        <v>1</v>
      </c>
      <c r="AD9" s="161">
        <f t="shared" si="30"/>
        <v>0</v>
      </c>
      <c r="AE9" s="162">
        <v>7950</v>
      </c>
      <c r="AF9" s="117">
        <f t="shared" ref="AF9:AF39" si="43">AE9-AG9</f>
        <v>7950</v>
      </c>
      <c r="AG9" s="146">
        <v>0</v>
      </c>
      <c r="AH9" s="147">
        <v>4095</v>
      </c>
      <c r="AI9" s="148">
        <v>0.35416666666666669</v>
      </c>
      <c r="AJ9" s="147">
        <v>0</v>
      </c>
      <c r="AK9" s="164">
        <v>0</v>
      </c>
      <c r="AL9" s="55">
        <f t="shared" si="31"/>
        <v>46206</v>
      </c>
      <c r="AM9" s="76">
        <f t="shared" si="32"/>
        <v>0.61660268714011512</v>
      </c>
      <c r="AN9" s="75">
        <f t="shared" si="33"/>
        <v>0.38339731285988482</v>
      </c>
      <c r="AO9" s="149">
        <v>10420</v>
      </c>
      <c r="AP9" s="116">
        <f t="shared" si="34"/>
        <v>6425</v>
      </c>
      <c r="AQ9" s="150">
        <v>3995</v>
      </c>
      <c r="AR9" s="151">
        <v>3970</v>
      </c>
      <c r="AS9" s="152">
        <v>0.75</v>
      </c>
      <c r="AT9" s="151">
        <v>194</v>
      </c>
      <c r="AU9" s="153">
        <v>0.79166666666666663</v>
      </c>
      <c r="AV9" s="55">
        <f t="shared" si="35"/>
        <v>46206</v>
      </c>
      <c r="AW9" s="109">
        <f t="shared" si="36"/>
        <v>0.62379487179487181</v>
      </c>
      <c r="AX9" s="109">
        <f t="shared" si="37"/>
        <v>0.37620512820512819</v>
      </c>
      <c r="AY9" s="110">
        <f t="shared" ref="AY9:AY39" si="44">BA9+BB9</f>
        <v>9750</v>
      </c>
      <c r="AZ9" s="111">
        <v>9750</v>
      </c>
      <c r="BA9" s="119">
        <f t="shared" si="38"/>
        <v>6082</v>
      </c>
      <c r="BB9" s="112">
        <f>2970+698</f>
        <v>3668</v>
      </c>
      <c r="BC9" s="111">
        <v>3650</v>
      </c>
      <c r="BD9" s="113">
        <v>0.77083333333333337</v>
      </c>
      <c r="BE9" s="114">
        <v>0</v>
      </c>
      <c r="BF9" s="113">
        <v>0</v>
      </c>
      <c r="BG9" s="114">
        <v>172</v>
      </c>
      <c r="BH9" s="113">
        <v>0.78125</v>
      </c>
      <c r="BI9" s="55">
        <f t="shared" si="39"/>
        <v>46206</v>
      </c>
      <c r="BJ9" s="77">
        <f t="shared" si="40"/>
        <v>0.60504648074369194</v>
      </c>
      <c r="BK9" s="75">
        <f t="shared" si="41"/>
        <v>0.39495351925630812</v>
      </c>
      <c r="BL9" s="78">
        <f t="shared" si="42"/>
        <v>37650</v>
      </c>
      <c r="BM9" s="154">
        <v>22780</v>
      </c>
      <c r="BN9" s="154">
        <v>14870</v>
      </c>
      <c r="BO9" s="155">
        <v>2650</v>
      </c>
      <c r="BP9" s="156">
        <v>0.35416666666666669</v>
      </c>
      <c r="BQ9" s="157">
        <v>2860</v>
      </c>
      <c r="BR9" s="156">
        <v>0.72916666666666663</v>
      </c>
    </row>
    <row r="10" spans="1:71" ht="15.75" thickBot="1" x14ac:dyDescent="0.3">
      <c r="B10" s="55">
        <f t="shared" si="26"/>
        <v>46207</v>
      </c>
      <c r="C10" s="163"/>
      <c r="D10" s="86">
        <f t="shared" si="0"/>
        <v>35316</v>
      </c>
      <c r="E10" s="158">
        <f t="shared" si="1"/>
        <v>0.78604598482274324</v>
      </c>
      <c r="F10" s="86">
        <f t="shared" si="2"/>
        <v>27760</v>
      </c>
      <c r="G10" s="158">
        <f t="shared" si="3"/>
        <v>0.21395401517725676</v>
      </c>
      <c r="H10" s="145">
        <f t="shared" si="4"/>
        <v>7556</v>
      </c>
      <c r="I10" s="159">
        <f t="shared" si="5"/>
        <v>7.6669814450881807E-2</v>
      </c>
      <c r="J10" s="158">
        <f t="shared" si="6"/>
        <v>0.15020035221153111</v>
      </c>
      <c r="K10" s="158">
        <f t="shared" si="7"/>
        <v>0.16694551061247254</v>
      </c>
      <c r="L10" s="160">
        <f t="shared" si="8"/>
        <v>0.64324545060105665</v>
      </c>
      <c r="M10" s="145">
        <f t="shared" si="22"/>
        <v>2607.003700773334</v>
      </c>
      <c r="N10" s="145">
        <f t="shared" si="23"/>
        <v>5107.2625762486923</v>
      </c>
      <c r="O10" s="145">
        <f t="shared" si="24"/>
        <v>5676.6481973559039</v>
      </c>
      <c r="P10" s="145">
        <f t="shared" si="25"/>
        <v>21872.27505678773</v>
      </c>
      <c r="Q10" s="55">
        <f t="shared" si="27"/>
        <v>46207</v>
      </c>
      <c r="R10" s="138">
        <v>35316</v>
      </c>
      <c r="S10" s="139">
        <v>0</v>
      </c>
      <c r="T10" s="139">
        <v>34003</v>
      </c>
      <c r="U10" s="139">
        <v>0</v>
      </c>
      <c r="V10" s="140">
        <v>6482</v>
      </c>
      <c r="W10" s="141">
        <v>0.73958333333333337</v>
      </c>
      <c r="X10" s="140">
        <v>2495</v>
      </c>
      <c r="Y10" s="141">
        <v>0.69791666666666663</v>
      </c>
      <c r="Z10" s="140">
        <v>0</v>
      </c>
      <c r="AA10" s="141">
        <v>0</v>
      </c>
      <c r="AB10" s="55">
        <f t="shared" si="28"/>
        <v>46207</v>
      </c>
      <c r="AC10" s="75">
        <f t="shared" si="29"/>
        <v>1</v>
      </c>
      <c r="AD10" s="161">
        <f t="shared" si="30"/>
        <v>0</v>
      </c>
      <c r="AE10" s="162">
        <v>3004</v>
      </c>
      <c r="AF10" s="117">
        <f t="shared" si="43"/>
        <v>3004</v>
      </c>
      <c r="AG10" s="146">
        <v>0</v>
      </c>
      <c r="AH10" s="147">
        <v>1886</v>
      </c>
      <c r="AI10" s="148">
        <v>0.93263888888888891</v>
      </c>
      <c r="AJ10" s="147">
        <v>0</v>
      </c>
      <c r="AK10" s="164">
        <v>0</v>
      </c>
      <c r="AL10" s="55">
        <f t="shared" si="31"/>
        <v>46207</v>
      </c>
      <c r="AM10" s="76">
        <f t="shared" si="32"/>
        <v>0.32914188615123197</v>
      </c>
      <c r="AN10" s="75">
        <f t="shared" si="33"/>
        <v>0.67085811384876803</v>
      </c>
      <c r="AO10" s="149">
        <v>5885</v>
      </c>
      <c r="AP10" s="116">
        <f t="shared" si="34"/>
        <v>1937</v>
      </c>
      <c r="AQ10" s="150">
        <v>3948</v>
      </c>
      <c r="AR10" s="151">
        <v>1685</v>
      </c>
      <c r="AS10" s="152">
        <v>0.94166666666666665</v>
      </c>
      <c r="AT10" s="151">
        <v>184</v>
      </c>
      <c r="AU10" s="153">
        <v>0.82291666666666663</v>
      </c>
      <c r="AV10" s="55">
        <f t="shared" si="35"/>
        <v>46207</v>
      </c>
      <c r="AW10" s="109">
        <f t="shared" si="36"/>
        <v>0.29101984672823739</v>
      </c>
      <c r="AX10" s="109">
        <f t="shared" si="37"/>
        <v>0.70898015327176267</v>
      </c>
      <c r="AY10" s="110">
        <f t="shared" si="44"/>
        <v>5089</v>
      </c>
      <c r="AZ10" s="111">
        <v>5089</v>
      </c>
      <c r="BA10" s="119">
        <f t="shared" si="38"/>
        <v>1481</v>
      </c>
      <c r="BB10" s="112">
        <f>2910+698</f>
        <v>3608</v>
      </c>
      <c r="BC10" s="111">
        <v>1396</v>
      </c>
      <c r="BD10" s="113">
        <v>0.65625</v>
      </c>
      <c r="BE10" s="114">
        <v>0</v>
      </c>
      <c r="BF10" s="113">
        <v>0</v>
      </c>
      <c r="BG10" s="114">
        <v>164</v>
      </c>
      <c r="BH10" s="113">
        <v>0.90625</v>
      </c>
      <c r="BI10" s="55">
        <f t="shared" si="39"/>
        <v>46207</v>
      </c>
      <c r="BJ10" s="77">
        <f t="shared" si="40"/>
        <v>0.60960996706741266</v>
      </c>
      <c r="BK10" s="75">
        <f t="shared" si="41"/>
        <v>0.39039003293258739</v>
      </c>
      <c r="BL10" s="78">
        <f t="shared" si="42"/>
        <v>25203</v>
      </c>
      <c r="BM10" s="154">
        <v>15364</v>
      </c>
      <c r="BN10" s="154">
        <v>9839</v>
      </c>
      <c r="BO10" s="155">
        <v>2642</v>
      </c>
      <c r="BP10" s="156">
        <v>0.65069444444444446</v>
      </c>
      <c r="BQ10" s="157">
        <v>1747</v>
      </c>
      <c r="BR10" s="156">
        <v>0.65138888888888891</v>
      </c>
      <c r="BS10" s="14" t="s">
        <v>68</v>
      </c>
    </row>
    <row r="11" spans="1:71" ht="15.75" thickBot="1" x14ac:dyDescent="0.3">
      <c r="B11" s="55">
        <f t="shared" si="26"/>
        <v>46208</v>
      </c>
      <c r="C11" s="163"/>
      <c r="D11" s="86">
        <f t="shared" si="0"/>
        <v>29174</v>
      </c>
      <c r="E11" s="158">
        <f t="shared" si="1"/>
        <v>0.7488859943785563</v>
      </c>
      <c r="F11" s="86">
        <f t="shared" si="2"/>
        <v>21848</v>
      </c>
      <c r="G11" s="158">
        <f t="shared" si="3"/>
        <v>0.25111400562144376</v>
      </c>
      <c r="H11" s="145">
        <f t="shared" si="4"/>
        <v>7326</v>
      </c>
      <c r="I11" s="159">
        <f t="shared" si="5"/>
        <v>6.5134701832699385E-2</v>
      </c>
      <c r="J11" s="158">
        <f t="shared" si="6"/>
        <v>0.168463738958222</v>
      </c>
      <c r="K11" s="158">
        <f t="shared" si="7"/>
        <v>0.18141574950249767</v>
      </c>
      <c r="L11" s="160">
        <f t="shared" si="8"/>
        <v>0.62597843513250129</v>
      </c>
      <c r="M11" s="145">
        <f t="shared" si="22"/>
        <v>1829.6989091823584</v>
      </c>
      <c r="N11" s="145">
        <f t="shared" si="23"/>
        <v>4732.3148910754144</v>
      </c>
      <c r="O11" s="145">
        <f t="shared" si="24"/>
        <v>5096.1498192746621</v>
      </c>
      <c r="P11" s="145">
        <f t="shared" si="25"/>
        <v>17584.360221307095</v>
      </c>
      <c r="Q11" s="55">
        <f t="shared" si="27"/>
        <v>46208</v>
      </c>
      <c r="R11" s="138">
        <v>29174</v>
      </c>
      <c r="S11" s="139">
        <v>0</v>
      </c>
      <c r="T11" s="139">
        <v>28091</v>
      </c>
      <c r="U11" s="139">
        <v>0</v>
      </c>
      <c r="V11" s="140">
        <v>6147</v>
      </c>
      <c r="W11" s="141">
        <v>0.625</v>
      </c>
      <c r="X11" s="140">
        <v>1940</v>
      </c>
      <c r="Y11" s="141">
        <v>0.92708333333333337</v>
      </c>
      <c r="Z11" s="140">
        <v>0</v>
      </c>
      <c r="AA11" s="141">
        <v>0</v>
      </c>
      <c r="AB11" s="55">
        <f t="shared" si="28"/>
        <v>46208</v>
      </c>
      <c r="AC11" s="75">
        <f t="shared" ref="AC11:AC25" si="45">+AF11/AE11</f>
        <v>1</v>
      </c>
      <c r="AD11" s="161">
        <f t="shared" ref="AD11:AD25" si="46">+AG11/AE11</f>
        <v>0</v>
      </c>
      <c r="AE11" s="162">
        <v>2072</v>
      </c>
      <c r="AF11" s="117">
        <f t="shared" si="43"/>
        <v>2072</v>
      </c>
      <c r="AG11" s="146">
        <v>0</v>
      </c>
      <c r="AH11" s="147">
        <v>1784</v>
      </c>
      <c r="AI11" s="148">
        <v>0.92291666666666672</v>
      </c>
      <c r="AJ11" s="147">
        <v>0</v>
      </c>
      <c r="AK11" s="164">
        <v>0</v>
      </c>
      <c r="AL11" s="55">
        <f t="shared" si="31"/>
        <v>46208</v>
      </c>
      <c r="AM11" s="76">
        <f t="shared" ref="AM11:AM25" si="47">+AP11/AO11</f>
        <v>0.27803694719164024</v>
      </c>
      <c r="AN11" s="75">
        <f t="shared" ref="AN11:AN25" si="48">+AQ11/AO11</f>
        <v>0.72196305280835982</v>
      </c>
      <c r="AO11" s="149">
        <v>5359</v>
      </c>
      <c r="AP11" s="116">
        <f t="shared" si="34"/>
        <v>1490</v>
      </c>
      <c r="AQ11" s="150">
        <v>3869</v>
      </c>
      <c r="AR11" s="151">
        <v>1809</v>
      </c>
      <c r="AS11" s="152">
        <v>0.93125000000000002</v>
      </c>
      <c r="AT11" s="151">
        <v>181</v>
      </c>
      <c r="AU11" s="153">
        <v>0.83333333333333337</v>
      </c>
      <c r="AV11" s="55">
        <f t="shared" si="35"/>
        <v>46208</v>
      </c>
      <c r="AW11" s="109">
        <f t="shared" ref="AW11:AW25" si="49">BA11/AZ11</f>
        <v>0.22610252966196553</v>
      </c>
      <c r="AX11" s="109">
        <f t="shared" ref="AX11:AX25" si="50">BB11/AZ11</f>
        <v>0.77389747033803447</v>
      </c>
      <c r="AY11" s="110">
        <f t="shared" si="44"/>
        <v>4467</v>
      </c>
      <c r="AZ11" s="111">
        <v>4467</v>
      </c>
      <c r="BA11" s="119">
        <f t="shared" si="38"/>
        <v>1010</v>
      </c>
      <c r="BB11" s="112">
        <f>2759+698</f>
        <v>3457</v>
      </c>
      <c r="BC11" s="111">
        <v>1465</v>
      </c>
      <c r="BD11" s="113">
        <v>0.90625</v>
      </c>
      <c r="BE11" s="114">
        <v>0</v>
      </c>
      <c r="BF11" s="113">
        <v>0</v>
      </c>
      <c r="BG11" s="114">
        <v>158</v>
      </c>
      <c r="BH11" s="113">
        <v>0.78125</v>
      </c>
      <c r="BI11" s="55">
        <f t="shared" si="39"/>
        <v>46208</v>
      </c>
      <c r="BJ11" s="77">
        <f t="shared" ref="BJ11:BJ25" si="51">+BM11/BL11</f>
        <v>0.60899914628634555</v>
      </c>
      <c r="BK11" s="75">
        <f t="shared" ref="BK11:BK25" si="52">+BN11/BL11</f>
        <v>0.39100085371365439</v>
      </c>
      <c r="BL11" s="78">
        <f t="shared" ref="BL11:BL25" si="53">BM11+BN11</f>
        <v>19913</v>
      </c>
      <c r="BM11" s="154">
        <v>12127</v>
      </c>
      <c r="BN11" s="154">
        <v>7786</v>
      </c>
      <c r="BO11" s="155">
        <v>2645</v>
      </c>
      <c r="BP11" s="156">
        <v>0.62708333333333333</v>
      </c>
      <c r="BQ11" s="157">
        <v>1749</v>
      </c>
      <c r="BR11" s="156">
        <v>0.62708333333333333</v>
      </c>
    </row>
    <row r="12" spans="1:71" ht="15.75" thickBot="1" x14ac:dyDescent="0.3">
      <c r="B12" s="55">
        <f t="shared" si="26"/>
        <v>46209</v>
      </c>
      <c r="C12" s="163"/>
      <c r="D12" s="86">
        <f t="shared" si="0"/>
        <v>58314</v>
      </c>
      <c r="E12" s="158">
        <f t="shared" si="1"/>
        <v>0.87039132969784272</v>
      </c>
      <c r="F12" s="86">
        <f t="shared" si="2"/>
        <v>50756</v>
      </c>
      <c r="G12" s="158">
        <f t="shared" si="3"/>
        <v>0.12960867030215728</v>
      </c>
      <c r="H12" s="145">
        <f t="shared" si="4"/>
        <v>7558</v>
      </c>
      <c r="I12" s="159">
        <f t="shared" si="5"/>
        <v>0.11801175182369179</v>
      </c>
      <c r="J12" s="158">
        <f t="shared" si="6"/>
        <v>0.15393038355361577</v>
      </c>
      <c r="K12" s="158">
        <f t="shared" si="7"/>
        <v>0.16999173226931233</v>
      </c>
      <c r="L12" s="160">
        <f t="shared" si="8"/>
        <v>0.58219336530898658</v>
      </c>
      <c r="M12" s="145">
        <f t="shared" si="22"/>
        <v>6731.8623710306747</v>
      </c>
      <c r="N12" s="145">
        <f t="shared" si="23"/>
        <v>8780.804799432457</v>
      </c>
      <c r="O12" s="145">
        <f t="shared" si="24"/>
        <v>9697.0083755706528</v>
      </c>
      <c r="P12" s="145">
        <f t="shared" si="25"/>
        <v>33210.638330685833</v>
      </c>
      <c r="Q12" s="55">
        <f t="shared" si="27"/>
        <v>46209</v>
      </c>
      <c r="R12" s="138">
        <v>58314</v>
      </c>
      <c r="S12" s="139">
        <v>0</v>
      </c>
      <c r="T12" s="139">
        <v>57044</v>
      </c>
      <c r="U12" s="139">
        <v>0</v>
      </c>
      <c r="V12" s="140">
        <v>13081</v>
      </c>
      <c r="W12" s="141">
        <v>0.4375</v>
      </c>
      <c r="X12" s="140">
        <v>4718</v>
      </c>
      <c r="Y12" s="141">
        <v>0.40625</v>
      </c>
      <c r="Z12" s="140">
        <v>0</v>
      </c>
      <c r="AA12" s="141">
        <v>0</v>
      </c>
      <c r="AB12" s="55">
        <f t="shared" si="28"/>
        <v>46209</v>
      </c>
      <c r="AC12" s="75">
        <f t="shared" si="45"/>
        <v>1</v>
      </c>
      <c r="AD12" s="161">
        <f t="shared" si="46"/>
        <v>0</v>
      </c>
      <c r="AE12" s="162">
        <v>7652</v>
      </c>
      <c r="AF12" s="117">
        <f t="shared" si="43"/>
        <v>7652</v>
      </c>
      <c r="AG12" s="146">
        <v>0</v>
      </c>
      <c r="AH12" s="147">
        <v>4375</v>
      </c>
      <c r="AI12" s="148">
        <v>0.77152777777777781</v>
      </c>
      <c r="AJ12" s="147">
        <v>0</v>
      </c>
      <c r="AK12" s="164">
        <v>0</v>
      </c>
      <c r="AL12" s="55">
        <f t="shared" si="31"/>
        <v>46209</v>
      </c>
      <c r="AM12" s="76">
        <f t="shared" si="47"/>
        <v>0.6024446448251678</v>
      </c>
      <c r="AN12" s="75">
        <f t="shared" si="48"/>
        <v>0.3975553551748322</v>
      </c>
      <c r="AO12" s="149">
        <v>9981</v>
      </c>
      <c r="AP12" s="116">
        <f t="shared" si="34"/>
        <v>6013</v>
      </c>
      <c r="AQ12" s="150">
        <v>3968</v>
      </c>
      <c r="AR12" s="151">
        <v>4730</v>
      </c>
      <c r="AS12" s="152">
        <v>0.35902777777777778</v>
      </c>
      <c r="AT12" s="151">
        <v>196</v>
      </c>
      <c r="AU12" s="153">
        <v>0.32291666666666669</v>
      </c>
      <c r="AV12" s="55">
        <f t="shared" si="35"/>
        <v>46209</v>
      </c>
      <c r="AW12" s="109">
        <f t="shared" si="49"/>
        <v>0.62042715161767814</v>
      </c>
      <c r="AX12" s="109">
        <f t="shared" si="50"/>
        <v>0.37957284838232186</v>
      </c>
      <c r="AY12" s="110">
        <f t="shared" si="44"/>
        <v>9458</v>
      </c>
      <c r="AZ12" s="111">
        <v>9458</v>
      </c>
      <c r="BA12" s="119">
        <f t="shared" si="38"/>
        <v>5868</v>
      </c>
      <c r="BB12" s="112">
        <f>2892+698</f>
        <v>3590</v>
      </c>
      <c r="BC12" s="111">
        <v>3742</v>
      </c>
      <c r="BD12" s="113">
        <v>0.79166666666666663</v>
      </c>
      <c r="BE12" s="114">
        <v>0</v>
      </c>
      <c r="BF12" s="113">
        <v>0</v>
      </c>
      <c r="BG12" s="114">
        <v>177</v>
      </c>
      <c r="BH12" s="113">
        <v>0.83333333333333337</v>
      </c>
      <c r="BI12" s="55">
        <f t="shared" si="39"/>
        <v>46209</v>
      </c>
      <c r="BJ12" s="77">
        <f t="shared" si="51"/>
        <v>0.61078145695364239</v>
      </c>
      <c r="BK12" s="75">
        <f t="shared" si="52"/>
        <v>0.38921854304635761</v>
      </c>
      <c r="BL12" s="78">
        <f t="shared" si="53"/>
        <v>37750</v>
      </c>
      <c r="BM12" s="154">
        <v>23057</v>
      </c>
      <c r="BN12" s="154">
        <v>14693</v>
      </c>
      <c r="BO12" s="155">
        <v>4353</v>
      </c>
      <c r="BP12" s="156">
        <v>0.76249999999999996</v>
      </c>
      <c r="BQ12" s="157">
        <v>2911</v>
      </c>
      <c r="BR12" s="156">
        <v>0.7631944444444444</v>
      </c>
    </row>
    <row r="13" spans="1:71" ht="15.75" thickBot="1" x14ac:dyDescent="0.3">
      <c r="B13" s="55">
        <f t="shared" si="26"/>
        <v>46210</v>
      </c>
      <c r="C13" s="163"/>
      <c r="D13" s="86">
        <f t="shared" si="0"/>
        <v>60034</v>
      </c>
      <c r="E13" s="158">
        <f t="shared" si="1"/>
        <v>0.8746710197554719</v>
      </c>
      <c r="F13" s="86">
        <f t="shared" si="2"/>
        <v>52510</v>
      </c>
      <c r="G13" s="158">
        <f t="shared" si="3"/>
        <v>0.1253289802445281</v>
      </c>
      <c r="H13" s="145">
        <f t="shared" si="4"/>
        <v>7524</v>
      </c>
      <c r="I13" s="159">
        <f t="shared" si="5"/>
        <v>0.24334179061393779</v>
      </c>
      <c r="J13" s="158">
        <f t="shared" si="6"/>
        <v>0.10709348080399872</v>
      </c>
      <c r="K13" s="158">
        <f t="shared" si="7"/>
        <v>0.15250955147328205</v>
      </c>
      <c r="L13" s="160">
        <f t="shared" si="8"/>
        <v>0.51674997341274065</v>
      </c>
      <c r="M13" s="145">
        <f t="shared" si="22"/>
        <v>14344.998556691633</v>
      </c>
      <c r="N13" s="145">
        <f t="shared" si="23"/>
        <v>6313.1606933957246</v>
      </c>
      <c r="O13" s="145">
        <f t="shared" si="24"/>
        <v>8990.4380593499773</v>
      </c>
      <c r="P13" s="145">
        <f t="shared" si="25"/>
        <v>30462.410932681061</v>
      </c>
      <c r="Q13" s="55">
        <f t="shared" si="27"/>
        <v>46210</v>
      </c>
      <c r="R13" s="138">
        <v>60034</v>
      </c>
      <c r="S13" s="139">
        <v>0</v>
      </c>
      <c r="T13" s="139">
        <v>58950</v>
      </c>
      <c r="U13" s="139">
        <v>0</v>
      </c>
      <c r="V13" s="140">
        <v>15126</v>
      </c>
      <c r="W13" s="141">
        <v>0.86458333333333337</v>
      </c>
      <c r="X13" s="140">
        <v>4925</v>
      </c>
      <c r="Y13" s="141">
        <v>0.85416666666666663</v>
      </c>
      <c r="Z13" s="140">
        <v>0</v>
      </c>
      <c r="AA13" s="141">
        <v>0</v>
      </c>
      <c r="AB13" s="167">
        <f t="shared" si="28"/>
        <v>46210</v>
      </c>
      <c r="AC13" s="75">
        <f t="shared" si="45"/>
        <v>1</v>
      </c>
      <c r="AD13" s="161">
        <f t="shared" si="46"/>
        <v>0</v>
      </c>
      <c r="AE13" s="162">
        <v>16017</v>
      </c>
      <c r="AF13" s="117">
        <f t="shared" si="43"/>
        <v>16017</v>
      </c>
      <c r="AG13" s="146">
        <v>0</v>
      </c>
      <c r="AH13" s="147">
        <v>7973</v>
      </c>
      <c r="AI13" s="148">
        <v>0.3659722222222222</v>
      </c>
      <c r="AJ13" s="147">
        <v>0</v>
      </c>
      <c r="AK13" s="164">
        <v>0</v>
      </c>
      <c r="AL13" s="167">
        <f t="shared" si="31"/>
        <v>46210</v>
      </c>
      <c r="AM13" s="76">
        <f t="shared" si="47"/>
        <v>0.44814867357071925</v>
      </c>
      <c r="AN13" s="75">
        <f t="shared" si="48"/>
        <v>0.5518513264292807</v>
      </c>
      <c r="AO13" s="149">
        <v>7049</v>
      </c>
      <c r="AP13" s="116">
        <f t="shared" si="34"/>
        <v>3159</v>
      </c>
      <c r="AQ13" s="150">
        <v>3890</v>
      </c>
      <c r="AR13" s="151">
        <v>3335</v>
      </c>
      <c r="AS13" s="152">
        <v>0.80208333333333337</v>
      </c>
      <c r="AT13" s="151">
        <v>179</v>
      </c>
      <c r="AU13" s="153">
        <v>0.3125</v>
      </c>
      <c r="AV13" s="167">
        <f t="shared" si="35"/>
        <v>46210</v>
      </c>
      <c r="AW13" s="168">
        <f t="shared" si="49"/>
        <v>0.58430565088080533</v>
      </c>
      <c r="AX13" s="168">
        <f t="shared" si="50"/>
        <v>0.41569434911919467</v>
      </c>
      <c r="AY13" s="110">
        <f t="shared" si="44"/>
        <v>8742</v>
      </c>
      <c r="AZ13" s="111">
        <v>8742</v>
      </c>
      <c r="BA13" s="119">
        <f t="shared" si="38"/>
        <v>5108</v>
      </c>
      <c r="BB13" s="112">
        <f>2936+698</f>
        <v>3634</v>
      </c>
      <c r="BC13" s="111">
        <v>3858</v>
      </c>
      <c r="BD13" s="113">
        <v>0.8125</v>
      </c>
      <c r="BE13" s="114">
        <v>0</v>
      </c>
      <c r="BF13" s="113">
        <v>0</v>
      </c>
      <c r="BG13" s="114">
        <v>167</v>
      </c>
      <c r="BH13" s="113">
        <v>0.34375</v>
      </c>
      <c r="BI13" s="167">
        <f t="shared" si="39"/>
        <v>46210</v>
      </c>
      <c r="BJ13" s="169">
        <f t="shared" si="51"/>
        <v>0.60744421250698266</v>
      </c>
      <c r="BK13" s="75">
        <f t="shared" si="52"/>
        <v>0.39255578749301739</v>
      </c>
      <c r="BL13" s="78">
        <f t="shared" si="53"/>
        <v>34013</v>
      </c>
      <c r="BM13" s="154">
        <v>20661</v>
      </c>
      <c r="BN13" s="154">
        <v>13352</v>
      </c>
      <c r="BO13" s="155">
        <v>4394</v>
      </c>
      <c r="BP13" s="156">
        <v>0.73750000000000004</v>
      </c>
      <c r="BQ13" s="157">
        <v>2908</v>
      </c>
      <c r="BR13" s="156">
        <v>0.73750000000000004</v>
      </c>
    </row>
    <row r="14" spans="1:71" ht="15.75" thickBot="1" x14ac:dyDescent="0.3">
      <c r="B14" s="55">
        <f t="shared" si="26"/>
        <v>46211</v>
      </c>
      <c r="C14" s="163"/>
      <c r="D14" s="86">
        <f t="shared" si="0"/>
        <v>57350</v>
      </c>
      <c r="E14" s="158">
        <f t="shared" si="1"/>
        <v>0.86723626852659108</v>
      </c>
      <c r="F14" s="86">
        <f t="shared" si="2"/>
        <v>49736</v>
      </c>
      <c r="G14" s="158">
        <f t="shared" si="3"/>
        <v>0.13276373147340889</v>
      </c>
      <c r="H14" s="145">
        <f t="shared" si="4"/>
        <v>7614</v>
      </c>
      <c r="I14" s="159">
        <f t="shared" si="5"/>
        <v>0.11894571203776554</v>
      </c>
      <c r="J14" s="158">
        <f t="shared" si="6"/>
        <v>0.15880409126671913</v>
      </c>
      <c r="K14" s="158">
        <f t="shared" si="7"/>
        <v>0.17180431159221202</v>
      </c>
      <c r="L14" s="160">
        <f t="shared" si="8"/>
        <v>0.57464988198269085</v>
      </c>
      <c r="M14" s="145">
        <f t="shared" si="22"/>
        <v>6629.5582061368996</v>
      </c>
      <c r="N14" s="145">
        <f t="shared" si="23"/>
        <v>8851.1048308418576</v>
      </c>
      <c r="O14" s="145">
        <f t="shared" si="24"/>
        <v>9575.6851109035288</v>
      </c>
      <c r="P14" s="145">
        <f t="shared" si="25"/>
        <v>32028.685822187257</v>
      </c>
      <c r="Q14" s="55">
        <f t="shared" si="27"/>
        <v>46211</v>
      </c>
      <c r="R14" s="138">
        <v>57350</v>
      </c>
      <c r="S14" s="139">
        <v>0</v>
      </c>
      <c r="T14" s="139">
        <v>55736</v>
      </c>
      <c r="U14" s="139">
        <v>0</v>
      </c>
      <c r="V14" s="140">
        <v>13436</v>
      </c>
      <c r="W14" s="141">
        <v>0.80208333333333337</v>
      </c>
      <c r="X14" s="140">
        <v>4606</v>
      </c>
      <c r="Y14" s="141">
        <v>0.38541666666666669</v>
      </c>
      <c r="Z14" s="140">
        <v>0</v>
      </c>
      <c r="AA14" s="141">
        <v>0</v>
      </c>
      <c r="AB14" s="55">
        <f t="shared" si="28"/>
        <v>46211</v>
      </c>
      <c r="AC14" s="75">
        <f t="shared" si="45"/>
        <v>1</v>
      </c>
      <c r="AD14" s="161">
        <f t="shared" si="46"/>
        <v>0</v>
      </c>
      <c r="AE14" s="162">
        <v>7559</v>
      </c>
      <c r="AF14" s="117">
        <f t="shared" si="43"/>
        <v>7559</v>
      </c>
      <c r="AG14" s="146">
        <v>0</v>
      </c>
      <c r="AH14" s="147">
        <v>4616</v>
      </c>
      <c r="AI14" s="148">
        <v>0.34652777777777777</v>
      </c>
      <c r="AJ14" s="147">
        <v>0</v>
      </c>
      <c r="AK14" s="164">
        <v>0</v>
      </c>
      <c r="AL14" s="55">
        <f t="shared" si="31"/>
        <v>46211</v>
      </c>
      <c r="AM14" s="76">
        <f t="shared" si="47"/>
        <v>0.60562822037257236</v>
      </c>
      <c r="AN14" s="75">
        <f t="shared" si="48"/>
        <v>0.39437177962742764</v>
      </c>
      <c r="AO14" s="149">
        <v>10092</v>
      </c>
      <c r="AP14" s="116">
        <f t="shared" ref="AP14" si="54">AO14-AQ14</f>
        <v>6112</v>
      </c>
      <c r="AQ14" s="150">
        <v>3980</v>
      </c>
      <c r="AR14" s="151">
        <v>3964</v>
      </c>
      <c r="AS14" s="152">
        <v>0.34305555555555556</v>
      </c>
      <c r="AT14" s="151">
        <v>190</v>
      </c>
      <c r="AU14" s="153">
        <v>0.76041666666666663</v>
      </c>
      <c r="AV14" s="55">
        <f t="shared" si="35"/>
        <v>46211</v>
      </c>
      <c r="AW14" s="109">
        <f t="shared" si="49"/>
        <v>0.61257995735607673</v>
      </c>
      <c r="AX14" s="109">
        <f t="shared" si="50"/>
        <v>0.38742004264392327</v>
      </c>
      <c r="AY14" s="110">
        <f t="shared" si="44"/>
        <v>9380</v>
      </c>
      <c r="AZ14" s="111">
        <v>9380</v>
      </c>
      <c r="BA14" s="119">
        <f t="shared" si="38"/>
        <v>5746</v>
      </c>
      <c r="BB14" s="112">
        <f>2936+698</f>
        <v>3634</v>
      </c>
      <c r="BC14" s="111">
        <v>3905</v>
      </c>
      <c r="BD14" s="113">
        <v>0.70833333333333337</v>
      </c>
      <c r="BE14" s="114">
        <v>0</v>
      </c>
      <c r="BF14" s="113">
        <v>0</v>
      </c>
      <c r="BG14" s="114">
        <v>170</v>
      </c>
      <c r="BH14" s="113">
        <v>0.33333333333333331</v>
      </c>
      <c r="BI14" s="55">
        <f t="shared" si="39"/>
        <v>46211</v>
      </c>
      <c r="BJ14" s="77">
        <f t="shared" si="51"/>
        <v>0.60697171335469213</v>
      </c>
      <c r="BK14" s="75">
        <f t="shared" si="52"/>
        <v>0.39302828664530792</v>
      </c>
      <c r="BL14" s="78">
        <f t="shared" si="53"/>
        <v>36519</v>
      </c>
      <c r="BM14" s="154">
        <v>22166</v>
      </c>
      <c r="BN14" s="154">
        <v>14353</v>
      </c>
      <c r="BO14" s="155">
        <v>4375</v>
      </c>
      <c r="BP14" s="156">
        <v>0.75972222222222219</v>
      </c>
      <c r="BQ14" s="157">
        <v>2923</v>
      </c>
      <c r="BR14" s="156">
        <v>0.75972222222222219</v>
      </c>
    </row>
    <row r="15" spans="1:71" ht="15.75" thickBot="1" x14ac:dyDescent="0.3">
      <c r="B15" s="55">
        <f t="shared" si="26"/>
        <v>46212</v>
      </c>
      <c r="C15" s="163"/>
      <c r="D15" s="86">
        <f t="shared" si="0"/>
        <v>53328</v>
      </c>
      <c r="E15" s="158">
        <f t="shared" si="1"/>
        <v>0.85898589858985896</v>
      </c>
      <c r="F15" s="86">
        <f t="shared" si="2"/>
        <v>45808</v>
      </c>
      <c r="G15" s="158">
        <f t="shared" si="3"/>
        <v>0.14101410141014101</v>
      </c>
      <c r="H15" s="145">
        <f t="shared" si="4"/>
        <v>7520</v>
      </c>
      <c r="I15" s="159">
        <f t="shared" si="5"/>
        <v>0.11481275209694024</v>
      </c>
      <c r="J15" s="158">
        <f t="shared" si="6"/>
        <v>0.15767977992675478</v>
      </c>
      <c r="K15" s="158">
        <f t="shared" si="7"/>
        <v>0.17026865671641792</v>
      </c>
      <c r="L15" s="160">
        <f t="shared" si="8"/>
        <v>0.58310971596374872</v>
      </c>
      <c r="M15" s="145">
        <f t="shared" si="22"/>
        <v>5928.7008927817997</v>
      </c>
      <c r="N15" s="145">
        <f t="shared" si="23"/>
        <v>8142.2684758577634</v>
      </c>
      <c r="O15" s="145">
        <f t="shared" si="24"/>
        <v>8792.3328955223878</v>
      </c>
      <c r="P15" s="145">
        <f t="shared" si="25"/>
        <v>30110.619512936057</v>
      </c>
      <c r="Q15" s="55">
        <f t="shared" si="27"/>
        <v>46212</v>
      </c>
      <c r="R15" s="138">
        <v>53328</v>
      </c>
      <c r="S15" s="139">
        <v>0</v>
      </c>
      <c r="T15" s="139">
        <v>51638</v>
      </c>
      <c r="U15" s="139">
        <v>0</v>
      </c>
      <c r="V15" s="140">
        <v>13432</v>
      </c>
      <c r="W15" s="141">
        <v>0.39583333333333331</v>
      </c>
      <c r="X15" s="140">
        <v>4365</v>
      </c>
      <c r="Y15" s="141">
        <v>0.41666666666666669</v>
      </c>
      <c r="Z15" s="140">
        <v>0</v>
      </c>
      <c r="AA15" s="141">
        <v>0</v>
      </c>
      <c r="AB15" s="55">
        <f t="shared" si="28"/>
        <v>46212</v>
      </c>
      <c r="AC15" s="75">
        <f t="shared" si="45"/>
        <v>1</v>
      </c>
      <c r="AD15" s="161">
        <f t="shared" si="46"/>
        <v>0</v>
      </c>
      <c r="AE15" s="162">
        <v>6803</v>
      </c>
      <c r="AF15" s="117">
        <f t="shared" si="43"/>
        <v>6803</v>
      </c>
      <c r="AG15" s="146">
        <v>0</v>
      </c>
      <c r="AH15" s="147">
        <v>4057</v>
      </c>
      <c r="AI15" s="148">
        <v>0.73819444444444449</v>
      </c>
      <c r="AJ15" s="147">
        <v>0</v>
      </c>
      <c r="AK15" s="164">
        <v>0</v>
      </c>
      <c r="AL15" s="167">
        <f t="shared" si="31"/>
        <v>46212</v>
      </c>
      <c r="AM15" s="76">
        <f t="shared" si="47"/>
        <v>0.57786578186877879</v>
      </c>
      <c r="AN15" s="75">
        <f t="shared" si="48"/>
        <v>0.42213421813122126</v>
      </c>
      <c r="AO15" s="149">
        <v>9343</v>
      </c>
      <c r="AP15" s="116">
        <f t="shared" si="34"/>
        <v>5399</v>
      </c>
      <c r="AQ15" s="150">
        <v>3944</v>
      </c>
      <c r="AR15" s="151">
        <v>3863</v>
      </c>
      <c r="AS15" s="152">
        <v>0.34652777777777777</v>
      </c>
      <c r="AT15" s="151">
        <v>188</v>
      </c>
      <c r="AU15" s="153">
        <v>0.28125</v>
      </c>
      <c r="AV15" s="55">
        <f t="shared" si="35"/>
        <v>46212</v>
      </c>
      <c r="AW15" s="168">
        <f t="shared" si="49"/>
        <v>0.58204768583450206</v>
      </c>
      <c r="AX15" s="168">
        <f t="shared" si="50"/>
        <v>0.41795231416549788</v>
      </c>
      <c r="AY15" s="110">
        <f t="shared" si="44"/>
        <v>8556</v>
      </c>
      <c r="AZ15" s="111">
        <v>8556</v>
      </c>
      <c r="BA15" s="119">
        <f t="shared" si="38"/>
        <v>4980</v>
      </c>
      <c r="BB15" s="112">
        <f>2878+698</f>
        <v>3576</v>
      </c>
      <c r="BC15" s="111">
        <v>4033</v>
      </c>
      <c r="BD15" s="113">
        <v>0.35416666666666669</v>
      </c>
      <c r="BE15" s="114">
        <v>0</v>
      </c>
      <c r="BF15" s="113">
        <v>0</v>
      </c>
      <c r="BG15" s="114">
        <v>166</v>
      </c>
      <c r="BH15" s="113">
        <v>0.79166666666666663</v>
      </c>
      <c r="BI15" s="55">
        <f t="shared" si="39"/>
        <v>46212</v>
      </c>
      <c r="BJ15" s="169">
        <f t="shared" si="51"/>
        <v>0.60594483517119624</v>
      </c>
      <c r="BK15" s="75">
        <f t="shared" si="52"/>
        <v>0.39405516482880382</v>
      </c>
      <c r="BL15" s="78">
        <f t="shared" si="53"/>
        <v>34551</v>
      </c>
      <c r="BM15" s="154">
        <v>20936</v>
      </c>
      <c r="BN15" s="154">
        <v>13615</v>
      </c>
      <c r="BO15" s="155">
        <v>3943</v>
      </c>
      <c r="BP15" s="156">
        <v>0.74236111111111114</v>
      </c>
      <c r="BQ15" s="157">
        <v>2641</v>
      </c>
      <c r="BR15" s="156">
        <v>0.74305555555555558</v>
      </c>
    </row>
    <row r="16" spans="1:71" ht="15.75" thickBot="1" x14ac:dyDescent="0.3">
      <c r="B16" s="55">
        <f t="shared" si="26"/>
        <v>46213</v>
      </c>
      <c r="C16" s="163"/>
      <c r="D16" s="86">
        <f t="shared" si="0"/>
        <v>53686</v>
      </c>
      <c r="E16" s="158">
        <f t="shared" si="1"/>
        <v>0.85980758484521103</v>
      </c>
      <c r="F16" s="86">
        <f t="shared" si="2"/>
        <v>46159.63</v>
      </c>
      <c r="G16" s="158">
        <f t="shared" si="3"/>
        <v>0.14019241515478895</v>
      </c>
      <c r="H16" s="145">
        <f t="shared" si="4"/>
        <v>7526.37</v>
      </c>
      <c r="I16" s="159">
        <f t="shared" si="5"/>
        <v>0.11239245476257682</v>
      </c>
      <c r="J16" s="158">
        <f t="shared" si="6"/>
        <v>0.15339389351085098</v>
      </c>
      <c r="K16" s="158">
        <f t="shared" si="7"/>
        <v>0.18068986689472186</v>
      </c>
      <c r="L16" s="160">
        <f t="shared" si="8"/>
        <v>0.57788320056408304</v>
      </c>
      <c r="M16" s="145">
        <f t="shared" si="22"/>
        <v>5861.7587948202408</v>
      </c>
      <c r="N16" s="145">
        <f t="shared" si="23"/>
        <v>8000.1634118444554</v>
      </c>
      <c r="O16" s="145">
        <f t="shared" si="24"/>
        <v>9423.7679801767426</v>
      </c>
      <c r="P16" s="145">
        <f t="shared" si="25"/>
        <v>30139.140037835401</v>
      </c>
      <c r="Q16" s="55">
        <f t="shared" si="27"/>
        <v>46213</v>
      </c>
      <c r="R16" s="138">
        <v>53686</v>
      </c>
      <c r="S16" s="139">
        <v>0</v>
      </c>
      <c r="T16" s="139">
        <v>52154.38</v>
      </c>
      <c r="U16" s="139">
        <v>0</v>
      </c>
      <c r="V16" s="140">
        <v>13469.65</v>
      </c>
      <c r="W16" s="141">
        <v>0.40625</v>
      </c>
      <c r="X16" s="140">
        <v>4335.4799999999996</v>
      </c>
      <c r="Y16" s="141">
        <v>0.38541666666666669</v>
      </c>
      <c r="Z16" s="140">
        <v>0</v>
      </c>
      <c r="AA16" s="141">
        <v>0</v>
      </c>
      <c r="AB16" s="55">
        <f t="shared" si="28"/>
        <v>46213</v>
      </c>
      <c r="AC16" s="75">
        <f t="shared" si="45"/>
        <v>1</v>
      </c>
      <c r="AD16" s="161">
        <f t="shared" si="46"/>
        <v>0</v>
      </c>
      <c r="AE16" s="162">
        <v>6812.69</v>
      </c>
      <c r="AF16" s="117">
        <f t="shared" si="43"/>
        <v>6812.69</v>
      </c>
      <c r="AG16" s="146">
        <v>0</v>
      </c>
      <c r="AH16" s="147">
        <v>3575.66</v>
      </c>
      <c r="AI16" s="148">
        <v>0.70902777777777781</v>
      </c>
      <c r="AJ16" s="147">
        <v>0</v>
      </c>
      <c r="AK16" s="164">
        <v>0</v>
      </c>
      <c r="AL16" s="55">
        <f t="shared" si="31"/>
        <v>46213</v>
      </c>
      <c r="AM16" s="76">
        <f t="shared" si="47"/>
        <v>0.57697999569799963</v>
      </c>
      <c r="AN16" s="75">
        <f t="shared" si="48"/>
        <v>0.42302000430200043</v>
      </c>
      <c r="AO16" s="149">
        <v>9298</v>
      </c>
      <c r="AP16" s="116">
        <f t="shared" si="34"/>
        <v>5364.76</v>
      </c>
      <c r="AQ16" s="150">
        <v>3933.24</v>
      </c>
      <c r="AR16" s="151">
        <v>4532.74</v>
      </c>
      <c r="AS16" s="152">
        <v>0.7680555555555556</v>
      </c>
      <c r="AT16" s="151">
        <v>188</v>
      </c>
      <c r="AU16" s="153">
        <v>0.82291666666666663</v>
      </c>
      <c r="AV16" s="55">
        <f t="shared" si="35"/>
        <v>46213</v>
      </c>
      <c r="AW16" s="109">
        <f t="shared" si="49"/>
        <v>0.62081785563528913</v>
      </c>
      <c r="AX16" s="109">
        <f t="shared" si="50"/>
        <v>0.37918214436471087</v>
      </c>
      <c r="AY16" s="110">
        <f t="shared" si="44"/>
        <v>9476</v>
      </c>
      <c r="AZ16" s="111">
        <v>9476</v>
      </c>
      <c r="BA16" s="119">
        <f t="shared" si="38"/>
        <v>5882.87</v>
      </c>
      <c r="BB16" s="112">
        <f>2895.13+698</f>
        <v>3593.13</v>
      </c>
      <c r="BC16" s="111">
        <v>3809.76</v>
      </c>
      <c r="BD16" s="113">
        <v>0.78125</v>
      </c>
      <c r="BE16" s="114">
        <v>0</v>
      </c>
      <c r="BF16" s="113">
        <v>0</v>
      </c>
      <c r="BG16" s="114">
        <v>172.01</v>
      </c>
      <c r="BH16" s="113">
        <v>0.8125</v>
      </c>
      <c r="BI16" s="55">
        <f t="shared" si="39"/>
        <v>46213</v>
      </c>
      <c r="BJ16" s="77">
        <f t="shared" si="51"/>
        <v>0.6084759552935467</v>
      </c>
      <c r="BK16" s="75">
        <f t="shared" si="52"/>
        <v>0.3915240447064533</v>
      </c>
      <c r="BL16" s="78">
        <f t="shared" si="53"/>
        <v>35028.5</v>
      </c>
      <c r="BM16" s="154">
        <v>21314</v>
      </c>
      <c r="BN16" s="154">
        <v>13714.5</v>
      </c>
      <c r="BO16" s="155">
        <v>3759.7</v>
      </c>
      <c r="BP16" s="156">
        <v>0.36458333333333331</v>
      </c>
      <c r="BQ16" s="157">
        <v>2510.0700000000002</v>
      </c>
      <c r="BR16" s="156">
        <v>0.36458333333333331</v>
      </c>
    </row>
    <row r="17" spans="1:72" ht="15.75" thickBot="1" x14ac:dyDescent="0.3">
      <c r="B17" s="55">
        <f t="shared" si="26"/>
        <v>46214</v>
      </c>
      <c r="C17" s="163"/>
      <c r="D17" s="86">
        <f t="shared" si="0"/>
        <v>33324</v>
      </c>
      <c r="E17" s="158">
        <f t="shared" si="1"/>
        <v>0.77867332853198901</v>
      </c>
      <c r="F17" s="86">
        <f t="shared" si="2"/>
        <v>25948.510000000002</v>
      </c>
      <c r="G17" s="158">
        <f t="shared" si="3"/>
        <v>0.22132667146801105</v>
      </c>
      <c r="H17" s="145">
        <f t="shared" si="4"/>
        <v>7375.49</v>
      </c>
      <c r="I17" s="159">
        <f t="shared" si="5"/>
        <v>7.7571333667401723E-2</v>
      </c>
      <c r="J17" s="158">
        <f t="shared" si="6"/>
        <v>0.15865528222522193</v>
      </c>
      <c r="K17" s="158">
        <f t="shared" si="7"/>
        <v>0.17081988004186904</v>
      </c>
      <c r="L17" s="160">
        <f t="shared" si="8"/>
        <v>0.62952032893222709</v>
      </c>
      <c r="M17" s="145">
        <f t="shared" si="22"/>
        <v>2453.6883323403777</v>
      </c>
      <c r="N17" s="145">
        <f t="shared" si="23"/>
        <v>5018.4855210732403</v>
      </c>
      <c r="O17" s="145">
        <f t="shared" si="24"/>
        <v>5403.2685371587759</v>
      </c>
      <c r="P17" s="145">
        <f t="shared" si="25"/>
        <v>19912.596742180271</v>
      </c>
      <c r="Q17" s="55">
        <f t="shared" si="27"/>
        <v>46214</v>
      </c>
      <c r="R17" s="138">
        <v>33324</v>
      </c>
      <c r="S17" s="139">
        <v>0</v>
      </c>
      <c r="T17" s="139">
        <v>31631.38</v>
      </c>
      <c r="U17" s="139">
        <v>0</v>
      </c>
      <c r="V17" s="140">
        <v>6105.77</v>
      </c>
      <c r="W17" s="141">
        <v>0</v>
      </c>
      <c r="X17" s="140">
        <v>2352.1999999999998</v>
      </c>
      <c r="Y17" s="141">
        <v>0.625</v>
      </c>
      <c r="Z17" s="140">
        <v>0</v>
      </c>
      <c r="AA17" s="141">
        <v>0</v>
      </c>
      <c r="AB17" s="55">
        <f t="shared" si="28"/>
        <v>46214</v>
      </c>
      <c r="AC17" s="75">
        <f t="shared" si="45"/>
        <v>1</v>
      </c>
      <c r="AD17" s="161">
        <f t="shared" si="46"/>
        <v>0</v>
      </c>
      <c r="AE17" s="162">
        <v>2851.44</v>
      </c>
      <c r="AF17" s="117">
        <f t="shared" si="43"/>
        <v>2851.44</v>
      </c>
      <c r="AG17" s="146">
        <v>0</v>
      </c>
      <c r="AH17" s="147">
        <v>1707</v>
      </c>
      <c r="AI17" s="148">
        <v>0.94236111111111109</v>
      </c>
      <c r="AJ17" s="147">
        <v>0</v>
      </c>
      <c r="AK17" s="164">
        <v>0</v>
      </c>
      <c r="AL17" s="55">
        <f t="shared" si="31"/>
        <v>46214</v>
      </c>
      <c r="AM17" s="76">
        <f t="shared" si="47"/>
        <v>0.34887517146776403</v>
      </c>
      <c r="AN17" s="75">
        <f t="shared" si="48"/>
        <v>0.65112482853223597</v>
      </c>
      <c r="AO17" s="149">
        <v>5832</v>
      </c>
      <c r="AP17" s="116">
        <f t="shared" si="34"/>
        <v>2034.6399999999999</v>
      </c>
      <c r="AQ17" s="150">
        <v>3797.36</v>
      </c>
      <c r="AR17" s="151">
        <v>1640.66</v>
      </c>
      <c r="AS17" s="152">
        <v>0.95208333333333328</v>
      </c>
      <c r="AT17" s="151">
        <v>178.9</v>
      </c>
      <c r="AU17" s="153">
        <v>0.84375</v>
      </c>
      <c r="AV17" s="55">
        <f t="shared" si="35"/>
        <v>46214</v>
      </c>
      <c r="AW17" s="109">
        <f t="shared" si="49"/>
        <v>0.27494832826747717</v>
      </c>
      <c r="AX17" s="109">
        <f t="shared" si="50"/>
        <v>0.72505167173252283</v>
      </c>
      <c r="AY17" s="110">
        <f t="shared" si="44"/>
        <v>4935</v>
      </c>
      <c r="AZ17" s="111">
        <v>4935</v>
      </c>
      <c r="BA17" s="119">
        <f t="shared" si="38"/>
        <v>1356.87</v>
      </c>
      <c r="BB17" s="112">
        <f>2880.13+698</f>
        <v>3578.13</v>
      </c>
      <c r="BC17" s="111">
        <v>1565.45</v>
      </c>
      <c r="BD17" s="113">
        <v>0.95833333333333337</v>
      </c>
      <c r="BE17" s="114">
        <v>0</v>
      </c>
      <c r="BF17" s="113">
        <v>0</v>
      </c>
      <c r="BG17" s="114">
        <v>170.63</v>
      </c>
      <c r="BH17" s="113">
        <v>0.76041666666666663</v>
      </c>
      <c r="BI17" s="55">
        <f t="shared" si="39"/>
        <v>46214</v>
      </c>
      <c r="BJ17" s="77">
        <f t="shared" si="51"/>
        <v>0.6107906052159634</v>
      </c>
      <c r="BK17" s="75">
        <f t="shared" si="52"/>
        <v>0.38920939478403666</v>
      </c>
      <c r="BL17" s="78">
        <f t="shared" si="53"/>
        <v>23140.5</v>
      </c>
      <c r="BM17" s="154">
        <v>14134</v>
      </c>
      <c r="BN17" s="154">
        <v>9006.5</v>
      </c>
      <c r="BO17" s="155">
        <v>2734</v>
      </c>
      <c r="BP17" s="156">
        <v>0.66388888888888886</v>
      </c>
      <c r="BQ17" s="157">
        <v>1811.44</v>
      </c>
      <c r="BR17" s="156">
        <v>0.6645833333333333</v>
      </c>
    </row>
    <row r="18" spans="1:72" ht="15.75" thickBot="1" x14ac:dyDescent="0.3">
      <c r="B18" s="55">
        <f t="shared" si="26"/>
        <v>46215</v>
      </c>
      <c r="C18" s="163"/>
      <c r="D18" s="86">
        <f t="shared" si="0"/>
        <v>28988</v>
      </c>
      <c r="E18" s="158">
        <f t="shared" si="1"/>
        <v>0.7418931971850421</v>
      </c>
      <c r="F18" s="86">
        <f t="shared" si="2"/>
        <v>21506</v>
      </c>
      <c r="G18" s="158">
        <f t="shared" si="3"/>
        <v>0.2581068028149579</v>
      </c>
      <c r="H18" s="145">
        <f t="shared" si="4"/>
        <v>7482</v>
      </c>
      <c r="I18" s="159">
        <f t="shared" si="5"/>
        <v>6.4827978390673877E-2</v>
      </c>
      <c r="J18" s="158">
        <f t="shared" si="6"/>
        <v>0.17069472087953749</v>
      </c>
      <c r="K18" s="158">
        <f t="shared" si="7"/>
        <v>0.18576452043167213</v>
      </c>
      <c r="L18" s="160">
        <f t="shared" si="8"/>
        <v>0.61927779357406876</v>
      </c>
      <c r="M18" s="145">
        <f t="shared" si="22"/>
        <v>1787.1128802957066</v>
      </c>
      <c r="N18" s="145">
        <f t="shared" si="23"/>
        <v>4705.5413704862103</v>
      </c>
      <c r="O18" s="145">
        <f t="shared" si="24"/>
        <v>5120.9705347399058</v>
      </c>
      <c r="P18" s="145">
        <f t="shared" si="25"/>
        <v>17071.630935456353</v>
      </c>
      <c r="Q18" s="55">
        <f t="shared" si="27"/>
        <v>46215</v>
      </c>
      <c r="R18" s="138">
        <v>28988</v>
      </c>
      <c r="S18" s="139">
        <v>0</v>
      </c>
      <c r="T18" s="139">
        <v>27567</v>
      </c>
      <c r="U18" s="139">
        <v>0</v>
      </c>
      <c r="V18" s="140">
        <v>6539.07</v>
      </c>
      <c r="W18" s="141">
        <v>0.82291666666666663</v>
      </c>
      <c r="X18" s="140">
        <v>2052.06</v>
      </c>
      <c r="Y18" s="141">
        <v>0.875</v>
      </c>
      <c r="Z18" s="140">
        <v>0</v>
      </c>
      <c r="AA18" s="141">
        <v>0</v>
      </c>
      <c r="AB18" s="55">
        <f t="shared" si="28"/>
        <v>46215</v>
      </c>
      <c r="AC18" s="75">
        <f t="shared" si="45"/>
        <v>1</v>
      </c>
      <c r="AD18" s="161">
        <f t="shared" si="46"/>
        <v>0</v>
      </c>
      <c r="AE18" s="162">
        <v>2052</v>
      </c>
      <c r="AF18" s="117">
        <f t="shared" si="43"/>
        <v>2052</v>
      </c>
      <c r="AG18" s="146">
        <v>0</v>
      </c>
      <c r="AH18" s="147">
        <v>1728.07</v>
      </c>
      <c r="AI18" s="148">
        <v>0.80833333333333335</v>
      </c>
      <c r="AJ18" s="147">
        <v>0</v>
      </c>
      <c r="AK18" s="164">
        <v>0</v>
      </c>
      <c r="AL18" s="55">
        <f t="shared" si="31"/>
        <v>46215</v>
      </c>
      <c r="AM18" s="76">
        <f t="shared" si="47"/>
        <v>0.28114010734776973</v>
      </c>
      <c r="AN18" s="75">
        <f t="shared" si="48"/>
        <v>0.71885989265223027</v>
      </c>
      <c r="AO18" s="149">
        <v>5403</v>
      </c>
      <c r="AP18" s="116">
        <f t="shared" si="34"/>
        <v>1519</v>
      </c>
      <c r="AQ18" s="150">
        <v>3884</v>
      </c>
      <c r="AR18" s="151">
        <v>1698.92</v>
      </c>
      <c r="AS18" s="152">
        <v>0.77638888888888891</v>
      </c>
      <c r="AT18" s="151">
        <v>182</v>
      </c>
      <c r="AU18" s="153">
        <v>0.84375</v>
      </c>
      <c r="AV18" s="55">
        <f t="shared" si="35"/>
        <v>46215</v>
      </c>
      <c r="AW18" s="109">
        <f t="shared" si="49"/>
        <v>0.21714534377719757</v>
      </c>
      <c r="AX18" s="109">
        <f t="shared" si="50"/>
        <v>0.78285465622280248</v>
      </c>
      <c r="AY18" s="110">
        <f t="shared" si="44"/>
        <v>4596</v>
      </c>
      <c r="AZ18" s="111">
        <v>4596</v>
      </c>
      <c r="BA18" s="119">
        <f t="shared" si="38"/>
        <v>998</v>
      </c>
      <c r="BB18" s="112">
        <f>2900+698</f>
        <v>3598</v>
      </c>
      <c r="BC18" s="111">
        <v>1599.52</v>
      </c>
      <c r="BD18" s="113">
        <v>0.78125</v>
      </c>
      <c r="BE18" s="114">
        <v>0</v>
      </c>
      <c r="BF18" s="113">
        <v>0</v>
      </c>
      <c r="BG18" s="114">
        <v>158.51</v>
      </c>
      <c r="BH18" s="113">
        <v>0.82291666666666663</v>
      </c>
      <c r="BI18" s="55">
        <f t="shared" si="39"/>
        <v>46215</v>
      </c>
      <c r="BJ18" s="77">
        <f t="shared" si="51"/>
        <v>0.61106009590858079</v>
      </c>
      <c r="BK18" s="75">
        <f t="shared" si="52"/>
        <v>0.38893990409141926</v>
      </c>
      <c r="BL18" s="78">
        <f t="shared" si="53"/>
        <v>19602</v>
      </c>
      <c r="BM18" s="154">
        <v>11978</v>
      </c>
      <c r="BN18" s="154">
        <v>7624</v>
      </c>
      <c r="BO18" s="155">
        <v>2440.42</v>
      </c>
      <c r="BP18" s="156">
        <v>0.75624999999999998</v>
      </c>
      <c r="BQ18" s="157">
        <v>1638.72</v>
      </c>
      <c r="BR18" s="156">
        <v>0.75624999999999998</v>
      </c>
    </row>
    <row r="19" spans="1:72" ht="15.75" thickBot="1" x14ac:dyDescent="0.3">
      <c r="B19" s="55">
        <f t="shared" si="26"/>
        <v>46216</v>
      </c>
      <c r="C19" s="163"/>
      <c r="D19" s="86">
        <f t="shared" si="0"/>
        <v>54450</v>
      </c>
      <c r="E19" s="158">
        <f t="shared" si="1"/>
        <v>0.8603673094582186</v>
      </c>
      <c r="F19" s="86">
        <f t="shared" si="2"/>
        <v>46847</v>
      </c>
      <c r="G19" s="158">
        <f t="shared" si="3"/>
        <v>0.13963269054178146</v>
      </c>
      <c r="H19" s="145">
        <f t="shared" si="4"/>
        <v>7603</v>
      </c>
      <c r="I19" s="159">
        <f t="shared" si="5"/>
        <v>0.11266447368421052</v>
      </c>
      <c r="J19" s="158">
        <f t="shared" si="6"/>
        <v>0.15542763157894737</v>
      </c>
      <c r="K19" s="158">
        <f t="shared" si="7"/>
        <v>0.17987601335240821</v>
      </c>
      <c r="L19" s="160">
        <f t="shared" si="8"/>
        <v>0.57680921052631584</v>
      </c>
      <c r="M19" s="145">
        <f t="shared" si="22"/>
        <v>5894.6052631578941</v>
      </c>
      <c r="N19" s="145">
        <f t="shared" si="23"/>
        <v>8131.9736842105267</v>
      </c>
      <c r="O19" s="145">
        <f t="shared" si="24"/>
        <v>9411.1130185979982</v>
      </c>
      <c r="P19" s="145">
        <f t="shared" si="25"/>
        <v>30178.657894736843</v>
      </c>
      <c r="Q19" s="55">
        <f t="shared" si="27"/>
        <v>46216</v>
      </c>
      <c r="R19" s="138">
        <v>54450</v>
      </c>
      <c r="S19" s="139">
        <v>0</v>
      </c>
      <c r="T19" s="139">
        <v>52320</v>
      </c>
      <c r="U19" s="139">
        <v>0</v>
      </c>
      <c r="V19" s="140">
        <v>13550</v>
      </c>
      <c r="W19" s="141">
        <v>0.77083333333333337</v>
      </c>
      <c r="X19" s="140">
        <v>4450</v>
      </c>
      <c r="Y19" s="141">
        <v>0.85416666666666663</v>
      </c>
      <c r="Z19" s="140">
        <v>0</v>
      </c>
      <c r="AA19" s="141">
        <v>0</v>
      </c>
      <c r="AB19" s="55">
        <f t="shared" si="28"/>
        <v>46216</v>
      </c>
      <c r="AC19" s="75">
        <f t="shared" si="45"/>
        <v>1</v>
      </c>
      <c r="AD19" s="161">
        <f t="shared" si="46"/>
        <v>0</v>
      </c>
      <c r="AE19" s="162">
        <v>6850</v>
      </c>
      <c r="AF19" s="117">
        <f t="shared" si="43"/>
        <v>6850</v>
      </c>
      <c r="AG19" s="146">
        <v>0</v>
      </c>
      <c r="AH19" s="147">
        <v>3680</v>
      </c>
      <c r="AI19" s="148">
        <v>0.75</v>
      </c>
      <c r="AJ19" s="147">
        <v>0</v>
      </c>
      <c r="AK19" s="164">
        <v>0</v>
      </c>
      <c r="AL19" s="55">
        <f t="shared" si="31"/>
        <v>46216</v>
      </c>
      <c r="AM19" s="76">
        <f t="shared" ref="AM19" si="55">+AP19/AO19</f>
        <v>0.57830687830687832</v>
      </c>
      <c r="AN19" s="75">
        <f t="shared" ref="AN19" si="56">+AQ19/AO19</f>
        <v>0.42169312169312168</v>
      </c>
      <c r="AO19" s="149">
        <v>9450</v>
      </c>
      <c r="AP19" s="116">
        <f t="shared" si="34"/>
        <v>5465</v>
      </c>
      <c r="AQ19" s="150">
        <v>3985</v>
      </c>
      <c r="AR19" s="151">
        <v>3980</v>
      </c>
      <c r="AS19" s="152">
        <v>0.79166666666666663</v>
      </c>
      <c r="AT19" s="151">
        <v>188</v>
      </c>
      <c r="AU19" s="153">
        <v>0.875</v>
      </c>
      <c r="AV19" s="55">
        <f t="shared" si="35"/>
        <v>46216</v>
      </c>
      <c r="AW19" s="109">
        <f t="shared" ref="AW19" si="57">BA19/AZ19</f>
        <v>0.61633085896076356</v>
      </c>
      <c r="AX19" s="109">
        <f t="shared" ref="AX19" si="58">BB19/AZ19</f>
        <v>0.38366914103923649</v>
      </c>
      <c r="AY19" s="110">
        <f t="shared" si="44"/>
        <v>9430</v>
      </c>
      <c r="AZ19" s="111">
        <v>9430</v>
      </c>
      <c r="BA19" s="119">
        <f t="shared" si="38"/>
        <v>5812</v>
      </c>
      <c r="BB19" s="112">
        <f>2920+698</f>
        <v>3618</v>
      </c>
      <c r="BC19" s="180">
        <v>3830</v>
      </c>
      <c r="BD19" s="113">
        <v>0.8125</v>
      </c>
      <c r="BE19" s="114">
        <v>0</v>
      </c>
      <c r="BF19" s="113" t="s">
        <v>70</v>
      </c>
      <c r="BG19" s="114">
        <v>171</v>
      </c>
      <c r="BH19" s="113">
        <v>0.75</v>
      </c>
      <c r="BI19" s="55">
        <f t="shared" si="39"/>
        <v>46216</v>
      </c>
      <c r="BJ19" s="77">
        <f t="shared" ref="BJ19" si="59">+BM19/BL19</f>
        <v>0.605930995152552</v>
      </c>
      <c r="BK19" s="75">
        <f t="shared" ref="BK19" si="60">+BN19/BL19</f>
        <v>0.39406900484744795</v>
      </c>
      <c r="BL19" s="78">
        <f t="shared" ref="BL19" si="61">BM19+BN19</f>
        <v>35070</v>
      </c>
      <c r="BM19" s="154">
        <v>21250</v>
      </c>
      <c r="BN19" s="154">
        <v>13820</v>
      </c>
      <c r="BO19" s="155">
        <v>3790</v>
      </c>
      <c r="BP19" s="156">
        <v>0.72916666666666663</v>
      </c>
      <c r="BQ19" s="157">
        <v>2650</v>
      </c>
      <c r="BR19" s="156">
        <v>0.73958333333333337</v>
      </c>
    </row>
    <row r="20" spans="1:72" ht="15.75" thickBot="1" x14ac:dyDescent="0.3">
      <c r="B20" s="55">
        <f t="shared" si="26"/>
        <v>46217</v>
      </c>
      <c r="C20" s="163"/>
      <c r="D20" s="86">
        <f t="shared" si="0"/>
        <v>54830</v>
      </c>
      <c r="E20" s="158">
        <f t="shared" si="1"/>
        <v>0.86452671894948019</v>
      </c>
      <c r="F20" s="86">
        <f t="shared" si="2"/>
        <v>47402</v>
      </c>
      <c r="G20" s="158">
        <f t="shared" si="3"/>
        <v>0.13547328105051978</v>
      </c>
      <c r="H20" s="145">
        <f t="shared" si="4"/>
        <v>7428</v>
      </c>
      <c r="I20" s="159">
        <f t="shared" si="5"/>
        <v>0.11263695648602921</v>
      </c>
      <c r="J20" s="158">
        <f t="shared" si="6"/>
        <v>0.15638089919017034</v>
      </c>
      <c r="K20" s="158">
        <f t="shared" si="7"/>
        <v>0.17890144226189342</v>
      </c>
      <c r="L20" s="160">
        <f t="shared" si="8"/>
        <v>0.57673669858895804</v>
      </c>
      <c r="M20" s="145">
        <f t="shared" si="22"/>
        <v>5899.9237807382106</v>
      </c>
      <c r="N20" s="145">
        <f t="shared" si="23"/>
        <v>8191.2314995811221</v>
      </c>
      <c r="O20" s="145">
        <f t="shared" si="24"/>
        <v>9370.8575456779763</v>
      </c>
      <c r="P20" s="145">
        <f t="shared" si="25"/>
        <v>30209.468272089623</v>
      </c>
      <c r="Q20" s="55">
        <f t="shared" si="27"/>
        <v>46217</v>
      </c>
      <c r="R20" s="138">
        <v>54830</v>
      </c>
      <c r="S20" s="139">
        <v>0</v>
      </c>
      <c r="T20" s="139">
        <v>52380</v>
      </c>
      <c r="U20" s="139">
        <v>0</v>
      </c>
      <c r="V20" s="140">
        <v>13670</v>
      </c>
      <c r="W20" s="141">
        <v>0.70833333333333337</v>
      </c>
      <c r="X20" s="140">
        <v>4460</v>
      </c>
      <c r="Y20" s="141">
        <v>0.77083333333333337</v>
      </c>
      <c r="Z20" s="140">
        <v>0</v>
      </c>
      <c r="AA20" s="141">
        <v>0</v>
      </c>
      <c r="AB20" s="55">
        <f t="shared" si="28"/>
        <v>46217</v>
      </c>
      <c r="AC20" s="75">
        <f t="shared" si="45"/>
        <v>1</v>
      </c>
      <c r="AD20" s="161">
        <f t="shared" si="46"/>
        <v>0</v>
      </c>
      <c r="AE20" s="162">
        <v>6857</v>
      </c>
      <c r="AF20" s="117">
        <f t="shared" si="43"/>
        <v>6857</v>
      </c>
      <c r="AG20" s="146">
        <v>0</v>
      </c>
      <c r="AH20" s="147">
        <v>3720</v>
      </c>
      <c r="AI20" s="148">
        <v>0.72916666666666663</v>
      </c>
      <c r="AJ20" s="147">
        <v>0</v>
      </c>
      <c r="AK20" s="164">
        <v>0</v>
      </c>
      <c r="AL20" s="55">
        <f t="shared" si="31"/>
        <v>46217</v>
      </c>
      <c r="AM20" s="76">
        <f t="shared" si="47"/>
        <v>0.58193277310924374</v>
      </c>
      <c r="AN20" s="75">
        <f t="shared" si="48"/>
        <v>0.41806722689075632</v>
      </c>
      <c r="AO20" s="149">
        <v>9520</v>
      </c>
      <c r="AP20" s="116">
        <f t="shared" si="34"/>
        <v>5540</v>
      </c>
      <c r="AQ20" s="150">
        <v>3980</v>
      </c>
      <c r="AR20" s="151">
        <v>3960</v>
      </c>
      <c r="AS20" s="152">
        <v>0.75</v>
      </c>
      <c r="AT20" s="151">
        <v>182</v>
      </c>
      <c r="AU20" s="153">
        <v>0.83333333333333337</v>
      </c>
      <c r="AV20" s="55">
        <f t="shared" si="35"/>
        <v>46217</v>
      </c>
      <c r="AW20" s="109">
        <f t="shared" si="49"/>
        <v>0.63280085197018099</v>
      </c>
      <c r="AX20" s="109">
        <f t="shared" si="50"/>
        <v>0.36719914802981896</v>
      </c>
      <c r="AY20" s="110">
        <f t="shared" si="44"/>
        <v>9390</v>
      </c>
      <c r="AZ20" s="111">
        <v>9390</v>
      </c>
      <c r="BA20" s="119">
        <f t="shared" si="38"/>
        <v>5942</v>
      </c>
      <c r="BB20" s="112">
        <f>2750+698</f>
        <v>3448</v>
      </c>
      <c r="BC20" s="111">
        <v>3820</v>
      </c>
      <c r="BD20" s="113">
        <v>0.72916666666666663</v>
      </c>
      <c r="BE20" s="114">
        <v>0</v>
      </c>
      <c r="BF20" s="113">
        <v>0</v>
      </c>
      <c r="BG20" s="114">
        <v>172</v>
      </c>
      <c r="BH20" s="113">
        <v>0.72916666666666663</v>
      </c>
      <c r="BI20" s="55">
        <f t="shared" si="39"/>
        <v>46217</v>
      </c>
      <c r="BJ20" s="77">
        <f t="shared" si="51"/>
        <v>0.60694958701224722</v>
      </c>
      <c r="BK20" s="75">
        <f t="shared" si="52"/>
        <v>0.39305041298775278</v>
      </c>
      <c r="BL20" s="78">
        <f t="shared" si="53"/>
        <v>35110</v>
      </c>
      <c r="BM20" s="154">
        <v>21310</v>
      </c>
      <c r="BN20" s="154">
        <v>13800</v>
      </c>
      <c r="BO20" s="155">
        <v>3820</v>
      </c>
      <c r="BP20" s="156">
        <v>0.75</v>
      </c>
      <c r="BQ20" s="157">
        <v>2630</v>
      </c>
      <c r="BR20" s="156">
        <v>0.75</v>
      </c>
    </row>
    <row r="21" spans="1:72" ht="15.75" thickBot="1" x14ac:dyDescent="0.3">
      <c r="A21" s="14"/>
      <c r="B21" s="55">
        <f t="shared" si="26"/>
        <v>46218</v>
      </c>
      <c r="C21" s="163"/>
      <c r="D21" s="86">
        <f t="shared" si="0"/>
        <v>52754</v>
      </c>
      <c r="E21" s="158">
        <f t="shared" si="1"/>
        <v>0.86907153959889294</v>
      </c>
      <c r="F21" s="86">
        <f t="shared" si="2"/>
        <v>45847</v>
      </c>
      <c r="G21" s="158">
        <f t="shared" si="3"/>
        <v>0.13092846040110703</v>
      </c>
      <c r="H21" s="145">
        <f t="shared" si="4"/>
        <v>6907</v>
      </c>
      <c r="I21" s="159">
        <f t="shared" si="5"/>
        <v>0.11909262759924386</v>
      </c>
      <c r="J21" s="158">
        <f t="shared" si="6"/>
        <v>0.15177370186821984</v>
      </c>
      <c r="K21" s="158">
        <f t="shared" si="7"/>
        <v>0.16432056868611819</v>
      </c>
      <c r="L21" s="160">
        <f t="shared" si="8"/>
        <v>0.58977503022871647</v>
      </c>
      <c r="M21" s="145">
        <f t="shared" si="22"/>
        <v>6125.7674858223063</v>
      </c>
      <c r="N21" s="145">
        <f t="shared" si="23"/>
        <v>7806.783902995624</v>
      </c>
      <c r="O21" s="145">
        <f t="shared" si="24"/>
        <v>8452.157091507861</v>
      </c>
      <c r="P21" s="145">
        <f t="shared" si="25"/>
        <v>30336.258229874489</v>
      </c>
      <c r="Q21" s="55">
        <f t="shared" si="27"/>
        <v>46218</v>
      </c>
      <c r="R21" s="138">
        <v>52754</v>
      </c>
      <c r="S21" s="139">
        <v>0</v>
      </c>
      <c r="T21" s="139">
        <v>51437</v>
      </c>
      <c r="U21" s="139">
        <v>0</v>
      </c>
      <c r="V21" s="140">
        <v>13637</v>
      </c>
      <c r="W21" s="141">
        <v>0.39583333333333331</v>
      </c>
      <c r="X21" s="140">
        <v>4364</v>
      </c>
      <c r="Y21" s="141">
        <v>0.41666666666666669</v>
      </c>
      <c r="Z21" s="140">
        <v>0</v>
      </c>
      <c r="AA21" s="141">
        <v>0</v>
      </c>
      <c r="AB21" s="55">
        <f t="shared" si="28"/>
        <v>46218</v>
      </c>
      <c r="AC21" s="75">
        <f t="shared" si="45"/>
        <v>1</v>
      </c>
      <c r="AD21" s="161">
        <f t="shared" si="46"/>
        <v>0</v>
      </c>
      <c r="AE21" s="162">
        <v>6993</v>
      </c>
      <c r="AF21" s="117">
        <f t="shared" si="43"/>
        <v>6993</v>
      </c>
      <c r="AG21" s="146">
        <v>0</v>
      </c>
      <c r="AH21" s="147">
        <v>4048</v>
      </c>
      <c r="AI21" s="148">
        <v>0.33402777777777776</v>
      </c>
      <c r="AJ21" s="147">
        <v>0</v>
      </c>
      <c r="AK21" s="164">
        <v>0</v>
      </c>
      <c r="AL21" s="55">
        <f t="shared" si="31"/>
        <v>46218</v>
      </c>
      <c r="AM21" s="76">
        <f t="shared" si="47"/>
        <v>0.60244614003590669</v>
      </c>
      <c r="AN21" s="75">
        <f t="shared" si="48"/>
        <v>0.39755385996409337</v>
      </c>
      <c r="AO21" s="149">
        <v>8912</v>
      </c>
      <c r="AP21" s="116">
        <f t="shared" si="34"/>
        <v>5369</v>
      </c>
      <c r="AQ21" s="150">
        <v>3543</v>
      </c>
      <c r="AR21" s="151">
        <v>3791</v>
      </c>
      <c r="AS21" s="152">
        <v>0.73402777777777772</v>
      </c>
      <c r="AT21" s="151">
        <v>192</v>
      </c>
      <c r="AU21" s="153">
        <v>0.76041666666666663</v>
      </c>
      <c r="AV21" s="55">
        <f t="shared" si="35"/>
        <v>46218</v>
      </c>
      <c r="AW21" s="109">
        <f t="shared" si="49"/>
        <v>0.58890382500305516</v>
      </c>
      <c r="AX21" s="109">
        <f t="shared" si="50"/>
        <v>0.4110961749969449</v>
      </c>
      <c r="AY21" s="110">
        <f t="shared" si="44"/>
        <v>8183</v>
      </c>
      <c r="AZ21" s="111">
        <v>8183</v>
      </c>
      <c r="BA21" s="119">
        <f t="shared" si="38"/>
        <v>4819</v>
      </c>
      <c r="BB21" s="112">
        <f>2666+698</f>
        <v>3364</v>
      </c>
      <c r="BC21" s="111">
        <v>3976</v>
      </c>
      <c r="BD21" s="113">
        <v>0.34375</v>
      </c>
      <c r="BE21" s="114">
        <v>0</v>
      </c>
      <c r="BF21" s="113">
        <v>0</v>
      </c>
      <c r="BG21" s="114">
        <v>183</v>
      </c>
      <c r="BH21" s="113">
        <v>4.1666666666666664E-2</v>
      </c>
      <c r="BI21" s="55">
        <f>BI20+1</f>
        <v>46218</v>
      </c>
      <c r="BJ21" s="77">
        <f t="shared" si="51"/>
        <v>0.6084433022436545</v>
      </c>
      <c r="BK21" s="75">
        <f t="shared" si="52"/>
        <v>0.3915566977563455</v>
      </c>
      <c r="BL21" s="78">
        <f t="shared" si="53"/>
        <v>34631</v>
      </c>
      <c r="BM21" s="154">
        <v>21071</v>
      </c>
      <c r="BN21" s="154">
        <v>13560</v>
      </c>
      <c r="BO21" s="155">
        <v>4227</v>
      </c>
      <c r="BP21" s="156">
        <v>0.79305555555555551</v>
      </c>
      <c r="BQ21" s="157">
        <v>2814</v>
      </c>
      <c r="BR21" s="156">
        <v>0.79305555555555551</v>
      </c>
    </row>
    <row r="22" spans="1:72" ht="15.75" thickBot="1" x14ac:dyDescent="0.3">
      <c r="A22" s="14"/>
      <c r="B22" s="55">
        <f t="shared" si="26"/>
        <v>46219</v>
      </c>
      <c r="C22" s="163"/>
      <c r="D22" s="86">
        <f t="shared" si="0"/>
        <v>27736</v>
      </c>
      <c r="E22" s="158">
        <f t="shared" si="1"/>
        <v>0.74156331122007502</v>
      </c>
      <c r="F22" s="86">
        <f t="shared" si="2"/>
        <v>20568</v>
      </c>
      <c r="G22" s="158">
        <f t="shared" si="3"/>
        <v>0.25843668877992498</v>
      </c>
      <c r="H22" s="145">
        <f t="shared" si="4"/>
        <v>7168</v>
      </c>
      <c r="I22" s="159">
        <f t="shared" si="5"/>
        <v>5.8661745015018273E-2</v>
      </c>
      <c r="J22" s="158">
        <f t="shared" si="6"/>
        <v>0.18796366663047806</v>
      </c>
      <c r="K22" s="158">
        <f t="shared" si="7"/>
        <v>0.10878867676102699</v>
      </c>
      <c r="L22" s="160">
        <f t="shared" si="8"/>
        <v>0.68161256468714937</v>
      </c>
      <c r="M22" s="145">
        <f t="shared" si="22"/>
        <v>1421.7847139289979</v>
      </c>
      <c r="N22" s="145">
        <f t="shared" si="23"/>
        <v>4555.6753881228969</v>
      </c>
      <c r="O22" s="145">
        <f t="shared" si="24"/>
        <v>2636.7111586570113</v>
      </c>
      <c r="P22" s="145">
        <f t="shared" si="25"/>
        <v>16520.24373032244</v>
      </c>
      <c r="Q22" s="55">
        <f t="shared" si="27"/>
        <v>46219</v>
      </c>
      <c r="R22" s="138">
        <v>27736</v>
      </c>
      <c r="S22" s="139">
        <v>0</v>
      </c>
      <c r="T22" s="139">
        <v>24237</v>
      </c>
      <c r="U22" s="139">
        <v>2340</v>
      </c>
      <c r="V22" s="140">
        <v>8873</v>
      </c>
      <c r="W22" s="141">
        <v>0.91666666666666663</v>
      </c>
      <c r="X22" s="140">
        <v>1837</v>
      </c>
      <c r="Y22" s="141">
        <v>0.95833333333333337</v>
      </c>
      <c r="Z22" s="140">
        <v>171</v>
      </c>
      <c r="AA22" s="141">
        <v>0.86458333333333337</v>
      </c>
      <c r="AB22" s="55">
        <f t="shared" si="28"/>
        <v>46219</v>
      </c>
      <c r="AC22" s="75">
        <f t="shared" si="45"/>
        <v>1</v>
      </c>
      <c r="AD22" s="161">
        <f t="shared" si="46"/>
        <v>0</v>
      </c>
      <c r="AE22" s="162">
        <v>1621</v>
      </c>
      <c r="AF22" s="117">
        <f t="shared" si="43"/>
        <v>1621</v>
      </c>
      <c r="AG22" s="146">
        <v>0</v>
      </c>
      <c r="AH22" s="147">
        <v>1284</v>
      </c>
      <c r="AI22" s="148">
        <v>0.92986111111111114</v>
      </c>
      <c r="AJ22" s="147">
        <v>0</v>
      </c>
      <c r="AK22" s="164">
        <v>0</v>
      </c>
      <c r="AL22" s="55">
        <f t="shared" si="31"/>
        <v>46219</v>
      </c>
      <c r="AM22" s="76">
        <f t="shared" si="47"/>
        <v>0.24335772044666923</v>
      </c>
      <c r="AN22" s="75">
        <f t="shared" si="48"/>
        <v>0.75664227955333074</v>
      </c>
      <c r="AO22" s="149">
        <v>5194</v>
      </c>
      <c r="AP22" s="116">
        <f t="shared" si="34"/>
        <v>1264</v>
      </c>
      <c r="AQ22" s="150">
        <v>3930</v>
      </c>
      <c r="AR22" s="151">
        <v>1453</v>
      </c>
      <c r="AS22" s="152">
        <v>0.3923611111111111</v>
      </c>
      <c r="AT22" s="151">
        <v>215</v>
      </c>
      <c r="AU22" s="153">
        <v>0.72916666666666663</v>
      </c>
      <c r="AV22" s="55">
        <f t="shared" si="35"/>
        <v>46219</v>
      </c>
      <c r="AW22" s="109">
        <f t="shared" si="49"/>
        <v>0.54715078164397379</v>
      </c>
      <c r="AX22" s="109">
        <f t="shared" si="50"/>
        <v>0.45284921835602621</v>
      </c>
      <c r="AY22" s="110">
        <f t="shared" si="44"/>
        <v>1983</v>
      </c>
      <c r="AZ22" s="111">
        <v>1983</v>
      </c>
      <c r="BA22" s="119">
        <f t="shared" si="38"/>
        <v>1085</v>
      </c>
      <c r="BB22" s="112">
        <f>898</f>
        <v>898</v>
      </c>
      <c r="BC22" s="111">
        <v>1192</v>
      </c>
      <c r="BD22" s="113">
        <v>0.41666666666666669</v>
      </c>
      <c r="BE22" s="114">
        <v>0</v>
      </c>
      <c r="BF22" s="113">
        <v>0</v>
      </c>
      <c r="BG22" s="114">
        <v>509</v>
      </c>
      <c r="BH22" s="113">
        <v>0.30208333333333331</v>
      </c>
      <c r="BI22" s="55">
        <f t="shared" si="39"/>
        <v>46219</v>
      </c>
      <c r="BJ22" s="77">
        <f t="shared" si="51"/>
        <v>0.60403504114680118</v>
      </c>
      <c r="BK22" s="75">
        <f t="shared" si="52"/>
        <v>0.39596495885319882</v>
      </c>
      <c r="BL22" s="78">
        <f t="shared" si="53"/>
        <v>18835</v>
      </c>
      <c r="BM22" s="154">
        <v>11377</v>
      </c>
      <c r="BN22" s="154">
        <v>7458</v>
      </c>
      <c r="BO22" s="155">
        <v>2209</v>
      </c>
      <c r="BP22" s="156">
        <v>0.82638888888888884</v>
      </c>
      <c r="BQ22" s="157">
        <v>1664</v>
      </c>
      <c r="BR22" s="156">
        <v>0.88124999999999998</v>
      </c>
    </row>
    <row r="23" spans="1:72" ht="15.75" thickBot="1" x14ac:dyDescent="0.3">
      <c r="A23" s="14"/>
      <c r="B23" s="55">
        <f t="shared" si="26"/>
        <v>46220</v>
      </c>
      <c r="C23" s="163"/>
      <c r="D23" s="86">
        <f t="shared" si="0"/>
        <v>26422</v>
      </c>
      <c r="E23" s="158">
        <f t="shared" si="1"/>
        <v>0.84032245855726284</v>
      </c>
      <c r="F23" s="86">
        <f t="shared" si="2"/>
        <v>22203</v>
      </c>
      <c r="G23" s="158">
        <f t="shared" si="3"/>
        <v>0.1596775414427371</v>
      </c>
      <c r="H23" s="145">
        <f t="shared" si="4"/>
        <v>4219</v>
      </c>
      <c r="I23" s="159">
        <f t="shared" si="5"/>
        <v>5.6066690387841206E-2</v>
      </c>
      <c r="J23" s="158">
        <f t="shared" si="6"/>
        <v>0.21964113251664719</v>
      </c>
      <c r="K23" s="158">
        <f t="shared" si="7"/>
        <v>0.14826109525045419</v>
      </c>
      <c r="L23" s="160">
        <f t="shared" si="8"/>
        <v>0.60814314034463479</v>
      </c>
      <c r="M23" s="145">
        <f t="shared" si="22"/>
        <v>1052.8763787932701</v>
      </c>
      <c r="N23" s="145">
        <f t="shared" si="23"/>
        <v>4124.6408275301173</v>
      </c>
      <c r="O23" s="145">
        <f t="shared" si="24"/>
        <v>2784.1951077082795</v>
      </c>
      <c r="P23" s="145">
        <f t="shared" si="25"/>
        <v>11420.320032531898</v>
      </c>
      <c r="Q23" s="55">
        <f t="shared" si="27"/>
        <v>46220</v>
      </c>
      <c r="R23" s="138">
        <v>20708</v>
      </c>
      <c r="S23" s="139">
        <v>5714</v>
      </c>
      <c r="T23" s="139">
        <v>13065</v>
      </c>
      <c r="U23" s="139">
        <v>1684</v>
      </c>
      <c r="V23" s="140">
        <v>2817</v>
      </c>
      <c r="W23" s="141">
        <v>0.42708333333333331</v>
      </c>
      <c r="X23" s="140">
        <v>7804</v>
      </c>
      <c r="Y23" s="141">
        <v>0.42708333333333331</v>
      </c>
      <c r="Z23" s="140">
        <v>189</v>
      </c>
      <c r="AA23" s="141">
        <v>0.32291666666666669</v>
      </c>
      <c r="AB23" s="55">
        <f t="shared" si="28"/>
        <v>46220</v>
      </c>
      <c r="AC23" s="75">
        <f t="shared" si="45"/>
        <v>1</v>
      </c>
      <c r="AD23" s="161">
        <f t="shared" si="46"/>
        <v>0</v>
      </c>
      <c r="AE23" s="162">
        <v>1103</v>
      </c>
      <c r="AF23" s="117">
        <f t="shared" si="43"/>
        <v>1103</v>
      </c>
      <c r="AG23" s="146">
        <v>0</v>
      </c>
      <c r="AH23" s="147">
        <v>0</v>
      </c>
      <c r="AI23" s="148">
        <v>0</v>
      </c>
      <c r="AJ23" s="147">
        <v>0</v>
      </c>
      <c r="AK23" s="164">
        <v>0</v>
      </c>
      <c r="AL23" s="55">
        <f t="shared" si="31"/>
        <v>46220</v>
      </c>
      <c r="AM23" s="76">
        <f t="shared" si="47"/>
        <v>0.56514695672298076</v>
      </c>
      <c r="AN23" s="75">
        <f t="shared" si="48"/>
        <v>0.43485304327701924</v>
      </c>
      <c r="AO23" s="149">
        <v>4321</v>
      </c>
      <c r="AP23" s="116">
        <f t="shared" si="34"/>
        <v>2442</v>
      </c>
      <c r="AQ23" s="150">
        <v>1879</v>
      </c>
      <c r="AR23" s="151">
        <v>2347</v>
      </c>
      <c r="AS23" s="152">
        <v>0.43958333333333333</v>
      </c>
      <c r="AT23" s="151">
        <v>201</v>
      </c>
      <c r="AU23" s="153">
        <v>0.39583333333333331</v>
      </c>
      <c r="AV23" s="55">
        <f t="shared" si="35"/>
        <v>46220</v>
      </c>
      <c r="AW23" s="109">
        <f t="shared" si="49"/>
        <v>0.71291028446389493</v>
      </c>
      <c r="AX23" s="109">
        <f t="shared" si="50"/>
        <v>0.28708971553610502</v>
      </c>
      <c r="AY23" s="110">
        <f t="shared" si="44"/>
        <v>2285</v>
      </c>
      <c r="AZ23" s="111">
        <v>2285</v>
      </c>
      <c r="BA23" s="119">
        <f t="shared" si="38"/>
        <v>1629</v>
      </c>
      <c r="BB23" s="112">
        <v>656</v>
      </c>
      <c r="BC23" s="111">
        <v>2138</v>
      </c>
      <c r="BD23" s="113">
        <v>0.75</v>
      </c>
      <c r="BE23" s="114">
        <v>0</v>
      </c>
      <c r="BF23" s="113">
        <v>0</v>
      </c>
      <c r="BG23" s="114">
        <v>365</v>
      </c>
      <c r="BH23" s="113">
        <v>0.44791666666666669</v>
      </c>
      <c r="BI23" s="55">
        <f t="shared" si="39"/>
        <v>46220</v>
      </c>
      <c r="BJ23" s="77">
        <f t="shared" si="51"/>
        <v>0.60991307255098626</v>
      </c>
      <c r="BK23" s="75">
        <f t="shared" si="52"/>
        <v>0.39008692744901369</v>
      </c>
      <c r="BL23" s="78">
        <f t="shared" si="53"/>
        <v>11964</v>
      </c>
      <c r="BM23" s="154">
        <v>7297</v>
      </c>
      <c r="BN23" s="154">
        <v>4667</v>
      </c>
      <c r="BO23" s="155">
        <v>2680</v>
      </c>
      <c r="BP23" s="156">
        <v>0.31458333333333333</v>
      </c>
      <c r="BQ23" s="157">
        <v>1779</v>
      </c>
      <c r="BR23" s="156">
        <v>0.31458333333333333</v>
      </c>
    </row>
    <row r="24" spans="1:72" ht="15.75" thickBot="1" x14ac:dyDescent="0.3">
      <c r="A24" s="14"/>
      <c r="B24" s="55">
        <f t="shared" si="26"/>
        <v>46221</v>
      </c>
      <c r="C24" s="163"/>
      <c r="D24" s="86">
        <f>R24+T24</f>
        <v>28496</v>
      </c>
      <c r="E24" s="158">
        <f t="shared" si="1"/>
        <v>0.7914093206064009</v>
      </c>
      <c r="F24" s="86">
        <f t="shared" si="2"/>
        <v>22552</v>
      </c>
      <c r="G24" s="158">
        <f t="shared" si="3"/>
        <v>0.2085906793935991</v>
      </c>
      <c r="H24" s="145">
        <f t="shared" si="4"/>
        <v>5944</v>
      </c>
      <c r="I24" s="159">
        <f t="shared" si="5"/>
        <v>0</v>
      </c>
      <c r="J24" s="158">
        <f t="shared" si="6"/>
        <v>0.191374246405936</v>
      </c>
      <c r="K24" s="158">
        <f t="shared" si="7"/>
        <v>0.15841302136317395</v>
      </c>
      <c r="L24" s="160">
        <f t="shared" si="8"/>
        <v>0.68826712011130009</v>
      </c>
      <c r="M24" s="145">
        <f t="shared" si="22"/>
        <v>0</v>
      </c>
      <c r="N24" s="145">
        <f t="shared" si="23"/>
        <v>5291.306538877725</v>
      </c>
      <c r="O24" s="145">
        <f t="shared" si="24"/>
        <v>4379.9616276703964</v>
      </c>
      <c r="P24" s="145">
        <f t="shared" si="25"/>
        <v>19029.897603957335</v>
      </c>
      <c r="Q24" s="55">
        <f t="shared" si="27"/>
        <v>46221</v>
      </c>
      <c r="R24" s="139">
        <v>28496</v>
      </c>
      <c r="S24" s="139">
        <v>27649</v>
      </c>
      <c r="T24" s="139">
        <v>0</v>
      </c>
      <c r="U24" s="139">
        <v>0</v>
      </c>
      <c r="V24" s="140">
        <v>1956</v>
      </c>
      <c r="W24" s="141">
        <v>0.5</v>
      </c>
      <c r="X24" s="140">
        <v>5515</v>
      </c>
      <c r="Y24" s="141">
        <v>0.61458333333333337</v>
      </c>
      <c r="Z24" s="140">
        <v>0</v>
      </c>
      <c r="AA24" s="141">
        <v>0</v>
      </c>
      <c r="AB24" s="55">
        <f t="shared" si="28"/>
        <v>46221</v>
      </c>
      <c r="AC24" s="75" t="e">
        <f t="shared" si="45"/>
        <v>#DIV/0!</v>
      </c>
      <c r="AD24" s="161" t="e">
        <f t="shared" si="46"/>
        <v>#DIV/0!</v>
      </c>
      <c r="AE24" s="162">
        <v>0</v>
      </c>
      <c r="AF24" s="117">
        <f t="shared" si="43"/>
        <v>0</v>
      </c>
      <c r="AG24" s="146">
        <v>0</v>
      </c>
      <c r="AH24" s="147">
        <v>0</v>
      </c>
      <c r="AI24" s="148">
        <v>0</v>
      </c>
      <c r="AJ24" s="147">
        <v>0</v>
      </c>
      <c r="AK24" s="164">
        <v>0</v>
      </c>
      <c r="AL24" s="55">
        <f t="shared" si="31"/>
        <v>46221</v>
      </c>
      <c r="AM24" s="76">
        <f t="shared" si="47"/>
        <v>0.51534733441033931</v>
      </c>
      <c r="AN24" s="75">
        <f t="shared" si="48"/>
        <v>0.48465266558966075</v>
      </c>
      <c r="AO24" s="149">
        <v>6190</v>
      </c>
      <c r="AP24" s="116">
        <f t="shared" si="34"/>
        <v>3190</v>
      </c>
      <c r="AQ24" s="150">
        <v>3000</v>
      </c>
      <c r="AR24" s="151">
        <v>2115</v>
      </c>
      <c r="AS24" s="152">
        <v>0.63402777777777775</v>
      </c>
      <c r="AT24" s="151">
        <v>179</v>
      </c>
      <c r="AU24" s="153">
        <v>0.80208333333333337</v>
      </c>
      <c r="AV24" s="55">
        <f t="shared" si="35"/>
        <v>46221</v>
      </c>
      <c r="AW24" s="109">
        <f t="shared" si="49"/>
        <v>0.24377087079373233</v>
      </c>
      <c r="AX24" s="109">
        <f t="shared" si="50"/>
        <v>0.75622912920626761</v>
      </c>
      <c r="AY24" s="110">
        <f t="shared" si="44"/>
        <v>3893</v>
      </c>
      <c r="AZ24" s="111">
        <v>3893</v>
      </c>
      <c r="BA24" s="119">
        <f t="shared" si="38"/>
        <v>949</v>
      </c>
      <c r="BB24" s="112">
        <f>2246+698</f>
        <v>2944</v>
      </c>
      <c r="BC24" s="111">
        <v>1438</v>
      </c>
      <c r="BD24" s="113">
        <v>0.44791666666666669</v>
      </c>
      <c r="BE24" s="114">
        <v>0</v>
      </c>
      <c r="BF24" s="113">
        <v>0</v>
      </c>
      <c r="BG24" s="114">
        <v>139</v>
      </c>
      <c r="BH24" s="113">
        <v>0.90625</v>
      </c>
      <c r="BI24" s="55">
        <f t="shared" si="39"/>
        <v>46221</v>
      </c>
      <c r="BJ24" s="77">
        <f t="shared" si="51"/>
        <v>0.61086155781151741</v>
      </c>
      <c r="BK24" s="75">
        <f t="shared" si="52"/>
        <v>0.38913844218848259</v>
      </c>
      <c r="BL24" s="78">
        <f t="shared" si="53"/>
        <v>22262</v>
      </c>
      <c r="BM24" s="154">
        <v>13599</v>
      </c>
      <c r="BN24" s="154">
        <v>8663</v>
      </c>
      <c r="BO24" s="155">
        <v>2381</v>
      </c>
      <c r="BP24" s="156">
        <v>0.46666666666666667</v>
      </c>
      <c r="BQ24" s="157">
        <v>1599</v>
      </c>
      <c r="BR24" s="156">
        <v>0.46666666666666667</v>
      </c>
    </row>
    <row r="25" spans="1:72" ht="15.75" thickBot="1" x14ac:dyDescent="0.3">
      <c r="A25" s="14"/>
      <c r="B25" s="55">
        <f t="shared" si="26"/>
        <v>46222</v>
      </c>
      <c r="C25" s="163"/>
      <c r="D25" s="86">
        <f>R25+T25</f>
        <v>28296</v>
      </c>
      <c r="E25" s="158">
        <f t="shared" si="1"/>
        <v>0.75374611252473844</v>
      </c>
      <c r="F25" s="86">
        <f t="shared" si="2"/>
        <v>21328</v>
      </c>
      <c r="G25" s="158">
        <f t="shared" si="3"/>
        <v>0.24625388747526153</v>
      </c>
      <c r="H25" s="145">
        <f t="shared" si="4"/>
        <v>6968</v>
      </c>
      <c r="I25" s="159">
        <f t="shared" si="5"/>
        <v>0</v>
      </c>
      <c r="J25" s="158">
        <f t="shared" si="6"/>
        <v>0.19981589639410868</v>
      </c>
      <c r="K25" s="158">
        <f t="shared" si="7"/>
        <v>0.16137877007442225</v>
      </c>
      <c r="L25" s="160">
        <f t="shared" si="8"/>
        <v>0.6824847638395124</v>
      </c>
      <c r="M25" s="145">
        <f t="shared" si="22"/>
        <v>0</v>
      </c>
      <c r="N25" s="145">
        <f t="shared" si="23"/>
        <v>5485.1461719146773</v>
      </c>
      <c r="O25" s="145">
        <f t="shared" si="24"/>
        <v>4430.0086173129648</v>
      </c>
      <c r="P25" s="145">
        <f t="shared" si="25"/>
        <v>18734.889252158457</v>
      </c>
      <c r="Q25" s="55">
        <f t="shared" si="27"/>
        <v>46222</v>
      </c>
      <c r="R25" s="139">
        <v>28296</v>
      </c>
      <c r="S25" s="139">
        <v>27451</v>
      </c>
      <c r="T25" s="139">
        <v>0</v>
      </c>
      <c r="U25" s="139">
        <v>0</v>
      </c>
      <c r="V25" s="140">
        <v>6154</v>
      </c>
      <c r="W25" s="141">
        <v>0.48958333333333331</v>
      </c>
      <c r="X25" s="140">
        <v>2048</v>
      </c>
      <c r="Y25" s="141">
        <v>0.45833333333333331</v>
      </c>
      <c r="Z25" s="140">
        <v>0</v>
      </c>
      <c r="AA25" s="141">
        <v>0</v>
      </c>
      <c r="AB25" s="167">
        <f t="shared" si="28"/>
        <v>46222</v>
      </c>
      <c r="AC25" s="75" t="e">
        <f t="shared" si="45"/>
        <v>#DIV/0!</v>
      </c>
      <c r="AD25" s="161" t="e">
        <f t="shared" si="46"/>
        <v>#DIV/0!</v>
      </c>
      <c r="AE25" s="162">
        <v>0</v>
      </c>
      <c r="AF25" s="117">
        <f t="shared" si="43"/>
        <v>0</v>
      </c>
      <c r="AG25" s="146">
        <v>0</v>
      </c>
      <c r="AH25" s="147">
        <v>0</v>
      </c>
      <c r="AI25" s="148">
        <v>0</v>
      </c>
      <c r="AJ25" s="147">
        <v>0</v>
      </c>
      <c r="AK25" s="164">
        <v>0</v>
      </c>
      <c r="AL25" s="167">
        <f t="shared" si="31"/>
        <v>46222</v>
      </c>
      <c r="AM25" s="76">
        <f t="shared" si="47"/>
        <v>0.38888006354249405</v>
      </c>
      <c r="AN25" s="75">
        <f t="shared" si="48"/>
        <v>0.61111993645750595</v>
      </c>
      <c r="AO25" s="149">
        <v>6295</v>
      </c>
      <c r="AP25" s="116">
        <f t="shared" si="34"/>
        <v>2448</v>
      </c>
      <c r="AQ25" s="150">
        <v>3847</v>
      </c>
      <c r="AR25" s="151">
        <v>2367</v>
      </c>
      <c r="AS25" s="152">
        <v>0.48472222222222222</v>
      </c>
      <c r="AT25" s="151">
        <v>185</v>
      </c>
      <c r="AU25" s="153">
        <v>0.80208333333333337</v>
      </c>
      <c r="AV25" s="167">
        <f t="shared" si="35"/>
        <v>46222</v>
      </c>
      <c r="AW25" s="168">
        <f t="shared" si="49"/>
        <v>0.15830636461704423</v>
      </c>
      <c r="AX25" s="168">
        <f t="shared" si="50"/>
        <v>0.84169363538295572</v>
      </c>
      <c r="AY25" s="110">
        <f t="shared" si="44"/>
        <v>3708</v>
      </c>
      <c r="AZ25" s="111">
        <v>3708</v>
      </c>
      <c r="BA25" s="119">
        <f t="shared" si="38"/>
        <v>587</v>
      </c>
      <c r="BB25" s="112">
        <f>2423+698</f>
        <v>3121</v>
      </c>
      <c r="BC25" s="111">
        <v>1689</v>
      </c>
      <c r="BD25" s="113">
        <v>0.5</v>
      </c>
      <c r="BE25" s="114">
        <v>0</v>
      </c>
      <c r="BF25" s="113">
        <v>0</v>
      </c>
      <c r="BG25" s="114">
        <v>144</v>
      </c>
      <c r="BH25" s="113">
        <v>0.84375</v>
      </c>
      <c r="BI25" s="167">
        <f t="shared" si="39"/>
        <v>46222</v>
      </c>
      <c r="BJ25" s="169">
        <f t="shared" si="51"/>
        <v>0.60987861029719548</v>
      </c>
      <c r="BK25" s="75">
        <f t="shared" si="52"/>
        <v>0.39012138970280452</v>
      </c>
      <c r="BL25" s="78">
        <f t="shared" si="53"/>
        <v>21501</v>
      </c>
      <c r="BM25" s="154">
        <v>13113</v>
      </c>
      <c r="BN25" s="154">
        <v>8388</v>
      </c>
      <c r="BO25" s="155">
        <v>2744</v>
      </c>
      <c r="BP25" s="156">
        <v>0.67083333333333328</v>
      </c>
      <c r="BQ25" s="157">
        <v>1836</v>
      </c>
      <c r="BR25" s="156">
        <v>0.67083333333333328</v>
      </c>
    </row>
    <row r="26" spans="1:72" ht="15.75" thickBot="1" x14ac:dyDescent="0.3">
      <c r="A26" s="14"/>
      <c r="B26" s="55">
        <f t="shared" si="26"/>
        <v>46223</v>
      </c>
      <c r="C26" s="163"/>
      <c r="D26" s="86">
        <f>R26+T26</f>
        <v>43596</v>
      </c>
      <c r="E26" s="158">
        <f t="shared" si="1"/>
        <v>0.83298926507018989</v>
      </c>
      <c r="F26" s="86">
        <f t="shared" si="2"/>
        <v>36315</v>
      </c>
      <c r="G26" s="158">
        <f t="shared" si="3"/>
        <v>0.16701073492981008</v>
      </c>
      <c r="H26" s="145">
        <f t="shared" si="4"/>
        <v>7281</v>
      </c>
      <c r="I26" s="159">
        <f t="shared" si="5"/>
        <v>0.10083224007871433</v>
      </c>
      <c r="J26" s="158">
        <f t="shared" si="6"/>
        <v>0.16341423417513939</v>
      </c>
      <c r="K26" s="158">
        <f t="shared" si="7"/>
        <v>0.15598004936240231</v>
      </c>
      <c r="L26" s="160">
        <f t="shared" si="8"/>
        <v>0.61138897999344044</v>
      </c>
      <c r="M26" s="145">
        <f t="shared" si="22"/>
        <v>4317.1323589701542</v>
      </c>
      <c r="N26" s="145">
        <f t="shared" si="23"/>
        <v>6996.5804362085928</v>
      </c>
      <c r="O26" s="145">
        <f t="shared" si="24"/>
        <v>6678.2858134512553</v>
      </c>
      <c r="P26" s="145">
        <f t="shared" si="25"/>
        <v>26176.619178419154</v>
      </c>
      <c r="Q26" s="55">
        <f t="shared" si="27"/>
        <v>46223</v>
      </c>
      <c r="R26" s="139">
        <v>43596</v>
      </c>
      <c r="S26" s="139">
        <v>42815</v>
      </c>
      <c r="T26" s="139">
        <v>0</v>
      </c>
      <c r="U26" s="139">
        <v>0</v>
      </c>
      <c r="V26" s="140">
        <v>8309</v>
      </c>
      <c r="W26" s="141">
        <v>0.5625</v>
      </c>
      <c r="X26" s="140">
        <v>3162</v>
      </c>
      <c r="Y26" s="141">
        <v>0.8125</v>
      </c>
      <c r="Z26" s="140">
        <v>0</v>
      </c>
      <c r="AA26" s="141">
        <v>0</v>
      </c>
      <c r="AB26" s="55">
        <f t="shared" si="28"/>
        <v>46223</v>
      </c>
      <c r="AC26" s="75">
        <f t="shared" ref="AC26:AC36" si="62">+AF26/AE26</f>
        <v>1</v>
      </c>
      <c r="AD26" s="161">
        <f t="shared" ref="AD26:AD36" si="63">+AG26/AE26</f>
        <v>0</v>
      </c>
      <c r="AE26" s="162">
        <v>4919</v>
      </c>
      <c r="AF26" s="117">
        <f t="shared" si="43"/>
        <v>4919</v>
      </c>
      <c r="AG26" s="146">
        <v>0</v>
      </c>
      <c r="AH26" s="147">
        <v>3372</v>
      </c>
      <c r="AI26" s="148">
        <v>0.84166666666666667</v>
      </c>
      <c r="AJ26" s="147">
        <v>0</v>
      </c>
      <c r="AK26" s="164">
        <v>0</v>
      </c>
      <c r="AL26" s="55">
        <f t="shared" si="31"/>
        <v>46223</v>
      </c>
      <c r="AM26" s="76">
        <f t="shared" ref="AM26:AM36" si="64">+AP26/AO26</f>
        <v>0.48632714500752633</v>
      </c>
      <c r="AN26" s="75">
        <f t="shared" ref="AN26:AN36" si="65">+AQ26/AO26</f>
        <v>0.51367285499247362</v>
      </c>
      <c r="AO26" s="149">
        <v>7972</v>
      </c>
      <c r="AP26" s="116">
        <f t="shared" si="34"/>
        <v>3877</v>
      </c>
      <c r="AQ26" s="150">
        <v>4095</v>
      </c>
      <c r="AR26" s="151">
        <v>3641</v>
      </c>
      <c r="AS26" s="152">
        <v>0.30625000000000002</v>
      </c>
      <c r="AT26" s="151">
        <v>186</v>
      </c>
      <c r="AU26" s="153">
        <v>0.78125</v>
      </c>
      <c r="AV26" s="55">
        <f t="shared" si="35"/>
        <v>46223</v>
      </c>
      <c r="AW26" s="109">
        <f t="shared" ref="AW26:AW36" si="66">BA26/AZ26</f>
        <v>0.47486401846052417</v>
      </c>
      <c r="AX26" s="109">
        <f t="shared" ref="AX26:AX36" si="67">BB26/AZ26</f>
        <v>0.52513598153947583</v>
      </c>
      <c r="AY26" s="110">
        <f t="shared" si="44"/>
        <v>6067</v>
      </c>
      <c r="AZ26" s="111">
        <v>6067</v>
      </c>
      <c r="BA26" s="119">
        <f t="shared" si="38"/>
        <v>2881</v>
      </c>
      <c r="BB26" s="112">
        <f>2488+698</f>
        <v>3186</v>
      </c>
      <c r="BC26" s="111">
        <v>2533</v>
      </c>
      <c r="BD26" s="113">
        <v>0.875</v>
      </c>
      <c r="BE26" s="114">
        <v>0</v>
      </c>
      <c r="BF26" s="113">
        <v>0</v>
      </c>
      <c r="BG26" s="114">
        <v>240</v>
      </c>
      <c r="BH26" s="113">
        <v>2.0833333333333332E-2</v>
      </c>
      <c r="BI26" s="55">
        <f t="shared" si="39"/>
        <v>46223</v>
      </c>
      <c r="BJ26" s="77">
        <f t="shared" ref="BJ26:BJ36" si="68">+BM26/BL26</f>
        <v>0.60236035673573396</v>
      </c>
      <c r="BK26" s="75">
        <f t="shared" ref="BK26:BK36" si="69">+BN26/BL26</f>
        <v>0.3976396432642661</v>
      </c>
      <c r="BL26" s="78">
        <f t="shared" ref="BL26:BL36" si="70">BM26+BN26</f>
        <v>29826</v>
      </c>
      <c r="BM26" s="154">
        <v>17966</v>
      </c>
      <c r="BN26" s="154">
        <v>11860</v>
      </c>
      <c r="BO26" s="155">
        <v>3112</v>
      </c>
      <c r="BP26" s="156">
        <v>0.41805555555555557</v>
      </c>
      <c r="BQ26" s="157">
        <v>2077</v>
      </c>
      <c r="BR26" s="156">
        <v>0.41875000000000001</v>
      </c>
    </row>
    <row r="27" spans="1:72" ht="15.75" thickBot="1" x14ac:dyDescent="0.3">
      <c r="A27" s="14"/>
      <c r="B27" s="167">
        <f t="shared" si="26"/>
        <v>46224</v>
      </c>
      <c r="C27" s="195"/>
      <c r="D27" s="86">
        <f>R27+T27</f>
        <v>47014</v>
      </c>
      <c r="E27" s="158">
        <f t="shared" si="1"/>
        <v>0.83972859148338796</v>
      </c>
      <c r="F27" s="86">
        <f t="shared" si="2"/>
        <v>39479</v>
      </c>
      <c r="G27" s="158">
        <f t="shared" si="3"/>
        <v>0.16027140851661206</v>
      </c>
      <c r="H27" s="145">
        <f t="shared" si="4"/>
        <v>7535</v>
      </c>
      <c r="I27" s="159">
        <f t="shared" si="5"/>
        <v>0.10091690544412607</v>
      </c>
      <c r="J27" s="158">
        <f t="shared" si="6"/>
        <v>0.16185291308500477</v>
      </c>
      <c r="K27" s="158">
        <f t="shared" si="7"/>
        <v>0.15857689838046088</v>
      </c>
      <c r="L27" s="160">
        <f t="shared" si="8"/>
        <v>0.60985673352435532</v>
      </c>
      <c r="M27" s="145">
        <f t="shared" si="22"/>
        <v>4665.3885386819484</v>
      </c>
      <c r="N27" s="145">
        <f t="shared" si="23"/>
        <v>7482.4601719197708</v>
      </c>
      <c r="O27" s="145">
        <f t="shared" si="24"/>
        <v>7331.0100121287069</v>
      </c>
      <c r="P27" s="145">
        <f t="shared" si="25"/>
        <v>28193.676790830945</v>
      </c>
      <c r="Q27" s="167">
        <f t="shared" si="27"/>
        <v>46224</v>
      </c>
      <c r="R27" s="139">
        <v>47014</v>
      </c>
      <c r="S27" s="139">
        <v>46230</v>
      </c>
      <c r="T27" s="139">
        <v>0</v>
      </c>
      <c r="U27" s="139">
        <v>0</v>
      </c>
      <c r="V27" s="140">
        <v>9218</v>
      </c>
      <c r="W27" s="141">
        <v>0.44791666666666669</v>
      </c>
      <c r="X27" s="140">
        <v>3495</v>
      </c>
      <c r="Y27" s="141">
        <v>0.875</v>
      </c>
      <c r="Z27" s="140">
        <v>0</v>
      </c>
      <c r="AA27" s="141">
        <v>0</v>
      </c>
      <c r="AB27" s="167">
        <f t="shared" si="28"/>
        <v>46224</v>
      </c>
      <c r="AC27" s="75">
        <f t="shared" si="62"/>
        <v>1</v>
      </c>
      <c r="AD27" s="161">
        <f t="shared" si="63"/>
        <v>0</v>
      </c>
      <c r="AE27" s="162">
        <v>5283</v>
      </c>
      <c r="AF27" s="117">
        <f t="shared" si="43"/>
        <v>5283</v>
      </c>
      <c r="AG27" s="146">
        <v>0</v>
      </c>
      <c r="AH27" s="147">
        <v>3341</v>
      </c>
      <c r="AI27" s="148">
        <v>0.27986111111111112</v>
      </c>
      <c r="AJ27" s="147">
        <v>0</v>
      </c>
      <c r="AK27" s="164">
        <v>0</v>
      </c>
      <c r="AL27" s="167">
        <f t="shared" si="31"/>
        <v>46224</v>
      </c>
      <c r="AM27" s="76">
        <f t="shared" si="64"/>
        <v>0.50737637200519292</v>
      </c>
      <c r="AN27" s="75">
        <f t="shared" si="65"/>
        <v>0.49262362799480702</v>
      </c>
      <c r="AO27" s="149">
        <v>8473</v>
      </c>
      <c r="AP27" s="116">
        <f t="shared" si="34"/>
        <v>4299</v>
      </c>
      <c r="AQ27" s="150">
        <v>4174</v>
      </c>
      <c r="AR27" s="151">
        <v>3202</v>
      </c>
      <c r="AS27" s="152">
        <v>0.78472222222222221</v>
      </c>
      <c r="AT27" s="151">
        <v>197</v>
      </c>
      <c r="AU27" s="153">
        <v>0.78125</v>
      </c>
      <c r="AV27" s="167">
        <f t="shared" si="35"/>
        <v>46224</v>
      </c>
      <c r="AW27" s="168">
        <f t="shared" si="66"/>
        <v>0.49595080983803241</v>
      </c>
      <c r="AX27" s="168">
        <f t="shared" si="67"/>
        <v>0.50404919016196759</v>
      </c>
      <c r="AY27" s="110">
        <f t="shared" si="44"/>
        <v>6668</v>
      </c>
      <c r="AZ27" s="111">
        <v>6668</v>
      </c>
      <c r="BA27" s="196">
        <f t="shared" si="38"/>
        <v>3307</v>
      </c>
      <c r="BB27" s="112">
        <f>2663+698</f>
        <v>3361</v>
      </c>
      <c r="BC27" s="111">
        <v>2830</v>
      </c>
      <c r="BD27" s="113">
        <v>0.83333333333333337</v>
      </c>
      <c r="BE27" s="114">
        <v>0</v>
      </c>
      <c r="BF27" s="113">
        <v>0</v>
      </c>
      <c r="BG27" s="114">
        <v>152</v>
      </c>
      <c r="BH27" s="113">
        <v>0.75</v>
      </c>
      <c r="BI27" s="167">
        <f t="shared" si="39"/>
        <v>46224</v>
      </c>
      <c r="BJ27" s="169">
        <f t="shared" si="68"/>
        <v>0.59922946814508549</v>
      </c>
      <c r="BK27" s="75">
        <f t="shared" si="69"/>
        <v>0.40077053185491451</v>
      </c>
      <c r="BL27" s="78">
        <f t="shared" si="70"/>
        <v>31926</v>
      </c>
      <c r="BM27" s="154">
        <v>19131</v>
      </c>
      <c r="BN27" s="154">
        <v>12795</v>
      </c>
      <c r="BO27" s="155">
        <v>3753</v>
      </c>
      <c r="BP27" s="156">
        <v>0.82847222222222228</v>
      </c>
      <c r="BQ27" s="157">
        <v>2532</v>
      </c>
      <c r="BR27" s="156">
        <v>0.39930555555555558</v>
      </c>
      <c r="BS27" s="157">
        <v>2532</v>
      </c>
      <c r="BT27" s="156">
        <v>0.39930555555555558</v>
      </c>
    </row>
    <row r="28" spans="1:72" ht="15.75" thickBot="1" x14ac:dyDescent="0.3">
      <c r="A28" s="14"/>
      <c r="B28" s="167">
        <f t="shared" si="26"/>
        <v>46225</v>
      </c>
      <c r="C28" s="195"/>
      <c r="D28" s="86">
        <f>R28+T28</f>
        <v>51568</v>
      </c>
      <c r="E28" s="158">
        <f t="shared" si="1"/>
        <v>0.85211759230530559</v>
      </c>
      <c r="F28" s="86">
        <f t="shared" si="2"/>
        <v>43942</v>
      </c>
      <c r="G28" s="158">
        <f t="shared" si="3"/>
        <v>0.14788240769469438</v>
      </c>
      <c r="H28" s="145">
        <f t="shared" si="4"/>
        <v>7626</v>
      </c>
      <c r="I28" s="159">
        <f t="shared" si="5"/>
        <v>0.10609037328094302</v>
      </c>
      <c r="J28" s="158">
        <f t="shared" si="6"/>
        <v>0.15134655840881825</v>
      </c>
      <c r="K28" s="158">
        <f t="shared" si="7"/>
        <v>0.16512374834687324</v>
      </c>
      <c r="L28" s="160">
        <f t="shared" si="8"/>
        <v>0.60580350157344787</v>
      </c>
      <c r="M28" s="145">
        <f t="shared" si="22"/>
        <v>5392.679764243615</v>
      </c>
      <c r="N28" s="145">
        <f t="shared" si="23"/>
        <v>7693.09691047864</v>
      </c>
      <c r="O28" s="145">
        <f t="shared" si="24"/>
        <v>8393.4052522199145</v>
      </c>
      <c r="P28" s="145">
        <f t="shared" si="25"/>
        <v>30793.597788479929</v>
      </c>
      <c r="Q28" s="167">
        <f t="shared" si="27"/>
        <v>46225</v>
      </c>
      <c r="R28" s="139">
        <v>51568</v>
      </c>
      <c r="S28" s="139">
        <v>50831</v>
      </c>
      <c r="T28" s="139">
        <v>0</v>
      </c>
      <c r="U28" s="139">
        <v>0</v>
      </c>
      <c r="V28" s="140">
        <v>12129</v>
      </c>
      <c r="W28" s="141">
        <v>0.40625</v>
      </c>
      <c r="X28" s="140">
        <v>4021</v>
      </c>
      <c r="Y28" s="141">
        <v>0.78125</v>
      </c>
      <c r="Z28" s="140">
        <v>0</v>
      </c>
      <c r="AA28" s="141">
        <v>0</v>
      </c>
      <c r="AB28" s="167">
        <f t="shared" si="28"/>
        <v>46225</v>
      </c>
      <c r="AC28" s="75">
        <f t="shared" si="62"/>
        <v>1</v>
      </c>
      <c r="AD28" s="161">
        <f t="shared" si="63"/>
        <v>0</v>
      </c>
      <c r="AE28" s="162">
        <v>6102</v>
      </c>
      <c r="AF28" s="117">
        <f t="shared" si="43"/>
        <v>6102</v>
      </c>
      <c r="AG28" s="146">
        <v>0</v>
      </c>
      <c r="AH28" s="147">
        <v>3086</v>
      </c>
      <c r="AI28" s="148">
        <v>0.74375000000000002</v>
      </c>
      <c r="AJ28" s="147">
        <v>0</v>
      </c>
      <c r="AK28" s="164">
        <v>0</v>
      </c>
      <c r="AL28" s="167">
        <f t="shared" si="31"/>
        <v>46225</v>
      </c>
      <c r="AM28" s="76">
        <f t="shared" si="64"/>
        <v>0.53004020677771391</v>
      </c>
      <c r="AN28" s="75">
        <f t="shared" si="65"/>
        <v>0.46995979322228604</v>
      </c>
      <c r="AO28" s="149">
        <v>8705</v>
      </c>
      <c r="AP28" s="116">
        <f t="shared" si="34"/>
        <v>4614</v>
      </c>
      <c r="AQ28" s="150">
        <v>4091</v>
      </c>
      <c r="AR28" s="151">
        <v>3201</v>
      </c>
      <c r="AS28" s="152">
        <v>0.72986111111111107</v>
      </c>
      <c r="AT28" s="151">
        <v>188</v>
      </c>
      <c r="AU28" s="153">
        <v>0.33333333333333331</v>
      </c>
      <c r="AV28" s="167">
        <f t="shared" si="35"/>
        <v>46225</v>
      </c>
      <c r="AW28" s="168">
        <f t="shared" si="66"/>
        <v>0.55059750826341214</v>
      </c>
      <c r="AX28" s="168">
        <f t="shared" si="67"/>
        <v>0.44940249173658786</v>
      </c>
      <c r="AY28" s="110">
        <f t="shared" si="44"/>
        <v>7866</v>
      </c>
      <c r="AZ28" s="111">
        <v>7866</v>
      </c>
      <c r="BA28" s="196">
        <f t="shared" si="38"/>
        <v>4331</v>
      </c>
      <c r="BB28" s="112">
        <f>2837+698</f>
        <v>3535</v>
      </c>
      <c r="BC28" s="111">
        <v>3866</v>
      </c>
      <c r="BD28" s="113">
        <v>0.69791666666666663</v>
      </c>
      <c r="BE28" s="114">
        <v>0</v>
      </c>
      <c r="BF28" s="113">
        <v>0</v>
      </c>
      <c r="BG28" s="114">
        <v>155</v>
      </c>
      <c r="BH28" s="113">
        <v>0.83333333333333337</v>
      </c>
      <c r="BI28" s="167">
        <f t="shared" si="39"/>
        <v>46225</v>
      </c>
      <c r="BJ28" s="169">
        <f t="shared" si="68"/>
        <v>0.60811043508208018</v>
      </c>
      <c r="BK28" s="75">
        <f t="shared" si="69"/>
        <v>0.39188956491791987</v>
      </c>
      <c r="BL28" s="78">
        <f t="shared" si="70"/>
        <v>34844</v>
      </c>
      <c r="BM28" s="154">
        <v>21189</v>
      </c>
      <c r="BN28" s="154">
        <v>13655</v>
      </c>
      <c r="BO28" s="155">
        <v>3883</v>
      </c>
      <c r="BP28" s="156">
        <v>0.69791666666666663</v>
      </c>
      <c r="BQ28" s="157">
        <v>2563</v>
      </c>
      <c r="BR28" s="156">
        <v>0.69861111111111107</v>
      </c>
      <c r="BS28" s="157">
        <v>2563</v>
      </c>
      <c r="BT28" s="156">
        <v>0.69861111111111107</v>
      </c>
    </row>
    <row r="29" spans="1:72" ht="15.75" thickBot="1" x14ac:dyDescent="0.3">
      <c r="A29" s="14"/>
      <c r="B29" s="167">
        <f t="shared" si="26"/>
        <v>46226</v>
      </c>
      <c r="C29" s="195"/>
      <c r="D29" s="86">
        <f t="shared" ref="D29:D32" si="71">R29+T29</f>
        <v>51304</v>
      </c>
      <c r="E29" s="158">
        <f t="shared" si="1"/>
        <v>0.85605410884141586</v>
      </c>
      <c r="F29" s="86">
        <f t="shared" si="2"/>
        <v>43919</v>
      </c>
      <c r="G29" s="158">
        <f t="shared" si="3"/>
        <v>0.14394589115858414</v>
      </c>
      <c r="H29" s="145">
        <f t="shared" si="4"/>
        <v>7385</v>
      </c>
      <c r="I29" s="159">
        <f t="shared" si="5"/>
        <v>0.11191550379463505</v>
      </c>
      <c r="J29" s="158">
        <f t="shared" si="6"/>
        <v>0.1550729199454412</v>
      </c>
      <c r="K29" s="158">
        <f t="shared" si="7"/>
        <v>0.16121603921071534</v>
      </c>
      <c r="L29" s="160">
        <f t="shared" si="8"/>
        <v>0.59956982478228937</v>
      </c>
      <c r="M29" s="145">
        <f t="shared" si="22"/>
        <v>5657.3287168188017</v>
      </c>
      <c r="N29" s="145">
        <f t="shared" si="23"/>
        <v>7838.9361032420529</v>
      </c>
      <c r="O29" s="145">
        <f t="shared" si="24"/>
        <v>8149.47078210166</v>
      </c>
      <c r="P29" s="145">
        <f t="shared" si="25"/>
        <v>30308.254642744727</v>
      </c>
      <c r="Q29" s="167">
        <f t="shared" si="27"/>
        <v>46226</v>
      </c>
      <c r="R29" s="138">
        <v>51304</v>
      </c>
      <c r="S29" s="139">
        <v>50550</v>
      </c>
      <c r="T29" s="139">
        <v>0</v>
      </c>
      <c r="U29" s="139">
        <v>0</v>
      </c>
      <c r="V29" s="140">
        <v>11476.15</v>
      </c>
      <c r="W29" s="141">
        <v>0.39583333333333331</v>
      </c>
      <c r="X29" s="140">
        <v>11408.75</v>
      </c>
      <c r="Y29" s="141">
        <v>0.39583333333333331</v>
      </c>
      <c r="Z29" s="140">
        <v>0</v>
      </c>
      <c r="AA29" s="141">
        <v>0</v>
      </c>
      <c r="AB29" s="167">
        <f t="shared" si="28"/>
        <v>46226</v>
      </c>
      <c r="AC29" s="75">
        <f t="shared" si="62"/>
        <v>1</v>
      </c>
      <c r="AD29" s="161">
        <f t="shared" si="63"/>
        <v>0</v>
      </c>
      <c r="AE29" s="162">
        <v>6400</v>
      </c>
      <c r="AF29" s="117">
        <f t="shared" si="43"/>
        <v>6400</v>
      </c>
      <c r="AG29" s="146">
        <v>0</v>
      </c>
      <c r="AH29" s="147">
        <v>3244.65</v>
      </c>
      <c r="AI29" s="148">
        <v>0.34236111111111112</v>
      </c>
      <c r="AJ29" s="147">
        <v>0</v>
      </c>
      <c r="AK29" s="164">
        <v>0</v>
      </c>
      <c r="AL29" s="167">
        <f t="shared" si="31"/>
        <v>46226</v>
      </c>
      <c r="AM29" s="76">
        <f t="shared" si="64"/>
        <v>0.53958051420838971</v>
      </c>
      <c r="AN29" s="75">
        <f t="shared" si="65"/>
        <v>0.46041948579161029</v>
      </c>
      <c r="AO29" s="149">
        <v>8868</v>
      </c>
      <c r="AP29" s="116">
        <f t="shared" si="34"/>
        <v>4785</v>
      </c>
      <c r="AQ29" s="150">
        <v>4083</v>
      </c>
      <c r="AR29" s="151">
        <v>3443</v>
      </c>
      <c r="AS29" s="152">
        <v>0.36319444444444443</v>
      </c>
      <c r="AT29" s="151">
        <v>195.6</v>
      </c>
      <c r="AU29" s="153">
        <v>0.32291666666666669</v>
      </c>
      <c r="AV29" s="167">
        <f t="shared" si="35"/>
        <v>46226</v>
      </c>
      <c r="AW29" s="168">
        <f t="shared" si="66"/>
        <v>0.56729131175468483</v>
      </c>
      <c r="AX29" s="168">
        <f t="shared" si="67"/>
        <v>0.43270868824531517</v>
      </c>
      <c r="AY29" s="110">
        <f t="shared" si="44"/>
        <v>7631</v>
      </c>
      <c r="AZ29" s="111">
        <v>7631</v>
      </c>
      <c r="BA29" s="196">
        <f t="shared" si="38"/>
        <v>4329</v>
      </c>
      <c r="BB29" s="112">
        <f>2604+698</f>
        <v>3302</v>
      </c>
      <c r="BC29" s="111">
        <v>3273.55</v>
      </c>
      <c r="BD29" s="113">
        <v>0.35416666666666669</v>
      </c>
      <c r="BE29" s="114">
        <v>0</v>
      </c>
      <c r="BF29" s="113">
        <v>0</v>
      </c>
      <c r="BG29" s="114">
        <v>155.44</v>
      </c>
      <c r="BH29" s="113">
        <v>0.78125</v>
      </c>
      <c r="BI29" s="167">
        <f t="shared" si="39"/>
        <v>46226</v>
      </c>
      <c r="BJ29" s="169">
        <f t="shared" si="68"/>
        <v>0.60918132236707789</v>
      </c>
      <c r="BK29" s="75">
        <f t="shared" si="69"/>
        <v>0.39081867763292211</v>
      </c>
      <c r="BL29" s="78">
        <f t="shared" si="70"/>
        <v>34287</v>
      </c>
      <c r="BM29" s="154">
        <v>20887</v>
      </c>
      <c r="BN29" s="154">
        <v>13400</v>
      </c>
      <c r="BO29" s="155">
        <v>3911.29</v>
      </c>
      <c r="BP29" s="156">
        <v>0.29791666666666666</v>
      </c>
      <c r="BQ29" s="157">
        <v>2632.13</v>
      </c>
      <c r="BR29" s="156">
        <v>0.29791666666666666</v>
      </c>
      <c r="BS29" s="157">
        <v>2632.13</v>
      </c>
      <c r="BT29" s="156">
        <v>0.29791666666666666</v>
      </c>
    </row>
    <row r="30" spans="1:72" ht="15.75" thickBot="1" x14ac:dyDescent="0.3">
      <c r="A30" s="14"/>
      <c r="B30" s="167">
        <f t="shared" si="26"/>
        <v>46227</v>
      </c>
      <c r="C30" s="195"/>
      <c r="D30" s="86">
        <f t="shared" si="71"/>
        <v>51562</v>
      </c>
      <c r="E30" s="158">
        <f t="shared" si="1"/>
        <v>0.85912105814359407</v>
      </c>
      <c r="F30" s="86">
        <f t="shared" si="2"/>
        <v>44298</v>
      </c>
      <c r="G30" s="158">
        <f t="shared" si="3"/>
        <v>0.14087894185640587</v>
      </c>
      <c r="H30" s="145">
        <f t="shared" si="4"/>
        <v>7264</v>
      </c>
      <c r="I30" s="159">
        <f t="shared" si="5"/>
        <v>0.113056074277038</v>
      </c>
      <c r="J30" s="158">
        <f t="shared" si="6"/>
        <v>0.15574442834953489</v>
      </c>
      <c r="K30" s="158">
        <f t="shared" si="7"/>
        <v>0.1650343821629506</v>
      </c>
      <c r="L30" s="160">
        <f t="shared" si="8"/>
        <v>0.59297718982879277</v>
      </c>
      <c r="M30" s="145">
        <f t="shared" si="22"/>
        <v>5745.3966386847942</v>
      </c>
      <c r="N30" s="145">
        <f t="shared" si="23"/>
        <v>7914.7761042950133</v>
      </c>
      <c r="O30" s="145">
        <f t="shared" si="24"/>
        <v>8386.8822671389862</v>
      </c>
      <c r="P30" s="145">
        <f t="shared" si="25"/>
        <v>30134.507809909421</v>
      </c>
      <c r="Q30" s="167">
        <f t="shared" si="27"/>
        <v>46227</v>
      </c>
      <c r="R30" s="138">
        <v>51562</v>
      </c>
      <c r="S30" s="139">
        <v>50819</v>
      </c>
      <c r="T30" s="139">
        <v>0</v>
      </c>
      <c r="U30" s="139">
        <v>0</v>
      </c>
      <c r="V30" s="140">
        <v>11851</v>
      </c>
      <c r="W30" s="141">
        <v>0.39583333333333331</v>
      </c>
      <c r="X30" s="140">
        <v>4307</v>
      </c>
      <c r="Y30" s="141">
        <v>0.78125</v>
      </c>
      <c r="Z30" s="140">
        <v>0</v>
      </c>
      <c r="AA30" s="141">
        <v>0</v>
      </c>
      <c r="AB30" s="167">
        <f t="shared" si="28"/>
        <v>46227</v>
      </c>
      <c r="AC30" s="75">
        <f t="shared" si="62"/>
        <v>1</v>
      </c>
      <c r="AD30" s="161">
        <f t="shared" si="63"/>
        <v>0</v>
      </c>
      <c r="AE30" s="162">
        <v>6478</v>
      </c>
      <c r="AF30" s="117">
        <f t="shared" si="43"/>
        <v>6478</v>
      </c>
      <c r="AG30" s="146">
        <v>0</v>
      </c>
      <c r="AH30" s="147">
        <v>3643</v>
      </c>
      <c r="AI30" s="148">
        <v>0.35625000000000001</v>
      </c>
      <c r="AJ30" s="147">
        <v>0</v>
      </c>
      <c r="AK30" s="164">
        <v>0</v>
      </c>
      <c r="AL30" s="167">
        <f t="shared" si="31"/>
        <v>46227</v>
      </c>
      <c r="AM30" s="76">
        <f t="shared" si="64"/>
        <v>0.55681308830121024</v>
      </c>
      <c r="AN30" s="75">
        <f t="shared" si="65"/>
        <v>0.44318691169878976</v>
      </c>
      <c r="AO30" s="149">
        <v>8924</v>
      </c>
      <c r="AP30" s="116">
        <f t="shared" si="34"/>
        <v>4969</v>
      </c>
      <c r="AQ30" s="150">
        <v>3955</v>
      </c>
      <c r="AR30" s="151">
        <v>3801</v>
      </c>
      <c r="AS30" s="152">
        <v>0.75347222222222221</v>
      </c>
      <c r="AT30" s="151">
        <v>190</v>
      </c>
      <c r="AU30" s="153">
        <v>0.33333333333333331</v>
      </c>
      <c r="AV30" s="167">
        <f t="shared" si="35"/>
        <v>46227</v>
      </c>
      <c r="AW30" s="168">
        <f t="shared" si="66"/>
        <v>0.58219696969696966</v>
      </c>
      <c r="AX30" s="168">
        <f t="shared" si="67"/>
        <v>0.41780303030303029</v>
      </c>
      <c r="AY30" s="110">
        <f t="shared" si="44"/>
        <v>7920</v>
      </c>
      <c r="AZ30" s="111">
        <v>7920</v>
      </c>
      <c r="BA30" s="196">
        <f t="shared" si="38"/>
        <v>4611</v>
      </c>
      <c r="BB30" s="112">
        <f>2611+698</f>
        <v>3309</v>
      </c>
      <c r="BC30" s="111">
        <v>3334</v>
      </c>
      <c r="BD30" s="113">
        <v>0.75</v>
      </c>
      <c r="BE30" s="114">
        <v>0</v>
      </c>
      <c r="BF30" s="113">
        <v>0</v>
      </c>
      <c r="BG30" s="114">
        <v>157</v>
      </c>
      <c r="BH30" s="113">
        <v>0.33333333333333331</v>
      </c>
      <c r="BI30" s="167">
        <f t="shared" si="39"/>
        <v>46227</v>
      </c>
      <c r="BJ30" s="169">
        <f t="shared" si="68"/>
        <v>0.60932395443976806</v>
      </c>
      <c r="BK30" s="75">
        <f t="shared" si="69"/>
        <v>0.39067604556023194</v>
      </c>
      <c r="BL30" s="78">
        <f t="shared" si="70"/>
        <v>33977</v>
      </c>
      <c r="BM30" s="154">
        <v>20703</v>
      </c>
      <c r="BN30" s="154">
        <v>13274</v>
      </c>
      <c r="BO30" s="155">
        <v>3949</v>
      </c>
      <c r="BP30" s="156">
        <v>0.81388888888888888</v>
      </c>
      <c r="BQ30" s="157">
        <v>2610</v>
      </c>
      <c r="BR30" s="156">
        <v>0.31388888888888888</v>
      </c>
    </row>
    <row r="31" spans="1:72" ht="15.75" thickBot="1" x14ac:dyDescent="0.3">
      <c r="A31" s="14"/>
      <c r="B31" s="167">
        <f t="shared" si="26"/>
        <v>46228</v>
      </c>
      <c r="C31" s="195"/>
      <c r="D31" s="86">
        <f t="shared" si="71"/>
        <v>32330</v>
      </c>
      <c r="E31" s="158">
        <f t="shared" si="1"/>
        <v>0.77519331889885557</v>
      </c>
      <c r="F31" s="86">
        <f t="shared" si="2"/>
        <v>25062</v>
      </c>
      <c r="G31" s="158">
        <f t="shared" si="3"/>
        <v>0.22480668110114443</v>
      </c>
      <c r="H31" s="145">
        <f t="shared" si="4"/>
        <v>7268</v>
      </c>
      <c r="I31" s="159">
        <f t="shared" si="5"/>
        <v>7.7918612408272178E-2</v>
      </c>
      <c r="J31" s="158">
        <f t="shared" si="6"/>
        <v>0.1561040693795864</v>
      </c>
      <c r="K31" s="158">
        <f t="shared" si="7"/>
        <v>0.16767881241565452</v>
      </c>
      <c r="L31" s="160">
        <f t="shared" si="8"/>
        <v>0.63335557038025347</v>
      </c>
      <c r="M31" s="145">
        <f t="shared" si="22"/>
        <v>2491.8372248165442</v>
      </c>
      <c r="N31" s="145">
        <f t="shared" si="23"/>
        <v>4992.2081387591734</v>
      </c>
      <c r="O31" s="145">
        <f t="shared" si="24"/>
        <v>5362.3684210526317</v>
      </c>
      <c r="P31" s="145">
        <f t="shared" si="25"/>
        <v>20254.711140760504</v>
      </c>
      <c r="Q31" s="167">
        <f t="shared" si="27"/>
        <v>46228</v>
      </c>
      <c r="R31" s="138">
        <v>32330</v>
      </c>
      <c r="S31" s="139">
        <v>31980</v>
      </c>
      <c r="T31" s="139">
        <v>0</v>
      </c>
      <c r="U31" s="139">
        <v>0</v>
      </c>
      <c r="V31" s="140">
        <v>6390</v>
      </c>
      <c r="W31" s="141">
        <v>0.70833333333333337</v>
      </c>
      <c r="X31" s="140">
        <v>2480</v>
      </c>
      <c r="Y31" s="141">
        <v>0.72916666666666663</v>
      </c>
      <c r="Z31" s="140">
        <v>0</v>
      </c>
      <c r="AA31" s="141">
        <v>0</v>
      </c>
      <c r="AB31" s="167">
        <f t="shared" si="28"/>
        <v>46228</v>
      </c>
      <c r="AC31" s="75">
        <f t="shared" si="62"/>
        <v>1</v>
      </c>
      <c r="AD31" s="161">
        <f t="shared" si="63"/>
        <v>0</v>
      </c>
      <c r="AE31" s="162">
        <v>2920</v>
      </c>
      <c r="AF31" s="117">
        <f t="shared" si="43"/>
        <v>2920</v>
      </c>
      <c r="AG31" s="146">
        <v>0</v>
      </c>
      <c r="AH31" s="147">
        <v>1790</v>
      </c>
      <c r="AI31" s="148">
        <v>0.36805555555555558</v>
      </c>
      <c r="AJ31" s="147">
        <v>0</v>
      </c>
      <c r="AK31" s="164">
        <v>0</v>
      </c>
      <c r="AL31" s="167">
        <f t="shared" si="31"/>
        <v>46228</v>
      </c>
      <c r="AM31" s="76">
        <f t="shared" si="64"/>
        <v>0.347008547008547</v>
      </c>
      <c r="AN31" s="75">
        <f t="shared" si="65"/>
        <v>0.652991452991453</v>
      </c>
      <c r="AO31" s="149">
        <v>5850</v>
      </c>
      <c r="AP31" s="116">
        <f t="shared" si="34"/>
        <v>2030</v>
      </c>
      <c r="AQ31" s="150">
        <v>3820</v>
      </c>
      <c r="AR31" s="151">
        <v>1720</v>
      </c>
      <c r="AS31" s="152">
        <v>0.78125</v>
      </c>
      <c r="AT31" s="151">
        <v>180</v>
      </c>
      <c r="AU31" s="153">
        <v>0.75</v>
      </c>
      <c r="AV31" s="167">
        <f t="shared" si="35"/>
        <v>46228</v>
      </c>
      <c r="AW31" s="168">
        <f t="shared" si="66"/>
        <v>0.3062374245472837</v>
      </c>
      <c r="AX31" s="168">
        <f t="shared" si="67"/>
        <v>0.69376257545271625</v>
      </c>
      <c r="AY31" s="110">
        <f t="shared" si="44"/>
        <v>4970</v>
      </c>
      <c r="AZ31" s="111">
        <v>4970</v>
      </c>
      <c r="BA31" s="196">
        <f t="shared" si="38"/>
        <v>1522</v>
      </c>
      <c r="BB31" s="112">
        <f>2750+698</f>
        <v>3448</v>
      </c>
      <c r="BC31" s="111">
        <v>1580</v>
      </c>
      <c r="BD31" s="113">
        <v>0.8125</v>
      </c>
      <c r="BE31" s="114">
        <v>0</v>
      </c>
      <c r="BF31" s="113">
        <v>0</v>
      </c>
      <c r="BG31" s="114">
        <v>170</v>
      </c>
      <c r="BH31" s="113">
        <v>0.83333333333333337</v>
      </c>
      <c r="BI31" s="167">
        <f t="shared" si="39"/>
        <v>46228</v>
      </c>
      <c r="BJ31" s="169">
        <f t="shared" si="68"/>
        <v>0.62144512323572787</v>
      </c>
      <c r="BK31" s="75">
        <f t="shared" si="69"/>
        <v>0.37855487676427219</v>
      </c>
      <c r="BL31" s="78">
        <f t="shared" si="70"/>
        <v>23735</v>
      </c>
      <c r="BM31" s="154">
        <v>14750</v>
      </c>
      <c r="BN31" s="154">
        <v>8985</v>
      </c>
      <c r="BO31" s="155">
        <v>2820</v>
      </c>
      <c r="BP31" s="156">
        <v>0.70833333333333337</v>
      </c>
      <c r="BQ31" s="157">
        <v>1850</v>
      </c>
      <c r="BR31" s="156">
        <v>0.79166666666666663</v>
      </c>
    </row>
    <row r="32" spans="1:72" ht="15.75" thickBot="1" x14ac:dyDescent="0.3">
      <c r="A32" s="14"/>
      <c r="B32" s="167">
        <f t="shared" si="26"/>
        <v>46229</v>
      </c>
      <c r="C32" s="195"/>
      <c r="D32" s="86">
        <f t="shared" si="71"/>
        <v>27660</v>
      </c>
      <c r="E32" s="158">
        <f t="shared" si="1"/>
        <v>0.74822848879248016</v>
      </c>
      <c r="F32" s="86">
        <f t="shared" si="2"/>
        <v>20696</v>
      </c>
      <c r="G32" s="158">
        <f t="shared" si="3"/>
        <v>0.25177151120751989</v>
      </c>
      <c r="H32" s="145">
        <f t="shared" si="4"/>
        <v>6964</v>
      </c>
      <c r="I32" s="159">
        <f t="shared" si="5"/>
        <v>6.130166522921781E-2</v>
      </c>
      <c r="J32" s="158">
        <f t="shared" si="6"/>
        <v>0.17209580043786904</v>
      </c>
      <c r="K32" s="158">
        <f t="shared" si="7"/>
        <v>0.17938454917150851</v>
      </c>
      <c r="L32" s="160">
        <f t="shared" si="8"/>
        <v>0.6283420685994825</v>
      </c>
      <c r="M32" s="145">
        <f t="shared" si="22"/>
        <v>1643.0685331387249</v>
      </c>
      <c r="N32" s="145">
        <f t="shared" si="23"/>
        <v>4612.6837391362042</v>
      </c>
      <c r="O32" s="145">
        <f t="shared" si="24"/>
        <v>4808.0440714439428</v>
      </c>
      <c r="P32" s="145">
        <f t="shared" si="25"/>
        <v>16841.452464671929</v>
      </c>
      <c r="Q32" s="167">
        <f t="shared" si="27"/>
        <v>46229</v>
      </c>
      <c r="R32" s="138">
        <v>27660</v>
      </c>
      <c r="S32" s="139">
        <v>26803</v>
      </c>
      <c r="T32" s="139">
        <v>0</v>
      </c>
      <c r="U32" s="139">
        <v>0</v>
      </c>
      <c r="V32" s="140">
        <v>6061</v>
      </c>
      <c r="W32" s="141">
        <v>0.98958333333333337</v>
      </c>
      <c r="X32" s="140">
        <v>1833</v>
      </c>
      <c r="Y32" s="141">
        <v>0.45833333333333331</v>
      </c>
      <c r="Z32" s="140">
        <v>0</v>
      </c>
      <c r="AA32" s="141">
        <v>0</v>
      </c>
      <c r="AB32" s="167">
        <f t="shared" si="28"/>
        <v>46229</v>
      </c>
      <c r="AC32" s="75">
        <f t="shared" si="62"/>
        <v>1</v>
      </c>
      <c r="AD32" s="161">
        <f t="shared" si="63"/>
        <v>0</v>
      </c>
      <c r="AE32" s="162">
        <v>1848</v>
      </c>
      <c r="AF32" s="117">
        <f t="shared" si="43"/>
        <v>1848</v>
      </c>
      <c r="AG32" s="146">
        <v>0</v>
      </c>
      <c r="AH32" s="147">
        <v>1873</v>
      </c>
      <c r="AI32" s="148">
        <v>0.93541666666666667</v>
      </c>
      <c r="AJ32" s="147">
        <v>0</v>
      </c>
      <c r="AK32" s="164">
        <v>0</v>
      </c>
      <c r="AL32" s="167">
        <f t="shared" si="31"/>
        <v>46229</v>
      </c>
      <c r="AM32" s="76">
        <f t="shared" si="64"/>
        <v>0.27602158828064766</v>
      </c>
      <c r="AN32" s="75">
        <f t="shared" si="65"/>
        <v>0.7239784117193524</v>
      </c>
      <c r="AO32" s="149">
        <v>5188</v>
      </c>
      <c r="AP32" s="116">
        <f t="shared" si="34"/>
        <v>1432</v>
      </c>
      <c r="AQ32" s="150">
        <v>3756</v>
      </c>
      <c r="AR32" s="151">
        <v>1892</v>
      </c>
      <c r="AS32" s="152">
        <v>0.94236111111111109</v>
      </c>
      <c r="AT32" s="151">
        <v>177</v>
      </c>
      <c r="AU32" s="153">
        <v>0.89583333333333337</v>
      </c>
      <c r="AV32" s="167">
        <f t="shared" si="35"/>
        <v>46229</v>
      </c>
      <c r="AW32" s="168">
        <f t="shared" si="66"/>
        <v>0.23032629558541268</v>
      </c>
      <c r="AX32" s="168">
        <f t="shared" si="67"/>
        <v>0.76967370441458738</v>
      </c>
      <c r="AY32" s="110">
        <f t="shared" si="44"/>
        <v>4168</v>
      </c>
      <c r="AZ32" s="111">
        <v>4168</v>
      </c>
      <c r="BA32" s="196">
        <f t="shared" si="38"/>
        <v>960</v>
      </c>
      <c r="BB32" s="112">
        <f>2510+698</f>
        <v>3208</v>
      </c>
      <c r="BC32" s="111">
        <v>1377</v>
      </c>
      <c r="BD32" s="113">
        <v>0.94791666666666663</v>
      </c>
      <c r="BE32" s="114">
        <v>0</v>
      </c>
      <c r="BF32" s="113">
        <v>0</v>
      </c>
      <c r="BG32" s="114">
        <v>149</v>
      </c>
      <c r="BH32" s="113">
        <v>0.9375</v>
      </c>
      <c r="BI32" s="167">
        <f t="shared" si="39"/>
        <v>46229</v>
      </c>
      <c r="BJ32" s="169">
        <f t="shared" si="68"/>
        <v>0.61339879632562555</v>
      </c>
      <c r="BK32" s="75">
        <f t="shared" si="69"/>
        <v>0.38660120367437439</v>
      </c>
      <c r="BL32" s="78">
        <f t="shared" si="70"/>
        <v>18942</v>
      </c>
      <c r="BM32" s="154">
        <v>11619</v>
      </c>
      <c r="BN32" s="154">
        <v>7323</v>
      </c>
      <c r="BO32" s="155">
        <v>2300</v>
      </c>
      <c r="BP32" s="156">
        <v>0.95208333333333328</v>
      </c>
      <c r="BQ32" s="157">
        <v>1503</v>
      </c>
      <c r="BR32" s="156">
        <v>0.95277777777777772</v>
      </c>
    </row>
    <row r="33" spans="1:70" ht="15.75" thickBot="1" x14ac:dyDescent="0.3">
      <c r="A33" s="14"/>
      <c r="B33" s="55">
        <f t="shared" si="26"/>
        <v>46230</v>
      </c>
      <c r="C33" s="163"/>
      <c r="D33" s="86">
        <f t="shared" si="0"/>
        <v>0</v>
      </c>
      <c r="E33" s="158" t="e">
        <f t="shared" si="1"/>
        <v>#DIV/0!</v>
      </c>
      <c r="F33" s="86">
        <f t="shared" si="2"/>
        <v>0</v>
      </c>
      <c r="G33" s="158" t="e">
        <f t="shared" si="3"/>
        <v>#DIV/0!</v>
      </c>
      <c r="H33" s="145">
        <f t="shared" si="4"/>
        <v>0</v>
      </c>
      <c r="I33" s="159" t="e">
        <f t="shared" si="5"/>
        <v>#DIV/0!</v>
      </c>
      <c r="J33" s="158" t="e">
        <f t="shared" si="6"/>
        <v>#DIV/0!</v>
      </c>
      <c r="K33" s="158" t="e">
        <f t="shared" si="7"/>
        <v>#DIV/0!</v>
      </c>
      <c r="L33" s="160" t="e">
        <f t="shared" si="8"/>
        <v>#DIV/0!</v>
      </c>
      <c r="M33" s="145" t="e">
        <f t="shared" si="22"/>
        <v>#DIV/0!</v>
      </c>
      <c r="N33" s="145" t="e">
        <f t="shared" si="23"/>
        <v>#DIV/0!</v>
      </c>
      <c r="O33" s="145" t="e">
        <f t="shared" si="24"/>
        <v>#DIV/0!</v>
      </c>
      <c r="P33" s="145" t="e">
        <f t="shared" si="25"/>
        <v>#DIV/0!</v>
      </c>
      <c r="Q33" s="55">
        <f t="shared" si="27"/>
        <v>46230</v>
      </c>
      <c r="R33" s="138"/>
      <c r="S33" s="139"/>
      <c r="T33" s="139"/>
      <c r="U33" s="139"/>
      <c r="V33" s="140"/>
      <c r="W33" s="141"/>
      <c r="X33" s="140"/>
      <c r="Y33" s="141"/>
      <c r="Z33" s="140"/>
      <c r="AA33" s="141"/>
      <c r="AB33" s="55">
        <f t="shared" si="28"/>
        <v>46230</v>
      </c>
      <c r="AC33" s="75" t="e">
        <f t="shared" si="62"/>
        <v>#DIV/0!</v>
      </c>
      <c r="AD33" s="161" t="e">
        <f t="shared" si="63"/>
        <v>#DIV/0!</v>
      </c>
      <c r="AE33" s="162"/>
      <c r="AF33" s="117">
        <f t="shared" si="43"/>
        <v>0</v>
      </c>
      <c r="AG33" s="146"/>
      <c r="AH33" s="147"/>
      <c r="AI33" s="148"/>
      <c r="AJ33" s="147"/>
      <c r="AK33" s="164"/>
      <c r="AL33" s="167">
        <f t="shared" si="31"/>
        <v>46230</v>
      </c>
      <c r="AM33" s="76" t="e">
        <f t="shared" si="64"/>
        <v>#DIV/0!</v>
      </c>
      <c r="AN33" s="75" t="e">
        <f t="shared" si="65"/>
        <v>#DIV/0!</v>
      </c>
      <c r="AO33" s="149"/>
      <c r="AP33" s="116">
        <f t="shared" si="34"/>
        <v>0</v>
      </c>
      <c r="AQ33" s="150"/>
      <c r="AR33" s="151"/>
      <c r="AS33" s="152"/>
      <c r="AT33" s="151"/>
      <c r="AU33" s="153"/>
      <c r="AV33" s="55">
        <f t="shared" si="35"/>
        <v>46230</v>
      </c>
      <c r="AW33" s="168" t="e">
        <f t="shared" si="66"/>
        <v>#DIV/0!</v>
      </c>
      <c r="AX33" s="168" t="e">
        <f t="shared" si="67"/>
        <v>#DIV/0!</v>
      </c>
      <c r="AY33" s="110">
        <f t="shared" si="44"/>
        <v>0</v>
      </c>
      <c r="AZ33" s="111"/>
      <c r="BA33" s="119">
        <f t="shared" si="38"/>
        <v>0</v>
      </c>
      <c r="BB33" s="112"/>
      <c r="BC33" s="111"/>
      <c r="BD33" s="113"/>
      <c r="BE33" s="114"/>
      <c r="BF33" s="113"/>
      <c r="BG33" s="114"/>
      <c r="BH33" s="113"/>
      <c r="BI33" s="55">
        <f t="shared" si="39"/>
        <v>46230</v>
      </c>
      <c r="BJ33" s="169" t="e">
        <f t="shared" si="68"/>
        <v>#DIV/0!</v>
      </c>
      <c r="BK33" s="75" t="e">
        <f t="shared" si="69"/>
        <v>#DIV/0!</v>
      </c>
      <c r="BL33" s="78">
        <f t="shared" si="70"/>
        <v>0</v>
      </c>
      <c r="BM33" s="154"/>
      <c r="BN33" s="154"/>
      <c r="BO33" s="155"/>
      <c r="BP33" s="156"/>
      <c r="BQ33" s="157"/>
      <c r="BR33" s="156"/>
    </row>
    <row r="34" spans="1:70" ht="15.75" thickBot="1" x14ac:dyDescent="0.3">
      <c r="A34" s="14"/>
      <c r="B34" s="55">
        <f t="shared" si="26"/>
        <v>46231</v>
      </c>
      <c r="C34" s="163"/>
      <c r="D34" s="86">
        <f t="shared" si="0"/>
        <v>0</v>
      </c>
      <c r="E34" s="158" t="e">
        <f t="shared" si="1"/>
        <v>#DIV/0!</v>
      </c>
      <c r="F34" s="86">
        <f t="shared" si="2"/>
        <v>0</v>
      </c>
      <c r="G34" s="158" t="e">
        <f t="shared" si="3"/>
        <v>#DIV/0!</v>
      </c>
      <c r="H34" s="145">
        <f t="shared" si="4"/>
        <v>0</v>
      </c>
      <c r="I34" s="159" t="e">
        <f t="shared" si="5"/>
        <v>#DIV/0!</v>
      </c>
      <c r="J34" s="158" t="e">
        <f t="shared" si="6"/>
        <v>#DIV/0!</v>
      </c>
      <c r="K34" s="158" t="e">
        <f t="shared" si="7"/>
        <v>#DIV/0!</v>
      </c>
      <c r="L34" s="160" t="e">
        <f t="shared" si="8"/>
        <v>#DIV/0!</v>
      </c>
      <c r="M34" s="145" t="e">
        <f t="shared" si="22"/>
        <v>#DIV/0!</v>
      </c>
      <c r="N34" s="145" t="e">
        <f t="shared" si="23"/>
        <v>#DIV/0!</v>
      </c>
      <c r="O34" s="145" t="e">
        <f t="shared" si="24"/>
        <v>#DIV/0!</v>
      </c>
      <c r="P34" s="145" t="e">
        <f t="shared" si="25"/>
        <v>#DIV/0!</v>
      </c>
      <c r="Q34" s="55">
        <f t="shared" si="27"/>
        <v>46231</v>
      </c>
      <c r="R34" s="138"/>
      <c r="S34" s="139"/>
      <c r="T34" s="139"/>
      <c r="U34" s="139"/>
      <c r="V34" s="140"/>
      <c r="W34" s="141"/>
      <c r="X34" s="140"/>
      <c r="Y34" s="141"/>
      <c r="Z34" s="140"/>
      <c r="AA34" s="141"/>
      <c r="AB34" s="55">
        <f t="shared" si="28"/>
        <v>46231</v>
      </c>
      <c r="AC34" s="75" t="e">
        <f t="shared" si="62"/>
        <v>#DIV/0!</v>
      </c>
      <c r="AD34" s="161" t="e">
        <f t="shared" si="63"/>
        <v>#DIV/0!</v>
      </c>
      <c r="AE34" s="162"/>
      <c r="AF34" s="117">
        <f t="shared" si="43"/>
        <v>0</v>
      </c>
      <c r="AG34" s="146"/>
      <c r="AH34" s="147"/>
      <c r="AI34" s="148"/>
      <c r="AJ34" s="147"/>
      <c r="AK34" s="164"/>
      <c r="AL34" s="55">
        <f t="shared" si="31"/>
        <v>46231</v>
      </c>
      <c r="AM34" s="76" t="e">
        <f t="shared" si="64"/>
        <v>#DIV/0!</v>
      </c>
      <c r="AN34" s="75">
        <v>0.05</v>
      </c>
      <c r="AO34" s="149"/>
      <c r="AP34" s="116">
        <f t="shared" si="34"/>
        <v>0</v>
      </c>
      <c r="AQ34" s="150"/>
      <c r="AR34" s="151"/>
      <c r="AS34" s="152"/>
      <c r="AT34" s="151"/>
      <c r="AU34" s="153"/>
      <c r="AV34" s="55">
        <f t="shared" si="35"/>
        <v>46231</v>
      </c>
      <c r="AW34" s="109" t="e">
        <f t="shared" si="66"/>
        <v>#DIV/0!</v>
      </c>
      <c r="AX34" s="109" t="e">
        <f t="shared" si="67"/>
        <v>#DIV/0!</v>
      </c>
      <c r="AY34" s="110">
        <f t="shared" si="44"/>
        <v>0</v>
      </c>
      <c r="AZ34" s="111"/>
      <c r="BA34" s="119">
        <f t="shared" si="38"/>
        <v>0</v>
      </c>
      <c r="BB34" s="112"/>
      <c r="BC34" s="111"/>
      <c r="BD34" s="113"/>
      <c r="BE34" s="114"/>
      <c r="BF34" s="113"/>
      <c r="BG34" s="114"/>
      <c r="BH34" s="113"/>
      <c r="BI34" s="55">
        <f t="shared" si="39"/>
        <v>46231</v>
      </c>
      <c r="BJ34" s="77" t="e">
        <f t="shared" si="68"/>
        <v>#DIV/0!</v>
      </c>
      <c r="BK34" s="75" t="e">
        <f t="shared" si="69"/>
        <v>#DIV/0!</v>
      </c>
      <c r="BL34" s="78">
        <f t="shared" si="70"/>
        <v>0</v>
      </c>
      <c r="BM34" s="154"/>
      <c r="BN34" s="154"/>
      <c r="BO34" s="155"/>
      <c r="BP34" s="156"/>
      <c r="BQ34" s="157"/>
      <c r="BR34" s="156"/>
    </row>
    <row r="35" spans="1:70" ht="15.75" thickBot="1" x14ac:dyDescent="0.3">
      <c r="A35" s="14"/>
      <c r="B35" s="55">
        <f t="shared" si="26"/>
        <v>46232</v>
      </c>
      <c r="C35" s="163"/>
      <c r="D35" s="86">
        <f t="shared" si="0"/>
        <v>0</v>
      </c>
      <c r="E35" s="158" t="e">
        <f t="shared" si="1"/>
        <v>#DIV/0!</v>
      </c>
      <c r="F35" s="86">
        <f t="shared" si="2"/>
        <v>0</v>
      </c>
      <c r="G35" s="158" t="e">
        <f t="shared" si="3"/>
        <v>#DIV/0!</v>
      </c>
      <c r="H35" s="145">
        <f t="shared" si="4"/>
        <v>0</v>
      </c>
      <c r="I35" s="159" t="e">
        <f t="shared" si="5"/>
        <v>#DIV/0!</v>
      </c>
      <c r="J35" s="158" t="e">
        <f t="shared" si="6"/>
        <v>#DIV/0!</v>
      </c>
      <c r="K35" s="158" t="e">
        <f t="shared" si="7"/>
        <v>#DIV/0!</v>
      </c>
      <c r="L35" s="160" t="e">
        <f t="shared" si="8"/>
        <v>#DIV/0!</v>
      </c>
      <c r="M35" s="145" t="e">
        <f t="shared" si="22"/>
        <v>#DIV/0!</v>
      </c>
      <c r="N35" s="145" t="e">
        <f t="shared" si="23"/>
        <v>#DIV/0!</v>
      </c>
      <c r="O35" s="145" t="e">
        <f t="shared" si="24"/>
        <v>#DIV/0!</v>
      </c>
      <c r="P35" s="145" t="e">
        <f t="shared" si="25"/>
        <v>#DIV/0!</v>
      </c>
      <c r="Q35" s="55">
        <f t="shared" si="27"/>
        <v>46232</v>
      </c>
      <c r="R35" s="138"/>
      <c r="S35" s="139"/>
      <c r="T35" s="139"/>
      <c r="U35" s="139"/>
      <c r="V35" s="140"/>
      <c r="W35" s="141"/>
      <c r="X35" s="140"/>
      <c r="Y35" s="141"/>
      <c r="Z35" s="140"/>
      <c r="AA35" s="141"/>
      <c r="AB35" s="55">
        <f t="shared" si="28"/>
        <v>46232</v>
      </c>
      <c r="AC35" s="75" t="e">
        <f t="shared" ref="AC35" si="72">+AF35/AE35</f>
        <v>#DIV/0!</v>
      </c>
      <c r="AD35" s="161" t="e">
        <f t="shared" ref="AD35" si="73">+AG35/AE35</f>
        <v>#DIV/0!</v>
      </c>
      <c r="AE35" s="162"/>
      <c r="AF35" s="117">
        <f t="shared" ref="AF35" si="74">AE35-AG35</f>
        <v>0</v>
      </c>
      <c r="AG35" s="146"/>
      <c r="AH35" s="147"/>
      <c r="AI35" s="148"/>
      <c r="AJ35" s="147"/>
      <c r="AK35" s="164"/>
      <c r="AL35" s="55">
        <f t="shared" si="31"/>
        <v>46232</v>
      </c>
      <c r="AM35" s="76" t="e">
        <f t="shared" ref="AM35" si="75">+AP35/AO35</f>
        <v>#DIV/0!</v>
      </c>
      <c r="AN35" s="75" t="e">
        <f t="shared" ref="AN35" si="76">+AQ35/AO35</f>
        <v>#DIV/0!</v>
      </c>
      <c r="AO35" s="149"/>
      <c r="AP35" s="116">
        <f t="shared" ref="AP35" si="77">AO35-AQ35</f>
        <v>0</v>
      </c>
      <c r="AQ35" s="150"/>
      <c r="AR35" s="151"/>
      <c r="AS35" s="152"/>
      <c r="AT35" s="151"/>
      <c r="AU35" s="153"/>
      <c r="AV35" s="55">
        <f t="shared" si="35"/>
        <v>46232</v>
      </c>
      <c r="AW35" s="109" t="e">
        <f t="shared" ref="AW35" si="78">BA35/AZ35</f>
        <v>#DIV/0!</v>
      </c>
      <c r="AX35" s="109" t="e">
        <f t="shared" ref="AX35" si="79">BB35/AZ35</f>
        <v>#DIV/0!</v>
      </c>
      <c r="AY35" s="110">
        <f t="shared" ref="AY35" si="80">BA35+BB35</f>
        <v>0</v>
      </c>
      <c r="AZ35" s="111"/>
      <c r="BA35" s="119">
        <f t="shared" ref="BA35" si="81">AZ35-BB35</f>
        <v>0</v>
      </c>
      <c r="BB35" s="112"/>
      <c r="BC35" s="111"/>
      <c r="BD35" s="113"/>
      <c r="BE35" s="114"/>
      <c r="BF35" s="113"/>
      <c r="BG35" s="114"/>
      <c r="BH35" s="113"/>
      <c r="BI35" s="55">
        <f t="shared" si="39"/>
        <v>46232</v>
      </c>
      <c r="BJ35" s="77" t="e">
        <f t="shared" ref="BJ35" si="82">+BM35/BL35</f>
        <v>#DIV/0!</v>
      </c>
      <c r="BK35" s="75" t="e">
        <f t="shared" ref="BK35" si="83">+BN35/BL35</f>
        <v>#DIV/0!</v>
      </c>
      <c r="BL35" s="78">
        <f t="shared" ref="BL35" si="84">BM35+BN35</f>
        <v>0</v>
      </c>
      <c r="BM35" s="154"/>
      <c r="BN35" s="154"/>
      <c r="BO35" s="155"/>
      <c r="BP35" s="156"/>
      <c r="BQ35" s="157"/>
      <c r="BR35" s="156"/>
    </row>
    <row r="36" spans="1:70" ht="15.75" thickBot="1" x14ac:dyDescent="0.3">
      <c r="A36" s="14"/>
      <c r="B36" s="55" cm="1">
        <f t="array" aca="1" ref="B36" ca="1">B36:BL39=B35+1</f>
        <v>0</v>
      </c>
      <c r="C36" s="163"/>
      <c r="D36" s="86">
        <f>R36+S36</f>
        <v>0</v>
      </c>
      <c r="E36" s="158" t="e">
        <f t="shared" ref="E36:E37" si="85">F36/D36</f>
        <v>#DIV/0!</v>
      </c>
      <c r="F36" s="86">
        <f t="shared" ref="F36:F37" si="86">D36-H36</f>
        <v>0</v>
      </c>
      <c r="G36" s="158" t="e">
        <f t="shared" si="3"/>
        <v>#DIV/0!</v>
      </c>
      <c r="H36" s="145">
        <f t="shared" si="4"/>
        <v>0</v>
      </c>
      <c r="I36" s="159" t="e">
        <f t="shared" si="5"/>
        <v>#DIV/0!</v>
      </c>
      <c r="J36" s="158" t="e">
        <f t="shared" si="6"/>
        <v>#DIV/0!</v>
      </c>
      <c r="K36" s="158" t="e">
        <f t="shared" si="7"/>
        <v>#DIV/0!</v>
      </c>
      <c r="L36" s="160" t="e">
        <f t="shared" si="8"/>
        <v>#DIV/0!</v>
      </c>
      <c r="M36" s="145" t="e">
        <f>(S36+R36)*I36</f>
        <v>#DIV/0!</v>
      </c>
      <c r="N36" s="145" t="e">
        <f>(S36+R36)*J36</f>
        <v>#DIV/0!</v>
      </c>
      <c r="O36" s="145" t="e">
        <f>(S36+R36)*K36</f>
        <v>#DIV/0!</v>
      </c>
      <c r="P36" s="145" t="e">
        <f>(S36+R36)*L36</f>
        <v>#DIV/0!</v>
      </c>
      <c r="Q36" s="55">
        <f t="shared" si="27"/>
        <v>46233</v>
      </c>
      <c r="R36" s="139"/>
      <c r="S36" s="139"/>
      <c r="T36" s="139"/>
      <c r="U36" s="139"/>
      <c r="V36" s="140"/>
      <c r="W36" s="141"/>
      <c r="X36" s="140"/>
      <c r="Y36" s="141"/>
      <c r="Z36" s="140"/>
      <c r="AA36" s="141"/>
      <c r="AB36" s="55">
        <f t="shared" si="28"/>
        <v>46233</v>
      </c>
      <c r="AC36" s="75" t="e">
        <f t="shared" si="62"/>
        <v>#DIV/0!</v>
      </c>
      <c r="AD36" s="161" t="e">
        <f t="shared" si="63"/>
        <v>#DIV/0!</v>
      </c>
      <c r="AE36" s="162"/>
      <c r="AF36" s="117">
        <f t="shared" si="43"/>
        <v>0</v>
      </c>
      <c r="AG36" s="146"/>
      <c r="AH36" s="147"/>
      <c r="AI36" s="148"/>
      <c r="AJ36" s="147"/>
      <c r="AK36" s="164"/>
      <c r="AL36" s="55">
        <f t="shared" si="31"/>
        <v>46233</v>
      </c>
      <c r="AM36" s="76" t="e">
        <f t="shared" si="64"/>
        <v>#DIV/0!</v>
      </c>
      <c r="AN36" s="75" t="e">
        <f t="shared" si="65"/>
        <v>#DIV/0!</v>
      </c>
      <c r="AO36" s="149"/>
      <c r="AP36" s="116">
        <f t="shared" si="34"/>
        <v>0</v>
      </c>
      <c r="AQ36" s="150"/>
      <c r="AR36" s="151"/>
      <c r="AS36" s="152"/>
      <c r="AT36" s="151"/>
      <c r="AU36" s="153"/>
      <c r="AV36" s="55">
        <f t="shared" si="35"/>
        <v>46233</v>
      </c>
      <c r="AW36" s="109" t="e">
        <f t="shared" si="66"/>
        <v>#DIV/0!</v>
      </c>
      <c r="AX36" s="109" t="e">
        <f t="shared" si="67"/>
        <v>#DIV/0!</v>
      </c>
      <c r="AY36" s="110">
        <f t="shared" si="44"/>
        <v>0</v>
      </c>
      <c r="AZ36" s="111"/>
      <c r="BA36" s="119">
        <f t="shared" si="38"/>
        <v>0</v>
      </c>
      <c r="BB36" s="112"/>
      <c r="BC36" s="111"/>
      <c r="BD36" s="113"/>
      <c r="BE36" s="114"/>
      <c r="BF36" s="113"/>
      <c r="BG36" s="114"/>
      <c r="BH36" s="113"/>
      <c r="BI36" s="55">
        <f t="shared" si="39"/>
        <v>46233</v>
      </c>
      <c r="BJ36" s="77" t="e">
        <f t="shared" si="68"/>
        <v>#DIV/0!</v>
      </c>
      <c r="BK36" s="75" t="e">
        <f t="shared" si="69"/>
        <v>#DIV/0!</v>
      </c>
      <c r="BL36" s="78">
        <f t="shared" si="70"/>
        <v>0</v>
      </c>
      <c r="BM36" s="154"/>
      <c r="BN36" s="154"/>
      <c r="BO36" s="155"/>
      <c r="BP36" s="156"/>
      <c r="BQ36" s="157"/>
      <c r="BR36" s="156"/>
    </row>
    <row r="37" spans="1:70" ht="15.75" thickBot="1" x14ac:dyDescent="0.3">
      <c r="B37" s="55">
        <f t="shared" ca="1" si="26"/>
        <v>46204</v>
      </c>
      <c r="D37" s="86">
        <f t="shared" ref="D37" si="87">R37+S37</f>
        <v>0</v>
      </c>
      <c r="E37" s="158" t="e">
        <f t="shared" si="85"/>
        <v>#DIV/0!</v>
      </c>
      <c r="F37" s="86">
        <f t="shared" si="86"/>
        <v>0</v>
      </c>
      <c r="G37" s="158" t="e">
        <f t="shared" si="3"/>
        <v>#DIV/0!</v>
      </c>
      <c r="H37" s="145">
        <f t="shared" si="4"/>
        <v>0</v>
      </c>
      <c r="I37" s="159" t="e">
        <f t="shared" si="5"/>
        <v>#DIV/0!</v>
      </c>
      <c r="J37" s="158" t="e">
        <f t="shared" si="6"/>
        <v>#DIV/0!</v>
      </c>
      <c r="K37" s="158" t="e">
        <f t="shared" si="7"/>
        <v>#DIV/0!</v>
      </c>
      <c r="L37" s="160" t="e">
        <f t="shared" si="8"/>
        <v>#DIV/0!</v>
      </c>
      <c r="M37" s="145" t="e">
        <f t="shared" si="22"/>
        <v>#DIV/0!</v>
      </c>
      <c r="N37" s="145" t="e">
        <f t="shared" si="23"/>
        <v>#DIV/0!</v>
      </c>
      <c r="O37" s="145" t="e">
        <f t="shared" si="24"/>
        <v>#DIV/0!</v>
      </c>
      <c r="P37" s="145" t="e">
        <f t="shared" si="25"/>
        <v>#DIV/0!</v>
      </c>
      <c r="Q37" s="55">
        <f t="shared" si="27"/>
        <v>46234</v>
      </c>
      <c r="R37" s="138"/>
      <c r="S37" s="139"/>
      <c r="T37" s="139"/>
      <c r="U37" s="139"/>
      <c r="V37" s="140"/>
      <c r="W37" s="141"/>
      <c r="X37" s="140"/>
      <c r="Y37" s="141"/>
      <c r="Z37" s="140"/>
      <c r="AA37" s="141"/>
      <c r="AB37" s="55">
        <f t="shared" si="28"/>
        <v>46234</v>
      </c>
      <c r="AC37" s="75" t="e">
        <f t="shared" ref="AC37" si="88">+AF37/AE37</f>
        <v>#DIV/0!</v>
      </c>
      <c r="AD37" s="161" t="e">
        <f t="shared" ref="AD37" si="89">+AG37/AE37</f>
        <v>#DIV/0!</v>
      </c>
      <c r="AE37" s="162"/>
      <c r="AF37" s="117">
        <f t="shared" si="43"/>
        <v>0</v>
      </c>
      <c r="AG37" s="146"/>
      <c r="AH37" s="147"/>
      <c r="AI37" s="148"/>
      <c r="AJ37" s="147"/>
      <c r="AK37" s="164"/>
      <c r="AL37" s="55">
        <f t="shared" si="31"/>
        <v>46234</v>
      </c>
      <c r="AM37" s="76" t="e">
        <f t="shared" ref="AM37" si="90">+AP37/AO37</f>
        <v>#DIV/0!</v>
      </c>
      <c r="AN37" s="75" t="e">
        <f t="shared" ref="AN37" si="91">+AQ37/AO37</f>
        <v>#DIV/0!</v>
      </c>
      <c r="AO37" s="149"/>
      <c r="AP37" s="116">
        <f t="shared" ref="AP37" si="92">AO37-AQ37</f>
        <v>0</v>
      </c>
      <c r="AQ37" s="150"/>
      <c r="AR37" s="151"/>
      <c r="AS37" s="152"/>
      <c r="AT37" s="151"/>
      <c r="AU37" s="153"/>
      <c r="AV37" s="55">
        <f t="shared" si="35"/>
        <v>46234</v>
      </c>
      <c r="AW37" s="109" t="e">
        <f t="shared" ref="AW37" si="93">BA37/AZ37</f>
        <v>#DIV/0!</v>
      </c>
      <c r="AX37" s="109" t="e">
        <f t="shared" ref="AX37" si="94">BB37/AZ37</f>
        <v>#DIV/0!</v>
      </c>
      <c r="AY37" s="110">
        <f t="shared" si="44"/>
        <v>0</v>
      </c>
      <c r="AZ37" s="111"/>
      <c r="BA37" s="119">
        <f t="shared" si="38"/>
        <v>0</v>
      </c>
      <c r="BB37" s="112"/>
      <c r="BC37" s="111"/>
      <c r="BD37" s="113"/>
      <c r="BE37" s="114"/>
      <c r="BF37" s="113"/>
      <c r="BG37" s="114"/>
      <c r="BH37" s="113"/>
      <c r="BI37" s="55">
        <f t="shared" si="39"/>
        <v>46234</v>
      </c>
      <c r="BJ37" s="77" t="e">
        <f t="shared" ref="BJ37" si="95">+BM37/BL37</f>
        <v>#DIV/0!</v>
      </c>
      <c r="BK37" s="75" t="e">
        <f t="shared" ref="BK37" si="96">+BN37/BL37</f>
        <v>#DIV/0!</v>
      </c>
      <c r="BL37" s="78">
        <f t="shared" ref="BL37" si="97">BM37+BN37</f>
        <v>0</v>
      </c>
      <c r="BM37" s="154"/>
      <c r="BN37" s="154"/>
      <c r="BO37" s="155"/>
      <c r="BP37" s="156"/>
      <c r="BQ37" s="157"/>
      <c r="BR37" s="156"/>
    </row>
    <row r="38" spans="1:70" ht="15.75" thickBot="1" x14ac:dyDescent="0.3">
      <c r="R38" s="174" t="e">
        <f>#REF!-S39</f>
        <v>#REF!</v>
      </c>
      <c r="AF38" s="117">
        <f t="shared" si="43"/>
        <v>0</v>
      </c>
      <c r="AY38" s="110">
        <f t="shared" si="44"/>
        <v>0</v>
      </c>
      <c r="BA38" s="119">
        <f t="shared" si="38"/>
        <v>0</v>
      </c>
    </row>
    <row r="39" spans="1:70" ht="15.75" thickBot="1" x14ac:dyDescent="0.3">
      <c r="S39" s="175" t="e">
        <f>#REF!-R36</f>
        <v>#REF!</v>
      </c>
      <c r="T39" s="175"/>
      <c r="U39" s="174"/>
      <c r="AF39" s="117">
        <f t="shared" si="43"/>
        <v>0</v>
      </c>
      <c r="AY39" s="110">
        <f t="shared" si="44"/>
        <v>0</v>
      </c>
      <c r="BA39" s="119">
        <f t="shared" si="38"/>
        <v>0</v>
      </c>
    </row>
    <row r="41" spans="1:70" x14ac:dyDescent="0.25">
      <c r="S41" s="175"/>
      <c r="T41" s="174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view="pageBreakPreview" topLeftCell="A15" zoomScale="115" zoomScaleNormal="100" zoomScaleSheetLayoutView="115" workbookViewId="0">
      <selection activeCell="K36" sqref="K36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33" t="s">
        <v>0</v>
      </c>
      <c r="D2" s="236" t="s">
        <v>37</v>
      </c>
      <c r="E2" s="237"/>
      <c r="F2" s="237"/>
      <c r="G2" s="237"/>
      <c r="H2" s="238"/>
      <c r="J2" s="236" t="s">
        <v>38</v>
      </c>
      <c r="K2" s="237"/>
      <c r="L2" s="238"/>
      <c r="N2" s="236" t="s">
        <v>39</v>
      </c>
      <c r="O2" s="237"/>
      <c r="P2" s="237"/>
      <c r="Q2" s="237"/>
      <c r="R2" s="237"/>
      <c r="S2" s="237"/>
      <c r="T2" s="238"/>
      <c r="V2" s="242" t="s">
        <v>40</v>
      </c>
      <c r="W2" s="243"/>
      <c r="X2" s="244"/>
    </row>
    <row r="3" spans="2:27" ht="15.75" thickBot="1" x14ac:dyDescent="0.3">
      <c r="B3" s="234"/>
      <c r="D3" s="239"/>
      <c r="E3" s="240"/>
      <c r="F3" s="240"/>
      <c r="G3" s="240"/>
      <c r="H3" s="241"/>
      <c r="J3" s="239"/>
      <c r="K3" s="240"/>
      <c r="L3" s="241"/>
      <c r="N3" s="239"/>
      <c r="O3" s="240"/>
      <c r="P3" s="240"/>
      <c r="Q3" s="240"/>
      <c r="R3" s="240"/>
      <c r="S3" s="240"/>
      <c r="T3" s="241"/>
      <c r="V3" s="245"/>
      <c r="W3" s="246"/>
      <c r="X3" s="247"/>
    </row>
    <row r="4" spans="2:27" ht="23.25" customHeight="1" x14ac:dyDescent="0.25">
      <c r="B4" s="234"/>
      <c r="D4" s="248" t="s">
        <v>41</v>
      </c>
      <c r="E4" s="249"/>
      <c r="F4" s="248" t="s">
        <v>42</v>
      </c>
      <c r="G4" s="250"/>
      <c r="H4" s="251"/>
      <c r="J4" s="248" t="s">
        <v>41</v>
      </c>
      <c r="K4" s="249"/>
      <c r="L4" s="16" t="s">
        <v>42</v>
      </c>
      <c r="N4" s="231" t="s">
        <v>41</v>
      </c>
      <c r="O4" s="252"/>
      <c r="P4" s="253"/>
      <c r="Q4" s="254"/>
      <c r="R4" s="248" t="s">
        <v>42</v>
      </c>
      <c r="S4" s="255"/>
      <c r="T4" s="251"/>
      <c r="V4" s="231" t="s">
        <v>41</v>
      </c>
      <c r="W4" s="232"/>
      <c r="X4" s="16" t="s">
        <v>42</v>
      </c>
    </row>
    <row r="5" spans="2:27" ht="23.25" thickBot="1" x14ac:dyDescent="0.3">
      <c r="B5" s="235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6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89">
        <v>46203</v>
      </c>
      <c r="C14" s="13"/>
      <c r="D14" s="184">
        <v>131.57</v>
      </c>
      <c r="E14" s="88">
        <v>0.34375</v>
      </c>
      <c r="F14" s="87">
        <v>1468.22</v>
      </c>
      <c r="G14" s="92">
        <f t="shared" ref="G14:G15" si="0">F14-H14</f>
        <v>965.96</v>
      </c>
      <c r="H14" s="87">
        <v>502.26</v>
      </c>
      <c r="I14" s="89">
        <v>46203</v>
      </c>
      <c r="J14" s="90">
        <v>35.74</v>
      </c>
      <c r="K14" s="88">
        <v>9.375E-2</v>
      </c>
      <c r="L14" s="87">
        <v>667.4</v>
      </c>
      <c r="M14" s="89">
        <v>46203</v>
      </c>
      <c r="N14" s="90">
        <v>20.89</v>
      </c>
      <c r="O14" s="88">
        <v>0.625</v>
      </c>
      <c r="P14" s="90">
        <v>10.96</v>
      </c>
      <c r="Q14" s="88">
        <v>0.53125</v>
      </c>
      <c r="R14" s="185">
        <f t="shared" ref="R14:R15" si="1">S14+T14</f>
        <v>518.56000000000006</v>
      </c>
      <c r="S14" s="87">
        <v>331.79</v>
      </c>
      <c r="T14" s="87">
        <v>186.77</v>
      </c>
      <c r="U14" s="89">
        <v>46203</v>
      </c>
      <c r="V14" s="90">
        <v>31.87</v>
      </c>
      <c r="W14" s="88">
        <v>0.45833333333333331</v>
      </c>
      <c r="X14" s="87">
        <v>566.37</v>
      </c>
    </row>
    <row r="15" spans="2:27" s="52" customFormat="1" ht="15.75" thickBot="1" x14ac:dyDescent="0.3">
      <c r="B15" s="89">
        <v>46204</v>
      </c>
      <c r="C15" s="13"/>
      <c r="D15" s="184">
        <v>128</v>
      </c>
      <c r="E15" s="183">
        <v>0.375</v>
      </c>
      <c r="F15" s="182">
        <v>1395</v>
      </c>
      <c r="G15" s="92">
        <f t="shared" si="0"/>
        <v>900</v>
      </c>
      <c r="H15" s="182">
        <v>495</v>
      </c>
      <c r="I15" s="89">
        <v>46204</v>
      </c>
      <c r="J15" s="184">
        <v>36</v>
      </c>
      <c r="K15" s="183">
        <v>0.33333333333333331</v>
      </c>
      <c r="L15" s="182">
        <v>653</v>
      </c>
      <c r="M15" s="89">
        <v>46204</v>
      </c>
      <c r="N15" s="184">
        <v>21</v>
      </c>
      <c r="O15" s="183">
        <v>0.70833333333333337</v>
      </c>
      <c r="P15" s="184">
        <v>12</v>
      </c>
      <c r="Q15" s="183">
        <v>0.72916666666666663</v>
      </c>
      <c r="R15" s="185">
        <f t="shared" si="1"/>
        <v>523</v>
      </c>
      <c r="S15" s="182">
        <v>331</v>
      </c>
      <c r="T15" s="182">
        <v>192</v>
      </c>
      <c r="U15" s="89">
        <v>46204</v>
      </c>
      <c r="V15" s="184">
        <v>30</v>
      </c>
      <c r="W15" s="183">
        <v>0.72916666666666663</v>
      </c>
      <c r="X15" s="182">
        <v>568</v>
      </c>
    </row>
    <row r="16" spans="2:27" s="52" customFormat="1" ht="15.75" thickBot="1" x14ac:dyDescent="0.3">
      <c r="B16" s="89">
        <f t="shared" ref="B16:B45" si="2">B15+1</f>
        <v>46205</v>
      </c>
      <c r="C16" s="13"/>
      <c r="D16" s="50">
        <v>127</v>
      </c>
      <c r="E16" s="11">
        <v>0.45833333333333331</v>
      </c>
      <c r="F16" s="10">
        <v>1390</v>
      </c>
      <c r="G16" s="92">
        <f t="shared" ref="G16:G45" si="3">F16-H16</f>
        <v>900</v>
      </c>
      <c r="H16" s="10">
        <v>490</v>
      </c>
      <c r="I16" s="89">
        <f t="shared" ref="I16:I45" si="4">I15+1</f>
        <v>46205</v>
      </c>
      <c r="J16" s="50">
        <v>36</v>
      </c>
      <c r="K16" s="54">
        <v>0.39583333333333331</v>
      </c>
      <c r="L16" s="53">
        <v>652</v>
      </c>
      <c r="M16" s="89">
        <f t="shared" ref="M16:M44" si="5">B16</f>
        <v>46205</v>
      </c>
      <c r="N16" s="50">
        <v>21</v>
      </c>
      <c r="O16" s="11">
        <v>0.77083333333333337</v>
      </c>
      <c r="P16" s="50">
        <v>12</v>
      </c>
      <c r="Q16" s="11">
        <v>0.70833333333333337</v>
      </c>
      <c r="R16" s="91">
        <f t="shared" ref="R16:R20" si="6">S16+T16</f>
        <v>517</v>
      </c>
      <c r="S16" s="10">
        <v>330</v>
      </c>
      <c r="T16" s="10">
        <v>187</v>
      </c>
      <c r="U16" s="89">
        <v>46175</v>
      </c>
      <c r="V16" s="50">
        <v>30</v>
      </c>
      <c r="W16" s="11">
        <v>0.79166666666666663</v>
      </c>
      <c r="X16" s="10">
        <v>566</v>
      </c>
    </row>
    <row r="17" spans="2:24" ht="15.75" thickBot="1" x14ac:dyDescent="0.3">
      <c r="B17" s="89">
        <f t="shared" si="2"/>
        <v>46206</v>
      </c>
      <c r="D17" s="50">
        <v>128</v>
      </c>
      <c r="E17" s="54">
        <v>0.39583333333333331</v>
      </c>
      <c r="F17" s="53">
        <v>1420</v>
      </c>
      <c r="G17" s="92">
        <f t="shared" si="3"/>
        <v>919</v>
      </c>
      <c r="H17" s="53">
        <v>501</v>
      </c>
      <c r="I17" s="89">
        <f t="shared" si="4"/>
        <v>46206</v>
      </c>
      <c r="J17" s="50">
        <v>35</v>
      </c>
      <c r="K17" s="54">
        <v>0.36458333333333331</v>
      </c>
      <c r="L17" s="53">
        <v>660</v>
      </c>
      <c r="M17" s="89">
        <f t="shared" si="5"/>
        <v>46206</v>
      </c>
      <c r="N17" s="50">
        <v>20</v>
      </c>
      <c r="O17" s="54">
        <v>0.6875</v>
      </c>
      <c r="P17" s="50">
        <v>11</v>
      </c>
      <c r="Q17" s="54">
        <v>0.75</v>
      </c>
      <c r="R17" s="91">
        <f t="shared" si="6"/>
        <v>520</v>
      </c>
      <c r="S17" s="53">
        <v>331</v>
      </c>
      <c r="T17" s="53">
        <v>189</v>
      </c>
      <c r="U17" s="89">
        <v>46176</v>
      </c>
      <c r="V17" s="50">
        <v>30</v>
      </c>
      <c r="W17" s="54">
        <v>0.72916666666666663</v>
      </c>
      <c r="X17" s="53">
        <v>567</v>
      </c>
    </row>
    <row r="18" spans="2:24" ht="15.75" thickBot="1" x14ac:dyDescent="0.3">
      <c r="B18" s="89">
        <f t="shared" si="2"/>
        <v>46207</v>
      </c>
      <c r="D18" s="50">
        <v>73</v>
      </c>
      <c r="E18" s="54">
        <v>0.34375</v>
      </c>
      <c r="F18" s="53">
        <v>897</v>
      </c>
      <c r="G18" s="92">
        <f t="shared" si="3"/>
        <v>405</v>
      </c>
      <c r="H18" s="53">
        <v>492</v>
      </c>
      <c r="I18" s="89">
        <f t="shared" si="4"/>
        <v>46207</v>
      </c>
      <c r="J18" s="50">
        <v>37</v>
      </c>
      <c r="K18" s="54">
        <v>0.35416666666666669</v>
      </c>
      <c r="L18" s="53">
        <v>687</v>
      </c>
      <c r="M18" s="89">
        <f t="shared" si="5"/>
        <v>46207</v>
      </c>
      <c r="N18" s="50">
        <v>21</v>
      </c>
      <c r="O18" s="54">
        <v>0.46875</v>
      </c>
      <c r="P18" s="50">
        <v>10</v>
      </c>
      <c r="Q18" s="54">
        <v>0.39583333333333331</v>
      </c>
      <c r="R18" s="51">
        <f t="shared" si="6"/>
        <v>499</v>
      </c>
      <c r="S18" s="53">
        <v>319</v>
      </c>
      <c r="T18" s="53">
        <v>180</v>
      </c>
      <c r="U18" s="89">
        <v>46177</v>
      </c>
      <c r="V18" s="50">
        <v>30</v>
      </c>
      <c r="W18" s="54">
        <v>0.625</v>
      </c>
      <c r="X18" s="53">
        <v>519</v>
      </c>
    </row>
    <row r="19" spans="2:24" ht="15.75" thickBot="1" x14ac:dyDescent="0.3">
      <c r="B19" s="89">
        <f t="shared" si="2"/>
        <v>46208</v>
      </c>
      <c r="D19" s="90">
        <v>67</v>
      </c>
      <c r="E19" s="88">
        <v>5.2083333333333336E-2</v>
      </c>
      <c r="F19" s="87">
        <v>807</v>
      </c>
      <c r="G19" s="92">
        <f t="shared" si="3"/>
        <v>339</v>
      </c>
      <c r="H19" s="87">
        <v>468</v>
      </c>
      <c r="I19" s="89">
        <f t="shared" si="4"/>
        <v>46208</v>
      </c>
      <c r="J19" s="90">
        <v>34</v>
      </c>
      <c r="K19" s="88">
        <v>7.2916666666666671E-2</v>
      </c>
      <c r="L19" s="87">
        <v>647</v>
      </c>
      <c r="M19" s="89">
        <f t="shared" si="5"/>
        <v>46208</v>
      </c>
      <c r="N19" s="90">
        <v>22</v>
      </c>
      <c r="O19" s="88">
        <v>0.875</v>
      </c>
      <c r="P19" s="90">
        <v>10</v>
      </c>
      <c r="Q19" s="88">
        <v>0.66666666666666663</v>
      </c>
      <c r="R19" s="91">
        <f t="shared" si="6"/>
        <v>501</v>
      </c>
      <c r="S19" s="87">
        <v>316</v>
      </c>
      <c r="T19" s="87">
        <v>185</v>
      </c>
      <c r="U19" s="89">
        <v>46178</v>
      </c>
      <c r="V19" s="90">
        <v>29</v>
      </c>
      <c r="W19" s="88">
        <v>0.97916666666666663</v>
      </c>
      <c r="X19" s="87">
        <v>481</v>
      </c>
    </row>
    <row r="20" spans="2:24" ht="15.75" thickBot="1" x14ac:dyDescent="0.3">
      <c r="B20" s="89">
        <f t="shared" si="2"/>
        <v>46209</v>
      </c>
      <c r="D20" s="170">
        <v>149</v>
      </c>
      <c r="E20" s="171">
        <v>0.48958333333333331</v>
      </c>
      <c r="F20" s="172">
        <v>1514</v>
      </c>
      <c r="G20" s="92">
        <f t="shared" si="3"/>
        <v>982</v>
      </c>
      <c r="H20" s="172">
        <v>532</v>
      </c>
      <c r="I20" s="89">
        <f t="shared" si="4"/>
        <v>46209</v>
      </c>
      <c r="J20" s="170">
        <v>34</v>
      </c>
      <c r="K20" s="171">
        <v>0.41666666666666669</v>
      </c>
      <c r="L20" s="172">
        <v>685</v>
      </c>
      <c r="M20" s="89">
        <f t="shared" si="5"/>
        <v>46209</v>
      </c>
      <c r="N20" s="170">
        <v>24</v>
      </c>
      <c r="O20" s="171">
        <v>0.60416666666666663</v>
      </c>
      <c r="P20" s="170">
        <v>12</v>
      </c>
      <c r="Q20" s="171">
        <v>0.35416666666666669</v>
      </c>
      <c r="R20" s="91">
        <f t="shared" si="6"/>
        <v>520</v>
      </c>
      <c r="S20" s="172">
        <v>326</v>
      </c>
      <c r="T20" s="172">
        <v>194</v>
      </c>
      <c r="U20" s="89">
        <v>46179</v>
      </c>
      <c r="V20" s="170">
        <v>29</v>
      </c>
      <c r="W20" s="171">
        <v>0.11458333333333333</v>
      </c>
      <c r="X20" s="172">
        <v>508</v>
      </c>
    </row>
    <row r="21" spans="2:24" s="194" customFormat="1" ht="15.75" thickBot="1" x14ac:dyDescent="0.3">
      <c r="B21" s="186">
        <f t="shared" si="2"/>
        <v>46210</v>
      </c>
      <c r="C21" s="187"/>
      <c r="D21" s="188">
        <v>148</v>
      </c>
      <c r="E21" s="189">
        <v>0.40625</v>
      </c>
      <c r="F21" s="190">
        <v>1456</v>
      </c>
      <c r="G21" s="190">
        <f t="shared" si="3"/>
        <v>942</v>
      </c>
      <c r="H21" s="190">
        <v>514</v>
      </c>
      <c r="I21" s="186">
        <f t="shared" si="4"/>
        <v>46210</v>
      </c>
      <c r="J21" s="191">
        <v>37</v>
      </c>
      <c r="K21" s="192">
        <v>0.80208333333333337</v>
      </c>
      <c r="L21" s="190">
        <v>697</v>
      </c>
      <c r="M21" s="186">
        <f t="shared" si="5"/>
        <v>46210</v>
      </c>
      <c r="N21" s="191">
        <v>22</v>
      </c>
      <c r="O21" s="192">
        <v>0.52083333333333337</v>
      </c>
      <c r="P21" s="191">
        <v>11</v>
      </c>
      <c r="Q21" s="192">
        <v>0.42708333333333331</v>
      </c>
      <c r="R21" s="193">
        <f t="shared" ref="R21:R31" si="7">S21+T21</f>
        <v>510</v>
      </c>
      <c r="S21" s="190">
        <v>336</v>
      </c>
      <c r="T21" s="190">
        <v>174</v>
      </c>
      <c r="U21" s="89">
        <v>46180</v>
      </c>
      <c r="V21" s="191">
        <v>28</v>
      </c>
      <c r="W21" s="192">
        <v>0.29166666666666669</v>
      </c>
      <c r="X21" s="190">
        <v>518</v>
      </c>
    </row>
    <row r="22" spans="2:24" ht="15.75" thickBot="1" x14ac:dyDescent="0.3">
      <c r="B22" s="89">
        <f t="shared" si="2"/>
        <v>46211</v>
      </c>
      <c r="D22" s="170">
        <v>127</v>
      </c>
      <c r="E22" s="88">
        <v>0.34375</v>
      </c>
      <c r="F22" s="87">
        <v>1438</v>
      </c>
      <c r="G22" s="92">
        <f t="shared" si="3"/>
        <v>959</v>
      </c>
      <c r="H22" s="87">
        <v>479</v>
      </c>
      <c r="I22" s="89">
        <f t="shared" si="4"/>
        <v>46211</v>
      </c>
      <c r="J22" s="90">
        <v>35</v>
      </c>
      <c r="K22" s="88">
        <v>0.375</v>
      </c>
      <c r="L22" s="87">
        <v>678</v>
      </c>
      <c r="M22" s="89">
        <f t="shared" si="5"/>
        <v>46211</v>
      </c>
      <c r="N22" s="90">
        <v>21</v>
      </c>
      <c r="O22" s="88">
        <v>0.76041666666666663</v>
      </c>
      <c r="P22" s="90">
        <v>10</v>
      </c>
      <c r="Q22" s="88">
        <v>0.375</v>
      </c>
      <c r="R22" s="91">
        <f t="shared" si="7"/>
        <v>510</v>
      </c>
      <c r="S22" s="87">
        <v>334</v>
      </c>
      <c r="T22" s="87">
        <v>176</v>
      </c>
      <c r="U22" s="89">
        <v>46181</v>
      </c>
      <c r="V22" s="90">
        <v>29</v>
      </c>
      <c r="W22" s="88">
        <v>0.75</v>
      </c>
      <c r="X22" s="87">
        <v>530</v>
      </c>
    </row>
    <row r="23" spans="2:24" ht="15.75" thickBot="1" x14ac:dyDescent="0.3">
      <c r="B23" s="89">
        <f t="shared" si="2"/>
        <v>46212</v>
      </c>
      <c r="D23" s="170">
        <v>98</v>
      </c>
      <c r="E23" s="88">
        <v>0.55208333333333337</v>
      </c>
      <c r="F23" s="87">
        <v>1367</v>
      </c>
      <c r="G23" s="92">
        <f t="shared" si="3"/>
        <v>898</v>
      </c>
      <c r="H23" s="87">
        <v>469</v>
      </c>
      <c r="I23" s="89">
        <f t="shared" si="4"/>
        <v>46212</v>
      </c>
      <c r="J23" s="90">
        <v>33</v>
      </c>
      <c r="K23" s="88">
        <v>0.38541666666666669</v>
      </c>
      <c r="L23" s="87">
        <v>685</v>
      </c>
      <c r="M23" s="89">
        <f t="shared" si="5"/>
        <v>46212</v>
      </c>
      <c r="N23" s="90">
        <v>24</v>
      </c>
      <c r="O23" s="88">
        <v>0.46875</v>
      </c>
      <c r="P23" s="90">
        <v>11</v>
      </c>
      <c r="Q23" s="88">
        <v>0.42708333333333331</v>
      </c>
      <c r="R23" s="91">
        <f t="shared" si="7"/>
        <v>504</v>
      </c>
      <c r="S23" s="87">
        <v>331</v>
      </c>
      <c r="T23" s="87">
        <v>173</v>
      </c>
      <c r="U23" s="89">
        <v>46182</v>
      </c>
      <c r="V23" s="90">
        <v>28</v>
      </c>
      <c r="W23" s="88">
        <v>0.89583333333333337</v>
      </c>
      <c r="X23" s="87">
        <v>522</v>
      </c>
    </row>
    <row r="24" spans="2:24" ht="15.75" thickBot="1" x14ac:dyDescent="0.3">
      <c r="B24" s="89">
        <f t="shared" si="2"/>
        <v>46213</v>
      </c>
      <c r="D24" s="170">
        <v>97.75</v>
      </c>
      <c r="E24" s="88">
        <v>0.54166666666666663</v>
      </c>
      <c r="F24" s="87">
        <v>1263.79</v>
      </c>
      <c r="G24" s="92">
        <f t="shared" si="3"/>
        <v>796.77</v>
      </c>
      <c r="H24" s="87">
        <v>467.02</v>
      </c>
      <c r="I24" s="89">
        <f t="shared" si="4"/>
        <v>46213</v>
      </c>
      <c r="J24" s="90">
        <v>36.29</v>
      </c>
      <c r="K24" s="88">
        <v>0.3125</v>
      </c>
      <c r="L24" s="87">
        <v>667.03</v>
      </c>
      <c r="M24" s="89">
        <f t="shared" si="5"/>
        <v>46213</v>
      </c>
      <c r="N24" s="90">
        <v>20.43</v>
      </c>
      <c r="O24" s="88">
        <v>0.52083333333333337</v>
      </c>
      <c r="P24" s="90">
        <v>9.75</v>
      </c>
      <c r="Q24" s="88">
        <v>0.45833333333333331</v>
      </c>
      <c r="R24" s="91">
        <f t="shared" si="7"/>
        <v>500.83000000000004</v>
      </c>
      <c r="S24" s="87">
        <v>332.12</v>
      </c>
      <c r="T24" s="87">
        <v>168.71</v>
      </c>
      <c r="U24" s="89">
        <v>46183</v>
      </c>
      <c r="V24" s="90">
        <v>27.88</v>
      </c>
      <c r="W24" s="88">
        <v>0.75</v>
      </c>
      <c r="X24" s="87">
        <v>534.91999999999996</v>
      </c>
    </row>
    <row r="25" spans="2:24" ht="15.75" thickBot="1" x14ac:dyDescent="0.3">
      <c r="B25" s="89">
        <f t="shared" si="2"/>
        <v>46214</v>
      </c>
      <c r="D25" s="170">
        <v>80.290000000000006</v>
      </c>
      <c r="E25" s="88">
        <v>0.47916666666666669</v>
      </c>
      <c r="F25" s="87">
        <v>987.94</v>
      </c>
      <c r="G25" s="92">
        <f t="shared" si="3"/>
        <v>576.03</v>
      </c>
      <c r="H25" s="87">
        <v>411.91</v>
      </c>
      <c r="I25" s="89">
        <f t="shared" si="4"/>
        <v>46214</v>
      </c>
      <c r="J25" s="90">
        <v>32.39</v>
      </c>
      <c r="K25" s="88">
        <v>0.80208333333333337</v>
      </c>
      <c r="L25" s="87">
        <v>635.17999999999995</v>
      </c>
      <c r="M25" s="89">
        <f t="shared" si="5"/>
        <v>46214</v>
      </c>
      <c r="N25" s="90">
        <v>14.86</v>
      </c>
      <c r="O25" s="88">
        <v>0.6875</v>
      </c>
      <c r="P25" s="90">
        <v>7.7</v>
      </c>
      <c r="Q25" s="88">
        <v>7.2916666666666671E-2</v>
      </c>
      <c r="R25" s="91">
        <f t="shared" si="7"/>
        <v>469.62</v>
      </c>
      <c r="S25" s="87">
        <v>317.74</v>
      </c>
      <c r="T25" s="87">
        <v>151.88</v>
      </c>
      <c r="U25" s="89">
        <v>46184</v>
      </c>
      <c r="V25" s="90">
        <v>27.99</v>
      </c>
      <c r="W25" s="88">
        <v>9.375E-2</v>
      </c>
      <c r="X25" s="87">
        <v>466.37</v>
      </c>
    </row>
    <row r="26" spans="2:24" ht="15.75" thickBot="1" x14ac:dyDescent="0.3">
      <c r="B26" s="89">
        <f t="shared" si="2"/>
        <v>46215</v>
      </c>
      <c r="D26" s="170">
        <v>79</v>
      </c>
      <c r="E26" s="88">
        <v>0.82291666666666663</v>
      </c>
      <c r="F26" s="87">
        <v>881</v>
      </c>
      <c r="G26" s="92">
        <f t="shared" si="3"/>
        <v>471</v>
      </c>
      <c r="H26" s="87">
        <v>410</v>
      </c>
      <c r="I26" s="89">
        <f t="shared" si="4"/>
        <v>46215</v>
      </c>
      <c r="J26" s="90">
        <v>33</v>
      </c>
      <c r="K26" s="88">
        <v>4.1666666666666664E-2</v>
      </c>
      <c r="L26" s="87">
        <v>645</v>
      </c>
      <c r="M26" s="89">
        <f t="shared" si="5"/>
        <v>46215</v>
      </c>
      <c r="N26" s="90">
        <v>22</v>
      </c>
      <c r="O26" s="88">
        <v>0.72916666666666663</v>
      </c>
      <c r="P26" s="90">
        <v>7</v>
      </c>
      <c r="Q26" s="88">
        <v>3.125E-2</v>
      </c>
      <c r="R26" s="91">
        <f t="shared" si="7"/>
        <v>455</v>
      </c>
      <c r="S26" s="87">
        <v>308</v>
      </c>
      <c r="T26" s="87">
        <v>147</v>
      </c>
      <c r="U26" s="89">
        <v>46185</v>
      </c>
      <c r="V26" s="90">
        <v>27</v>
      </c>
      <c r="W26" s="88">
        <v>0.11458333333333333</v>
      </c>
      <c r="X26" s="87">
        <v>519</v>
      </c>
    </row>
    <row r="27" spans="2:24" ht="15.75" thickBot="1" x14ac:dyDescent="0.3">
      <c r="B27" s="89">
        <f t="shared" si="2"/>
        <v>46216</v>
      </c>
      <c r="D27" s="170">
        <v>120</v>
      </c>
      <c r="E27" s="88">
        <v>0.54166666666666663</v>
      </c>
      <c r="F27" s="87">
        <v>1280</v>
      </c>
      <c r="G27" s="92">
        <f t="shared" si="3"/>
        <v>805</v>
      </c>
      <c r="H27" s="87">
        <v>475</v>
      </c>
      <c r="I27" s="89">
        <f t="shared" si="4"/>
        <v>46216</v>
      </c>
      <c r="J27" s="90">
        <v>34</v>
      </c>
      <c r="K27" s="88">
        <v>0.375</v>
      </c>
      <c r="L27" s="87">
        <v>670</v>
      </c>
      <c r="M27" s="89">
        <f t="shared" si="5"/>
        <v>46216</v>
      </c>
      <c r="N27" s="90">
        <v>22</v>
      </c>
      <c r="O27" s="88">
        <v>0.75</v>
      </c>
      <c r="P27" s="90">
        <v>11</v>
      </c>
      <c r="Q27" s="88">
        <v>0.70833333333333337</v>
      </c>
      <c r="R27" s="91">
        <f t="shared" si="7"/>
        <v>507</v>
      </c>
      <c r="S27" s="87">
        <v>331</v>
      </c>
      <c r="T27" s="87">
        <v>176</v>
      </c>
      <c r="U27" s="89">
        <v>46186</v>
      </c>
      <c r="V27" s="90">
        <v>28</v>
      </c>
      <c r="W27" s="88" t="s">
        <v>71</v>
      </c>
      <c r="X27" s="87">
        <v>537</v>
      </c>
    </row>
    <row r="28" spans="2:24" ht="15.75" thickBot="1" x14ac:dyDescent="0.3">
      <c r="B28" s="89">
        <f t="shared" si="2"/>
        <v>46217</v>
      </c>
      <c r="D28" s="170">
        <v>128</v>
      </c>
      <c r="E28" s="88">
        <v>0.47916666666666669</v>
      </c>
      <c r="F28" s="87">
        <v>1288</v>
      </c>
      <c r="G28" s="92">
        <f t="shared" si="3"/>
        <v>808</v>
      </c>
      <c r="H28" s="87">
        <v>480</v>
      </c>
      <c r="I28" s="89">
        <f t="shared" si="4"/>
        <v>46217</v>
      </c>
      <c r="J28" s="90">
        <v>33</v>
      </c>
      <c r="K28" s="88">
        <v>0.35416666666666669</v>
      </c>
      <c r="L28" s="87">
        <v>675</v>
      </c>
      <c r="M28" s="89">
        <f t="shared" si="5"/>
        <v>46217</v>
      </c>
      <c r="N28" s="90">
        <v>22</v>
      </c>
      <c r="O28" s="88">
        <v>0.72916666666666663</v>
      </c>
      <c r="P28" s="90">
        <v>11</v>
      </c>
      <c r="Q28" s="88">
        <v>0.75</v>
      </c>
      <c r="R28" s="91">
        <f t="shared" si="7"/>
        <v>511</v>
      </c>
      <c r="S28" s="87">
        <v>331</v>
      </c>
      <c r="T28" s="87">
        <v>180</v>
      </c>
      <c r="U28" s="89">
        <v>46187</v>
      </c>
      <c r="V28" s="90">
        <v>29</v>
      </c>
      <c r="W28" s="88">
        <v>0.75</v>
      </c>
      <c r="X28" s="87">
        <v>540</v>
      </c>
    </row>
    <row r="29" spans="2:24" ht="15.75" thickBot="1" x14ac:dyDescent="0.3">
      <c r="B29" s="89">
        <f t="shared" si="2"/>
        <v>46218</v>
      </c>
      <c r="D29" s="170">
        <v>100</v>
      </c>
      <c r="E29" s="88">
        <v>0.52083333333333337</v>
      </c>
      <c r="F29" s="87">
        <v>1246</v>
      </c>
      <c r="G29" s="92">
        <f t="shared" si="3"/>
        <v>746</v>
      </c>
      <c r="H29" s="87">
        <v>500</v>
      </c>
      <c r="I29" s="89">
        <f t="shared" si="4"/>
        <v>46218</v>
      </c>
      <c r="J29" s="90">
        <v>41</v>
      </c>
      <c r="K29" s="88">
        <v>0.17708333333333334</v>
      </c>
      <c r="L29" s="87">
        <v>597</v>
      </c>
      <c r="M29" s="89">
        <f t="shared" si="5"/>
        <v>46218</v>
      </c>
      <c r="N29" s="90">
        <v>26</v>
      </c>
      <c r="O29" s="88">
        <v>0.35416666666666669</v>
      </c>
      <c r="P29" s="90">
        <v>11</v>
      </c>
      <c r="Q29" s="88">
        <v>0.48958333333333331</v>
      </c>
      <c r="R29" s="91">
        <f t="shared" si="7"/>
        <v>516</v>
      </c>
      <c r="S29" s="87">
        <v>337</v>
      </c>
      <c r="T29" s="87">
        <v>179</v>
      </c>
      <c r="U29" s="89">
        <v>46188</v>
      </c>
      <c r="V29" s="90">
        <v>27</v>
      </c>
      <c r="W29" s="88">
        <v>0.17708333333333334</v>
      </c>
      <c r="X29" s="87">
        <v>536</v>
      </c>
    </row>
    <row r="30" spans="2:24" ht="15.75" thickBot="1" x14ac:dyDescent="0.3">
      <c r="B30" s="89">
        <f t="shared" si="2"/>
        <v>46219</v>
      </c>
      <c r="D30" s="170">
        <v>73</v>
      </c>
      <c r="E30" s="88">
        <v>2.0833333333333332E-2</v>
      </c>
      <c r="F30" s="87">
        <v>797</v>
      </c>
      <c r="G30" s="92">
        <f t="shared" si="3"/>
        <v>335</v>
      </c>
      <c r="H30" s="87">
        <v>462</v>
      </c>
      <c r="I30" s="89">
        <f t="shared" si="4"/>
        <v>46219</v>
      </c>
      <c r="J30" s="90">
        <v>39</v>
      </c>
      <c r="K30" s="88">
        <v>0.66666666666666663</v>
      </c>
      <c r="L30" s="87">
        <v>651</v>
      </c>
      <c r="M30" s="89">
        <f t="shared" si="5"/>
        <v>46219</v>
      </c>
      <c r="N30" s="90">
        <v>21</v>
      </c>
      <c r="O30" s="88">
        <v>0.69791666666666663</v>
      </c>
      <c r="P30" s="90">
        <v>9</v>
      </c>
      <c r="Q30" s="88">
        <v>0.35416666666666669</v>
      </c>
      <c r="R30" s="91">
        <f t="shared" si="7"/>
        <v>489</v>
      </c>
      <c r="S30" s="87">
        <v>324</v>
      </c>
      <c r="T30" s="87">
        <v>165</v>
      </c>
      <c r="U30" s="89">
        <v>46189</v>
      </c>
      <c r="V30" s="90">
        <v>27</v>
      </c>
      <c r="W30" s="88">
        <v>4.1666666666666664E-2</v>
      </c>
      <c r="X30" s="87">
        <v>523</v>
      </c>
    </row>
    <row r="31" spans="2:24" ht="15.75" thickBot="1" x14ac:dyDescent="0.3">
      <c r="B31" s="89">
        <f t="shared" si="2"/>
        <v>46220</v>
      </c>
      <c r="D31" s="170">
        <v>60</v>
      </c>
      <c r="E31" s="88">
        <v>0.3125</v>
      </c>
      <c r="F31" s="87">
        <v>470</v>
      </c>
      <c r="G31" s="92">
        <f t="shared" si="3"/>
        <v>221</v>
      </c>
      <c r="H31" s="87">
        <v>249</v>
      </c>
      <c r="I31" s="89">
        <f t="shared" si="4"/>
        <v>46220</v>
      </c>
      <c r="J31" s="90">
        <v>34</v>
      </c>
      <c r="K31" s="88">
        <v>0.42708333333333331</v>
      </c>
      <c r="L31" s="87">
        <v>308</v>
      </c>
      <c r="M31" s="89">
        <f t="shared" si="5"/>
        <v>46220</v>
      </c>
      <c r="N31" s="90">
        <v>23</v>
      </c>
      <c r="O31" s="88">
        <v>0.57291666666666663</v>
      </c>
      <c r="P31" s="90">
        <v>11</v>
      </c>
      <c r="Q31" s="88">
        <v>0.39583333333333331</v>
      </c>
      <c r="R31" s="91">
        <f t="shared" si="7"/>
        <v>255</v>
      </c>
      <c r="S31" s="87">
        <v>175</v>
      </c>
      <c r="T31" s="87">
        <v>80</v>
      </c>
      <c r="U31" s="89">
        <v>46190</v>
      </c>
      <c r="V31" s="90">
        <v>29</v>
      </c>
      <c r="W31" s="88">
        <v>0.34375</v>
      </c>
      <c r="X31" s="87">
        <v>261</v>
      </c>
    </row>
    <row r="32" spans="2:24" ht="15.75" thickBot="1" x14ac:dyDescent="0.3">
      <c r="B32" s="89">
        <f t="shared" si="2"/>
        <v>46221</v>
      </c>
      <c r="D32" s="170">
        <v>40</v>
      </c>
      <c r="E32" s="88">
        <v>0.9375</v>
      </c>
      <c r="F32" s="87">
        <v>1123</v>
      </c>
      <c r="G32" s="92">
        <f t="shared" si="3"/>
        <v>495</v>
      </c>
      <c r="H32" s="87">
        <v>628</v>
      </c>
      <c r="I32" s="89">
        <f t="shared" si="4"/>
        <v>46221</v>
      </c>
      <c r="J32" s="90">
        <v>23</v>
      </c>
      <c r="K32" s="88">
        <v>0.88541666666666663</v>
      </c>
      <c r="L32" s="87">
        <v>626</v>
      </c>
      <c r="M32" s="89">
        <f t="shared" si="5"/>
        <v>46221</v>
      </c>
      <c r="N32" s="90">
        <v>17</v>
      </c>
      <c r="O32" s="88">
        <v>0.80208333333333337</v>
      </c>
      <c r="P32" s="90">
        <v>7</v>
      </c>
      <c r="Q32" s="88">
        <v>0.79166666666666663</v>
      </c>
      <c r="R32" s="91">
        <f t="shared" ref="R32:R44" si="8">S32+T32</f>
        <v>713</v>
      </c>
      <c r="S32" s="87">
        <v>495</v>
      </c>
      <c r="T32" s="87">
        <v>218</v>
      </c>
      <c r="U32" s="89">
        <v>46191</v>
      </c>
      <c r="V32" s="90">
        <v>27</v>
      </c>
      <c r="W32" s="88">
        <v>0.84375</v>
      </c>
      <c r="X32" s="87">
        <v>747</v>
      </c>
    </row>
    <row r="33" spans="2:24" ht="15.75" thickBot="1" x14ac:dyDescent="0.3">
      <c r="B33" s="89">
        <f t="shared" si="2"/>
        <v>46222</v>
      </c>
      <c r="D33" s="170">
        <v>50</v>
      </c>
      <c r="E33" s="171">
        <v>0.8125</v>
      </c>
      <c r="F33" s="172">
        <v>795</v>
      </c>
      <c r="G33" s="181">
        <f t="shared" si="3"/>
        <v>385</v>
      </c>
      <c r="H33" s="172">
        <v>410</v>
      </c>
      <c r="I33" s="173">
        <f t="shared" si="4"/>
        <v>46222</v>
      </c>
      <c r="J33" s="170">
        <v>25</v>
      </c>
      <c r="K33" s="171">
        <v>0.89583333333333337</v>
      </c>
      <c r="L33" s="172">
        <v>476</v>
      </c>
      <c r="M33" s="173">
        <f t="shared" si="5"/>
        <v>46222</v>
      </c>
      <c r="N33" s="170">
        <v>22</v>
      </c>
      <c r="O33" s="171">
        <v>0.89583333333333337</v>
      </c>
      <c r="P33" s="170">
        <v>7</v>
      </c>
      <c r="Q33" s="171">
        <v>0.79166666666666663</v>
      </c>
      <c r="R33" s="91">
        <f t="shared" si="8"/>
        <v>487</v>
      </c>
      <c r="S33" s="172">
        <v>340</v>
      </c>
      <c r="T33" s="172">
        <v>147</v>
      </c>
      <c r="U33" s="89">
        <v>46192</v>
      </c>
      <c r="V33" s="170">
        <v>28</v>
      </c>
      <c r="W33" s="171">
        <v>0.35416666666666669</v>
      </c>
      <c r="X33" s="172">
        <v>516</v>
      </c>
    </row>
    <row r="34" spans="2:24" ht="15.75" thickBot="1" x14ac:dyDescent="0.3">
      <c r="B34" s="89">
        <f t="shared" si="2"/>
        <v>46223</v>
      </c>
      <c r="D34" s="170">
        <v>97</v>
      </c>
      <c r="E34" s="88">
        <v>0.38541666666666669</v>
      </c>
      <c r="F34" s="87">
        <v>1270</v>
      </c>
      <c r="G34" s="92">
        <f t="shared" si="3"/>
        <v>814</v>
      </c>
      <c r="H34" s="87">
        <v>456</v>
      </c>
      <c r="I34" s="89">
        <f t="shared" si="4"/>
        <v>46223</v>
      </c>
      <c r="J34" s="90">
        <v>35</v>
      </c>
      <c r="K34" s="88">
        <v>0.69791666666666663</v>
      </c>
      <c r="L34" s="87">
        <v>547</v>
      </c>
      <c r="M34" s="89">
        <f t="shared" si="5"/>
        <v>46223</v>
      </c>
      <c r="N34" s="90">
        <v>23</v>
      </c>
      <c r="O34" s="88">
        <v>0.60416666666666663</v>
      </c>
      <c r="P34" s="90">
        <v>11</v>
      </c>
      <c r="Q34" s="88">
        <v>0.67708333333333337</v>
      </c>
      <c r="R34" s="91">
        <f t="shared" si="8"/>
        <v>527</v>
      </c>
      <c r="S34" s="87">
        <v>351</v>
      </c>
      <c r="T34" s="87">
        <v>176</v>
      </c>
      <c r="U34" s="89">
        <v>46193</v>
      </c>
      <c r="V34" s="90">
        <v>27</v>
      </c>
      <c r="W34" s="88">
        <v>0.39583333333333331</v>
      </c>
      <c r="X34" s="87">
        <v>536</v>
      </c>
    </row>
    <row r="35" spans="2:24" ht="15.75" thickBot="1" x14ac:dyDescent="0.3">
      <c r="B35" s="173">
        <f t="shared" si="2"/>
        <v>46224</v>
      </c>
      <c r="C35" s="52"/>
      <c r="D35" s="184">
        <v>62</v>
      </c>
      <c r="E35" s="183">
        <v>0.97916666666666663</v>
      </c>
      <c r="F35" s="182">
        <v>670</v>
      </c>
      <c r="G35" s="181">
        <f t="shared" si="3"/>
        <v>401</v>
      </c>
      <c r="H35" s="182">
        <v>269</v>
      </c>
      <c r="I35" s="173">
        <f t="shared" si="4"/>
        <v>46224</v>
      </c>
      <c r="J35" s="184">
        <v>34</v>
      </c>
      <c r="K35" s="183">
        <v>0.38541666666666669</v>
      </c>
      <c r="L35" s="182">
        <v>621</v>
      </c>
      <c r="M35" s="173">
        <f t="shared" si="5"/>
        <v>46224</v>
      </c>
      <c r="N35" s="184">
        <v>23</v>
      </c>
      <c r="O35" s="183">
        <v>0.57291666666666663</v>
      </c>
      <c r="P35" s="184">
        <v>10</v>
      </c>
      <c r="Q35" s="183">
        <v>0.39583333333333331</v>
      </c>
      <c r="R35" s="185">
        <f t="shared" si="8"/>
        <v>531</v>
      </c>
      <c r="S35" s="182">
        <v>356</v>
      </c>
      <c r="T35" s="182">
        <v>175</v>
      </c>
      <c r="U35" s="173">
        <v>46194</v>
      </c>
      <c r="V35" s="184">
        <v>28</v>
      </c>
      <c r="W35" s="183">
        <v>0.58333333333333337</v>
      </c>
      <c r="X35" s="182">
        <v>538</v>
      </c>
    </row>
    <row r="36" spans="2:24" ht="15.75" thickBot="1" x14ac:dyDescent="0.3">
      <c r="B36" s="173">
        <f t="shared" si="2"/>
        <v>46225</v>
      </c>
      <c r="C36" s="52"/>
      <c r="D36" s="184">
        <v>113</v>
      </c>
      <c r="E36" s="183">
        <v>0.44791666666666669</v>
      </c>
      <c r="F36" s="182">
        <v>1448</v>
      </c>
      <c r="G36" s="181">
        <f t="shared" si="3"/>
        <v>998</v>
      </c>
      <c r="H36" s="182">
        <v>450</v>
      </c>
      <c r="I36" s="173">
        <f t="shared" si="4"/>
        <v>46225</v>
      </c>
      <c r="J36" s="184">
        <v>33</v>
      </c>
      <c r="K36" s="183">
        <v>0.36458333333333331</v>
      </c>
      <c r="L36" s="182">
        <v>620</v>
      </c>
      <c r="M36" s="173">
        <f t="shared" si="5"/>
        <v>46225</v>
      </c>
      <c r="N36" s="184">
        <v>23</v>
      </c>
      <c r="O36" s="183">
        <v>0.33333333333333331</v>
      </c>
      <c r="P36" s="184">
        <v>8</v>
      </c>
      <c r="Q36" s="183">
        <v>0.17708333333333334</v>
      </c>
      <c r="R36" s="185">
        <f t="shared" si="8"/>
        <v>536</v>
      </c>
      <c r="S36" s="182">
        <v>369</v>
      </c>
      <c r="T36" s="182">
        <v>167</v>
      </c>
      <c r="U36" s="173">
        <v>46195</v>
      </c>
      <c r="V36" s="184">
        <v>29</v>
      </c>
      <c r="W36" s="183">
        <v>0.10416666666666667</v>
      </c>
      <c r="X36" s="182">
        <v>496</v>
      </c>
    </row>
    <row r="37" spans="2:24" ht="15.75" thickBot="1" x14ac:dyDescent="0.3">
      <c r="B37" s="173">
        <f t="shared" si="2"/>
        <v>46226</v>
      </c>
      <c r="C37" s="52"/>
      <c r="D37" s="184">
        <v>96.86</v>
      </c>
      <c r="E37" s="183">
        <v>0.64583333333333337</v>
      </c>
      <c r="F37" s="182">
        <v>1223</v>
      </c>
      <c r="G37" s="181">
        <f t="shared" si="3"/>
        <v>796</v>
      </c>
      <c r="H37" s="182">
        <v>427</v>
      </c>
      <c r="I37" s="173">
        <f t="shared" si="4"/>
        <v>46226</v>
      </c>
      <c r="J37" s="184">
        <v>33.549999999999997</v>
      </c>
      <c r="K37" s="183">
        <v>0.34375</v>
      </c>
      <c r="L37" s="182">
        <v>603</v>
      </c>
      <c r="M37" s="173">
        <f t="shared" si="5"/>
        <v>46226</v>
      </c>
      <c r="N37" s="184">
        <v>23.56</v>
      </c>
      <c r="O37" s="183">
        <v>0.3125</v>
      </c>
      <c r="P37" s="184">
        <v>10.77</v>
      </c>
      <c r="Q37" s="183">
        <v>0.625</v>
      </c>
      <c r="R37" s="185">
        <f t="shared" si="8"/>
        <v>558</v>
      </c>
      <c r="S37" s="182">
        <v>381</v>
      </c>
      <c r="T37" s="182">
        <v>177</v>
      </c>
      <c r="U37" s="173">
        <v>46196</v>
      </c>
      <c r="V37" s="184">
        <v>27.86</v>
      </c>
      <c r="W37" s="183">
        <v>0.67708333333333337</v>
      </c>
      <c r="X37" s="182">
        <v>548</v>
      </c>
    </row>
    <row r="38" spans="2:24" ht="15.75" thickBot="1" x14ac:dyDescent="0.3">
      <c r="B38" s="173">
        <f t="shared" si="2"/>
        <v>46227</v>
      </c>
      <c r="C38" s="52"/>
      <c r="D38" s="184">
        <v>105</v>
      </c>
      <c r="E38" s="183">
        <v>0.46875</v>
      </c>
      <c r="F38" s="182">
        <v>1243</v>
      </c>
      <c r="G38" s="181">
        <f t="shared" si="3"/>
        <v>800</v>
      </c>
      <c r="H38" s="182">
        <v>443</v>
      </c>
      <c r="I38" s="173">
        <f t="shared" si="4"/>
        <v>46227</v>
      </c>
      <c r="J38" s="184">
        <v>31</v>
      </c>
      <c r="K38" s="183">
        <v>0.32291666666666669</v>
      </c>
      <c r="L38" s="182">
        <v>601</v>
      </c>
      <c r="M38" s="173">
        <f t="shared" si="5"/>
        <v>46227</v>
      </c>
      <c r="N38" s="184">
        <v>23</v>
      </c>
      <c r="O38" s="183">
        <v>0.51041666666666663</v>
      </c>
      <c r="P38" s="184">
        <v>10</v>
      </c>
      <c r="Q38" s="183">
        <v>0.40625</v>
      </c>
      <c r="R38" s="185">
        <f t="shared" si="8"/>
        <v>544</v>
      </c>
      <c r="S38" s="182">
        <v>365</v>
      </c>
      <c r="T38" s="182">
        <v>179</v>
      </c>
      <c r="U38" s="173">
        <v>46197</v>
      </c>
      <c r="V38" s="184">
        <v>30</v>
      </c>
      <c r="W38" s="183">
        <v>0.33333333333333331</v>
      </c>
      <c r="X38" s="182">
        <v>557</v>
      </c>
    </row>
    <row r="39" spans="2:24" ht="15.75" thickBot="1" x14ac:dyDescent="0.3">
      <c r="B39" s="173">
        <f t="shared" si="2"/>
        <v>46228</v>
      </c>
      <c r="C39" s="52"/>
      <c r="D39" s="184">
        <v>45</v>
      </c>
      <c r="E39" s="183">
        <v>0.60416666666666663</v>
      </c>
      <c r="F39" s="182">
        <v>1235</v>
      </c>
      <c r="G39" s="181">
        <f t="shared" si="3"/>
        <v>815</v>
      </c>
      <c r="H39" s="182">
        <v>420</v>
      </c>
      <c r="I39" s="173">
        <f t="shared" si="4"/>
        <v>46228</v>
      </c>
      <c r="J39" s="184">
        <v>25</v>
      </c>
      <c r="K39" s="183">
        <v>0.41666666666666669</v>
      </c>
      <c r="L39" s="182">
        <v>620</v>
      </c>
      <c r="M39" s="173">
        <f t="shared" si="5"/>
        <v>46228</v>
      </c>
      <c r="N39" s="184">
        <v>20</v>
      </c>
      <c r="O39" s="183">
        <v>0.70833333333333337</v>
      </c>
      <c r="P39" s="184">
        <v>14</v>
      </c>
      <c r="Q39" s="183">
        <v>0.72916666666666663</v>
      </c>
      <c r="R39" s="185">
        <f t="shared" si="8"/>
        <v>515</v>
      </c>
      <c r="S39" s="182">
        <v>345</v>
      </c>
      <c r="T39" s="182">
        <v>170</v>
      </c>
      <c r="U39" s="173">
        <v>46198</v>
      </c>
      <c r="V39" s="184">
        <v>28</v>
      </c>
      <c r="W39" s="183">
        <v>0.75</v>
      </c>
      <c r="X39" s="182">
        <v>540</v>
      </c>
    </row>
    <row r="40" spans="2:24" ht="15.75" thickBot="1" x14ac:dyDescent="0.3">
      <c r="B40" s="173">
        <f t="shared" si="2"/>
        <v>46229</v>
      </c>
      <c r="C40" s="52"/>
      <c r="D40" s="184">
        <v>63</v>
      </c>
      <c r="E40" s="183">
        <v>0.40625</v>
      </c>
      <c r="F40" s="182">
        <v>786</v>
      </c>
      <c r="G40" s="181">
        <f t="shared" si="3"/>
        <v>380</v>
      </c>
      <c r="H40" s="182">
        <v>406</v>
      </c>
      <c r="I40" s="173">
        <f t="shared" si="4"/>
        <v>46229</v>
      </c>
      <c r="J40" s="184">
        <v>29</v>
      </c>
      <c r="K40" s="183">
        <v>0.5625</v>
      </c>
      <c r="L40" s="182">
        <v>582</v>
      </c>
      <c r="M40" s="173">
        <f t="shared" si="5"/>
        <v>46229</v>
      </c>
      <c r="N40" s="184">
        <v>25</v>
      </c>
      <c r="O40" s="183">
        <v>0.78125</v>
      </c>
      <c r="P40" s="184">
        <v>8</v>
      </c>
      <c r="Q40" s="183">
        <v>0.44791666666666669</v>
      </c>
      <c r="R40" s="185">
        <f t="shared" si="8"/>
        <v>531</v>
      </c>
      <c r="S40" s="182">
        <v>371</v>
      </c>
      <c r="T40" s="182">
        <v>160</v>
      </c>
      <c r="U40" s="173">
        <v>46199</v>
      </c>
      <c r="V40" s="184">
        <v>27</v>
      </c>
      <c r="W40" s="183">
        <v>0.29166666666666669</v>
      </c>
      <c r="X40" s="182">
        <v>507</v>
      </c>
    </row>
    <row r="41" spans="2:24" ht="15.75" thickBot="1" x14ac:dyDescent="0.3">
      <c r="B41" s="89">
        <f t="shared" si="2"/>
        <v>46230</v>
      </c>
      <c r="D41" s="170"/>
      <c r="E41" s="88"/>
      <c r="F41" s="87"/>
      <c r="G41" s="92">
        <f t="shared" si="3"/>
        <v>0</v>
      </c>
      <c r="H41" s="87"/>
      <c r="I41" s="89">
        <f t="shared" si="4"/>
        <v>46230</v>
      </c>
      <c r="J41" s="90"/>
      <c r="K41" s="88"/>
      <c r="L41" s="87"/>
      <c r="M41" s="89">
        <f t="shared" si="5"/>
        <v>46230</v>
      </c>
      <c r="N41" s="90"/>
      <c r="O41" s="88"/>
      <c r="P41" s="90"/>
      <c r="Q41" s="88"/>
      <c r="R41" s="91">
        <f t="shared" si="8"/>
        <v>0</v>
      </c>
      <c r="S41" s="87"/>
      <c r="T41" s="87"/>
      <c r="U41" s="89">
        <v>46200</v>
      </c>
      <c r="V41" s="90"/>
      <c r="W41" s="88"/>
      <c r="X41" s="87"/>
    </row>
    <row r="42" spans="2:24" ht="15.75" thickBot="1" x14ac:dyDescent="0.3">
      <c r="B42" s="89">
        <f t="shared" si="2"/>
        <v>46231</v>
      </c>
      <c r="D42" s="170"/>
      <c r="E42" s="88"/>
      <c r="F42" s="87"/>
      <c r="G42" s="92">
        <f t="shared" si="3"/>
        <v>0</v>
      </c>
      <c r="H42" s="87"/>
      <c r="I42" s="89">
        <f t="shared" si="4"/>
        <v>46231</v>
      </c>
      <c r="J42" s="90"/>
      <c r="K42" s="88"/>
      <c r="L42" s="87"/>
      <c r="M42" s="89">
        <f t="shared" si="5"/>
        <v>46231</v>
      </c>
      <c r="N42" s="90"/>
      <c r="O42" s="88"/>
      <c r="P42" s="90"/>
      <c r="Q42" s="88"/>
      <c r="R42" s="91">
        <f t="shared" si="8"/>
        <v>0</v>
      </c>
      <c r="S42" s="87"/>
      <c r="T42" s="87"/>
      <c r="U42" s="89">
        <v>46201</v>
      </c>
      <c r="V42" s="90"/>
      <c r="W42" s="88"/>
      <c r="X42" s="87"/>
    </row>
    <row r="43" spans="2:24" ht="15.75" thickBot="1" x14ac:dyDescent="0.3">
      <c r="B43" s="89">
        <f t="shared" si="2"/>
        <v>46232</v>
      </c>
      <c r="D43" s="170"/>
      <c r="E43" s="88"/>
      <c r="F43" s="87"/>
      <c r="G43" s="92">
        <f t="shared" si="3"/>
        <v>0</v>
      </c>
      <c r="H43" s="87"/>
      <c r="I43" s="89">
        <f t="shared" si="4"/>
        <v>46232</v>
      </c>
      <c r="J43" s="90"/>
      <c r="K43" s="88"/>
      <c r="L43" s="87"/>
      <c r="M43" s="173">
        <f t="shared" si="5"/>
        <v>46232</v>
      </c>
      <c r="N43" s="90"/>
      <c r="O43" s="88"/>
      <c r="P43" s="90"/>
      <c r="Q43" s="88"/>
      <c r="R43" s="91">
        <f t="shared" si="8"/>
        <v>0</v>
      </c>
      <c r="S43" s="87"/>
      <c r="T43" s="87"/>
      <c r="U43" s="89">
        <v>46202</v>
      </c>
      <c r="V43" s="90"/>
      <c r="W43" s="88"/>
      <c r="X43" s="87"/>
    </row>
    <row r="44" spans="2:24" ht="15.75" thickBot="1" x14ac:dyDescent="0.3">
      <c r="B44" s="89">
        <f t="shared" si="2"/>
        <v>46233</v>
      </c>
      <c r="D44" s="170"/>
      <c r="E44" s="88"/>
      <c r="F44" s="87"/>
      <c r="G44" s="92">
        <f t="shared" si="3"/>
        <v>0</v>
      </c>
      <c r="H44" s="87"/>
      <c r="I44" s="89">
        <f t="shared" si="4"/>
        <v>46233</v>
      </c>
      <c r="J44" s="90"/>
      <c r="K44" s="88"/>
      <c r="L44" s="87"/>
      <c r="M44" s="89">
        <f t="shared" si="5"/>
        <v>46233</v>
      </c>
      <c r="N44" s="90"/>
      <c r="O44" s="88"/>
      <c r="P44" s="90"/>
      <c r="Q44" s="88"/>
      <c r="R44" s="91">
        <f t="shared" si="8"/>
        <v>0</v>
      </c>
      <c r="S44" s="87"/>
      <c r="T44" s="87"/>
      <c r="U44" s="89">
        <v>46203</v>
      </c>
      <c r="V44" s="90"/>
      <c r="W44" s="88"/>
      <c r="X44" s="87"/>
    </row>
    <row r="45" spans="2:24" x14ac:dyDescent="0.25">
      <c r="B45" s="89">
        <f t="shared" si="2"/>
        <v>46234</v>
      </c>
      <c r="D45" s="170"/>
      <c r="E45" s="171"/>
      <c r="F45" s="172"/>
      <c r="G45" s="92">
        <f t="shared" si="3"/>
        <v>0</v>
      </c>
      <c r="H45" s="172"/>
      <c r="I45" s="89">
        <f t="shared" si="4"/>
        <v>46234</v>
      </c>
      <c r="J45" s="170"/>
      <c r="K45" s="171"/>
      <c r="L45" s="172"/>
      <c r="M45" s="89">
        <f t="shared" ref="M45" si="9">B45</f>
        <v>46234</v>
      </c>
      <c r="N45" s="170"/>
      <c r="O45" s="171"/>
      <c r="P45" s="170"/>
      <c r="Q45" s="171"/>
      <c r="R45" s="91">
        <f t="shared" ref="R45" si="10">S45+T45</f>
        <v>0</v>
      </c>
      <c r="S45" s="172"/>
      <c r="T45" s="172"/>
      <c r="U45" s="89">
        <v>46204</v>
      </c>
      <c r="V45" s="170"/>
      <c r="W45" s="171"/>
      <c r="X45" s="172"/>
    </row>
    <row r="47" spans="2:24" x14ac:dyDescent="0.25">
      <c r="E47" s="176" t="s">
        <v>61</v>
      </c>
      <c r="F47" s="176" t="s">
        <v>62</v>
      </c>
      <c r="G47" s="176" t="s">
        <v>63</v>
      </c>
      <c r="H47" s="176" t="s">
        <v>64</v>
      </c>
      <c r="I47" s="176" t="s">
        <v>65</v>
      </c>
      <c r="J47" s="176" t="s">
        <v>66</v>
      </c>
    </row>
    <row r="48" spans="2:24" x14ac:dyDescent="0.25">
      <c r="D48" s="179">
        <v>45838</v>
      </c>
      <c r="E48" s="177">
        <f t="shared" ref="E48:E78" si="11">F14/J48</f>
        <v>0.45589107450590743</v>
      </c>
      <c r="F48" s="177">
        <f t="shared" ref="F48:F78" si="12">L14/J48</f>
        <v>0.20723168402912548</v>
      </c>
      <c r="G48" s="177">
        <f t="shared" ref="G48:G78" si="13">S14/J48</f>
        <v>0.10302277561286118</v>
      </c>
      <c r="H48" s="177">
        <f t="shared" ref="H48:H78" si="14">T14/J48</f>
        <v>5.7993199919268455E-2</v>
      </c>
      <c r="I48" s="177">
        <f t="shared" ref="I48:I78" si="15">X14/J48</f>
        <v>0.17586126593283757</v>
      </c>
      <c r="J48" s="178">
        <f>F14+L14+S14+T14+X14</f>
        <v>3220.5499999999997</v>
      </c>
    </row>
    <row r="49" spans="4:10" x14ac:dyDescent="0.25">
      <c r="D49" s="179">
        <v>45839</v>
      </c>
      <c r="E49" s="177">
        <f t="shared" si="11"/>
        <v>0.44440904746734627</v>
      </c>
      <c r="F49" s="177">
        <f t="shared" si="12"/>
        <v>0.20802803440586173</v>
      </c>
      <c r="G49" s="177">
        <f t="shared" si="13"/>
        <v>0.10544759477540618</v>
      </c>
      <c r="H49" s="177">
        <f t="shared" si="14"/>
        <v>6.116597642561325E-2</v>
      </c>
      <c r="I49" s="177">
        <f t="shared" si="15"/>
        <v>0.18094934692577255</v>
      </c>
      <c r="J49" s="178">
        <f t="shared" ref="J49:J78" si="16">F15+L15+S15+T15+X15</f>
        <v>3139</v>
      </c>
    </row>
    <row r="50" spans="4:10" x14ac:dyDescent="0.25">
      <c r="D50" s="179">
        <v>45840</v>
      </c>
      <c r="E50" s="177">
        <f t="shared" si="11"/>
        <v>0.44479999999999997</v>
      </c>
      <c r="F50" s="177">
        <f t="shared" si="12"/>
        <v>0.20863999999999999</v>
      </c>
      <c r="G50" s="177">
        <f t="shared" si="13"/>
        <v>0.1056</v>
      </c>
      <c r="H50" s="177">
        <f t="shared" si="14"/>
        <v>5.9839999999999997E-2</v>
      </c>
      <c r="I50" s="177">
        <f t="shared" si="15"/>
        <v>0.18112</v>
      </c>
      <c r="J50" s="178">
        <f t="shared" si="16"/>
        <v>3125</v>
      </c>
    </row>
    <row r="51" spans="4:10" x14ac:dyDescent="0.25">
      <c r="D51" s="179">
        <v>45841</v>
      </c>
      <c r="E51" s="177">
        <f t="shared" si="11"/>
        <v>0.44837385538364383</v>
      </c>
      <c r="F51" s="177">
        <f t="shared" si="12"/>
        <v>0.20839911588253868</v>
      </c>
      <c r="G51" s="177">
        <f t="shared" si="13"/>
        <v>0.10451531417745501</v>
      </c>
      <c r="H51" s="177">
        <f t="shared" si="14"/>
        <v>5.9677928639090619E-2</v>
      </c>
      <c r="I51" s="177">
        <f t="shared" si="15"/>
        <v>0.17903378591727187</v>
      </c>
      <c r="J51" s="178">
        <f t="shared" si="16"/>
        <v>3167</v>
      </c>
    </row>
    <row r="52" spans="4:10" x14ac:dyDescent="0.25">
      <c r="D52" s="179">
        <v>45842</v>
      </c>
      <c r="E52" s="177">
        <f t="shared" si="11"/>
        <v>0.34473481936971562</v>
      </c>
      <c r="F52" s="177">
        <f t="shared" si="12"/>
        <v>0.26402767102229052</v>
      </c>
      <c r="G52" s="177">
        <f t="shared" si="13"/>
        <v>0.12259800153727901</v>
      </c>
      <c r="H52" s="177">
        <f t="shared" si="14"/>
        <v>6.9177555726364331E-2</v>
      </c>
      <c r="I52" s="177">
        <f t="shared" si="15"/>
        <v>0.19946195234435049</v>
      </c>
      <c r="J52" s="178">
        <f t="shared" si="16"/>
        <v>2602</v>
      </c>
    </row>
    <row r="53" spans="4:10" x14ac:dyDescent="0.25">
      <c r="D53" s="179">
        <v>45843</v>
      </c>
      <c r="E53" s="177">
        <f t="shared" si="11"/>
        <v>0.33128078817733991</v>
      </c>
      <c r="F53" s="177">
        <f t="shared" si="12"/>
        <v>0.26559934318555006</v>
      </c>
      <c r="G53" s="177">
        <f t="shared" si="13"/>
        <v>0.1297208538587849</v>
      </c>
      <c r="H53" s="177">
        <f t="shared" si="14"/>
        <v>7.5944170771756983E-2</v>
      </c>
      <c r="I53" s="177">
        <f t="shared" si="15"/>
        <v>0.19745484400656815</v>
      </c>
      <c r="J53" s="178">
        <f t="shared" si="16"/>
        <v>2436</v>
      </c>
    </row>
    <row r="54" spans="4:10" x14ac:dyDescent="0.25">
      <c r="D54" s="179">
        <v>45844</v>
      </c>
      <c r="E54" s="177">
        <f t="shared" si="11"/>
        <v>0.4691664084288813</v>
      </c>
      <c r="F54" s="177">
        <f t="shared" si="12"/>
        <v>0.21227145955996282</v>
      </c>
      <c r="G54" s="177">
        <f t="shared" si="13"/>
        <v>0.10102262162999689</v>
      </c>
      <c r="H54" s="177">
        <f t="shared" si="14"/>
        <v>6.0117756430120857E-2</v>
      </c>
      <c r="I54" s="177">
        <f t="shared" si="15"/>
        <v>0.15742175395103811</v>
      </c>
      <c r="J54" s="178">
        <f t="shared" si="16"/>
        <v>3227</v>
      </c>
    </row>
    <row r="55" spans="4:10" x14ac:dyDescent="0.25">
      <c r="D55" s="179">
        <v>45845</v>
      </c>
      <c r="E55" s="177">
        <f t="shared" si="11"/>
        <v>0.45771769883684377</v>
      </c>
      <c r="F55" s="177">
        <f t="shared" ref="F55:F65" si="17">L21/J55</f>
        <v>0.21911348632505501</v>
      </c>
      <c r="G55" s="177">
        <f t="shared" ref="G55:G65" si="18">S21/J55</f>
        <v>0.10562716127004086</v>
      </c>
      <c r="H55" s="177">
        <f t="shared" ref="H55:H65" si="19">T21/J55</f>
        <v>5.4699779943414018E-2</v>
      </c>
      <c r="I55" s="177">
        <f t="shared" ref="I55:I65" si="20">X21/J55</f>
        <v>0.16284187362464633</v>
      </c>
      <c r="J55" s="178">
        <f t="shared" ref="J55:J65" si="21">F21+L21+S21+T21+X21</f>
        <v>3181</v>
      </c>
    </row>
    <row r="56" spans="4:10" x14ac:dyDescent="0.25">
      <c r="D56" s="179">
        <v>45846</v>
      </c>
      <c r="E56" s="177">
        <f t="shared" si="11"/>
        <v>0.45564005069708491</v>
      </c>
      <c r="F56" s="177">
        <f t="shared" si="17"/>
        <v>0.21482889733840305</v>
      </c>
      <c r="G56" s="177">
        <f t="shared" si="18"/>
        <v>0.10583016476552598</v>
      </c>
      <c r="H56" s="177">
        <f t="shared" si="19"/>
        <v>5.5766793409378963E-2</v>
      </c>
      <c r="I56" s="177">
        <f t="shared" si="20"/>
        <v>0.16793409378960711</v>
      </c>
      <c r="J56" s="178">
        <f t="shared" si="21"/>
        <v>3156</v>
      </c>
    </row>
    <row r="57" spans="4:10" x14ac:dyDescent="0.25">
      <c r="D57" s="179">
        <v>45847</v>
      </c>
      <c r="E57" s="177">
        <f t="shared" si="11"/>
        <v>0.44411955815464588</v>
      </c>
      <c r="F57" s="177">
        <f t="shared" si="17"/>
        <v>0.22254710851202078</v>
      </c>
      <c r="G57" s="177">
        <f t="shared" si="18"/>
        <v>0.10753736192332683</v>
      </c>
      <c r="H57" s="177">
        <f t="shared" si="19"/>
        <v>5.6205328135152693E-2</v>
      </c>
      <c r="I57" s="177">
        <f t="shared" si="20"/>
        <v>0.16959064327485379</v>
      </c>
      <c r="J57" s="178">
        <f t="shared" si="21"/>
        <v>3078</v>
      </c>
    </row>
    <row r="58" spans="4:10" x14ac:dyDescent="0.25">
      <c r="D58" s="179">
        <v>45848</v>
      </c>
      <c r="E58" s="177">
        <f t="shared" si="11"/>
        <v>0.42601051045483501</v>
      </c>
      <c r="F58" s="177">
        <f t="shared" si="17"/>
        <v>0.22484889957088489</v>
      </c>
      <c r="G58" s="177">
        <f t="shared" si="18"/>
        <v>0.111954209743913</v>
      </c>
      <c r="H58" s="177">
        <f t="shared" si="19"/>
        <v>5.687039240604469E-2</v>
      </c>
      <c r="I58" s="177">
        <f t="shared" si="20"/>
        <v>0.18031598782432234</v>
      </c>
      <c r="J58" s="178">
        <f t="shared" si="21"/>
        <v>2966.57</v>
      </c>
    </row>
    <row r="59" spans="4:10" x14ac:dyDescent="0.25">
      <c r="D59" s="179">
        <v>45849</v>
      </c>
      <c r="E59" s="177">
        <f t="shared" si="11"/>
        <v>0.38604827459546492</v>
      </c>
      <c r="F59" s="177">
        <f t="shared" si="17"/>
        <v>0.24820347699004733</v>
      </c>
      <c r="G59" s="177">
        <f t="shared" si="18"/>
        <v>0.12416035262259147</v>
      </c>
      <c r="H59" s="177">
        <f t="shared" si="19"/>
        <v>5.9348757966636842E-2</v>
      </c>
      <c r="I59" s="177">
        <f t="shared" si="20"/>
        <v>0.18223913782525958</v>
      </c>
      <c r="J59" s="178">
        <f t="shared" si="21"/>
        <v>2559.1099999999997</v>
      </c>
    </row>
    <row r="60" spans="4:10" x14ac:dyDescent="0.25">
      <c r="D60" s="179">
        <v>45850</v>
      </c>
      <c r="E60" s="177">
        <f t="shared" si="11"/>
        <v>0.35239999999999999</v>
      </c>
      <c r="F60" s="177">
        <f t="shared" si="17"/>
        <v>0.25800000000000001</v>
      </c>
      <c r="G60" s="177">
        <f t="shared" si="18"/>
        <v>0.1232</v>
      </c>
      <c r="H60" s="177">
        <f t="shared" si="19"/>
        <v>5.8799999999999998E-2</v>
      </c>
      <c r="I60" s="177">
        <f t="shared" si="20"/>
        <v>0.20760000000000001</v>
      </c>
      <c r="J60" s="178">
        <f t="shared" si="21"/>
        <v>2500</v>
      </c>
    </row>
    <row r="61" spans="4:10" x14ac:dyDescent="0.25">
      <c r="D61" s="179">
        <v>45851</v>
      </c>
      <c r="E61" s="177">
        <f t="shared" si="11"/>
        <v>0.42752171008684037</v>
      </c>
      <c r="F61" s="177">
        <f t="shared" si="17"/>
        <v>0.22378089512358049</v>
      </c>
      <c r="G61" s="177">
        <f t="shared" si="18"/>
        <v>0.11055444221776888</v>
      </c>
      <c r="H61" s="177">
        <f t="shared" si="19"/>
        <v>5.8784235136940546E-2</v>
      </c>
      <c r="I61" s="177">
        <f t="shared" si="20"/>
        <v>0.17935871743486975</v>
      </c>
      <c r="J61" s="178">
        <f t="shared" si="21"/>
        <v>2994</v>
      </c>
    </row>
    <row r="62" spans="4:10" x14ac:dyDescent="0.25">
      <c r="D62" s="179">
        <v>45852</v>
      </c>
      <c r="E62" s="177">
        <f t="shared" si="11"/>
        <v>0.42733908427339085</v>
      </c>
      <c r="F62" s="177">
        <f t="shared" si="17"/>
        <v>0.22395487723954877</v>
      </c>
      <c r="G62" s="177">
        <f t="shared" si="18"/>
        <v>0.10982083609820836</v>
      </c>
      <c r="H62" s="177">
        <f t="shared" si="19"/>
        <v>5.9721300597213006E-2</v>
      </c>
      <c r="I62" s="177">
        <f t="shared" si="20"/>
        <v>0.17916390179163902</v>
      </c>
      <c r="J62" s="178">
        <f t="shared" si="21"/>
        <v>3014</v>
      </c>
    </row>
    <row r="63" spans="4:10" x14ac:dyDescent="0.25">
      <c r="D63" s="179">
        <v>45853</v>
      </c>
      <c r="E63" s="177">
        <f t="shared" si="11"/>
        <v>0.43039723661485318</v>
      </c>
      <c r="F63" s="177">
        <f t="shared" si="17"/>
        <v>0.20621761658031088</v>
      </c>
      <c r="G63" s="177">
        <f t="shared" si="18"/>
        <v>0.11640759930915372</v>
      </c>
      <c r="H63" s="177">
        <f t="shared" si="19"/>
        <v>6.18307426597582E-2</v>
      </c>
      <c r="I63" s="177">
        <f t="shared" si="20"/>
        <v>0.18514680483592399</v>
      </c>
      <c r="J63" s="178">
        <f t="shared" si="21"/>
        <v>2895</v>
      </c>
    </row>
    <row r="64" spans="4:10" x14ac:dyDescent="0.25">
      <c r="D64" s="179">
        <v>45854</v>
      </c>
      <c r="E64" s="177">
        <f t="shared" si="11"/>
        <v>0.32398373983739837</v>
      </c>
      <c r="F64" s="177">
        <f t="shared" si="17"/>
        <v>0.26463414634146343</v>
      </c>
      <c r="G64" s="177">
        <f t="shared" si="18"/>
        <v>0.13170731707317074</v>
      </c>
      <c r="H64" s="177">
        <f t="shared" si="19"/>
        <v>6.7073170731707321E-2</v>
      </c>
      <c r="I64" s="177">
        <f t="shared" si="20"/>
        <v>0.21260162601626018</v>
      </c>
      <c r="J64" s="178">
        <f t="shared" si="21"/>
        <v>2460</v>
      </c>
    </row>
    <row r="65" spans="4:10" x14ac:dyDescent="0.25">
      <c r="D65" s="179">
        <v>45855</v>
      </c>
      <c r="E65" s="177">
        <f t="shared" si="11"/>
        <v>0.36321483771251933</v>
      </c>
      <c r="F65" s="177">
        <f t="shared" si="17"/>
        <v>0.23802163833075735</v>
      </c>
      <c r="G65" s="177">
        <f t="shared" si="18"/>
        <v>0.13523956723338484</v>
      </c>
      <c r="H65" s="177">
        <f t="shared" si="19"/>
        <v>6.1823802163833076E-2</v>
      </c>
      <c r="I65" s="177">
        <f t="shared" si="20"/>
        <v>0.20170015455950541</v>
      </c>
      <c r="J65" s="178">
        <f t="shared" si="21"/>
        <v>1294</v>
      </c>
    </row>
    <row r="66" spans="4:10" x14ac:dyDescent="0.25">
      <c r="D66" s="179">
        <v>45856</v>
      </c>
      <c r="E66" s="177">
        <f t="shared" si="11"/>
        <v>0.34995325646618886</v>
      </c>
      <c r="F66" s="177">
        <f t="shared" si="12"/>
        <v>0.19507634777189156</v>
      </c>
      <c r="G66" s="177">
        <f t="shared" si="13"/>
        <v>0.15425366157681522</v>
      </c>
      <c r="H66" s="177">
        <f t="shared" si="14"/>
        <v>6.7933935805546894E-2</v>
      </c>
      <c r="I66" s="177">
        <f t="shared" si="15"/>
        <v>0.23278279837955748</v>
      </c>
      <c r="J66" s="178">
        <f t="shared" si="16"/>
        <v>3209</v>
      </c>
    </row>
    <row r="67" spans="4:10" x14ac:dyDescent="0.25">
      <c r="D67" s="179">
        <v>45857</v>
      </c>
      <c r="E67" s="177">
        <f t="shared" si="11"/>
        <v>0.34960422163588389</v>
      </c>
      <c r="F67" s="177">
        <f t="shared" si="12"/>
        <v>0.20932277924362358</v>
      </c>
      <c r="G67" s="177">
        <f t="shared" si="13"/>
        <v>0.14951627088830255</v>
      </c>
      <c r="H67" s="177">
        <f t="shared" si="14"/>
        <v>6.464379947229551E-2</v>
      </c>
      <c r="I67" s="177">
        <f t="shared" si="15"/>
        <v>0.22691292875989447</v>
      </c>
      <c r="J67" s="178">
        <f t="shared" si="16"/>
        <v>2274</v>
      </c>
    </row>
    <row r="68" spans="4:10" x14ac:dyDescent="0.25">
      <c r="D68" s="179">
        <v>45858</v>
      </c>
      <c r="E68" s="177">
        <f t="shared" si="11"/>
        <v>0.44097222222222221</v>
      </c>
      <c r="F68" s="177">
        <f t="shared" si="12"/>
        <v>0.18993055555555555</v>
      </c>
      <c r="G68" s="177">
        <f t="shared" si="13"/>
        <v>0.121875</v>
      </c>
      <c r="H68" s="177">
        <f t="shared" si="14"/>
        <v>6.1111111111111109E-2</v>
      </c>
      <c r="I68" s="177">
        <f t="shared" si="15"/>
        <v>0.18611111111111112</v>
      </c>
      <c r="J68" s="178">
        <f t="shared" si="16"/>
        <v>2880</v>
      </c>
    </row>
    <row r="69" spans="4:10" x14ac:dyDescent="0.25">
      <c r="D69" s="179">
        <v>45859</v>
      </c>
      <c r="E69" s="177">
        <f t="shared" si="11"/>
        <v>0.28389830508474578</v>
      </c>
      <c r="F69" s="177">
        <f t="shared" si="12"/>
        <v>0.26313559322033897</v>
      </c>
      <c r="G69" s="177">
        <f t="shared" si="13"/>
        <v>0.15084745762711865</v>
      </c>
      <c r="H69" s="177">
        <f t="shared" si="14"/>
        <v>7.4152542372881353E-2</v>
      </c>
      <c r="I69" s="177">
        <f t="shared" si="15"/>
        <v>0.22796610169491524</v>
      </c>
      <c r="J69" s="178">
        <f t="shared" si="16"/>
        <v>2360</v>
      </c>
    </row>
    <row r="70" spans="4:10" x14ac:dyDescent="0.25">
      <c r="D70" s="179">
        <v>45860</v>
      </c>
      <c r="E70" s="177">
        <f t="shared" si="11"/>
        <v>0.46709677419354839</v>
      </c>
      <c r="F70" s="177">
        <f t="shared" si="12"/>
        <v>0.2</v>
      </c>
      <c r="G70" s="177">
        <f t="shared" si="13"/>
        <v>0.11903225806451613</v>
      </c>
      <c r="H70" s="177">
        <f t="shared" si="14"/>
        <v>5.3870967741935484E-2</v>
      </c>
      <c r="I70" s="177">
        <f t="shared" si="15"/>
        <v>0.16</v>
      </c>
      <c r="J70" s="178">
        <f t="shared" si="16"/>
        <v>3100</v>
      </c>
    </row>
    <row r="71" spans="4:10" x14ac:dyDescent="0.25">
      <c r="D71" s="179">
        <v>45861</v>
      </c>
      <c r="E71" s="177">
        <f t="shared" si="11"/>
        <v>0.41712141882673942</v>
      </c>
      <c r="F71" s="177">
        <f t="shared" si="12"/>
        <v>0.20566166439290587</v>
      </c>
      <c r="G71" s="177">
        <f t="shared" si="13"/>
        <v>0.12994542974079126</v>
      </c>
      <c r="H71" s="177">
        <f t="shared" si="14"/>
        <v>6.0368349249658934E-2</v>
      </c>
      <c r="I71" s="177">
        <f t="shared" si="15"/>
        <v>0.1869031377899045</v>
      </c>
      <c r="J71" s="178">
        <f t="shared" si="16"/>
        <v>2932</v>
      </c>
    </row>
    <row r="72" spans="4:10" x14ac:dyDescent="0.25">
      <c r="D72" s="179">
        <v>45862</v>
      </c>
      <c r="E72" s="177">
        <f t="shared" si="11"/>
        <v>0.42207130730050935</v>
      </c>
      <c r="F72" s="177">
        <f t="shared" si="12"/>
        <v>0.20407470288624788</v>
      </c>
      <c r="G72" s="177">
        <f t="shared" si="13"/>
        <v>0.12393887945670629</v>
      </c>
      <c r="H72" s="177">
        <f t="shared" si="14"/>
        <v>6.0780984719864178E-2</v>
      </c>
      <c r="I72" s="177">
        <f t="shared" si="15"/>
        <v>0.18913412563667231</v>
      </c>
      <c r="J72" s="178">
        <f t="shared" si="16"/>
        <v>2945</v>
      </c>
    </row>
    <row r="73" spans="4:10" x14ac:dyDescent="0.25">
      <c r="D73" s="179">
        <v>45863</v>
      </c>
      <c r="E73" s="177">
        <f t="shared" si="11"/>
        <v>0.42439862542955326</v>
      </c>
      <c r="F73" s="177">
        <f t="shared" si="12"/>
        <v>0.21305841924398625</v>
      </c>
      <c r="G73" s="177">
        <f t="shared" si="13"/>
        <v>0.11855670103092783</v>
      </c>
      <c r="H73" s="177">
        <f t="shared" si="14"/>
        <v>5.8419243986254296E-2</v>
      </c>
      <c r="I73" s="177">
        <f t="shared" si="15"/>
        <v>0.18556701030927836</v>
      </c>
      <c r="J73" s="178">
        <f t="shared" si="16"/>
        <v>2910</v>
      </c>
    </row>
    <row r="74" spans="4:10" x14ac:dyDescent="0.25">
      <c r="D74" s="179">
        <v>45864</v>
      </c>
      <c r="E74" s="177">
        <f t="shared" si="11"/>
        <v>0.32668329177057359</v>
      </c>
      <c r="F74" s="177">
        <f t="shared" si="12"/>
        <v>0.24189526184538654</v>
      </c>
      <c r="G74" s="177">
        <f t="shared" si="13"/>
        <v>0.15419783873649209</v>
      </c>
      <c r="H74" s="177">
        <f t="shared" si="14"/>
        <v>6.6500415627597675E-2</v>
      </c>
      <c r="I74" s="177">
        <f t="shared" si="15"/>
        <v>0.21072319201995013</v>
      </c>
      <c r="J74" s="178">
        <f t="shared" si="16"/>
        <v>2406</v>
      </c>
    </row>
    <row r="75" spans="4:10" x14ac:dyDescent="0.25">
      <c r="D75" s="179">
        <v>45865</v>
      </c>
      <c r="E75" s="177" t="e">
        <f t="shared" si="11"/>
        <v>#DIV/0!</v>
      </c>
      <c r="F75" s="177" t="e">
        <f t="shared" si="12"/>
        <v>#DIV/0!</v>
      </c>
      <c r="G75" s="177" t="e">
        <f t="shared" si="13"/>
        <v>#DIV/0!</v>
      </c>
      <c r="H75" s="177" t="e">
        <f t="shared" si="14"/>
        <v>#DIV/0!</v>
      </c>
      <c r="I75" s="177" t="e">
        <f t="shared" si="15"/>
        <v>#DIV/0!</v>
      </c>
      <c r="J75" s="178">
        <f t="shared" si="16"/>
        <v>0</v>
      </c>
    </row>
    <row r="76" spans="4:10" x14ac:dyDescent="0.25">
      <c r="D76" s="179">
        <v>45866</v>
      </c>
      <c r="E76" s="177" t="e">
        <f t="shared" si="11"/>
        <v>#DIV/0!</v>
      </c>
      <c r="F76" s="177" t="e">
        <f t="shared" si="12"/>
        <v>#DIV/0!</v>
      </c>
      <c r="G76" s="177" t="e">
        <f t="shared" si="13"/>
        <v>#DIV/0!</v>
      </c>
      <c r="H76" s="177" t="e">
        <f t="shared" si="14"/>
        <v>#DIV/0!</v>
      </c>
      <c r="I76" s="177" t="e">
        <f t="shared" si="15"/>
        <v>#DIV/0!</v>
      </c>
      <c r="J76" s="178">
        <f t="shared" si="16"/>
        <v>0</v>
      </c>
    </row>
    <row r="77" spans="4:10" x14ac:dyDescent="0.25">
      <c r="D77" s="179">
        <v>45867</v>
      </c>
      <c r="E77" s="177" t="e">
        <f t="shared" si="11"/>
        <v>#DIV/0!</v>
      </c>
      <c r="F77" s="177" t="e">
        <f t="shared" si="12"/>
        <v>#DIV/0!</v>
      </c>
      <c r="G77" s="177" t="e">
        <f t="shared" si="13"/>
        <v>#DIV/0!</v>
      </c>
      <c r="H77" s="177" t="e">
        <f t="shared" si="14"/>
        <v>#DIV/0!</v>
      </c>
      <c r="I77" s="177" t="e">
        <f t="shared" si="15"/>
        <v>#DIV/0!</v>
      </c>
      <c r="J77" s="178">
        <f t="shared" si="16"/>
        <v>0</v>
      </c>
    </row>
    <row r="78" spans="4:10" x14ac:dyDescent="0.25">
      <c r="D78" s="179">
        <v>45868</v>
      </c>
      <c r="E78" s="177" t="e">
        <f t="shared" si="11"/>
        <v>#DIV/0!</v>
      </c>
      <c r="F78" s="177" t="e">
        <f t="shared" si="12"/>
        <v>#DIV/0!</v>
      </c>
      <c r="G78" s="177" t="e">
        <f t="shared" si="13"/>
        <v>#DIV/0!</v>
      </c>
      <c r="H78" s="177" t="e">
        <f t="shared" si="14"/>
        <v>#DIV/0!</v>
      </c>
      <c r="I78" s="177" t="e">
        <f t="shared" si="15"/>
        <v>#DIV/0!</v>
      </c>
      <c r="J78" s="178">
        <f t="shared" si="16"/>
        <v>0</v>
      </c>
    </row>
    <row r="79" spans="4:10" x14ac:dyDescent="0.25">
      <c r="D79" s="179">
        <v>45869</v>
      </c>
      <c r="E79" s="177" t="e">
        <f t="shared" ref="E79" si="22">F45/J79</f>
        <v>#DIV/0!</v>
      </c>
      <c r="F79" s="177" t="e">
        <f t="shared" ref="F79" si="23">L45/J79</f>
        <v>#DIV/0!</v>
      </c>
      <c r="G79" s="177" t="e">
        <f t="shared" ref="G79" si="24">S45/J79</f>
        <v>#DIV/0!</v>
      </c>
      <c r="H79" s="177" t="e">
        <f t="shared" ref="H79" si="25">T45/J79</f>
        <v>#DIV/0!</v>
      </c>
      <c r="I79" s="177" t="e">
        <f t="shared" ref="I79" si="26">X45/J79</f>
        <v>#DIV/0!</v>
      </c>
      <c r="J79" s="178">
        <f t="shared" ref="J79" si="27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phoneticPr fontId="9" type="noConversion"/>
  <conditionalFormatting sqref="L16:L19 L27:L32 L21:L25 L41:L42 L34">
    <cfRule type="cellIs" dxfId="118" priority="376" operator="equal">
      <formula>MAX($L$14:$L$16)</formula>
    </cfRule>
  </conditionalFormatting>
  <conditionalFormatting sqref="T16:T19 T27:T32 T21:T25 T41:T43 T34">
    <cfRule type="cellIs" dxfId="117" priority="377" operator="equal">
      <formula>MAX($T$14:$T$16)</formula>
    </cfRule>
  </conditionalFormatting>
  <conditionalFormatting sqref="X16:X19 X27:X32 X21:X25 X41:X43 X34">
    <cfRule type="cellIs" dxfId="116" priority="378" operator="equal">
      <formula>MAX($X$14:$X$16)</formula>
    </cfRule>
  </conditionalFormatting>
  <conditionalFormatting sqref="J16:J19 J27:J32 J21 J41:J42 J34 J23:J25">
    <cfRule type="cellIs" dxfId="115" priority="379" operator="equal">
      <formula>MAX($J$14:$J$16)</formula>
    </cfRule>
  </conditionalFormatting>
  <conditionalFormatting sqref="V16:V19 V27:V32 V21 V41:V43 V34 V23">
    <cfRule type="cellIs" dxfId="114" priority="380" operator="equal">
      <formula>MAX($V$14:$V$16)</formula>
    </cfRule>
  </conditionalFormatting>
  <conditionalFormatting sqref="D16:D19">
    <cfRule type="cellIs" dxfId="113" priority="381" operator="equal">
      <formula>MAX($D$14:$D$16)</formula>
    </cfRule>
  </conditionalFormatting>
  <conditionalFormatting sqref="S16:S19 S27:S32 S21:S25 S41:S43 S34">
    <cfRule type="cellIs" dxfId="112" priority="382" operator="equal">
      <formula>MAX($S$14:$S$16)</formula>
    </cfRule>
  </conditionalFormatting>
  <conditionalFormatting sqref="N16:N19 N27:N32 N21 N41:N42 N34 N23:N25">
    <cfRule type="cellIs" dxfId="111" priority="383" operator="equal">
      <formula>MAX($N$14:$N$16)</formula>
    </cfRule>
  </conditionalFormatting>
  <conditionalFormatting sqref="P16:P19 P27:P32 P21 P41:P42 P34 P23:P25">
    <cfRule type="cellIs" dxfId="110" priority="384" operator="equal">
      <formula>MAX($P$14:$P$16)</formula>
    </cfRule>
  </conditionalFormatting>
  <conditionalFormatting sqref="L26">
    <cfRule type="cellIs" dxfId="109" priority="308" operator="equal">
      <formula>MAX($L$14:$L$16)</formula>
    </cfRule>
  </conditionalFormatting>
  <conditionalFormatting sqref="T26">
    <cfRule type="cellIs" dxfId="108" priority="309" operator="equal">
      <formula>MAX($T$14:$T$16)</formula>
    </cfRule>
  </conditionalFormatting>
  <conditionalFormatting sqref="X26">
    <cfRule type="cellIs" dxfId="107" priority="310" operator="equal">
      <formula>MAX($X$14:$X$16)</formula>
    </cfRule>
  </conditionalFormatting>
  <conditionalFormatting sqref="J26">
    <cfRule type="cellIs" dxfId="106" priority="311" operator="equal">
      <formula>MAX($J$14:$J$16)</formula>
    </cfRule>
  </conditionalFormatting>
  <conditionalFormatting sqref="V26">
    <cfRule type="cellIs" dxfId="105" priority="312" operator="equal">
      <formula>MAX($V$14:$V$16)</formula>
    </cfRule>
  </conditionalFormatting>
  <conditionalFormatting sqref="S26">
    <cfRule type="cellIs" dxfId="104" priority="314" operator="equal">
      <formula>MAX($S$14:$S$16)</formula>
    </cfRule>
  </conditionalFormatting>
  <conditionalFormatting sqref="N26">
    <cfRule type="cellIs" dxfId="103" priority="315" operator="equal">
      <formula>MAX($N$14:$N$16)</formula>
    </cfRule>
  </conditionalFormatting>
  <conditionalFormatting sqref="P26">
    <cfRule type="cellIs" dxfId="102" priority="316" operator="equal">
      <formula>MAX($P$14:$P$16)</formula>
    </cfRule>
  </conditionalFormatting>
  <conditionalFormatting sqref="D20:D32 D45 D34 D41:D42">
    <cfRule type="cellIs" dxfId="101" priority="294" operator="equal">
      <formula>MAX($D$14:$D$42)</formula>
    </cfRule>
  </conditionalFormatting>
  <conditionalFormatting sqref="L20">
    <cfRule type="cellIs" dxfId="100" priority="285" operator="equal">
      <formula>MAX($L$14:$L$42)</formula>
    </cfRule>
  </conditionalFormatting>
  <conditionalFormatting sqref="T20">
    <cfRule type="cellIs" dxfId="99" priority="286" operator="equal">
      <formula>MAX($T$14:$T$42)</formula>
    </cfRule>
  </conditionalFormatting>
  <conditionalFormatting sqref="X20">
    <cfRule type="cellIs" dxfId="98" priority="287" operator="equal">
      <formula>MAX($X$14:$X$42)</formula>
    </cfRule>
  </conditionalFormatting>
  <conditionalFormatting sqref="J20">
    <cfRule type="cellIs" dxfId="97" priority="288" operator="equal">
      <formula>MAX($J$14:$J$42)</formula>
    </cfRule>
  </conditionalFormatting>
  <conditionalFormatting sqref="V20">
    <cfRule type="cellIs" dxfId="96" priority="289" operator="equal">
      <formula>MAX($V$14:$V$42)</formula>
    </cfRule>
  </conditionalFormatting>
  <conditionalFormatting sqref="S20">
    <cfRule type="cellIs" dxfId="95" priority="290" operator="equal">
      <formula>MAX($S$14:$S$42)</formula>
    </cfRule>
  </conditionalFormatting>
  <conditionalFormatting sqref="N20">
    <cfRule type="cellIs" dxfId="94" priority="291" operator="equal">
      <formula>MAX($N$14:$N$42)</formula>
    </cfRule>
  </conditionalFormatting>
  <conditionalFormatting sqref="P20">
    <cfRule type="cellIs" dxfId="93" priority="292" operator="equal">
      <formula>MAX($P$14:$P$42)</formula>
    </cfRule>
  </conditionalFormatting>
  <conditionalFormatting sqref="E48:E64">
    <cfRule type="top10" dxfId="92" priority="284" rank="2"/>
  </conditionalFormatting>
  <conditionalFormatting sqref="F48:F79">
    <cfRule type="top10" dxfId="91" priority="283" rank="2"/>
  </conditionalFormatting>
  <conditionalFormatting sqref="G48:G64">
    <cfRule type="top10" dxfId="90" priority="282" rank="2"/>
  </conditionalFormatting>
  <conditionalFormatting sqref="H48:H64">
    <cfRule type="top10" dxfId="89" priority="281" rank="2"/>
  </conditionalFormatting>
  <conditionalFormatting sqref="I48:I64">
    <cfRule type="top10" dxfId="88" priority="280" rank="2"/>
  </conditionalFormatting>
  <conditionalFormatting sqref="V24">
    <cfRule type="cellIs" dxfId="87" priority="250" operator="equal">
      <formula>MAX($J$14:$J$16)</formula>
    </cfRule>
  </conditionalFormatting>
  <conditionalFormatting sqref="V25">
    <cfRule type="cellIs" dxfId="86" priority="249" operator="equal">
      <formula>MAX($J$14:$J$16)</formula>
    </cfRule>
  </conditionalFormatting>
  <conditionalFormatting sqref="G18:G32 G34 G41:G45">
    <cfRule type="cellIs" dxfId="85" priority="238" operator="equal">
      <formula>MAX($G$14:$G$16)</formula>
    </cfRule>
  </conditionalFormatting>
  <conditionalFormatting sqref="L45">
    <cfRule type="cellIs" dxfId="84" priority="228" operator="equal">
      <formula>MAX($L$14:$L$16)</formula>
    </cfRule>
  </conditionalFormatting>
  <conditionalFormatting sqref="T45">
    <cfRule type="cellIs" dxfId="83" priority="229" operator="equal">
      <formula>MAX($T$14:$T$16)</formula>
    </cfRule>
  </conditionalFormatting>
  <conditionalFormatting sqref="X45">
    <cfRule type="cellIs" dxfId="82" priority="230" operator="equal">
      <formula>MAX($X$14:$X$16)</formula>
    </cfRule>
  </conditionalFormatting>
  <conditionalFormatting sqref="J45">
    <cfRule type="cellIs" dxfId="81" priority="231" operator="equal">
      <formula>MAX($J$14:$J$16)</formula>
    </cfRule>
  </conditionalFormatting>
  <conditionalFormatting sqref="V45">
    <cfRule type="cellIs" dxfId="80" priority="232" operator="equal">
      <formula>MAX($V$14:$V$16)</formula>
    </cfRule>
  </conditionalFormatting>
  <conditionalFormatting sqref="S45">
    <cfRule type="cellIs" dxfId="79" priority="234" operator="equal">
      <formula>MAX($S$14:$S$16)</formula>
    </cfRule>
  </conditionalFormatting>
  <conditionalFormatting sqref="N45">
    <cfRule type="cellIs" dxfId="78" priority="235" operator="equal">
      <formula>MAX($N$14:$N$16)</formula>
    </cfRule>
  </conditionalFormatting>
  <conditionalFormatting sqref="P45">
    <cfRule type="cellIs" dxfId="77" priority="236" operator="equal">
      <formula>MAX($P$14:$P$16)</formula>
    </cfRule>
  </conditionalFormatting>
  <conditionalFormatting sqref="N43">
    <cfRule type="cellIs" dxfId="76" priority="187" operator="equal">
      <formula>MAX($N$14:$N$16)</formula>
    </cfRule>
  </conditionalFormatting>
  <conditionalFormatting sqref="P43">
    <cfRule type="cellIs" dxfId="75" priority="188" operator="equal">
      <formula>MAX($P$14:$P$16)</formula>
    </cfRule>
  </conditionalFormatting>
  <conditionalFormatting sqref="L43">
    <cfRule type="cellIs" dxfId="74" priority="183" operator="equal">
      <formula>MAX($L$14:$L$16)</formula>
    </cfRule>
  </conditionalFormatting>
  <conditionalFormatting sqref="J43">
    <cfRule type="cellIs" dxfId="73" priority="184" operator="equal">
      <formula>MAX($J$14:$J$16)</formula>
    </cfRule>
  </conditionalFormatting>
  <conditionalFormatting sqref="D43">
    <cfRule type="cellIs" dxfId="72" priority="181" operator="equal">
      <formula>MAX($D$14:$D$42)</formula>
    </cfRule>
  </conditionalFormatting>
  <conditionalFormatting sqref="L33">
    <cfRule type="cellIs" dxfId="71" priority="136" operator="equal">
      <formula>MAX($L$14:$L$16)</formula>
    </cfRule>
  </conditionalFormatting>
  <conditionalFormatting sqref="T33">
    <cfRule type="cellIs" dxfId="70" priority="137" operator="equal">
      <formula>MAX($T$14:$T$16)</formula>
    </cfRule>
  </conditionalFormatting>
  <conditionalFormatting sqref="X33">
    <cfRule type="cellIs" dxfId="69" priority="138" operator="equal">
      <formula>MAX($X$14:$X$16)</formula>
    </cfRule>
  </conditionalFormatting>
  <conditionalFormatting sqref="J33">
    <cfRule type="cellIs" dxfId="68" priority="139" operator="equal">
      <formula>MAX($J$14:$J$16)</formula>
    </cfRule>
  </conditionalFormatting>
  <conditionalFormatting sqref="V33">
    <cfRule type="cellIs" dxfId="67" priority="140" operator="equal">
      <formula>MAX($V$14:$V$16)</formula>
    </cfRule>
  </conditionalFormatting>
  <conditionalFormatting sqref="S33">
    <cfRule type="cellIs" dxfId="66" priority="141" operator="equal">
      <formula>MAX($S$14:$S$16)</formula>
    </cfRule>
  </conditionalFormatting>
  <conditionalFormatting sqref="N33">
    <cfRule type="cellIs" dxfId="65" priority="142" operator="equal">
      <formula>MAX($N$14:$N$16)</formula>
    </cfRule>
  </conditionalFormatting>
  <conditionalFormatting sqref="P33">
    <cfRule type="cellIs" dxfId="64" priority="143" operator="equal">
      <formula>MAX($P$14:$P$16)</formula>
    </cfRule>
  </conditionalFormatting>
  <conditionalFormatting sqref="D33">
    <cfRule type="cellIs" dxfId="63" priority="135" operator="equal">
      <formula>MAX($D$14:$D$42)</formula>
    </cfRule>
  </conditionalFormatting>
  <conditionalFormatting sqref="G33">
    <cfRule type="cellIs" dxfId="62" priority="134" operator="equal">
      <formula>MAX($G$14:$G$16)</formula>
    </cfRule>
  </conditionalFormatting>
  <conditionalFormatting sqref="G16:G17">
    <cfRule type="cellIs" dxfId="61" priority="122" operator="equal">
      <formula>MAX($G$14:$G$16)</formula>
    </cfRule>
  </conditionalFormatting>
  <conditionalFormatting sqref="D44">
    <cfRule type="cellIs" dxfId="60" priority="93" operator="equal">
      <formula>MAX($D$14:$D$42)</formula>
    </cfRule>
  </conditionalFormatting>
  <conditionalFormatting sqref="L44">
    <cfRule type="cellIs" dxfId="59" priority="89" operator="equal">
      <formula>MAX($L$14:$L$16)</formula>
    </cfRule>
  </conditionalFormatting>
  <conditionalFormatting sqref="J44">
    <cfRule type="cellIs" dxfId="58" priority="90" operator="equal">
      <formula>MAX($J$14:$J$16)</formula>
    </cfRule>
  </conditionalFormatting>
  <conditionalFormatting sqref="N44">
    <cfRule type="cellIs" dxfId="57" priority="85" operator="equal">
      <formula>MAX($N$14:$N$16)</formula>
    </cfRule>
  </conditionalFormatting>
  <conditionalFormatting sqref="P44">
    <cfRule type="cellIs" dxfId="56" priority="86" operator="equal">
      <formula>MAX($P$14:$P$16)</formula>
    </cfRule>
  </conditionalFormatting>
  <conditionalFormatting sqref="T44">
    <cfRule type="cellIs" dxfId="55" priority="81" operator="equal">
      <formula>MAX($T$14:$T$16)</formula>
    </cfRule>
  </conditionalFormatting>
  <conditionalFormatting sqref="S44">
    <cfRule type="cellIs" dxfId="54" priority="82" operator="equal">
      <formula>MAX($S$14:$S$16)</formula>
    </cfRule>
  </conditionalFormatting>
  <conditionalFormatting sqref="X44">
    <cfRule type="cellIs" dxfId="53" priority="77" operator="equal">
      <formula>MAX($X$14:$X$16)</formula>
    </cfRule>
  </conditionalFormatting>
  <conditionalFormatting sqref="V44">
    <cfRule type="cellIs" dxfId="52" priority="78" operator="equal">
      <formula>MAX($V$14:$V$16)</formula>
    </cfRule>
  </conditionalFormatting>
  <conditionalFormatting sqref="V22">
    <cfRule type="cellIs" dxfId="51" priority="55" operator="equal">
      <formula>MAX($V$14:$V$16)</formula>
    </cfRule>
  </conditionalFormatting>
  <conditionalFormatting sqref="N22">
    <cfRule type="cellIs" dxfId="50" priority="51" operator="equal">
      <formula>MAX($N$14:$N$16)</formula>
    </cfRule>
  </conditionalFormatting>
  <conditionalFormatting sqref="P22">
    <cfRule type="cellIs" dxfId="49" priority="52" operator="equal">
      <formula>MAX($P$14:$P$16)</formula>
    </cfRule>
  </conditionalFormatting>
  <conditionalFormatting sqref="J22">
    <cfRule type="cellIs" dxfId="48" priority="49" operator="equal">
      <formula>MAX($J$14:$J$16)</formula>
    </cfRule>
  </conditionalFormatting>
  <conditionalFormatting sqref="D15">
    <cfRule type="cellIs" dxfId="47" priority="48" operator="equal">
      <formula>MAX($D$14:$D$42)</formula>
    </cfRule>
  </conditionalFormatting>
  <conditionalFormatting sqref="G14:G15">
    <cfRule type="cellIs" dxfId="46" priority="47" operator="equal">
      <formula>MAX($G$14:$G$16)</formula>
    </cfRule>
  </conditionalFormatting>
  <conditionalFormatting sqref="L15">
    <cfRule type="cellIs" dxfId="45" priority="39" operator="equal">
      <formula>MAX($L$14:$L$16)</formula>
    </cfRule>
  </conditionalFormatting>
  <conditionalFormatting sqref="T15">
    <cfRule type="cellIs" dxfId="44" priority="40" operator="equal">
      <formula>MAX($T$14:$T$16)</formula>
    </cfRule>
  </conditionalFormatting>
  <conditionalFormatting sqref="X15">
    <cfRule type="cellIs" dxfId="43" priority="41" operator="equal">
      <formula>MAX($X$14:$X$16)</formula>
    </cfRule>
  </conditionalFormatting>
  <conditionalFormatting sqref="J15">
    <cfRule type="cellIs" dxfId="42" priority="42" operator="equal">
      <formula>MAX($J$14:$J$16)</formula>
    </cfRule>
  </conditionalFormatting>
  <conditionalFormatting sqref="V15">
    <cfRule type="cellIs" dxfId="41" priority="43" operator="equal">
      <formula>MAX($V$14:$V$16)</formula>
    </cfRule>
  </conditionalFormatting>
  <conditionalFormatting sqref="S15">
    <cfRule type="cellIs" dxfId="40" priority="44" operator="equal">
      <formula>MAX($S$14:$S$16)</formula>
    </cfRule>
  </conditionalFormatting>
  <conditionalFormatting sqref="N15">
    <cfRule type="cellIs" dxfId="39" priority="45" operator="equal">
      <formula>MAX($N$14:$N$16)</formula>
    </cfRule>
  </conditionalFormatting>
  <conditionalFormatting sqref="P15">
    <cfRule type="cellIs" dxfId="38" priority="46" operator="equal">
      <formula>MAX($P$14:$P$16)</formula>
    </cfRule>
  </conditionalFormatting>
  <conditionalFormatting sqref="D14">
    <cfRule type="cellIs" dxfId="37" priority="38" operator="equal">
      <formula>MAX($D$14:$D$42)</formula>
    </cfRule>
  </conditionalFormatting>
  <conditionalFormatting sqref="L14">
    <cfRule type="cellIs" dxfId="36" priority="36" operator="equal">
      <formula>MAX($L$14:$L$16)</formula>
    </cfRule>
  </conditionalFormatting>
  <conditionalFormatting sqref="J14">
    <cfRule type="cellIs" dxfId="35" priority="37" operator="equal">
      <formula>MAX($J$14:$J$16)</formula>
    </cfRule>
  </conditionalFormatting>
  <conditionalFormatting sqref="N14">
    <cfRule type="cellIs" dxfId="34" priority="34" operator="equal">
      <formula>MAX($N$14:$N$16)</formula>
    </cfRule>
  </conditionalFormatting>
  <conditionalFormatting sqref="P14">
    <cfRule type="cellIs" dxfId="33" priority="35" operator="equal">
      <formula>MAX($P$14:$P$16)</formula>
    </cfRule>
  </conditionalFormatting>
  <conditionalFormatting sqref="T14">
    <cfRule type="cellIs" dxfId="32" priority="32" operator="equal">
      <formula>MAX($T$14:$T$16)</formula>
    </cfRule>
  </conditionalFormatting>
  <conditionalFormatting sqref="S14">
    <cfRule type="cellIs" dxfId="31" priority="33" operator="equal">
      <formula>MAX($S$14:$S$16)</formula>
    </cfRule>
  </conditionalFormatting>
  <conditionalFormatting sqref="X14">
    <cfRule type="cellIs" dxfId="30" priority="30" operator="equal">
      <formula>MAX($X$14:$X$16)</formula>
    </cfRule>
  </conditionalFormatting>
  <conditionalFormatting sqref="V14">
    <cfRule type="cellIs" dxfId="29" priority="31" operator="equal">
      <formula>MAX($V$14:$V$16)</formula>
    </cfRule>
  </conditionalFormatting>
  <conditionalFormatting sqref="L35:L37">
    <cfRule type="cellIs" dxfId="28" priority="22" operator="equal">
      <formula>MAX($L$14:$L$16)</formula>
    </cfRule>
  </conditionalFormatting>
  <conditionalFormatting sqref="T35:T37">
    <cfRule type="cellIs" dxfId="27" priority="23" operator="equal">
      <formula>MAX($T$14:$T$16)</formula>
    </cfRule>
  </conditionalFormatting>
  <conditionalFormatting sqref="X35:X37">
    <cfRule type="cellIs" dxfId="26" priority="24" operator="equal">
      <formula>MAX($X$14:$X$16)</formula>
    </cfRule>
  </conditionalFormatting>
  <conditionalFormatting sqref="J35:J37">
    <cfRule type="cellIs" dxfId="25" priority="25" operator="equal">
      <formula>MAX($J$14:$J$16)</formula>
    </cfRule>
  </conditionalFormatting>
  <conditionalFormatting sqref="V35:V37">
    <cfRule type="cellIs" dxfId="24" priority="26" operator="equal">
      <formula>MAX($V$14:$V$16)</formula>
    </cfRule>
  </conditionalFormatting>
  <conditionalFormatting sqref="S35:S37">
    <cfRule type="cellIs" dxfId="23" priority="27" operator="equal">
      <formula>MAX($S$14:$S$16)</formula>
    </cfRule>
  </conditionalFormatting>
  <conditionalFormatting sqref="N35:N37">
    <cfRule type="cellIs" dxfId="22" priority="28" operator="equal">
      <formula>MAX($N$14:$N$16)</formula>
    </cfRule>
  </conditionalFormatting>
  <conditionalFormatting sqref="P35:P37">
    <cfRule type="cellIs" dxfId="21" priority="29" operator="equal">
      <formula>MAX($P$14:$P$16)</formula>
    </cfRule>
  </conditionalFormatting>
  <conditionalFormatting sqref="D35:D37">
    <cfRule type="cellIs" dxfId="20" priority="21" operator="equal">
      <formula>MAX($D$14:$D$42)</formula>
    </cfRule>
  </conditionalFormatting>
  <conditionalFormatting sqref="G35:G37">
    <cfRule type="cellIs" dxfId="19" priority="20" operator="equal">
      <formula>MAX($G$14:$G$16)</formula>
    </cfRule>
  </conditionalFormatting>
  <conditionalFormatting sqref="L38:L39">
    <cfRule type="cellIs" dxfId="18" priority="12" operator="equal">
      <formula>MAX($L$14:$L$16)</formula>
    </cfRule>
  </conditionalFormatting>
  <conditionalFormatting sqref="T38:T39">
    <cfRule type="cellIs" dxfId="17" priority="13" operator="equal">
      <formula>MAX($T$14:$T$16)</formula>
    </cfRule>
  </conditionalFormatting>
  <conditionalFormatting sqref="X38:X39">
    <cfRule type="cellIs" dxfId="16" priority="14" operator="equal">
      <formula>MAX($X$14:$X$16)</formula>
    </cfRule>
  </conditionalFormatting>
  <conditionalFormatting sqref="J38:J39">
    <cfRule type="cellIs" dxfId="15" priority="15" operator="equal">
      <formula>MAX($J$14:$J$16)</formula>
    </cfRule>
  </conditionalFormatting>
  <conditionalFormatting sqref="V38:V39">
    <cfRule type="cellIs" dxfId="14" priority="16" operator="equal">
      <formula>MAX($V$14:$V$16)</formula>
    </cfRule>
  </conditionalFormatting>
  <conditionalFormatting sqref="S38:S39">
    <cfRule type="cellIs" dxfId="13" priority="17" operator="equal">
      <formula>MAX($S$14:$S$16)</formula>
    </cfRule>
  </conditionalFormatting>
  <conditionalFormatting sqref="N38:N39">
    <cfRule type="cellIs" dxfId="12" priority="18" operator="equal">
      <formula>MAX($N$14:$N$16)</formula>
    </cfRule>
  </conditionalFormatting>
  <conditionalFormatting sqref="P39">
    <cfRule type="cellIs" dxfId="11" priority="19" operator="equal">
      <formula>MAX($P$14:$P$16)</formula>
    </cfRule>
  </conditionalFormatting>
  <conditionalFormatting sqref="L40">
    <cfRule type="cellIs" dxfId="10" priority="4" operator="equal">
      <formula>MAX($L$14:$L$16)</formula>
    </cfRule>
  </conditionalFormatting>
  <conditionalFormatting sqref="T40">
    <cfRule type="cellIs" dxfId="9" priority="5" operator="equal">
      <formula>MAX($T$14:$T$16)</formula>
    </cfRule>
  </conditionalFormatting>
  <conditionalFormatting sqref="X40">
    <cfRule type="cellIs" dxfId="8" priority="6" operator="equal">
      <formula>MAX($X$14:$X$16)</formula>
    </cfRule>
  </conditionalFormatting>
  <conditionalFormatting sqref="J40">
    <cfRule type="cellIs" dxfId="7" priority="7" operator="equal">
      <formula>MAX($J$14:$J$16)</formula>
    </cfRule>
  </conditionalFormatting>
  <conditionalFormatting sqref="V40">
    <cfRule type="cellIs" dxfId="6" priority="8" operator="equal">
      <formula>MAX($V$14:$V$16)</formula>
    </cfRule>
  </conditionalFormatting>
  <conditionalFormatting sqref="S40">
    <cfRule type="cellIs" dxfId="5" priority="9" operator="equal">
      <formula>MAX($S$14:$S$16)</formula>
    </cfRule>
  </conditionalFormatting>
  <conditionalFormatting sqref="N40">
    <cfRule type="cellIs" dxfId="4" priority="10" operator="equal">
      <formula>MAX($N$14:$N$16)</formula>
    </cfRule>
  </conditionalFormatting>
  <conditionalFormatting sqref="P40">
    <cfRule type="cellIs" dxfId="3" priority="11" operator="equal">
      <formula>MAX($P$14:$P$16)</formula>
    </cfRule>
  </conditionalFormatting>
  <conditionalFormatting sqref="D38:D40">
    <cfRule type="cellIs" dxfId="2" priority="3" operator="equal">
      <formula>MAX($D$14:$D$42)</formula>
    </cfRule>
  </conditionalFormatting>
  <conditionalFormatting sqref="G38:G40">
    <cfRule type="cellIs" dxfId="1" priority="2" operator="equal">
      <formula>MAX($G$14:$G$16)</formula>
    </cfRule>
  </conditionalFormatting>
  <conditionalFormatting sqref="P38">
    <cfRule type="cellIs" dxfId="0" priority="1" operator="equal">
      <formula>MAX($P$14:$P$16)</formula>
    </cfRule>
  </conditionalFormatting>
  <pageMargins left="0.7" right="0.7" top="0.75" bottom="0.75" header="0.3" footer="0.3"/>
  <pageSetup paperSize="9" scale="64" orientation="portrait" horizontalDpi="4294967295" verticalDpi="4294967295" r:id="rId1"/>
  <colBreaks count="1" manualBreakCount="1">
    <brk id="25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2F8AAD19-02EA-4280-B365-8810DF5CEE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450C23-B9A2-45D4-8942-0C308DF3F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BCA511-7B91-4B72-B4F3-8175C2C806EF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2026-07-27T13:40:22Z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