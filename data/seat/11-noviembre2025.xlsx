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10.30.76\Carpetas Red\PCD\CONSUMO ENERGETICO\CONSUMO ENERGETICO DIARIO\Energia 2025\NOVIEMBRE 2025\"/>
    </mc:Choice>
  </mc:AlternateContent>
  <xr:revisionPtr revIDLastSave="0" documentId="13_ncr:1_{9F2F3EFB-AD05-4AA3-AB98-84B2185EECFA}" xr6:coauthVersionLast="47" xr6:coauthVersionMax="47" xr10:uidLastSave="{00000000-0000-0000-0000-000000000000}"/>
  <bookViews>
    <workbookView xWindow="-108" yWindow="-108" windowWidth="17016" windowHeight="12096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5" i="1" l="1"/>
  <c r="H35" i="1" s="1"/>
  <c r="F35" i="1" s="1"/>
  <c r="BB34" i="1"/>
  <c r="H34" i="1" s="1"/>
  <c r="BA33" i="1"/>
  <c r="I41" i="2"/>
  <c r="AN30" i="1"/>
  <c r="BB25" i="1"/>
  <c r="H25" i="1" s="1"/>
  <c r="BB24" i="1"/>
  <c r="H24" i="1" s="1"/>
  <c r="BB29" i="1"/>
  <c r="H29" i="1" s="1"/>
  <c r="F29" i="1" s="1"/>
  <c r="H23" i="1"/>
  <c r="BA13" i="1"/>
  <c r="AY13" i="1" s="1"/>
  <c r="BB12" i="1"/>
  <c r="H11" i="1"/>
  <c r="F11" i="1" s="1"/>
  <c r="H12" i="1"/>
  <c r="H13" i="1"/>
  <c r="H14" i="1"/>
  <c r="H15" i="1"/>
  <c r="H16" i="1"/>
  <c r="F16" i="1" s="1"/>
  <c r="H17" i="1"/>
  <c r="F17" i="1" s="1"/>
  <c r="H18" i="1"/>
  <c r="H19" i="1"/>
  <c r="H20" i="1"/>
  <c r="F20" i="1" s="1"/>
  <c r="H21" i="1"/>
  <c r="F21" i="1" s="1"/>
  <c r="H22" i="1"/>
  <c r="F22" i="1" s="1"/>
  <c r="H26" i="1"/>
  <c r="F26" i="1" s="1"/>
  <c r="H27" i="1"/>
  <c r="H28" i="1"/>
  <c r="H30" i="1"/>
  <c r="H31" i="1"/>
  <c r="H32" i="1"/>
  <c r="H33" i="1"/>
  <c r="H36" i="1"/>
  <c r="F36" i="1" s="1"/>
  <c r="H37" i="1"/>
  <c r="F3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BB11" i="1"/>
  <c r="R45" i="2"/>
  <c r="G45" i="2"/>
  <c r="AD37" i="1"/>
  <c r="AF37" i="1"/>
  <c r="AC37" i="1" s="1"/>
  <c r="AN37" i="1"/>
  <c r="AP37" i="1"/>
  <c r="AM37" i="1" s="1"/>
  <c r="AX37" i="1"/>
  <c r="BA37" i="1"/>
  <c r="AY37" i="1" s="1"/>
  <c r="BL37" i="1"/>
  <c r="BK37" i="1" s="1"/>
  <c r="H10" i="1"/>
  <c r="R14" i="2"/>
  <c r="M14" i="2"/>
  <c r="G14" i="2"/>
  <c r="BL6" i="1"/>
  <c r="BK6" i="1"/>
  <c r="BJ6" i="1"/>
  <c r="BA6" i="1"/>
  <c r="AW6" i="1" s="1"/>
  <c r="AY6" i="1"/>
  <c r="AX6" i="1"/>
  <c r="AP6" i="1"/>
  <c r="AM6" i="1" s="1"/>
  <c r="AN6" i="1"/>
  <c r="AF6" i="1"/>
  <c r="AC6" i="1" s="1"/>
  <c r="AD6" i="1"/>
  <c r="H6" i="1"/>
  <c r="G6" i="1" s="1"/>
  <c r="D6" i="1"/>
  <c r="AF36" i="1"/>
  <c r="H9" i="1"/>
  <c r="H8" i="1"/>
  <c r="F34" i="1" l="1"/>
  <c r="F33" i="1"/>
  <c r="F32" i="1"/>
  <c r="F31" i="1"/>
  <c r="F30" i="1"/>
  <c r="F28" i="1"/>
  <c r="F27" i="1"/>
  <c r="F25" i="1"/>
  <c r="F24" i="1"/>
  <c r="F23" i="1"/>
  <c r="F19" i="1"/>
  <c r="F18" i="1"/>
  <c r="F15" i="1"/>
  <c r="F14" i="1"/>
  <c r="F13" i="1"/>
  <c r="F12" i="1"/>
  <c r="I37" i="1"/>
  <c r="M37" i="1" s="1"/>
  <c r="I6" i="1"/>
  <c r="M6" i="1" s="1"/>
  <c r="L6" i="1"/>
  <c r="P6" i="1" s="1"/>
  <c r="K6" i="1"/>
  <c r="O6" i="1" s="1"/>
  <c r="F6" i="1"/>
  <c r="E6" i="1" s="1"/>
  <c r="G37" i="1"/>
  <c r="AW37" i="1"/>
  <c r="J37" i="1"/>
  <c r="N37" i="1" s="1"/>
  <c r="L37" i="1"/>
  <c r="P37" i="1" s="1"/>
  <c r="K37" i="1"/>
  <c r="O37" i="1" s="1"/>
  <c r="E37" i="1"/>
  <c r="BJ37" i="1"/>
  <c r="J6" i="1"/>
  <c r="N6" i="1" s="1"/>
  <c r="BL26" i="1"/>
  <c r="BA19" i="1"/>
  <c r="AP27" i="1" l="1"/>
  <c r="AF22" i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15" i="2"/>
  <c r="G16" i="2"/>
  <c r="G17" i="2"/>
  <c r="G18" i="2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0" i="1"/>
  <c r="AP31" i="1"/>
  <c r="AP32" i="1"/>
  <c r="AP33" i="1"/>
  <c r="AP34" i="1"/>
  <c r="AP35" i="1"/>
  <c r="AP36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3" i="1"/>
  <c r="AW13" i="1"/>
  <c r="AX14" i="1"/>
  <c r="BA14" i="1"/>
  <c r="AY14" i="1" s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AW19" i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5" i="1"/>
  <c r="BA25" i="1"/>
  <c r="AW25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2" i="1"/>
  <c r="BA32" i="1"/>
  <c r="AY32" i="1" s="1"/>
  <c r="AX33" i="1"/>
  <c r="AW33" i="1"/>
  <c r="AX34" i="1"/>
  <c r="BA34" i="1"/>
  <c r="AY34" i="1" s="1"/>
  <c r="AX35" i="1"/>
  <c r="BA35" i="1"/>
  <c r="AW35" i="1" s="1"/>
  <c r="AX36" i="1"/>
  <c r="BA36" i="1"/>
  <c r="AY36" i="1" s="1"/>
  <c r="AW32" i="1" l="1"/>
  <c r="AY29" i="1"/>
  <c r="AW36" i="1"/>
  <c r="AY31" i="1"/>
  <c r="AW30" i="1"/>
  <c r="BA8" i="1"/>
  <c r="AW34" i="1"/>
  <c r="AW10" i="1"/>
  <c r="BA9" i="1"/>
  <c r="AY7" i="1"/>
  <c r="AX28" i="1"/>
  <c r="AY12" i="1"/>
  <c r="AY33" i="1"/>
  <c r="AY35" i="1"/>
  <c r="AW28" i="1"/>
  <c r="AY28" i="1"/>
  <c r="AW26" i="1"/>
  <c r="AW24" i="1"/>
  <c r="AW22" i="1"/>
  <c r="AW20" i="1"/>
  <c r="AW18" i="1"/>
  <c r="AW16" i="1"/>
  <c r="AW14" i="1"/>
  <c r="AY27" i="1"/>
  <c r="AY25" i="1"/>
  <c r="AY23" i="1"/>
  <c r="AY21" i="1"/>
  <c r="AY19" i="1"/>
  <c r="AY17" i="1"/>
  <c r="AY15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E36" i="1" l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L7" i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AD11" i="1"/>
  <c r="AC15" i="1"/>
  <c r="AM15" i="1"/>
  <c r="H7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BI21" i="1" l="1"/>
  <c r="BI22" i="1" s="1"/>
  <c r="BI23" i="1" s="1"/>
  <c r="BI24" i="1" s="1"/>
  <c r="BI25" i="1" s="1"/>
  <c r="BI26" i="1" s="1"/>
  <c r="BI27" i="1" s="1"/>
  <c r="BI28" i="1" s="1"/>
  <c r="AB36" i="1"/>
  <c r="AB37" i="1" s="1"/>
  <c r="Q36" i="1"/>
  <c r="Q37" i="1" s="1"/>
  <c r="AV36" i="1"/>
  <c r="AV37" i="1" s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BI29" i="1" l="1"/>
  <c r="BI30" i="1" s="1"/>
  <c r="BI31" i="1" s="1"/>
  <c r="BI32" i="1" s="1"/>
  <c r="BI33" i="1" s="1"/>
  <c r="BI34" i="1" s="1"/>
  <c r="BI35" i="1" s="1"/>
  <c r="BI36" i="1" s="1"/>
  <c r="BI37" i="1" s="1"/>
  <c r="R20" i="2"/>
  <c r="S39" i="1" l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6" i="2"/>
  <c r="R35" i="2"/>
  <c r="R34" i="2"/>
  <c r="R33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AD24" i="1"/>
  <c r="AC24" i="1"/>
  <c r="AN24" i="1"/>
  <c r="AM24" i="1"/>
  <c r="BL24" i="1"/>
  <c r="BJ24" i="1" s="1"/>
  <c r="AD25" i="1"/>
  <c r="AC25" i="1"/>
  <c r="AN25" i="1"/>
  <c r="AM25" i="1"/>
  <c r="BL25" i="1"/>
  <c r="BK25" i="1" s="1"/>
  <c r="AD26" i="1"/>
  <c r="AC26" i="1"/>
  <c r="AN26" i="1"/>
  <c r="BJ26" i="1"/>
  <c r="AD27" i="1"/>
  <c r="AC27" i="1"/>
  <c r="AN27" i="1"/>
  <c r="BL27" i="1"/>
  <c r="BK27" i="1" s="1"/>
  <c r="AD28" i="1"/>
  <c r="AC28" i="1"/>
  <c r="AN28" i="1"/>
  <c r="BL28" i="1"/>
  <c r="BJ28" i="1" s="1"/>
  <c r="AD29" i="1"/>
  <c r="AC29" i="1"/>
  <c r="AN29" i="1"/>
  <c r="BL29" i="1"/>
  <c r="BK29" i="1" s="1"/>
  <c r="AD30" i="1"/>
  <c r="AC30" i="1"/>
  <c r="BL30" i="1"/>
  <c r="BJ30" i="1" s="1"/>
  <c r="AC31" i="1"/>
  <c r="AN31" i="1"/>
  <c r="BL31" i="1"/>
  <c r="BK31" i="1" s="1"/>
  <c r="AD32" i="1"/>
  <c r="AC32" i="1"/>
  <c r="AN32" i="1"/>
  <c r="BL32" i="1"/>
  <c r="BJ32" i="1" s="1"/>
  <c r="AD34" i="1"/>
  <c r="AC34" i="1"/>
  <c r="AN34" i="1"/>
  <c r="BL34" i="1"/>
  <c r="BK34" i="1" s="1"/>
  <c r="AD35" i="1"/>
  <c r="AC35" i="1"/>
  <c r="AN35" i="1"/>
  <c r="BL35" i="1"/>
  <c r="BK35" i="1" s="1"/>
  <c r="AC11" i="1"/>
  <c r="AN11" i="1"/>
  <c r="AM11" i="1"/>
  <c r="BL11" i="1"/>
  <c r="AD12" i="1"/>
  <c r="AC12" i="1"/>
  <c r="AN12" i="1"/>
  <c r="AM12" i="1"/>
  <c r="BL12" i="1"/>
  <c r="BK12" i="1" s="1"/>
  <c r="AD13" i="1"/>
  <c r="AC13" i="1"/>
  <c r="AN13" i="1"/>
  <c r="AM13" i="1"/>
  <c r="BL13" i="1"/>
  <c r="BK13" i="1" s="1"/>
  <c r="AD14" i="1"/>
  <c r="AC14" i="1"/>
  <c r="AN14" i="1"/>
  <c r="AM14" i="1"/>
  <c r="BL14" i="1"/>
  <c r="BK14" i="1" s="1"/>
  <c r="AD16" i="1"/>
  <c r="AC16" i="1"/>
  <c r="AN16" i="1"/>
  <c r="AM16" i="1"/>
  <c r="BL16" i="1"/>
  <c r="BK16" i="1" s="1"/>
  <c r="AD17" i="1"/>
  <c r="AC17" i="1"/>
  <c r="AN17" i="1"/>
  <c r="AM17" i="1"/>
  <c r="BL17" i="1"/>
  <c r="AD18" i="1"/>
  <c r="AC18" i="1"/>
  <c r="AN18" i="1"/>
  <c r="AM18" i="1"/>
  <c r="BL18" i="1"/>
  <c r="BK18" i="1" s="1"/>
  <c r="AD19" i="1"/>
  <c r="AD20" i="1"/>
  <c r="AC20" i="1"/>
  <c r="AN20" i="1"/>
  <c r="AM20" i="1"/>
  <c r="BL20" i="1"/>
  <c r="AD21" i="1"/>
  <c r="AC21" i="1"/>
  <c r="AN21" i="1"/>
  <c r="AM21" i="1"/>
  <c r="BL21" i="1"/>
  <c r="AD22" i="1"/>
  <c r="AC22" i="1"/>
  <c r="AN22" i="1"/>
  <c r="AM22" i="1"/>
  <c r="BL22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E13" i="1"/>
  <c r="BK32" i="1"/>
  <c r="G24" i="1"/>
  <c r="I19" i="1"/>
  <c r="M19" i="1" s="1"/>
  <c r="G15" i="1"/>
  <c r="BJ25" i="1"/>
  <c r="BK19" i="1"/>
  <c r="E16" i="1"/>
  <c r="BJ35" i="1"/>
  <c r="BJ34" i="1"/>
  <c r="E35" i="1"/>
  <c r="E34" i="1"/>
  <c r="E33" i="1"/>
  <c r="E32" i="1"/>
  <c r="BJ31" i="1"/>
  <c r="E31" i="1"/>
  <c r="BK30" i="1"/>
  <c r="E30" i="1"/>
  <c r="BJ29" i="1"/>
  <c r="E29" i="1"/>
  <c r="BJ27" i="1"/>
  <c r="G18" i="1"/>
  <c r="E18" i="1"/>
  <c r="G19" i="1"/>
  <c r="E17" i="1"/>
  <c r="E19" i="1"/>
  <c r="G17" i="1"/>
  <c r="G16" i="1"/>
  <c r="E15" i="1"/>
  <c r="G14" i="1"/>
  <c r="E14" i="1"/>
  <c r="G13" i="1"/>
  <c r="K12" i="1"/>
  <c r="O12" i="1" s="1"/>
  <c r="L12" i="1"/>
  <c r="P12" i="1" s="1"/>
  <c r="E12" i="1"/>
  <c r="I11" i="1"/>
  <c r="M11" i="1" s="1"/>
  <c r="E11" i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E27" i="1"/>
  <c r="E25" i="1"/>
  <c r="F8" i="1"/>
  <c r="E8" i="1" s="1"/>
  <c r="E23" i="1"/>
  <c r="E22" i="1"/>
  <c r="E21" i="1"/>
  <c r="E20" i="1"/>
  <c r="G11" i="1"/>
  <c r="G34" i="1"/>
  <c r="G32" i="1"/>
  <c r="G30" i="1"/>
  <c r="BK28" i="1"/>
  <c r="E28" i="1"/>
  <c r="BK26" i="1"/>
  <c r="E26" i="1"/>
  <c r="BK24" i="1"/>
  <c r="BK22" i="1"/>
  <c r="L19" i="1"/>
  <c r="P19" i="1" s="1"/>
  <c r="BK17" i="1"/>
  <c r="BK21" i="1"/>
  <c r="BK20" i="1"/>
  <c r="BJ10" i="1"/>
  <c r="BK11" i="1"/>
  <c r="E24" i="1"/>
  <c r="BJ9" i="1"/>
  <c r="L33" i="1"/>
  <c r="P33" i="1" s="1"/>
  <c r="I33" i="1"/>
  <c r="M33" i="1" s="1"/>
  <c r="J33" i="1"/>
  <c r="N33" i="1" s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s="1"/>
  <c r="AL14" i="1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I32" i="1"/>
  <c r="M32" i="1" s="1"/>
  <c r="L34" i="1"/>
  <c r="P34" i="1" s="1"/>
  <c r="J35" i="1"/>
  <c r="N35" i="1" s="1"/>
  <c r="K34" i="1"/>
  <c r="O34" i="1" s="1"/>
  <c r="J34" i="1"/>
  <c r="N34" i="1" s="1"/>
  <c r="AL15" i="1"/>
  <c r="AL16" i="1" s="1"/>
  <c r="AL17" i="1" s="1"/>
  <c r="AL18" i="1" s="1"/>
  <c r="AL19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AL20" i="1" l="1"/>
  <c r="AL21" i="1" s="1"/>
  <c r="AL22" i="1" s="1"/>
  <c r="AL23" i="1" s="1"/>
  <c r="AL24" i="1" s="1"/>
  <c r="AL25" i="1" s="1"/>
  <c r="AL26" i="1" s="1"/>
  <c r="AL28" i="1" s="1"/>
  <c r="AL29" i="1" s="1"/>
  <c r="AL30" i="1" s="1"/>
  <c r="AL31" i="1" s="1"/>
  <c r="AL32" i="1" s="1"/>
  <c r="AL33" i="1" s="1"/>
  <c r="AL34" i="1" s="1"/>
  <c r="AL35" i="1" s="1"/>
  <c r="I40" i="2"/>
  <c r="I42" i="2" s="1"/>
  <c r="I43" i="2" s="1"/>
  <c r="U40" i="2"/>
  <c r="U41" i="2" s="1"/>
  <c r="U42" i="2" s="1"/>
  <c r="U43" i="2" s="1"/>
  <c r="B15" i="2"/>
  <c r="U44" i="2" l="1"/>
  <c r="U45" i="2" s="1"/>
  <c r="I44" i="2"/>
  <c r="I45" i="2" s="1"/>
  <c r="AL36" i="1"/>
  <c r="AL37" i="1" s="1"/>
  <c r="B16" i="2"/>
  <c r="M15" i="2"/>
  <c r="B17" i="2" l="1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M33" i="2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<sst xmlns="http://schemas.openxmlformats.org/spreadsheetml/2006/main" count="127" uniqueCount="72">
  <si>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</si>
  <si>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</si>
  <si>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</si>
  <si>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</si>
  <si>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</si>
  <si>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</si>
  <si>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</si>
  <si>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</si>
  <si>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</si>
  <si>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</si>
  <si>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</si>
  <si>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</si>
  <si>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</si>
  <si>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</si>
  <si>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</si>
  <si>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</si>
  <si>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</si>
  <si>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</si>
  <si>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</si>
  <si>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</si>
  <si>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</si>
  <si>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</si>
  <si>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</si>
  <si>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</si>
  <si>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</si>
  <si>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</si>
  <si>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</si>
  <si>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</si>
  <si>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</si>
  <si>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</si>
  <si>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</si>
  <si>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</si>
  <si>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</si>
  <si>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</si>
  <si>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</si>
  <si>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</si>
  <si>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</si>
  <si>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</si>
  <si>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</si>
  <si>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</si>
  <si>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</si>
  <si>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</si>
  <si>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</si>
  <si>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</si>
  <si>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</si>
  <si>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</si>
  <si>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</si>
  <si>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</si>
  <si>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</si>
  <si>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</si>
  <si>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</si>
  <si>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</si>
  <si>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</si>
  <si>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</si>
  <si>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</si>
  <si>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</si>
  <si>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</si>
  <si>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</si>
  <si>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</si>
  <si>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</si>
  <si>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</si>
  <si>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</si>
  <si>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</si>
  <si>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</si>
  <si>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</si>
  <si>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</si>
  <si>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</si>
  <si>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</si>
  <si>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</si>
  <si>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</si>
  <si>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0.00</t>
  </si>
  <si>
    <t>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</si>
</sst>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4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166" fontId="8" fillId="9" borderId="55" xfId="1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74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27684</c:v>
                </c:pt>
                <c:pt idx="1">
                  <c:v>27826</c:v>
                </c:pt>
                <c:pt idx="2">
                  <c:v>52420</c:v>
                </c:pt>
                <c:pt idx="3">
                  <c:v>53320</c:v>
                </c:pt>
                <c:pt idx="4">
                  <c:v>53572</c:v>
                </c:pt>
                <c:pt idx="5">
                  <c:v>52372</c:v>
                </c:pt>
                <c:pt idx="6">
                  <c:v>53144</c:v>
                </c:pt>
                <c:pt idx="7">
                  <c:v>31874</c:v>
                </c:pt>
                <c:pt idx="8">
                  <c:v>27490</c:v>
                </c:pt>
                <c:pt idx="9">
                  <c:v>53228</c:v>
                </c:pt>
                <c:pt idx="10">
                  <c:v>53730</c:v>
                </c:pt>
                <c:pt idx="11">
                  <c:v>53412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21839.75</c:v>
                </c:pt>
                <c:pt idx="1">
                  <c:v>21719</c:v>
                </c:pt>
                <c:pt idx="2">
                  <c:v>46127</c:v>
                </c:pt>
                <c:pt idx="3">
                  <c:v>46902</c:v>
                </c:pt>
                <c:pt idx="4">
                  <c:v>46960</c:v>
                </c:pt>
                <c:pt idx="5">
                  <c:v>45786</c:v>
                </c:pt>
                <c:pt idx="6">
                  <c:v>47669</c:v>
                </c:pt>
                <c:pt idx="7">
                  <c:v>25970</c:v>
                </c:pt>
                <c:pt idx="8">
                  <c:v>21377</c:v>
                </c:pt>
                <c:pt idx="9">
                  <c:v>47103</c:v>
                </c:pt>
                <c:pt idx="10">
                  <c:v>47550</c:v>
                </c:pt>
                <c:pt idx="11">
                  <c:v>47099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5844.25</c:v>
                </c:pt>
                <c:pt idx="1">
                  <c:v>6107</c:v>
                </c:pt>
                <c:pt idx="2">
                  <c:v>6293</c:v>
                </c:pt>
                <c:pt idx="3">
                  <c:v>6418</c:v>
                </c:pt>
                <c:pt idx="4">
                  <c:v>6612</c:v>
                </c:pt>
                <c:pt idx="5">
                  <c:v>6586</c:v>
                </c:pt>
                <c:pt idx="6">
                  <c:v>5475</c:v>
                </c:pt>
                <c:pt idx="7">
                  <c:v>5904</c:v>
                </c:pt>
                <c:pt idx="8">
                  <c:v>6113</c:v>
                </c:pt>
                <c:pt idx="9">
                  <c:v>6125</c:v>
                </c:pt>
                <c:pt idx="10">
                  <c:v>6180</c:v>
                </c:pt>
                <c:pt idx="11">
                  <c:v>6313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2347.02</c:v>
                </c:pt>
                <c:pt idx="1">
                  <c:v>2273.71</c:v>
                </c:pt>
                <c:pt idx="2">
                  <c:v>2349</c:v>
                </c:pt>
                <c:pt idx="3">
                  <c:v>2820</c:v>
                </c:pt>
                <c:pt idx="4">
                  <c:v>2887</c:v>
                </c:pt>
                <c:pt idx="5">
                  <c:v>2752</c:v>
                </c:pt>
                <c:pt idx="6">
                  <c:v>2804</c:v>
                </c:pt>
                <c:pt idx="7">
                  <c:v>2841</c:v>
                </c:pt>
                <c:pt idx="8">
                  <c:v>2384</c:v>
                </c:pt>
                <c:pt idx="9">
                  <c:v>2301</c:v>
                </c:pt>
                <c:pt idx="10">
                  <c:v>2820</c:v>
                </c:pt>
                <c:pt idx="11">
                  <c:v>2878</c:v>
                </c:pt>
                <c:pt idx="12">
                  <c:v>3067</c:v>
                </c:pt>
                <c:pt idx="13">
                  <c:v>2963</c:v>
                </c:pt>
                <c:pt idx="14">
                  <c:v>2871</c:v>
                </c:pt>
                <c:pt idx="15">
                  <c:v>2385</c:v>
                </c:pt>
                <c:pt idx="16">
                  <c:v>2401</c:v>
                </c:pt>
                <c:pt idx="17">
                  <c:v>3052</c:v>
                </c:pt>
                <c:pt idx="18">
                  <c:v>2903</c:v>
                </c:pt>
                <c:pt idx="19">
                  <c:v>2891.5299999999997</c:v>
                </c:pt>
                <c:pt idx="20">
                  <c:v>2830.41</c:v>
                </c:pt>
                <c:pt idx="21">
                  <c:v>2813</c:v>
                </c:pt>
                <c:pt idx="22">
                  <c:v>2464</c:v>
                </c:pt>
                <c:pt idx="23">
                  <c:v>2283</c:v>
                </c:pt>
                <c:pt idx="24">
                  <c:v>2570</c:v>
                </c:pt>
                <c:pt idx="25">
                  <c:v>2708</c:v>
                </c:pt>
                <c:pt idx="26">
                  <c:v>2837</c:v>
                </c:pt>
                <c:pt idx="27">
                  <c:v>2809</c:v>
                </c:pt>
                <c:pt idx="28">
                  <c:v>2749</c:v>
                </c:pt>
                <c:pt idx="29">
                  <c:v>2400</c:v>
                </c:pt>
                <c:pt idx="30">
                  <c:v>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1"/>
  <sheetViews>
    <sheetView tabSelected="1" topLeftCell="T22" zoomScale="142" zoomScaleNormal="142" zoomScaleSheetLayoutView="120" workbookViewId="0">
      <selection activeCell="Y36" sqref="Y36"/>
    </sheetView>
  </sheetViews>
  <sheetFormatPr baseColWidth="10" defaultColWidth="11.44140625" defaultRowHeight="14.4" x14ac:dyDescent="0.3"/>
  <cols>
    <col min="1" max="1" width="2.33203125" style="134" customWidth="1"/>
    <col min="2" max="2" width="10.44140625" style="14" customWidth="1"/>
    <col min="3" max="3" width="2.33203125" style="167" customWidth="1"/>
    <col min="4" max="4" width="15.88671875" style="14" customWidth="1"/>
    <col min="5" max="5" width="10" style="14" customWidth="1"/>
    <col min="6" max="6" width="13.109375" style="14" customWidth="1"/>
    <col min="7" max="7" width="9.33203125" style="14" customWidth="1"/>
    <col min="8" max="8" width="15.109375" style="14" customWidth="1"/>
    <col min="9" max="9" width="10.44140625" style="14" customWidth="1"/>
    <col min="10" max="12" width="10.33203125" style="14" customWidth="1"/>
    <col min="13" max="13" width="11.5546875" style="14" customWidth="1"/>
    <col min="14" max="15" width="11.6640625" style="14" customWidth="1"/>
    <col min="16" max="16" width="11.5546875" style="14" customWidth="1"/>
    <col min="17" max="17" width="10.33203125" style="14" customWidth="1"/>
    <col min="18" max="22" width="11.6640625" style="14" customWidth="1"/>
    <col min="23" max="23" width="10.44140625" style="14" customWidth="1"/>
    <col min="24" max="27" width="11.6640625" style="14" customWidth="1"/>
    <col min="28" max="28" width="11.6640625" style="13" customWidth="1"/>
    <col min="29" max="29" width="9.6640625" style="14" customWidth="1"/>
    <col min="30" max="30" width="10.33203125" style="14" customWidth="1"/>
    <col min="31" max="31" width="10.5546875" style="14" customWidth="1"/>
    <col min="32" max="32" width="12" style="14" customWidth="1"/>
    <col min="33" max="33" width="13.44140625" style="14" customWidth="1"/>
    <col min="34" max="34" width="11.44140625" style="14" customWidth="1"/>
    <col min="35" max="35" width="9.5546875" style="14" customWidth="1"/>
    <col min="36" max="36" width="10.33203125" style="14" customWidth="1"/>
    <col min="37" max="37" width="8.5546875" style="14" customWidth="1"/>
    <col min="38" max="39" width="10.33203125" style="14" customWidth="1"/>
    <col min="40" max="40" width="9.6640625" style="14" customWidth="1"/>
    <col min="41" max="41" width="11" style="14" customWidth="1"/>
    <col min="42" max="42" width="11.88671875" style="14" customWidth="1"/>
    <col min="43" max="43" width="11.33203125" style="14" customWidth="1"/>
    <col min="44" max="44" width="12" style="14" customWidth="1"/>
    <col min="45" max="45" width="11.33203125" style="14" customWidth="1"/>
    <col min="46" max="46" width="9.33203125" style="14" customWidth="1"/>
    <col min="47" max="47" width="9.44140625" style="14" customWidth="1"/>
    <col min="48" max="52" width="10.44140625" style="14" customWidth="1"/>
    <col min="53" max="53" width="10.5546875" style="14" customWidth="1"/>
    <col min="54" max="61" width="10.44140625" style="14" customWidth="1"/>
    <col min="62" max="62" width="11" style="14" customWidth="1"/>
    <col min="63" max="63" width="11.33203125" style="14" customWidth="1"/>
    <col min="64" max="64" width="13.88671875" style="14" customWidth="1"/>
    <col min="65" max="65" width="13.33203125" style="14" customWidth="1"/>
    <col min="66" max="66" width="12.6640625" style="14" customWidth="1"/>
    <col min="67" max="67" width="10.44140625" style="14" customWidth="1"/>
    <col min="68" max="68" width="10.33203125" style="14" customWidth="1"/>
    <col min="69" max="69" width="10.44140625" style="14" customWidth="1"/>
    <col min="70" max="70" width="9.33203125" style="14" customWidth="1"/>
    <col min="71" max="71" width="2.6640625" style="14" customWidth="1"/>
    <col min="72" max="72" width="6.88671875" style="14" customWidth="1"/>
    <col min="73" max="73" width="6.44140625" style="14" customWidth="1"/>
    <col min="74" max="16384" width="11.44140625" style="14"/>
  </cols>
  <sheetData>
    <row r="1" spans="1:72" s="133" customFormat="1" ht="14.7" customHeight="1" x14ac:dyDescent="0.3">
      <c r="A1" s="127">
        <v>1.1111111E+55</v>
      </c>
      <c r="B1" s="185" t="s">
        <v>0</v>
      </c>
      <c r="C1" s="128"/>
      <c r="D1" s="187" t="s">
        <v>1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9"/>
      <c r="P1" s="190"/>
      <c r="Q1" s="129"/>
      <c r="R1" s="195" t="s">
        <v>2</v>
      </c>
      <c r="S1" s="196"/>
      <c r="T1" s="196"/>
      <c r="U1" s="196"/>
      <c r="V1" s="196"/>
      <c r="W1" s="196"/>
      <c r="X1" s="196"/>
      <c r="Y1" s="196"/>
      <c r="Z1" s="196"/>
      <c r="AA1" s="197"/>
      <c r="AB1" s="130"/>
      <c r="AC1" s="195" t="s">
        <v>3</v>
      </c>
      <c r="AD1" s="196"/>
      <c r="AE1" s="196"/>
      <c r="AF1" s="196"/>
      <c r="AG1" s="196"/>
      <c r="AH1" s="196"/>
      <c r="AI1" s="196"/>
      <c r="AJ1" s="196"/>
      <c r="AK1" s="197"/>
      <c r="AL1" s="131"/>
      <c r="AM1" s="195" t="s">
        <v>4</v>
      </c>
      <c r="AN1" s="196"/>
      <c r="AO1" s="196"/>
      <c r="AP1" s="196"/>
      <c r="AQ1" s="196"/>
      <c r="AR1" s="196"/>
      <c r="AS1" s="196"/>
      <c r="AT1" s="196"/>
      <c r="AU1" s="197"/>
      <c r="AV1" s="131"/>
      <c r="AW1" s="195" t="s">
        <v>58</v>
      </c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7"/>
      <c r="BI1" s="131"/>
      <c r="BJ1" s="195" t="s">
        <v>5</v>
      </c>
      <c r="BK1" s="196"/>
      <c r="BL1" s="196"/>
      <c r="BM1" s="196"/>
      <c r="BN1" s="196"/>
      <c r="BO1" s="196"/>
      <c r="BP1" s="196"/>
      <c r="BQ1" s="196"/>
      <c r="BR1" s="197"/>
      <c r="BS1" s="132"/>
    </row>
    <row r="2" spans="1:72" ht="15" customHeight="1" thickBot="1" x14ac:dyDescent="0.35">
      <c r="B2" s="185"/>
      <c r="C2" s="1"/>
      <c r="D2" s="191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3"/>
      <c r="P2" s="194"/>
      <c r="Q2" s="58"/>
      <c r="R2" s="198"/>
      <c r="S2" s="199"/>
      <c r="T2" s="199"/>
      <c r="U2" s="199"/>
      <c r="V2" s="199"/>
      <c r="W2" s="199"/>
      <c r="X2" s="199"/>
      <c r="Y2" s="199"/>
      <c r="Z2" s="199"/>
      <c r="AA2" s="200"/>
      <c r="AB2" s="60"/>
      <c r="AC2" s="198"/>
      <c r="AD2" s="199"/>
      <c r="AE2" s="199"/>
      <c r="AF2" s="199"/>
      <c r="AG2" s="199"/>
      <c r="AH2" s="199"/>
      <c r="AI2" s="199"/>
      <c r="AJ2" s="199"/>
      <c r="AK2" s="200"/>
      <c r="AL2" s="59"/>
      <c r="AM2" s="198"/>
      <c r="AN2" s="199"/>
      <c r="AO2" s="199"/>
      <c r="AP2" s="199"/>
      <c r="AQ2" s="199"/>
      <c r="AR2" s="199"/>
      <c r="AS2" s="199"/>
      <c r="AT2" s="199"/>
      <c r="AU2" s="200"/>
      <c r="AV2" s="59"/>
      <c r="AW2" s="198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200"/>
      <c r="BI2" s="59"/>
      <c r="BJ2" s="198"/>
      <c r="BK2" s="199"/>
      <c r="BL2" s="199"/>
      <c r="BM2" s="199"/>
      <c r="BN2" s="199"/>
      <c r="BO2" s="199"/>
      <c r="BP2" s="199"/>
      <c r="BQ2" s="199"/>
      <c r="BR2" s="200"/>
      <c r="BS2" s="135"/>
    </row>
    <row r="3" spans="1:72" ht="30" customHeight="1" thickBot="1" x14ac:dyDescent="0.35">
      <c r="B3" s="185"/>
      <c r="C3" s="1"/>
      <c r="D3" s="204" t="s">
        <v>6</v>
      </c>
      <c r="E3" s="204" t="s">
        <v>7</v>
      </c>
      <c r="F3" s="204" t="s">
        <v>8</v>
      </c>
      <c r="G3" s="204" t="s">
        <v>9</v>
      </c>
      <c r="H3" s="204" t="s">
        <v>10</v>
      </c>
      <c r="I3" s="206" t="s">
        <v>11</v>
      </c>
      <c r="J3" s="207"/>
      <c r="K3" s="208"/>
      <c r="L3" s="209"/>
      <c r="M3" s="206" t="s">
        <v>12</v>
      </c>
      <c r="N3" s="207"/>
      <c r="O3" s="208"/>
      <c r="P3" s="209"/>
      <c r="Q3" s="58"/>
      <c r="R3" s="210" t="s">
        <v>13</v>
      </c>
      <c r="S3" s="202"/>
      <c r="T3" s="211"/>
      <c r="U3" s="211"/>
      <c r="V3" s="210" t="s">
        <v>14</v>
      </c>
      <c r="W3" s="202"/>
      <c r="X3" s="202"/>
      <c r="Y3" s="202"/>
      <c r="Z3" s="202"/>
      <c r="AA3" s="203"/>
      <c r="AB3" s="60"/>
      <c r="AC3" s="212" t="s">
        <v>15</v>
      </c>
      <c r="AD3" s="214" t="s">
        <v>9</v>
      </c>
      <c r="AE3" s="210" t="s">
        <v>13</v>
      </c>
      <c r="AF3" s="202"/>
      <c r="AG3" s="203"/>
      <c r="AH3" s="210" t="s">
        <v>14</v>
      </c>
      <c r="AI3" s="202"/>
      <c r="AJ3" s="202"/>
      <c r="AK3" s="203"/>
      <c r="AL3" s="59"/>
      <c r="AM3" s="215" t="s">
        <v>15</v>
      </c>
      <c r="AN3" s="212" t="s">
        <v>9</v>
      </c>
      <c r="AO3" s="201" t="s">
        <v>13</v>
      </c>
      <c r="AP3" s="202"/>
      <c r="AQ3" s="203"/>
      <c r="AR3" s="210" t="s">
        <v>14</v>
      </c>
      <c r="AS3" s="202"/>
      <c r="AT3" s="202"/>
      <c r="AU3" s="203"/>
      <c r="AV3" s="59"/>
      <c r="AW3" s="212" t="s">
        <v>15</v>
      </c>
      <c r="AX3" s="212" t="s">
        <v>9</v>
      </c>
      <c r="AY3" s="201" t="s">
        <v>13</v>
      </c>
      <c r="AZ3" s="201"/>
      <c r="BA3" s="202"/>
      <c r="BB3" s="203"/>
      <c r="BC3" s="210" t="s">
        <v>14</v>
      </c>
      <c r="BD3" s="201"/>
      <c r="BE3" s="201"/>
      <c r="BF3" s="202"/>
      <c r="BG3" s="202"/>
      <c r="BH3" s="203"/>
      <c r="BI3" s="59"/>
      <c r="BJ3" s="215" t="s">
        <v>16</v>
      </c>
      <c r="BK3" s="212" t="s">
        <v>17</v>
      </c>
      <c r="BL3" s="216" t="s">
        <v>18</v>
      </c>
      <c r="BM3" s="217"/>
      <c r="BN3" s="218"/>
      <c r="BO3" s="201" t="s">
        <v>14</v>
      </c>
      <c r="BP3" s="202"/>
      <c r="BQ3" s="202"/>
      <c r="BR3" s="203"/>
      <c r="BS3" s="135"/>
    </row>
    <row r="4" spans="1:72" ht="56.25" customHeight="1" thickBot="1" x14ac:dyDescent="0.35">
      <c r="B4" s="186"/>
      <c r="C4" s="2"/>
      <c r="D4" s="205"/>
      <c r="E4" s="205"/>
      <c r="F4" s="205"/>
      <c r="G4" s="205"/>
      <c r="H4" s="205"/>
      <c r="I4" s="80" t="s">
        <v>3</v>
      </c>
      <c r="J4" s="81" t="s">
        <v>4</v>
      </c>
      <c r="K4" s="82" t="s">
        <v>58</v>
      </c>
      <c r="L4" s="82" t="s">
        <v>5</v>
      </c>
      <c r="M4" s="81" t="s">
        <v>3</v>
      </c>
      <c r="N4" s="81" t="s">
        <v>4</v>
      </c>
      <c r="O4" s="81" t="s">
        <v>58</v>
      </c>
      <c r="P4" s="81" t="s">
        <v>19</v>
      </c>
      <c r="Q4" s="60"/>
      <c r="R4" s="122" t="s">
        <v>20</v>
      </c>
      <c r="S4" s="62" t="s">
        <v>21</v>
      </c>
      <c r="T4" s="62" t="s">
        <v>60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213"/>
      <c r="AD4" s="196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95"/>
      <c r="AN4" s="213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213"/>
      <c r="AX4" s="213"/>
      <c r="AY4" s="123" t="s">
        <v>27</v>
      </c>
      <c r="AZ4" s="62" t="s">
        <v>59</v>
      </c>
      <c r="BA4" s="123" t="s">
        <v>61</v>
      </c>
      <c r="BB4" s="62" t="s">
        <v>29</v>
      </c>
      <c r="BC4" s="123" t="s">
        <v>56</v>
      </c>
      <c r="BD4" s="62" t="s">
        <v>24</v>
      </c>
      <c r="BE4" s="123" t="s">
        <v>57</v>
      </c>
      <c r="BF4" s="62" t="s">
        <v>24</v>
      </c>
      <c r="BG4" s="123" t="s">
        <v>31</v>
      </c>
      <c r="BH4" s="62" t="s">
        <v>24</v>
      </c>
      <c r="BI4" s="61"/>
      <c r="BJ4" s="195"/>
      <c r="BK4" s="213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2" ht="15" thickBot="1" x14ac:dyDescent="0.35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2" ht="15" thickBot="1" x14ac:dyDescent="0.35">
      <c r="B6" s="168">
        <v>45961</v>
      </c>
      <c r="C6" s="183"/>
      <c r="D6" s="87">
        <f t="shared" ref="D6" si="0">R6</f>
        <v>27964</v>
      </c>
      <c r="E6" s="159">
        <f t="shared" ref="E6" si="1">F6/D6</f>
        <v>0.78440065798884273</v>
      </c>
      <c r="F6" s="87">
        <f t="shared" ref="F6" si="2">D6-H6</f>
        <v>21934.98</v>
      </c>
      <c r="G6" s="159">
        <f t="shared" ref="G6" si="3">H6/D6</f>
        <v>0.21559934201115721</v>
      </c>
      <c r="H6" s="146">
        <f t="shared" ref="H6" si="4">U6+AG6+AQ6+BB6</f>
        <v>6029.02</v>
      </c>
      <c r="I6" s="160">
        <f t="shared" ref="I6" si="5">AE6/(AE6+AO6+BL6+AY6)</f>
        <v>6.6489447920381237E-2</v>
      </c>
      <c r="J6" s="159">
        <f t="shared" ref="J6" si="6">AO6/(AE6+AO6+BL6+AY6)</f>
        <v>0.17209128926637923</v>
      </c>
      <c r="K6" s="159">
        <f t="shared" ref="K6" si="7">AY6/(AF6+AP6+BM6+AZ6+AY6)</f>
        <v>0.17446122392354807</v>
      </c>
      <c r="L6" s="161">
        <f t="shared" ref="L6" si="8">BL6/(AE6+AO6+BL6+AY6)</f>
        <v>0.62647907414011084</v>
      </c>
      <c r="M6" s="146">
        <f>(S6+T6)*I6</f>
        <v>1769.8161247447078</v>
      </c>
      <c r="N6" s="146">
        <f>(S6+T6)*J6</f>
        <v>4580.7259376924821</v>
      </c>
      <c r="O6" s="146">
        <f>(S6+T6)*K6</f>
        <v>4643.808858397003</v>
      </c>
      <c r="P6" s="146">
        <f>(S6+T6)*L6</f>
        <v>16675.619995461471</v>
      </c>
      <c r="Q6" s="56">
        <v>45961</v>
      </c>
      <c r="R6" s="139">
        <v>27964</v>
      </c>
      <c r="S6" s="140">
        <v>0</v>
      </c>
      <c r="T6" s="140">
        <v>26618</v>
      </c>
      <c r="U6" s="140">
        <v>0</v>
      </c>
      <c r="V6" s="141">
        <v>6799.33</v>
      </c>
      <c r="W6" s="142">
        <v>0.69791666666666663</v>
      </c>
      <c r="X6" s="141">
        <v>1958.7</v>
      </c>
      <c r="Y6" s="142">
        <v>0.73958333333333337</v>
      </c>
      <c r="Z6" s="141">
        <v>0</v>
      </c>
      <c r="AA6" s="142">
        <v>0</v>
      </c>
      <c r="AB6" s="56">
        <v>45961</v>
      </c>
      <c r="AC6" s="76">
        <f t="shared" ref="AC6" si="9">+AF6/AE6</f>
        <v>1</v>
      </c>
      <c r="AD6" s="162">
        <f t="shared" ref="AD6" si="10">+AG6/AE6</f>
        <v>0</v>
      </c>
      <c r="AE6" s="163">
        <v>2051</v>
      </c>
      <c r="AF6" s="118">
        <f t="shared" ref="AF6" si="11">+AE6-AG6</f>
        <v>2051</v>
      </c>
      <c r="AG6" s="147">
        <v>0</v>
      </c>
      <c r="AH6" s="148">
        <v>1620.48</v>
      </c>
      <c r="AI6" s="149">
        <v>0.6</v>
      </c>
      <c r="AJ6" s="148">
        <v>0</v>
      </c>
      <c r="AK6" s="165">
        <v>0</v>
      </c>
      <c r="AL6" s="56">
        <v>45961</v>
      </c>
      <c r="AM6" s="77">
        <f t="shared" ref="AM6" si="12">+AP6/AO6</f>
        <v>0.30991240463407743</v>
      </c>
      <c r="AN6" s="76">
        <f t="shared" ref="AN6" si="13">+AQ6/AO6</f>
        <v>0.69008759536592257</v>
      </c>
      <c r="AO6" s="150">
        <v>5308.5</v>
      </c>
      <c r="AP6" s="117">
        <f t="shared" ref="AP6" si="14">AO6-AQ6</f>
        <v>1645.17</v>
      </c>
      <c r="AQ6" s="151">
        <v>3663.33</v>
      </c>
      <c r="AR6" s="152">
        <v>1739</v>
      </c>
      <c r="AS6" s="153">
        <v>0.94374999999999998</v>
      </c>
      <c r="AT6" s="152">
        <v>176.88</v>
      </c>
      <c r="AU6" s="154">
        <v>0.90625</v>
      </c>
      <c r="AV6" s="56">
        <v>45961</v>
      </c>
      <c r="AW6" s="110">
        <f t="shared" ref="AW6" si="15">BA6/AZ6</f>
        <v>0.43166606606606606</v>
      </c>
      <c r="AX6" s="110">
        <f t="shared" ref="AX6" si="16">BB6/AZ6</f>
        <v>0.56833393393393394</v>
      </c>
      <c r="AY6" s="111">
        <f t="shared" ref="AY6" si="17">BA6+BB6</f>
        <v>4162.5</v>
      </c>
      <c r="AZ6" s="112">
        <v>4162.5</v>
      </c>
      <c r="BA6" s="120">
        <f t="shared" ref="BA6" si="18">AZ6-BB6</f>
        <v>1796.81</v>
      </c>
      <c r="BB6" s="113">
        <v>2365.69</v>
      </c>
      <c r="BC6" s="112">
        <v>1987</v>
      </c>
      <c r="BD6" s="114">
        <v>0.89583333333333337</v>
      </c>
      <c r="BE6" s="115">
        <v>0</v>
      </c>
      <c r="BF6" s="114">
        <v>0</v>
      </c>
      <c r="BG6" s="115">
        <v>148</v>
      </c>
      <c r="BH6" s="114">
        <v>0.875</v>
      </c>
      <c r="BI6" s="56">
        <v>45961</v>
      </c>
      <c r="BJ6" s="78">
        <f t="shared" ref="BJ6" si="19">+BM6/BL6</f>
        <v>0.61257438551099608</v>
      </c>
      <c r="BK6" s="76">
        <f t="shared" ref="BK6" si="20">+BN6/BL6</f>
        <v>0.38742561448900387</v>
      </c>
      <c r="BL6" s="79">
        <f t="shared" ref="BL6" si="21">BM6+BN6</f>
        <v>19325</v>
      </c>
      <c r="BM6" s="155">
        <v>11838</v>
      </c>
      <c r="BN6" s="155">
        <v>7487</v>
      </c>
      <c r="BO6" s="156">
        <v>2641.3</v>
      </c>
      <c r="BP6" s="157">
        <v>0.69027777777777777</v>
      </c>
      <c r="BQ6" s="158">
        <v>1747</v>
      </c>
      <c r="BR6" s="157">
        <v>0.69097222222222221</v>
      </c>
    </row>
    <row r="7" spans="1:72" ht="15" thickBot="1" x14ac:dyDescent="0.35">
      <c r="A7" s="166"/>
      <c r="B7" s="56">
        <f>B6+1</f>
        <v>45962</v>
      </c>
      <c r="C7" s="126"/>
      <c r="D7" s="87">
        <f t="shared" ref="D7:D37" si="22">R7</f>
        <v>27684</v>
      </c>
      <c r="E7" s="159">
        <f t="shared" ref="E7:E10" si="23">F7/D7</f>
        <v>0.78889430718104325</v>
      </c>
      <c r="F7" s="87">
        <f t="shared" ref="F7:F37" si="24">D7-H7</f>
        <v>21839.75</v>
      </c>
      <c r="G7" s="159">
        <f t="shared" ref="G7:G10" si="25">H7/D7</f>
        <v>0.2111056928189568</v>
      </c>
      <c r="H7" s="146">
        <f t="shared" ref="H7:H37" si="26">U7+AG7+AQ7+BB7</f>
        <v>5844.25</v>
      </c>
      <c r="I7" s="160">
        <f t="shared" ref="I7:I10" si="27">AE7/(AE7+AO7+BL7+AY7)</f>
        <v>6.8187091855338611E-2</v>
      </c>
      <c r="J7" s="159">
        <f t="shared" ref="J7:J10" si="28">AO7/(AE7+AO7+BL7+AY7)</f>
        <v>0.1713627473729572</v>
      </c>
      <c r="K7" s="159">
        <f t="shared" ref="K7:K10" si="29">AY7/(AF7+AP7+BM7+AZ7+AY7)</f>
        <v>0.17429352951548319</v>
      </c>
      <c r="L7" s="161">
        <f t="shared" ref="L7:L10" si="30">BL7/(AE7+AO7+BL7+AY7)</f>
        <v>0.62512016441807272</v>
      </c>
      <c r="M7" s="146">
        <f t="shared" ref="M7:M10" si="31">(S7+T7)*I7</f>
        <v>1801.6093386813404</v>
      </c>
      <c r="N7" s="146">
        <f t="shared" ref="N7:N10" si="32">(S7+T7)*J7</f>
        <v>4527.6711114794316</v>
      </c>
      <c r="O7" s="146">
        <f t="shared" ref="O7:O10" si="33">(S7+T7)*K7</f>
        <v>4605.1069477051105</v>
      </c>
      <c r="P7" s="146">
        <f t="shared" ref="P7:P10" si="34">(S7+T7)*L7</f>
        <v>16516.649931381973</v>
      </c>
      <c r="Q7" s="56">
        <f>Q6+1</f>
        <v>45962</v>
      </c>
      <c r="R7" s="139">
        <v>27684</v>
      </c>
      <c r="S7" s="140">
        <v>0</v>
      </c>
      <c r="T7" s="140">
        <v>26421.56</v>
      </c>
      <c r="U7" s="140">
        <v>0</v>
      </c>
      <c r="V7" s="141">
        <v>6740.46</v>
      </c>
      <c r="W7" s="142">
        <v>0.65625</v>
      </c>
      <c r="X7" s="141">
        <v>1877.59</v>
      </c>
      <c r="Y7" s="142">
        <v>0.69791666666666663</v>
      </c>
      <c r="Z7" s="141">
        <v>0</v>
      </c>
      <c r="AA7" s="142">
        <v>0</v>
      </c>
      <c r="AB7" s="56">
        <f>AB6+1</f>
        <v>45962</v>
      </c>
      <c r="AC7" s="76">
        <f t="shared" ref="AC7:AC10" si="35">+AF7/AE7</f>
        <v>1</v>
      </c>
      <c r="AD7" s="162">
        <f t="shared" ref="AD7:AD10" si="36">+AG7/AE7</f>
        <v>0</v>
      </c>
      <c r="AE7" s="163">
        <v>2057</v>
      </c>
      <c r="AF7" s="118">
        <f t="shared" ref="AF7:AF36" si="37">+AE7-AG7</f>
        <v>2057</v>
      </c>
      <c r="AG7" s="147">
        <v>0</v>
      </c>
      <c r="AH7" s="148">
        <v>1690.32</v>
      </c>
      <c r="AI7" s="149">
        <v>0.80972222222222223</v>
      </c>
      <c r="AJ7" s="148">
        <v>0</v>
      </c>
      <c r="AK7" s="165">
        <v>0</v>
      </c>
      <c r="AL7" s="56">
        <f t="shared" ref="AL7:AL37" si="38">AL6+1</f>
        <v>45962</v>
      </c>
      <c r="AM7" s="77">
        <f t="shared" ref="AM7:AM10" si="39">+AP7/AO7</f>
        <v>0.31785085598220331</v>
      </c>
      <c r="AN7" s="76">
        <f t="shared" ref="AN7:AN10" si="40">+AQ7/AO7</f>
        <v>0.68214914401779669</v>
      </c>
      <c r="AO7" s="150">
        <v>5169.5</v>
      </c>
      <c r="AP7" s="117">
        <f t="shared" ref="AP7:AP36" si="41">AO7-AQ7</f>
        <v>1643.13</v>
      </c>
      <c r="AQ7" s="151">
        <v>3526.37</v>
      </c>
      <c r="AR7" s="152">
        <v>2048.9</v>
      </c>
      <c r="AS7" s="153">
        <v>0.93333333333333335</v>
      </c>
      <c r="AT7" s="152">
        <v>172</v>
      </c>
      <c r="AU7" s="154">
        <v>0.875</v>
      </c>
      <c r="AV7" s="56">
        <f>AV6+1</f>
        <v>45962</v>
      </c>
      <c r="AW7" s="110">
        <f t="shared" ref="AW7:AW10" si="42">BA7/AZ7</f>
        <v>0.43224004898958968</v>
      </c>
      <c r="AX7" s="110">
        <f t="shared" ref="AX7:AX10" si="43">BB7/AZ7</f>
        <v>0.56775995101041032</v>
      </c>
      <c r="AY7" s="111">
        <f t="shared" ref="AY7:AY36" si="44">BA7+BB7</f>
        <v>4082.5</v>
      </c>
      <c r="AZ7" s="112">
        <v>4082.5</v>
      </c>
      <c r="BA7" s="120">
        <f t="shared" ref="BA7:BA13" si="45">AZ7-BB7</f>
        <v>1764.62</v>
      </c>
      <c r="BB7" s="113">
        <v>2317.88</v>
      </c>
      <c r="BC7" s="112">
        <v>1856.93</v>
      </c>
      <c r="BD7" s="114">
        <v>0.65625</v>
      </c>
      <c r="BE7" s="115">
        <v>0</v>
      </c>
      <c r="BF7" s="114">
        <v>0</v>
      </c>
      <c r="BG7" s="115">
        <v>148.09</v>
      </c>
      <c r="BH7" s="114">
        <v>0.875</v>
      </c>
      <c r="BI7" s="56">
        <f>BI6+1</f>
        <v>45962</v>
      </c>
      <c r="BJ7" s="78">
        <f t="shared" ref="BJ7:BJ10" si="46">+BM7/BL7</f>
        <v>0.6128963834977198</v>
      </c>
      <c r="BK7" s="76">
        <f t="shared" ref="BK7:BK10" si="47">+BN7/BL7</f>
        <v>0.3871036165022802</v>
      </c>
      <c r="BL7" s="79">
        <f t="shared" ref="BL7:BL10" si="48">BM7+BN7</f>
        <v>18858</v>
      </c>
      <c r="BM7" s="155">
        <v>11558</v>
      </c>
      <c r="BN7" s="155">
        <v>7300</v>
      </c>
      <c r="BO7" s="156">
        <v>2767.26</v>
      </c>
      <c r="BP7" s="157">
        <v>0.65277777777777779</v>
      </c>
      <c r="BQ7" s="158">
        <v>1832</v>
      </c>
      <c r="BR7" s="157">
        <v>0.65277777777777779</v>
      </c>
    </row>
    <row r="8" spans="1:72" ht="15" thickBot="1" x14ac:dyDescent="0.35">
      <c r="A8" s="166"/>
      <c r="B8" s="56">
        <f t="shared" ref="B8:B37" si="49">B7+1</f>
        <v>45963</v>
      </c>
      <c r="C8" s="164"/>
      <c r="D8" s="87">
        <f t="shared" si="22"/>
        <v>27826</v>
      </c>
      <c r="E8" s="159">
        <f t="shared" si="23"/>
        <v>0.78052900165313022</v>
      </c>
      <c r="F8" s="87">
        <f t="shared" si="24"/>
        <v>21719</v>
      </c>
      <c r="G8" s="159">
        <f t="shared" si="25"/>
        <v>0.21947099834686984</v>
      </c>
      <c r="H8" s="146">
        <f t="shared" si="26"/>
        <v>6107</v>
      </c>
      <c r="I8" s="160">
        <f t="shared" si="27"/>
        <v>6.1560088923760949E-2</v>
      </c>
      <c r="J8" s="159">
        <f t="shared" si="28"/>
        <v>0.16888976069046685</v>
      </c>
      <c r="K8" s="159">
        <f t="shared" si="29"/>
        <v>0.1761622992392223</v>
      </c>
      <c r="L8" s="161">
        <f t="shared" si="30"/>
        <v>0.63328756375049033</v>
      </c>
      <c r="M8" s="146">
        <f t="shared" si="31"/>
        <v>1633.4969595919968</v>
      </c>
      <c r="N8" s="146">
        <f t="shared" si="32"/>
        <v>4481.4897999215382</v>
      </c>
      <c r="O8" s="146">
        <f t="shared" si="33"/>
        <v>4674.4666103127638</v>
      </c>
      <c r="P8" s="146">
        <f t="shared" si="34"/>
        <v>16804.28550411926</v>
      </c>
      <c r="Q8" s="56">
        <f t="shared" ref="Q8:Q37" si="50">Q7+1</f>
        <v>45963</v>
      </c>
      <c r="R8" s="139">
        <v>27826</v>
      </c>
      <c r="S8" s="140">
        <v>0</v>
      </c>
      <c r="T8" s="140">
        <v>26535</v>
      </c>
      <c r="U8" s="140">
        <v>0</v>
      </c>
      <c r="V8" s="141">
        <v>6337</v>
      </c>
      <c r="W8" s="142">
        <v>0.90625</v>
      </c>
      <c r="X8" s="141">
        <v>1826</v>
      </c>
      <c r="Y8" s="142">
        <v>0.42708333333333331</v>
      </c>
      <c r="Z8" s="141">
        <v>0</v>
      </c>
      <c r="AA8" s="142">
        <v>0</v>
      </c>
      <c r="AB8" s="56">
        <f t="shared" ref="AB8:AB37" si="51">AB7+1</f>
        <v>45963</v>
      </c>
      <c r="AC8" s="76">
        <f t="shared" si="35"/>
        <v>1</v>
      </c>
      <c r="AD8" s="162">
        <f t="shared" si="36"/>
        <v>0</v>
      </c>
      <c r="AE8" s="163">
        <v>1883</v>
      </c>
      <c r="AF8" s="118">
        <f t="shared" si="37"/>
        <v>1883</v>
      </c>
      <c r="AG8" s="147">
        <v>0</v>
      </c>
      <c r="AH8" s="148">
        <v>1408</v>
      </c>
      <c r="AI8" s="149">
        <v>0.86041666666666672</v>
      </c>
      <c r="AJ8" s="148">
        <v>0</v>
      </c>
      <c r="AK8" s="165">
        <v>0</v>
      </c>
      <c r="AL8" s="56">
        <f t="shared" si="38"/>
        <v>45963</v>
      </c>
      <c r="AM8" s="77">
        <f t="shared" si="39"/>
        <v>0.29868370112272552</v>
      </c>
      <c r="AN8" s="76">
        <f t="shared" si="40"/>
        <v>0.70131629887727454</v>
      </c>
      <c r="AO8" s="150">
        <v>5166</v>
      </c>
      <c r="AP8" s="117">
        <f t="shared" si="41"/>
        <v>1543</v>
      </c>
      <c r="AQ8" s="151">
        <v>3623</v>
      </c>
      <c r="AR8" s="152">
        <v>1628</v>
      </c>
      <c r="AS8" s="153">
        <v>0.39374999999999999</v>
      </c>
      <c r="AT8" s="152">
        <v>145</v>
      </c>
      <c r="AU8" s="154">
        <v>0.95833333333333337</v>
      </c>
      <c r="AV8" s="56">
        <f t="shared" ref="AV8:AV37" si="52">AV7+1</f>
        <v>45963</v>
      </c>
      <c r="AW8" s="110">
        <f t="shared" si="42"/>
        <v>0.40403071017274472</v>
      </c>
      <c r="AX8" s="110">
        <f t="shared" si="43"/>
        <v>0.59596928982725528</v>
      </c>
      <c r="AY8" s="111">
        <f t="shared" si="44"/>
        <v>4168</v>
      </c>
      <c r="AZ8" s="112">
        <v>4168</v>
      </c>
      <c r="BA8" s="120">
        <f t="shared" si="45"/>
        <v>1684</v>
      </c>
      <c r="BB8" s="113">
        <v>2484</v>
      </c>
      <c r="BC8" s="112">
        <v>1629</v>
      </c>
      <c r="BD8" s="114">
        <v>0.39374999999999999</v>
      </c>
      <c r="BE8" s="115">
        <v>0</v>
      </c>
      <c r="BF8" s="114">
        <v>0</v>
      </c>
      <c r="BG8" s="115">
        <v>144</v>
      </c>
      <c r="BH8" s="114">
        <v>0.95833333333333337</v>
      </c>
      <c r="BI8" s="56">
        <f t="shared" ref="BI8:BI37" si="53">BI7+1</f>
        <v>45963</v>
      </c>
      <c r="BJ8" s="78">
        <f t="shared" si="46"/>
        <v>0.61421712869753753</v>
      </c>
      <c r="BK8" s="76">
        <f t="shared" si="47"/>
        <v>0.38578287130246247</v>
      </c>
      <c r="BL8" s="79">
        <f t="shared" si="48"/>
        <v>19371</v>
      </c>
      <c r="BM8" s="155">
        <v>11898</v>
      </c>
      <c r="BN8" s="155">
        <v>7473</v>
      </c>
      <c r="BO8" s="156">
        <v>2470</v>
      </c>
      <c r="BP8" s="157">
        <v>0.38194444444444442</v>
      </c>
      <c r="BQ8" s="158">
        <v>1651</v>
      </c>
      <c r="BR8" s="157">
        <v>0.38194444444444442</v>
      </c>
    </row>
    <row r="9" spans="1:72" ht="15" thickBot="1" x14ac:dyDescent="0.35">
      <c r="A9" s="166" t="s">
        <v>68</v>
      </c>
      <c r="B9" s="56">
        <f t="shared" si="49"/>
        <v>45964</v>
      </c>
      <c r="C9" s="164"/>
      <c r="D9" s="87">
        <f t="shared" si="22"/>
        <v>52420</v>
      </c>
      <c r="E9" s="159">
        <f t="shared" si="23"/>
        <v>0.87995040061045404</v>
      </c>
      <c r="F9" s="87">
        <f t="shared" si="24"/>
        <v>46127</v>
      </c>
      <c r="G9" s="159">
        <f t="shared" si="25"/>
        <v>0.12004959938954597</v>
      </c>
      <c r="H9" s="146">
        <f t="shared" si="26"/>
        <v>6293</v>
      </c>
      <c r="I9" s="160">
        <f t="shared" si="27"/>
        <v>0.11837356095725209</v>
      </c>
      <c r="J9" s="159">
        <f t="shared" si="28"/>
        <v>0.16113857575394722</v>
      </c>
      <c r="K9" s="159">
        <f t="shared" si="29"/>
        <v>0.16639369123445558</v>
      </c>
      <c r="L9" s="161">
        <f t="shared" si="30"/>
        <v>0.57972254058399908</v>
      </c>
      <c r="M9" s="146">
        <f t="shared" si="31"/>
        <v>6067.8287346687421</v>
      </c>
      <c r="N9" s="146">
        <f t="shared" si="32"/>
        <v>8259.9633931473345</v>
      </c>
      <c r="O9" s="146">
        <f t="shared" si="33"/>
        <v>8529.340612678192</v>
      </c>
      <c r="P9" s="146">
        <f t="shared" si="34"/>
        <v>29716.577430335794</v>
      </c>
      <c r="Q9" s="56">
        <f t="shared" si="50"/>
        <v>45964</v>
      </c>
      <c r="R9" s="139">
        <v>52420</v>
      </c>
      <c r="S9" s="140">
        <v>0</v>
      </c>
      <c r="T9" s="140">
        <v>51260</v>
      </c>
      <c r="U9" s="140">
        <v>0</v>
      </c>
      <c r="V9" s="141">
        <v>13050</v>
      </c>
      <c r="W9" s="142">
        <v>0.77083333333333337</v>
      </c>
      <c r="X9" s="141">
        <v>4410</v>
      </c>
      <c r="Y9" s="142">
        <v>0.75</v>
      </c>
      <c r="Z9" s="141">
        <v>0</v>
      </c>
      <c r="AA9" s="142">
        <v>0</v>
      </c>
      <c r="AB9" s="56">
        <f t="shared" si="51"/>
        <v>45964</v>
      </c>
      <c r="AC9" s="76">
        <f t="shared" si="35"/>
        <v>1</v>
      </c>
      <c r="AD9" s="162">
        <f t="shared" si="36"/>
        <v>0</v>
      </c>
      <c r="AE9" s="163">
        <v>6920</v>
      </c>
      <c r="AF9" s="118">
        <f t="shared" si="37"/>
        <v>6920</v>
      </c>
      <c r="AG9" s="147">
        <v>0</v>
      </c>
      <c r="AH9" s="148">
        <v>3685</v>
      </c>
      <c r="AI9" s="149">
        <v>0.78125</v>
      </c>
      <c r="AJ9" s="148">
        <v>0</v>
      </c>
      <c r="AK9" s="165" t="s">
        <v>70</v>
      </c>
      <c r="AL9" s="56">
        <f t="shared" si="38"/>
        <v>45964</v>
      </c>
      <c r="AM9" s="77">
        <f t="shared" si="39"/>
        <v>0.59309978768577498</v>
      </c>
      <c r="AN9" s="76">
        <f t="shared" si="40"/>
        <v>0.40690021231422507</v>
      </c>
      <c r="AO9" s="150">
        <v>9420</v>
      </c>
      <c r="AP9" s="117">
        <f t="shared" si="41"/>
        <v>5587</v>
      </c>
      <c r="AQ9" s="151">
        <v>3833</v>
      </c>
      <c r="AR9" s="152">
        <v>3610</v>
      </c>
      <c r="AS9" s="153">
        <v>0.77083333333333337</v>
      </c>
      <c r="AT9" s="152">
        <v>176</v>
      </c>
      <c r="AU9" s="154">
        <v>0.875</v>
      </c>
      <c r="AV9" s="56">
        <f t="shared" si="52"/>
        <v>45964</v>
      </c>
      <c r="AW9" s="110">
        <f t="shared" si="42"/>
        <v>0.70105723660226027</v>
      </c>
      <c r="AX9" s="110">
        <f t="shared" si="43"/>
        <v>0.29894276339773967</v>
      </c>
      <c r="AY9" s="111">
        <f t="shared" si="44"/>
        <v>8229</v>
      </c>
      <c r="AZ9" s="112">
        <v>8229</v>
      </c>
      <c r="BA9" s="120">
        <f t="shared" si="45"/>
        <v>5769</v>
      </c>
      <c r="BB9" s="113">
        <v>2460</v>
      </c>
      <c r="BC9" s="112">
        <v>4025</v>
      </c>
      <c r="BD9" s="114">
        <v>0.72916666666666663</v>
      </c>
      <c r="BE9" s="115">
        <v>0</v>
      </c>
      <c r="BF9" s="114">
        <v>0</v>
      </c>
      <c r="BG9" s="115">
        <v>152</v>
      </c>
      <c r="BH9" s="114">
        <v>0.89583333333333337</v>
      </c>
      <c r="BI9" s="56">
        <f t="shared" si="53"/>
        <v>45964</v>
      </c>
      <c r="BJ9" s="78">
        <f t="shared" si="46"/>
        <v>0.60460312776630276</v>
      </c>
      <c r="BK9" s="76">
        <f t="shared" si="47"/>
        <v>0.39539687223369724</v>
      </c>
      <c r="BL9" s="79">
        <f t="shared" si="48"/>
        <v>33890</v>
      </c>
      <c r="BM9" s="155">
        <v>20490</v>
      </c>
      <c r="BN9" s="155">
        <v>13400</v>
      </c>
      <c r="BO9" s="156">
        <v>3800</v>
      </c>
      <c r="BP9" s="157">
        <v>0.75</v>
      </c>
      <c r="BQ9" s="158">
        <v>2520</v>
      </c>
      <c r="BR9" s="157" t="s">
        <v>71</v>
      </c>
    </row>
    <row r="10" spans="1:72" ht="15" thickBot="1" x14ac:dyDescent="0.35">
      <c r="B10" s="56">
        <f t="shared" si="49"/>
        <v>45965</v>
      </c>
      <c r="C10" s="164"/>
      <c r="D10" s="87">
        <f t="shared" si="22"/>
        <v>53320</v>
      </c>
      <c r="E10" s="159">
        <f t="shared" si="23"/>
        <v>0.87963240810202548</v>
      </c>
      <c r="F10" s="87">
        <f t="shared" si="24"/>
        <v>46902</v>
      </c>
      <c r="G10" s="159">
        <f t="shared" si="25"/>
        <v>0.1203675918979745</v>
      </c>
      <c r="H10" s="146">
        <f t="shared" si="26"/>
        <v>6418</v>
      </c>
      <c r="I10" s="160">
        <f t="shared" si="27"/>
        <v>0.11733756472356772</v>
      </c>
      <c r="J10" s="159">
        <f t="shared" si="28"/>
        <v>0.16185067646567564</v>
      </c>
      <c r="K10" s="159">
        <f t="shared" si="29"/>
        <v>0.16638132908278724</v>
      </c>
      <c r="L10" s="161">
        <f t="shared" si="30"/>
        <v>0.57958910973776512</v>
      </c>
      <c r="M10" s="146">
        <f t="shared" si="31"/>
        <v>6048.7514614999163</v>
      </c>
      <c r="N10" s="146">
        <f t="shared" si="32"/>
        <v>8343.4023718055796</v>
      </c>
      <c r="O10" s="146">
        <f t="shared" si="33"/>
        <v>8576.9575142176818</v>
      </c>
      <c r="P10" s="146">
        <f t="shared" si="34"/>
        <v>29877.818606981793</v>
      </c>
      <c r="Q10" s="56">
        <f t="shared" si="50"/>
        <v>45965</v>
      </c>
      <c r="R10" s="139">
        <v>53320</v>
      </c>
      <c r="S10" s="140">
        <v>0</v>
      </c>
      <c r="T10" s="140">
        <v>51550</v>
      </c>
      <c r="U10" s="140">
        <v>0</v>
      </c>
      <c r="V10" s="141">
        <v>13200</v>
      </c>
      <c r="W10" s="142">
        <v>0.73958333333333337</v>
      </c>
      <c r="X10" s="141">
        <v>4530</v>
      </c>
      <c r="Y10" s="142">
        <v>0.77083333333333337</v>
      </c>
      <c r="Z10" s="141">
        <v>0</v>
      </c>
      <c r="AA10" s="142">
        <v>0</v>
      </c>
      <c r="AB10" s="56">
        <f t="shared" si="51"/>
        <v>45965</v>
      </c>
      <c r="AC10" s="76">
        <f t="shared" si="35"/>
        <v>1</v>
      </c>
      <c r="AD10" s="162">
        <f t="shared" si="36"/>
        <v>0</v>
      </c>
      <c r="AE10" s="163">
        <v>7025</v>
      </c>
      <c r="AF10" s="118">
        <f t="shared" si="37"/>
        <v>7025</v>
      </c>
      <c r="AG10" s="147">
        <v>0</v>
      </c>
      <c r="AH10" s="148">
        <v>4280</v>
      </c>
      <c r="AI10" s="149">
        <v>0.8125</v>
      </c>
      <c r="AJ10" s="148">
        <v>0</v>
      </c>
      <c r="AK10" s="165">
        <v>0</v>
      </c>
      <c r="AL10" s="56">
        <f t="shared" si="38"/>
        <v>45965</v>
      </c>
      <c r="AM10" s="77">
        <f t="shared" si="39"/>
        <v>0.59463364293085652</v>
      </c>
      <c r="AN10" s="76">
        <f t="shared" si="40"/>
        <v>0.40536635706914342</v>
      </c>
      <c r="AO10" s="150">
        <v>9690</v>
      </c>
      <c r="AP10" s="117">
        <f t="shared" si="41"/>
        <v>5762</v>
      </c>
      <c r="AQ10" s="151">
        <v>3928</v>
      </c>
      <c r="AR10" s="152">
        <v>4510</v>
      </c>
      <c r="AS10" s="153">
        <v>0.73958333333333337</v>
      </c>
      <c r="AT10" s="152">
        <v>175</v>
      </c>
      <c r="AU10" s="154">
        <v>0.9375</v>
      </c>
      <c r="AV10" s="56">
        <f t="shared" si="52"/>
        <v>45965</v>
      </c>
      <c r="AW10" s="110">
        <f t="shared" si="42"/>
        <v>0.70549970431697218</v>
      </c>
      <c r="AX10" s="110">
        <f t="shared" si="43"/>
        <v>0.29450029568302777</v>
      </c>
      <c r="AY10" s="111">
        <f t="shared" si="44"/>
        <v>8455</v>
      </c>
      <c r="AZ10" s="112">
        <v>8455</v>
      </c>
      <c r="BA10" s="120">
        <f t="shared" si="45"/>
        <v>5965</v>
      </c>
      <c r="BB10" s="113">
        <v>2490</v>
      </c>
      <c r="BC10" s="112">
        <v>4098</v>
      </c>
      <c r="BD10" s="114">
        <v>0.77083333333333337</v>
      </c>
      <c r="BE10" s="115">
        <v>0</v>
      </c>
      <c r="BF10" s="114">
        <v>0</v>
      </c>
      <c r="BG10" s="115">
        <v>154</v>
      </c>
      <c r="BH10" s="114">
        <v>0.9375</v>
      </c>
      <c r="BI10" s="56">
        <f t="shared" si="53"/>
        <v>45965</v>
      </c>
      <c r="BJ10" s="78">
        <f t="shared" si="46"/>
        <v>0.60864553314121039</v>
      </c>
      <c r="BK10" s="76">
        <f t="shared" si="47"/>
        <v>0.39135446685878961</v>
      </c>
      <c r="BL10" s="79">
        <f t="shared" si="48"/>
        <v>34700</v>
      </c>
      <c r="BM10" s="155">
        <v>21120</v>
      </c>
      <c r="BN10" s="155">
        <v>13580</v>
      </c>
      <c r="BO10" s="156">
        <v>3996</v>
      </c>
      <c r="BP10" s="157">
        <v>0.73958333333333337</v>
      </c>
      <c r="BQ10" s="158">
        <v>2635</v>
      </c>
      <c r="BR10" s="157">
        <v>0.8125</v>
      </c>
      <c r="BS10" s="14" t="s">
        <v>69</v>
      </c>
    </row>
    <row r="11" spans="1:72" ht="15" thickBot="1" x14ac:dyDescent="0.35">
      <c r="B11" s="56">
        <f t="shared" si="49"/>
        <v>45966</v>
      </c>
      <c r="C11" s="164"/>
      <c r="D11" s="87">
        <f t="shared" si="22"/>
        <v>53572</v>
      </c>
      <c r="E11" s="159">
        <f t="shared" ref="E11:E24" si="54">F11/D11</f>
        <v>0.87657731650862392</v>
      </c>
      <c r="F11" s="87">
        <f t="shared" si="24"/>
        <v>46960</v>
      </c>
      <c r="G11" s="159">
        <f t="shared" ref="G11:G24" si="55">H11/D11</f>
        <v>0.1234226834913761</v>
      </c>
      <c r="H11" s="146">
        <f t="shared" si="26"/>
        <v>6612</v>
      </c>
      <c r="I11" s="160">
        <f t="shared" ref="I11:I24" si="56">AE11/(AE11+AO11+BL11+AY11)</f>
        <v>0.11764804450551292</v>
      </c>
      <c r="J11" s="159">
        <f t="shared" ref="J11:J24" si="57">AO11/(AE11+AO11+BL11+AY11)</f>
        <v>0.15893629143067797</v>
      </c>
      <c r="K11" s="159">
        <f t="shared" ref="K11:K24" si="58">AY11/(AF11+AP11+BM11+AZ11+AY11)</f>
        <v>0.1651121804392166</v>
      </c>
      <c r="L11" s="161">
        <f t="shared" ref="L11:L24" si="59">BL11/(AE11+AO11+BL11+AY11)</f>
        <v>0.58369918562954526</v>
      </c>
      <c r="M11" s="146">
        <f t="shared" ref="M11:M24" si="60">(S11+T11)*I11</f>
        <v>6178.4047052515161</v>
      </c>
      <c r="N11" s="146">
        <f t="shared" ref="N11:N24" si="61">(S11+T11)*J11</f>
        <v>8346.6982807734839</v>
      </c>
      <c r="O11" s="146">
        <f t="shared" ref="O11:O24" si="62">(S11+T11)*K11</f>
        <v>8671.0312679458984</v>
      </c>
      <c r="P11" s="146">
        <f t="shared" ref="P11:P24" si="63">(S11+T11)*L11</f>
        <v>30653.546432521198</v>
      </c>
      <c r="Q11" s="56">
        <f t="shared" si="50"/>
        <v>45966</v>
      </c>
      <c r="R11" s="139">
        <v>53572</v>
      </c>
      <c r="S11" s="140">
        <v>0</v>
      </c>
      <c r="T11" s="140">
        <v>52516</v>
      </c>
      <c r="U11" s="140">
        <v>0</v>
      </c>
      <c r="V11" s="141">
        <v>13581</v>
      </c>
      <c r="W11" s="142">
        <v>0.82291666666666663</v>
      </c>
      <c r="X11" s="141">
        <v>4420</v>
      </c>
      <c r="Y11" s="142">
        <v>0.80208333333333337</v>
      </c>
      <c r="Z11" s="141">
        <v>0</v>
      </c>
      <c r="AA11" s="142">
        <v>0</v>
      </c>
      <c r="AB11" s="56">
        <f t="shared" si="51"/>
        <v>45966</v>
      </c>
      <c r="AC11" s="76">
        <f t="shared" ref="AC11:AC24" si="64">+AF11/AE11</f>
        <v>1</v>
      </c>
      <c r="AD11" s="162">
        <f t="shared" ref="AD11:AD24" si="65">+AG11/AE11</f>
        <v>0</v>
      </c>
      <c r="AE11" s="163">
        <v>7021</v>
      </c>
      <c r="AF11" s="118">
        <f t="shared" si="37"/>
        <v>7021</v>
      </c>
      <c r="AG11" s="147">
        <v>0</v>
      </c>
      <c r="AH11" s="148">
        <v>3777</v>
      </c>
      <c r="AI11" s="149">
        <v>0.72777777777777775</v>
      </c>
      <c r="AJ11" s="148">
        <v>0</v>
      </c>
      <c r="AK11" s="165">
        <v>0</v>
      </c>
      <c r="AL11" s="56">
        <f t="shared" si="38"/>
        <v>45966</v>
      </c>
      <c r="AM11" s="77">
        <f t="shared" ref="AM11:AM24" si="66">+AP11/AO11</f>
        <v>0.59451765946230894</v>
      </c>
      <c r="AN11" s="76">
        <f t="shared" ref="AN11:AN24" si="67">+AQ11/AO11</f>
        <v>0.40548234053769111</v>
      </c>
      <c r="AO11" s="150">
        <v>9485</v>
      </c>
      <c r="AP11" s="117">
        <f t="shared" si="41"/>
        <v>5639</v>
      </c>
      <c r="AQ11" s="151">
        <v>3846</v>
      </c>
      <c r="AR11" s="152">
        <v>3541</v>
      </c>
      <c r="AS11" s="153">
        <v>0.74791666666666667</v>
      </c>
      <c r="AT11" s="152">
        <v>182</v>
      </c>
      <c r="AU11" s="154">
        <v>0.85416666666666663</v>
      </c>
      <c r="AV11" s="56">
        <f t="shared" si="52"/>
        <v>45966</v>
      </c>
      <c r="AW11" s="110">
        <f t="shared" ref="AW11:AW24" si="68">BA11/AZ11</f>
        <v>0.66826577116814578</v>
      </c>
      <c r="AX11" s="110">
        <f t="shared" ref="AX11:AX24" si="69">BB11/AZ11</f>
        <v>0.33173422883185416</v>
      </c>
      <c r="AY11" s="111">
        <f t="shared" si="44"/>
        <v>8338</v>
      </c>
      <c r="AZ11" s="112">
        <v>8338</v>
      </c>
      <c r="BA11" s="170">
        <f t="shared" si="45"/>
        <v>5572</v>
      </c>
      <c r="BB11" s="113">
        <f>1034+1732</f>
        <v>2766</v>
      </c>
      <c r="BC11" s="112">
        <v>4268</v>
      </c>
      <c r="BD11" s="114">
        <v>0.32291666666666669</v>
      </c>
      <c r="BE11" s="115">
        <v>0</v>
      </c>
      <c r="BF11" s="114">
        <v>0</v>
      </c>
      <c r="BG11" s="115">
        <v>146</v>
      </c>
      <c r="BH11" s="114">
        <v>0.89583333333333337</v>
      </c>
      <c r="BI11" s="56">
        <f t="shared" si="53"/>
        <v>45966</v>
      </c>
      <c r="BJ11" s="78">
        <f t="shared" ref="BJ11:BJ24" si="70">+BM11/BL11</f>
        <v>0.60753861170121148</v>
      </c>
      <c r="BK11" s="76">
        <f t="shared" ref="BK11:BK24" si="71">+BN11/BL11</f>
        <v>0.39246138829878852</v>
      </c>
      <c r="BL11" s="79">
        <f t="shared" ref="BL11:BL24" si="72">BM11+BN11</f>
        <v>34834</v>
      </c>
      <c r="BM11" s="155">
        <v>21163</v>
      </c>
      <c r="BN11" s="155">
        <v>13671</v>
      </c>
      <c r="BO11" s="156">
        <v>3963</v>
      </c>
      <c r="BP11" s="157">
        <v>0.75138888888888888</v>
      </c>
      <c r="BQ11" s="158">
        <v>2659</v>
      </c>
      <c r="BR11" s="157">
        <v>0.75138888888888888</v>
      </c>
    </row>
    <row r="12" spans="1:72" ht="15" thickBot="1" x14ac:dyDescent="0.35">
      <c r="B12" s="56">
        <f t="shared" si="49"/>
        <v>45967</v>
      </c>
      <c r="C12" s="164"/>
      <c r="D12" s="87">
        <f t="shared" si="22"/>
        <v>52372</v>
      </c>
      <c r="E12" s="159">
        <f t="shared" si="54"/>
        <v>0.87424578018788668</v>
      </c>
      <c r="F12" s="87">
        <f t="shared" si="24"/>
        <v>45786</v>
      </c>
      <c r="G12" s="159">
        <f>H12/D12</f>
        <v>0.12575421981211335</v>
      </c>
      <c r="H12" s="146">
        <f t="shared" si="26"/>
        <v>6586</v>
      </c>
      <c r="I12" s="160">
        <f t="shared" si="56"/>
        <v>0.11729543496985358</v>
      </c>
      <c r="J12" s="159">
        <f t="shared" si="57"/>
        <v>0.16155038759689921</v>
      </c>
      <c r="K12" s="159">
        <f t="shared" si="58"/>
        <v>0.1670425225005587</v>
      </c>
      <c r="L12" s="161">
        <f t="shared" si="59"/>
        <v>0.57951765719207582</v>
      </c>
      <c r="M12" s="146">
        <f t="shared" si="60"/>
        <v>5966.4668906115421</v>
      </c>
      <c r="N12" s="146">
        <f t="shared" si="61"/>
        <v>8217.583565891473</v>
      </c>
      <c r="O12" s="146">
        <f t="shared" si="62"/>
        <v>8496.9519920359198</v>
      </c>
      <c r="P12" s="146">
        <f t="shared" si="63"/>
        <v>29478.324668389319</v>
      </c>
      <c r="Q12" s="56">
        <f t="shared" si="50"/>
        <v>45967</v>
      </c>
      <c r="R12" s="139">
        <v>52372</v>
      </c>
      <c r="S12" s="140">
        <v>0</v>
      </c>
      <c r="T12" s="140">
        <v>50867</v>
      </c>
      <c r="U12" s="140">
        <v>0</v>
      </c>
      <c r="V12" s="141">
        <v>13830</v>
      </c>
      <c r="W12" s="142">
        <v>0.38541666666666669</v>
      </c>
      <c r="X12" s="141">
        <v>4452</v>
      </c>
      <c r="Y12" s="142">
        <v>0.79166666666666663</v>
      </c>
      <c r="Z12" s="141">
        <v>0</v>
      </c>
      <c r="AA12" s="142">
        <v>0</v>
      </c>
      <c r="AB12" s="56">
        <f t="shared" si="51"/>
        <v>45967</v>
      </c>
      <c r="AC12" s="76">
        <f t="shared" si="64"/>
        <v>1</v>
      </c>
      <c r="AD12" s="162">
        <f t="shared" si="65"/>
        <v>0</v>
      </c>
      <c r="AE12" s="163">
        <v>6809</v>
      </c>
      <c r="AF12" s="118">
        <f t="shared" si="37"/>
        <v>6809</v>
      </c>
      <c r="AG12" s="147">
        <v>0</v>
      </c>
      <c r="AH12" s="148">
        <v>3892</v>
      </c>
      <c r="AI12" s="149">
        <v>0.35208333333333336</v>
      </c>
      <c r="AJ12" s="148">
        <v>0</v>
      </c>
      <c r="AK12" s="165">
        <v>0</v>
      </c>
      <c r="AL12" s="56">
        <f t="shared" si="38"/>
        <v>45967</v>
      </c>
      <c r="AM12" s="77">
        <f t="shared" si="66"/>
        <v>0.59341010876519518</v>
      </c>
      <c r="AN12" s="76">
        <f t="shared" si="67"/>
        <v>0.40658989123480488</v>
      </c>
      <c r="AO12" s="150">
        <v>9378</v>
      </c>
      <c r="AP12" s="117">
        <f t="shared" si="41"/>
        <v>5565</v>
      </c>
      <c r="AQ12" s="151">
        <v>3813</v>
      </c>
      <c r="AR12" s="152">
        <v>3642</v>
      </c>
      <c r="AS12" s="153">
        <v>0.76458333333333328</v>
      </c>
      <c r="AT12" s="152">
        <v>176</v>
      </c>
      <c r="AU12" s="154">
        <v>0.875</v>
      </c>
      <c r="AV12" s="56">
        <f t="shared" si="52"/>
        <v>45967</v>
      </c>
      <c r="AW12" s="110">
        <f t="shared" si="68"/>
        <v>0.66273412794940401</v>
      </c>
      <c r="AX12" s="110">
        <f t="shared" si="69"/>
        <v>0.33726587205059594</v>
      </c>
      <c r="AY12" s="111">
        <f t="shared" si="44"/>
        <v>8222</v>
      </c>
      <c r="AZ12" s="112">
        <v>8222</v>
      </c>
      <c r="BA12" s="170">
        <f t="shared" si="45"/>
        <v>5449</v>
      </c>
      <c r="BB12" s="113">
        <f>1055+1718</f>
        <v>2773</v>
      </c>
      <c r="BC12" s="112">
        <v>4438</v>
      </c>
      <c r="BD12" s="114">
        <v>0.67708333333333337</v>
      </c>
      <c r="BE12" s="115">
        <v>0</v>
      </c>
      <c r="BF12" s="114">
        <v>0</v>
      </c>
      <c r="BG12" s="115">
        <v>155</v>
      </c>
      <c r="BH12" s="114">
        <v>0.875</v>
      </c>
      <c r="BI12" s="56">
        <f t="shared" si="53"/>
        <v>45967</v>
      </c>
      <c r="BJ12" s="78">
        <f t="shared" si="70"/>
        <v>0.606492078118962</v>
      </c>
      <c r="BK12" s="76">
        <f t="shared" si="71"/>
        <v>0.393507921881038</v>
      </c>
      <c r="BL12" s="79">
        <f t="shared" si="72"/>
        <v>33641</v>
      </c>
      <c r="BM12" s="155">
        <v>20403</v>
      </c>
      <c r="BN12" s="155">
        <v>13238</v>
      </c>
      <c r="BO12" s="156">
        <v>4112</v>
      </c>
      <c r="BP12" s="157">
        <v>0.73472222222222228</v>
      </c>
      <c r="BQ12" s="158">
        <v>2761</v>
      </c>
      <c r="BR12" s="157">
        <v>0.73472222222222228</v>
      </c>
      <c r="BT12" s="14" t="s">
        <v>37</v>
      </c>
    </row>
    <row r="13" spans="1:72" ht="15" thickBot="1" x14ac:dyDescent="0.35">
      <c r="B13" s="56">
        <f t="shared" si="49"/>
        <v>45968</v>
      </c>
      <c r="C13" s="164"/>
      <c r="D13" s="87">
        <f t="shared" si="22"/>
        <v>53144</v>
      </c>
      <c r="E13" s="159">
        <f t="shared" si="54"/>
        <v>0.89697802197802201</v>
      </c>
      <c r="F13" s="87">
        <f t="shared" si="24"/>
        <v>47669</v>
      </c>
      <c r="G13" s="159">
        <f t="shared" si="55"/>
        <v>0.10302197802197802</v>
      </c>
      <c r="H13" s="146">
        <f t="shared" si="26"/>
        <v>5475</v>
      </c>
      <c r="I13" s="160">
        <f t="shared" si="56"/>
        <v>0.12019742735924004</v>
      </c>
      <c r="J13" s="159">
        <f t="shared" si="57"/>
        <v>0.14747891347340308</v>
      </c>
      <c r="K13" s="159">
        <f t="shared" si="58"/>
        <v>0.16747210435329246</v>
      </c>
      <c r="L13" s="161">
        <f t="shared" si="59"/>
        <v>0.58822535116039287</v>
      </c>
      <c r="M13" s="146">
        <f t="shared" si="60"/>
        <v>6221.7794323963417</v>
      </c>
      <c r="N13" s="146">
        <f t="shared" si="61"/>
        <v>7633.9509981237634</v>
      </c>
      <c r="O13" s="146">
        <f t="shared" si="62"/>
        <v>8668.8585376394785</v>
      </c>
      <c r="P13" s="146">
        <f t="shared" si="63"/>
        <v>30448.308852115417</v>
      </c>
      <c r="Q13" s="56">
        <f t="shared" si="50"/>
        <v>45968</v>
      </c>
      <c r="R13" s="139">
        <v>53144</v>
      </c>
      <c r="S13" s="140">
        <v>0</v>
      </c>
      <c r="T13" s="140">
        <v>51763</v>
      </c>
      <c r="U13" s="140">
        <v>0</v>
      </c>
      <c r="V13" s="141">
        <v>12868</v>
      </c>
      <c r="W13" s="142">
        <v>0.80208333333333337</v>
      </c>
      <c r="X13" s="141">
        <v>4598</v>
      </c>
      <c r="Y13" s="142">
        <v>0.79166666666666663</v>
      </c>
      <c r="Z13" s="141">
        <v>0</v>
      </c>
      <c r="AA13" s="142">
        <v>0</v>
      </c>
      <c r="AB13" s="56">
        <f t="shared" si="51"/>
        <v>45968</v>
      </c>
      <c r="AC13" s="76">
        <f t="shared" si="64"/>
        <v>1</v>
      </c>
      <c r="AD13" s="162">
        <f t="shared" si="65"/>
        <v>0</v>
      </c>
      <c r="AE13" s="163">
        <v>7111</v>
      </c>
      <c r="AF13" s="118">
        <f t="shared" si="37"/>
        <v>7111</v>
      </c>
      <c r="AG13" s="147">
        <v>0</v>
      </c>
      <c r="AH13" s="148">
        <v>3921</v>
      </c>
      <c r="AI13" s="149">
        <v>0.35</v>
      </c>
      <c r="AJ13" s="148">
        <v>0</v>
      </c>
      <c r="AK13" s="165">
        <v>0</v>
      </c>
      <c r="AL13" s="56">
        <f t="shared" si="38"/>
        <v>45968</v>
      </c>
      <c r="AM13" s="77">
        <f t="shared" si="66"/>
        <v>0.64573065902578797</v>
      </c>
      <c r="AN13" s="76">
        <f t="shared" si="67"/>
        <v>0.35426934097421203</v>
      </c>
      <c r="AO13" s="150">
        <v>8725</v>
      </c>
      <c r="AP13" s="117">
        <f t="shared" si="41"/>
        <v>5634</v>
      </c>
      <c r="AQ13" s="151">
        <v>3091</v>
      </c>
      <c r="AR13" s="152">
        <v>3374</v>
      </c>
      <c r="AS13" s="153">
        <v>0.36041666666666666</v>
      </c>
      <c r="AT13" s="152">
        <v>178</v>
      </c>
      <c r="AU13" s="154">
        <v>0.85416666666666663</v>
      </c>
      <c r="AV13" s="56">
        <f t="shared" si="52"/>
        <v>45968</v>
      </c>
      <c r="AW13" s="110">
        <f t="shared" si="68"/>
        <v>0.72035190615835776</v>
      </c>
      <c r="AX13" s="110">
        <f t="shared" si="69"/>
        <v>0.27964809384164224</v>
      </c>
      <c r="AY13" s="111">
        <f t="shared" si="44"/>
        <v>8525</v>
      </c>
      <c r="AZ13" s="112">
        <v>8525</v>
      </c>
      <c r="BA13" s="170">
        <f t="shared" si="45"/>
        <v>6141</v>
      </c>
      <c r="BB13" s="113">
        <v>2384</v>
      </c>
      <c r="BC13" s="112">
        <v>4047</v>
      </c>
      <c r="BD13" s="114">
        <v>0.80208333333333337</v>
      </c>
      <c r="BE13" s="115">
        <v>0</v>
      </c>
      <c r="BF13" s="114">
        <v>0</v>
      </c>
      <c r="BG13" s="115">
        <v>171</v>
      </c>
      <c r="BH13" s="114">
        <v>0.19791666666666666</v>
      </c>
      <c r="BI13" s="56">
        <f t="shared" si="53"/>
        <v>45968</v>
      </c>
      <c r="BJ13" s="78">
        <f t="shared" si="70"/>
        <v>0.60658045977011499</v>
      </c>
      <c r="BK13" s="76">
        <f t="shared" si="71"/>
        <v>0.39341954022988507</v>
      </c>
      <c r="BL13" s="79">
        <f t="shared" si="72"/>
        <v>34800</v>
      </c>
      <c r="BM13" s="155">
        <v>21109</v>
      </c>
      <c r="BN13" s="155">
        <v>13691</v>
      </c>
      <c r="BO13" s="156">
        <v>4274</v>
      </c>
      <c r="BP13" s="157">
        <v>0.38055555555555554</v>
      </c>
      <c r="BQ13" s="158">
        <v>2864</v>
      </c>
      <c r="BR13" s="157">
        <v>0.38124999999999998</v>
      </c>
    </row>
    <row r="14" spans="1:72" ht="15" thickBot="1" x14ac:dyDescent="0.35">
      <c r="B14" s="56">
        <f t="shared" si="49"/>
        <v>45969</v>
      </c>
      <c r="C14" s="164"/>
      <c r="D14" s="87">
        <f t="shared" si="22"/>
        <v>31874</v>
      </c>
      <c r="E14" s="159">
        <f t="shared" si="54"/>
        <v>0.81477065947166971</v>
      </c>
      <c r="F14" s="87">
        <f t="shared" si="24"/>
        <v>25970</v>
      </c>
      <c r="G14" s="159">
        <f t="shared" si="55"/>
        <v>0.18522934052833029</v>
      </c>
      <c r="H14" s="146">
        <f t="shared" si="26"/>
        <v>5904</v>
      </c>
      <c r="I14" s="160">
        <f t="shared" si="56"/>
        <v>8.0322424999290432E-2</v>
      </c>
      <c r="J14" s="159">
        <f t="shared" si="57"/>
        <v>0.16098543978656374</v>
      </c>
      <c r="K14" s="159">
        <f t="shared" si="58"/>
        <v>0.1607968302883557</v>
      </c>
      <c r="L14" s="161">
        <f t="shared" si="59"/>
        <v>0.63429171515340732</v>
      </c>
      <c r="M14" s="146">
        <f t="shared" si="60"/>
        <v>2446.0588085033914</v>
      </c>
      <c r="N14" s="146">
        <f t="shared" si="61"/>
        <v>4902.4895978202258</v>
      </c>
      <c r="O14" s="146">
        <f t="shared" si="62"/>
        <v>4896.7458727712965</v>
      </c>
      <c r="P14" s="146">
        <f t="shared" si="63"/>
        <v>19316.085601566712</v>
      </c>
      <c r="Q14" s="56">
        <f t="shared" si="50"/>
        <v>45969</v>
      </c>
      <c r="R14" s="139">
        <v>31874</v>
      </c>
      <c r="S14" s="140">
        <v>0</v>
      </c>
      <c r="T14" s="140">
        <v>30453</v>
      </c>
      <c r="U14" s="140">
        <v>0</v>
      </c>
      <c r="V14" s="141">
        <v>6451</v>
      </c>
      <c r="W14" s="142">
        <v>0.9375</v>
      </c>
      <c r="X14" s="141">
        <v>2038</v>
      </c>
      <c r="Y14" s="142">
        <v>0.71875</v>
      </c>
      <c r="Z14" s="141">
        <v>0</v>
      </c>
      <c r="AA14" s="142">
        <v>0</v>
      </c>
      <c r="AB14" s="56">
        <f t="shared" si="51"/>
        <v>45969</v>
      </c>
      <c r="AC14" s="76">
        <f t="shared" si="64"/>
        <v>1</v>
      </c>
      <c r="AD14" s="162">
        <f t="shared" si="65"/>
        <v>0</v>
      </c>
      <c r="AE14" s="163">
        <v>2830</v>
      </c>
      <c r="AF14" s="118">
        <f t="shared" si="37"/>
        <v>2830</v>
      </c>
      <c r="AG14" s="147">
        <v>0</v>
      </c>
      <c r="AH14" s="148">
        <v>1671</v>
      </c>
      <c r="AI14" s="149">
        <v>0.94236111111111109</v>
      </c>
      <c r="AJ14" s="148">
        <v>0</v>
      </c>
      <c r="AK14" s="165">
        <v>0</v>
      </c>
      <c r="AL14" s="56">
        <f t="shared" si="38"/>
        <v>45969</v>
      </c>
      <c r="AM14" s="77">
        <f t="shared" si="66"/>
        <v>0.35684062059238364</v>
      </c>
      <c r="AN14" s="76">
        <f t="shared" si="67"/>
        <v>0.64315937940761636</v>
      </c>
      <c r="AO14" s="150">
        <v>5672</v>
      </c>
      <c r="AP14" s="117">
        <f t="shared" si="41"/>
        <v>2024</v>
      </c>
      <c r="AQ14" s="151">
        <v>3648</v>
      </c>
      <c r="AR14" s="152">
        <v>1649</v>
      </c>
      <c r="AS14" s="153">
        <v>0.54652777777777772</v>
      </c>
      <c r="AT14" s="152">
        <v>176</v>
      </c>
      <c r="AU14" s="154">
        <v>0.85416666666666663</v>
      </c>
      <c r="AV14" s="56">
        <f t="shared" si="52"/>
        <v>45969</v>
      </c>
      <c r="AW14" s="110">
        <f t="shared" si="68"/>
        <v>0.48528405201916497</v>
      </c>
      <c r="AX14" s="110">
        <f t="shared" si="69"/>
        <v>0.51471594798083509</v>
      </c>
      <c r="AY14" s="111">
        <f t="shared" si="44"/>
        <v>4383</v>
      </c>
      <c r="AZ14" s="112">
        <v>4383</v>
      </c>
      <c r="BA14" s="120">
        <f t="shared" ref="BA14:BA24" si="73">AZ14-BB14</f>
        <v>2127</v>
      </c>
      <c r="BB14" s="113">
        <v>2256</v>
      </c>
      <c r="BC14" s="112">
        <v>1626</v>
      </c>
      <c r="BD14" s="114">
        <v>0.36458333333333331</v>
      </c>
      <c r="BE14" s="115">
        <v>0</v>
      </c>
      <c r="BF14" s="114">
        <v>0</v>
      </c>
      <c r="BG14" s="115">
        <v>142</v>
      </c>
      <c r="BH14" s="114">
        <v>0.88541666666666663</v>
      </c>
      <c r="BI14" s="56">
        <f t="shared" si="53"/>
        <v>45969</v>
      </c>
      <c r="BJ14" s="78">
        <f t="shared" si="70"/>
        <v>0.61025595131555399</v>
      </c>
      <c r="BK14" s="76">
        <f t="shared" si="71"/>
        <v>0.38974404868444601</v>
      </c>
      <c r="BL14" s="79">
        <f t="shared" si="72"/>
        <v>22348</v>
      </c>
      <c r="BM14" s="155">
        <v>13638</v>
      </c>
      <c r="BN14" s="155">
        <v>8710</v>
      </c>
      <c r="BO14" s="156">
        <v>2703</v>
      </c>
      <c r="BP14" s="157">
        <v>0.36805555555555558</v>
      </c>
      <c r="BQ14" s="158">
        <v>1790</v>
      </c>
      <c r="BR14" s="157">
        <v>0.28472222222222221</v>
      </c>
    </row>
    <row r="15" spans="1:72" ht="15" thickBot="1" x14ac:dyDescent="0.35">
      <c r="B15" s="56">
        <f t="shared" si="49"/>
        <v>45970</v>
      </c>
      <c r="C15" s="164"/>
      <c r="D15" s="87">
        <f t="shared" si="22"/>
        <v>27490</v>
      </c>
      <c r="E15" s="159">
        <f t="shared" si="54"/>
        <v>0.77762822844670787</v>
      </c>
      <c r="F15" s="87">
        <f t="shared" si="24"/>
        <v>21377</v>
      </c>
      <c r="G15" s="159">
        <f t="shared" si="55"/>
        <v>0.2223717715532921</v>
      </c>
      <c r="H15" s="146">
        <f t="shared" si="26"/>
        <v>6113</v>
      </c>
      <c r="I15" s="160">
        <f t="shared" si="56"/>
        <v>6.3209076175040513E-2</v>
      </c>
      <c r="J15" s="159">
        <f t="shared" si="57"/>
        <v>0.17017828200972449</v>
      </c>
      <c r="K15" s="159">
        <f t="shared" si="58"/>
        <v>0.17502721715099237</v>
      </c>
      <c r="L15" s="161">
        <f t="shared" si="59"/>
        <v>0.63111831442463528</v>
      </c>
      <c r="M15" s="146">
        <f t="shared" si="60"/>
        <v>1677.5688816855752</v>
      </c>
      <c r="N15" s="146">
        <f t="shared" si="61"/>
        <v>4516.5316045380878</v>
      </c>
      <c r="O15" s="146">
        <f t="shared" si="62"/>
        <v>4645.2223431873372</v>
      </c>
      <c r="P15" s="146">
        <f t="shared" si="63"/>
        <v>16749.88006482982</v>
      </c>
      <c r="Q15" s="56">
        <f t="shared" si="50"/>
        <v>45970</v>
      </c>
      <c r="R15" s="139">
        <v>27490</v>
      </c>
      <c r="S15" s="140">
        <v>0</v>
      </c>
      <c r="T15" s="140">
        <v>26540</v>
      </c>
      <c r="U15" s="140">
        <v>0</v>
      </c>
      <c r="V15" s="141">
        <v>6750</v>
      </c>
      <c r="W15" s="142">
        <v>0.86458333333333337</v>
      </c>
      <c r="X15" s="141">
        <v>1890</v>
      </c>
      <c r="Y15" s="142">
        <v>0.75</v>
      </c>
      <c r="Z15" s="141">
        <v>0</v>
      </c>
      <c r="AA15" s="142">
        <v>0</v>
      </c>
      <c r="AB15" s="56">
        <f t="shared" si="51"/>
        <v>45970</v>
      </c>
      <c r="AC15" s="76">
        <f t="shared" si="64"/>
        <v>1</v>
      </c>
      <c r="AD15" s="162">
        <f t="shared" si="65"/>
        <v>0</v>
      </c>
      <c r="AE15" s="163">
        <v>1950</v>
      </c>
      <c r="AF15" s="118">
        <f t="shared" si="37"/>
        <v>1950</v>
      </c>
      <c r="AG15" s="147">
        <v>0</v>
      </c>
      <c r="AH15" s="148">
        <v>1450</v>
      </c>
      <c r="AI15" s="149">
        <v>0.89583333333333337</v>
      </c>
      <c r="AJ15" s="148">
        <v>0</v>
      </c>
      <c r="AK15" s="165">
        <v>0</v>
      </c>
      <c r="AL15" s="168">
        <f t="shared" si="38"/>
        <v>45970</v>
      </c>
      <c r="AM15" s="77">
        <f t="shared" si="66"/>
        <v>0.30895238095238098</v>
      </c>
      <c r="AN15" s="76">
        <f t="shared" si="67"/>
        <v>0.69104761904761902</v>
      </c>
      <c r="AO15" s="150">
        <v>5250</v>
      </c>
      <c r="AP15" s="117">
        <f t="shared" si="41"/>
        <v>1622</v>
      </c>
      <c r="AQ15" s="151">
        <v>3628</v>
      </c>
      <c r="AR15" s="152">
        <v>1638</v>
      </c>
      <c r="AS15" s="153">
        <v>0.52083333333333337</v>
      </c>
      <c r="AT15" s="152">
        <v>148</v>
      </c>
      <c r="AU15" s="154">
        <v>0.9375</v>
      </c>
      <c r="AV15" s="56">
        <f t="shared" si="52"/>
        <v>45970</v>
      </c>
      <c r="AW15" s="169">
        <f t="shared" si="68"/>
        <v>0.40550239234449759</v>
      </c>
      <c r="AX15" s="169">
        <f t="shared" si="69"/>
        <v>0.59449760765550241</v>
      </c>
      <c r="AY15" s="111">
        <f t="shared" si="44"/>
        <v>4180</v>
      </c>
      <c r="AZ15" s="112">
        <v>4180</v>
      </c>
      <c r="BA15" s="170">
        <f t="shared" si="73"/>
        <v>1695</v>
      </c>
      <c r="BB15" s="113">
        <v>2485</v>
      </c>
      <c r="BC15" s="112">
        <v>1631</v>
      </c>
      <c r="BD15" s="114">
        <v>0.39583333333333331</v>
      </c>
      <c r="BE15" s="115">
        <v>0</v>
      </c>
      <c r="BF15" s="114">
        <v>0</v>
      </c>
      <c r="BG15" s="115">
        <v>145</v>
      </c>
      <c r="BH15" s="114">
        <v>0.85416666666666663</v>
      </c>
      <c r="BI15" s="56">
        <f t="shared" si="53"/>
        <v>45970</v>
      </c>
      <c r="BJ15" s="171">
        <f t="shared" si="70"/>
        <v>0.61376476630713916</v>
      </c>
      <c r="BK15" s="76">
        <f t="shared" si="71"/>
        <v>0.38623523369286084</v>
      </c>
      <c r="BL15" s="79">
        <f t="shared" si="72"/>
        <v>19470</v>
      </c>
      <c r="BM15" s="155">
        <v>11950</v>
      </c>
      <c r="BN15" s="155">
        <v>7520</v>
      </c>
      <c r="BO15" s="156">
        <v>2510</v>
      </c>
      <c r="BP15" s="157">
        <v>0.375</v>
      </c>
      <c r="BQ15" s="158">
        <v>1695</v>
      </c>
      <c r="BR15" s="157">
        <v>0.35416666666666669</v>
      </c>
    </row>
    <row r="16" spans="1:72" ht="15" thickBot="1" x14ac:dyDescent="0.35">
      <c r="B16" s="56">
        <f t="shared" si="49"/>
        <v>45971</v>
      </c>
      <c r="C16" s="164"/>
      <c r="D16" s="87">
        <f t="shared" si="22"/>
        <v>53228</v>
      </c>
      <c r="E16" s="159">
        <f t="shared" si="54"/>
        <v>0.88492898474487114</v>
      </c>
      <c r="F16" s="87">
        <f t="shared" si="24"/>
        <v>47103</v>
      </c>
      <c r="G16" s="159">
        <f t="shared" si="55"/>
        <v>0.11507101525512888</v>
      </c>
      <c r="H16" s="146">
        <f t="shared" si="26"/>
        <v>6125</v>
      </c>
      <c r="I16" s="160">
        <f t="shared" si="56"/>
        <v>0.11938081331555225</v>
      </c>
      <c r="J16" s="159">
        <f t="shared" si="57"/>
        <v>0.16154897955738617</v>
      </c>
      <c r="K16" s="159">
        <f t="shared" si="58"/>
        <v>0.16571860455865389</v>
      </c>
      <c r="L16" s="161">
        <f t="shared" si="59"/>
        <v>0.57841962220834253</v>
      </c>
      <c r="M16" s="146">
        <f t="shared" si="60"/>
        <v>6190.492074477962</v>
      </c>
      <c r="N16" s="146">
        <f t="shared" si="61"/>
        <v>8377.1223349482607</v>
      </c>
      <c r="O16" s="146">
        <f t="shared" si="62"/>
        <v>8593.338239388997</v>
      </c>
      <c r="P16" s="146">
        <f t="shared" si="63"/>
        <v>29993.949509613602</v>
      </c>
      <c r="Q16" s="56">
        <f t="shared" si="50"/>
        <v>45971</v>
      </c>
      <c r="R16" s="139">
        <v>53228</v>
      </c>
      <c r="S16" s="140">
        <v>0</v>
      </c>
      <c r="T16" s="140">
        <v>51855</v>
      </c>
      <c r="U16" s="140">
        <v>0</v>
      </c>
      <c r="V16" s="141">
        <v>13291</v>
      </c>
      <c r="W16" s="142">
        <v>0.75</v>
      </c>
      <c r="X16" s="141">
        <v>4542</v>
      </c>
      <c r="Y16" s="142">
        <v>0.80208333333333337</v>
      </c>
      <c r="Z16" s="141">
        <v>0</v>
      </c>
      <c r="AA16" s="142">
        <v>0</v>
      </c>
      <c r="AB16" s="56">
        <f t="shared" si="51"/>
        <v>45971</v>
      </c>
      <c r="AC16" s="76">
        <f t="shared" si="64"/>
        <v>1</v>
      </c>
      <c r="AD16" s="162">
        <f t="shared" si="65"/>
        <v>0</v>
      </c>
      <c r="AE16" s="163">
        <v>7072</v>
      </c>
      <c r="AF16" s="118">
        <f t="shared" si="37"/>
        <v>7072</v>
      </c>
      <c r="AG16" s="147">
        <v>0</v>
      </c>
      <c r="AH16" s="148">
        <v>4057</v>
      </c>
      <c r="AI16" s="149">
        <v>0.77569444444444446</v>
      </c>
      <c r="AJ16" s="148">
        <v>0</v>
      </c>
      <c r="AK16" s="165">
        <v>0</v>
      </c>
      <c r="AL16" s="56">
        <f t="shared" si="38"/>
        <v>45971</v>
      </c>
      <c r="AM16" s="77">
        <f t="shared" si="66"/>
        <v>0.60125391849529786</v>
      </c>
      <c r="AN16" s="76">
        <f t="shared" si="67"/>
        <v>0.3987460815047022</v>
      </c>
      <c r="AO16" s="150">
        <v>9570</v>
      </c>
      <c r="AP16" s="117">
        <f t="shared" si="41"/>
        <v>5754</v>
      </c>
      <c r="AQ16" s="151">
        <v>3816</v>
      </c>
      <c r="AR16" s="152">
        <v>4272</v>
      </c>
      <c r="AS16" s="153">
        <v>0.35625000000000001</v>
      </c>
      <c r="AT16" s="152">
        <v>189</v>
      </c>
      <c r="AU16" s="154">
        <v>0.6875</v>
      </c>
      <c r="AV16" s="56">
        <f t="shared" si="52"/>
        <v>45971</v>
      </c>
      <c r="AW16" s="110">
        <f t="shared" si="68"/>
        <v>0.72287566010561688</v>
      </c>
      <c r="AX16" s="110">
        <f t="shared" si="69"/>
        <v>0.27712433989438312</v>
      </c>
      <c r="AY16" s="111">
        <f t="shared" si="44"/>
        <v>8332</v>
      </c>
      <c r="AZ16" s="112">
        <v>8332</v>
      </c>
      <c r="BA16" s="120">
        <f t="shared" si="73"/>
        <v>6023</v>
      </c>
      <c r="BB16" s="113">
        <v>2309</v>
      </c>
      <c r="BC16" s="112">
        <v>3879</v>
      </c>
      <c r="BD16" s="114">
        <v>0.36458333333333331</v>
      </c>
      <c r="BE16" s="115">
        <v>0</v>
      </c>
      <c r="BF16" s="114">
        <v>0</v>
      </c>
      <c r="BG16" s="115">
        <v>160</v>
      </c>
      <c r="BH16" s="114">
        <v>0.875</v>
      </c>
      <c r="BI16" s="56">
        <f t="shared" si="53"/>
        <v>45971</v>
      </c>
      <c r="BJ16" s="78">
        <f t="shared" si="70"/>
        <v>0.60668320443601342</v>
      </c>
      <c r="BK16" s="76">
        <f t="shared" si="71"/>
        <v>0.39331679556398658</v>
      </c>
      <c r="BL16" s="79">
        <f t="shared" si="72"/>
        <v>34265</v>
      </c>
      <c r="BM16" s="155">
        <v>20788</v>
      </c>
      <c r="BN16" s="155">
        <v>13477</v>
      </c>
      <c r="BO16" s="156">
        <v>4326</v>
      </c>
      <c r="BP16" s="157">
        <v>0.7006944444444444</v>
      </c>
      <c r="BQ16" s="158">
        <v>2884</v>
      </c>
      <c r="BR16" s="157">
        <v>0.7006944444444444</v>
      </c>
    </row>
    <row r="17" spans="1:70" ht="15" thickBot="1" x14ac:dyDescent="0.35">
      <c r="B17" s="56">
        <f t="shared" si="49"/>
        <v>45972</v>
      </c>
      <c r="C17" s="164"/>
      <c r="D17" s="87">
        <f t="shared" si="22"/>
        <v>53730</v>
      </c>
      <c r="E17" s="159">
        <f t="shared" si="54"/>
        <v>0.88498045784477941</v>
      </c>
      <c r="F17" s="87">
        <f t="shared" si="24"/>
        <v>47550</v>
      </c>
      <c r="G17" s="159">
        <f t="shared" si="55"/>
        <v>0.11501954215522055</v>
      </c>
      <c r="H17" s="146">
        <f t="shared" si="26"/>
        <v>6180</v>
      </c>
      <c r="I17" s="160">
        <f t="shared" si="56"/>
        <v>0.1188308094782915</v>
      </c>
      <c r="J17" s="159">
        <f t="shared" si="57"/>
        <v>0.15919572034679949</v>
      </c>
      <c r="K17" s="159">
        <f t="shared" si="58"/>
        <v>0.16671603183065775</v>
      </c>
      <c r="L17" s="161">
        <f t="shared" si="59"/>
        <v>0.58038604081769551</v>
      </c>
      <c r="M17" s="146">
        <f t="shared" si="60"/>
        <v>6228.7545404236052</v>
      </c>
      <c r="N17" s="146">
        <f t="shared" si="61"/>
        <v>8344.5620734181884</v>
      </c>
      <c r="O17" s="146">
        <f t="shared" si="62"/>
        <v>8738.7542404675878</v>
      </c>
      <c r="P17" s="146">
        <f t="shared" si="63"/>
        <v>30422.095101541145</v>
      </c>
      <c r="Q17" s="56">
        <f t="shared" si="50"/>
        <v>45972</v>
      </c>
      <c r="R17" s="139">
        <v>53730</v>
      </c>
      <c r="S17" s="140">
        <v>0</v>
      </c>
      <c r="T17" s="140">
        <v>52417</v>
      </c>
      <c r="U17" s="140">
        <v>0</v>
      </c>
      <c r="V17" s="141">
        <v>12226</v>
      </c>
      <c r="W17" s="142">
        <v>0.82291666666666663</v>
      </c>
      <c r="X17" s="141">
        <v>4448</v>
      </c>
      <c r="Y17" s="142">
        <v>0.80208333333333337</v>
      </c>
      <c r="Z17" s="141">
        <v>0</v>
      </c>
      <c r="AA17" s="142">
        <v>0</v>
      </c>
      <c r="AB17" s="56">
        <f t="shared" si="51"/>
        <v>45972</v>
      </c>
      <c r="AC17" s="76">
        <f t="shared" si="64"/>
        <v>1</v>
      </c>
      <c r="AD17" s="162">
        <f t="shared" si="65"/>
        <v>0</v>
      </c>
      <c r="AE17" s="163">
        <v>7086</v>
      </c>
      <c r="AF17" s="118">
        <f t="shared" si="37"/>
        <v>7086</v>
      </c>
      <c r="AG17" s="147">
        <v>0</v>
      </c>
      <c r="AH17" s="148">
        <v>4190</v>
      </c>
      <c r="AI17" s="149">
        <v>0.77152777777777781</v>
      </c>
      <c r="AJ17" s="148">
        <v>0</v>
      </c>
      <c r="AK17" s="165">
        <v>0</v>
      </c>
      <c r="AL17" s="56">
        <f t="shared" si="38"/>
        <v>45972</v>
      </c>
      <c r="AM17" s="77">
        <f t="shared" si="66"/>
        <v>0.59833561571684402</v>
      </c>
      <c r="AN17" s="76">
        <f t="shared" si="67"/>
        <v>0.40166438428315598</v>
      </c>
      <c r="AO17" s="150">
        <v>9493</v>
      </c>
      <c r="AP17" s="117">
        <f t="shared" si="41"/>
        <v>5680</v>
      </c>
      <c r="AQ17" s="151">
        <v>3813</v>
      </c>
      <c r="AR17" s="152">
        <v>3520</v>
      </c>
      <c r="AS17" s="153">
        <v>0.72152777777777777</v>
      </c>
      <c r="AT17" s="152">
        <v>183</v>
      </c>
      <c r="AU17" s="154">
        <v>0.85416666666666663</v>
      </c>
      <c r="AV17" s="56">
        <f t="shared" si="52"/>
        <v>45972</v>
      </c>
      <c r="AW17" s="110">
        <f t="shared" si="68"/>
        <v>0.71964941371550395</v>
      </c>
      <c r="AX17" s="110">
        <f t="shared" si="69"/>
        <v>0.28035058628449605</v>
      </c>
      <c r="AY17" s="111">
        <f t="shared" si="44"/>
        <v>8443</v>
      </c>
      <c r="AZ17" s="112">
        <v>8443</v>
      </c>
      <c r="BA17" s="120">
        <f t="shared" si="73"/>
        <v>6076</v>
      </c>
      <c r="BB17" s="113">
        <v>2367</v>
      </c>
      <c r="BC17" s="112">
        <v>3741</v>
      </c>
      <c r="BD17" s="114">
        <v>0.69791666666666663</v>
      </c>
      <c r="BE17" s="115">
        <v>0</v>
      </c>
      <c r="BF17" s="114">
        <v>0</v>
      </c>
      <c r="BG17" s="115">
        <v>147</v>
      </c>
      <c r="BH17" s="114">
        <v>0.92708333333333337</v>
      </c>
      <c r="BI17" s="56">
        <f t="shared" si="53"/>
        <v>45972</v>
      </c>
      <c r="BJ17" s="78">
        <f t="shared" si="70"/>
        <v>0.60651853564101821</v>
      </c>
      <c r="BK17" s="76">
        <f t="shared" si="71"/>
        <v>0.39348146435898179</v>
      </c>
      <c r="BL17" s="79">
        <f t="shared" si="72"/>
        <v>34609</v>
      </c>
      <c r="BM17" s="155">
        <v>20991</v>
      </c>
      <c r="BN17" s="155">
        <v>13618</v>
      </c>
      <c r="BO17" s="156">
        <v>4080</v>
      </c>
      <c r="BP17" s="157">
        <v>0.82430555555555551</v>
      </c>
      <c r="BQ17" s="158">
        <v>2701</v>
      </c>
      <c r="BR17" s="157">
        <v>0.82430555555555551</v>
      </c>
    </row>
    <row r="18" spans="1:70" ht="15" thickBot="1" x14ac:dyDescent="0.35">
      <c r="B18" s="56">
        <f t="shared" si="49"/>
        <v>45973</v>
      </c>
      <c r="C18" s="164"/>
      <c r="D18" s="87">
        <f t="shared" si="22"/>
        <v>53412</v>
      </c>
      <c r="E18" s="159">
        <f t="shared" si="54"/>
        <v>0.88180558675952969</v>
      </c>
      <c r="F18" s="87">
        <f t="shared" si="24"/>
        <v>47099</v>
      </c>
      <c r="G18" s="159">
        <f t="shared" si="55"/>
        <v>0.11819441324047031</v>
      </c>
      <c r="H18" s="146">
        <f t="shared" si="26"/>
        <v>6313</v>
      </c>
      <c r="I18" s="160">
        <f t="shared" si="56"/>
        <v>0.11889220597412674</v>
      </c>
      <c r="J18" s="159">
        <f t="shared" si="57"/>
        <v>0.14226922363338898</v>
      </c>
      <c r="K18" s="159">
        <f t="shared" si="58"/>
        <v>0.18534222861922081</v>
      </c>
      <c r="L18" s="161">
        <f t="shared" si="59"/>
        <v>0.57811735735127934</v>
      </c>
      <c r="M18" s="146">
        <f t="shared" si="60"/>
        <v>6152.3149825431365</v>
      </c>
      <c r="N18" s="146">
        <f t="shared" si="61"/>
        <v>7362.0055153569792</v>
      </c>
      <c r="O18" s="146">
        <f t="shared" si="62"/>
        <v>9590.904304358819</v>
      </c>
      <c r="P18" s="146">
        <f t="shared" si="63"/>
        <v>29915.838890856652</v>
      </c>
      <c r="Q18" s="56">
        <f t="shared" si="50"/>
        <v>45973</v>
      </c>
      <c r="R18" s="139">
        <v>53412</v>
      </c>
      <c r="S18" s="140">
        <v>0</v>
      </c>
      <c r="T18" s="140">
        <v>51747</v>
      </c>
      <c r="U18" s="140">
        <v>0</v>
      </c>
      <c r="V18" s="141">
        <v>13336</v>
      </c>
      <c r="W18" s="142">
        <v>0.73958333333333337</v>
      </c>
      <c r="X18" s="141">
        <v>4465</v>
      </c>
      <c r="Y18" s="142">
        <v>0.78125</v>
      </c>
      <c r="Z18" s="141">
        <v>0</v>
      </c>
      <c r="AA18" s="142">
        <v>0</v>
      </c>
      <c r="AB18" s="56">
        <f t="shared" si="51"/>
        <v>45973</v>
      </c>
      <c r="AC18" s="76">
        <f t="shared" si="64"/>
        <v>1</v>
      </c>
      <c r="AD18" s="162">
        <f t="shared" si="65"/>
        <v>0</v>
      </c>
      <c r="AE18" s="163">
        <v>7049</v>
      </c>
      <c r="AF18" s="118">
        <f t="shared" si="37"/>
        <v>7049</v>
      </c>
      <c r="AG18" s="147">
        <v>0</v>
      </c>
      <c r="AH18" s="148">
        <v>4328</v>
      </c>
      <c r="AI18" s="149">
        <v>0.35</v>
      </c>
      <c r="AJ18" s="148">
        <v>0</v>
      </c>
      <c r="AK18" s="165">
        <v>0</v>
      </c>
      <c r="AL18" s="56">
        <f t="shared" si="38"/>
        <v>45973</v>
      </c>
      <c r="AM18" s="77">
        <f t="shared" si="66"/>
        <v>0.53384706579727326</v>
      </c>
      <c r="AN18" s="76">
        <f t="shared" si="67"/>
        <v>0.46615293420272674</v>
      </c>
      <c r="AO18" s="150">
        <v>8435</v>
      </c>
      <c r="AP18" s="117">
        <f t="shared" si="41"/>
        <v>4503</v>
      </c>
      <c r="AQ18" s="151">
        <v>3932</v>
      </c>
      <c r="AR18" s="152">
        <v>3521</v>
      </c>
      <c r="AS18" s="153">
        <v>0.37847222222222221</v>
      </c>
      <c r="AT18" s="152">
        <v>192</v>
      </c>
      <c r="AU18" s="154">
        <v>0.625</v>
      </c>
      <c r="AV18" s="56">
        <f t="shared" si="52"/>
        <v>45973</v>
      </c>
      <c r="AW18" s="110">
        <f t="shared" si="68"/>
        <v>0.75013117850771327</v>
      </c>
      <c r="AX18" s="110">
        <f t="shared" si="69"/>
        <v>0.2498688214922867</v>
      </c>
      <c r="AY18" s="111">
        <f t="shared" si="44"/>
        <v>9529</v>
      </c>
      <c r="AZ18" s="112">
        <v>9529</v>
      </c>
      <c r="BA18" s="120">
        <f t="shared" si="73"/>
        <v>7148</v>
      </c>
      <c r="BB18" s="113">
        <v>2381</v>
      </c>
      <c r="BC18" s="112">
        <v>3728</v>
      </c>
      <c r="BD18" s="114">
        <v>0.78125</v>
      </c>
      <c r="BE18" s="115">
        <v>0</v>
      </c>
      <c r="BF18" s="114">
        <v>0</v>
      </c>
      <c r="BG18" s="115">
        <v>151</v>
      </c>
      <c r="BH18" s="114">
        <v>0.90625</v>
      </c>
      <c r="BI18" s="56">
        <f t="shared" si="53"/>
        <v>45973</v>
      </c>
      <c r="BJ18" s="78">
        <f t="shared" si="70"/>
        <v>0.60692612906990318</v>
      </c>
      <c r="BK18" s="76">
        <f t="shared" si="71"/>
        <v>0.39307387093009688</v>
      </c>
      <c r="BL18" s="79">
        <f t="shared" si="72"/>
        <v>34276</v>
      </c>
      <c r="BM18" s="155">
        <v>20803</v>
      </c>
      <c r="BN18" s="155">
        <v>13473</v>
      </c>
      <c r="BO18" s="156">
        <v>4691</v>
      </c>
      <c r="BP18" s="157">
        <v>0.69722222222222219</v>
      </c>
      <c r="BQ18" s="158">
        <v>3132</v>
      </c>
      <c r="BR18" s="157">
        <v>0.69791666666666663</v>
      </c>
    </row>
    <row r="19" spans="1:70" ht="15" thickBot="1" x14ac:dyDescent="0.35">
      <c r="B19" s="56">
        <f t="shared" si="49"/>
        <v>45974</v>
      </c>
      <c r="C19" s="164"/>
      <c r="D19" s="87">
        <f t="shared" si="22"/>
        <v>53824</v>
      </c>
      <c r="E19" s="159">
        <f t="shared" si="54"/>
        <v>0.88250594530321047</v>
      </c>
      <c r="F19" s="87">
        <f t="shared" si="24"/>
        <v>47500</v>
      </c>
      <c r="G19" s="159">
        <f t="shared" si="55"/>
        <v>0.11749405469678953</v>
      </c>
      <c r="H19" s="146">
        <f t="shared" si="26"/>
        <v>6324</v>
      </c>
      <c r="I19" s="160">
        <f t="shared" si="56"/>
        <v>0.11966570643799826</v>
      </c>
      <c r="J19" s="159">
        <f t="shared" si="57"/>
        <v>0.15996181416225633</v>
      </c>
      <c r="K19" s="159">
        <f t="shared" si="58"/>
        <v>0.16843574320871171</v>
      </c>
      <c r="L19" s="161">
        <f t="shared" si="59"/>
        <v>0.57685737254639247</v>
      </c>
      <c r="M19" s="146">
        <f t="shared" si="60"/>
        <v>6209.3338413612919</v>
      </c>
      <c r="N19" s="146">
        <f t="shared" si="61"/>
        <v>8300.2585750653179</v>
      </c>
      <c r="O19" s="146">
        <f t="shared" si="62"/>
        <v>8739.9622793568415</v>
      </c>
      <c r="P19" s="146">
        <f t="shared" si="63"/>
        <v>29932.552204059757</v>
      </c>
      <c r="Q19" s="56">
        <f t="shared" si="50"/>
        <v>45974</v>
      </c>
      <c r="R19" s="139">
        <v>53824</v>
      </c>
      <c r="S19" s="140">
        <v>0</v>
      </c>
      <c r="T19" s="140">
        <v>51889</v>
      </c>
      <c r="U19" s="140">
        <v>0</v>
      </c>
      <c r="V19" s="141">
        <v>14641</v>
      </c>
      <c r="W19" s="142">
        <v>0.82291666666666663</v>
      </c>
      <c r="X19" s="141">
        <v>4666</v>
      </c>
      <c r="Y19" s="142">
        <v>0.82291666666666663</v>
      </c>
      <c r="Z19" s="141">
        <v>0</v>
      </c>
      <c r="AA19" s="142">
        <v>0</v>
      </c>
      <c r="AB19" s="56">
        <f t="shared" si="51"/>
        <v>45974</v>
      </c>
      <c r="AC19" s="76">
        <f t="shared" si="64"/>
        <v>1</v>
      </c>
      <c r="AD19" s="162">
        <f t="shared" si="65"/>
        <v>0</v>
      </c>
      <c r="AE19" s="163">
        <v>7145</v>
      </c>
      <c r="AF19" s="118">
        <f t="shared" si="37"/>
        <v>7145</v>
      </c>
      <c r="AG19" s="147">
        <v>0</v>
      </c>
      <c r="AH19" s="148">
        <v>4463</v>
      </c>
      <c r="AI19" s="149">
        <v>0.35416666666666669</v>
      </c>
      <c r="AJ19" s="148">
        <v>0</v>
      </c>
      <c r="AK19" s="165">
        <v>0</v>
      </c>
      <c r="AL19" s="56">
        <f t="shared" si="38"/>
        <v>45974</v>
      </c>
      <c r="AM19" s="77">
        <f t="shared" ref="AM19" si="74">+AP19/AO19</f>
        <v>0.59533033190241857</v>
      </c>
      <c r="AN19" s="76">
        <f t="shared" ref="AN19" si="75">+AQ19/AO19</f>
        <v>0.40466966809758143</v>
      </c>
      <c r="AO19" s="150">
        <v>9551</v>
      </c>
      <c r="AP19" s="117">
        <f t="shared" si="41"/>
        <v>5686</v>
      </c>
      <c r="AQ19" s="151">
        <v>3865</v>
      </c>
      <c r="AR19" s="152">
        <v>3917</v>
      </c>
      <c r="AS19" s="153">
        <v>0.77708333333333335</v>
      </c>
      <c r="AT19" s="152">
        <v>147</v>
      </c>
      <c r="AU19" s="154">
        <v>0.88541666666666663</v>
      </c>
      <c r="AV19" s="56">
        <f t="shared" si="52"/>
        <v>45974</v>
      </c>
      <c r="AW19" s="110">
        <f t="shared" ref="AW19" si="76">BA19/AZ19</f>
        <v>0.71303536001867196</v>
      </c>
      <c r="AX19" s="110">
        <f t="shared" ref="AX19" si="77">BB19/AZ19</f>
        <v>0.28696463998132804</v>
      </c>
      <c r="AY19" s="111">
        <f t="shared" si="44"/>
        <v>8569</v>
      </c>
      <c r="AZ19" s="112">
        <v>8569</v>
      </c>
      <c r="BA19" s="120">
        <f t="shared" si="73"/>
        <v>6110</v>
      </c>
      <c r="BB19" s="113">
        <v>2459</v>
      </c>
      <c r="BC19" s="184">
        <v>3907</v>
      </c>
      <c r="BD19" s="114">
        <v>0.82291666666666696</v>
      </c>
      <c r="BE19" s="115">
        <v>0</v>
      </c>
      <c r="BF19" s="114">
        <v>0</v>
      </c>
      <c r="BG19" s="115">
        <v>147</v>
      </c>
      <c r="BH19" s="114">
        <v>0.88541666666666663</v>
      </c>
      <c r="BI19" s="56">
        <f t="shared" si="53"/>
        <v>45974</v>
      </c>
      <c r="BJ19" s="78">
        <f t="shared" ref="BJ19" si="78">+BM19/BL19</f>
        <v>0.60694480736288936</v>
      </c>
      <c r="BK19" s="76">
        <f t="shared" ref="BK19" si="79">+BN19/BL19</f>
        <v>0.39305519263711058</v>
      </c>
      <c r="BL19" s="79">
        <f t="shared" ref="BL19" si="80">BM19+BN19</f>
        <v>34443</v>
      </c>
      <c r="BM19" s="155">
        <v>20905</v>
      </c>
      <c r="BN19" s="155">
        <v>13538</v>
      </c>
      <c r="BO19" s="156">
        <v>4577</v>
      </c>
      <c r="BP19" s="157">
        <v>0.77638888888888891</v>
      </c>
      <c r="BQ19" s="158">
        <v>3044</v>
      </c>
      <c r="BR19" s="157">
        <v>0.77638888888888891</v>
      </c>
    </row>
    <row r="20" spans="1:70" ht="15" thickBot="1" x14ac:dyDescent="0.35">
      <c r="B20" s="56">
        <f t="shared" si="49"/>
        <v>45975</v>
      </c>
      <c r="C20" s="164"/>
      <c r="D20" s="87">
        <f t="shared" si="22"/>
        <v>51950</v>
      </c>
      <c r="E20" s="159">
        <f t="shared" si="54"/>
        <v>0.88546679499518766</v>
      </c>
      <c r="F20" s="87">
        <f t="shared" si="24"/>
        <v>46000</v>
      </c>
      <c r="G20" s="159">
        <f t="shared" si="55"/>
        <v>0.11453320500481232</v>
      </c>
      <c r="H20" s="146">
        <f t="shared" si="26"/>
        <v>5950</v>
      </c>
      <c r="I20" s="160">
        <f t="shared" si="56"/>
        <v>0.11959764725939817</v>
      </c>
      <c r="J20" s="159">
        <f t="shared" si="57"/>
        <v>0.14815446253516323</v>
      </c>
      <c r="K20" s="159">
        <f t="shared" si="58"/>
        <v>0.17034448327508736</v>
      </c>
      <c r="L20" s="161">
        <f t="shared" si="59"/>
        <v>0.58682124286079618</v>
      </c>
      <c r="M20" s="146">
        <f t="shared" si="60"/>
        <v>6069.5805984144572</v>
      </c>
      <c r="N20" s="146">
        <f t="shared" si="61"/>
        <v>7518.8389736595345</v>
      </c>
      <c r="O20" s="146">
        <f t="shared" si="62"/>
        <v>8644.9825262106842</v>
      </c>
      <c r="P20" s="146">
        <f t="shared" si="63"/>
        <v>29781.178075185406</v>
      </c>
      <c r="Q20" s="56">
        <f t="shared" si="50"/>
        <v>45975</v>
      </c>
      <c r="R20" s="139">
        <v>51950</v>
      </c>
      <c r="S20" s="140">
        <v>0</v>
      </c>
      <c r="T20" s="140">
        <v>50750</v>
      </c>
      <c r="U20" s="140">
        <v>0</v>
      </c>
      <c r="V20" s="141">
        <v>13880</v>
      </c>
      <c r="W20" s="142">
        <v>0.77083333333333337</v>
      </c>
      <c r="X20" s="141">
        <v>4520</v>
      </c>
      <c r="Y20" s="142">
        <v>0.78125</v>
      </c>
      <c r="Z20" s="141">
        <v>0</v>
      </c>
      <c r="AA20" s="142">
        <v>0</v>
      </c>
      <c r="AB20" s="56">
        <f t="shared" si="51"/>
        <v>45975</v>
      </c>
      <c r="AC20" s="76">
        <f t="shared" si="64"/>
        <v>1</v>
      </c>
      <c r="AD20" s="162">
        <f t="shared" si="65"/>
        <v>0</v>
      </c>
      <c r="AE20" s="163">
        <v>7015</v>
      </c>
      <c r="AF20" s="118">
        <f t="shared" si="37"/>
        <v>7015</v>
      </c>
      <c r="AG20" s="147">
        <v>0</v>
      </c>
      <c r="AH20" s="148">
        <v>4030</v>
      </c>
      <c r="AI20" s="149">
        <v>0.73958333333333337</v>
      </c>
      <c r="AJ20" s="148">
        <v>0</v>
      </c>
      <c r="AK20" s="165">
        <v>0</v>
      </c>
      <c r="AL20" s="56">
        <f t="shared" si="38"/>
        <v>45975</v>
      </c>
      <c r="AM20" s="77">
        <f t="shared" si="66"/>
        <v>0.59033371691599534</v>
      </c>
      <c r="AN20" s="76">
        <f t="shared" si="67"/>
        <v>0.4096662830840046</v>
      </c>
      <c r="AO20" s="150">
        <v>8690</v>
      </c>
      <c r="AP20" s="117">
        <f t="shared" si="41"/>
        <v>5130</v>
      </c>
      <c r="AQ20" s="151">
        <v>3560</v>
      </c>
      <c r="AR20" s="152">
        <v>3510</v>
      </c>
      <c r="AS20" s="153">
        <v>0.8125</v>
      </c>
      <c r="AT20" s="152">
        <v>178</v>
      </c>
      <c r="AU20" s="154">
        <v>0.85416666666666663</v>
      </c>
      <c r="AV20" s="56">
        <f t="shared" si="52"/>
        <v>45975</v>
      </c>
      <c r="AW20" s="110">
        <f t="shared" si="68"/>
        <v>0.7198124267291911</v>
      </c>
      <c r="AX20" s="110">
        <f t="shared" si="69"/>
        <v>0.2801875732708089</v>
      </c>
      <c r="AY20" s="111">
        <f t="shared" si="44"/>
        <v>8530</v>
      </c>
      <c r="AZ20" s="112">
        <v>8530</v>
      </c>
      <c r="BA20" s="120">
        <f t="shared" ref="BA20" si="81">AZ20-BB20</f>
        <v>6140</v>
      </c>
      <c r="BB20" s="113">
        <v>2390</v>
      </c>
      <c r="BC20" s="112">
        <v>3960</v>
      </c>
      <c r="BD20" s="114">
        <v>0.73958333333333337</v>
      </c>
      <c r="BE20" s="115">
        <v>0</v>
      </c>
      <c r="BF20" s="114">
        <v>0</v>
      </c>
      <c r="BG20" s="115">
        <v>148</v>
      </c>
      <c r="BH20" s="114">
        <v>0.91666666666666663</v>
      </c>
      <c r="BI20" s="56">
        <f t="shared" si="53"/>
        <v>45975</v>
      </c>
      <c r="BJ20" s="78">
        <f t="shared" si="70"/>
        <v>0.60633352701917487</v>
      </c>
      <c r="BK20" s="76">
        <f t="shared" si="71"/>
        <v>0.39366647298082508</v>
      </c>
      <c r="BL20" s="79">
        <f t="shared" si="72"/>
        <v>34420</v>
      </c>
      <c r="BM20" s="155">
        <v>20870</v>
      </c>
      <c r="BN20" s="155">
        <v>13550</v>
      </c>
      <c r="BO20" s="156">
        <v>4420</v>
      </c>
      <c r="BP20" s="157">
        <v>0.73958333333333337</v>
      </c>
      <c r="BQ20" s="158">
        <v>2990</v>
      </c>
      <c r="BR20" s="157">
        <v>0.82291666666666663</v>
      </c>
    </row>
    <row r="21" spans="1:70" ht="15" thickBot="1" x14ac:dyDescent="0.35">
      <c r="A21" s="14"/>
      <c r="B21" s="56">
        <f t="shared" si="49"/>
        <v>45976</v>
      </c>
      <c r="C21" s="164"/>
      <c r="D21" s="87">
        <f t="shared" si="22"/>
        <v>32400</v>
      </c>
      <c r="E21" s="159">
        <f t="shared" si="54"/>
        <v>0.8154320987654321</v>
      </c>
      <c r="F21" s="87">
        <f t="shared" si="24"/>
        <v>26420</v>
      </c>
      <c r="G21" s="159">
        <f t="shared" si="55"/>
        <v>0.1845679012345679</v>
      </c>
      <c r="H21" s="146">
        <f t="shared" si="26"/>
        <v>5980</v>
      </c>
      <c r="I21" s="160">
        <f t="shared" si="56"/>
        <v>8.2743301402193534E-2</v>
      </c>
      <c r="J21" s="159">
        <f t="shared" si="57"/>
        <v>0.16076634735526865</v>
      </c>
      <c r="K21" s="159">
        <f t="shared" si="58"/>
        <v>0.16793353367509281</v>
      </c>
      <c r="L21" s="161">
        <f t="shared" si="59"/>
        <v>0.62460086075246424</v>
      </c>
      <c r="M21" s="146">
        <f t="shared" si="60"/>
        <v>2546.838817159517</v>
      </c>
      <c r="N21" s="146">
        <f t="shared" si="61"/>
        <v>4948.3881715951693</v>
      </c>
      <c r="O21" s="146">
        <f t="shared" si="62"/>
        <v>5168.9941665193564</v>
      </c>
      <c r="P21" s="146">
        <f t="shared" si="63"/>
        <v>19225.214493960848</v>
      </c>
      <c r="Q21" s="56">
        <f t="shared" si="50"/>
        <v>45976</v>
      </c>
      <c r="R21" s="139">
        <v>32400</v>
      </c>
      <c r="S21" s="140">
        <v>0</v>
      </c>
      <c r="T21" s="140">
        <v>30780</v>
      </c>
      <c r="U21" s="140">
        <v>0</v>
      </c>
      <c r="V21" s="141">
        <v>6720</v>
      </c>
      <c r="W21" s="142">
        <v>0.875</v>
      </c>
      <c r="X21" s="141">
        <v>2150</v>
      </c>
      <c r="Y21" s="142">
        <v>0.8125</v>
      </c>
      <c r="Z21" s="141">
        <v>0</v>
      </c>
      <c r="AA21" s="142">
        <v>0</v>
      </c>
      <c r="AB21" s="56">
        <f t="shared" si="51"/>
        <v>45976</v>
      </c>
      <c r="AC21" s="76">
        <f t="shared" si="64"/>
        <v>1</v>
      </c>
      <c r="AD21" s="162">
        <f t="shared" si="65"/>
        <v>0</v>
      </c>
      <c r="AE21" s="163">
        <v>2980</v>
      </c>
      <c r="AF21" s="118">
        <f t="shared" si="37"/>
        <v>2980</v>
      </c>
      <c r="AG21" s="147">
        <v>0</v>
      </c>
      <c r="AH21" s="148">
        <v>1760</v>
      </c>
      <c r="AI21" s="149">
        <v>0.875</v>
      </c>
      <c r="AJ21" s="148">
        <v>0</v>
      </c>
      <c r="AK21" s="165" t="s">
        <v>70</v>
      </c>
      <c r="AL21" s="56">
        <f t="shared" si="38"/>
        <v>45976</v>
      </c>
      <c r="AM21" s="77">
        <f t="shared" si="66"/>
        <v>0.37305699481865284</v>
      </c>
      <c r="AN21" s="76">
        <f t="shared" si="67"/>
        <v>0.62694300518134716</v>
      </c>
      <c r="AO21" s="150">
        <v>5790</v>
      </c>
      <c r="AP21" s="117">
        <f t="shared" si="41"/>
        <v>2160</v>
      </c>
      <c r="AQ21" s="151">
        <v>3630</v>
      </c>
      <c r="AR21" s="152">
        <v>1670</v>
      </c>
      <c r="AS21" s="153">
        <v>0.70833333333333337</v>
      </c>
      <c r="AT21" s="152">
        <v>176</v>
      </c>
      <c r="AU21" s="154">
        <v>0.875</v>
      </c>
      <c r="AV21" s="56">
        <f t="shared" si="52"/>
        <v>45976</v>
      </c>
      <c r="AW21" s="110">
        <f t="shared" si="68"/>
        <v>0.50526315789473686</v>
      </c>
      <c r="AX21" s="110">
        <f t="shared" si="69"/>
        <v>0.49473684210526314</v>
      </c>
      <c r="AY21" s="111">
        <f t="shared" si="44"/>
        <v>4750</v>
      </c>
      <c r="AZ21" s="112">
        <v>4750</v>
      </c>
      <c r="BA21" s="120">
        <f t="shared" si="73"/>
        <v>2400</v>
      </c>
      <c r="BB21" s="113">
        <v>2350</v>
      </c>
      <c r="BC21" s="112">
        <v>1760</v>
      </c>
      <c r="BD21" s="114">
        <v>0.375</v>
      </c>
      <c r="BE21" s="115">
        <v>0</v>
      </c>
      <c r="BF21" s="114">
        <v>0</v>
      </c>
      <c r="BG21" s="115">
        <v>145</v>
      </c>
      <c r="BH21" s="114">
        <v>0.86458333333333337</v>
      </c>
      <c r="BI21" s="56">
        <f>BI20+1</f>
        <v>45976</v>
      </c>
      <c r="BJ21" s="78">
        <f t="shared" si="70"/>
        <v>0.60657923983107354</v>
      </c>
      <c r="BK21" s="76">
        <f t="shared" si="71"/>
        <v>0.39342076016892641</v>
      </c>
      <c r="BL21" s="79">
        <f t="shared" si="72"/>
        <v>22495</v>
      </c>
      <c r="BM21" s="155">
        <v>13645</v>
      </c>
      <c r="BN21" s="155">
        <v>8850</v>
      </c>
      <c r="BO21" s="156">
        <v>2790</v>
      </c>
      <c r="BP21" s="157">
        <v>0.77083333333333337</v>
      </c>
      <c r="BQ21" s="158">
        <v>1798</v>
      </c>
      <c r="BR21" s="157">
        <v>0.36458333333333331</v>
      </c>
    </row>
    <row r="22" spans="1:70" ht="15" thickBot="1" x14ac:dyDescent="0.35">
      <c r="A22" s="14"/>
      <c r="B22" s="56">
        <f t="shared" si="49"/>
        <v>45977</v>
      </c>
      <c r="C22" s="164"/>
      <c r="D22" s="87">
        <f t="shared" si="22"/>
        <v>41418</v>
      </c>
      <c r="E22" s="159">
        <f t="shared" si="54"/>
        <v>0.84760249167028823</v>
      </c>
      <c r="F22" s="87">
        <f t="shared" si="24"/>
        <v>35106</v>
      </c>
      <c r="G22" s="159">
        <f t="shared" si="55"/>
        <v>0.15239750832971172</v>
      </c>
      <c r="H22" s="146">
        <f t="shared" si="26"/>
        <v>6312</v>
      </c>
      <c r="I22" s="160">
        <f t="shared" si="56"/>
        <v>9.2966253775112709E-2</v>
      </c>
      <c r="J22" s="159">
        <f t="shared" si="57"/>
        <v>0.15413402197225018</v>
      </c>
      <c r="K22" s="159">
        <f t="shared" si="58"/>
        <v>0.17340103142112817</v>
      </c>
      <c r="L22" s="161">
        <f t="shared" si="59"/>
        <v>0.61014575217752876</v>
      </c>
      <c r="M22" s="146">
        <f t="shared" si="60"/>
        <v>3714.373703330853</v>
      </c>
      <c r="N22" s="146">
        <f t="shared" si="61"/>
        <v>6158.2707138792839</v>
      </c>
      <c r="O22" s="146">
        <f t="shared" si="62"/>
        <v>6928.0648093997552</v>
      </c>
      <c r="P22" s="146">
        <f t="shared" si="63"/>
        <v>24377.763382500983</v>
      </c>
      <c r="Q22" s="56">
        <f t="shared" si="50"/>
        <v>45977</v>
      </c>
      <c r="R22" s="139">
        <v>41418</v>
      </c>
      <c r="S22" s="140">
        <v>0</v>
      </c>
      <c r="T22" s="140">
        <v>39954</v>
      </c>
      <c r="U22" s="140">
        <v>0</v>
      </c>
      <c r="V22" s="141">
        <v>14835</v>
      </c>
      <c r="W22" s="142">
        <v>0.63541666666666663</v>
      </c>
      <c r="X22" s="141">
        <v>3796</v>
      </c>
      <c r="Y22" s="142">
        <v>0.65625</v>
      </c>
      <c r="Z22" s="141">
        <v>0</v>
      </c>
      <c r="AA22" s="142">
        <v>0</v>
      </c>
      <c r="AB22" s="56">
        <f t="shared" si="51"/>
        <v>45977</v>
      </c>
      <c r="AC22" s="76">
        <f t="shared" si="64"/>
        <v>1</v>
      </c>
      <c r="AD22" s="162">
        <f t="shared" si="65"/>
        <v>0</v>
      </c>
      <c r="AE22" s="163">
        <v>4248</v>
      </c>
      <c r="AF22" s="118">
        <f t="shared" si="37"/>
        <v>4248</v>
      </c>
      <c r="AG22" s="147">
        <v>0</v>
      </c>
      <c r="AH22" s="148">
        <v>3035</v>
      </c>
      <c r="AI22" s="149">
        <v>0.5625</v>
      </c>
      <c r="AJ22" s="148">
        <v>0</v>
      </c>
      <c r="AK22" s="165">
        <v>0</v>
      </c>
      <c r="AL22" s="56">
        <f t="shared" si="38"/>
        <v>45977</v>
      </c>
      <c r="AM22" s="77">
        <f t="shared" si="66"/>
        <v>0.4776373704387335</v>
      </c>
      <c r="AN22" s="76">
        <f t="shared" si="67"/>
        <v>0.52236262956126656</v>
      </c>
      <c r="AO22" s="150">
        <v>7043</v>
      </c>
      <c r="AP22" s="117">
        <f t="shared" si="41"/>
        <v>3364</v>
      </c>
      <c r="AQ22" s="151">
        <v>3679</v>
      </c>
      <c r="AR22" s="152">
        <v>3372</v>
      </c>
      <c r="AS22" s="153">
        <v>0.59444444444444444</v>
      </c>
      <c r="AT22" s="152">
        <v>175</v>
      </c>
      <c r="AU22" s="154">
        <v>0.875</v>
      </c>
      <c r="AV22" s="56">
        <f t="shared" si="52"/>
        <v>45977</v>
      </c>
      <c r="AW22" s="110">
        <f t="shared" si="68"/>
        <v>0.59635137206806688</v>
      </c>
      <c r="AX22" s="110">
        <f t="shared" si="69"/>
        <v>0.40364862793193318</v>
      </c>
      <c r="AY22" s="111">
        <f t="shared" si="44"/>
        <v>6523</v>
      </c>
      <c r="AZ22" s="112">
        <v>6523</v>
      </c>
      <c r="BA22" s="120">
        <f t="shared" si="73"/>
        <v>3890</v>
      </c>
      <c r="BB22" s="113">
        <v>2633</v>
      </c>
      <c r="BC22" s="112">
        <v>3663</v>
      </c>
      <c r="BD22" s="114">
        <v>0.61458333333333337</v>
      </c>
      <c r="BE22" s="115">
        <v>0</v>
      </c>
      <c r="BF22" s="114">
        <v>0</v>
      </c>
      <c r="BG22" s="115">
        <v>162</v>
      </c>
      <c r="BH22" s="114">
        <v>0.875</v>
      </c>
      <c r="BI22" s="56">
        <f t="shared" si="53"/>
        <v>45977</v>
      </c>
      <c r="BJ22" s="78">
        <f t="shared" si="70"/>
        <v>0.60832137733142033</v>
      </c>
      <c r="BK22" s="76">
        <f t="shared" si="71"/>
        <v>0.39167862266857961</v>
      </c>
      <c r="BL22" s="79">
        <f t="shared" si="72"/>
        <v>27880</v>
      </c>
      <c r="BM22" s="155">
        <v>16960</v>
      </c>
      <c r="BN22" s="155">
        <v>10920</v>
      </c>
      <c r="BO22" s="156">
        <v>4208</v>
      </c>
      <c r="BP22" s="157">
        <v>0.59375</v>
      </c>
      <c r="BQ22" s="158">
        <v>2819</v>
      </c>
      <c r="BR22" s="157">
        <v>0.60972222222222228</v>
      </c>
    </row>
    <row r="23" spans="1:70" ht="15" thickBot="1" x14ac:dyDescent="0.35">
      <c r="A23" s="14"/>
      <c r="B23" s="56">
        <f t="shared" si="49"/>
        <v>45978</v>
      </c>
      <c r="C23" s="164"/>
      <c r="D23" s="87">
        <f t="shared" si="22"/>
        <v>53606</v>
      </c>
      <c r="E23" s="159">
        <f t="shared" si="54"/>
        <v>0.8747155169197478</v>
      </c>
      <c r="F23" s="87">
        <f t="shared" si="24"/>
        <v>46890</v>
      </c>
      <c r="G23" s="159">
        <f t="shared" si="55"/>
        <v>0.12528448308025222</v>
      </c>
      <c r="H23" s="146">
        <f t="shared" si="26"/>
        <v>6716</v>
      </c>
      <c r="I23" s="160">
        <f t="shared" si="56"/>
        <v>0.119025273178253</v>
      </c>
      <c r="J23" s="159">
        <f t="shared" si="57"/>
        <v>0.15908024401689347</v>
      </c>
      <c r="K23" s="159">
        <f t="shared" si="58"/>
        <v>0.17331147668949906</v>
      </c>
      <c r="L23" s="161">
        <f t="shared" si="59"/>
        <v>0.57305423342495143</v>
      </c>
      <c r="M23" s="146">
        <f t="shared" si="60"/>
        <v>6219.546624656432</v>
      </c>
      <c r="N23" s="146">
        <f t="shared" si="61"/>
        <v>8312.5790708587519</v>
      </c>
      <c r="O23" s="146">
        <f t="shared" si="62"/>
        <v>9056.2179029330837</v>
      </c>
      <c r="P23" s="146">
        <f t="shared" si="63"/>
        <v>29944.375913387412</v>
      </c>
      <c r="Q23" s="56">
        <f t="shared" si="50"/>
        <v>45978</v>
      </c>
      <c r="R23" s="139">
        <v>53606</v>
      </c>
      <c r="S23" s="140">
        <v>0</v>
      </c>
      <c r="T23" s="140">
        <v>52254</v>
      </c>
      <c r="U23" s="140">
        <v>0</v>
      </c>
      <c r="V23" s="141">
        <v>12506</v>
      </c>
      <c r="W23" s="142">
        <v>0.76041666666666663</v>
      </c>
      <c r="X23" s="141">
        <v>4698</v>
      </c>
      <c r="Y23" s="142">
        <v>0.8125</v>
      </c>
      <c r="Z23" s="141">
        <v>0</v>
      </c>
      <c r="AA23" s="142">
        <v>0</v>
      </c>
      <c r="AB23" s="56">
        <f t="shared" si="51"/>
        <v>45978</v>
      </c>
      <c r="AC23" s="76">
        <f t="shared" si="64"/>
        <v>1</v>
      </c>
      <c r="AD23" s="162">
        <f t="shared" si="65"/>
        <v>0</v>
      </c>
      <c r="AE23" s="163">
        <v>7102</v>
      </c>
      <c r="AF23" s="118">
        <f t="shared" si="37"/>
        <v>7102</v>
      </c>
      <c r="AG23" s="147">
        <v>0</v>
      </c>
      <c r="AH23" s="148">
        <v>4038</v>
      </c>
      <c r="AI23" s="149">
        <v>0.7583333333333333</v>
      </c>
      <c r="AJ23" s="148">
        <v>0</v>
      </c>
      <c r="AK23" s="165">
        <v>0</v>
      </c>
      <c r="AL23" s="56">
        <f t="shared" si="38"/>
        <v>45978</v>
      </c>
      <c r="AM23" s="77">
        <f t="shared" si="66"/>
        <v>0.587968815844922</v>
      </c>
      <c r="AN23" s="76">
        <f t="shared" si="67"/>
        <v>0.41203118415507795</v>
      </c>
      <c r="AO23" s="150">
        <v>9492</v>
      </c>
      <c r="AP23" s="117">
        <f t="shared" si="41"/>
        <v>5581</v>
      </c>
      <c r="AQ23" s="151">
        <v>3911</v>
      </c>
      <c r="AR23" s="152">
        <v>3801</v>
      </c>
      <c r="AS23" s="153">
        <v>0.75555555555555554</v>
      </c>
      <c r="AT23" s="152">
        <v>186</v>
      </c>
      <c r="AU23" s="154">
        <v>0.57291666666666663</v>
      </c>
      <c r="AV23" s="56">
        <f t="shared" si="52"/>
        <v>45978</v>
      </c>
      <c r="AW23" s="110">
        <f t="shared" si="68"/>
        <v>0.68415718950568627</v>
      </c>
      <c r="AX23" s="110">
        <f t="shared" si="69"/>
        <v>0.31584281049431373</v>
      </c>
      <c r="AY23" s="111">
        <f t="shared" si="44"/>
        <v>8881</v>
      </c>
      <c r="AZ23" s="112">
        <v>8881</v>
      </c>
      <c r="BA23" s="120">
        <f t="shared" si="73"/>
        <v>6076</v>
      </c>
      <c r="BB23" s="113">
        <v>2805</v>
      </c>
      <c r="BC23" s="112">
        <v>3998</v>
      </c>
      <c r="BD23" s="114">
        <v>0.71875</v>
      </c>
      <c r="BE23" s="115">
        <v>0</v>
      </c>
      <c r="BF23" s="114">
        <v>0</v>
      </c>
      <c r="BG23" s="115">
        <v>164</v>
      </c>
      <c r="BH23" s="114">
        <v>0.90625</v>
      </c>
      <c r="BI23" s="56">
        <f t="shared" si="53"/>
        <v>45978</v>
      </c>
      <c r="BJ23" s="78">
        <f t="shared" si="70"/>
        <v>0.60825315122978385</v>
      </c>
      <c r="BK23" s="76">
        <f t="shared" si="71"/>
        <v>0.39174684877021615</v>
      </c>
      <c r="BL23" s="79">
        <f t="shared" si="72"/>
        <v>34193</v>
      </c>
      <c r="BM23" s="155">
        <v>20798</v>
      </c>
      <c r="BN23" s="155">
        <v>13395</v>
      </c>
      <c r="BO23" s="156">
        <v>4198</v>
      </c>
      <c r="BP23" s="157">
        <v>0.81041666666666667</v>
      </c>
      <c r="BQ23" s="158">
        <v>2810</v>
      </c>
      <c r="BR23" s="157">
        <v>0.81041666666666667</v>
      </c>
    </row>
    <row r="24" spans="1:70" ht="15" thickBot="1" x14ac:dyDescent="0.35">
      <c r="A24" s="14"/>
      <c r="B24" s="56">
        <f t="shared" si="49"/>
        <v>45979</v>
      </c>
      <c r="C24" s="164"/>
      <c r="D24" s="87">
        <f t="shared" si="22"/>
        <v>53788</v>
      </c>
      <c r="E24" s="159">
        <f t="shared" si="54"/>
        <v>0.8689298728340894</v>
      </c>
      <c r="F24" s="87">
        <f t="shared" si="24"/>
        <v>46738</v>
      </c>
      <c r="G24" s="159">
        <f t="shared" si="55"/>
        <v>0.1310701271659106</v>
      </c>
      <c r="H24" s="146">
        <f t="shared" si="26"/>
        <v>7050</v>
      </c>
      <c r="I24" s="160">
        <f t="shared" si="56"/>
        <v>0.11656554821841585</v>
      </c>
      <c r="J24" s="159">
        <f t="shared" si="57"/>
        <v>0.15839841785941741</v>
      </c>
      <c r="K24" s="159">
        <f t="shared" si="58"/>
        <v>0.17133498097367697</v>
      </c>
      <c r="L24" s="161">
        <f t="shared" si="59"/>
        <v>0.57863775014245966</v>
      </c>
      <c r="M24" s="146">
        <f t="shared" si="60"/>
        <v>6113.0470452183818</v>
      </c>
      <c r="N24" s="146">
        <f t="shared" si="61"/>
        <v>8306.888227801428</v>
      </c>
      <c r="O24" s="146">
        <f t="shared" si="62"/>
        <v>8985.3204072025419</v>
      </c>
      <c r="P24" s="146">
        <f t="shared" si="63"/>
        <v>30345.499530721012</v>
      </c>
      <c r="Q24" s="56">
        <f t="shared" si="50"/>
        <v>45979</v>
      </c>
      <c r="R24" s="139">
        <v>53788</v>
      </c>
      <c r="S24" s="140">
        <v>0</v>
      </c>
      <c r="T24" s="140">
        <v>52443</v>
      </c>
      <c r="U24" s="140">
        <v>0</v>
      </c>
      <c r="V24" s="141">
        <v>11619</v>
      </c>
      <c r="W24" s="142">
        <v>0.77083333333333337</v>
      </c>
      <c r="X24" s="141">
        <v>4653</v>
      </c>
      <c r="Y24" s="142">
        <v>0.80208333333333337</v>
      </c>
      <c r="Z24" s="141">
        <v>0</v>
      </c>
      <c r="AA24" s="142">
        <v>0</v>
      </c>
      <c r="AB24" s="56">
        <f t="shared" si="51"/>
        <v>45979</v>
      </c>
      <c r="AC24" s="76">
        <f t="shared" si="64"/>
        <v>1</v>
      </c>
      <c r="AD24" s="162">
        <f t="shared" si="65"/>
        <v>0</v>
      </c>
      <c r="AE24" s="163">
        <v>6955</v>
      </c>
      <c r="AF24" s="118">
        <f t="shared" si="37"/>
        <v>6955</v>
      </c>
      <c r="AG24" s="147">
        <v>0</v>
      </c>
      <c r="AH24" s="148">
        <v>4121</v>
      </c>
      <c r="AI24" s="149">
        <v>0.36875000000000002</v>
      </c>
      <c r="AJ24" s="148">
        <v>0</v>
      </c>
      <c r="AK24" s="165">
        <v>0</v>
      </c>
      <c r="AL24" s="56">
        <f t="shared" si="38"/>
        <v>45979</v>
      </c>
      <c r="AM24" s="77">
        <f t="shared" si="66"/>
        <v>0.58819172574330758</v>
      </c>
      <c r="AN24" s="76">
        <f t="shared" si="67"/>
        <v>0.41180827425669242</v>
      </c>
      <c r="AO24" s="150">
        <v>9451</v>
      </c>
      <c r="AP24" s="117">
        <f t="shared" si="41"/>
        <v>5559</v>
      </c>
      <c r="AQ24" s="151">
        <v>3892</v>
      </c>
      <c r="AR24" s="152">
        <v>3926</v>
      </c>
      <c r="AS24" s="153">
        <v>0.73472222222222228</v>
      </c>
      <c r="AT24" s="152">
        <v>186</v>
      </c>
      <c r="AU24" s="154">
        <v>0.25</v>
      </c>
      <c r="AV24" s="56">
        <f t="shared" si="52"/>
        <v>45979</v>
      </c>
      <c r="AW24" s="110">
        <f t="shared" si="68"/>
        <v>0.63846594161419579</v>
      </c>
      <c r="AX24" s="110">
        <f t="shared" si="69"/>
        <v>0.36153405838580421</v>
      </c>
      <c r="AY24" s="111">
        <f t="shared" si="44"/>
        <v>8735</v>
      </c>
      <c r="AZ24" s="112">
        <v>8735</v>
      </c>
      <c r="BA24" s="120">
        <f t="shared" si="73"/>
        <v>5577</v>
      </c>
      <c r="BB24" s="113">
        <f>1395+1763</f>
        <v>3158</v>
      </c>
      <c r="BC24" s="112">
        <v>3653</v>
      </c>
      <c r="BD24" s="114">
        <v>0.36458333333333331</v>
      </c>
      <c r="BE24" s="115">
        <v>0</v>
      </c>
      <c r="BF24" s="114">
        <v>0</v>
      </c>
      <c r="BG24" s="115">
        <v>167</v>
      </c>
      <c r="BH24" s="114">
        <v>0.86458333333333337</v>
      </c>
      <c r="BI24" s="56">
        <f t="shared" si="53"/>
        <v>45979</v>
      </c>
      <c r="BJ24" s="78">
        <f t="shared" si="70"/>
        <v>0.60819695872556123</v>
      </c>
      <c r="BK24" s="76">
        <f t="shared" si="71"/>
        <v>0.39180304127443882</v>
      </c>
      <c r="BL24" s="79">
        <f t="shared" si="72"/>
        <v>34525</v>
      </c>
      <c r="BM24" s="155">
        <v>20998</v>
      </c>
      <c r="BN24" s="155">
        <v>13527</v>
      </c>
      <c r="BO24" s="156">
        <v>3655</v>
      </c>
      <c r="BP24" s="157">
        <v>0.38124999999999998</v>
      </c>
      <c r="BQ24" s="158">
        <v>2507</v>
      </c>
      <c r="BR24" s="157">
        <v>0.38124999999999998</v>
      </c>
    </row>
    <row r="25" spans="1:70" ht="15" thickBot="1" x14ac:dyDescent="0.35">
      <c r="A25" s="14"/>
      <c r="B25" s="56">
        <f t="shared" si="49"/>
        <v>45980</v>
      </c>
      <c r="C25" s="164"/>
      <c r="D25" s="87">
        <f t="shared" si="22"/>
        <v>53534</v>
      </c>
      <c r="E25" s="159">
        <f t="shared" ref="E25:E36" si="82">F25/D25</f>
        <v>0.87050136361938202</v>
      </c>
      <c r="F25" s="87">
        <f t="shared" si="24"/>
        <v>46601.42</v>
      </c>
      <c r="G25" s="159">
        <f t="shared" ref="G25:G36" si="83">H25/D25</f>
        <v>0.12949863638061793</v>
      </c>
      <c r="H25" s="146">
        <f t="shared" si="26"/>
        <v>6932.58</v>
      </c>
      <c r="I25" s="160">
        <f t="shared" ref="I25:I36" si="84">AE25/(AE25+AO25+BL25+AY25)</f>
        <v>0.11791570467989013</v>
      </c>
      <c r="J25" s="159">
        <f t="shared" ref="J25:J36" si="85">AO25/(AE25+AO25+BL25+AY25)</f>
        <v>0.15958307352668566</v>
      </c>
      <c r="K25" s="159">
        <f t="shared" ref="K25:K36" si="86">AY25/(AF25+AP25+BM25+AZ25+AY25)</f>
        <v>0.17033590576253627</v>
      </c>
      <c r="L25" s="161">
        <f t="shared" ref="L25:L36" si="87">BL25/(AE25+AO25+BL25+AY25)</f>
        <v>0.5771078043108242</v>
      </c>
      <c r="M25" s="146">
        <f t="shared" ref="M25:M35" si="88">(S25+T25)*I25</f>
        <v>6150.3652403983888</v>
      </c>
      <c r="N25" s="146">
        <f t="shared" ref="N25:N35" si="89">(S25+T25)*J25</f>
        <v>8323.6935320783978</v>
      </c>
      <c r="O25" s="146">
        <f t="shared" ref="O25:O35" si="90">(S25+T25)*K25</f>
        <v>8884.5505086681296</v>
      </c>
      <c r="P25" s="146">
        <f t="shared" ref="P25:P35" si="91">(S25+T25)*L25</f>
        <v>30101.36596504828</v>
      </c>
      <c r="Q25" s="56">
        <f t="shared" si="50"/>
        <v>45980</v>
      </c>
      <c r="R25" s="139">
        <v>53534</v>
      </c>
      <c r="S25" s="140">
        <v>0</v>
      </c>
      <c r="T25" s="140">
        <v>52159</v>
      </c>
      <c r="U25" s="140">
        <v>0</v>
      </c>
      <c r="V25" s="141">
        <v>14293.6</v>
      </c>
      <c r="W25" s="142">
        <v>0.77083333333333337</v>
      </c>
      <c r="X25" s="141">
        <v>4563.47</v>
      </c>
      <c r="Y25" s="142">
        <v>0.79166666666666663</v>
      </c>
      <c r="Z25" s="141">
        <v>0</v>
      </c>
      <c r="AA25" s="142">
        <v>0</v>
      </c>
      <c r="AB25" s="56">
        <f t="shared" si="51"/>
        <v>45980</v>
      </c>
      <c r="AC25" s="76">
        <f t="shared" ref="AC25:AC36" si="92">+AF25/AE25</f>
        <v>1</v>
      </c>
      <c r="AD25" s="162">
        <f t="shared" ref="AD25:AD36" si="93">+AG25/AE25</f>
        <v>0</v>
      </c>
      <c r="AE25" s="163">
        <v>6997</v>
      </c>
      <c r="AF25" s="118">
        <f t="shared" si="37"/>
        <v>6997</v>
      </c>
      <c r="AG25" s="147">
        <v>0</v>
      </c>
      <c r="AH25" s="148">
        <v>4091.7</v>
      </c>
      <c r="AI25" s="149">
        <v>0.76736111111111116</v>
      </c>
      <c r="AJ25" s="148">
        <v>0</v>
      </c>
      <c r="AK25" s="165">
        <v>0</v>
      </c>
      <c r="AL25" s="56">
        <f t="shared" si="38"/>
        <v>45980</v>
      </c>
      <c r="AM25" s="77">
        <f t="shared" ref="AM25:AM36" si="94">+AP25/AO25</f>
        <v>0.59115264797507794</v>
      </c>
      <c r="AN25" s="76">
        <f t="shared" ref="AN25:AN36" si="95">+AQ25/AO25</f>
        <v>0.40884735202492212</v>
      </c>
      <c r="AO25" s="150">
        <v>9469.5</v>
      </c>
      <c r="AP25" s="117">
        <f t="shared" si="41"/>
        <v>5597.92</v>
      </c>
      <c r="AQ25" s="151">
        <v>3871.58</v>
      </c>
      <c r="AR25" s="152">
        <v>4049.9</v>
      </c>
      <c r="AS25" s="153">
        <v>0.7270833333333333</v>
      </c>
      <c r="AT25" s="152">
        <v>179.29</v>
      </c>
      <c r="AU25" s="154">
        <v>0.84375</v>
      </c>
      <c r="AV25" s="56">
        <f t="shared" si="52"/>
        <v>45980</v>
      </c>
      <c r="AW25" s="110">
        <f t="shared" ref="AW25:AW36" si="96">BA25/AZ25</f>
        <v>0.64520428861199652</v>
      </c>
      <c r="AX25" s="110">
        <f t="shared" ref="AX25:AX36" si="97">BB25/AZ25</f>
        <v>0.35479571138800348</v>
      </c>
      <c r="AY25" s="111">
        <f t="shared" si="44"/>
        <v>8627.5</v>
      </c>
      <c r="AZ25" s="112">
        <v>8627.5</v>
      </c>
      <c r="BA25" s="120">
        <f t="shared" ref="BA25:BA36" si="98">AZ25-BB25</f>
        <v>5566.5</v>
      </c>
      <c r="BB25" s="113">
        <f>1684+1377</f>
        <v>3061</v>
      </c>
      <c r="BC25" s="112">
        <v>4047.11</v>
      </c>
      <c r="BD25" s="114">
        <v>0.38541666666666669</v>
      </c>
      <c r="BE25" s="115">
        <v>0</v>
      </c>
      <c r="BF25" s="114">
        <v>0</v>
      </c>
      <c r="BG25" s="115">
        <v>161</v>
      </c>
      <c r="BH25" s="114">
        <v>0.875</v>
      </c>
      <c r="BI25" s="56">
        <f t="shared" si="53"/>
        <v>45980</v>
      </c>
      <c r="BJ25" s="78">
        <f t="shared" ref="BJ25:BJ36" si="99">+BM25/BL25</f>
        <v>0.60738793984523287</v>
      </c>
      <c r="BK25" s="76">
        <f t="shared" ref="BK25:BK36" si="100">+BN25/BL25</f>
        <v>0.39261206015476713</v>
      </c>
      <c r="BL25" s="79">
        <f t="shared" ref="BL25:BL36" si="101">BM25+BN25</f>
        <v>34245</v>
      </c>
      <c r="BM25" s="155">
        <v>20800</v>
      </c>
      <c r="BN25" s="155">
        <v>13445</v>
      </c>
      <c r="BO25" s="156">
        <v>4328</v>
      </c>
      <c r="BP25" s="157">
        <v>0.7055555555555556</v>
      </c>
      <c r="BQ25" s="158">
        <v>2878</v>
      </c>
      <c r="BR25" s="157">
        <v>0.70625000000000004</v>
      </c>
    </row>
    <row r="26" spans="1:70" ht="15" thickBot="1" x14ac:dyDescent="0.35">
      <c r="A26" s="14"/>
      <c r="B26" s="56">
        <f t="shared" si="49"/>
        <v>45981</v>
      </c>
      <c r="C26" s="164"/>
      <c r="D26" s="87">
        <f t="shared" si="22"/>
        <v>52088</v>
      </c>
      <c r="E26" s="159">
        <f t="shared" si="82"/>
        <v>0.87502476578098609</v>
      </c>
      <c r="F26" s="87">
        <f t="shared" si="24"/>
        <v>45578.29</v>
      </c>
      <c r="G26" s="159">
        <f t="shared" si="83"/>
        <v>0.12497523421901398</v>
      </c>
      <c r="H26" s="146">
        <f t="shared" si="26"/>
        <v>6509.71</v>
      </c>
      <c r="I26" s="160">
        <f t="shared" si="84"/>
        <v>0.11721300227460797</v>
      </c>
      <c r="J26" s="159">
        <f t="shared" si="85"/>
        <v>0.15986190177186554</v>
      </c>
      <c r="K26" s="159">
        <f t="shared" si="86"/>
        <v>0.16737542040797451</v>
      </c>
      <c r="L26" s="161">
        <f t="shared" si="87"/>
        <v>0.58119525728297317</v>
      </c>
      <c r="M26" s="146">
        <f t="shared" si="88"/>
        <v>5941.8939619969969</v>
      </c>
      <c r="N26" s="146">
        <f t="shared" si="89"/>
        <v>8103.9001685684098</v>
      </c>
      <c r="O26" s="146">
        <f t="shared" si="90"/>
        <v>8484.7839455461053</v>
      </c>
      <c r="P26" s="146">
        <f t="shared" si="91"/>
        <v>29462.606732829205</v>
      </c>
      <c r="Q26" s="56">
        <f t="shared" si="50"/>
        <v>45981</v>
      </c>
      <c r="R26" s="139">
        <v>52088</v>
      </c>
      <c r="S26" s="140">
        <v>0</v>
      </c>
      <c r="T26" s="140">
        <v>50693.13</v>
      </c>
      <c r="U26" s="140">
        <v>0</v>
      </c>
      <c r="V26" s="141">
        <v>11915.96</v>
      </c>
      <c r="W26" s="142">
        <v>0.83333333333333337</v>
      </c>
      <c r="X26" s="141">
        <v>4264.22</v>
      </c>
      <c r="Y26" s="142">
        <v>0.82291666666666663</v>
      </c>
      <c r="Z26" s="141">
        <v>0</v>
      </c>
      <c r="AA26" s="142">
        <v>0</v>
      </c>
      <c r="AB26" s="56">
        <f t="shared" si="51"/>
        <v>45981</v>
      </c>
      <c r="AC26" s="76">
        <f t="shared" si="92"/>
        <v>1</v>
      </c>
      <c r="AD26" s="162">
        <f t="shared" si="93"/>
        <v>0</v>
      </c>
      <c r="AE26" s="163">
        <v>6765</v>
      </c>
      <c r="AF26" s="118">
        <f t="shared" si="37"/>
        <v>6765</v>
      </c>
      <c r="AG26" s="147">
        <v>0</v>
      </c>
      <c r="AH26" s="148">
        <v>3650.73</v>
      </c>
      <c r="AI26" s="149">
        <v>0.35</v>
      </c>
      <c r="AJ26" s="148">
        <v>0</v>
      </c>
      <c r="AK26" s="165">
        <v>0</v>
      </c>
      <c r="AL26" s="56">
        <f t="shared" si="38"/>
        <v>45981</v>
      </c>
      <c r="AM26" s="77">
        <f t="shared" si="94"/>
        <v>0.58356148051807288</v>
      </c>
      <c r="AN26" s="76">
        <f t="shared" si="95"/>
        <v>0.41643851948192706</v>
      </c>
      <c r="AO26" s="150">
        <v>9226.5</v>
      </c>
      <c r="AP26" s="117">
        <f t="shared" si="41"/>
        <v>5384.23</v>
      </c>
      <c r="AQ26" s="151">
        <v>3842.27</v>
      </c>
      <c r="AR26" s="152">
        <v>3899.95</v>
      </c>
      <c r="AS26" s="153">
        <v>0.34861111111111109</v>
      </c>
      <c r="AT26" s="152">
        <v>182.81</v>
      </c>
      <c r="AU26" s="154">
        <v>0.60416666666666663</v>
      </c>
      <c r="AV26" s="56">
        <f t="shared" si="52"/>
        <v>45981</v>
      </c>
      <c r="AW26" s="110">
        <f t="shared" si="96"/>
        <v>0.67390709046454766</v>
      </c>
      <c r="AX26" s="110">
        <f t="shared" si="97"/>
        <v>0.32609290953545234</v>
      </c>
      <c r="AY26" s="111">
        <f t="shared" si="44"/>
        <v>8180</v>
      </c>
      <c r="AZ26" s="112">
        <v>8180</v>
      </c>
      <c r="BA26" s="120">
        <f t="shared" si="98"/>
        <v>5512.5599999999995</v>
      </c>
      <c r="BB26" s="113">
        <v>2667.44</v>
      </c>
      <c r="BC26" s="112">
        <v>3668.06</v>
      </c>
      <c r="BD26" s="114">
        <v>0.82291666666666663</v>
      </c>
      <c r="BE26" s="115">
        <v>0</v>
      </c>
      <c r="BF26" s="114">
        <v>0</v>
      </c>
      <c r="BG26" s="115">
        <v>156.71</v>
      </c>
      <c r="BH26" s="114">
        <v>0.95833333333333337</v>
      </c>
      <c r="BI26" s="56">
        <f t="shared" si="53"/>
        <v>45981</v>
      </c>
      <c r="BJ26" s="78">
        <f t="shared" si="99"/>
        <v>0.60705271950760697</v>
      </c>
      <c r="BK26" s="76">
        <f t="shared" si="100"/>
        <v>0.39294728049239291</v>
      </c>
      <c r="BL26" s="79">
        <f t="shared" si="101"/>
        <v>33543.94</v>
      </c>
      <c r="BM26" s="155">
        <v>20362.939999999999</v>
      </c>
      <c r="BN26" s="155">
        <v>13181</v>
      </c>
      <c r="BO26" s="156">
        <v>3889.45</v>
      </c>
      <c r="BP26" s="157">
        <v>0.73611111111111116</v>
      </c>
      <c r="BQ26" s="158">
        <v>2585.75</v>
      </c>
      <c r="BR26" s="157">
        <v>0.73611111111111116</v>
      </c>
    </row>
    <row r="27" spans="1:70" ht="15" thickBot="1" x14ac:dyDescent="0.35">
      <c r="A27" s="14"/>
      <c r="B27" s="56">
        <f t="shared" si="49"/>
        <v>45982</v>
      </c>
      <c r="C27" s="164"/>
      <c r="D27" s="87">
        <f t="shared" si="22"/>
        <v>53730</v>
      </c>
      <c r="E27" s="159">
        <f t="shared" si="82"/>
        <v>0.87986227433463615</v>
      </c>
      <c r="F27" s="87">
        <f t="shared" si="24"/>
        <v>47275</v>
      </c>
      <c r="G27" s="159">
        <f t="shared" si="83"/>
        <v>0.12013772566536386</v>
      </c>
      <c r="H27" s="146">
        <f t="shared" si="26"/>
        <v>6455</v>
      </c>
      <c r="I27" s="160">
        <f t="shared" si="84"/>
        <v>0.11853792038147047</v>
      </c>
      <c r="J27" s="159">
        <f t="shared" si="85"/>
        <v>0.15782669285918166</v>
      </c>
      <c r="K27" s="159">
        <f t="shared" si="86"/>
        <v>0.17120843789209536</v>
      </c>
      <c r="L27" s="161">
        <f t="shared" si="87"/>
        <v>0.57700767306368472</v>
      </c>
      <c r="M27" s="146">
        <f t="shared" si="88"/>
        <v>6203.6820631642568</v>
      </c>
      <c r="N27" s="146">
        <f t="shared" si="89"/>
        <v>8259.8599707852718</v>
      </c>
      <c r="O27" s="146">
        <f t="shared" si="90"/>
        <v>8960.1935970828108</v>
      </c>
      <c r="P27" s="146">
        <f t="shared" si="91"/>
        <v>30197.696569787939</v>
      </c>
      <c r="Q27" s="56">
        <f t="shared" si="50"/>
        <v>45982</v>
      </c>
      <c r="R27" s="139">
        <v>53730</v>
      </c>
      <c r="S27" s="140">
        <v>0</v>
      </c>
      <c r="T27" s="140">
        <v>52335</v>
      </c>
      <c r="U27" s="140">
        <v>0</v>
      </c>
      <c r="V27" s="141">
        <v>14759</v>
      </c>
      <c r="W27" s="142">
        <v>0.375</v>
      </c>
      <c r="X27" s="141">
        <v>4419</v>
      </c>
      <c r="Y27" s="142">
        <v>0.77083333333333337</v>
      </c>
      <c r="Z27" s="141">
        <v>0</v>
      </c>
      <c r="AA27" s="142">
        <v>0</v>
      </c>
      <c r="AB27" s="56">
        <f t="shared" si="51"/>
        <v>45982</v>
      </c>
      <c r="AC27" s="76">
        <f t="shared" si="92"/>
        <v>1</v>
      </c>
      <c r="AD27" s="162">
        <f t="shared" si="93"/>
        <v>0</v>
      </c>
      <c r="AE27" s="163">
        <v>7060</v>
      </c>
      <c r="AF27" s="118">
        <f t="shared" si="37"/>
        <v>7060</v>
      </c>
      <c r="AG27" s="147">
        <v>0</v>
      </c>
      <c r="AH27" s="148">
        <v>3666</v>
      </c>
      <c r="AI27" s="149">
        <v>0.35486111111111113</v>
      </c>
      <c r="AJ27" s="148">
        <v>0</v>
      </c>
      <c r="AK27" s="165">
        <v>0</v>
      </c>
      <c r="AL27" s="56">
        <v>3768</v>
      </c>
      <c r="AM27" s="77">
        <f t="shared" si="94"/>
        <v>0.59893617021276591</v>
      </c>
      <c r="AN27" s="76">
        <f t="shared" si="95"/>
        <v>0.40106382978723404</v>
      </c>
      <c r="AO27" s="150">
        <v>9400</v>
      </c>
      <c r="AP27" s="117">
        <f t="shared" si="41"/>
        <v>5630</v>
      </c>
      <c r="AQ27" s="151">
        <v>3770</v>
      </c>
      <c r="AR27" s="152">
        <v>3968</v>
      </c>
      <c r="AS27" s="153">
        <v>0.34166666666666667</v>
      </c>
      <c r="AT27" s="152">
        <v>181</v>
      </c>
      <c r="AU27" s="154">
        <v>0.86458333333333337</v>
      </c>
      <c r="AV27" s="56">
        <f t="shared" si="52"/>
        <v>45982</v>
      </c>
      <c r="AW27" s="110">
        <f t="shared" si="96"/>
        <v>0.69254551700446587</v>
      </c>
      <c r="AX27" s="110">
        <f t="shared" si="97"/>
        <v>0.30745448299553418</v>
      </c>
      <c r="AY27" s="111">
        <f t="shared" si="44"/>
        <v>8733</v>
      </c>
      <c r="AZ27" s="112">
        <v>8733</v>
      </c>
      <c r="BA27" s="120">
        <f t="shared" si="98"/>
        <v>6048</v>
      </c>
      <c r="BB27" s="113">
        <v>2685</v>
      </c>
      <c r="BC27" s="112">
        <v>4325</v>
      </c>
      <c r="BD27" s="114">
        <v>0.72916666666666663</v>
      </c>
      <c r="BE27" s="115">
        <v>0</v>
      </c>
      <c r="BF27" s="114">
        <v>0</v>
      </c>
      <c r="BG27" s="115">
        <v>167</v>
      </c>
      <c r="BH27" s="114">
        <v>0.91666666666666663</v>
      </c>
      <c r="BI27" s="56">
        <f t="shared" si="53"/>
        <v>45982</v>
      </c>
      <c r="BJ27" s="78">
        <f t="shared" si="99"/>
        <v>0.60676249781761038</v>
      </c>
      <c r="BK27" s="76">
        <f t="shared" si="100"/>
        <v>0.39323750218238956</v>
      </c>
      <c r="BL27" s="79">
        <f t="shared" si="101"/>
        <v>34366</v>
      </c>
      <c r="BM27" s="155">
        <v>20852</v>
      </c>
      <c r="BN27" s="155">
        <v>13514</v>
      </c>
      <c r="BO27" s="156">
        <v>4324</v>
      </c>
      <c r="BP27" s="157">
        <v>0.78402777777777777</v>
      </c>
      <c r="BQ27" s="158">
        <v>2897</v>
      </c>
      <c r="BR27" s="157">
        <v>0.78402777777777777</v>
      </c>
    </row>
    <row r="28" spans="1:70" ht="15" thickBot="1" x14ac:dyDescent="0.35">
      <c r="A28" s="14"/>
      <c r="B28" s="56">
        <f t="shared" si="49"/>
        <v>45983</v>
      </c>
      <c r="C28" s="164"/>
      <c r="D28" s="87">
        <f t="shared" si="22"/>
        <v>32754</v>
      </c>
      <c r="E28" s="159">
        <f t="shared" si="82"/>
        <v>0.80512303840752275</v>
      </c>
      <c r="F28" s="87">
        <f t="shared" si="24"/>
        <v>26371</v>
      </c>
      <c r="G28" s="159">
        <f t="shared" si="83"/>
        <v>0.19487696159247725</v>
      </c>
      <c r="H28" s="146">
        <f t="shared" si="26"/>
        <v>6383</v>
      </c>
      <c r="I28" s="160">
        <f t="shared" si="84"/>
        <v>7.6755213104154313E-2</v>
      </c>
      <c r="J28" s="159">
        <f t="shared" si="85"/>
        <v>0.18255293927474542</v>
      </c>
      <c r="K28" s="159">
        <f t="shared" si="86"/>
        <v>0.16379957676291898</v>
      </c>
      <c r="L28" s="161">
        <f t="shared" si="87"/>
        <v>0.61140147637264941</v>
      </c>
      <c r="M28" s="146">
        <f t="shared" si="88"/>
        <v>2398.6004095048224</v>
      </c>
      <c r="N28" s="146">
        <f t="shared" si="89"/>
        <v>5704.7793523357941</v>
      </c>
      <c r="O28" s="146">
        <f t="shared" si="90"/>
        <v>5118.7367738412186</v>
      </c>
      <c r="P28" s="146">
        <f t="shared" si="91"/>
        <v>19106.296136645295</v>
      </c>
      <c r="Q28" s="56">
        <f t="shared" si="50"/>
        <v>45983</v>
      </c>
      <c r="R28" s="139">
        <v>32754</v>
      </c>
      <c r="S28" s="140">
        <v>0</v>
      </c>
      <c r="T28" s="140">
        <v>31250</v>
      </c>
      <c r="U28" s="140">
        <v>0</v>
      </c>
      <c r="V28" s="141">
        <v>7061</v>
      </c>
      <c r="W28" s="142">
        <v>0.44791666666666669</v>
      </c>
      <c r="X28" s="141">
        <v>2032</v>
      </c>
      <c r="Y28" s="142">
        <v>0.67708333333333337</v>
      </c>
      <c r="Z28" s="141">
        <v>0</v>
      </c>
      <c r="AA28" s="142">
        <v>0</v>
      </c>
      <c r="AB28" s="56">
        <f t="shared" si="51"/>
        <v>45983</v>
      </c>
      <c r="AC28" s="76">
        <f t="shared" si="92"/>
        <v>1</v>
      </c>
      <c r="AD28" s="162">
        <f t="shared" si="93"/>
        <v>0</v>
      </c>
      <c r="AE28" s="163">
        <v>2849</v>
      </c>
      <c r="AF28" s="118">
        <f t="shared" si="37"/>
        <v>2849</v>
      </c>
      <c r="AG28" s="147">
        <v>0</v>
      </c>
      <c r="AH28" s="148">
        <v>2015</v>
      </c>
      <c r="AI28" s="149">
        <v>0.93402777777777779</v>
      </c>
      <c r="AJ28" s="148">
        <v>0</v>
      </c>
      <c r="AK28" s="165">
        <v>0</v>
      </c>
      <c r="AL28" s="56">
        <f t="shared" si="38"/>
        <v>3769</v>
      </c>
      <c r="AM28" s="77">
        <f t="shared" si="94"/>
        <v>0.45085596221959856</v>
      </c>
      <c r="AN28" s="76">
        <f t="shared" si="95"/>
        <v>0.54914403778040144</v>
      </c>
      <c r="AO28" s="150">
        <v>6776</v>
      </c>
      <c r="AP28" s="117">
        <f t="shared" si="41"/>
        <v>3055</v>
      </c>
      <c r="AQ28" s="151">
        <v>3721</v>
      </c>
      <c r="AR28" s="152">
        <v>1754</v>
      </c>
      <c r="AS28" s="153">
        <v>0.40625</v>
      </c>
      <c r="AT28" s="152">
        <v>178</v>
      </c>
      <c r="AU28" s="154">
        <v>0.92708333333333337</v>
      </c>
      <c r="AV28" s="56">
        <f t="shared" si="52"/>
        <v>45983</v>
      </c>
      <c r="AW28" s="110">
        <f t="shared" si="96"/>
        <v>0.4453011043967493</v>
      </c>
      <c r="AX28" s="110">
        <f t="shared" si="97"/>
        <v>0.5546988956032507</v>
      </c>
      <c r="AY28" s="111">
        <f t="shared" si="44"/>
        <v>4799</v>
      </c>
      <c r="AZ28" s="112">
        <v>4799</v>
      </c>
      <c r="BA28" s="120">
        <f t="shared" si="98"/>
        <v>2137</v>
      </c>
      <c r="BB28" s="113">
        <v>2662</v>
      </c>
      <c r="BC28" s="112">
        <v>1819</v>
      </c>
      <c r="BD28" s="114">
        <v>0.36458333333333331</v>
      </c>
      <c r="BE28" s="115">
        <v>0</v>
      </c>
      <c r="BF28" s="114">
        <v>0</v>
      </c>
      <c r="BG28" s="115">
        <v>167</v>
      </c>
      <c r="BH28" s="114">
        <v>0.90625</v>
      </c>
      <c r="BI28" s="56">
        <f t="shared" si="53"/>
        <v>45983</v>
      </c>
      <c r="BJ28" s="78">
        <f t="shared" si="99"/>
        <v>0.60791398607561475</v>
      </c>
      <c r="BK28" s="76">
        <f t="shared" si="100"/>
        <v>0.3920860139243853</v>
      </c>
      <c r="BL28" s="79">
        <f t="shared" si="101"/>
        <v>22694</v>
      </c>
      <c r="BM28" s="155">
        <v>13796</v>
      </c>
      <c r="BN28" s="155">
        <v>8898</v>
      </c>
      <c r="BO28" s="156">
        <v>2889</v>
      </c>
      <c r="BP28" s="157">
        <v>0.37638888888888888</v>
      </c>
      <c r="BQ28" s="158">
        <v>1933</v>
      </c>
      <c r="BR28" s="157">
        <v>0.37638888888888888</v>
      </c>
    </row>
    <row r="29" spans="1:70" ht="15" thickBot="1" x14ac:dyDescent="0.35">
      <c r="A29" s="14"/>
      <c r="B29" s="56">
        <f t="shared" si="49"/>
        <v>45984</v>
      </c>
      <c r="C29" s="164"/>
      <c r="D29" s="87">
        <f t="shared" si="22"/>
        <v>27238</v>
      </c>
      <c r="E29" s="159">
        <f t="shared" si="82"/>
        <v>0.75603935678096779</v>
      </c>
      <c r="F29" s="87">
        <f t="shared" si="24"/>
        <v>20593</v>
      </c>
      <c r="G29" s="159">
        <f t="shared" si="83"/>
        <v>0.24396064321903224</v>
      </c>
      <c r="H29" s="146">
        <f t="shared" si="26"/>
        <v>6645</v>
      </c>
      <c r="I29" s="160">
        <f t="shared" si="84"/>
        <v>5.9934567776316235E-2</v>
      </c>
      <c r="J29" s="159">
        <f t="shared" si="85"/>
        <v>0.17400249586832608</v>
      </c>
      <c r="K29" s="159">
        <f t="shared" si="86"/>
        <v>0.18657874321179208</v>
      </c>
      <c r="L29" s="161">
        <f t="shared" si="87"/>
        <v>0.62005463927957094</v>
      </c>
      <c r="M29" s="146">
        <f t="shared" si="88"/>
        <v>1550.5672029410773</v>
      </c>
      <c r="N29" s="146">
        <f t="shared" si="89"/>
        <v>4501.6185706094639</v>
      </c>
      <c r="O29" s="146">
        <f t="shared" si="90"/>
        <v>4826.9786656322731</v>
      </c>
      <c r="P29" s="146">
        <f t="shared" si="91"/>
        <v>16041.43357280178</v>
      </c>
      <c r="Q29" s="56">
        <f t="shared" si="50"/>
        <v>45984</v>
      </c>
      <c r="R29" s="139">
        <v>27238</v>
      </c>
      <c r="S29" s="140">
        <v>0</v>
      </c>
      <c r="T29" s="140">
        <v>25871</v>
      </c>
      <c r="U29" s="140">
        <v>0</v>
      </c>
      <c r="V29" s="141">
        <v>6634</v>
      </c>
      <c r="W29" s="142">
        <v>0.76041666666666663</v>
      </c>
      <c r="X29" s="141">
        <v>1748</v>
      </c>
      <c r="Y29" s="142">
        <v>0.94791666666666663</v>
      </c>
      <c r="Z29" s="141">
        <v>0</v>
      </c>
      <c r="AA29" s="142">
        <v>0</v>
      </c>
      <c r="AB29" s="56">
        <f t="shared" si="51"/>
        <v>45984</v>
      </c>
      <c r="AC29" s="76">
        <f t="shared" si="92"/>
        <v>1</v>
      </c>
      <c r="AD29" s="162">
        <f t="shared" si="93"/>
        <v>0</v>
      </c>
      <c r="AE29" s="163">
        <v>1777</v>
      </c>
      <c r="AF29" s="118">
        <f t="shared" si="37"/>
        <v>1777</v>
      </c>
      <c r="AG29" s="147">
        <v>0</v>
      </c>
      <c r="AH29" s="148">
        <v>1657</v>
      </c>
      <c r="AI29" s="149">
        <v>0.92291666666666672</v>
      </c>
      <c r="AJ29" s="148">
        <v>0</v>
      </c>
      <c r="AK29" s="165">
        <v>0</v>
      </c>
      <c r="AL29" s="56">
        <f t="shared" si="38"/>
        <v>3770</v>
      </c>
      <c r="AM29" s="77">
        <f t="shared" si="94"/>
        <v>0.2855204496995542</v>
      </c>
      <c r="AN29" s="76">
        <f t="shared" si="95"/>
        <v>0.71447955030044585</v>
      </c>
      <c r="AO29" s="150">
        <v>5159</v>
      </c>
      <c r="AP29" s="117">
        <f t="shared" si="41"/>
        <v>1473</v>
      </c>
      <c r="AQ29" s="151">
        <v>3686</v>
      </c>
      <c r="AR29" s="152">
        <v>1792</v>
      </c>
      <c r="AS29" s="153">
        <v>0.93055555555555558</v>
      </c>
      <c r="AT29" s="152">
        <v>174</v>
      </c>
      <c r="AU29" s="154">
        <v>0.88541666666666663</v>
      </c>
      <c r="AV29" s="56">
        <f t="shared" si="52"/>
        <v>45984</v>
      </c>
      <c r="AW29" s="110">
        <f t="shared" si="96"/>
        <v>0.31647031647031648</v>
      </c>
      <c r="AX29" s="110">
        <f t="shared" si="97"/>
        <v>0.68352968352968357</v>
      </c>
      <c r="AY29" s="111">
        <f t="shared" si="44"/>
        <v>4329</v>
      </c>
      <c r="AZ29" s="112">
        <v>4329</v>
      </c>
      <c r="BA29" s="120">
        <f t="shared" si="98"/>
        <v>1370</v>
      </c>
      <c r="BB29" s="182">
        <f>1316+1643</f>
        <v>2959</v>
      </c>
      <c r="BC29" s="112">
        <v>1426</v>
      </c>
      <c r="BD29" s="114">
        <v>0.73958333333333337</v>
      </c>
      <c r="BE29" s="115">
        <v>0</v>
      </c>
      <c r="BF29" s="114">
        <v>0</v>
      </c>
      <c r="BG29" s="115">
        <v>156</v>
      </c>
      <c r="BH29" s="114">
        <v>0.94791666666666663</v>
      </c>
      <c r="BI29" s="56">
        <f t="shared" si="53"/>
        <v>45984</v>
      </c>
      <c r="BJ29" s="78">
        <f t="shared" si="99"/>
        <v>0.61433855526544823</v>
      </c>
      <c r="BK29" s="76">
        <f t="shared" si="100"/>
        <v>0.38566144473455177</v>
      </c>
      <c r="BL29" s="79">
        <f t="shared" si="101"/>
        <v>18384</v>
      </c>
      <c r="BM29" s="155">
        <v>11294</v>
      </c>
      <c r="BN29" s="155">
        <v>7090</v>
      </c>
      <c r="BO29" s="156">
        <v>2435</v>
      </c>
      <c r="BP29" s="157">
        <v>0.41249999999999998</v>
      </c>
      <c r="BQ29" s="158">
        <v>1600</v>
      </c>
      <c r="BR29" s="157">
        <v>0.41249999999999998</v>
      </c>
    </row>
    <row r="30" spans="1:70" ht="15" thickBot="1" x14ac:dyDescent="0.35">
      <c r="A30" s="14"/>
      <c r="B30" s="56">
        <f t="shared" si="49"/>
        <v>45985</v>
      </c>
      <c r="C30" s="164"/>
      <c r="D30" s="87">
        <f t="shared" si="22"/>
        <v>52012</v>
      </c>
      <c r="E30" s="159">
        <f t="shared" si="82"/>
        <v>0.87443282319464744</v>
      </c>
      <c r="F30" s="87">
        <f t="shared" si="24"/>
        <v>45481</v>
      </c>
      <c r="G30" s="159">
        <f t="shared" si="83"/>
        <v>0.12556717680535262</v>
      </c>
      <c r="H30" s="146">
        <f t="shared" si="26"/>
        <v>6531</v>
      </c>
      <c r="I30" s="160">
        <f t="shared" si="84"/>
        <v>0.13268894520736332</v>
      </c>
      <c r="J30" s="159">
        <f t="shared" si="85"/>
        <v>0.18107699259346574</v>
      </c>
      <c r="K30" s="159">
        <f t="shared" si="86"/>
        <v>0.19861753326413137</v>
      </c>
      <c r="L30" s="161">
        <f t="shared" si="87"/>
        <v>0.52083456120704896</v>
      </c>
      <c r="M30" s="146">
        <f t="shared" si="88"/>
        <v>6727.3295220133205</v>
      </c>
      <c r="N30" s="146">
        <f t="shared" si="89"/>
        <v>9180.6035244887134</v>
      </c>
      <c r="O30" s="146">
        <f t="shared" si="90"/>
        <v>10069.90893649146</v>
      </c>
      <c r="P30" s="146">
        <f t="shared" si="91"/>
        <v>26406.312253197382</v>
      </c>
      <c r="Q30" s="56">
        <f t="shared" si="50"/>
        <v>45985</v>
      </c>
      <c r="R30" s="139">
        <v>52012</v>
      </c>
      <c r="S30" s="140">
        <v>0</v>
      </c>
      <c r="T30" s="140">
        <v>50700</v>
      </c>
      <c r="U30" s="140">
        <v>0</v>
      </c>
      <c r="V30" s="141">
        <v>13297</v>
      </c>
      <c r="W30" s="142">
        <v>0.38541666666666669</v>
      </c>
      <c r="X30" s="141">
        <v>4391</v>
      </c>
      <c r="Y30" s="142">
        <v>0.80208333333333337</v>
      </c>
      <c r="Z30" s="141">
        <v>0</v>
      </c>
      <c r="AA30" s="142">
        <v>0</v>
      </c>
      <c r="AB30" s="56">
        <f t="shared" si="51"/>
        <v>45985</v>
      </c>
      <c r="AC30" s="76">
        <f t="shared" si="92"/>
        <v>1</v>
      </c>
      <c r="AD30" s="162">
        <f t="shared" si="93"/>
        <v>0</v>
      </c>
      <c r="AE30" s="163">
        <v>6754</v>
      </c>
      <c r="AF30" s="118">
        <f t="shared" si="37"/>
        <v>6754</v>
      </c>
      <c r="AG30" s="147">
        <v>0</v>
      </c>
      <c r="AH30" s="148">
        <v>4218</v>
      </c>
      <c r="AI30" s="149">
        <v>0.77083333333333337</v>
      </c>
      <c r="AJ30" s="148">
        <v>0</v>
      </c>
      <c r="AK30" s="165">
        <v>0</v>
      </c>
      <c r="AL30" s="56">
        <f t="shared" si="38"/>
        <v>3771</v>
      </c>
      <c r="AM30" s="77">
        <f t="shared" si="94"/>
        <v>0.58392101551480957</v>
      </c>
      <c r="AN30" s="76">
        <f t="shared" si="95"/>
        <v>0.41607898448519043</v>
      </c>
      <c r="AO30" s="150">
        <v>9217</v>
      </c>
      <c r="AP30" s="117">
        <f t="shared" si="41"/>
        <v>5382</v>
      </c>
      <c r="AQ30" s="151">
        <v>3835</v>
      </c>
      <c r="AR30" s="152">
        <v>3874</v>
      </c>
      <c r="AS30" s="153">
        <v>0.77083333333333337</v>
      </c>
      <c r="AT30" s="152">
        <v>181</v>
      </c>
      <c r="AU30" s="154">
        <v>0.60416666666666663</v>
      </c>
      <c r="AV30" s="56">
        <f t="shared" si="52"/>
        <v>45985</v>
      </c>
      <c r="AW30" s="110">
        <f t="shared" si="96"/>
        <v>0.67977194441145028</v>
      </c>
      <c r="AX30" s="110">
        <f t="shared" si="97"/>
        <v>0.32022805558854972</v>
      </c>
      <c r="AY30" s="111">
        <f t="shared" si="44"/>
        <v>8419</v>
      </c>
      <c r="AZ30" s="112">
        <v>8419</v>
      </c>
      <c r="BA30" s="120">
        <f t="shared" si="98"/>
        <v>5723</v>
      </c>
      <c r="BB30" s="113">
        <v>2696</v>
      </c>
      <c r="BC30" s="112">
        <v>4041</v>
      </c>
      <c r="BD30" s="114">
        <v>1</v>
      </c>
      <c r="BE30" s="115">
        <v>0</v>
      </c>
      <c r="BF30" s="114">
        <v>0</v>
      </c>
      <c r="BG30" s="115">
        <v>158</v>
      </c>
      <c r="BH30" s="114">
        <v>0.89583333333333337</v>
      </c>
      <c r="BI30" s="56">
        <f t="shared" si="53"/>
        <v>45985</v>
      </c>
      <c r="BJ30" s="78">
        <f t="shared" si="99"/>
        <v>0.50597865037154388</v>
      </c>
      <c r="BK30" s="76">
        <f t="shared" si="100"/>
        <v>0.49402134962845612</v>
      </c>
      <c r="BL30" s="79">
        <f t="shared" si="101"/>
        <v>26511</v>
      </c>
      <c r="BM30" s="155">
        <v>13414</v>
      </c>
      <c r="BN30" s="155">
        <v>13097</v>
      </c>
      <c r="BO30" s="156">
        <v>4409</v>
      </c>
      <c r="BP30" s="157">
        <v>0.82638888888888884</v>
      </c>
      <c r="BQ30" s="158">
        <v>2956</v>
      </c>
      <c r="BR30" s="157">
        <v>0.82638888888888884</v>
      </c>
    </row>
    <row r="31" spans="1:70" ht="15" thickBot="1" x14ac:dyDescent="0.35">
      <c r="A31" s="14"/>
      <c r="B31" s="56">
        <f t="shared" si="49"/>
        <v>45986</v>
      </c>
      <c r="C31" s="164"/>
      <c r="D31" s="87">
        <f t="shared" si="22"/>
        <v>52806</v>
      </c>
      <c r="E31" s="159">
        <f t="shared" si="82"/>
        <v>0.87236298905427412</v>
      </c>
      <c r="F31" s="87">
        <f t="shared" si="24"/>
        <v>46066</v>
      </c>
      <c r="G31" s="159">
        <f t="shared" si="83"/>
        <v>0.12763701094572585</v>
      </c>
      <c r="H31" s="146">
        <f t="shared" si="26"/>
        <v>6740</v>
      </c>
      <c r="I31" s="160">
        <f t="shared" si="84"/>
        <v>0.13162360927776731</v>
      </c>
      <c r="J31" s="159">
        <f t="shared" si="85"/>
        <v>0.17631529323024703</v>
      </c>
      <c r="K31" s="159">
        <f t="shared" si="86"/>
        <v>0.19341102644554012</v>
      </c>
      <c r="L31" s="161">
        <f t="shared" si="87"/>
        <v>0.5293230247029983</v>
      </c>
      <c r="M31" s="146">
        <f t="shared" si="88"/>
        <v>6711.487837073355</v>
      </c>
      <c r="N31" s="146">
        <f t="shared" si="89"/>
        <v>8990.3168018102951</v>
      </c>
      <c r="O31" s="146">
        <f t="shared" si="90"/>
        <v>9862.0282384580914</v>
      </c>
      <c r="P31" s="146">
        <f t="shared" si="91"/>
        <v>26990.181029605883</v>
      </c>
      <c r="Q31" s="56">
        <f t="shared" si="50"/>
        <v>45986</v>
      </c>
      <c r="R31" s="139">
        <v>52806</v>
      </c>
      <c r="S31" s="140">
        <v>0</v>
      </c>
      <c r="T31" s="140">
        <v>50990</v>
      </c>
      <c r="U31" s="140">
        <v>0</v>
      </c>
      <c r="V31" s="141">
        <v>13650</v>
      </c>
      <c r="W31" s="142">
        <v>0.36458333333333331</v>
      </c>
      <c r="X31" s="141">
        <v>4420</v>
      </c>
      <c r="Y31" s="142">
        <v>0.77083333333333337</v>
      </c>
      <c r="Z31" s="141">
        <v>0</v>
      </c>
      <c r="AA31" s="142">
        <v>0</v>
      </c>
      <c r="AB31" s="56">
        <f t="shared" si="51"/>
        <v>45986</v>
      </c>
      <c r="AC31" s="76">
        <f t="shared" si="92"/>
        <v>1</v>
      </c>
      <c r="AD31" s="162">
        <f t="shared" si="93"/>
        <v>0</v>
      </c>
      <c r="AE31" s="163">
        <v>6980</v>
      </c>
      <c r="AF31" s="118">
        <f t="shared" si="37"/>
        <v>6980</v>
      </c>
      <c r="AG31" s="147">
        <v>0</v>
      </c>
      <c r="AH31" s="148">
        <v>4450</v>
      </c>
      <c r="AI31" s="149">
        <v>0.72916666666666663</v>
      </c>
      <c r="AJ31" s="148">
        <v>0</v>
      </c>
      <c r="AK31" s="165" t="s">
        <v>70</v>
      </c>
      <c r="AL31" s="56">
        <f t="shared" si="38"/>
        <v>3772</v>
      </c>
      <c r="AM31" s="77">
        <f t="shared" si="94"/>
        <v>0.58074866310160422</v>
      </c>
      <c r="AN31" s="76">
        <f t="shared" si="95"/>
        <v>0.41925133689839572</v>
      </c>
      <c r="AO31" s="150">
        <v>9350</v>
      </c>
      <c r="AP31" s="117">
        <f t="shared" si="41"/>
        <v>5430</v>
      </c>
      <c r="AQ31" s="151">
        <v>3920</v>
      </c>
      <c r="AR31" s="152">
        <v>3970</v>
      </c>
      <c r="AS31" s="153">
        <v>0.82291666666666663</v>
      </c>
      <c r="AT31" s="152">
        <v>182</v>
      </c>
      <c r="AU31" s="154">
        <v>0.65625</v>
      </c>
      <c r="AV31" s="56">
        <f t="shared" si="52"/>
        <v>45986</v>
      </c>
      <c r="AW31" s="110">
        <f t="shared" si="96"/>
        <v>0.67323290845886441</v>
      </c>
      <c r="AX31" s="110">
        <f t="shared" si="97"/>
        <v>0.32676709154113559</v>
      </c>
      <c r="AY31" s="111">
        <f t="shared" si="44"/>
        <v>8630</v>
      </c>
      <c r="AZ31" s="112">
        <v>8630</v>
      </c>
      <c r="BA31" s="120">
        <f t="shared" si="98"/>
        <v>5810</v>
      </c>
      <c r="BB31" s="113">
        <v>2820</v>
      </c>
      <c r="BC31" s="112">
        <v>4150</v>
      </c>
      <c r="BD31" s="114">
        <v>0.35416666666666669</v>
      </c>
      <c r="BE31" s="115">
        <v>0</v>
      </c>
      <c r="BF31" s="114">
        <v>0</v>
      </c>
      <c r="BG31" s="115">
        <v>158</v>
      </c>
      <c r="BH31" s="114">
        <v>0.86458333333333337</v>
      </c>
      <c r="BI31" s="56">
        <f t="shared" si="53"/>
        <v>45986</v>
      </c>
      <c r="BJ31" s="78">
        <f t="shared" si="99"/>
        <v>0.53259707873174211</v>
      </c>
      <c r="BK31" s="76">
        <f t="shared" si="100"/>
        <v>0.46740292126825794</v>
      </c>
      <c r="BL31" s="79">
        <f t="shared" si="101"/>
        <v>28070</v>
      </c>
      <c r="BM31" s="155">
        <v>14950</v>
      </c>
      <c r="BN31" s="155">
        <v>13120</v>
      </c>
      <c r="BO31" s="156">
        <v>4450</v>
      </c>
      <c r="BP31" s="157">
        <v>0.73958333333333337</v>
      </c>
      <c r="BQ31" s="158">
        <v>2970</v>
      </c>
      <c r="BR31" s="157">
        <v>0.77083333333333337</v>
      </c>
    </row>
    <row r="32" spans="1:70" ht="15" thickBot="1" x14ac:dyDescent="0.35">
      <c r="A32" s="14"/>
      <c r="B32" s="56">
        <f t="shared" si="49"/>
        <v>45987</v>
      </c>
      <c r="C32" s="164"/>
      <c r="D32" s="87">
        <f t="shared" si="22"/>
        <v>52922</v>
      </c>
      <c r="E32" s="159">
        <f t="shared" si="82"/>
        <v>0.87332300366577231</v>
      </c>
      <c r="F32" s="87">
        <f t="shared" si="24"/>
        <v>46218</v>
      </c>
      <c r="G32" s="159">
        <f t="shared" si="83"/>
        <v>0.12667699633422774</v>
      </c>
      <c r="H32" s="146">
        <f t="shared" si="26"/>
        <v>6704</v>
      </c>
      <c r="I32" s="160">
        <f t="shared" si="84"/>
        <v>0.1179127115322347</v>
      </c>
      <c r="J32" s="159">
        <f t="shared" si="85"/>
        <v>0.16135244295233389</v>
      </c>
      <c r="K32" s="159">
        <f t="shared" si="86"/>
        <v>0.17198465239259658</v>
      </c>
      <c r="L32" s="161">
        <f t="shared" si="87"/>
        <v>0.57330561188840978</v>
      </c>
      <c r="M32" s="146">
        <f t="shared" si="88"/>
        <v>6078.1644540636344</v>
      </c>
      <c r="N32" s="146">
        <f t="shared" si="89"/>
        <v>8317.395729306907</v>
      </c>
      <c r="O32" s="146">
        <f t="shared" si="90"/>
        <v>8865.4648615335682</v>
      </c>
      <c r="P32" s="146">
        <f t="shared" si="91"/>
        <v>29552.757681623749</v>
      </c>
      <c r="Q32" s="56">
        <f t="shared" si="50"/>
        <v>45987</v>
      </c>
      <c r="R32" s="139">
        <v>52922</v>
      </c>
      <c r="S32" s="140">
        <v>0</v>
      </c>
      <c r="T32" s="140">
        <v>51548</v>
      </c>
      <c r="U32" s="140">
        <v>0</v>
      </c>
      <c r="V32" s="141">
        <v>13670</v>
      </c>
      <c r="W32" s="142">
        <v>0.78125</v>
      </c>
      <c r="X32" s="141">
        <v>4527</v>
      </c>
      <c r="Y32" s="142">
        <v>0.79166666666666663</v>
      </c>
      <c r="Z32" s="141">
        <v>0</v>
      </c>
      <c r="AA32" s="142">
        <v>0</v>
      </c>
      <c r="AB32" s="56">
        <f t="shared" si="51"/>
        <v>45987</v>
      </c>
      <c r="AC32" s="76">
        <f t="shared" si="92"/>
        <v>1</v>
      </c>
      <c r="AD32" s="162">
        <f t="shared" si="93"/>
        <v>0</v>
      </c>
      <c r="AE32" s="163">
        <v>6919</v>
      </c>
      <c r="AF32" s="118">
        <f t="shared" si="37"/>
        <v>6919</v>
      </c>
      <c r="AG32" s="147">
        <v>0</v>
      </c>
      <c r="AH32" s="148">
        <v>3962</v>
      </c>
      <c r="AI32" s="149">
        <v>0.8</v>
      </c>
      <c r="AJ32" s="148">
        <v>0</v>
      </c>
      <c r="AK32" s="165">
        <v>0</v>
      </c>
      <c r="AL32" s="56">
        <f t="shared" si="38"/>
        <v>3773</v>
      </c>
      <c r="AM32" s="77">
        <f t="shared" si="94"/>
        <v>0.58016476552598228</v>
      </c>
      <c r="AN32" s="76">
        <f t="shared" si="95"/>
        <v>0.41983523447401777</v>
      </c>
      <c r="AO32" s="150">
        <v>9468</v>
      </c>
      <c r="AP32" s="117">
        <f t="shared" si="41"/>
        <v>5493</v>
      </c>
      <c r="AQ32" s="151">
        <v>3975</v>
      </c>
      <c r="AR32" s="152">
        <v>3974</v>
      </c>
      <c r="AS32" s="153">
        <v>0.34861111111111109</v>
      </c>
      <c r="AT32" s="152">
        <v>188</v>
      </c>
      <c r="AU32" s="154">
        <v>0.77083333333333337</v>
      </c>
      <c r="AV32" s="56">
        <f t="shared" si="52"/>
        <v>45987</v>
      </c>
      <c r="AW32" s="110">
        <f t="shared" si="96"/>
        <v>0.68454513929025551</v>
      </c>
      <c r="AX32" s="110">
        <f t="shared" si="97"/>
        <v>0.31545486070974454</v>
      </c>
      <c r="AY32" s="111">
        <f t="shared" si="44"/>
        <v>8651</v>
      </c>
      <c r="AZ32" s="112">
        <v>8651</v>
      </c>
      <c r="BA32" s="120">
        <f t="shared" si="98"/>
        <v>5922</v>
      </c>
      <c r="BB32" s="113">
        <v>2729</v>
      </c>
      <c r="BC32" s="112">
        <v>4238</v>
      </c>
      <c r="BD32" s="114">
        <v>0.73958333333333337</v>
      </c>
      <c r="BE32" s="115">
        <v>0</v>
      </c>
      <c r="BF32" s="114">
        <v>0</v>
      </c>
      <c r="BG32" s="115">
        <v>160</v>
      </c>
      <c r="BH32" s="114">
        <v>0.875</v>
      </c>
      <c r="BI32" s="56">
        <f t="shared" si="53"/>
        <v>45987</v>
      </c>
      <c r="BJ32" s="78">
        <f t="shared" si="99"/>
        <v>0.61196159448292264</v>
      </c>
      <c r="BK32" s="76">
        <f t="shared" si="100"/>
        <v>0.38803840551707736</v>
      </c>
      <c r="BL32" s="79">
        <f t="shared" si="101"/>
        <v>33641</v>
      </c>
      <c r="BM32" s="155">
        <v>20587</v>
      </c>
      <c r="BN32" s="155">
        <v>13054</v>
      </c>
      <c r="BO32" s="156">
        <v>3912</v>
      </c>
      <c r="BP32" s="157">
        <v>0.73402777777777772</v>
      </c>
      <c r="BQ32" s="158">
        <v>2597</v>
      </c>
      <c r="BR32" s="157">
        <v>0.73472222222222228</v>
      </c>
    </row>
    <row r="33" spans="1:70" ht="15" thickBot="1" x14ac:dyDescent="0.35">
      <c r="A33" s="14"/>
      <c r="B33" s="56">
        <f t="shared" si="49"/>
        <v>45988</v>
      </c>
      <c r="C33" s="164"/>
      <c r="D33" s="87">
        <f t="shared" si="22"/>
        <v>54216</v>
      </c>
      <c r="E33" s="159">
        <f t="shared" si="82"/>
        <v>0.87828316364172943</v>
      </c>
      <c r="F33" s="87">
        <f t="shared" si="24"/>
        <v>47617</v>
      </c>
      <c r="G33" s="159">
        <f t="shared" si="83"/>
        <v>0.12171683635827062</v>
      </c>
      <c r="H33" s="146">
        <f t="shared" si="26"/>
        <v>6599</v>
      </c>
      <c r="I33" s="160">
        <f t="shared" si="84"/>
        <v>0.11711307297122051</v>
      </c>
      <c r="J33" s="159">
        <f t="shared" si="85"/>
        <v>0.1569321828187607</v>
      </c>
      <c r="K33" s="159">
        <f t="shared" si="86"/>
        <v>0.17221996084588398</v>
      </c>
      <c r="L33" s="161">
        <f t="shared" si="87"/>
        <v>0.57823332834555341</v>
      </c>
      <c r="M33" s="146">
        <f t="shared" si="88"/>
        <v>6184.6242705371833</v>
      </c>
      <c r="N33" s="146">
        <f t="shared" si="89"/>
        <v>8287.4316424759345</v>
      </c>
      <c r="O33" s="146">
        <f t="shared" si="90"/>
        <v>9094.7639123102872</v>
      </c>
      <c r="P33" s="146">
        <f t="shared" si="91"/>
        <v>30535.92383660033</v>
      </c>
      <c r="Q33" s="56">
        <f t="shared" si="50"/>
        <v>45988</v>
      </c>
      <c r="R33" s="139">
        <v>54216</v>
      </c>
      <c r="S33" s="140">
        <v>0</v>
      </c>
      <c r="T33" s="140">
        <v>52809</v>
      </c>
      <c r="U33" s="140">
        <v>0</v>
      </c>
      <c r="V33" s="141">
        <v>15093</v>
      </c>
      <c r="W33" s="142">
        <v>0.42708333333333331</v>
      </c>
      <c r="X33" s="141">
        <v>4581</v>
      </c>
      <c r="Y33" s="142">
        <v>0.78125</v>
      </c>
      <c r="Z33" s="141">
        <v>0</v>
      </c>
      <c r="AA33" s="142">
        <v>0</v>
      </c>
      <c r="AB33" s="56">
        <f t="shared" si="51"/>
        <v>45988</v>
      </c>
      <c r="AC33" s="76">
        <f t="shared" si="92"/>
        <v>1</v>
      </c>
      <c r="AD33" s="162">
        <f t="shared" si="93"/>
        <v>0</v>
      </c>
      <c r="AE33" s="163">
        <v>7044</v>
      </c>
      <c r="AF33" s="118">
        <f t="shared" si="37"/>
        <v>7044</v>
      </c>
      <c r="AG33" s="147">
        <v>0</v>
      </c>
      <c r="AH33" s="148">
        <v>3931</v>
      </c>
      <c r="AI33" s="149">
        <v>0.35069444444444442</v>
      </c>
      <c r="AJ33" s="148">
        <v>0</v>
      </c>
      <c r="AK33" s="165">
        <v>0</v>
      </c>
      <c r="AL33" s="168">
        <f t="shared" si="38"/>
        <v>3774</v>
      </c>
      <c r="AM33" s="77">
        <f t="shared" si="94"/>
        <v>0.59201186566373554</v>
      </c>
      <c r="AN33" s="76">
        <f t="shared" si="95"/>
        <v>0.40798813433626441</v>
      </c>
      <c r="AO33" s="150">
        <v>9439</v>
      </c>
      <c r="AP33" s="117">
        <f t="shared" si="41"/>
        <v>5588</v>
      </c>
      <c r="AQ33" s="151">
        <v>3851</v>
      </c>
      <c r="AR33" s="152">
        <v>3502</v>
      </c>
      <c r="AS33" s="153">
        <v>0.37638888888888888</v>
      </c>
      <c r="AT33" s="152">
        <v>179</v>
      </c>
      <c r="AU33" s="154">
        <v>0.92708333333333337</v>
      </c>
      <c r="AV33" s="56">
        <f t="shared" si="52"/>
        <v>45988</v>
      </c>
      <c r="AW33" s="169">
        <f t="shared" si="96"/>
        <v>0.6907146876758582</v>
      </c>
      <c r="AX33" s="169">
        <f t="shared" si="97"/>
        <v>0.3092853123241418</v>
      </c>
      <c r="AY33" s="111">
        <f t="shared" si="44"/>
        <v>8885</v>
      </c>
      <c r="AZ33" s="112">
        <v>8885</v>
      </c>
      <c r="BA33" s="170">
        <f t="shared" si="98"/>
        <v>6137</v>
      </c>
      <c r="BB33" s="113">
        <v>2748</v>
      </c>
      <c r="BC33" s="112">
        <v>4201</v>
      </c>
      <c r="BD33" s="114">
        <v>0.78125</v>
      </c>
      <c r="BE33" s="115">
        <v>0</v>
      </c>
      <c r="BF33" s="114">
        <v>0</v>
      </c>
      <c r="BG33" s="115">
        <v>155</v>
      </c>
      <c r="BH33" s="114">
        <v>0.88541666666666663</v>
      </c>
      <c r="BI33" s="56">
        <f t="shared" si="53"/>
        <v>45988</v>
      </c>
      <c r="BJ33" s="171">
        <f t="shared" si="99"/>
        <v>0.60924695937203488</v>
      </c>
      <c r="BK33" s="76">
        <f t="shared" si="100"/>
        <v>0.39075304062796518</v>
      </c>
      <c r="BL33" s="79">
        <f t="shared" si="101"/>
        <v>34779</v>
      </c>
      <c r="BM33" s="155">
        <v>21189</v>
      </c>
      <c r="BN33" s="155">
        <v>13590</v>
      </c>
      <c r="BO33" s="156">
        <v>4023</v>
      </c>
      <c r="BP33" s="157">
        <v>0.74236111111111114</v>
      </c>
      <c r="BQ33" s="158">
        <v>2700</v>
      </c>
      <c r="BR33" s="157">
        <v>0.74236111111111114</v>
      </c>
    </row>
    <row r="34" spans="1:70" ht="15" thickBot="1" x14ac:dyDescent="0.35">
      <c r="A34" s="14"/>
      <c r="B34" s="56">
        <f t="shared" si="49"/>
        <v>45989</v>
      </c>
      <c r="C34" s="164"/>
      <c r="D34" s="87">
        <f t="shared" si="22"/>
        <v>52956</v>
      </c>
      <c r="E34" s="159">
        <f t="shared" si="82"/>
        <v>0.86845683208701563</v>
      </c>
      <c r="F34" s="87">
        <f t="shared" si="24"/>
        <v>45990</v>
      </c>
      <c r="G34" s="159">
        <f t="shared" si="83"/>
        <v>0.13154316791298437</v>
      </c>
      <c r="H34" s="146">
        <f t="shared" si="26"/>
        <v>6966</v>
      </c>
      <c r="I34" s="160">
        <f t="shared" si="84"/>
        <v>0.11986003243150978</v>
      </c>
      <c r="J34" s="159">
        <f t="shared" si="85"/>
        <v>0.16135529572416146</v>
      </c>
      <c r="K34" s="159">
        <f t="shared" si="86"/>
        <v>0.17084364274882274</v>
      </c>
      <c r="L34" s="161">
        <f t="shared" si="87"/>
        <v>0.5726380472817274</v>
      </c>
      <c r="M34" s="146">
        <f t="shared" si="88"/>
        <v>6171.3533498335755</v>
      </c>
      <c r="N34" s="146">
        <f t="shared" si="89"/>
        <v>8307.8614662456257</v>
      </c>
      <c r="O34" s="146">
        <f t="shared" si="90"/>
        <v>8796.3974778513857</v>
      </c>
      <c r="P34" s="146">
        <f t="shared" si="91"/>
        <v>29483.98777844158</v>
      </c>
      <c r="Q34" s="56">
        <f t="shared" si="50"/>
        <v>45989</v>
      </c>
      <c r="R34" s="139">
        <v>52956</v>
      </c>
      <c r="S34" s="140">
        <v>0</v>
      </c>
      <c r="T34" s="140">
        <v>51488</v>
      </c>
      <c r="U34" s="140">
        <v>0</v>
      </c>
      <c r="V34" s="141">
        <v>12841</v>
      </c>
      <c r="W34" s="142">
        <v>0.39583333333333331</v>
      </c>
      <c r="X34" s="141">
        <v>4378</v>
      </c>
      <c r="Y34" s="142">
        <v>0.80208333333333337</v>
      </c>
      <c r="Z34" s="141">
        <v>0</v>
      </c>
      <c r="AA34" s="142">
        <v>0</v>
      </c>
      <c r="AB34" s="56">
        <f t="shared" si="51"/>
        <v>45989</v>
      </c>
      <c r="AC34" s="76">
        <f t="shared" si="92"/>
        <v>1</v>
      </c>
      <c r="AD34" s="162">
        <f t="shared" si="93"/>
        <v>0</v>
      </c>
      <c r="AE34" s="163">
        <v>7022</v>
      </c>
      <c r="AF34" s="118">
        <f t="shared" si="37"/>
        <v>7022</v>
      </c>
      <c r="AG34" s="147">
        <v>0</v>
      </c>
      <c r="AH34" s="148">
        <v>4091</v>
      </c>
      <c r="AI34" s="149">
        <v>0.33750000000000002</v>
      </c>
      <c r="AJ34" s="148">
        <v>0</v>
      </c>
      <c r="AK34" s="165">
        <v>0</v>
      </c>
      <c r="AL34" s="56">
        <f t="shared" si="38"/>
        <v>3775</v>
      </c>
      <c r="AM34" s="77">
        <f t="shared" si="94"/>
        <v>0.5897598645932508</v>
      </c>
      <c r="AN34" s="76">
        <f t="shared" si="95"/>
        <v>0.4102401354067492</v>
      </c>
      <c r="AO34" s="150">
        <v>9453</v>
      </c>
      <c r="AP34" s="117">
        <f t="shared" si="41"/>
        <v>5575</v>
      </c>
      <c r="AQ34" s="151">
        <v>3878</v>
      </c>
      <c r="AR34" s="152">
        <v>3981</v>
      </c>
      <c r="AS34" s="153">
        <v>0.68541666666666667</v>
      </c>
      <c r="AT34" s="152">
        <v>188</v>
      </c>
      <c r="AU34" s="154">
        <v>0.875</v>
      </c>
      <c r="AV34" s="56">
        <f t="shared" si="52"/>
        <v>45989</v>
      </c>
      <c r="AW34" s="110">
        <f t="shared" si="96"/>
        <v>0.63933660359729039</v>
      </c>
      <c r="AX34" s="110">
        <f t="shared" si="97"/>
        <v>0.36066339640270967</v>
      </c>
      <c r="AY34" s="111">
        <f t="shared" si="44"/>
        <v>8562</v>
      </c>
      <c r="AZ34" s="112">
        <v>8562</v>
      </c>
      <c r="BA34" s="120">
        <f t="shared" si="98"/>
        <v>5474</v>
      </c>
      <c r="BB34" s="113">
        <f>1369+1719</f>
        <v>3088</v>
      </c>
      <c r="BC34" s="112">
        <v>3950</v>
      </c>
      <c r="BD34" s="114">
        <v>0.35416666666666669</v>
      </c>
      <c r="BE34" s="115">
        <v>0</v>
      </c>
      <c r="BF34" s="114">
        <v>0</v>
      </c>
      <c r="BG34" s="115">
        <v>160</v>
      </c>
      <c r="BH34" s="114">
        <v>0.86458333333333337</v>
      </c>
      <c r="BI34" s="56">
        <f t="shared" si="53"/>
        <v>45989</v>
      </c>
      <c r="BJ34" s="78">
        <f t="shared" si="99"/>
        <v>0.60793489924883748</v>
      </c>
      <c r="BK34" s="76">
        <f t="shared" si="100"/>
        <v>0.39206510075116252</v>
      </c>
      <c r="BL34" s="79">
        <f t="shared" si="101"/>
        <v>33548</v>
      </c>
      <c r="BM34" s="155">
        <v>20395</v>
      </c>
      <c r="BN34" s="155">
        <v>13153</v>
      </c>
      <c r="BO34" s="156">
        <v>4338</v>
      </c>
      <c r="BP34" s="157">
        <v>0.37291666666666667</v>
      </c>
      <c r="BQ34" s="158">
        <v>2904</v>
      </c>
      <c r="BR34" s="157">
        <v>0.37291666666666667</v>
      </c>
    </row>
    <row r="35" spans="1:70" ht="15" thickBot="1" x14ac:dyDescent="0.35">
      <c r="A35" s="14"/>
      <c r="B35" s="56">
        <f t="shared" si="49"/>
        <v>45990</v>
      </c>
      <c r="C35" s="164"/>
      <c r="D35" s="87">
        <f t="shared" si="22"/>
        <v>34544</v>
      </c>
      <c r="E35" s="159">
        <f t="shared" si="82"/>
        <v>0.80436544696618806</v>
      </c>
      <c r="F35" s="87">
        <f t="shared" si="24"/>
        <v>27786</v>
      </c>
      <c r="G35" s="159">
        <f t="shared" si="83"/>
        <v>0.19563455303381194</v>
      </c>
      <c r="H35" s="146">
        <f t="shared" si="26"/>
        <v>6758</v>
      </c>
      <c r="I35" s="160">
        <f t="shared" si="84"/>
        <v>8.1575983024650925E-2</v>
      </c>
      <c r="J35" s="159">
        <f t="shared" si="85"/>
        <v>0.1571267649909622</v>
      </c>
      <c r="K35" s="159">
        <f t="shared" si="86"/>
        <v>0.1815326003408749</v>
      </c>
      <c r="L35" s="161">
        <f t="shared" si="87"/>
        <v>0.61899772090220839</v>
      </c>
      <c r="M35" s="146">
        <f t="shared" si="88"/>
        <v>2703.1833494878579</v>
      </c>
      <c r="N35" s="146">
        <f t="shared" si="89"/>
        <v>5206.7096115055147</v>
      </c>
      <c r="O35" s="146">
        <f t="shared" si="90"/>
        <v>6015.4457774955717</v>
      </c>
      <c r="P35" s="146">
        <f t="shared" si="91"/>
        <v>20511.727477536479</v>
      </c>
      <c r="Q35" s="56">
        <f t="shared" si="50"/>
        <v>45990</v>
      </c>
      <c r="R35" s="139">
        <v>34544</v>
      </c>
      <c r="S35" s="140">
        <v>0</v>
      </c>
      <c r="T35" s="140">
        <v>33137</v>
      </c>
      <c r="U35" s="140">
        <v>0</v>
      </c>
      <c r="V35" s="141">
        <v>6629</v>
      </c>
      <c r="W35" s="142">
        <v>0.72916666666666663</v>
      </c>
      <c r="X35" s="141">
        <v>2255</v>
      </c>
      <c r="Y35" s="142">
        <v>0.76041666666666663</v>
      </c>
      <c r="Z35" s="141">
        <v>0</v>
      </c>
      <c r="AA35" s="142">
        <v>0</v>
      </c>
      <c r="AB35" s="56">
        <f t="shared" si="51"/>
        <v>45990</v>
      </c>
      <c r="AC35" s="76">
        <f t="shared" si="92"/>
        <v>1</v>
      </c>
      <c r="AD35" s="162">
        <f t="shared" si="93"/>
        <v>0</v>
      </c>
      <c r="AE35" s="163">
        <v>3114</v>
      </c>
      <c r="AF35" s="118">
        <f t="shared" si="37"/>
        <v>3114</v>
      </c>
      <c r="AG35" s="147">
        <v>0</v>
      </c>
      <c r="AH35" s="148">
        <v>1606</v>
      </c>
      <c r="AI35" s="149">
        <v>0.34236111111111112</v>
      </c>
      <c r="AJ35" s="148">
        <v>0</v>
      </c>
      <c r="AK35" s="165">
        <v>0</v>
      </c>
      <c r="AL35" s="56">
        <f t="shared" si="38"/>
        <v>3776</v>
      </c>
      <c r="AM35" s="77">
        <f t="shared" si="94"/>
        <v>0.37995998666222075</v>
      </c>
      <c r="AN35" s="76">
        <f t="shared" si="95"/>
        <v>0.62004001333777925</v>
      </c>
      <c r="AO35" s="150">
        <v>5998</v>
      </c>
      <c r="AP35" s="117">
        <f t="shared" si="41"/>
        <v>2279</v>
      </c>
      <c r="AQ35" s="151">
        <v>3719</v>
      </c>
      <c r="AR35" s="152">
        <v>1856</v>
      </c>
      <c r="AS35" s="153">
        <v>0.35069444444444442</v>
      </c>
      <c r="AT35" s="152">
        <v>176</v>
      </c>
      <c r="AU35" s="154">
        <v>0.875</v>
      </c>
      <c r="AV35" s="56">
        <f t="shared" si="52"/>
        <v>45990</v>
      </c>
      <c r="AW35" s="110">
        <f t="shared" si="96"/>
        <v>0.44053755522827687</v>
      </c>
      <c r="AX35" s="110">
        <f t="shared" si="97"/>
        <v>0.55946244477172313</v>
      </c>
      <c r="AY35" s="111">
        <f t="shared" si="44"/>
        <v>5432</v>
      </c>
      <c r="AZ35" s="112">
        <v>5432</v>
      </c>
      <c r="BA35" s="120">
        <f t="shared" si="98"/>
        <v>2393</v>
      </c>
      <c r="BB35" s="113">
        <f>1689+1350</f>
        <v>3039</v>
      </c>
      <c r="BC35" s="112">
        <v>1966</v>
      </c>
      <c r="BD35" s="114">
        <v>0.71875</v>
      </c>
      <c r="BE35" s="115">
        <v>0</v>
      </c>
      <c r="BF35" s="114">
        <v>0</v>
      </c>
      <c r="BG35" s="115">
        <v>158</v>
      </c>
      <c r="BH35" s="114">
        <v>0.88541666666666663</v>
      </c>
      <c r="BI35" s="56">
        <f t="shared" si="53"/>
        <v>45990</v>
      </c>
      <c r="BJ35" s="78">
        <f t="shared" si="99"/>
        <v>0.57835710355918579</v>
      </c>
      <c r="BK35" s="76">
        <f t="shared" si="100"/>
        <v>0.42164289644081426</v>
      </c>
      <c r="BL35" s="79">
        <f t="shared" si="101"/>
        <v>23629</v>
      </c>
      <c r="BM35" s="155">
        <v>13666</v>
      </c>
      <c r="BN35" s="155">
        <v>9963</v>
      </c>
      <c r="BO35" s="156">
        <v>5140</v>
      </c>
      <c r="BP35" s="157">
        <v>0.37430555555555556</v>
      </c>
      <c r="BQ35" s="158">
        <v>1896</v>
      </c>
      <c r="BR35" s="157">
        <v>0.36805555555555558</v>
      </c>
    </row>
    <row r="36" spans="1:70" ht="15" thickBot="1" x14ac:dyDescent="0.35">
      <c r="A36" s="14"/>
      <c r="B36" s="56">
        <f t="shared" si="49"/>
        <v>45991</v>
      </c>
      <c r="C36" s="164"/>
      <c r="D36" s="87">
        <f t="shared" si="22"/>
        <v>30250</v>
      </c>
      <c r="E36" s="159">
        <f t="shared" si="82"/>
        <v>0.7900165289256198</v>
      </c>
      <c r="F36" s="87">
        <f t="shared" si="24"/>
        <v>23898</v>
      </c>
      <c r="G36" s="159">
        <f t="shared" si="83"/>
        <v>0.20998347107438017</v>
      </c>
      <c r="H36" s="146">
        <f t="shared" si="26"/>
        <v>6352</v>
      </c>
      <c r="I36" s="160">
        <f t="shared" si="84"/>
        <v>5.9618794326241134E-2</v>
      </c>
      <c r="J36" s="159">
        <f t="shared" si="85"/>
        <v>0.14652593085106383</v>
      </c>
      <c r="K36" s="159">
        <f t="shared" si="86"/>
        <v>0.2474152289368656</v>
      </c>
      <c r="L36" s="161">
        <f t="shared" si="87"/>
        <v>0.57574246453900713</v>
      </c>
      <c r="M36" s="146">
        <f>(S36+T36)*I36</f>
        <v>1730.3758865248226</v>
      </c>
      <c r="N36" s="146">
        <f>(S36+T36)*J36</f>
        <v>4252.7686170212764</v>
      </c>
      <c r="O36" s="146">
        <f>(S36+T36)*K36</f>
        <v>7180.9796046635875</v>
      </c>
      <c r="P36" s="146">
        <f>(S36+T36)*L36</f>
        <v>16710.349290780141</v>
      </c>
      <c r="Q36" s="56">
        <f t="shared" si="50"/>
        <v>45991</v>
      </c>
      <c r="R36" s="139">
        <v>30250</v>
      </c>
      <c r="S36" s="140">
        <v>0</v>
      </c>
      <c r="T36" s="140">
        <v>29024</v>
      </c>
      <c r="U36" s="140">
        <v>0</v>
      </c>
      <c r="V36" s="141">
        <v>6370</v>
      </c>
      <c r="W36" s="142">
        <v>0.92708333333333337</v>
      </c>
      <c r="X36" s="141">
        <v>2135</v>
      </c>
      <c r="Y36" s="142">
        <v>0.76041666666666663</v>
      </c>
      <c r="Z36" s="141">
        <v>0</v>
      </c>
      <c r="AA36" s="142">
        <v>0</v>
      </c>
      <c r="AB36" s="56">
        <f t="shared" si="51"/>
        <v>45991</v>
      </c>
      <c r="AC36" s="76">
        <f t="shared" si="92"/>
        <v>1</v>
      </c>
      <c r="AD36" s="162">
        <f t="shared" si="93"/>
        <v>0</v>
      </c>
      <c r="AE36" s="163">
        <v>2152</v>
      </c>
      <c r="AF36" s="118">
        <f t="shared" si="37"/>
        <v>2152</v>
      </c>
      <c r="AG36" s="147">
        <v>0</v>
      </c>
      <c r="AH36" s="148">
        <v>1643</v>
      </c>
      <c r="AI36" s="149">
        <v>0.38611111111111113</v>
      </c>
      <c r="AJ36" s="148">
        <v>0</v>
      </c>
      <c r="AK36" s="165">
        <v>0</v>
      </c>
      <c r="AL36" s="56">
        <f t="shared" si="38"/>
        <v>3777</v>
      </c>
      <c r="AM36" s="77">
        <f t="shared" si="94"/>
        <v>0.30913216108905273</v>
      </c>
      <c r="AN36" s="76">
        <f t="shared" si="95"/>
        <v>0.69086783891094727</v>
      </c>
      <c r="AO36" s="150">
        <v>5289</v>
      </c>
      <c r="AP36" s="117">
        <f t="shared" si="41"/>
        <v>1635</v>
      </c>
      <c r="AQ36" s="151">
        <v>3654</v>
      </c>
      <c r="AR36" s="152">
        <v>1662</v>
      </c>
      <c r="AS36" s="153">
        <v>0.76597222222222228</v>
      </c>
      <c r="AT36" s="152">
        <v>179</v>
      </c>
      <c r="AU36" s="154">
        <v>0.92708333333333337</v>
      </c>
      <c r="AV36" s="56">
        <f t="shared" si="52"/>
        <v>45991</v>
      </c>
      <c r="AW36" s="110">
        <f t="shared" si="96"/>
        <v>0.65730979296329228</v>
      </c>
      <c r="AX36" s="110">
        <f t="shared" si="97"/>
        <v>0.34269020703670772</v>
      </c>
      <c r="AY36" s="111">
        <f t="shared" si="44"/>
        <v>7873</v>
      </c>
      <c r="AZ36" s="112">
        <v>7873</v>
      </c>
      <c r="BA36" s="120">
        <f t="shared" si="98"/>
        <v>5175</v>
      </c>
      <c r="BB36" s="113">
        <v>2698</v>
      </c>
      <c r="BC36" s="112">
        <v>1854</v>
      </c>
      <c r="BD36" s="114">
        <v>0.71875</v>
      </c>
      <c r="BE36" s="115">
        <v>0</v>
      </c>
      <c r="BF36" s="114">
        <v>0</v>
      </c>
      <c r="BG36" s="115">
        <v>157</v>
      </c>
      <c r="BH36" s="114">
        <v>0.875</v>
      </c>
      <c r="BI36" s="56">
        <f t="shared" si="53"/>
        <v>45991</v>
      </c>
      <c r="BJ36" s="78">
        <f t="shared" si="99"/>
        <v>0.59128091617746126</v>
      </c>
      <c r="BK36" s="76">
        <f t="shared" si="100"/>
        <v>0.40871908382253874</v>
      </c>
      <c r="BL36" s="79">
        <f t="shared" si="101"/>
        <v>20782</v>
      </c>
      <c r="BM36" s="155">
        <v>12288</v>
      </c>
      <c r="BN36" s="155">
        <v>8494</v>
      </c>
      <c r="BO36" s="156">
        <v>5870</v>
      </c>
      <c r="BP36" s="157">
        <v>0.46666666666666667</v>
      </c>
      <c r="BQ36" s="158">
        <v>1788</v>
      </c>
      <c r="BR36" s="157">
        <v>0.40972222222222221</v>
      </c>
    </row>
    <row r="37" spans="1:70" ht="15" thickBot="1" x14ac:dyDescent="0.35">
      <c r="B37" s="56">
        <f t="shared" si="49"/>
        <v>45992</v>
      </c>
      <c r="D37" s="87">
        <f t="shared" si="22"/>
        <v>0</v>
      </c>
      <c r="E37" s="159" t="e">
        <f t="shared" ref="E37" si="102">F37/D37</f>
        <v>#DIV/0!</v>
      </c>
      <c r="F37" s="87">
        <f t="shared" si="24"/>
        <v>0</v>
      </c>
      <c r="G37" s="159" t="e">
        <f t="shared" ref="G37" si="103">H37/D37</f>
        <v>#DIV/0!</v>
      </c>
      <c r="H37" s="146">
        <f t="shared" si="26"/>
        <v>0</v>
      </c>
      <c r="I37" s="160" t="e">
        <f t="shared" ref="I37" si="104">AE37/(AE37+AO37+BL37+AY37)</f>
        <v>#DIV/0!</v>
      </c>
      <c r="J37" s="159" t="e">
        <f t="shared" ref="J37" si="105">AO37/(AE37+AO37+BL37+AY37)</f>
        <v>#DIV/0!</v>
      </c>
      <c r="K37" s="159" t="e">
        <f t="shared" ref="K37" si="106">AY37/(AF37+AP37+BM37+AZ37+AY37)</f>
        <v>#DIV/0!</v>
      </c>
      <c r="L37" s="161" t="e">
        <f t="shared" ref="L37" si="107">BL37/(AE37+AO37+BL37+AY37)</f>
        <v>#DIV/0!</v>
      </c>
      <c r="M37" s="146" t="e">
        <f>(S37+T37)*I37</f>
        <v>#DIV/0!</v>
      </c>
      <c r="N37" s="146" t="e">
        <f>(S37+T37)*J37</f>
        <v>#DIV/0!</v>
      </c>
      <c r="O37" s="146" t="e">
        <f>(S37+T37)*K37</f>
        <v>#DIV/0!</v>
      </c>
      <c r="P37" s="146" t="e">
        <f>(S37+T37)*L37</f>
        <v>#DIV/0!</v>
      </c>
      <c r="Q37" s="56">
        <f t="shared" si="50"/>
        <v>45992</v>
      </c>
      <c r="R37" s="139"/>
      <c r="S37" s="140"/>
      <c r="T37" s="140"/>
      <c r="U37" s="140"/>
      <c r="V37" s="141"/>
      <c r="W37" s="142"/>
      <c r="X37" s="141"/>
      <c r="Y37" s="142"/>
      <c r="Z37" s="141"/>
      <c r="AA37" s="142"/>
      <c r="AB37" s="56">
        <f t="shared" si="51"/>
        <v>45992</v>
      </c>
      <c r="AC37" s="76" t="e">
        <f t="shared" ref="AC37" si="108">+AF37/AE37</f>
        <v>#DIV/0!</v>
      </c>
      <c r="AD37" s="162" t="e">
        <f t="shared" ref="AD37" si="109">+AG37/AE37</f>
        <v>#DIV/0!</v>
      </c>
      <c r="AE37" s="163"/>
      <c r="AF37" s="118">
        <f t="shared" ref="AF37" si="110">+AE37-AG37</f>
        <v>0</v>
      </c>
      <c r="AG37" s="147"/>
      <c r="AH37" s="148"/>
      <c r="AI37" s="149"/>
      <c r="AJ37" s="148"/>
      <c r="AK37" s="165"/>
      <c r="AL37" s="56">
        <f t="shared" si="38"/>
        <v>3778</v>
      </c>
      <c r="AM37" s="77" t="e">
        <f t="shared" ref="AM37" si="111">+AP37/AO37</f>
        <v>#DIV/0!</v>
      </c>
      <c r="AN37" s="76" t="e">
        <f t="shared" ref="AN37" si="112">+AQ37/AO37</f>
        <v>#DIV/0!</v>
      </c>
      <c r="AO37" s="150"/>
      <c r="AP37" s="117">
        <f t="shared" ref="AP37" si="113">AO37-AQ37</f>
        <v>0</v>
      </c>
      <c r="AQ37" s="151"/>
      <c r="AR37" s="152"/>
      <c r="AS37" s="153"/>
      <c r="AT37" s="152"/>
      <c r="AU37" s="154"/>
      <c r="AV37" s="56">
        <f t="shared" si="52"/>
        <v>45992</v>
      </c>
      <c r="AW37" s="110" t="e">
        <f t="shared" ref="AW37" si="114">BA37/AZ37</f>
        <v>#DIV/0!</v>
      </c>
      <c r="AX37" s="110" t="e">
        <f t="shared" ref="AX37" si="115">BB37/AZ37</f>
        <v>#DIV/0!</v>
      </c>
      <c r="AY37" s="111">
        <f t="shared" ref="AY37" si="116">BA37+BB37</f>
        <v>0</v>
      </c>
      <c r="AZ37" s="112"/>
      <c r="BA37" s="120">
        <f t="shared" ref="BA37" si="117">AZ37-BB37</f>
        <v>0</v>
      </c>
      <c r="BB37" s="113"/>
      <c r="BC37" s="112"/>
      <c r="BD37" s="114"/>
      <c r="BE37" s="115"/>
      <c r="BF37" s="114"/>
      <c r="BG37" s="115"/>
      <c r="BH37" s="114"/>
      <c r="BI37" s="56">
        <f t="shared" si="53"/>
        <v>45992</v>
      </c>
      <c r="BJ37" s="78" t="e">
        <f t="shared" ref="BJ37" si="118">+BM37/BL37</f>
        <v>#DIV/0!</v>
      </c>
      <c r="BK37" s="76" t="e">
        <f t="shared" ref="BK37" si="119">+BN37/BL37</f>
        <v>#DIV/0!</v>
      </c>
      <c r="BL37" s="79">
        <f t="shared" ref="BL37" si="120">BM37+BN37</f>
        <v>0</v>
      </c>
      <c r="BM37" s="155"/>
      <c r="BN37" s="155"/>
      <c r="BO37" s="156"/>
      <c r="BP37" s="157"/>
      <c r="BQ37" s="158"/>
      <c r="BR37" s="157"/>
    </row>
    <row r="38" spans="1:70" x14ac:dyDescent="0.3">
      <c r="R38" s="176" t="e">
        <f>#REF!-S39</f>
        <v>#REF!</v>
      </c>
    </row>
    <row r="39" spans="1:70" x14ac:dyDescent="0.3">
      <c r="S39" s="177">
        <f>R36-T36</f>
        <v>1226</v>
      </c>
      <c r="T39" s="177"/>
      <c r="U39" s="176"/>
    </row>
    <row r="41" spans="1:70" x14ac:dyDescent="0.3">
      <c r="S41" s="177"/>
      <c r="T41" s="176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8"/>
  <sheetViews>
    <sheetView topLeftCell="R31" zoomScale="148" zoomScaleNormal="148" workbookViewId="0">
      <selection activeCell="Y44" sqref="Y44"/>
    </sheetView>
  </sheetViews>
  <sheetFormatPr baseColWidth="10" defaultRowHeight="14.4" x14ac:dyDescent="0.3"/>
  <cols>
    <col min="1" max="1" width="2.5546875" customWidth="1"/>
    <col min="3" max="3" width="1.6640625" style="13" customWidth="1"/>
    <col min="8" max="8" width="12.5546875" customWidth="1"/>
    <col min="9" max="9" width="9.6640625" customWidth="1"/>
    <col min="13" max="13" width="9.33203125" customWidth="1"/>
    <col min="16" max="16" width="11.88671875" bestFit="1" customWidth="1"/>
    <col min="20" max="20" width="10.6640625" customWidth="1"/>
    <col min="21" max="21" width="11" customWidth="1"/>
    <col min="27" max="27" width="21.6640625" customWidth="1"/>
  </cols>
  <sheetData>
    <row r="1" spans="2:27" ht="18.600000000000001" thickBot="1" x14ac:dyDescent="0.35">
      <c r="C1" s="15"/>
    </row>
    <row r="2" spans="2:27" ht="15" customHeight="1" x14ac:dyDescent="0.3">
      <c r="B2" s="221" t="s">
        <v>0</v>
      </c>
      <c r="D2" s="224" t="s">
        <v>38</v>
      </c>
      <c r="E2" s="225"/>
      <c r="F2" s="225"/>
      <c r="G2" s="225"/>
      <c r="H2" s="226"/>
      <c r="J2" s="224" t="s">
        <v>39</v>
      </c>
      <c r="K2" s="225"/>
      <c r="L2" s="226"/>
      <c r="N2" s="224" t="s">
        <v>40</v>
      </c>
      <c r="O2" s="225"/>
      <c r="P2" s="225"/>
      <c r="Q2" s="225"/>
      <c r="R2" s="225"/>
      <c r="S2" s="225"/>
      <c r="T2" s="226"/>
      <c r="V2" s="230" t="s">
        <v>41</v>
      </c>
      <c r="W2" s="231"/>
      <c r="X2" s="232"/>
    </row>
    <row r="3" spans="2:27" ht="15" thickBot="1" x14ac:dyDescent="0.35">
      <c r="B3" s="222"/>
      <c r="D3" s="227"/>
      <c r="E3" s="228"/>
      <c r="F3" s="228"/>
      <c r="G3" s="228"/>
      <c r="H3" s="229"/>
      <c r="J3" s="227"/>
      <c r="K3" s="228"/>
      <c r="L3" s="229"/>
      <c r="N3" s="227"/>
      <c r="O3" s="228"/>
      <c r="P3" s="228"/>
      <c r="Q3" s="228"/>
      <c r="R3" s="228"/>
      <c r="S3" s="228"/>
      <c r="T3" s="229"/>
      <c r="V3" s="233"/>
      <c r="W3" s="234"/>
      <c r="X3" s="235"/>
    </row>
    <row r="4" spans="2:27" ht="23.25" customHeight="1" x14ac:dyDescent="0.3">
      <c r="B4" s="222"/>
      <c r="D4" s="236" t="s">
        <v>42</v>
      </c>
      <c r="E4" s="237"/>
      <c r="F4" s="236" t="s">
        <v>43</v>
      </c>
      <c r="G4" s="238"/>
      <c r="H4" s="239"/>
      <c r="J4" s="236" t="s">
        <v>42</v>
      </c>
      <c r="K4" s="237"/>
      <c r="L4" s="16" t="s">
        <v>43</v>
      </c>
      <c r="N4" s="219" t="s">
        <v>42</v>
      </c>
      <c r="O4" s="240"/>
      <c r="P4" s="241"/>
      <c r="Q4" s="242"/>
      <c r="R4" s="236" t="s">
        <v>43</v>
      </c>
      <c r="S4" s="243"/>
      <c r="T4" s="239"/>
      <c r="V4" s="219" t="s">
        <v>42</v>
      </c>
      <c r="W4" s="220"/>
      <c r="X4" s="16" t="s">
        <v>43</v>
      </c>
    </row>
    <row r="5" spans="2:27" ht="15" thickBot="1" x14ac:dyDescent="0.35">
      <c r="B5" s="223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" thickBot="1" x14ac:dyDescent="0.35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" thickBot="1" x14ac:dyDescent="0.35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" thickBot="1" x14ac:dyDescent="0.35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55</v>
      </c>
    </row>
    <row r="9" spans="2:27" ht="15" thickBot="1" x14ac:dyDescent="0.35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" thickBot="1" x14ac:dyDescent="0.35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" thickBot="1" x14ac:dyDescent="0.35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" thickBot="1" x14ac:dyDescent="0.35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" thickBot="1" x14ac:dyDescent="0.35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" thickBot="1" x14ac:dyDescent="0.35">
      <c r="B14" s="90">
        <v>45961</v>
      </c>
      <c r="C14" s="13"/>
      <c r="D14" s="172">
        <v>71.72</v>
      </c>
      <c r="E14" s="173">
        <v>4.1666666666666664E-2</v>
      </c>
      <c r="F14" s="174">
        <v>806.79</v>
      </c>
      <c r="G14" s="93">
        <f t="shared" ref="G14" si="0">F14-H14</f>
        <v>340.62999999999994</v>
      </c>
      <c r="H14" s="174">
        <v>466.16</v>
      </c>
      <c r="I14" s="90">
        <v>45961</v>
      </c>
      <c r="J14" s="172">
        <v>29.76</v>
      </c>
      <c r="K14" s="173">
        <v>0.875</v>
      </c>
      <c r="L14" s="174">
        <v>560.98</v>
      </c>
      <c r="M14" s="90">
        <f t="shared" ref="M14" si="1">B14</f>
        <v>45961</v>
      </c>
      <c r="N14" s="172">
        <v>24.55</v>
      </c>
      <c r="O14" s="173">
        <v>0.90625</v>
      </c>
      <c r="P14" s="172">
        <v>10.16</v>
      </c>
      <c r="Q14" s="173">
        <v>0.54166666666666663</v>
      </c>
      <c r="R14" s="92">
        <f t="shared" ref="R14" si="2">S14+T14</f>
        <v>516.59</v>
      </c>
      <c r="S14" s="174">
        <v>345.44</v>
      </c>
      <c r="T14" s="174">
        <v>171.15</v>
      </c>
      <c r="U14" s="90">
        <v>45961</v>
      </c>
      <c r="V14" s="172">
        <v>25.3</v>
      </c>
      <c r="W14" s="173">
        <v>2.0833333333333332E-2</v>
      </c>
      <c r="X14" s="174">
        <v>462.66</v>
      </c>
    </row>
    <row r="15" spans="2:27" s="52" customFormat="1" ht="15" thickBot="1" x14ac:dyDescent="0.35">
      <c r="B15" s="55">
        <f t="shared" ref="B15:B16" si="3">B14+1</f>
        <v>45962</v>
      </c>
      <c r="C15" s="13"/>
      <c r="D15" s="172">
        <v>64.739999999999995</v>
      </c>
      <c r="E15" s="173">
        <v>0.10416666666666667</v>
      </c>
      <c r="F15" s="174">
        <v>762.54</v>
      </c>
      <c r="G15" s="93">
        <f t="shared" ref="G15:G44" si="4">F15-H15</f>
        <v>287.42999999999995</v>
      </c>
      <c r="H15" s="174">
        <v>475.11</v>
      </c>
      <c r="I15" s="90">
        <f t="shared" ref="I15:I45" si="5">I14+1</f>
        <v>45962</v>
      </c>
      <c r="J15" s="172">
        <v>30.34</v>
      </c>
      <c r="K15" s="173">
        <v>0.9375</v>
      </c>
      <c r="L15" s="174">
        <v>558.41999999999996</v>
      </c>
      <c r="M15" s="90">
        <f t="shared" ref="M15:M44" si="6">B15</f>
        <v>45962</v>
      </c>
      <c r="N15" s="172">
        <v>26.04</v>
      </c>
      <c r="O15" s="173">
        <v>0.71875</v>
      </c>
      <c r="P15" s="172">
        <v>7.83</v>
      </c>
      <c r="Q15" s="173">
        <v>0.41666666666666669</v>
      </c>
      <c r="R15" s="92">
        <f t="shared" ref="R15:R25" si="7">S15+T15</f>
        <v>510.01</v>
      </c>
      <c r="S15" s="174">
        <v>343.91</v>
      </c>
      <c r="T15" s="174">
        <v>166.1</v>
      </c>
      <c r="U15" s="90">
        <f t="shared" ref="U15:U45" si="8">U14+1</f>
        <v>45962</v>
      </c>
      <c r="V15" s="172">
        <v>26.2</v>
      </c>
      <c r="W15" s="173">
        <v>0.94791666666666663</v>
      </c>
      <c r="X15" s="174">
        <v>442.74</v>
      </c>
    </row>
    <row r="16" spans="2:27" s="52" customFormat="1" ht="15" thickBot="1" x14ac:dyDescent="0.35">
      <c r="B16" s="55">
        <f t="shared" si="3"/>
        <v>45963</v>
      </c>
      <c r="C16" s="13"/>
      <c r="D16" s="50"/>
      <c r="E16" s="11"/>
      <c r="F16" s="10">
        <v>753</v>
      </c>
      <c r="G16" s="93">
        <f t="shared" si="4"/>
        <v>291</v>
      </c>
      <c r="H16" s="10">
        <v>462</v>
      </c>
      <c r="I16" s="90">
        <f t="shared" si="5"/>
        <v>45963</v>
      </c>
      <c r="J16" s="50"/>
      <c r="K16" s="54"/>
      <c r="L16" s="53">
        <v>564</v>
      </c>
      <c r="M16" s="90">
        <f t="shared" si="6"/>
        <v>45963</v>
      </c>
      <c r="N16" s="50"/>
      <c r="O16" s="11"/>
      <c r="P16" s="50"/>
      <c r="Q16" s="11"/>
      <c r="R16" s="92">
        <f t="shared" si="7"/>
        <v>517</v>
      </c>
      <c r="S16" s="10">
        <v>353</v>
      </c>
      <c r="T16" s="10">
        <v>164</v>
      </c>
      <c r="U16" s="90">
        <f t="shared" si="8"/>
        <v>45963</v>
      </c>
      <c r="V16" s="50"/>
      <c r="W16" s="11"/>
      <c r="X16" s="10">
        <v>515</v>
      </c>
    </row>
    <row r="17" spans="2:24" ht="15" thickBot="1" x14ac:dyDescent="0.35">
      <c r="B17" s="55">
        <f t="shared" ref="B17:B45" si="9">B16+1</f>
        <v>45964</v>
      </c>
      <c r="D17" s="50">
        <v>102</v>
      </c>
      <c r="E17" s="54">
        <v>0.54166666666666663</v>
      </c>
      <c r="F17" s="53">
        <v>1120</v>
      </c>
      <c r="G17" s="93">
        <f t="shared" si="4"/>
        <v>627</v>
      </c>
      <c r="H17" s="53">
        <v>493</v>
      </c>
      <c r="I17" s="90">
        <f t="shared" si="5"/>
        <v>45964</v>
      </c>
      <c r="J17" s="50">
        <v>30</v>
      </c>
      <c r="K17" s="54">
        <v>0.70833333333333337</v>
      </c>
      <c r="L17" s="53">
        <v>590</v>
      </c>
      <c r="M17" s="90">
        <f t="shared" si="6"/>
        <v>45964</v>
      </c>
      <c r="N17" s="50">
        <v>27</v>
      </c>
      <c r="O17" s="54">
        <v>0.45833333333333331</v>
      </c>
      <c r="P17" s="50">
        <v>14</v>
      </c>
      <c r="Q17" s="54">
        <v>0.375</v>
      </c>
      <c r="R17" s="92">
        <f t="shared" si="7"/>
        <v>574</v>
      </c>
      <c r="S17" s="53">
        <v>362</v>
      </c>
      <c r="T17" s="53">
        <v>212</v>
      </c>
      <c r="U17" s="90">
        <f t="shared" si="8"/>
        <v>45964</v>
      </c>
      <c r="V17" s="50">
        <v>28</v>
      </c>
      <c r="W17" s="54">
        <v>0.625</v>
      </c>
      <c r="X17" s="53">
        <v>536</v>
      </c>
    </row>
    <row r="18" spans="2:24" ht="15" thickBot="1" x14ac:dyDescent="0.35">
      <c r="B18" s="55">
        <f t="shared" si="9"/>
        <v>45965</v>
      </c>
      <c r="D18" s="50">
        <v>105</v>
      </c>
      <c r="E18" s="54">
        <v>0.70833333333333337</v>
      </c>
      <c r="F18" s="53">
        <v>1185</v>
      </c>
      <c r="G18" s="93">
        <f t="shared" si="4"/>
        <v>690</v>
      </c>
      <c r="H18" s="53">
        <v>495</v>
      </c>
      <c r="I18" s="90">
        <f t="shared" si="5"/>
        <v>45965</v>
      </c>
      <c r="J18" s="50">
        <v>30</v>
      </c>
      <c r="K18" s="54">
        <v>0.75</v>
      </c>
      <c r="L18" s="53">
        <v>590</v>
      </c>
      <c r="M18" s="90">
        <f t="shared" si="6"/>
        <v>45965</v>
      </c>
      <c r="N18" s="50">
        <v>28</v>
      </c>
      <c r="O18" s="54">
        <v>0.52083333333333337</v>
      </c>
      <c r="P18" s="50">
        <v>15</v>
      </c>
      <c r="Q18" s="54">
        <v>0.36458333333333331</v>
      </c>
      <c r="R18" s="51">
        <f t="shared" si="7"/>
        <v>574</v>
      </c>
      <c r="S18" s="53">
        <v>360</v>
      </c>
      <c r="T18" s="53">
        <v>214</v>
      </c>
      <c r="U18" s="90">
        <f t="shared" si="8"/>
        <v>45965</v>
      </c>
      <c r="V18" s="50">
        <v>29</v>
      </c>
      <c r="W18" s="54">
        <v>0.70833333333333337</v>
      </c>
      <c r="X18" s="53">
        <v>538</v>
      </c>
    </row>
    <row r="19" spans="2:24" ht="15" thickBot="1" x14ac:dyDescent="0.35">
      <c r="B19" s="90">
        <f t="shared" si="9"/>
        <v>45966</v>
      </c>
      <c r="D19" s="91">
        <v>97</v>
      </c>
      <c r="E19" s="89">
        <v>0.5</v>
      </c>
      <c r="F19" s="88">
        <v>1114</v>
      </c>
      <c r="G19" s="93">
        <f t="shared" si="4"/>
        <v>639</v>
      </c>
      <c r="H19" s="88">
        <v>475</v>
      </c>
      <c r="I19" s="90">
        <f t="shared" si="5"/>
        <v>45966</v>
      </c>
      <c r="J19" s="91">
        <v>30</v>
      </c>
      <c r="K19" s="89">
        <v>0.36458333333333331</v>
      </c>
      <c r="L19" s="88">
        <v>589</v>
      </c>
      <c r="M19" s="90">
        <f t="shared" si="6"/>
        <v>45966</v>
      </c>
      <c r="N19" s="91">
        <v>25</v>
      </c>
      <c r="O19" s="89">
        <v>0.36458333333333331</v>
      </c>
      <c r="P19" s="91">
        <v>13</v>
      </c>
      <c r="Q19" s="89">
        <v>0.41666666666666669</v>
      </c>
      <c r="R19" s="92">
        <f t="shared" si="7"/>
        <v>579</v>
      </c>
      <c r="S19" s="88">
        <v>364</v>
      </c>
      <c r="T19" s="88">
        <v>215</v>
      </c>
      <c r="U19" s="90">
        <f t="shared" si="8"/>
        <v>45966</v>
      </c>
      <c r="V19" s="91">
        <v>27</v>
      </c>
      <c r="W19" s="89">
        <v>0.94791666666666663</v>
      </c>
      <c r="X19" s="88">
        <v>470</v>
      </c>
    </row>
    <row r="20" spans="2:24" ht="15" thickBot="1" x14ac:dyDescent="0.35">
      <c r="B20" s="90">
        <f t="shared" si="9"/>
        <v>45967</v>
      </c>
      <c r="D20" s="172">
        <v>104</v>
      </c>
      <c r="E20" s="173">
        <v>0.55208333333333337</v>
      </c>
      <c r="F20" s="174">
        <v>1162</v>
      </c>
      <c r="G20" s="93">
        <f t="shared" si="4"/>
        <v>688</v>
      </c>
      <c r="H20" s="174">
        <v>474</v>
      </c>
      <c r="I20" s="90">
        <f t="shared" si="5"/>
        <v>45967</v>
      </c>
      <c r="J20" s="172">
        <v>32</v>
      </c>
      <c r="K20" s="173">
        <v>0.875</v>
      </c>
      <c r="L20" s="174">
        <v>590</v>
      </c>
      <c r="M20" s="90">
        <f t="shared" si="6"/>
        <v>45967</v>
      </c>
      <c r="N20" s="172">
        <v>27</v>
      </c>
      <c r="O20" s="173">
        <v>0.52083333333333337</v>
      </c>
      <c r="P20" s="172">
        <v>14</v>
      </c>
      <c r="Q20" s="173">
        <v>0.33333333333333331</v>
      </c>
      <c r="R20" s="92">
        <f t="shared" si="7"/>
        <v>571</v>
      </c>
      <c r="S20" s="174">
        <v>354</v>
      </c>
      <c r="T20" s="174">
        <v>217</v>
      </c>
      <c r="U20" s="175">
        <f t="shared" si="8"/>
        <v>45967</v>
      </c>
      <c r="V20" s="172">
        <v>28</v>
      </c>
      <c r="W20" s="173">
        <v>0.79166666666666663</v>
      </c>
      <c r="X20" s="174">
        <v>481</v>
      </c>
    </row>
    <row r="21" spans="2:24" ht="15" thickBot="1" x14ac:dyDescent="0.35">
      <c r="B21" s="90">
        <f t="shared" si="9"/>
        <v>45968</v>
      </c>
      <c r="D21" s="172">
        <v>101</v>
      </c>
      <c r="E21" s="173">
        <v>0.53125</v>
      </c>
      <c r="F21" s="88">
        <v>1187</v>
      </c>
      <c r="G21" s="93">
        <f t="shared" si="4"/>
        <v>680</v>
      </c>
      <c r="H21" s="88">
        <v>507</v>
      </c>
      <c r="I21" s="90">
        <f t="shared" si="5"/>
        <v>45968</v>
      </c>
      <c r="J21" s="91">
        <v>33</v>
      </c>
      <c r="K21" s="89">
        <v>0.21736111111111112</v>
      </c>
      <c r="L21" s="88">
        <v>595</v>
      </c>
      <c r="M21" s="90">
        <f t="shared" si="6"/>
        <v>45968</v>
      </c>
      <c r="N21" s="91">
        <v>25</v>
      </c>
      <c r="O21" s="89">
        <v>0.35416666666666669</v>
      </c>
      <c r="P21" s="91">
        <v>14</v>
      </c>
      <c r="Q21" s="89">
        <v>0.40625</v>
      </c>
      <c r="R21" s="92">
        <f t="shared" si="7"/>
        <v>583</v>
      </c>
      <c r="S21" s="88">
        <v>360</v>
      </c>
      <c r="T21" s="88">
        <v>223</v>
      </c>
      <c r="U21" s="90">
        <f t="shared" si="8"/>
        <v>45968</v>
      </c>
      <c r="V21" s="91">
        <v>28</v>
      </c>
      <c r="W21" s="89">
        <v>0.86458333333333337</v>
      </c>
      <c r="X21" s="88">
        <v>476</v>
      </c>
    </row>
    <row r="22" spans="2:24" ht="15" thickBot="1" x14ac:dyDescent="0.35">
      <c r="B22" s="90">
        <f t="shared" si="9"/>
        <v>45969</v>
      </c>
      <c r="D22" s="172">
        <v>48</v>
      </c>
      <c r="E22" s="89">
        <v>0.75</v>
      </c>
      <c r="F22" s="88">
        <v>794</v>
      </c>
      <c r="G22" s="93">
        <f t="shared" si="4"/>
        <v>330</v>
      </c>
      <c r="H22" s="88">
        <v>464</v>
      </c>
      <c r="I22" s="90">
        <f t="shared" si="5"/>
        <v>45969</v>
      </c>
      <c r="J22" s="91">
        <v>34</v>
      </c>
      <c r="K22" s="89">
        <v>0.84375</v>
      </c>
      <c r="L22" s="88">
        <v>554</v>
      </c>
      <c r="M22" s="90">
        <f t="shared" si="6"/>
        <v>45969</v>
      </c>
      <c r="N22" s="91">
        <v>21</v>
      </c>
      <c r="O22" s="89">
        <v>0.33333333333333331</v>
      </c>
      <c r="P22" s="91">
        <v>12</v>
      </c>
      <c r="Q22" s="89">
        <v>0.38541666666666669</v>
      </c>
      <c r="R22" s="92">
        <f t="shared" si="7"/>
        <v>544</v>
      </c>
      <c r="S22" s="88">
        <v>354</v>
      </c>
      <c r="T22" s="88">
        <v>190</v>
      </c>
      <c r="U22" s="90">
        <f t="shared" si="8"/>
        <v>45969</v>
      </c>
      <c r="V22" s="91">
        <v>27</v>
      </c>
      <c r="W22" s="89">
        <v>0.80208333333333337</v>
      </c>
      <c r="X22" s="88">
        <v>492</v>
      </c>
    </row>
    <row r="23" spans="2:24" ht="15" thickBot="1" x14ac:dyDescent="0.35">
      <c r="B23" s="90">
        <f t="shared" si="9"/>
        <v>45970</v>
      </c>
      <c r="D23" s="172">
        <v>60</v>
      </c>
      <c r="E23" s="89">
        <v>0.72916666666666663</v>
      </c>
      <c r="F23" s="88">
        <v>756</v>
      </c>
      <c r="G23" s="93">
        <f t="shared" si="4"/>
        <v>286</v>
      </c>
      <c r="H23" s="88">
        <v>470</v>
      </c>
      <c r="I23" s="90">
        <f t="shared" si="5"/>
        <v>45970</v>
      </c>
      <c r="J23" s="91">
        <v>30</v>
      </c>
      <c r="K23" s="89">
        <v>0.875</v>
      </c>
      <c r="L23" s="88">
        <v>550</v>
      </c>
      <c r="M23" s="90">
        <f t="shared" si="6"/>
        <v>45970</v>
      </c>
      <c r="N23" s="91">
        <v>22</v>
      </c>
      <c r="O23" s="89">
        <v>0.39583333333333331</v>
      </c>
      <c r="P23" s="91">
        <v>12</v>
      </c>
      <c r="Q23" s="89">
        <v>0.4375</v>
      </c>
      <c r="R23" s="92">
        <f t="shared" si="7"/>
        <v>530</v>
      </c>
      <c r="S23" s="88">
        <v>345</v>
      </c>
      <c r="T23" s="88">
        <v>185</v>
      </c>
      <c r="U23" s="90">
        <f t="shared" si="8"/>
        <v>45970</v>
      </c>
      <c r="V23" s="91">
        <v>25</v>
      </c>
      <c r="W23" s="89">
        <v>0.75</v>
      </c>
      <c r="X23" s="88">
        <v>465</v>
      </c>
    </row>
    <row r="24" spans="2:24" ht="15" thickBot="1" x14ac:dyDescent="0.35">
      <c r="B24" s="90">
        <f t="shared" si="9"/>
        <v>45971</v>
      </c>
      <c r="D24" s="172">
        <v>108</v>
      </c>
      <c r="E24" s="89">
        <v>0.55208333333333337</v>
      </c>
      <c r="F24" s="88">
        <v>1163</v>
      </c>
      <c r="G24" s="93">
        <f t="shared" si="4"/>
        <v>677</v>
      </c>
      <c r="H24" s="88">
        <v>486</v>
      </c>
      <c r="I24" s="90">
        <f t="shared" si="5"/>
        <v>45971</v>
      </c>
      <c r="J24" s="91">
        <v>28</v>
      </c>
      <c r="K24" s="89">
        <v>0.54166666666666663</v>
      </c>
      <c r="L24" s="88">
        <v>585</v>
      </c>
      <c r="M24" s="90">
        <f t="shared" si="6"/>
        <v>45971</v>
      </c>
      <c r="N24" s="91">
        <v>23</v>
      </c>
      <c r="O24" s="89">
        <v>0.55555555555555558</v>
      </c>
      <c r="P24" s="91">
        <v>13</v>
      </c>
      <c r="Q24" s="89">
        <v>0.27083333333333331</v>
      </c>
      <c r="R24" s="92">
        <f t="shared" si="7"/>
        <v>572</v>
      </c>
      <c r="S24" s="88">
        <v>347</v>
      </c>
      <c r="T24" s="88">
        <v>225</v>
      </c>
      <c r="U24" s="90">
        <f t="shared" si="8"/>
        <v>45971</v>
      </c>
      <c r="V24" s="91">
        <v>28</v>
      </c>
      <c r="W24" s="89">
        <v>0.23958333333333334</v>
      </c>
      <c r="X24" s="88">
        <v>500</v>
      </c>
    </row>
    <row r="25" spans="2:24" ht="15" thickBot="1" x14ac:dyDescent="0.35">
      <c r="B25" s="90">
        <f t="shared" si="9"/>
        <v>45972</v>
      </c>
      <c r="D25" s="172">
        <v>131</v>
      </c>
      <c r="E25" s="89">
        <v>0.69791666666666663</v>
      </c>
      <c r="F25" s="88">
        <v>1209</v>
      </c>
      <c r="G25" s="93">
        <f t="shared" si="4"/>
        <v>723</v>
      </c>
      <c r="H25" s="88">
        <v>486</v>
      </c>
      <c r="I25" s="90">
        <f t="shared" si="5"/>
        <v>45972</v>
      </c>
      <c r="J25" s="91">
        <v>29</v>
      </c>
      <c r="K25" s="89">
        <v>0.5625</v>
      </c>
      <c r="L25" s="88">
        <v>587</v>
      </c>
      <c r="M25" s="90">
        <f t="shared" si="6"/>
        <v>45972</v>
      </c>
      <c r="N25" s="91">
        <v>22</v>
      </c>
      <c r="O25" s="89">
        <v>0.70833333333333337</v>
      </c>
      <c r="P25" s="91">
        <v>13</v>
      </c>
      <c r="Q25" s="89">
        <v>0.625</v>
      </c>
      <c r="R25" s="92">
        <f t="shared" si="7"/>
        <v>581</v>
      </c>
      <c r="S25" s="88">
        <v>358</v>
      </c>
      <c r="T25" s="88">
        <v>223</v>
      </c>
      <c r="U25" s="90">
        <f t="shared" si="8"/>
        <v>45972</v>
      </c>
      <c r="V25" s="91">
        <v>30</v>
      </c>
      <c r="W25" s="89">
        <v>0.47916666666666669</v>
      </c>
      <c r="X25" s="88">
        <v>501</v>
      </c>
    </row>
    <row r="26" spans="2:24" ht="15" thickBot="1" x14ac:dyDescent="0.35">
      <c r="B26" s="90">
        <f t="shared" si="9"/>
        <v>45973</v>
      </c>
      <c r="D26" s="172">
        <v>114</v>
      </c>
      <c r="E26" s="89">
        <v>0.73958333333333337</v>
      </c>
      <c r="F26" s="88">
        <v>1315</v>
      </c>
      <c r="G26" s="93">
        <f t="shared" si="4"/>
        <v>774</v>
      </c>
      <c r="H26" s="88">
        <v>541</v>
      </c>
      <c r="I26" s="90">
        <f t="shared" si="5"/>
        <v>45973</v>
      </c>
      <c r="J26" s="91">
        <v>31</v>
      </c>
      <c r="K26" s="89">
        <v>0.61458333333333337</v>
      </c>
      <c r="L26" s="88">
        <v>600</v>
      </c>
      <c r="M26" s="90">
        <f t="shared" si="6"/>
        <v>45973</v>
      </c>
      <c r="N26" s="91">
        <v>22</v>
      </c>
      <c r="O26" s="89">
        <v>0.29166666666666669</v>
      </c>
      <c r="P26" s="91">
        <v>13</v>
      </c>
      <c r="Q26" s="89">
        <v>0.4375</v>
      </c>
      <c r="R26" s="92">
        <f t="shared" ref="R26:R44" si="10">S26+T26</f>
        <v>589</v>
      </c>
      <c r="S26" s="88">
        <v>360</v>
      </c>
      <c r="T26" s="88">
        <v>229</v>
      </c>
      <c r="U26" s="90">
        <f t="shared" si="8"/>
        <v>45973</v>
      </c>
      <c r="V26" s="91">
        <v>30</v>
      </c>
      <c r="W26" s="89">
        <v>0.625</v>
      </c>
      <c r="X26" s="88">
        <v>563</v>
      </c>
    </row>
    <row r="27" spans="2:24" ht="15" thickBot="1" x14ac:dyDescent="0.35">
      <c r="B27" s="90">
        <f t="shared" si="9"/>
        <v>45974</v>
      </c>
      <c r="D27" s="172">
        <v>96</v>
      </c>
      <c r="E27" s="89">
        <v>0.55208333333333337</v>
      </c>
      <c r="F27" s="88">
        <v>1272</v>
      </c>
      <c r="G27" s="93">
        <f t="shared" si="4"/>
        <v>727</v>
      </c>
      <c r="H27" s="88">
        <v>545</v>
      </c>
      <c r="I27" s="90">
        <f t="shared" si="5"/>
        <v>45974</v>
      </c>
      <c r="J27" s="91">
        <v>31</v>
      </c>
      <c r="K27" s="89">
        <v>0.63541666666666663</v>
      </c>
      <c r="L27" s="88">
        <v>601</v>
      </c>
      <c r="M27" s="90">
        <f t="shared" si="6"/>
        <v>45974</v>
      </c>
      <c r="N27" s="91">
        <v>26</v>
      </c>
      <c r="O27" s="89">
        <v>0.5625</v>
      </c>
      <c r="P27" s="91">
        <v>13</v>
      </c>
      <c r="Q27" s="89">
        <v>0.77083333333333337</v>
      </c>
      <c r="R27" s="92">
        <f t="shared" si="10"/>
        <v>589</v>
      </c>
      <c r="S27" s="88">
        <v>358</v>
      </c>
      <c r="T27" s="88">
        <v>231</v>
      </c>
      <c r="U27" s="90">
        <f t="shared" si="8"/>
        <v>45974</v>
      </c>
      <c r="V27" s="91">
        <v>30</v>
      </c>
      <c r="W27" s="89">
        <v>0.34375</v>
      </c>
      <c r="X27" s="88">
        <v>501</v>
      </c>
    </row>
    <row r="28" spans="2:24" ht="15" thickBot="1" x14ac:dyDescent="0.35">
      <c r="B28" s="90">
        <f t="shared" si="9"/>
        <v>45975</v>
      </c>
      <c r="D28" s="172">
        <v>102</v>
      </c>
      <c r="E28" s="89">
        <v>0.57291666666666663</v>
      </c>
      <c r="F28" s="88">
        <v>1185</v>
      </c>
      <c r="G28" s="93">
        <f t="shared" si="4"/>
        <v>676</v>
      </c>
      <c r="H28" s="88">
        <v>509</v>
      </c>
      <c r="I28" s="90">
        <f t="shared" si="5"/>
        <v>45975</v>
      </c>
      <c r="J28" s="91">
        <v>31</v>
      </c>
      <c r="K28" s="89">
        <v>0.60416666666666663</v>
      </c>
      <c r="L28" s="88">
        <v>595</v>
      </c>
      <c r="M28" s="90">
        <f t="shared" si="6"/>
        <v>45975</v>
      </c>
      <c r="N28" s="91">
        <v>27</v>
      </c>
      <c r="O28" s="89">
        <v>0.58333333333333337</v>
      </c>
      <c r="P28" s="91">
        <v>13</v>
      </c>
      <c r="Q28" s="89">
        <v>0.72916666666666663</v>
      </c>
      <c r="R28" s="92">
        <f t="shared" si="10"/>
        <v>589</v>
      </c>
      <c r="S28" s="88">
        <v>359</v>
      </c>
      <c r="T28" s="88">
        <v>230</v>
      </c>
      <c r="U28" s="90">
        <f t="shared" si="8"/>
        <v>45975</v>
      </c>
      <c r="V28" s="91">
        <v>30</v>
      </c>
      <c r="W28" s="89">
        <v>0.40625</v>
      </c>
      <c r="X28" s="88">
        <v>502</v>
      </c>
    </row>
    <row r="29" spans="2:24" ht="15" thickBot="1" x14ac:dyDescent="0.35">
      <c r="B29" s="90">
        <f t="shared" si="9"/>
        <v>45976</v>
      </c>
      <c r="D29" s="172">
        <v>65</v>
      </c>
      <c r="E29" s="89">
        <v>0.64583333333333337</v>
      </c>
      <c r="F29" s="88">
        <v>795</v>
      </c>
      <c r="G29" s="93">
        <f t="shared" si="4"/>
        <v>315</v>
      </c>
      <c r="H29" s="88">
        <v>480</v>
      </c>
      <c r="I29" s="90">
        <f t="shared" si="5"/>
        <v>45976</v>
      </c>
      <c r="J29" s="91">
        <v>32</v>
      </c>
      <c r="K29" s="89">
        <v>0.64583333333333337</v>
      </c>
      <c r="L29" s="88">
        <v>551</v>
      </c>
      <c r="M29" s="90">
        <f t="shared" si="6"/>
        <v>45976</v>
      </c>
      <c r="N29" s="91">
        <v>22</v>
      </c>
      <c r="O29" s="89">
        <v>0.35416666666666669</v>
      </c>
      <c r="P29" s="91">
        <v>12</v>
      </c>
      <c r="Q29" s="89">
        <v>0.39583333333333331</v>
      </c>
      <c r="R29" s="92">
        <f t="shared" si="10"/>
        <v>549</v>
      </c>
      <c r="S29" s="88">
        <v>354</v>
      </c>
      <c r="T29" s="88">
        <v>195</v>
      </c>
      <c r="U29" s="90">
        <f t="shared" si="8"/>
        <v>45976</v>
      </c>
      <c r="V29" s="91">
        <v>28</v>
      </c>
      <c r="W29" s="89">
        <v>0.4375</v>
      </c>
      <c r="X29" s="88">
        <v>490</v>
      </c>
    </row>
    <row r="30" spans="2:24" ht="15" thickBot="1" x14ac:dyDescent="0.35">
      <c r="B30" s="90">
        <f t="shared" si="9"/>
        <v>45977</v>
      </c>
      <c r="D30" s="172">
        <v>76</v>
      </c>
      <c r="E30" s="89">
        <v>0.78125</v>
      </c>
      <c r="F30" s="88">
        <v>864</v>
      </c>
      <c r="G30" s="93">
        <f t="shared" si="4"/>
        <v>379</v>
      </c>
      <c r="H30" s="88">
        <v>485</v>
      </c>
      <c r="I30" s="90">
        <f t="shared" si="5"/>
        <v>45977</v>
      </c>
      <c r="J30" s="91">
        <v>30</v>
      </c>
      <c r="K30" s="89">
        <v>0.64583333333333337</v>
      </c>
      <c r="L30" s="88">
        <v>563</v>
      </c>
      <c r="M30" s="90">
        <f t="shared" si="6"/>
        <v>45977</v>
      </c>
      <c r="N30" s="91">
        <v>19</v>
      </c>
      <c r="O30" s="89">
        <v>0.5</v>
      </c>
      <c r="P30" s="91">
        <v>9</v>
      </c>
      <c r="Q30" s="89">
        <v>0.60416666666666663</v>
      </c>
      <c r="R30" s="92">
        <f t="shared" si="10"/>
        <v>461</v>
      </c>
      <c r="S30" s="88">
        <v>284</v>
      </c>
      <c r="T30" s="88">
        <v>177</v>
      </c>
      <c r="U30" s="90">
        <f t="shared" si="8"/>
        <v>45977</v>
      </c>
      <c r="V30" s="91">
        <v>28</v>
      </c>
      <c r="W30" s="89">
        <v>0.34375</v>
      </c>
      <c r="X30" s="88">
        <v>513</v>
      </c>
    </row>
    <row r="31" spans="2:24" ht="15" thickBot="1" x14ac:dyDescent="0.35">
      <c r="B31" s="90">
        <f t="shared" si="9"/>
        <v>45978</v>
      </c>
      <c r="D31" s="172">
        <v>115</v>
      </c>
      <c r="E31" s="89">
        <v>0.625</v>
      </c>
      <c r="F31" s="88">
        <v>1377</v>
      </c>
      <c r="G31" s="93">
        <f t="shared" si="4"/>
        <v>809</v>
      </c>
      <c r="H31" s="88">
        <v>568</v>
      </c>
      <c r="I31" s="90">
        <f t="shared" si="5"/>
        <v>45978</v>
      </c>
      <c r="J31" s="91">
        <v>35</v>
      </c>
      <c r="K31" s="89">
        <v>0.59375</v>
      </c>
      <c r="L31" s="88">
        <v>626</v>
      </c>
      <c r="M31" s="90">
        <f t="shared" si="6"/>
        <v>45978</v>
      </c>
      <c r="N31" s="91">
        <v>18</v>
      </c>
      <c r="O31" s="89">
        <v>0.88541666666666663</v>
      </c>
      <c r="P31" s="91">
        <v>14</v>
      </c>
      <c r="Q31" s="89">
        <v>0.57291666666666663</v>
      </c>
      <c r="R31" s="92">
        <f t="shared" si="10"/>
        <v>519</v>
      </c>
      <c r="S31" s="88">
        <v>295</v>
      </c>
      <c r="T31" s="88">
        <v>224</v>
      </c>
      <c r="U31" s="90">
        <f t="shared" si="8"/>
        <v>45978</v>
      </c>
      <c r="V31" s="91">
        <v>28</v>
      </c>
      <c r="W31" s="89">
        <v>0.86458333333333337</v>
      </c>
      <c r="X31" s="88">
        <v>530</v>
      </c>
    </row>
    <row r="32" spans="2:24" ht="15" thickBot="1" x14ac:dyDescent="0.35">
      <c r="B32" s="90">
        <f t="shared" si="9"/>
        <v>45979</v>
      </c>
      <c r="D32" s="172">
        <v>125</v>
      </c>
      <c r="E32" s="89">
        <v>0.55208333333333337</v>
      </c>
      <c r="F32" s="88">
        <v>1305</v>
      </c>
      <c r="G32" s="93">
        <f t="shared" si="4"/>
        <v>747</v>
      </c>
      <c r="H32" s="88">
        <v>558</v>
      </c>
      <c r="I32" s="90">
        <f t="shared" si="5"/>
        <v>45979</v>
      </c>
      <c r="J32" s="91">
        <v>30</v>
      </c>
      <c r="K32" s="89">
        <v>0.60416666666666663</v>
      </c>
      <c r="L32" s="88">
        <v>605</v>
      </c>
      <c r="M32" s="90">
        <f t="shared" si="6"/>
        <v>45979</v>
      </c>
      <c r="N32" s="91">
        <v>24</v>
      </c>
      <c r="O32" s="89">
        <v>0.39583333333333331</v>
      </c>
      <c r="P32" s="91">
        <v>14</v>
      </c>
      <c r="Q32" s="89">
        <v>0.48958333333333331</v>
      </c>
      <c r="R32" s="92">
        <f t="shared" si="10"/>
        <v>531</v>
      </c>
      <c r="S32" s="88">
        <v>308</v>
      </c>
      <c r="T32" s="88">
        <v>223</v>
      </c>
      <c r="U32" s="90">
        <f t="shared" si="8"/>
        <v>45979</v>
      </c>
      <c r="V32" s="91">
        <v>25</v>
      </c>
      <c r="W32" s="89">
        <v>1.0416666666666666E-2</v>
      </c>
      <c r="X32" s="88">
        <v>462</v>
      </c>
    </row>
    <row r="33" spans="2:24" ht="15" thickBot="1" x14ac:dyDescent="0.35">
      <c r="B33" s="90">
        <f t="shared" si="9"/>
        <v>45980</v>
      </c>
      <c r="D33" s="172">
        <v>126</v>
      </c>
      <c r="E33" s="89">
        <v>0.84375</v>
      </c>
      <c r="F33" s="88">
        <v>1308.2</v>
      </c>
      <c r="G33" s="93">
        <f t="shared" si="4"/>
        <v>761.44</v>
      </c>
      <c r="H33" s="88">
        <v>546.76</v>
      </c>
      <c r="I33" s="90">
        <f t="shared" si="5"/>
        <v>45980</v>
      </c>
      <c r="J33" s="91">
        <v>32.92</v>
      </c>
      <c r="K33" s="89">
        <v>0.92708333333333337</v>
      </c>
      <c r="L33" s="88">
        <v>582.66999999999996</v>
      </c>
      <c r="M33" s="90">
        <f t="shared" si="6"/>
        <v>45980</v>
      </c>
      <c r="N33" s="91">
        <v>20.84</v>
      </c>
      <c r="O33" s="89">
        <v>0.4375</v>
      </c>
      <c r="P33" s="91">
        <v>14.43</v>
      </c>
      <c r="Q33" s="89">
        <v>0.28125</v>
      </c>
      <c r="R33" s="92">
        <f t="shared" si="10"/>
        <v>512.29</v>
      </c>
      <c r="S33" s="88">
        <v>292.56</v>
      </c>
      <c r="T33" s="88">
        <v>219.73</v>
      </c>
      <c r="U33" s="90">
        <f t="shared" si="8"/>
        <v>45980</v>
      </c>
      <c r="V33" s="91">
        <v>27.39</v>
      </c>
      <c r="W33" s="89">
        <v>0.26041666666666669</v>
      </c>
      <c r="X33" s="88">
        <v>488.37</v>
      </c>
    </row>
    <row r="34" spans="2:24" ht="15" thickBot="1" x14ac:dyDescent="0.35">
      <c r="B34" s="90">
        <f t="shared" si="9"/>
        <v>45981</v>
      </c>
      <c r="D34" s="172">
        <v>114.55</v>
      </c>
      <c r="E34" s="89">
        <v>0.71875</v>
      </c>
      <c r="F34" s="88">
        <v>1233.46</v>
      </c>
      <c r="G34" s="93">
        <f t="shared" si="4"/>
        <v>734.58</v>
      </c>
      <c r="H34" s="88">
        <v>498.88</v>
      </c>
      <c r="I34" s="90">
        <f t="shared" si="5"/>
        <v>45981</v>
      </c>
      <c r="J34" s="91">
        <v>29.63</v>
      </c>
      <c r="K34" s="89">
        <v>0.91666666666666663</v>
      </c>
      <c r="L34" s="88">
        <v>575.83000000000004</v>
      </c>
      <c r="M34" s="90">
        <f t="shared" si="6"/>
        <v>45981</v>
      </c>
      <c r="N34" s="91">
        <v>17.989999999999998</v>
      </c>
      <c r="O34" s="89">
        <v>0.40625</v>
      </c>
      <c r="P34" s="91">
        <v>12.83</v>
      </c>
      <c r="Q34" s="89">
        <v>0.3125</v>
      </c>
      <c r="R34" s="92">
        <f t="shared" si="10"/>
        <v>512.35</v>
      </c>
      <c r="S34" s="88">
        <v>293.16000000000003</v>
      </c>
      <c r="T34" s="88">
        <v>219.19</v>
      </c>
      <c r="U34" s="90">
        <f t="shared" si="8"/>
        <v>45981</v>
      </c>
      <c r="V34" s="91">
        <v>27.61</v>
      </c>
      <c r="W34" s="89">
        <v>0.5</v>
      </c>
      <c r="X34" s="88">
        <v>508.77</v>
      </c>
    </row>
    <row r="35" spans="2:24" ht="15" thickBot="1" x14ac:dyDescent="0.35">
      <c r="B35" s="90">
        <f t="shared" si="9"/>
        <v>45982</v>
      </c>
      <c r="D35" s="172">
        <v>116</v>
      </c>
      <c r="E35" s="89">
        <v>0.54166666666666663</v>
      </c>
      <c r="F35" s="88">
        <v>1258</v>
      </c>
      <c r="G35" s="93">
        <f t="shared" si="4"/>
        <v>738</v>
      </c>
      <c r="H35" s="88">
        <v>520</v>
      </c>
      <c r="I35" s="90">
        <f t="shared" si="5"/>
        <v>45982</v>
      </c>
      <c r="J35" s="91">
        <v>30</v>
      </c>
      <c r="K35" s="89">
        <v>0.36458333333333331</v>
      </c>
      <c r="L35" s="88">
        <v>573</v>
      </c>
      <c r="M35" s="90">
        <f t="shared" si="6"/>
        <v>45982</v>
      </c>
      <c r="N35" s="91">
        <v>19</v>
      </c>
      <c r="O35" s="89">
        <v>0.3125</v>
      </c>
      <c r="P35" s="91">
        <v>13</v>
      </c>
      <c r="Q35" s="89">
        <v>0.48958333333333331</v>
      </c>
      <c r="R35" s="92">
        <f t="shared" si="10"/>
        <v>510</v>
      </c>
      <c r="S35" s="88">
        <v>293</v>
      </c>
      <c r="T35" s="88">
        <v>217</v>
      </c>
      <c r="U35" s="90">
        <f t="shared" si="8"/>
        <v>45982</v>
      </c>
      <c r="V35" s="91">
        <v>28</v>
      </c>
      <c r="W35" s="89">
        <v>0.90625</v>
      </c>
      <c r="X35" s="88">
        <v>472</v>
      </c>
    </row>
    <row r="36" spans="2:24" ht="15" thickBot="1" x14ac:dyDescent="0.35">
      <c r="B36" s="90">
        <f t="shared" si="9"/>
        <v>45983</v>
      </c>
      <c r="D36" s="172">
        <v>80</v>
      </c>
      <c r="E36" s="89">
        <v>0.70833333333333337</v>
      </c>
      <c r="F36" s="88">
        <v>873</v>
      </c>
      <c r="G36" s="93">
        <f t="shared" si="4"/>
        <v>382</v>
      </c>
      <c r="H36" s="88">
        <v>491</v>
      </c>
      <c r="I36" s="90">
        <f t="shared" si="5"/>
        <v>45983</v>
      </c>
      <c r="J36" s="91">
        <v>29</v>
      </c>
      <c r="K36" s="89">
        <v>0.27083333333333331</v>
      </c>
      <c r="L36" s="88">
        <v>557</v>
      </c>
      <c r="M36" s="90">
        <f t="shared" si="6"/>
        <v>45983</v>
      </c>
      <c r="N36" s="91">
        <v>23</v>
      </c>
      <c r="O36" s="89">
        <v>0.51041666666666663</v>
      </c>
      <c r="P36" s="91">
        <v>13</v>
      </c>
      <c r="Q36" s="89">
        <v>0.34375</v>
      </c>
      <c r="R36" s="92">
        <f t="shared" si="10"/>
        <v>487</v>
      </c>
      <c r="S36" s="88">
        <v>284</v>
      </c>
      <c r="T36" s="88">
        <v>203</v>
      </c>
      <c r="U36" s="90">
        <f t="shared" si="8"/>
        <v>45983</v>
      </c>
      <c r="V36" s="91">
        <v>29</v>
      </c>
      <c r="W36" s="89">
        <v>0.26041666666666669</v>
      </c>
      <c r="X36" s="88">
        <v>547</v>
      </c>
    </row>
    <row r="37" spans="2:24" ht="15" thickBot="1" x14ac:dyDescent="0.35">
      <c r="B37" s="90">
        <f t="shared" si="9"/>
        <v>45984</v>
      </c>
      <c r="D37" s="172">
        <v>82</v>
      </c>
      <c r="E37" s="89">
        <v>0.85416666666666663</v>
      </c>
      <c r="F37" s="88">
        <v>747</v>
      </c>
      <c r="G37" s="93">
        <f t="shared" si="4"/>
        <v>306</v>
      </c>
      <c r="H37" s="88">
        <v>441</v>
      </c>
      <c r="I37" s="90">
        <f t="shared" si="5"/>
        <v>45984</v>
      </c>
      <c r="J37" s="91">
        <v>29</v>
      </c>
      <c r="K37" s="89">
        <v>0.29166666666666669</v>
      </c>
      <c r="L37" s="88">
        <v>551</v>
      </c>
      <c r="M37" s="90">
        <f t="shared" si="6"/>
        <v>45984</v>
      </c>
      <c r="N37" s="91">
        <v>20</v>
      </c>
      <c r="O37" s="89">
        <v>0.51041666666666663</v>
      </c>
      <c r="P37" s="91">
        <v>9</v>
      </c>
      <c r="Q37" s="89">
        <v>0.65625</v>
      </c>
      <c r="R37" s="92">
        <f t="shared" si="10"/>
        <v>472</v>
      </c>
      <c r="S37" s="88">
        <v>278</v>
      </c>
      <c r="T37" s="88">
        <v>194</v>
      </c>
      <c r="U37" s="90">
        <f t="shared" si="8"/>
        <v>45984</v>
      </c>
      <c r="V37" s="91">
        <v>27</v>
      </c>
      <c r="W37" s="89">
        <v>0.88541666666666663</v>
      </c>
      <c r="X37" s="88">
        <v>513</v>
      </c>
    </row>
    <row r="38" spans="2:24" ht="15" thickBot="1" x14ac:dyDescent="0.35">
      <c r="B38" s="90">
        <f t="shared" si="9"/>
        <v>45985</v>
      </c>
      <c r="D38" s="172">
        <v>103</v>
      </c>
      <c r="E38" s="89">
        <v>0.59375</v>
      </c>
      <c r="F38" s="88">
        <v>960</v>
      </c>
      <c r="G38" s="93">
        <f t="shared" si="4"/>
        <v>585</v>
      </c>
      <c r="H38" s="88">
        <v>375</v>
      </c>
      <c r="I38" s="90">
        <f t="shared" si="5"/>
        <v>45985</v>
      </c>
      <c r="J38" s="91">
        <v>30</v>
      </c>
      <c r="K38" s="89">
        <v>0.625</v>
      </c>
      <c r="L38" s="88">
        <v>570</v>
      </c>
      <c r="M38" s="90">
        <f t="shared" si="6"/>
        <v>45985</v>
      </c>
      <c r="N38" s="91">
        <v>22</v>
      </c>
      <c r="O38" s="89">
        <v>0.35416666666666669</v>
      </c>
      <c r="P38" s="91">
        <v>13</v>
      </c>
      <c r="Q38" s="89">
        <v>0.41666666666666669</v>
      </c>
      <c r="R38" s="92">
        <f t="shared" si="10"/>
        <v>517</v>
      </c>
      <c r="S38" s="88">
        <v>293</v>
      </c>
      <c r="T38" s="88">
        <v>224</v>
      </c>
      <c r="U38" s="90">
        <f t="shared" si="8"/>
        <v>45985</v>
      </c>
      <c r="V38" s="91">
        <v>29</v>
      </c>
      <c r="W38" s="89">
        <v>0.4375</v>
      </c>
      <c r="X38" s="88">
        <v>523</v>
      </c>
    </row>
    <row r="39" spans="2:24" ht="15" thickBot="1" x14ac:dyDescent="0.35">
      <c r="B39" s="90">
        <f t="shared" si="9"/>
        <v>45986</v>
      </c>
      <c r="D39" s="172">
        <v>112</v>
      </c>
      <c r="E39" s="89">
        <v>0.53125</v>
      </c>
      <c r="F39" s="88">
        <v>1100</v>
      </c>
      <c r="G39" s="93">
        <f t="shared" si="4"/>
        <v>610</v>
      </c>
      <c r="H39" s="88">
        <v>490</v>
      </c>
      <c r="I39" s="90">
        <f t="shared" si="5"/>
        <v>45986</v>
      </c>
      <c r="J39" s="91">
        <v>30</v>
      </c>
      <c r="K39" s="89">
        <v>0.5625</v>
      </c>
      <c r="L39" s="88">
        <v>571</v>
      </c>
      <c r="M39" s="90">
        <f t="shared" si="6"/>
        <v>45986</v>
      </c>
      <c r="N39" s="91">
        <v>21</v>
      </c>
      <c r="O39" s="89">
        <v>0.375</v>
      </c>
      <c r="P39" s="91">
        <v>13</v>
      </c>
      <c r="Q39" s="89">
        <v>0.4375</v>
      </c>
      <c r="R39" s="92">
        <f t="shared" si="10"/>
        <v>517</v>
      </c>
      <c r="S39" s="88">
        <v>294</v>
      </c>
      <c r="T39" s="88">
        <v>223</v>
      </c>
      <c r="U39" s="90">
        <f t="shared" si="8"/>
        <v>45986</v>
      </c>
      <c r="V39" s="91">
        <v>28</v>
      </c>
      <c r="W39" s="89">
        <v>0.45833333333333331</v>
      </c>
      <c r="X39" s="88">
        <v>520</v>
      </c>
    </row>
    <row r="40" spans="2:24" ht="15" thickBot="1" x14ac:dyDescent="0.35">
      <c r="B40" s="90">
        <f t="shared" si="9"/>
        <v>45987</v>
      </c>
      <c r="D40" s="172">
        <v>112</v>
      </c>
      <c r="E40" s="173">
        <v>0.61458333333333337</v>
      </c>
      <c r="F40" s="174">
        <v>1191</v>
      </c>
      <c r="G40" s="93">
        <f t="shared" si="4"/>
        <v>692</v>
      </c>
      <c r="H40" s="174">
        <v>499</v>
      </c>
      <c r="I40" s="175">
        <f t="shared" si="5"/>
        <v>45987</v>
      </c>
      <c r="J40" s="172">
        <v>31</v>
      </c>
      <c r="K40" s="173">
        <v>0.86458333333333337</v>
      </c>
      <c r="L40" s="174">
        <v>594</v>
      </c>
      <c r="M40" s="175">
        <f t="shared" si="6"/>
        <v>45987</v>
      </c>
      <c r="N40" s="172">
        <v>23</v>
      </c>
      <c r="O40" s="173">
        <v>0.51041666666666663</v>
      </c>
      <c r="P40" s="172">
        <v>14</v>
      </c>
      <c r="Q40" s="173">
        <v>0.36458333333333331</v>
      </c>
      <c r="R40" s="92">
        <f t="shared" si="10"/>
        <v>508</v>
      </c>
      <c r="S40" s="174">
        <v>277</v>
      </c>
      <c r="T40" s="174">
        <v>231</v>
      </c>
      <c r="U40" s="175">
        <f t="shared" si="8"/>
        <v>45987</v>
      </c>
      <c r="V40" s="172">
        <v>29</v>
      </c>
      <c r="W40" s="173">
        <v>0.80208333333333337</v>
      </c>
      <c r="X40" s="174">
        <v>544</v>
      </c>
    </row>
    <row r="41" spans="2:24" ht="15" thickBot="1" x14ac:dyDescent="0.35">
      <c r="B41" s="90">
        <f t="shared" si="9"/>
        <v>45988</v>
      </c>
      <c r="D41" s="172">
        <v>117</v>
      </c>
      <c r="E41" s="89">
        <v>0.69791666666666663</v>
      </c>
      <c r="F41" s="88">
        <v>1216</v>
      </c>
      <c r="G41" s="93">
        <f t="shared" si="4"/>
        <v>729</v>
      </c>
      <c r="H41" s="88">
        <v>487</v>
      </c>
      <c r="I41" s="90">
        <f t="shared" si="5"/>
        <v>45988</v>
      </c>
      <c r="J41" s="91">
        <v>30</v>
      </c>
      <c r="K41" s="89">
        <v>0.46875</v>
      </c>
      <c r="L41" s="88">
        <v>584</v>
      </c>
      <c r="M41" s="90">
        <f t="shared" si="6"/>
        <v>45988</v>
      </c>
      <c r="N41" s="91">
        <v>20</v>
      </c>
      <c r="O41" s="89">
        <v>0.36458333333333331</v>
      </c>
      <c r="P41" s="91">
        <v>14</v>
      </c>
      <c r="Q41" s="89">
        <v>0.46875</v>
      </c>
      <c r="R41" s="92">
        <f t="shared" si="10"/>
        <v>511</v>
      </c>
      <c r="S41" s="88">
        <v>276</v>
      </c>
      <c r="T41" s="88">
        <v>235</v>
      </c>
      <c r="U41" s="90">
        <f t="shared" si="8"/>
        <v>45988</v>
      </c>
      <c r="V41" s="91">
        <v>28</v>
      </c>
      <c r="W41" s="89">
        <v>0.875</v>
      </c>
      <c r="X41" s="88">
        <v>498</v>
      </c>
    </row>
    <row r="42" spans="2:24" ht="15" thickBot="1" x14ac:dyDescent="0.35">
      <c r="B42" s="90">
        <f t="shared" si="9"/>
        <v>45989</v>
      </c>
      <c r="D42" s="172">
        <v>90</v>
      </c>
      <c r="E42" s="89">
        <v>0.64583333333333337</v>
      </c>
      <c r="F42" s="88">
        <v>1126</v>
      </c>
      <c r="G42" s="93">
        <f t="shared" si="4"/>
        <v>626</v>
      </c>
      <c r="H42" s="88">
        <v>500</v>
      </c>
      <c r="I42" s="90">
        <f t="shared" si="5"/>
        <v>45989</v>
      </c>
      <c r="J42" s="91">
        <v>30</v>
      </c>
      <c r="K42" s="89">
        <v>0.86458333333333337</v>
      </c>
      <c r="L42" s="88">
        <v>579</v>
      </c>
      <c r="M42" s="90">
        <f t="shared" si="6"/>
        <v>45989</v>
      </c>
      <c r="N42" s="91">
        <v>19</v>
      </c>
      <c r="O42" s="89">
        <v>0.64583333333333337</v>
      </c>
      <c r="P42" s="91">
        <v>14</v>
      </c>
      <c r="Q42" s="89">
        <v>0.59375</v>
      </c>
      <c r="R42" s="92">
        <f t="shared" si="10"/>
        <v>541</v>
      </c>
      <c r="S42" s="88">
        <v>302</v>
      </c>
      <c r="T42" s="88">
        <v>239</v>
      </c>
      <c r="U42" s="90">
        <f t="shared" si="8"/>
        <v>45989</v>
      </c>
      <c r="V42" s="91">
        <v>26</v>
      </c>
      <c r="W42" s="89">
        <v>0.22916666666666666</v>
      </c>
      <c r="X42" s="88">
        <v>503</v>
      </c>
    </row>
    <row r="43" spans="2:24" ht="15" thickBot="1" x14ac:dyDescent="0.35">
      <c r="B43" s="90">
        <f t="shared" si="9"/>
        <v>45990</v>
      </c>
      <c r="D43" s="172">
        <v>63</v>
      </c>
      <c r="E43" s="89">
        <v>0.83333333333333337</v>
      </c>
      <c r="F43" s="88">
        <v>849</v>
      </c>
      <c r="G43" s="93">
        <f t="shared" si="4"/>
        <v>383</v>
      </c>
      <c r="H43" s="88">
        <v>466</v>
      </c>
      <c r="I43" s="90">
        <f t="shared" si="5"/>
        <v>45990</v>
      </c>
      <c r="J43" s="91">
        <v>30</v>
      </c>
      <c r="K43" s="89">
        <v>1.0416666666666666E-2</v>
      </c>
      <c r="L43" s="88">
        <v>560</v>
      </c>
      <c r="M43" s="175">
        <f t="shared" si="6"/>
        <v>45990</v>
      </c>
      <c r="N43" s="91">
        <v>23</v>
      </c>
      <c r="O43" s="89">
        <v>0.57291666666666663</v>
      </c>
      <c r="P43" s="91">
        <v>14</v>
      </c>
      <c r="Q43" s="89">
        <v>0.5</v>
      </c>
      <c r="R43" s="92">
        <f t="shared" si="10"/>
        <v>496</v>
      </c>
      <c r="S43" s="88">
        <v>278</v>
      </c>
      <c r="T43" s="88">
        <v>218</v>
      </c>
      <c r="U43" s="90">
        <f t="shared" si="8"/>
        <v>45990</v>
      </c>
      <c r="V43" s="91">
        <v>27</v>
      </c>
      <c r="W43" s="89">
        <v>0.92708333333333337</v>
      </c>
      <c r="X43" s="88">
        <v>495</v>
      </c>
    </row>
    <row r="44" spans="2:24" ht="15" thickBot="1" x14ac:dyDescent="0.35">
      <c r="B44" s="90">
        <f t="shared" si="9"/>
        <v>45991</v>
      </c>
      <c r="D44" s="172">
        <v>58</v>
      </c>
      <c r="E44" s="173">
        <v>0.80208333333333337</v>
      </c>
      <c r="F44" s="174">
        <v>832</v>
      </c>
      <c r="G44" s="93">
        <f t="shared" si="4"/>
        <v>354</v>
      </c>
      <c r="H44" s="174">
        <v>478</v>
      </c>
      <c r="I44" s="90">
        <f t="shared" si="5"/>
        <v>45991</v>
      </c>
      <c r="J44" s="172">
        <v>29</v>
      </c>
      <c r="K44" s="173">
        <v>0.83333333333333337</v>
      </c>
      <c r="L44" s="174">
        <v>566</v>
      </c>
      <c r="M44" s="90">
        <f t="shared" si="6"/>
        <v>45991</v>
      </c>
      <c r="N44" s="172">
        <v>19</v>
      </c>
      <c r="O44" s="173">
        <v>0.53125</v>
      </c>
      <c r="P44" s="172">
        <v>10</v>
      </c>
      <c r="Q44" s="173">
        <v>0.30208333333333331</v>
      </c>
      <c r="R44" s="92">
        <f t="shared" si="10"/>
        <v>473</v>
      </c>
      <c r="S44" s="174">
        <v>280</v>
      </c>
      <c r="T44" s="174">
        <v>193</v>
      </c>
      <c r="U44" s="90">
        <f t="shared" si="8"/>
        <v>45991</v>
      </c>
      <c r="V44" s="172">
        <v>27</v>
      </c>
      <c r="W44" s="173">
        <v>0.90625</v>
      </c>
      <c r="X44" s="174">
        <v>481</v>
      </c>
    </row>
    <row r="45" spans="2:24" x14ac:dyDescent="0.3">
      <c r="B45" s="90">
        <f t="shared" si="9"/>
        <v>45992</v>
      </c>
      <c r="D45" s="172"/>
      <c r="E45" s="173"/>
      <c r="F45" s="174"/>
      <c r="G45" s="93">
        <f t="shared" ref="G45" si="11">F45-H45</f>
        <v>0</v>
      </c>
      <c r="H45" s="174"/>
      <c r="I45" s="90">
        <f t="shared" si="5"/>
        <v>45992</v>
      </c>
      <c r="J45" s="172"/>
      <c r="K45" s="173"/>
      <c r="L45" s="174"/>
      <c r="M45" s="90">
        <f t="shared" ref="M45" si="12">B45</f>
        <v>45992</v>
      </c>
      <c r="N45" s="172"/>
      <c r="O45" s="173"/>
      <c r="P45" s="172"/>
      <c r="Q45" s="173"/>
      <c r="R45" s="92">
        <f t="shared" ref="R45" si="13">S45+T45</f>
        <v>0</v>
      </c>
      <c r="S45" s="174"/>
      <c r="T45" s="174"/>
      <c r="U45" s="90">
        <f t="shared" si="8"/>
        <v>45992</v>
      </c>
      <c r="V45" s="172"/>
      <c r="W45" s="173"/>
      <c r="X45" s="174"/>
    </row>
    <row r="47" spans="2:24" x14ac:dyDescent="0.3">
      <c r="E47" s="178" t="s">
        <v>62</v>
      </c>
      <c r="F47" s="178" t="s">
        <v>63</v>
      </c>
      <c r="G47" s="178" t="s">
        <v>64</v>
      </c>
      <c r="H47" s="178" t="s">
        <v>65</v>
      </c>
      <c r="I47" s="178" t="s">
        <v>66</v>
      </c>
      <c r="J47" s="178" t="s">
        <v>67</v>
      </c>
    </row>
    <row r="48" spans="2:24" x14ac:dyDescent="0.3">
      <c r="D48" s="181">
        <v>45838</v>
      </c>
      <c r="E48" s="179">
        <f t="shared" ref="E48:E78" si="14">F14/J48</f>
        <v>0.34375079888539506</v>
      </c>
      <c r="F48" s="179">
        <f t="shared" ref="F48:F78" si="15">L14/J48</f>
        <v>0.23901798876873653</v>
      </c>
      <c r="G48" s="179">
        <f t="shared" ref="G48:G78" si="16">S14/J48</f>
        <v>0.14718238447052007</v>
      </c>
      <c r="H48" s="179">
        <f t="shared" ref="H48:H78" si="17">T14/J48</f>
        <v>7.2922258864432349E-2</v>
      </c>
      <c r="I48" s="179">
        <f t="shared" ref="I48:I78" si="18">X14/J48</f>
        <v>0.19712656901091599</v>
      </c>
      <c r="J48" s="180">
        <f>F14+L14+S14+T14+X14</f>
        <v>2347.02</v>
      </c>
    </row>
    <row r="49" spans="4:10" x14ac:dyDescent="0.3">
      <c r="D49" s="181">
        <v>45839</v>
      </c>
      <c r="E49" s="179">
        <f t="shared" si="14"/>
        <v>0.33537258489429167</v>
      </c>
      <c r="F49" s="179">
        <f t="shared" si="15"/>
        <v>0.24559860316399187</v>
      </c>
      <c r="G49" s="179">
        <f t="shared" si="16"/>
        <v>0.15125499733915057</v>
      </c>
      <c r="H49" s="179">
        <f t="shared" si="17"/>
        <v>7.3052412136991957E-2</v>
      </c>
      <c r="I49" s="179">
        <f t="shared" si="18"/>
        <v>0.19472140246557387</v>
      </c>
      <c r="J49" s="180">
        <f t="shared" ref="J49:J78" si="19">F15+L15+S15+T15+X15</f>
        <v>2273.71</v>
      </c>
    </row>
    <row r="50" spans="4:10" x14ac:dyDescent="0.3">
      <c r="D50" s="181">
        <v>45840</v>
      </c>
      <c r="E50" s="179">
        <f t="shared" si="14"/>
        <v>0.32056194125159643</v>
      </c>
      <c r="F50" s="179">
        <f t="shared" si="15"/>
        <v>0.24010217113665389</v>
      </c>
      <c r="G50" s="179">
        <f t="shared" si="16"/>
        <v>0.1502767134951043</v>
      </c>
      <c r="H50" s="179">
        <f t="shared" si="17"/>
        <v>6.9816943380161769E-2</v>
      </c>
      <c r="I50" s="179">
        <f t="shared" si="18"/>
        <v>0.21924223073648361</v>
      </c>
      <c r="J50" s="180">
        <f t="shared" si="19"/>
        <v>2349</v>
      </c>
    </row>
    <row r="51" spans="4:10" x14ac:dyDescent="0.3">
      <c r="D51" s="181">
        <v>45841</v>
      </c>
      <c r="E51" s="179">
        <f t="shared" si="14"/>
        <v>0.3971631205673759</v>
      </c>
      <c r="F51" s="179">
        <f t="shared" si="15"/>
        <v>0.20921985815602837</v>
      </c>
      <c r="G51" s="179">
        <f t="shared" si="16"/>
        <v>0.12836879432624113</v>
      </c>
      <c r="H51" s="179">
        <f t="shared" si="17"/>
        <v>7.5177304964539005E-2</v>
      </c>
      <c r="I51" s="179">
        <f t="shared" si="18"/>
        <v>0.1900709219858156</v>
      </c>
      <c r="J51" s="180">
        <f t="shared" si="19"/>
        <v>2820</v>
      </c>
    </row>
    <row r="52" spans="4:10" x14ac:dyDescent="0.3">
      <c r="D52" s="181">
        <v>45842</v>
      </c>
      <c r="E52" s="179">
        <f t="shared" si="14"/>
        <v>0.41046068583304468</v>
      </c>
      <c r="F52" s="179">
        <f t="shared" si="15"/>
        <v>0.20436439210252857</v>
      </c>
      <c r="G52" s="179">
        <f t="shared" si="16"/>
        <v>0.12469691721510218</v>
      </c>
      <c r="H52" s="179">
        <f t="shared" si="17"/>
        <v>7.4125389677866291E-2</v>
      </c>
      <c r="I52" s="179">
        <f t="shared" si="18"/>
        <v>0.18635261517145826</v>
      </c>
      <c r="J52" s="180">
        <f t="shared" si="19"/>
        <v>2887</v>
      </c>
    </row>
    <row r="53" spans="4:10" x14ac:dyDescent="0.3">
      <c r="D53" s="181">
        <v>45843</v>
      </c>
      <c r="E53" s="179">
        <f t="shared" si="14"/>
        <v>0.40479651162790697</v>
      </c>
      <c r="F53" s="179">
        <f t="shared" si="15"/>
        <v>0.21402616279069767</v>
      </c>
      <c r="G53" s="179">
        <f t="shared" si="16"/>
        <v>0.13226744186046513</v>
      </c>
      <c r="H53" s="179">
        <f t="shared" si="17"/>
        <v>7.8125E-2</v>
      </c>
      <c r="I53" s="179">
        <f t="shared" si="18"/>
        <v>0.17078488372093023</v>
      </c>
      <c r="J53" s="180">
        <f t="shared" si="19"/>
        <v>2752</v>
      </c>
    </row>
    <row r="54" spans="4:10" x14ac:dyDescent="0.3">
      <c r="D54" s="181">
        <v>45844</v>
      </c>
      <c r="E54" s="179">
        <f t="shared" si="14"/>
        <v>0.41440798858773181</v>
      </c>
      <c r="F54" s="179">
        <f t="shared" si="15"/>
        <v>0.21041369472182597</v>
      </c>
      <c r="G54" s="179">
        <f t="shared" si="16"/>
        <v>0.12624821683309559</v>
      </c>
      <c r="H54" s="179">
        <f t="shared" si="17"/>
        <v>7.7389443651925821E-2</v>
      </c>
      <c r="I54" s="179">
        <f t="shared" si="18"/>
        <v>0.17154065620542083</v>
      </c>
      <c r="J54" s="180">
        <f t="shared" si="19"/>
        <v>2804</v>
      </c>
    </row>
    <row r="55" spans="4:10" x14ac:dyDescent="0.3">
      <c r="D55" s="181">
        <v>45845</v>
      </c>
      <c r="E55" s="179">
        <f t="shared" si="14"/>
        <v>0.4178106300598381</v>
      </c>
      <c r="F55" s="179">
        <f t="shared" si="15"/>
        <v>0.20943329813445971</v>
      </c>
      <c r="G55" s="179">
        <f t="shared" si="16"/>
        <v>0.12671594508975711</v>
      </c>
      <c r="H55" s="179">
        <f t="shared" si="17"/>
        <v>7.8493488208377329E-2</v>
      </c>
      <c r="I55" s="179">
        <f t="shared" si="18"/>
        <v>0.16754663850756776</v>
      </c>
      <c r="J55" s="180">
        <f t="shared" si="19"/>
        <v>2841</v>
      </c>
    </row>
    <row r="56" spans="4:10" x14ac:dyDescent="0.3">
      <c r="D56" s="181">
        <v>45846</v>
      </c>
      <c r="E56" s="179">
        <f t="shared" si="14"/>
        <v>0.33305369127516776</v>
      </c>
      <c r="F56" s="179">
        <f t="shared" si="15"/>
        <v>0.23238255033557048</v>
      </c>
      <c r="G56" s="179">
        <f t="shared" si="16"/>
        <v>0.14848993288590603</v>
      </c>
      <c r="H56" s="179">
        <f t="shared" si="17"/>
        <v>7.9697986577181204E-2</v>
      </c>
      <c r="I56" s="179">
        <f t="shared" si="18"/>
        <v>0.2063758389261745</v>
      </c>
      <c r="J56" s="180">
        <f t="shared" si="19"/>
        <v>2384</v>
      </c>
    </row>
    <row r="57" spans="4:10" x14ac:dyDescent="0.3">
      <c r="D57" s="181">
        <v>45847</v>
      </c>
      <c r="E57" s="179">
        <f t="shared" si="14"/>
        <v>0.32855280312907431</v>
      </c>
      <c r="F57" s="179">
        <f t="shared" si="15"/>
        <v>0.2390265102129509</v>
      </c>
      <c r="G57" s="179">
        <f t="shared" si="16"/>
        <v>0.14993481095176012</v>
      </c>
      <c r="H57" s="179">
        <f t="shared" si="17"/>
        <v>8.0399826162538032E-2</v>
      </c>
      <c r="I57" s="179">
        <f t="shared" si="18"/>
        <v>0.20208604954367665</v>
      </c>
      <c r="J57" s="180">
        <f t="shared" si="19"/>
        <v>2301</v>
      </c>
    </row>
    <row r="58" spans="4:10" x14ac:dyDescent="0.3">
      <c r="D58" s="181">
        <v>45848</v>
      </c>
      <c r="E58" s="179">
        <f t="shared" si="14"/>
        <v>0.41241134751773051</v>
      </c>
      <c r="F58" s="179">
        <f t="shared" si="15"/>
        <v>0.20744680851063829</v>
      </c>
      <c r="G58" s="179">
        <f t="shared" si="16"/>
        <v>0.12304964539007092</v>
      </c>
      <c r="H58" s="179">
        <f t="shared" si="17"/>
        <v>7.9787234042553196E-2</v>
      </c>
      <c r="I58" s="179">
        <f t="shared" si="18"/>
        <v>0.1773049645390071</v>
      </c>
      <c r="J58" s="180">
        <f t="shared" si="19"/>
        <v>2820</v>
      </c>
    </row>
    <row r="59" spans="4:10" x14ac:dyDescent="0.3">
      <c r="D59" s="181">
        <v>45849</v>
      </c>
      <c r="E59" s="179">
        <f t="shared" si="14"/>
        <v>0.42008339124391941</v>
      </c>
      <c r="F59" s="179">
        <f t="shared" si="15"/>
        <v>0.20396108408617095</v>
      </c>
      <c r="G59" s="179">
        <f t="shared" si="16"/>
        <v>0.12439193884642112</v>
      </c>
      <c r="H59" s="179">
        <f t="shared" si="17"/>
        <v>7.7484364141765114E-2</v>
      </c>
      <c r="I59" s="179">
        <f t="shared" si="18"/>
        <v>0.17407922168172341</v>
      </c>
      <c r="J59" s="180">
        <f t="shared" si="19"/>
        <v>2878</v>
      </c>
    </row>
    <row r="60" spans="4:10" x14ac:dyDescent="0.3">
      <c r="D60" s="181">
        <v>45850</v>
      </c>
      <c r="E60" s="179">
        <f t="shared" si="14"/>
        <v>0.42875774372350833</v>
      </c>
      <c r="F60" s="179">
        <f t="shared" si="15"/>
        <v>0.19563090968373004</v>
      </c>
      <c r="G60" s="179">
        <f t="shared" si="16"/>
        <v>0.11737854581023802</v>
      </c>
      <c r="H60" s="179">
        <f t="shared" si="17"/>
        <v>7.4665797195956965E-2</v>
      </c>
      <c r="I60" s="179">
        <f t="shared" si="18"/>
        <v>0.18356700358656669</v>
      </c>
      <c r="J60" s="180">
        <f t="shared" si="19"/>
        <v>3067</v>
      </c>
    </row>
    <row r="61" spans="4:10" x14ac:dyDescent="0.3">
      <c r="D61" s="181">
        <v>45851</v>
      </c>
      <c r="E61" s="179">
        <f t="shared" si="14"/>
        <v>0.42929463381707728</v>
      </c>
      <c r="F61" s="179">
        <f t="shared" si="15"/>
        <v>0.20283496456294298</v>
      </c>
      <c r="G61" s="179">
        <f t="shared" si="16"/>
        <v>0.12082348970637867</v>
      </c>
      <c r="H61" s="179">
        <f t="shared" si="17"/>
        <v>7.7961525480931493E-2</v>
      </c>
      <c r="I61" s="179">
        <f t="shared" si="18"/>
        <v>0.1690853864326696</v>
      </c>
      <c r="J61" s="180">
        <f t="shared" si="19"/>
        <v>2963</v>
      </c>
    </row>
    <row r="62" spans="4:10" x14ac:dyDescent="0.3">
      <c r="D62" s="181">
        <v>45852</v>
      </c>
      <c r="E62" s="179">
        <f t="shared" si="14"/>
        <v>0.41274817136886105</v>
      </c>
      <c r="F62" s="179">
        <f t="shared" si="15"/>
        <v>0.20724486241727622</v>
      </c>
      <c r="G62" s="179">
        <f t="shared" si="16"/>
        <v>0.12504353883664229</v>
      </c>
      <c r="H62" s="179">
        <f t="shared" si="17"/>
        <v>8.0111459421804254E-2</v>
      </c>
      <c r="I62" s="179">
        <f t="shared" si="18"/>
        <v>0.17485196795541624</v>
      </c>
      <c r="J62" s="180">
        <f t="shared" si="19"/>
        <v>2871</v>
      </c>
    </row>
    <row r="63" spans="4:10" x14ac:dyDescent="0.3">
      <c r="D63" s="181">
        <v>45853</v>
      </c>
      <c r="E63" s="179">
        <f t="shared" si="14"/>
        <v>0.33333333333333331</v>
      </c>
      <c r="F63" s="179">
        <f t="shared" si="15"/>
        <v>0.23102725366876312</v>
      </c>
      <c r="G63" s="179">
        <f t="shared" si="16"/>
        <v>0.14842767295597484</v>
      </c>
      <c r="H63" s="179">
        <f t="shared" si="17"/>
        <v>8.1761006289308172E-2</v>
      </c>
      <c r="I63" s="179">
        <f t="shared" si="18"/>
        <v>0.20545073375262055</v>
      </c>
      <c r="J63" s="180">
        <f t="shared" si="19"/>
        <v>2385</v>
      </c>
    </row>
    <row r="64" spans="4:10" x14ac:dyDescent="0.3">
      <c r="D64" s="181">
        <v>45854</v>
      </c>
      <c r="E64" s="179">
        <f t="shared" si="14"/>
        <v>0.35985006247396917</v>
      </c>
      <c r="F64" s="179">
        <f t="shared" si="15"/>
        <v>0.23448563098708872</v>
      </c>
      <c r="G64" s="179">
        <f t="shared" si="16"/>
        <v>0.11828404831320283</v>
      </c>
      <c r="H64" s="179">
        <f t="shared" si="17"/>
        <v>7.3719283631820079E-2</v>
      </c>
      <c r="I64" s="179">
        <f t="shared" si="18"/>
        <v>0.2136609745939192</v>
      </c>
      <c r="J64" s="180">
        <f t="shared" si="19"/>
        <v>2401</v>
      </c>
    </row>
    <row r="65" spans="4:10" x14ac:dyDescent="0.3">
      <c r="D65" s="181">
        <v>45855</v>
      </c>
      <c r="E65" s="179">
        <f t="shared" si="14"/>
        <v>0.45117955439056356</v>
      </c>
      <c r="F65" s="179">
        <f t="shared" si="15"/>
        <v>0.20511140235910877</v>
      </c>
      <c r="G65" s="179">
        <f t="shared" si="16"/>
        <v>9.6657929226736564E-2</v>
      </c>
      <c r="H65" s="179">
        <f t="shared" si="17"/>
        <v>7.3394495412844041E-2</v>
      </c>
      <c r="I65" s="179">
        <f t="shared" si="18"/>
        <v>0.17365661861074705</v>
      </c>
      <c r="J65" s="180">
        <f t="shared" si="19"/>
        <v>3052</v>
      </c>
    </row>
    <row r="66" spans="4:10" x14ac:dyDescent="0.3">
      <c r="D66" s="181">
        <v>45856</v>
      </c>
      <c r="E66" s="179">
        <f t="shared" si="14"/>
        <v>0.44953496383052016</v>
      </c>
      <c r="F66" s="179">
        <f t="shared" si="15"/>
        <v>0.20840509817430244</v>
      </c>
      <c r="G66" s="179">
        <f t="shared" si="16"/>
        <v>0.10609714088873579</v>
      </c>
      <c r="H66" s="179">
        <f t="shared" si="17"/>
        <v>7.6817085773337929E-2</v>
      </c>
      <c r="I66" s="179">
        <f t="shared" si="18"/>
        <v>0.15914571133310368</v>
      </c>
      <c r="J66" s="180">
        <f t="shared" si="19"/>
        <v>2903</v>
      </c>
    </row>
    <row r="67" spans="4:10" x14ac:dyDescent="0.3">
      <c r="D67" s="181">
        <v>45857</v>
      </c>
      <c r="E67" s="179">
        <f t="shared" si="14"/>
        <v>0.4524248408282121</v>
      </c>
      <c r="F67" s="179">
        <f t="shared" si="15"/>
        <v>0.20150923559499642</v>
      </c>
      <c r="G67" s="179">
        <f t="shared" si="16"/>
        <v>0.10117826894412302</v>
      </c>
      <c r="H67" s="179">
        <f t="shared" si="17"/>
        <v>7.5990911386013632E-2</v>
      </c>
      <c r="I67" s="179">
        <f t="shared" si="18"/>
        <v>0.16889674324665491</v>
      </c>
      <c r="J67" s="180">
        <f t="shared" si="19"/>
        <v>2891.5299999999997</v>
      </c>
    </row>
    <row r="68" spans="4:10" x14ac:dyDescent="0.3">
      <c r="D68" s="181">
        <v>45858</v>
      </c>
      <c r="E68" s="179">
        <f t="shared" si="14"/>
        <v>0.43578845467617772</v>
      </c>
      <c r="F68" s="179">
        <f t="shared" si="15"/>
        <v>0.20344402401065573</v>
      </c>
      <c r="G68" s="179">
        <f t="shared" si="16"/>
        <v>0.10357510042714661</v>
      </c>
      <c r="H68" s="179">
        <f t="shared" si="17"/>
        <v>7.7441077441077449E-2</v>
      </c>
      <c r="I68" s="179">
        <f t="shared" si="18"/>
        <v>0.17975134344494262</v>
      </c>
      <c r="J68" s="180">
        <f t="shared" si="19"/>
        <v>2830.41</v>
      </c>
    </row>
    <row r="69" spans="4:10" x14ac:dyDescent="0.3">
      <c r="D69" s="181">
        <v>45859</v>
      </c>
      <c r="E69" s="179">
        <f t="shared" si="14"/>
        <v>0.44720938499822255</v>
      </c>
      <c r="F69" s="179">
        <f t="shared" si="15"/>
        <v>0.203697120511909</v>
      </c>
      <c r="G69" s="179">
        <f t="shared" si="16"/>
        <v>0.10415926057589762</v>
      </c>
      <c r="H69" s="179">
        <f t="shared" si="17"/>
        <v>7.714184145040881E-2</v>
      </c>
      <c r="I69" s="179">
        <f t="shared" si="18"/>
        <v>0.16779239246356203</v>
      </c>
      <c r="J69" s="180">
        <f t="shared" si="19"/>
        <v>2813</v>
      </c>
    </row>
    <row r="70" spans="4:10" x14ac:dyDescent="0.3">
      <c r="D70" s="181">
        <v>45860</v>
      </c>
      <c r="E70" s="179">
        <f t="shared" si="14"/>
        <v>0.35430194805194803</v>
      </c>
      <c r="F70" s="179">
        <f t="shared" si="15"/>
        <v>0.22605519480519481</v>
      </c>
      <c r="G70" s="179">
        <f t="shared" si="16"/>
        <v>0.11525974025974026</v>
      </c>
      <c r="H70" s="179">
        <f t="shared" si="17"/>
        <v>8.2386363636363633E-2</v>
      </c>
      <c r="I70" s="179">
        <f t="shared" si="18"/>
        <v>0.22199675324675325</v>
      </c>
      <c r="J70" s="180">
        <f t="shared" si="19"/>
        <v>2464</v>
      </c>
    </row>
    <row r="71" spans="4:10" x14ac:dyDescent="0.3">
      <c r="D71" s="181">
        <v>45861</v>
      </c>
      <c r="E71" s="179">
        <f t="shared" si="14"/>
        <v>0.32720105124835741</v>
      </c>
      <c r="F71" s="179">
        <f t="shared" si="15"/>
        <v>0.2413491020586947</v>
      </c>
      <c r="G71" s="179">
        <f t="shared" si="16"/>
        <v>0.12176960140166447</v>
      </c>
      <c r="H71" s="179">
        <f t="shared" si="17"/>
        <v>8.4975908891809018E-2</v>
      </c>
      <c r="I71" s="179">
        <f t="shared" si="18"/>
        <v>0.22470433639947437</v>
      </c>
      <c r="J71" s="180">
        <f t="shared" si="19"/>
        <v>2283</v>
      </c>
    </row>
    <row r="72" spans="4:10" x14ac:dyDescent="0.3">
      <c r="D72" s="181">
        <v>45862</v>
      </c>
      <c r="E72" s="179">
        <f t="shared" si="14"/>
        <v>0.37354085603112841</v>
      </c>
      <c r="F72" s="179">
        <f t="shared" si="15"/>
        <v>0.22178988326848248</v>
      </c>
      <c r="G72" s="179">
        <f t="shared" si="16"/>
        <v>0.11400778210116731</v>
      </c>
      <c r="H72" s="179">
        <f t="shared" si="17"/>
        <v>8.7159533073929957E-2</v>
      </c>
      <c r="I72" s="179">
        <f t="shared" si="18"/>
        <v>0.20350194552529183</v>
      </c>
      <c r="J72" s="180">
        <f t="shared" si="19"/>
        <v>2570</v>
      </c>
    </row>
    <row r="73" spans="4:10" x14ac:dyDescent="0.3">
      <c r="D73" s="181">
        <v>45863</v>
      </c>
      <c r="E73" s="179">
        <f t="shared" si="14"/>
        <v>0.40620384047267355</v>
      </c>
      <c r="F73" s="179">
        <f t="shared" si="15"/>
        <v>0.21085672082717874</v>
      </c>
      <c r="G73" s="179">
        <f t="shared" si="16"/>
        <v>0.1085672082717873</v>
      </c>
      <c r="H73" s="179">
        <f t="shared" si="17"/>
        <v>8.2348596750369277E-2</v>
      </c>
      <c r="I73" s="179">
        <f t="shared" si="18"/>
        <v>0.19202363367799113</v>
      </c>
      <c r="J73" s="180">
        <f t="shared" si="19"/>
        <v>2708</v>
      </c>
    </row>
    <row r="74" spans="4:10" x14ac:dyDescent="0.3">
      <c r="D74" s="181">
        <v>45864</v>
      </c>
      <c r="E74" s="179">
        <f t="shared" si="14"/>
        <v>0.41980965808953119</v>
      </c>
      <c r="F74" s="179">
        <f t="shared" si="15"/>
        <v>0.20937610151568559</v>
      </c>
      <c r="G74" s="179">
        <f t="shared" si="16"/>
        <v>9.7638350370109275E-2</v>
      </c>
      <c r="H74" s="179">
        <f t="shared" si="17"/>
        <v>8.1424039478322177E-2</v>
      </c>
      <c r="I74" s="179">
        <f t="shared" si="18"/>
        <v>0.19175185054635177</v>
      </c>
      <c r="J74" s="180">
        <f t="shared" si="19"/>
        <v>2837</v>
      </c>
    </row>
    <row r="75" spans="4:10" x14ac:dyDescent="0.3">
      <c r="D75" s="181">
        <v>45865</v>
      </c>
      <c r="E75" s="179">
        <f t="shared" si="14"/>
        <v>0.43289426842292633</v>
      </c>
      <c r="F75" s="179">
        <f t="shared" si="15"/>
        <v>0.20790316838732645</v>
      </c>
      <c r="G75" s="179">
        <f t="shared" si="16"/>
        <v>9.8255606977572088E-2</v>
      </c>
      <c r="H75" s="179">
        <f t="shared" si="17"/>
        <v>8.365966536133855E-2</v>
      </c>
      <c r="I75" s="179">
        <f t="shared" si="18"/>
        <v>0.17728729085083661</v>
      </c>
      <c r="J75" s="180">
        <f t="shared" si="19"/>
        <v>2809</v>
      </c>
    </row>
    <row r="76" spans="4:10" x14ac:dyDescent="0.3">
      <c r="D76" s="181">
        <v>45866</v>
      </c>
      <c r="E76" s="179">
        <f t="shared" si="14"/>
        <v>0.40960349217897418</v>
      </c>
      <c r="F76" s="179">
        <f t="shared" si="15"/>
        <v>0.21062204437977447</v>
      </c>
      <c r="G76" s="179">
        <f t="shared" si="16"/>
        <v>0.10985813022917425</v>
      </c>
      <c r="H76" s="179">
        <f t="shared" si="17"/>
        <v>8.6940705711167701E-2</v>
      </c>
      <c r="I76" s="179">
        <f t="shared" si="18"/>
        <v>0.18297562750090943</v>
      </c>
      <c r="J76" s="180">
        <f t="shared" si="19"/>
        <v>2749</v>
      </c>
    </row>
    <row r="77" spans="4:10" x14ac:dyDescent="0.3">
      <c r="D77" s="181">
        <v>45867</v>
      </c>
      <c r="E77" s="179">
        <f t="shared" si="14"/>
        <v>0.35375000000000001</v>
      </c>
      <c r="F77" s="179">
        <f t="shared" si="15"/>
        <v>0.23333333333333334</v>
      </c>
      <c r="G77" s="179">
        <f t="shared" si="16"/>
        <v>0.11583333333333333</v>
      </c>
      <c r="H77" s="179">
        <f t="shared" si="17"/>
        <v>9.0833333333333335E-2</v>
      </c>
      <c r="I77" s="179">
        <f t="shared" si="18"/>
        <v>0.20624999999999999</v>
      </c>
      <c r="J77" s="180">
        <f t="shared" si="19"/>
        <v>2400</v>
      </c>
    </row>
    <row r="78" spans="4:10" x14ac:dyDescent="0.3">
      <c r="D78" s="181">
        <v>45868</v>
      </c>
      <c r="E78" s="179">
        <f t="shared" si="14"/>
        <v>0.35374149659863946</v>
      </c>
      <c r="F78" s="179">
        <f t="shared" si="15"/>
        <v>0.24064625850340135</v>
      </c>
      <c r="G78" s="179">
        <f t="shared" si="16"/>
        <v>0.11904761904761904</v>
      </c>
      <c r="H78" s="179">
        <f t="shared" si="17"/>
        <v>8.2057823129251695E-2</v>
      </c>
      <c r="I78" s="179">
        <f t="shared" si="18"/>
        <v>0.20450680272108843</v>
      </c>
      <c r="J78" s="180">
        <f t="shared" si="19"/>
        <v>2352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9 L21:L25 L41:L42">
    <cfRule type="cellIs" dxfId="73" priority="224" operator="equal">
      <formula>MAX($L$14:$L$16)</formula>
    </cfRule>
  </conditionalFormatting>
  <conditionalFormatting sqref="T16:T19 T27:T39 T21:T25 T41:T43">
    <cfRule type="cellIs" dxfId="72" priority="225" operator="equal">
      <formula>MAX($T$14:$T$16)</formula>
    </cfRule>
  </conditionalFormatting>
  <conditionalFormatting sqref="X16:X19 X27:X39 X21:X25 X41:X43">
    <cfRule type="cellIs" dxfId="71" priority="226" operator="equal">
      <formula>MAX($X$14:$X$16)</formula>
    </cfRule>
  </conditionalFormatting>
  <conditionalFormatting sqref="J16:J19 J27:J39 J21:J25 J41:J42">
    <cfRule type="cellIs" dxfId="70" priority="227" operator="equal">
      <formula>MAX($J$14:$J$16)</formula>
    </cfRule>
  </conditionalFormatting>
  <conditionalFormatting sqref="V16:V19 V27:V39 V21:V23 V41:V43">
    <cfRule type="cellIs" dxfId="69" priority="228" operator="equal">
      <formula>MAX($V$14:$V$16)</formula>
    </cfRule>
  </conditionalFormatting>
  <conditionalFormatting sqref="D16:D19">
    <cfRule type="cellIs" dxfId="68" priority="229" operator="equal">
      <formula>MAX($D$14:$D$16)</formula>
    </cfRule>
  </conditionalFormatting>
  <conditionalFormatting sqref="S16:S19 S27:S39 S21:S25 S41:S43">
    <cfRule type="cellIs" dxfId="67" priority="230" operator="equal">
      <formula>MAX($S$14:$S$16)</formula>
    </cfRule>
  </conditionalFormatting>
  <conditionalFormatting sqref="N16:N19 N27:N39 N21:N25 N41:N42">
    <cfRule type="cellIs" dxfId="66" priority="231" operator="equal">
      <formula>MAX($N$14:$N$16)</formula>
    </cfRule>
  </conditionalFormatting>
  <conditionalFormatting sqref="P16:P19 P27:P39 P21:P25 P41:P42">
    <cfRule type="cellIs" dxfId="65" priority="232" operator="equal">
      <formula>MAX($P$14:$P$16)</formula>
    </cfRule>
  </conditionalFormatting>
  <conditionalFormatting sqref="L26">
    <cfRule type="cellIs" dxfId="64" priority="156" operator="equal">
      <formula>MAX($L$14:$L$16)</formula>
    </cfRule>
  </conditionalFormatting>
  <conditionalFormatting sqref="T26">
    <cfRule type="cellIs" dxfId="63" priority="157" operator="equal">
      <formula>MAX($T$14:$T$16)</formula>
    </cfRule>
  </conditionalFormatting>
  <conditionalFormatting sqref="X26">
    <cfRule type="cellIs" dxfId="62" priority="158" operator="equal">
      <formula>MAX($X$14:$X$16)</formula>
    </cfRule>
  </conditionalFormatting>
  <conditionalFormatting sqref="J26">
    <cfRule type="cellIs" dxfId="61" priority="159" operator="equal">
      <formula>MAX($J$14:$J$16)</formula>
    </cfRule>
  </conditionalFormatting>
  <conditionalFormatting sqref="V26">
    <cfRule type="cellIs" dxfId="60" priority="160" operator="equal">
      <formula>MAX($V$14:$V$16)</formula>
    </cfRule>
  </conditionalFormatting>
  <conditionalFormatting sqref="S26">
    <cfRule type="cellIs" dxfId="59" priority="162" operator="equal">
      <formula>MAX($S$14:$S$16)</formula>
    </cfRule>
  </conditionalFormatting>
  <conditionalFormatting sqref="N26">
    <cfRule type="cellIs" dxfId="58" priority="163" operator="equal">
      <formula>MAX($N$14:$N$16)</formula>
    </cfRule>
  </conditionalFormatting>
  <conditionalFormatting sqref="P26">
    <cfRule type="cellIs" dxfId="57" priority="164" operator="equal">
      <formula>MAX($P$14:$P$16)</formula>
    </cfRule>
  </conditionalFormatting>
  <conditionalFormatting sqref="L40">
    <cfRule type="cellIs" dxfId="56" priority="146" operator="equal">
      <formula>MAX($L$14:$L$16)</formula>
    </cfRule>
  </conditionalFormatting>
  <conditionalFormatting sqref="T40">
    <cfRule type="cellIs" dxfId="55" priority="147" operator="equal">
      <formula>MAX($T$14:$T$16)</formula>
    </cfRule>
  </conditionalFormatting>
  <conditionalFormatting sqref="X40">
    <cfRule type="cellIs" dxfId="54" priority="148" operator="equal">
      <formula>MAX($X$14:$X$16)</formula>
    </cfRule>
  </conditionalFormatting>
  <conditionalFormatting sqref="J40">
    <cfRule type="cellIs" dxfId="53" priority="149" operator="equal">
      <formula>MAX($J$14:$J$16)</formula>
    </cfRule>
  </conditionalFormatting>
  <conditionalFormatting sqref="V40">
    <cfRule type="cellIs" dxfId="52" priority="150" operator="equal">
      <formula>MAX($V$14:$V$16)</formula>
    </cfRule>
  </conditionalFormatting>
  <conditionalFormatting sqref="S40">
    <cfRule type="cellIs" dxfId="51" priority="152" operator="equal">
      <formula>MAX($S$14:$S$16)</formula>
    </cfRule>
  </conditionalFormatting>
  <conditionalFormatting sqref="N40">
    <cfRule type="cellIs" dxfId="50" priority="153" operator="equal">
      <formula>MAX($N$14:$N$16)</formula>
    </cfRule>
  </conditionalFormatting>
  <conditionalFormatting sqref="P40">
    <cfRule type="cellIs" dxfId="49" priority="154" operator="equal">
      <formula>MAX($P$14:$P$16)</formula>
    </cfRule>
  </conditionalFormatting>
  <conditionalFormatting sqref="D20:D42 D44:D45">
    <cfRule type="cellIs" dxfId="48" priority="142" operator="equal">
      <formula>MAX($D$14:$D$42)</formula>
    </cfRule>
  </conditionalFormatting>
  <conditionalFormatting sqref="L20">
    <cfRule type="cellIs" dxfId="47" priority="133" operator="equal">
      <formula>MAX($L$14:$L$42)</formula>
    </cfRule>
  </conditionalFormatting>
  <conditionalFormatting sqref="T20">
    <cfRule type="cellIs" dxfId="46" priority="134" operator="equal">
      <formula>MAX($T$14:$T$42)</formula>
    </cfRule>
  </conditionalFormatting>
  <conditionalFormatting sqref="X20">
    <cfRule type="cellIs" dxfId="45" priority="135" operator="equal">
      <formula>MAX($X$14:$X$42)</formula>
    </cfRule>
  </conditionalFormatting>
  <conditionalFormatting sqref="J20">
    <cfRule type="cellIs" dxfId="44" priority="136" operator="equal">
      <formula>MAX($J$14:$J$42)</formula>
    </cfRule>
  </conditionalFormatting>
  <conditionalFormatting sqref="V20">
    <cfRule type="cellIs" dxfId="43" priority="137" operator="equal">
      <formula>MAX($V$14:$V$42)</formula>
    </cfRule>
  </conditionalFormatting>
  <conditionalFormatting sqref="S20">
    <cfRule type="cellIs" dxfId="42" priority="138" operator="equal">
      <formula>MAX($S$14:$S$42)</formula>
    </cfRule>
  </conditionalFormatting>
  <conditionalFormatting sqref="N20">
    <cfRule type="cellIs" dxfId="41" priority="139" operator="equal">
      <formula>MAX($N$14:$N$42)</formula>
    </cfRule>
  </conditionalFormatting>
  <conditionalFormatting sqref="P20">
    <cfRule type="cellIs" dxfId="40" priority="140" operator="equal">
      <formula>MAX($P$14:$P$42)</formula>
    </cfRule>
  </conditionalFormatting>
  <conditionalFormatting sqref="E48:E64">
    <cfRule type="top10" dxfId="39" priority="132" rank="2"/>
  </conditionalFormatting>
  <conditionalFormatting sqref="F48:F78">
    <cfRule type="top10" dxfId="38" priority="131" rank="2"/>
  </conditionalFormatting>
  <conditionalFormatting sqref="G48:G64">
    <cfRule type="top10" dxfId="37" priority="130" rank="2"/>
  </conditionalFormatting>
  <conditionalFormatting sqref="H48:H64">
    <cfRule type="top10" dxfId="36" priority="129" rank="2"/>
  </conditionalFormatting>
  <conditionalFormatting sqref="I48:I64">
    <cfRule type="top10" dxfId="35" priority="128" rank="2"/>
  </conditionalFormatting>
  <conditionalFormatting sqref="V24">
    <cfRule type="cellIs" dxfId="34" priority="98" operator="equal">
      <formula>MAX($J$14:$J$16)</formula>
    </cfRule>
  </conditionalFormatting>
  <conditionalFormatting sqref="V25">
    <cfRule type="cellIs" dxfId="33" priority="97" operator="equal">
      <formula>MAX($J$14:$J$16)</formula>
    </cfRule>
  </conditionalFormatting>
  <conditionalFormatting sqref="G15:G45">
    <cfRule type="cellIs" dxfId="32" priority="86" operator="equal">
      <formula>MAX($G$14:$G$16)</formula>
    </cfRule>
  </conditionalFormatting>
  <conditionalFormatting sqref="L44:L45">
    <cfRule type="cellIs" dxfId="31" priority="76" operator="equal">
      <formula>MAX($L$14:$L$16)</formula>
    </cfRule>
  </conditionalFormatting>
  <conditionalFormatting sqref="T44:T45">
    <cfRule type="cellIs" dxfId="30" priority="77" operator="equal">
      <formula>MAX($T$14:$T$16)</formula>
    </cfRule>
  </conditionalFormatting>
  <conditionalFormatting sqref="X44:X45">
    <cfRule type="cellIs" dxfId="29" priority="78" operator="equal">
      <formula>MAX($X$14:$X$16)</formula>
    </cfRule>
  </conditionalFormatting>
  <conditionalFormatting sqref="J44:J45">
    <cfRule type="cellIs" dxfId="28" priority="79" operator="equal">
      <formula>MAX($J$14:$J$16)</formula>
    </cfRule>
  </conditionalFormatting>
  <conditionalFormatting sqref="V44:V45">
    <cfRule type="cellIs" dxfId="27" priority="80" operator="equal">
      <formula>MAX($V$14:$V$16)</formula>
    </cfRule>
  </conditionalFormatting>
  <conditionalFormatting sqref="S44:S45">
    <cfRule type="cellIs" dxfId="26" priority="82" operator="equal">
      <formula>MAX($S$14:$S$16)</formula>
    </cfRule>
  </conditionalFormatting>
  <conditionalFormatting sqref="N44:N45">
    <cfRule type="cellIs" dxfId="25" priority="83" operator="equal">
      <formula>MAX($N$14:$N$16)</formula>
    </cfRule>
  </conditionalFormatting>
  <conditionalFormatting sqref="P44:P45">
    <cfRule type="cellIs" dxfId="24" priority="84" operator="equal">
      <formula>MAX($P$14:$P$16)</formula>
    </cfRule>
  </conditionalFormatting>
  <conditionalFormatting sqref="D15">
    <cfRule type="cellIs" dxfId="23" priority="65" operator="equal">
      <formula>MAX($D$14:$D$16)</formula>
    </cfRule>
  </conditionalFormatting>
  <conditionalFormatting sqref="L15">
    <cfRule type="cellIs" dxfId="22" priority="62" operator="equal">
      <formula>MAX($L$14:$L$16)</formula>
    </cfRule>
  </conditionalFormatting>
  <conditionalFormatting sqref="J15">
    <cfRule type="cellIs" dxfId="21" priority="63" operator="equal">
      <formula>MAX($J$14:$J$16)</formula>
    </cfRule>
  </conditionalFormatting>
  <conditionalFormatting sqref="N15">
    <cfRule type="cellIs" dxfId="20" priority="58" operator="equal">
      <formula>MAX($N$14:$N$16)</formula>
    </cfRule>
  </conditionalFormatting>
  <conditionalFormatting sqref="P15">
    <cfRule type="cellIs" dxfId="19" priority="59" operator="equal">
      <formula>MAX($P$14:$P$16)</formula>
    </cfRule>
  </conditionalFormatting>
  <conditionalFormatting sqref="T15">
    <cfRule type="cellIs" dxfId="18" priority="54" operator="equal">
      <formula>MAX($T$14:$T$16)</formula>
    </cfRule>
  </conditionalFormatting>
  <conditionalFormatting sqref="S15">
    <cfRule type="cellIs" dxfId="17" priority="55" operator="equal">
      <formula>MAX($S$14:$S$16)</formula>
    </cfRule>
  </conditionalFormatting>
  <conditionalFormatting sqref="X15">
    <cfRule type="cellIs" dxfId="16" priority="50" operator="equal">
      <formula>MAX($X$14:$X$16)</formula>
    </cfRule>
  </conditionalFormatting>
  <conditionalFormatting sqref="V15">
    <cfRule type="cellIs" dxfId="15" priority="51" operator="equal">
      <formula>MAX($V$14:$V$16)</formula>
    </cfRule>
  </conditionalFormatting>
  <conditionalFormatting sqref="N43">
    <cfRule type="cellIs" dxfId="14" priority="35" operator="equal">
      <formula>MAX($N$14:$N$16)</formula>
    </cfRule>
  </conditionalFormatting>
  <conditionalFormatting sqref="P43">
    <cfRule type="cellIs" dxfId="13" priority="36" operator="equal">
      <formula>MAX($P$14:$P$16)</formula>
    </cfRule>
  </conditionalFormatting>
  <conditionalFormatting sqref="L43">
    <cfRule type="cellIs" dxfId="12" priority="31" operator="equal">
      <formula>MAX($L$14:$L$16)</formula>
    </cfRule>
  </conditionalFormatting>
  <conditionalFormatting sqref="J43">
    <cfRule type="cellIs" dxfId="11" priority="32" operator="equal">
      <formula>MAX($J$14:$J$16)</formula>
    </cfRule>
  </conditionalFormatting>
  <conditionalFormatting sqref="D43">
    <cfRule type="cellIs" dxfId="10" priority="29" operator="equal">
      <formula>MAX($D$14:$D$42)</formula>
    </cfRule>
  </conditionalFormatting>
  <conditionalFormatting sqref="G14">
    <cfRule type="cellIs" dxfId="9" priority="18" operator="equal">
      <formula>MAX($G$14:$G$16)</formula>
    </cfRule>
  </conditionalFormatting>
  <conditionalFormatting sqref="D14">
    <cfRule type="cellIs" dxfId="8" priority="9" operator="equal">
      <formula>MAX($D$14:$D$42)</formula>
    </cfRule>
  </conditionalFormatting>
  <conditionalFormatting sqref="L14">
    <cfRule type="cellIs" dxfId="7" priority="7" operator="equal">
      <formula>MAX($L$14:$L$16)</formula>
    </cfRule>
  </conditionalFormatting>
  <conditionalFormatting sqref="J14">
    <cfRule type="cellIs" dxfId="6" priority="8" operator="equal">
      <formula>MAX($J$14:$J$16)</formula>
    </cfRule>
  </conditionalFormatting>
  <conditionalFormatting sqref="N14">
    <cfRule type="cellIs" dxfId="5" priority="5" operator="equal">
      <formula>MAX($N$14:$N$16)</formula>
    </cfRule>
  </conditionalFormatting>
  <conditionalFormatting sqref="P14">
    <cfRule type="cellIs" dxfId="4" priority="6" operator="equal">
      <formula>MAX($P$14:$P$16)</formula>
    </cfRule>
  </conditionalFormatting>
  <conditionalFormatting sqref="T14">
    <cfRule type="cellIs" dxfId="3" priority="3" operator="equal">
      <formula>MAX($T$14:$T$16)</formula>
    </cfRule>
  </conditionalFormatting>
  <conditionalFormatting sqref="S14">
    <cfRule type="cellIs" dxfId="2" priority="4" operator="equal">
      <formula>MAX($S$14:$S$16)</formula>
    </cfRule>
  </conditionalFormatting>
  <conditionalFormatting sqref="X14">
    <cfRule type="cellIs" dxfId="1" priority="1" operator="equal">
      <formula>MAX($X$14:$X$16)</formula>
    </cfRule>
  </conditionalFormatting>
  <conditionalFormatting sqref="V14">
    <cfRule type="cellIs" dxfId="0" priority="2" operator="equal">
      <formula>MAX($V$14:$V$16)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4.4" x14ac:dyDescent="0.3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TaxCatchAll xmlns="ffac592c-cdc9-47d3-9b5f-572462ebd9e4" xsi:nil="true"/>
    <_Flow_SignoffStatus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22BD2D-0BE5-427A-AD73-83E0CD10A5DD}"/>
</file>

<file path=customXml/itemProps2.xml><?xml version="1.0" encoding="utf-8"?>
<ds:datastoreItem xmlns:ds="http://schemas.openxmlformats.org/officeDocument/2006/customXml" ds:itemID="{488D7E0A-BB8A-48C0-90CF-5A294563F3CE}"/>
</file>

<file path=customXml/itemProps3.xml><?xml version="1.0" encoding="utf-8"?>
<ds:datastoreItem xmlns:ds="http://schemas.openxmlformats.org/officeDocument/2006/customXml" ds:itemID="{B45DD6F4-7C50-4C34-8077-170FA52EC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Freddy Juarez Espinoza</cp:lastModifiedBy>
  <dcterms:created xsi:type="dcterms:W3CDTF">2022-10-03T10:52:32Z</dcterms:created>
  <dcterms:modified xsi:type="dcterms:W3CDTF">2025-12-01T11:00:13Z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7304700</vt:r8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