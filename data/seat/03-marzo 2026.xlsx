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6/marzo/31-03-2026/"/>
    </mc:Choice>
  </mc:AlternateContent>
  <xr:revisionPtr revIDLastSave="3" documentId="13_ncr:1_{ECD9FC00-F36C-4054-8AB9-7B3D04D309C3}" xr6:coauthVersionLast="47" xr6:coauthVersionMax="47" xr10:uidLastSave="{A8637FD2-5069-434C-9C1B-C486F1C75A28}"/>
  <bookViews>
    <workbookView xWindow="-120" yWindow="-1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7" i="1" l="1"/>
  <c r="BB36" i="1"/>
  <c r="BB35" i="1"/>
  <c r="BA35" i="1" s="1"/>
  <c r="AY35" i="1" s="1"/>
  <c r="BB34" i="1"/>
  <c r="BB33" i="1"/>
  <c r="BA33" i="1" s="1"/>
  <c r="AY33" i="1" s="1"/>
  <c r="BB32" i="1"/>
  <c r="BB31" i="1"/>
  <c r="BA31" i="1" s="1"/>
  <c r="AY31" i="1" s="1"/>
  <c r="BB30" i="1"/>
  <c r="BA30" i="1" s="1"/>
  <c r="AY30" i="1" s="1"/>
  <c r="BB29" i="1"/>
  <c r="BB28" i="1"/>
  <c r="BB27" i="1"/>
  <c r="BB26" i="1"/>
  <c r="BA26" i="1" s="1"/>
  <c r="AY26" i="1" s="1"/>
  <c r="BB25" i="1"/>
  <c r="BB24" i="1"/>
  <c r="BA24" i="1" s="1"/>
  <c r="AY24" i="1" s="1"/>
  <c r="BB23" i="1"/>
  <c r="BB22" i="1"/>
  <c r="BA22" i="1" s="1"/>
  <c r="AY22" i="1" s="1"/>
  <c r="BB21" i="1"/>
  <c r="BA20" i="1"/>
  <c r="AY20" i="1" s="1"/>
  <c r="BB19" i="1"/>
  <c r="BB18" i="1"/>
  <c r="BA18" i="1" s="1"/>
  <c r="AY18" i="1" s="1"/>
  <c r="BB17" i="1"/>
  <c r="BB16" i="1"/>
  <c r="BA16" i="1"/>
  <c r="AY16" i="1" s="1"/>
  <c r="BB15" i="1"/>
  <c r="BB14" i="1"/>
  <c r="BB13" i="1"/>
  <c r="BB12" i="1"/>
  <c r="BB11" i="1"/>
  <c r="BB10" i="1"/>
  <c r="BB9" i="1"/>
  <c r="BB8" i="1"/>
  <c r="BA8" i="1" s="1"/>
  <c r="AY8" i="1" s="1"/>
  <c r="BB7" i="1"/>
  <c r="BA7" i="1" s="1"/>
  <c r="AY7" i="1" s="1"/>
  <c r="BA37" i="1"/>
  <c r="AY37" i="1" s="1"/>
  <c r="G45" i="2"/>
  <c r="G44" i="2"/>
  <c r="G43" i="2"/>
  <c r="AV35" i="1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BA15" i="1"/>
  <c r="AY15" i="1" s="1"/>
  <c r="BA17" i="1"/>
  <c r="AY17" i="1" s="1"/>
  <c r="BA19" i="1"/>
  <c r="AY19" i="1" s="1"/>
  <c r="BA21" i="1"/>
  <c r="AY21" i="1" s="1"/>
  <c r="BA23" i="1"/>
  <c r="AY23" i="1" s="1"/>
  <c r="BA25" i="1"/>
  <c r="AY25" i="1" s="1"/>
  <c r="BA27" i="1"/>
  <c r="AY27" i="1" s="1"/>
  <c r="BA28" i="1"/>
  <c r="AY28" i="1" s="1"/>
  <c r="BA29" i="1"/>
  <c r="AY29" i="1" s="1"/>
  <c r="BA32" i="1"/>
  <c r="AY32" i="1" s="1"/>
  <c r="BA34" i="1"/>
  <c r="AY34" i="1" s="1"/>
  <c r="BA36" i="1"/>
  <c r="AY36" i="1" s="1"/>
  <c r="BA12" i="1"/>
  <c r="AY12" i="1" s="1"/>
  <c r="BA13" i="1"/>
  <c r="AY13" i="1" s="1"/>
  <c r="AY14" i="1"/>
  <c r="BA11" i="1"/>
  <c r="AY11" i="1" s="1"/>
  <c r="G22" i="2"/>
  <c r="G21" i="2"/>
  <c r="G20" i="2"/>
  <c r="G19" i="2"/>
  <c r="BA10" i="1"/>
  <c r="AY10" i="1" s="1"/>
  <c r="G18" i="2"/>
  <c r="BA9" i="1"/>
  <c r="AY9" i="1" s="1"/>
  <c r="G17" i="2"/>
  <c r="G15" i="2"/>
  <c r="G16" i="2"/>
  <c r="U14" i="2"/>
  <c r="M14" i="2"/>
  <c r="I14" i="2"/>
  <c r="R14" i="2"/>
  <c r="G14" i="2"/>
  <c r="Q6" i="1"/>
  <c r="BI6" i="1" s="1"/>
  <c r="BL6" i="1"/>
  <c r="BJ6" i="1" s="1"/>
  <c r="BA6" i="1"/>
  <c r="AY6" i="1" s="1"/>
  <c r="AX6" i="1"/>
  <c r="AP6" i="1"/>
  <c r="AM6" i="1" s="1"/>
  <c r="AN6" i="1"/>
  <c r="AF6" i="1"/>
  <c r="AC6" i="1" s="1"/>
  <c r="AD6" i="1"/>
  <c r="H6" i="1"/>
  <c r="D6" i="1"/>
  <c r="J79" i="2"/>
  <c r="E79" i="2" s="1"/>
  <c r="R36" i="2"/>
  <c r="R35" i="2"/>
  <c r="BK6" i="1" l="1"/>
  <c r="AW6" i="1"/>
  <c r="J6" i="1"/>
  <c r="N6" i="1" s="1"/>
  <c r="L6" i="1"/>
  <c r="P6" i="1" s="1"/>
  <c r="I6" i="1"/>
  <c r="M6" i="1" s="1"/>
  <c r="K6" i="1"/>
  <c r="O6" i="1" s="1"/>
  <c r="AB6" i="1"/>
  <c r="AL6" i="1"/>
  <c r="AV6" i="1"/>
  <c r="G6" i="1"/>
  <c r="F6" i="1"/>
  <c r="E6" i="1" s="1"/>
  <c r="I79" i="2"/>
  <c r="H79" i="2"/>
  <c r="G79" i="2"/>
  <c r="F79" i="2"/>
  <c r="BL32" i="1"/>
  <c r="BK32" i="1" s="1"/>
  <c r="AW32" i="1"/>
  <c r="AX32" i="1"/>
  <c r="AP32" i="1"/>
  <c r="AM32" i="1" s="1"/>
  <c r="AN32" i="1"/>
  <c r="AF32" i="1"/>
  <c r="AC32" i="1" s="1"/>
  <c r="AD32" i="1"/>
  <c r="R33" i="2"/>
  <c r="BL25" i="1"/>
  <c r="BJ25" i="1" s="1"/>
  <c r="AX25" i="1"/>
  <c r="AP25" i="1"/>
  <c r="AM25" i="1" s="1"/>
  <c r="AN25" i="1"/>
  <c r="AF25" i="1"/>
  <c r="AC25" i="1" s="1"/>
  <c r="AD25" i="1"/>
  <c r="BK25" i="1" l="1"/>
  <c r="AW25" i="1"/>
  <c r="BJ32" i="1"/>
  <c r="BL13" i="1" l="1"/>
  <c r="BJ13" i="1" s="1"/>
  <c r="AX13" i="1"/>
  <c r="AP13" i="1"/>
  <c r="AM13" i="1" s="1"/>
  <c r="AN13" i="1"/>
  <c r="AF13" i="1"/>
  <c r="AC13" i="1" s="1"/>
  <c r="AD13" i="1"/>
  <c r="AP14" i="1"/>
  <c r="AF14" i="1"/>
  <c r="H35" i="1"/>
  <c r="H34" i="1"/>
  <c r="AN30" i="1"/>
  <c r="H25" i="1"/>
  <c r="H24" i="1"/>
  <c r="H29" i="1"/>
  <c r="H23" i="1"/>
  <c r="H11" i="1"/>
  <c r="BV11" i="1" s="1"/>
  <c r="H12" i="1"/>
  <c r="BV12" i="1" s="1"/>
  <c r="H13" i="1"/>
  <c r="BV13" i="1" s="1"/>
  <c r="H14" i="1"/>
  <c r="BV14" i="1" s="1"/>
  <c r="H15" i="1"/>
  <c r="BV15" i="1" s="1"/>
  <c r="H16" i="1"/>
  <c r="BV16" i="1" s="1"/>
  <c r="H17" i="1"/>
  <c r="BV17" i="1" s="1"/>
  <c r="H18" i="1"/>
  <c r="BV18" i="1" s="1"/>
  <c r="H19" i="1"/>
  <c r="BV19" i="1" s="1"/>
  <c r="H20" i="1"/>
  <c r="BV20" i="1" s="1"/>
  <c r="H21" i="1"/>
  <c r="BV21" i="1" s="1"/>
  <c r="H22" i="1"/>
  <c r="H26" i="1"/>
  <c r="H27" i="1"/>
  <c r="H28" i="1"/>
  <c r="H30" i="1"/>
  <c r="H31" i="1"/>
  <c r="H32" i="1"/>
  <c r="H33" i="1"/>
  <c r="H36" i="1"/>
  <c r="H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AD37" i="1"/>
  <c r="AF37" i="1"/>
  <c r="AC37" i="1" s="1"/>
  <c r="AN37" i="1"/>
  <c r="AP37" i="1"/>
  <c r="AM37" i="1" s="1"/>
  <c r="AX37" i="1"/>
  <c r="BL37" i="1"/>
  <c r="BK37" i="1" s="1"/>
  <c r="H10" i="1"/>
  <c r="BV10" i="1" s="1"/>
  <c r="AF36" i="1"/>
  <c r="H9" i="1"/>
  <c r="BV9" i="1" s="1"/>
  <c r="H8" i="1"/>
  <c r="BV8" i="1" s="1"/>
  <c r="BK13" i="1" l="1"/>
  <c r="F37" i="1"/>
  <c r="E37" i="1" s="1"/>
  <c r="F29" i="1"/>
  <c r="F26" i="1"/>
  <c r="F22" i="1"/>
  <c r="AW13" i="1"/>
  <c r="F17" i="1"/>
  <c r="F35" i="1"/>
  <c r="F16" i="1"/>
  <c r="F36" i="1"/>
  <c r="F21" i="1"/>
  <c r="F20" i="1"/>
  <c r="F11" i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G37" i="1"/>
  <c r="AW37" i="1"/>
  <c r="J37" i="1"/>
  <c r="N37" i="1" s="1"/>
  <c r="L37" i="1"/>
  <c r="P37" i="1" s="1"/>
  <c r="K37" i="1"/>
  <c r="O37" i="1" s="1"/>
  <c r="BJ37" i="1"/>
  <c r="BL26" i="1"/>
  <c r="AP27" i="1" l="1"/>
  <c r="AF22" i="1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4" i="1"/>
  <c r="AP35" i="1"/>
  <c r="AP36" i="1"/>
  <c r="AX7" i="1"/>
  <c r="AW7" i="1"/>
  <c r="AX8" i="1"/>
  <c r="AX9" i="1"/>
  <c r="AX10" i="1"/>
  <c r="AX11" i="1"/>
  <c r="AX12" i="1"/>
  <c r="AW12" i="1"/>
  <c r="AX14" i="1"/>
  <c r="AX15" i="1"/>
  <c r="AW15" i="1"/>
  <c r="AX16" i="1"/>
  <c r="AX17" i="1"/>
  <c r="AW17" i="1"/>
  <c r="AX18" i="1"/>
  <c r="AX19" i="1"/>
  <c r="AW19" i="1"/>
  <c r="AX20" i="1"/>
  <c r="AX21" i="1"/>
  <c r="AW21" i="1"/>
  <c r="AX22" i="1"/>
  <c r="AX23" i="1"/>
  <c r="AW23" i="1"/>
  <c r="AX24" i="1"/>
  <c r="AX26" i="1"/>
  <c r="AW27" i="1"/>
  <c r="AX27" i="1"/>
  <c r="AX29" i="1"/>
  <c r="AW29" i="1"/>
  <c r="AX30" i="1"/>
  <c r="AX31" i="1"/>
  <c r="AW31" i="1"/>
  <c r="AX33" i="1"/>
  <c r="AW33" i="1"/>
  <c r="AX34" i="1"/>
  <c r="AX35" i="1"/>
  <c r="AW35" i="1"/>
  <c r="AX36" i="1"/>
  <c r="AW36" i="1" l="1"/>
  <c r="AW30" i="1"/>
  <c r="AW34" i="1"/>
  <c r="AW10" i="1"/>
  <c r="AX28" i="1"/>
  <c r="AW28" i="1"/>
  <c r="AW26" i="1"/>
  <c r="AW24" i="1"/>
  <c r="AW22" i="1"/>
  <c r="AW20" i="1"/>
  <c r="AW18" i="1"/>
  <c r="AW16" i="1"/>
  <c r="AW14" i="1"/>
  <c r="AW9" i="1" l="1"/>
  <c r="AW8" i="1"/>
  <c r="AW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L7" i="1"/>
  <c r="AV7" i="1"/>
  <c r="AV8" i="1" s="1"/>
  <c r="AV9" i="1" s="1"/>
  <c r="AV10" i="1" s="1"/>
  <c r="AV11" i="1" s="1"/>
  <c r="AV12" i="1" s="1"/>
  <c r="BI7" i="1"/>
  <c r="BI8" i="1" s="1"/>
  <c r="BI9" i="1" s="1"/>
  <c r="BI10" i="1" s="1"/>
  <c r="BI11" i="1" s="1"/>
  <c r="BI12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BV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AB13" i="1" l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V13" i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BI13" i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Q36" i="1"/>
  <c r="Q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AB25" i="1" l="1"/>
  <c r="AB26" i="1" s="1"/>
  <c r="AB27" i="1" s="1"/>
  <c r="AB28" i="1" s="1"/>
  <c r="AB29" i="1" s="1"/>
  <c r="AB30" i="1" s="1"/>
  <c r="AB31" i="1" s="1"/>
  <c r="AV25" i="1"/>
  <c r="AV26" i="1" s="1"/>
  <c r="AV27" i="1" s="1"/>
  <c r="AV28" i="1" s="1"/>
  <c r="AV29" i="1" s="1"/>
  <c r="AV30" i="1" s="1"/>
  <c r="AV31" i="1" s="1"/>
  <c r="BI25" i="1"/>
  <c r="BI26" i="1" s="1"/>
  <c r="BI27" i="1" s="1"/>
  <c r="BI28" i="1" s="1"/>
  <c r="BI29" i="1" s="1"/>
  <c r="BI30" i="1" s="1"/>
  <c r="BI31" i="1" s="1"/>
  <c r="R20" i="2"/>
  <c r="AB32" i="1" l="1"/>
  <c r="AB33" i="1" s="1"/>
  <c r="AB34" i="1" s="1"/>
  <c r="AB35" i="1" s="1"/>
  <c r="AB36" i="1" s="1"/>
  <c r="AB37" i="1" s="1"/>
  <c r="AV32" i="1"/>
  <c r="AV33" i="1" s="1"/>
  <c r="AV34" i="1" s="1"/>
  <c r="AV36" i="1" s="1"/>
  <c r="AV37" i="1" s="1"/>
  <c r="BI32" i="1"/>
  <c r="BI33" i="1" s="1"/>
  <c r="BI34" i="1" s="1"/>
  <c r="BI35" i="1" s="1"/>
  <c r="BI36" i="1" s="1"/>
  <c r="BI37" i="1" s="1"/>
  <c r="S39" i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l="1"/>
  <c r="AL14" i="1" s="1"/>
  <c r="AL15" i="1" s="1"/>
  <c r="AL16" i="1" s="1"/>
  <c r="AL17" i="1" s="1"/>
  <c r="AL18" i="1" s="1"/>
  <c r="AL19" i="1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32" i="1"/>
  <c r="M32" i="1" s="1"/>
  <c r="L34" i="1"/>
  <c r="P34" i="1" s="1"/>
  <c r="J35" i="1"/>
  <c r="N35" i="1" s="1"/>
  <c r="K34" i="1"/>
  <c r="O34" i="1" s="1"/>
  <c r="J34" i="1"/>
  <c r="N34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AL20" i="1"/>
  <c r="AL21" i="1" s="1"/>
  <c r="AL22" i="1" s="1"/>
  <c r="AL23" i="1" s="1"/>
  <c r="AL24" i="1" s="1"/>
  <c r="AL25" i="1" l="1"/>
  <c r="AL26" i="1" s="1"/>
  <c r="I41" i="2"/>
  <c r="I42" i="2" s="1"/>
  <c r="I43" i="2" s="1"/>
  <c r="I44" i="2" s="1"/>
  <c r="I45" i="2" s="1"/>
  <c r="U44" i="2"/>
  <c r="U45" i="2" s="1"/>
  <c r="B16" i="2"/>
  <c r="M15" i="2"/>
  <c r="AL27" i="1" l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B17" i="2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D10" authorId="2" shapeId="0" xr:uid="{FF5A07DA-B164-4FCD-A707-BC57FFD0B430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PRUEBAS NOCTURA 2 TRENES CHINOS LIMACHE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<sst xmlns="http://schemas.openxmlformats.org/spreadsheetml/2006/main" count="126" uniqueCount="73">
  <si>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</si>
  <si>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</si>
  <si>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</si>
  <si>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</si>
  <si>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</si>
  <si>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</si>
  <si>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</si>
  <si>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</si>
  <si>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</si>
  <si>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</si>
  <si>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</si>
  <si>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</si>
  <si>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</si>
  <si>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</si>
  <si>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</si>
  <si>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</si>
  <si>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</si>
  <si>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</si>
  <si>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</si>
  <si>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</si>
  <si>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</si>
  <si>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</si>
  <si>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</si>
  <si>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</si>
  <si>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</si>
  <si>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</si>
  <si>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</si>
  <si>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</si>
  <si>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</si>
  <si>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</si>
  <si>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</si>
  <si>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</si>
  <si>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</si>
  <si>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</si>
  <si>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</si>
  <si>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</si>
  <si>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</si>
  <si>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</si>
  <si>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</si>
  <si>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</si>
  <si>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</si>
  <si>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</si>
  <si>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</si>
  <si>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</si>
  <si>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</si>
  <si>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</si>
  <si>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</si>
  <si>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</si>
  <si>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</si>
  <si>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</si>
  <si>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</si>
  <si>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</si>
  <si>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</si>
  <si>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</si>
  <si>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</si>
  <si>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</si>
  <si>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</si>
  <si>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</si>
  <si>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</si>
  <si>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</si>
  <si>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</si>
  <si>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</si>
  <si>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</si>
  <si>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</si>
  <si>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</si>
  <si>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</si>
  <si>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</si>
  <si>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</si>
  <si>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</si>
  <si>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0.00</t>
  </si>
  <si>
    <t>17.30</t>
  </si>
  <si>
    <t>09.30</t>
  </si>
  <si>
    <t>14;45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</si>
</sst>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29068</c:v>
                </c:pt>
                <c:pt idx="1">
                  <c:v>55490</c:v>
                </c:pt>
                <c:pt idx="2">
                  <c:v>52322</c:v>
                </c:pt>
                <c:pt idx="3">
                  <c:v>59462</c:v>
                </c:pt>
                <c:pt idx="4">
                  <c:v>59542</c:v>
                </c:pt>
                <c:pt idx="5">
                  <c:v>59430</c:v>
                </c:pt>
                <c:pt idx="6">
                  <c:v>35024</c:v>
                </c:pt>
                <c:pt idx="7">
                  <c:v>32942</c:v>
                </c:pt>
                <c:pt idx="8">
                  <c:v>54500</c:v>
                </c:pt>
                <c:pt idx="9">
                  <c:v>55200</c:v>
                </c:pt>
                <c:pt idx="10">
                  <c:v>57878</c:v>
                </c:pt>
                <c:pt idx="11">
                  <c:v>58406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21804.16</c:v>
                </c:pt>
                <c:pt idx="1">
                  <c:v>47750</c:v>
                </c:pt>
                <c:pt idx="2">
                  <c:v>44617</c:v>
                </c:pt>
                <c:pt idx="3">
                  <c:v>51884</c:v>
                </c:pt>
                <c:pt idx="4">
                  <c:v>52083</c:v>
                </c:pt>
                <c:pt idx="5">
                  <c:v>52091</c:v>
                </c:pt>
                <c:pt idx="6">
                  <c:v>27775.760000000002</c:v>
                </c:pt>
                <c:pt idx="7">
                  <c:v>25714</c:v>
                </c:pt>
                <c:pt idx="8">
                  <c:v>46909</c:v>
                </c:pt>
                <c:pt idx="9">
                  <c:v>47509</c:v>
                </c:pt>
                <c:pt idx="10">
                  <c:v>50143</c:v>
                </c:pt>
                <c:pt idx="11">
                  <c:v>50662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7263.84</c:v>
                </c:pt>
                <c:pt idx="1">
                  <c:v>7740</c:v>
                </c:pt>
                <c:pt idx="2">
                  <c:v>7705</c:v>
                </c:pt>
                <c:pt idx="3">
                  <c:v>7578</c:v>
                </c:pt>
                <c:pt idx="4">
                  <c:v>7459</c:v>
                </c:pt>
                <c:pt idx="5">
                  <c:v>7339</c:v>
                </c:pt>
                <c:pt idx="6">
                  <c:v>7248.24</c:v>
                </c:pt>
                <c:pt idx="7">
                  <c:v>7228</c:v>
                </c:pt>
                <c:pt idx="8">
                  <c:v>7591</c:v>
                </c:pt>
                <c:pt idx="9">
                  <c:v>7691</c:v>
                </c:pt>
                <c:pt idx="10">
                  <c:v>7735</c:v>
                </c:pt>
                <c:pt idx="11">
                  <c:v>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2575</c:v>
                </c:pt>
                <c:pt idx="1">
                  <c:v>2517.4300000000003</c:v>
                </c:pt>
                <c:pt idx="2">
                  <c:v>3159</c:v>
                </c:pt>
                <c:pt idx="3">
                  <c:v>3173</c:v>
                </c:pt>
                <c:pt idx="4">
                  <c:v>3025</c:v>
                </c:pt>
                <c:pt idx="5">
                  <c:v>2994</c:v>
                </c:pt>
                <c:pt idx="6">
                  <c:v>2908.45</c:v>
                </c:pt>
                <c:pt idx="7">
                  <c:v>2519.77</c:v>
                </c:pt>
                <c:pt idx="8">
                  <c:v>2481</c:v>
                </c:pt>
                <c:pt idx="9">
                  <c:v>3080</c:v>
                </c:pt>
                <c:pt idx="10">
                  <c:v>3081</c:v>
                </c:pt>
                <c:pt idx="11">
                  <c:v>3075</c:v>
                </c:pt>
                <c:pt idx="12">
                  <c:v>3165</c:v>
                </c:pt>
                <c:pt idx="13">
                  <c:v>2868</c:v>
                </c:pt>
                <c:pt idx="14">
                  <c:v>2528</c:v>
                </c:pt>
                <c:pt idx="15">
                  <c:v>2399</c:v>
                </c:pt>
                <c:pt idx="16">
                  <c:v>2892</c:v>
                </c:pt>
                <c:pt idx="17">
                  <c:v>3110.04</c:v>
                </c:pt>
                <c:pt idx="18">
                  <c:v>3012</c:v>
                </c:pt>
                <c:pt idx="19">
                  <c:v>3063</c:v>
                </c:pt>
                <c:pt idx="20">
                  <c:v>3008</c:v>
                </c:pt>
                <c:pt idx="21">
                  <c:v>2524</c:v>
                </c:pt>
                <c:pt idx="22">
                  <c:v>2306</c:v>
                </c:pt>
                <c:pt idx="23">
                  <c:v>2942</c:v>
                </c:pt>
                <c:pt idx="24">
                  <c:v>2929</c:v>
                </c:pt>
                <c:pt idx="25">
                  <c:v>2910</c:v>
                </c:pt>
                <c:pt idx="26">
                  <c:v>2944</c:v>
                </c:pt>
                <c:pt idx="27">
                  <c:v>2753</c:v>
                </c:pt>
                <c:pt idx="28">
                  <c:v>2472</c:v>
                </c:pt>
                <c:pt idx="29">
                  <c:v>2388</c:v>
                </c:pt>
                <c:pt idx="30">
                  <c:v>2872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1"/>
  <sheetViews>
    <sheetView tabSelected="1" topLeftCell="A14" zoomScale="130" zoomScaleNormal="130" zoomScaleSheetLayoutView="120" workbookViewId="0">
      <selection activeCell="H7" sqref="H7:H37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5" s="133" customFormat="1" ht="14.65" customHeight="1" x14ac:dyDescent="0.25">
      <c r="A1" s="127">
        <v>1.1111111E+55</v>
      </c>
      <c r="B1" s="183" t="s">
        <v>0</v>
      </c>
      <c r="C1" s="128"/>
      <c r="D1" s="185" t="s">
        <v>1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  <c r="P1" s="188"/>
      <c r="Q1" s="129"/>
      <c r="R1" s="193" t="s">
        <v>2</v>
      </c>
      <c r="S1" s="194"/>
      <c r="T1" s="194"/>
      <c r="U1" s="194"/>
      <c r="V1" s="194"/>
      <c r="W1" s="194"/>
      <c r="X1" s="194"/>
      <c r="Y1" s="194"/>
      <c r="Z1" s="194"/>
      <c r="AA1" s="195"/>
      <c r="AB1" s="130"/>
      <c r="AC1" s="193" t="s">
        <v>3</v>
      </c>
      <c r="AD1" s="194"/>
      <c r="AE1" s="194"/>
      <c r="AF1" s="194"/>
      <c r="AG1" s="194"/>
      <c r="AH1" s="194"/>
      <c r="AI1" s="194"/>
      <c r="AJ1" s="194"/>
      <c r="AK1" s="195"/>
      <c r="AL1" s="131"/>
      <c r="AM1" s="193" t="s">
        <v>4</v>
      </c>
      <c r="AN1" s="194"/>
      <c r="AO1" s="194"/>
      <c r="AP1" s="194"/>
      <c r="AQ1" s="194"/>
      <c r="AR1" s="194"/>
      <c r="AS1" s="194"/>
      <c r="AT1" s="194"/>
      <c r="AU1" s="195"/>
      <c r="AV1" s="131"/>
      <c r="AW1" s="193" t="s">
        <v>57</v>
      </c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5"/>
      <c r="BI1" s="131"/>
      <c r="BJ1" s="193" t="s">
        <v>5</v>
      </c>
      <c r="BK1" s="194"/>
      <c r="BL1" s="194"/>
      <c r="BM1" s="194"/>
      <c r="BN1" s="194"/>
      <c r="BO1" s="194"/>
      <c r="BP1" s="194"/>
      <c r="BQ1" s="194"/>
      <c r="BR1" s="195"/>
      <c r="BS1" s="132"/>
    </row>
    <row r="2" spans="1:75" ht="15" customHeight="1" thickBot="1" x14ac:dyDescent="0.3">
      <c r="B2" s="183"/>
      <c r="C2" s="1"/>
      <c r="D2" s="189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/>
      <c r="P2" s="192"/>
      <c r="Q2" s="58"/>
      <c r="R2" s="196"/>
      <c r="S2" s="197"/>
      <c r="T2" s="197"/>
      <c r="U2" s="197"/>
      <c r="V2" s="197"/>
      <c r="W2" s="197"/>
      <c r="X2" s="197"/>
      <c r="Y2" s="197"/>
      <c r="Z2" s="197"/>
      <c r="AA2" s="198"/>
      <c r="AB2" s="60"/>
      <c r="AC2" s="196"/>
      <c r="AD2" s="197"/>
      <c r="AE2" s="197"/>
      <c r="AF2" s="197"/>
      <c r="AG2" s="197"/>
      <c r="AH2" s="197"/>
      <c r="AI2" s="197"/>
      <c r="AJ2" s="197"/>
      <c r="AK2" s="198"/>
      <c r="AL2" s="59"/>
      <c r="AM2" s="196"/>
      <c r="AN2" s="197"/>
      <c r="AO2" s="197"/>
      <c r="AP2" s="197"/>
      <c r="AQ2" s="197"/>
      <c r="AR2" s="197"/>
      <c r="AS2" s="197"/>
      <c r="AT2" s="197"/>
      <c r="AU2" s="198"/>
      <c r="AV2" s="59"/>
      <c r="AW2" s="196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8"/>
      <c r="BI2" s="59"/>
      <c r="BJ2" s="196"/>
      <c r="BK2" s="197"/>
      <c r="BL2" s="197"/>
      <c r="BM2" s="197"/>
      <c r="BN2" s="197"/>
      <c r="BO2" s="197"/>
      <c r="BP2" s="197"/>
      <c r="BQ2" s="197"/>
      <c r="BR2" s="198"/>
      <c r="BS2" s="135"/>
    </row>
    <row r="3" spans="1:75" ht="30" customHeight="1" thickBot="1" x14ac:dyDescent="0.3">
      <c r="B3" s="183"/>
      <c r="C3" s="1"/>
      <c r="D3" s="202" t="s">
        <v>6</v>
      </c>
      <c r="E3" s="202" t="s">
        <v>7</v>
      </c>
      <c r="F3" s="202" t="s">
        <v>8</v>
      </c>
      <c r="G3" s="202" t="s">
        <v>9</v>
      </c>
      <c r="H3" s="202" t="s">
        <v>10</v>
      </c>
      <c r="I3" s="204" t="s">
        <v>11</v>
      </c>
      <c r="J3" s="205"/>
      <c r="K3" s="206"/>
      <c r="L3" s="207"/>
      <c r="M3" s="204" t="s">
        <v>12</v>
      </c>
      <c r="N3" s="205"/>
      <c r="O3" s="206"/>
      <c r="P3" s="207"/>
      <c r="Q3" s="58"/>
      <c r="R3" s="208" t="s">
        <v>13</v>
      </c>
      <c r="S3" s="200"/>
      <c r="T3" s="209"/>
      <c r="U3" s="209"/>
      <c r="V3" s="208" t="s">
        <v>14</v>
      </c>
      <c r="W3" s="200"/>
      <c r="X3" s="200"/>
      <c r="Y3" s="200"/>
      <c r="Z3" s="200"/>
      <c r="AA3" s="201"/>
      <c r="AB3" s="60"/>
      <c r="AC3" s="210" t="s">
        <v>15</v>
      </c>
      <c r="AD3" s="212" t="s">
        <v>9</v>
      </c>
      <c r="AE3" s="208" t="s">
        <v>13</v>
      </c>
      <c r="AF3" s="200"/>
      <c r="AG3" s="201"/>
      <c r="AH3" s="208" t="s">
        <v>14</v>
      </c>
      <c r="AI3" s="200"/>
      <c r="AJ3" s="200"/>
      <c r="AK3" s="201"/>
      <c r="AL3" s="59"/>
      <c r="AM3" s="213" t="s">
        <v>15</v>
      </c>
      <c r="AN3" s="210" t="s">
        <v>9</v>
      </c>
      <c r="AO3" s="199" t="s">
        <v>13</v>
      </c>
      <c r="AP3" s="200"/>
      <c r="AQ3" s="201"/>
      <c r="AR3" s="208" t="s">
        <v>14</v>
      </c>
      <c r="AS3" s="200"/>
      <c r="AT3" s="200"/>
      <c r="AU3" s="201"/>
      <c r="AV3" s="59"/>
      <c r="AW3" s="210" t="s">
        <v>15</v>
      </c>
      <c r="AX3" s="210" t="s">
        <v>9</v>
      </c>
      <c r="AY3" s="199" t="s">
        <v>13</v>
      </c>
      <c r="AZ3" s="199"/>
      <c r="BA3" s="200"/>
      <c r="BB3" s="201"/>
      <c r="BC3" s="208" t="s">
        <v>14</v>
      </c>
      <c r="BD3" s="199"/>
      <c r="BE3" s="199"/>
      <c r="BF3" s="200"/>
      <c r="BG3" s="200"/>
      <c r="BH3" s="201"/>
      <c r="BI3" s="59"/>
      <c r="BJ3" s="213" t="s">
        <v>16</v>
      </c>
      <c r="BK3" s="210" t="s">
        <v>17</v>
      </c>
      <c r="BL3" s="214" t="s">
        <v>18</v>
      </c>
      <c r="BM3" s="215"/>
      <c r="BN3" s="216"/>
      <c r="BO3" s="199" t="s">
        <v>14</v>
      </c>
      <c r="BP3" s="200"/>
      <c r="BQ3" s="200"/>
      <c r="BR3" s="201"/>
      <c r="BS3" s="135"/>
    </row>
    <row r="4" spans="1:75" ht="56.25" customHeight="1" thickBot="1" x14ac:dyDescent="0.3">
      <c r="B4" s="184"/>
      <c r="C4" s="2"/>
      <c r="D4" s="203"/>
      <c r="E4" s="203"/>
      <c r="F4" s="203"/>
      <c r="G4" s="203"/>
      <c r="H4" s="203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1"/>
      <c r="AD4" s="194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3"/>
      <c r="AN4" s="211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1"/>
      <c r="AX4" s="211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193"/>
      <c r="BK4" s="211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5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5" ht="15.75" thickBot="1" x14ac:dyDescent="0.3">
      <c r="B6" s="56">
        <v>46081</v>
      </c>
      <c r="D6" s="87">
        <f t="shared" ref="D6" si="0">R6</f>
        <v>36178</v>
      </c>
      <c r="E6" s="159">
        <f t="shared" ref="E6" si="1">F6/D6</f>
        <v>0.81345016308253637</v>
      </c>
      <c r="F6" s="87">
        <f t="shared" ref="F6" si="2">D6-H6</f>
        <v>29429</v>
      </c>
      <c r="G6" s="159">
        <f t="shared" ref="G6" si="3">H6/D6</f>
        <v>0.18654983691746366</v>
      </c>
      <c r="H6" s="146">
        <f t="shared" ref="H6" si="4">U6+AG6+AQ6+BB6</f>
        <v>6749</v>
      </c>
      <c r="I6" s="160">
        <f t="shared" ref="I6" si="5">AE6/(AE6+AO6+BL6+AY6)</f>
        <v>9.8424997467841585E-2</v>
      </c>
      <c r="J6" s="159">
        <f t="shared" ref="J6" si="6">AO6/(AE6+AO6+BL6+AY6)</f>
        <v>0.17441507140686721</v>
      </c>
      <c r="K6" s="159">
        <f t="shared" ref="K6" si="7">AY6/(AF6+AP6+BM6+AZ6+AY6)</f>
        <v>0.1638432364096081</v>
      </c>
      <c r="L6" s="161">
        <f t="shared" ref="L6" si="8">BL6/(AE6+AO6+BL6+AY6)</f>
        <v>0.59589283905601131</v>
      </c>
      <c r="M6" s="146">
        <f>(S6+T6)*I6</f>
        <v>3425.4851868732908</v>
      </c>
      <c r="N6" s="146">
        <f>(S6+T6)*J6</f>
        <v>6070.1677301731997</v>
      </c>
      <c r="O6" s="146">
        <f>(S6+T6)*K6</f>
        <v>5702.2361567635908</v>
      </c>
      <c r="P6" s="146">
        <f>(S6+T6)*L6</f>
        <v>20738.858477666363</v>
      </c>
      <c r="Q6" s="56">
        <f>B6</f>
        <v>46081</v>
      </c>
      <c r="R6" s="139">
        <v>36178</v>
      </c>
      <c r="S6" s="140">
        <v>0</v>
      </c>
      <c r="T6" s="140">
        <v>34803</v>
      </c>
      <c r="U6" s="140">
        <v>0</v>
      </c>
      <c r="V6" s="141">
        <v>6617</v>
      </c>
      <c r="W6" s="142">
        <v>0.71875</v>
      </c>
      <c r="X6" s="141">
        <v>2481</v>
      </c>
      <c r="Y6" s="142">
        <v>0.71875</v>
      </c>
      <c r="Z6" s="141">
        <v>0</v>
      </c>
      <c r="AA6" s="142">
        <v>0</v>
      </c>
      <c r="AB6" s="56">
        <f>Q6</f>
        <v>46081</v>
      </c>
      <c r="AC6" s="76">
        <f t="shared" ref="AC6" si="9">+AF6/AE6</f>
        <v>1</v>
      </c>
      <c r="AD6" s="162">
        <f t="shared" ref="AD6" si="10">+AG6/AE6</f>
        <v>0</v>
      </c>
      <c r="AE6" s="163">
        <v>3887</v>
      </c>
      <c r="AF6" s="118">
        <f t="shared" ref="AF6" si="11">+AE6-AG6</f>
        <v>3887</v>
      </c>
      <c r="AG6" s="147">
        <v>0</v>
      </c>
      <c r="AH6" s="148">
        <v>2760</v>
      </c>
      <c r="AI6" s="149">
        <v>0.13055555555555556</v>
      </c>
      <c r="AJ6" s="148">
        <v>0</v>
      </c>
      <c r="AK6" s="165">
        <v>0</v>
      </c>
      <c r="AL6" s="56">
        <f>Q6</f>
        <v>46081</v>
      </c>
      <c r="AM6" s="77">
        <f t="shared" ref="AM6" si="12">+AP6/AO6</f>
        <v>0.45165505226480834</v>
      </c>
      <c r="AN6" s="76">
        <f t="shared" ref="AN6" si="13">+AQ6/AO6</f>
        <v>0.5483449477351916</v>
      </c>
      <c r="AO6" s="150">
        <v>6888</v>
      </c>
      <c r="AP6" s="117">
        <f t="shared" ref="AP6" si="14">AO6-AQ6</f>
        <v>3111</v>
      </c>
      <c r="AQ6" s="151">
        <v>3777</v>
      </c>
      <c r="AR6" s="152">
        <v>2847</v>
      </c>
      <c r="AS6" s="153">
        <v>0.14652777777777778</v>
      </c>
      <c r="AT6" s="152">
        <v>154</v>
      </c>
      <c r="AU6" s="154">
        <v>0.92708333333333337</v>
      </c>
      <c r="AV6" s="56">
        <f>Q6</f>
        <v>46081</v>
      </c>
      <c r="AW6" s="110">
        <f t="shared" ref="AW6" si="15">BA6/AZ6</f>
        <v>0.42669753086419754</v>
      </c>
      <c r="AX6" s="110">
        <f t="shared" ref="AX6" si="16">BB6/AZ6</f>
        <v>0.57330246913580252</v>
      </c>
      <c r="AY6" s="111">
        <f t="shared" ref="AY6:AY37" si="17">BA6+BB6</f>
        <v>5184</v>
      </c>
      <c r="AZ6" s="112">
        <v>5184</v>
      </c>
      <c r="BA6" s="120">
        <f t="shared" ref="BA6:BA37" si="18">AZ6-BB6</f>
        <v>2212</v>
      </c>
      <c r="BB6" s="113">
        <v>2972</v>
      </c>
      <c r="BC6" s="112">
        <v>1604</v>
      </c>
      <c r="BD6" s="114">
        <v>0.64583333333333337</v>
      </c>
      <c r="BE6" s="115">
        <v>0</v>
      </c>
      <c r="BF6" s="114">
        <v>0</v>
      </c>
      <c r="BG6" s="115">
        <v>176</v>
      </c>
      <c r="BH6" s="114">
        <v>0.90625</v>
      </c>
      <c r="BI6" s="56">
        <f>Q6</f>
        <v>46081</v>
      </c>
      <c r="BJ6" s="78">
        <f t="shared" ref="BJ6" si="19">+BM6/BL6</f>
        <v>0.60655250074363665</v>
      </c>
      <c r="BK6" s="76">
        <f t="shared" ref="BK6" si="20">+BN6/BL6</f>
        <v>0.39344749925636341</v>
      </c>
      <c r="BL6" s="79">
        <f t="shared" ref="BL6" si="21">BM6+BN6</f>
        <v>23533</v>
      </c>
      <c r="BM6" s="155">
        <v>14274</v>
      </c>
      <c r="BN6" s="155">
        <v>9259</v>
      </c>
      <c r="BO6" s="156">
        <v>2856</v>
      </c>
      <c r="BP6" s="157">
        <v>0.65347222222222223</v>
      </c>
      <c r="BQ6" s="158">
        <v>1905</v>
      </c>
      <c r="BR6" s="157">
        <v>0.65416666666666667</v>
      </c>
    </row>
    <row r="7" spans="1:75" ht="15.75" thickBot="1" x14ac:dyDescent="0.3">
      <c r="A7" s="166"/>
      <c r="B7" s="56">
        <f>B6+1</f>
        <v>46082</v>
      </c>
      <c r="C7" s="126"/>
      <c r="D7" s="87">
        <f t="shared" ref="D7:D37" si="22">R7</f>
        <v>29068</v>
      </c>
      <c r="E7" s="159">
        <f t="shared" ref="E7:E10" si="23">F7/D7</f>
        <v>0.75010871060960504</v>
      </c>
      <c r="F7" s="87">
        <f t="shared" ref="F7:F37" si="24">D7-H7</f>
        <v>21804.16</v>
      </c>
      <c r="G7" s="159">
        <f t="shared" ref="G7:G10" si="25">H7/D7</f>
        <v>0.24989128939039493</v>
      </c>
      <c r="H7" s="146">
        <f t="shared" ref="H7:H37" si="26">U7+AG7+AQ7+BB7</f>
        <v>7263.84</v>
      </c>
      <c r="I7" s="160">
        <f t="shared" ref="I7:I10" si="27">AE7/(AE7+AO7+BL7+AY7)</f>
        <v>6.9275582573454911E-2</v>
      </c>
      <c r="J7" s="159">
        <f t="shared" ref="J7:J10" si="28">AO7/(AE7+AO7+BL7+AY7)</f>
        <v>0.17008611955420466</v>
      </c>
      <c r="K7" s="159">
        <f t="shared" ref="K7:K10" si="29">AY7/(AF7+AP7+BM7+AZ7+AY7)</f>
        <v>0.18607147397574192</v>
      </c>
      <c r="L7" s="161">
        <f t="shared" ref="L7:L10" si="30">BL7/(AE7+AO7+BL7+AY7)</f>
        <v>0.61420339412360692</v>
      </c>
      <c r="M7" s="146">
        <f t="shared" ref="M7:M10" si="31">(S7+T7)*I7</f>
        <v>1929.7752659574467</v>
      </c>
      <c r="N7" s="146">
        <f t="shared" ref="N7:N10" si="32">(S7+T7)*J7</f>
        <v>4738.0039893617022</v>
      </c>
      <c r="O7" s="146">
        <f t="shared" ref="O7:O10" si="33">(S7+T7)*K7</f>
        <v>5183.3000148052552</v>
      </c>
      <c r="P7" s="146">
        <f t="shared" ref="P7:P10" si="34">(S7+T7)*L7</f>
        <v>17109.556848404256</v>
      </c>
      <c r="Q7" s="56">
        <f>Q6+1</f>
        <v>46082</v>
      </c>
      <c r="R7" s="139">
        <v>29068</v>
      </c>
      <c r="S7" s="140">
        <v>0</v>
      </c>
      <c r="T7" s="140">
        <v>27856.5</v>
      </c>
      <c r="U7" s="140">
        <v>0</v>
      </c>
      <c r="V7" s="141">
        <v>7467.57</v>
      </c>
      <c r="W7" s="142">
        <v>0.85416666666666663</v>
      </c>
      <c r="X7" s="141">
        <v>1921</v>
      </c>
      <c r="Y7" s="142">
        <v>0.94791666666666663</v>
      </c>
      <c r="Z7" s="141">
        <v>0</v>
      </c>
      <c r="AA7" s="142">
        <v>0</v>
      </c>
      <c r="AB7" s="56">
        <f>AB6+1</f>
        <v>46082</v>
      </c>
      <c r="AC7" s="76">
        <f t="shared" ref="AC7:AC10" si="35">+AF7/AE7</f>
        <v>1</v>
      </c>
      <c r="AD7" s="162">
        <f t="shared" ref="AD7:AD10" si="36">+AG7/AE7</f>
        <v>0</v>
      </c>
      <c r="AE7" s="163">
        <v>2188</v>
      </c>
      <c r="AF7" s="118">
        <f t="shared" ref="AF7:AF36" si="37">+AE7-AG7</f>
        <v>2188</v>
      </c>
      <c r="AG7" s="147">
        <v>0</v>
      </c>
      <c r="AH7" s="148">
        <v>1634.59</v>
      </c>
      <c r="AI7" s="149">
        <v>0.92361111111111116</v>
      </c>
      <c r="AJ7" s="148">
        <v>0</v>
      </c>
      <c r="AK7" s="165">
        <v>0</v>
      </c>
      <c r="AL7" s="56">
        <f t="shared" ref="AL7:AL37" si="38">AL6+1</f>
        <v>46082</v>
      </c>
      <c r="AM7" s="77">
        <f t="shared" ref="AM7:AM10" si="39">+AP7/AO7</f>
        <v>0.30129188384214445</v>
      </c>
      <c r="AN7" s="76">
        <f t="shared" ref="AN7:AN10" si="40">+AQ7/AO7</f>
        <v>0.69870811615785555</v>
      </c>
      <c r="AO7" s="150">
        <v>5372</v>
      </c>
      <c r="AP7" s="117">
        <f t="shared" ref="AP7:AP36" si="41">AO7-AQ7</f>
        <v>1618.54</v>
      </c>
      <c r="AQ7" s="151">
        <v>3753.46</v>
      </c>
      <c r="AR7" s="152">
        <v>1649.16</v>
      </c>
      <c r="AS7" s="153">
        <v>0.43194444444444446</v>
      </c>
      <c r="AT7" s="152">
        <v>183.72</v>
      </c>
      <c r="AU7" s="154">
        <v>0.88541666666666663</v>
      </c>
      <c r="AV7" s="56">
        <f>AV6+1</f>
        <v>46082</v>
      </c>
      <c r="AW7" s="110">
        <f t="shared" ref="AW7:AW10" si="42">BA7/AZ7</f>
        <v>0.24099891891891889</v>
      </c>
      <c r="AX7" s="110">
        <f t="shared" ref="AX7:AX10" si="43">BB7/AZ7</f>
        <v>0.75900108108108111</v>
      </c>
      <c r="AY7" s="111">
        <f t="shared" si="17"/>
        <v>4625</v>
      </c>
      <c r="AZ7" s="112">
        <v>4625</v>
      </c>
      <c r="BA7" s="120">
        <f t="shared" si="18"/>
        <v>1114.6199999999999</v>
      </c>
      <c r="BB7" s="113">
        <f>2939.38+571</f>
        <v>3510.38</v>
      </c>
      <c r="BC7" s="112">
        <v>1846.59</v>
      </c>
      <c r="BD7" s="114">
        <v>0.8125</v>
      </c>
      <c r="BE7" s="115">
        <v>0</v>
      </c>
      <c r="BF7" s="114">
        <v>0</v>
      </c>
      <c r="BG7" s="115">
        <v>176.05</v>
      </c>
      <c r="BH7" s="114">
        <v>0.88541666666666663</v>
      </c>
      <c r="BI7" s="56">
        <f>BI6+1</f>
        <v>46082</v>
      </c>
      <c r="BJ7" s="78">
        <f t="shared" ref="BJ7:BJ10" si="44">+BM7/BL7</f>
        <v>0.60825300273209959</v>
      </c>
      <c r="BK7" s="76">
        <f t="shared" ref="BK7:BK10" si="45">+BN7/BL7</f>
        <v>0.39174699726790041</v>
      </c>
      <c r="BL7" s="79">
        <f t="shared" ref="BL7:BL10" si="46">BM7+BN7</f>
        <v>19399</v>
      </c>
      <c r="BM7" s="155">
        <v>11799.5</v>
      </c>
      <c r="BN7" s="155">
        <v>7599.5</v>
      </c>
      <c r="BO7" s="156">
        <v>2445.09</v>
      </c>
      <c r="BP7" s="157">
        <v>0.95486111111111116</v>
      </c>
      <c r="BQ7" s="158">
        <v>1629.14</v>
      </c>
      <c r="BR7" s="157">
        <v>0.87152777777777779</v>
      </c>
      <c r="BT7" s="14">
        <v>7263.84</v>
      </c>
      <c r="BV7" s="175">
        <f>BT7-H7</f>
        <v>0</v>
      </c>
      <c r="BW7" s="14">
        <v>571</v>
      </c>
    </row>
    <row r="8" spans="1:75" ht="15.75" thickBot="1" x14ac:dyDescent="0.3">
      <c r="A8" s="166"/>
      <c r="B8" s="56">
        <f t="shared" ref="B8:B37" si="47">B7+1</f>
        <v>46083</v>
      </c>
      <c r="C8" s="164"/>
      <c r="D8" s="87">
        <f t="shared" si="22"/>
        <v>55490</v>
      </c>
      <c r="E8" s="159">
        <f t="shared" si="23"/>
        <v>0.8605154081816544</v>
      </c>
      <c r="F8" s="87">
        <f t="shared" si="24"/>
        <v>47750</v>
      </c>
      <c r="G8" s="159">
        <f t="shared" si="25"/>
        <v>0.13948459181834566</v>
      </c>
      <c r="H8" s="146">
        <f t="shared" si="26"/>
        <v>7740</v>
      </c>
      <c r="I8" s="160">
        <f t="shared" si="27"/>
        <v>0.11920872859131673</v>
      </c>
      <c r="J8" s="159">
        <f t="shared" si="28"/>
        <v>0.16200990708064883</v>
      </c>
      <c r="K8" s="159">
        <f t="shared" si="29"/>
        <v>0.17310131975081894</v>
      </c>
      <c r="L8" s="161">
        <f t="shared" si="30"/>
        <v>0.57079030012626675</v>
      </c>
      <c r="M8" s="146">
        <f t="shared" si="31"/>
        <v>6453.24531356234</v>
      </c>
      <c r="N8" s="146">
        <f t="shared" si="32"/>
        <v>8770.2443099038446</v>
      </c>
      <c r="O8" s="146">
        <f t="shared" si="33"/>
        <v>9370.6668433908326</v>
      </c>
      <c r="P8" s="146">
        <f t="shared" si="34"/>
        <v>30899.162107035325</v>
      </c>
      <c r="Q8" s="56">
        <f t="shared" ref="Q8:Q37" si="48">Q7+1</f>
        <v>46083</v>
      </c>
      <c r="R8" s="139">
        <v>55490</v>
      </c>
      <c r="S8" s="140">
        <v>0</v>
      </c>
      <c r="T8" s="140">
        <v>54134</v>
      </c>
      <c r="U8" s="140">
        <v>0</v>
      </c>
      <c r="V8" s="141">
        <v>15314</v>
      </c>
      <c r="W8" s="142">
        <v>0.8125</v>
      </c>
      <c r="X8" s="141">
        <v>4625</v>
      </c>
      <c r="Y8" s="142">
        <v>0.80208333333333337</v>
      </c>
      <c r="Z8" s="141">
        <v>0</v>
      </c>
      <c r="AA8" s="142">
        <v>0</v>
      </c>
      <c r="AB8" s="56">
        <f t="shared" ref="AB8:AB37" si="49">AB7+1</f>
        <v>46083</v>
      </c>
      <c r="AC8" s="76">
        <f t="shared" si="35"/>
        <v>1</v>
      </c>
      <c r="AD8" s="162">
        <f t="shared" si="36"/>
        <v>0</v>
      </c>
      <c r="AE8" s="163">
        <v>7364</v>
      </c>
      <c r="AF8" s="118">
        <f t="shared" si="37"/>
        <v>7364</v>
      </c>
      <c r="AG8" s="147">
        <v>0</v>
      </c>
      <c r="AH8" s="148">
        <v>3908</v>
      </c>
      <c r="AI8" s="149">
        <v>0.77569444444444446</v>
      </c>
      <c r="AJ8" s="148">
        <v>0</v>
      </c>
      <c r="AK8" s="165">
        <v>0</v>
      </c>
      <c r="AL8" s="56">
        <f t="shared" si="38"/>
        <v>46083</v>
      </c>
      <c r="AM8" s="77">
        <f t="shared" si="39"/>
        <v>0.5870303756994405</v>
      </c>
      <c r="AN8" s="76">
        <f t="shared" si="40"/>
        <v>0.41296962430055956</v>
      </c>
      <c r="AO8" s="150">
        <v>10008</v>
      </c>
      <c r="AP8" s="117">
        <f t="shared" si="41"/>
        <v>5875</v>
      </c>
      <c r="AQ8" s="151">
        <v>4133</v>
      </c>
      <c r="AR8" s="152">
        <v>3735</v>
      </c>
      <c r="AS8" s="153">
        <v>0.76180555555555551</v>
      </c>
      <c r="AT8" s="152">
        <v>214</v>
      </c>
      <c r="AU8" s="154">
        <v>0.64583333333333337</v>
      </c>
      <c r="AV8" s="56">
        <f t="shared" ref="AV8:AV37" si="50">AV7+1</f>
        <v>46083</v>
      </c>
      <c r="AW8" s="110">
        <f t="shared" si="42"/>
        <v>0.60544738569240864</v>
      </c>
      <c r="AX8" s="110">
        <f t="shared" si="43"/>
        <v>0.39455261430759131</v>
      </c>
      <c r="AY8" s="111">
        <f t="shared" si="17"/>
        <v>9142</v>
      </c>
      <c r="AZ8" s="112">
        <v>9142</v>
      </c>
      <c r="BA8" s="120">
        <f t="shared" si="18"/>
        <v>5535</v>
      </c>
      <c r="BB8" s="113">
        <f>3036+571</f>
        <v>3607</v>
      </c>
      <c r="BC8" s="112">
        <v>4368</v>
      </c>
      <c r="BD8" s="114">
        <v>0.76041666666666663</v>
      </c>
      <c r="BE8" s="115">
        <v>0</v>
      </c>
      <c r="BF8" s="114">
        <v>0</v>
      </c>
      <c r="BG8" s="115">
        <v>177</v>
      </c>
      <c r="BH8" s="114">
        <v>0.86458333333333337</v>
      </c>
      <c r="BI8" s="56">
        <f t="shared" ref="BI8:BI37" si="51">BI7+1</f>
        <v>46083</v>
      </c>
      <c r="BJ8" s="78">
        <f t="shared" si="44"/>
        <v>0.60380034032898466</v>
      </c>
      <c r="BK8" s="76">
        <f t="shared" si="45"/>
        <v>0.39619965967101534</v>
      </c>
      <c r="BL8" s="79">
        <f t="shared" si="46"/>
        <v>35260</v>
      </c>
      <c r="BM8" s="155">
        <v>21290</v>
      </c>
      <c r="BN8" s="155">
        <v>13970</v>
      </c>
      <c r="BO8" s="156">
        <v>4058</v>
      </c>
      <c r="BP8" s="157">
        <v>0.73888888888888893</v>
      </c>
      <c r="BQ8" s="158">
        <v>2710</v>
      </c>
      <c r="BR8" s="157">
        <v>0.73958333333333337</v>
      </c>
      <c r="BT8" s="14">
        <v>7740</v>
      </c>
      <c r="BV8" s="175">
        <f t="shared" ref="BV8:BV21" si="52">BT8-H8</f>
        <v>0</v>
      </c>
    </row>
    <row r="9" spans="1:75" ht="15.75" thickBot="1" x14ac:dyDescent="0.3">
      <c r="A9" s="166" t="s">
        <v>67</v>
      </c>
      <c r="B9" s="56">
        <f t="shared" si="47"/>
        <v>46084</v>
      </c>
      <c r="C9" s="164"/>
      <c r="D9" s="87">
        <f t="shared" si="22"/>
        <v>52322</v>
      </c>
      <c r="E9" s="159">
        <f t="shared" si="23"/>
        <v>0.85273880967852911</v>
      </c>
      <c r="F9" s="87">
        <f t="shared" si="24"/>
        <v>44617</v>
      </c>
      <c r="G9" s="159">
        <f t="shared" si="25"/>
        <v>0.14726119032147089</v>
      </c>
      <c r="H9" s="146">
        <f t="shared" si="26"/>
        <v>7705</v>
      </c>
      <c r="I9" s="160">
        <f t="shared" si="27"/>
        <v>0.11838929455256485</v>
      </c>
      <c r="J9" s="159">
        <f t="shared" si="28"/>
        <v>0.15824447771226055</v>
      </c>
      <c r="K9" s="159">
        <f t="shared" si="29"/>
        <v>0.1605831648398425</v>
      </c>
      <c r="L9" s="161">
        <f t="shared" si="30"/>
        <v>0.58505697962176528</v>
      </c>
      <c r="M9" s="146">
        <f t="shared" si="31"/>
        <v>6764.5275121444502</v>
      </c>
      <c r="N9" s="146">
        <f t="shared" si="32"/>
        <v>9041.772967523144</v>
      </c>
      <c r="O9" s="146">
        <f t="shared" si="33"/>
        <v>9175.4008726189204</v>
      </c>
      <c r="P9" s="146">
        <f t="shared" si="34"/>
        <v>33428.985701628422</v>
      </c>
      <c r="Q9" s="56">
        <f t="shared" si="48"/>
        <v>46084</v>
      </c>
      <c r="R9" s="139">
        <v>52322</v>
      </c>
      <c r="S9" s="140">
        <v>0</v>
      </c>
      <c r="T9" s="140">
        <v>57138</v>
      </c>
      <c r="U9" s="140">
        <v>0</v>
      </c>
      <c r="V9" s="141">
        <v>12910</v>
      </c>
      <c r="W9" s="142">
        <v>0.78125</v>
      </c>
      <c r="X9" s="141">
        <v>4424</v>
      </c>
      <c r="Y9" s="142">
        <v>0.82291666666666663</v>
      </c>
      <c r="Z9" s="141">
        <v>0</v>
      </c>
      <c r="AA9" s="142">
        <v>0</v>
      </c>
      <c r="AB9" s="56">
        <f t="shared" si="49"/>
        <v>46084</v>
      </c>
      <c r="AC9" s="76">
        <f t="shared" si="35"/>
        <v>1</v>
      </c>
      <c r="AD9" s="162">
        <f t="shared" si="36"/>
        <v>0</v>
      </c>
      <c r="AE9" s="163">
        <v>7750</v>
      </c>
      <c r="AF9" s="118">
        <f t="shared" si="37"/>
        <v>7750</v>
      </c>
      <c r="AG9" s="147">
        <v>0</v>
      </c>
      <c r="AH9" s="148">
        <v>3544</v>
      </c>
      <c r="AI9" s="149">
        <v>0.74444444444444446</v>
      </c>
      <c r="AJ9" s="148">
        <v>0</v>
      </c>
      <c r="AK9" s="165">
        <v>0</v>
      </c>
      <c r="AL9" s="56">
        <f t="shared" si="38"/>
        <v>46084</v>
      </c>
      <c r="AM9" s="77">
        <f t="shared" si="39"/>
        <v>0.60160247128101163</v>
      </c>
      <c r="AN9" s="76">
        <f t="shared" si="40"/>
        <v>0.39839752871898831</v>
      </c>
      <c r="AO9" s="150">
        <v>10359</v>
      </c>
      <c r="AP9" s="117">
        <f t="shared" si="41"/>
        <v>6232</v>
      </c>
      <c r="AQ9" s="151">
        <v>4127</v>
      </c>
      <c r="AR9" s="152">
        <v>3387</v>
      </c>
      <c r="AS9" s="153">
        <v>0.75138888888888888</v>
      </c>
      <c r="AT9" s="152">
        <v>197</v>
      </c>
      <c r="AU9" s="154">
        <v>0.69791666666666663</v>
      </c>
      <c r="AV9" s="56">
        <f t="shared" si="50"/>
        <v>46084</v>
      </c>
      <c r="AW9" s="110">
        <f t="shared" si="42"/>
        <v>0.60481555113761876</v>
      </c>
      <c r="AX9" s="110">
        <f t="shared" si="43"/>
        <v>0.39518444886238124</v>
      </c>
      <c r="AY9" s="111">
        <f t="shared" si="17"/>
        <v>9054</v>
      </c>
      <c r="AZ9" s="112">
        <v>9054</v>
      </c>
      <c r="BA9" s="120">
        <f t="shared" si="18"/>
        <v>5476</v>
      </c>
      <c r="BB9" s="113">
        <f>3007+571</f>
        <v>3578</v>
      </c>
      <c r="BC9" s="112">
        <v>4164</v>
      </c>
      <c r="BD9" s="114">
        <v>0.38541666666666669</v>
      </c>
      <c r="BE9" s="115">
        <v>0</v>
      </c>
      <c r="BF9" s="114">
        <v>0</v>
      </c>
      <c r="BG9" s="115">
        <v>182</v>
      </c>
      <c r="BH9" s="114">
        <v>0.88541666666666663</v>
      </c>
      <c r="BI9" s="56">
        <f t="shared" si="51"/>
        <v>46084</v>
      </c>
      <c r="BJ9" s="78">
        <f t="shared" si="44"/>
        <v>0.63427243531162691</v>
      </c>
      <c r="BK9" s="76">
        <f t="shared" si="45"/>
        <v>0.36572756468837309</v>
      </c>
      <c r="BL9" s="79">
        <f t="shared" si="46"/>
        <v>38299</v>
      </c>
      <c r="BM9" s="155">
        <v>24292</v>
      </c>
      <c r="BN9" s="155">
        <v>14007</v>
      </c>
      <c r="BO9" s="156">
        <v>4088</v>
      </c>
      <c r="BP9" s="157">
        <v>0.76458333333333328</v>
      </c>
      <c r="BQ9" s="158">
        <v>2746</v>
      </c>
      <c r="BR9" s="157">
        <v>0.76458333333333328</v>
      </c>
      <c r="BT9" s="14">
        <v>7705</v>
      </c>
      <c r="BV9" s="175">
        <f t="shared" si="52"/>
        <v>0</v>
      </c>
    </row>
    <row r="10" spans="1:75" ht="15.75" thickBot="1" x14ac:dyDescent="0.3">
      <c r="B10" s="56">
        <f t="shared" si="47"/>
        <v>46085</v>
      </c>
      <c r="C10" s="164"/>
      <c r="D10" s="87">
        <f t="shared" si="22"/>
        <v>59462</v>
      </c>
      <c r="E10" s="159">
        <f t="shared" si="23"/>
        <v>0.87255726346237938</v>
      </c>
      <c r="F10" s="87">
        <f t="shared" si="24"/>
        <v>51884</v>
      </c>
      <c r="G10" s="159">
        <f t="shared" si="25"/>
        <v>0.12744273653762067</v>
      </c>
      <c r="H10" s="146">
        <f t="shared" si="26"/>
        <v>7578</v>
      </c>
      <c r="I10" s="160">
        <f t="shared" si="27"/>
        <v>0.11066592357167603</v>
      </c>
      <c r="J10" s="159">
        <f t="shared" si="28"/>
        <v>0.15490518007501242</v>
      </c>
      <c r="K10" s="159">
        <f t="shared" si="29"/>
        <v>0.16445410645236017</v>
      </c>
      <c r="L10" s="161">
        <f t="shared" si="30"/>
        <v>0.59541490307129197</v>
      </c>
      <c r="M10" s="146">
        <f t="shared" si="31"/>
        <v>6443.5233999608363</v>
      </c>
      <c r="N10" s="146">
        <f t="shared" si="32"/>
        <v>9019.3541098675978</v>
      </c>
      <c r="O10" s="146">
        <f t="shared" si="33"/>
        <v>9575.3403481886708</v>
      </c>
      <c r="P10" s="146">
        <f t="shared" si="34"/>
        <v>34668.032731325977</v>
      </c>
      <c r="Q10" s="56">
        <f t="shared" si="48"/>
        <v>46085</v>
      </c>
      <c r="R10" s="139">
        <v>59462</v>
      </c>
      <c r="S10" s="140">
        <v>0</v>
      </c>
      <c r="T10" s="140">
        <v>58225</v>
      </c>
      <c r="U10" s="140">
        <v>0</v>
      </c>
      <c r="V10" s="141">
        <v>14677</v>
      </c>
      <c r="W10" s="142">
        <v>0.84375</v>
      </c>
      <c r="X10" s="141">
        <v>4645</v>
      </c>
      <c r="Y10" s="142">
        <v>0.40625</v>
      </c>
      <c r="Z10" s="141">
        <v>0</v>
      </c>
      <c r="AA10" s="142">
        <v>0</v>
      </c>
      <c r="AB10" s="56">
        <f t="shared" si="49"/>
        <v>46085</v>
      </c>
      <c r="AC10" s="76">
        <f t="shared" si="35"/>
        <v>1</v>
      </c>
      <c r="AD10" s="162">
        <f t="shared" si="36"/>
        <v>0</v>
      </c>
      <c r="AE10" s="163">
        <v>7347</v>
      </c>
      <c r="AF10" s="118">
        <f t="shared" si="37"/>
        <v>7347</v>
      </c>
      <c r="AG10" s="147">
        <v>0</v>
      </c>
      <c r="AH10" s="148">
        <v>3846</v>
      </c>
      <c r="AI10" s="149">
        <v>0.74791666666666667</v>
      </c>
      <c r="AJ10" s="148">
        <v>0</v>
      </c>
      <c r="AK10" s="165">
        <v>0</v>
      </c>
      <c r="AL10" s="56">
        <f t="shared" si="38"/>
        <v>46085</v>
      </c>
      <c r="AM10" s="77">
        <f t="shared" si="39"/>
        <v>0.61143523920653442</v>
      </c>
      <c r="AN10" s="76">
        <f t="shared" si="40"/>
        <v>0.38856476079346558</v>
      </c>
      <c r="AO10" s="150">
        <v>10284</v>
      </c>
      <c r="AP10" s="117">
        <f t="shared" si="41"/>
        <v>6288</v>
      </c>
      <c r="AQ10" s="151">
        <v>3996</v>
      </c>
      <c r="AR10" s="152">
        <v>3873</v>
      </c>
      <c r="AS10" s="153">
        <v>0.35972222222222222</v>
      </c>
      <c r="AT10" s="152">
        <v>194</v>
      </c>
      <c r="AU10" s="154">
        <v>0.70833333333333337</v>
      </c>
      <c r="AV10" s="56">
        <f t="shared" si="50"/>
        <v>46085</v>
      </c>
      <c r="AW10" s="110">
        <f t="shared" si="42"/>
        <v>0.61187560949181929</v>
      </c>
      <c r="AX10" s="110">
        <f t="shared" si="43"/>
        <v>0.38812439050818076</v>
      </c>
      <c r="AY10" s="111">
        <f t="shared" si="17"/>
        <v>9229</v>
      </c>
      <c r="AZ10" s="112">
        <v>9229</v>
      </c>
      <c r="BA10" s="120">
        <f t="shared" si="18"/>
        <v>5647</v>
      </c>
      <c r="BB10" s="113">
        <f>3011+571</f>
        <v>3582</v>
      </c>
      <c r="BC10" s="112">
        <v>3940</v>
      </c>
      <c r="BD10" s="114">
        <v>0.76041666666666663</v>
      </c>
      <c r="BE10" s="115">
        <v>0</v>
      </c>
      <c r="BF10" s="114">
        <v>0</v>
      </c>
      <c r="BG10" s="115">
        <v>189</v>
      </c>
      <c r="BH10" s="114">
        <v>0.875</v>
      </c>
      <c r="BI10" s="56">
        <f t="shared" si="51"/>
        <v>46085</v>
      </c>
      <c r="BJ10" s="78">
        <f t="shared" si="44"/>
        <v>0.60780692656024693</v>
      </c>
      <c r="BK10" s="76">
        <f t="shared" si="45"/>
        <v>0.39219307343975307</v>
      </c>
      <c r="BL10" s="79">
        <f t="shared" si="46"/>
        <v>39529</v>
      </c>
      <c r="BM10" s="155">
        <v>24026</v>
      </c>
      <c r="BN10" s="155">
        <v>15503</v>
      </c>
      <c r="BO10" s="156">
        <v>4988</v>
      </c>
      <c r="BP10" s="157">
        <v>0.81666666666666665</v>
      </c>
      <c r="BQ10" s="158">
        <v>3296</v>
      </c>
      <c r="BR10" s="157">
        <v>0.81666666666666665</v>
      </c>
      <c r="BS10" s="14" t="s">
        <v>68</v>
      </c>
      <c r="BT10" s="14">
        <v>7578</v>
      </c>
      <c r="BV10" s="175">
        <f t="shared" si="52"/>
        <v>0</v>
      </c>
    </row>
    <row r="11" spans="1:75" ht="15.75" thickBot="1" x14ac:dyDescent="0.3">
      <c r="B11" s="56">
        <f t="shared" si="47"/>
        <v>46086</v>
      </c>
      <c r="C11" s="164"/>
      <c r="D11" s="87">
        <f t="shared" si="22"/>
        <v>59542</v>
      </c>
      <c r="E11" s="159">
        <f t="shared" ref="E11:E24" si="53">F11/D11</f>
        <v>0.87472708340331196</v>
      </c>
      <c r="F11" s="87">
        <f t="shared" si="24"/>
        <v>52083</v>
      </c>
      <c r="G11" s="159">
        <f t="shared" ref="G11:G24" si="54">H11/D11</f>
        <v>0.12527291659668804</v>
      </c>
      <c r="H11" s="146">
        <f t="shared" si="26"/>
        <v>7459</v>
      </c>
      <c r="I11" s="160">
        <f t="shared" ref="I11:I24" si="55">AE11/(AE11+AO11+BL11+AY11)</f>
        <v>0.10511600237953599</v>
      </c>
      <c r="J11" s="159">
        <f t="shared" ref="J11:J24" si="56">AO11/(AE11+AO11+BL11+AY11)</f>
        <v>0.14414039262343842</v>
      </c>
      <c r="K11" s="159">
        <f t="shared" ref="K11:K24" si="57">AY11/(AF11+AP11+BM11+AZ11+AY11)</f>
        <v>0.15567461910330024</v>
      </c>
      <c r="L11" s="161">
        <f t="shared" ref="L11:L24" si="58">BL11/(AE11+AO11+BL11+AY11)</f>
        <v>0.61808447352766216</v>
      </c>
      <c r="M11" s="146">
        <f t="shared" ref="M11:M24" si="59">(S11+T11)*I11</f>
        <v>6096.938370017846</v>
      </c>
      <c r="N11" s="146">
        <f t="shared" ref="N11:N24" si="60">(S11+T11)*J11</f>
        <v>8360.4310529446757</v>
      </c>
      <c r="O11" s="146">
        <f t="shared" ref="O11:O24" si="61">(S11+T11)*K11</f>
        <v>9029.4392572296201</v>
      </c>
      <c r="P11" s="146">
        <f t="shared" ref="P11:P24" si="62">(S11+T11)*L11</f>
        <v>35850.135633551457</v>
      </c>
      <c r="Q11" s="56">
        <f t="shared" si="48"/>
        <v>46086</v>
      </c>
      <c r="R11" s="139">
        <v>59542</v>
      </c>
      <c r="S11" s="140">
        <v>0</v>
      </c>
      <c r="T11" s="140">
        <v>58002</v>
      </c>
      <c r="U11" s="140">
        <v>0</v>
      </c>
      <c r="V11" s="141">
        <v>14581</v>
      </c>
      <c r="W11" s="142">
        <v>0.80208333333333337</v>
      </c>
      <c r="X11" s="141">
        <v>4495</v>
      </c>
      <c r="Y11" s="142">
        <v>0.80208333333333337</v>
      </c>
      <c r="Z11" s="141">
        <v>0</v>
      </c>
      <c r="AA11" s="142">
        <v>0</v>
      </c>
      <c r="AB11" s="56">
        <f t="shared" si="49"/>
        <v>46086</v>
      </c>
      <c r="AC11" s="76">
        <f t="shared" ref="AC11:AC25" si="63">+AF11/AE11</f>
        <v>1</v>
      </c>
      <c r="AD11" s="162">
        <f t="shared" ref="AD11:AD25" si="64">+AG11/AE11</f>
        <v>0</v>
      </c>
      <c r="AE11" s="163">
        <v>7068</v>
      </c>
      <c r="AF11" s="118">
        <f t="shared" si="37"/>
        <v>7068</v>
      </c>
      <c r="AG11" s="147">
        <v>0</v>
      </c>
      <c r="AH11" s="148">
        <v>3883</v>
      </c>
      <c r="AI11" s="149">
        <v>0.35486111111111113</v>
      </c>
      <c r="AJ11" s="148">
        <v>0</v>
      </c>
      <c r="AK11" s="165">
        <v>0</v>
      </c>
      <c r="AL11" s="56">
        <f t="shared" si="38"/>
        <v>46086</v>
      </c>
      <c r="AM11" s="77">
        <f t="shared" ref="AM11:AM25" si="65">+AP11/AO11</f>
        <v>0.59182831200990504</v>
      </c>
      <c r="AN11" s="76">
        <f t="shared" ref="AN11:AN25" si="66">+AQ11/AO11</f>
        <v>0.4081716879900949</v>
      </c>
      <c r="AO11" s="150">
        <v>9692</v>
      </c>
      <c r="AP11" s="117">
        <f t="shared" si="41"/>
        <v>5736</v>
      </c>
      <c r="AQ11" s="151">
        <v>3956</v>
      </c>
      <c r="AR11" s="152">
        <v>4059</v>
      </c>
      <c r="AS11" s="153">
        <v>0.34305555555555556</v>
      </c>
      <c r="AT11" s="152">
        <v>180</v>
      </c>
      <c r="AU11" s="154">
        <v>0.76041666666666663</v>
      </c>
      <c r="AV11" s="56">
        <f t="shared" si="50"/>
        <v>46086</v>
      </c>
      <c r="AW11" s="110">
        <f t="shared" ref="AW11:AW25" si="67">BA11/AZ11</f>
        <v>0.60728699551569509</v>
      </c>
      <c r="AX11" s="110">
        <f t="shared" ref="AX11:AX25" si="68">BB11/AZ11</f>
        <v>0.39271300448430491</v>
      </c>
      <c r="AY11" s="111">
        <f t="shared" si="17"/>
        <v>8920</v>
      </c>
      <c r="AZ11" s="112">
        <v>8920</v>
      </c>
      <c r="BA11" s="120">
        <f t="shared" si="18"/>
        <v>5417</v>
      </c>
      <c r="BB11" s="113">
        <f>2932+571</f>
        <v>3503</v>
      </c>
      <c r="BC11" s="112">
        <v>4191</v>
      </c>
      <c r="BD11" s="114">
        <v>0.72916666666666663</v>
      </c>
      <c r="BE11" s="115">
        <v>0</v>
      </c>
      <c r="BF11" s="114">
        <v>0</v>
      </c>
      <c r="BG11" s="115">
        <v>177</v>
      </c>
      <c r="BH11" s="114">
        <v>0.90625</v>
      </c>
      <c r="BI11" s="56">
        <f t="shared" si="51"/>
        <v>46086</v>
      </c>
      <c r="BJ11" s="78">
        <f t="shared" ref="BJ11:BJ25" si="69">+BM11/BL11</f>
        <v>0.64136188642925895</v>
      </c>
      <c r="BK11" s="76">
        <f t="shared" ref="BK11:BK25" si="70">+BN11/BL11</f>
        <v>0.3586381135707411</v>
      </c>
      <c r="BL11" s="79">
        <f t="shared" ref="BL11:BL25" si="71">BM11+BN11</f>
        <v>41560</v>
      </c>
      <c r="BM11" s="155">
        <v>26655</v>
      </c>
      <c r="BN11" s="155">
        <v>14905</v>
      </c>
      <c r="BO11" s="156">
        <v>7757</v>
      </c>
      <c r="BP11" s="157">
        <v>1.1111111111111112E-2</v>
      </c>
      <c r="BQ11" s="158">
        <v>2543</v>
      </c>
      <c r="BR11" s="157">
        <v>0.75069444444444444</v>
      </c>
      <c r="BT11" s="14">
        <v>7459</v>
      </c>
      <c r="BV11" s="175">
        <f t="shared" si="52"/>
        <v>0</v>
      </c>
    </row>
    <row r="12" spans="1:75" ht="15.75" thickBot="1" x14ac:dyDescent="0.3">
      <c r="B12" s="56">
        <f t="shared" si="47"/>
        <v>46087</v>
      </c>
      <c r="C12" s="164"/>
      <c r="D12" s="87">
        <f t="shared" si="22"/>
        <v>59430</v>
      </c>
      <c r="E12" s="159">
        <f t="shared" si="53"/>
        <v>0.87651018004374892</v>
      </c>
      <c r="F12" s="87">
        <f t="shared" si="24"/>
        <v>52091</v>
      </c>
      <c r="G12" s="159">
        <f>H12/D12</f>
        <v>0.12348981995625105</v>
      </c>
      <c r="H12" s="146">
        <f t="shared" si="26"/>
        <v>7339</v>
      </c>
      <c r="I12" s="160">
        <f t="shared" si="55"/>
        <v>0.11082445828314798</v>
      </c>
      <c r="J12" s="159">
        <f t="shared" si="56"/>
        <v>0.14966317237291549</v>
      </c>
      <c r="K12" s="159">
        <f t="shared" si="57"/>
        <v>0.18771273490041737</v>
      </c>
      <c r="L12" s="161">
        <f t="shared" si="58"/>
        <v>0.57460551462625997</v>
      </c>
      <c r="M12" s="146">
        <f t="shared" si="59"/>
        <v>6436.8507737726595</v>
      </c>
      <c r="N12" s="146">
        <f t="shared" si="60"/>
        <v>8692.6615461774909</v>
      </c>
      <c r="O12" s="146">
        <f t="shared" si="61"/>
        <v>10902.637212118592</v>
      </c>
      <c r="P12" s="146">
        <f t="shared" si="62"/>
        <v>33373.950197765116</v>
      </c>
      <c r="Q12" s="56">
        <f t="shared" si="48"/>
        <v>46087</v>
      </c>
      <c r="R12" s="139">
        <v>59430</v>
      </c>
      <c r="S12" s="140">
        <v>0</v>
      </c>
      <c r="T12" s="140">
        <v>58081.5</v>
      </c>
      <c r="U12" s="140">
        <v>0</v>
      </c>
      <c r="V12" s="141">
        <v>13625.75</v>
      </c>
      <c r="W12" s="142">
        <v>0.82291666666666663</v>
      </c>
      <c r="X12" s="141">
        <v>4520.63</v>
      </c>
      <c r="Y12" s="142">
        <v>0.79166666666666663</v>
      </c>
      <c r="Z12" s="141">
        <v>0</v>
      </c>
      <c r="AA12" s="142">
        <v>0</v>
      </c>
      <c r="AB12" s="56">
        <f t="shared" si="49"/>
        <v>46087</v>
      </c>
      <c r="AC12" s="76">
        <f t="shared" si="63"/>
        <v>1</v>
      </c>
      <c r="AD12" s="162">
        <f t="shared" si="64"/>
        <v>0</v>
      </c>
      <c r="AE12" s="163">
        <v>7292</v>
      </c>
      <c r="AF12" s="118">
        <f t="shared" si="37"/>
        <v>7292</v>
      </c>
      <c r="AG12" s="147">
        <v>0</v>
      </c>
      <c r="AH12" s="148">
        <v>3829.52</v>
      </c>
      <c r="AI12" s="149">
        <v>0.71111111111111114</v>
      </c>
      <c r="AJ12" s="148">
        <v>0</v>
      </c>
      <c r="AK12" s="165">
        <v>0</v>
      </c>
      <c r="AL12" s="56">
        <f t="shared" si="38"/>
        <v>46087</v>
      </c>
      <c r="AM12" s="77">
        <f t="shared" si="65"/>
        <v>0.60416349327240415</v>
      </c>
      <c r="AN12" s="76">
        <f t="shared" si="66"/>
        <v>0.39583650672759585</v>
      </c>
      <c r="AO12" s="150">
        <v>9847.5</v>
      </c>
      <c r="AP12" s="117">
        <f t="shared" si="41"/>
        <v>5949.5</v>
      </c>
      <c r="AQ12" s="151">
        <v>3898</v>
      </c>
      <c r="AR12" s="152">
        <v>4476.45</v>
      </c>
      <c r="AS12" s="153">
        <v>0.77708333333333335</v>
      </c>
      <c r="AT12" s="152">
        <v>180.6</v>
      </c>
      <c r="AU12" s="154">
        <v>0.69791666666666663</v>
      </c>
      <c r="AV12" s="56">
        <f t="shared" si="50"/>
        <v>46087</v>
      </c>
      <c r="AW12" s="110">
        <f t="shared" si="67"/>
        <v>0.68287175706188652</v>
      </c>
      <c r="AX12" s="110">
        <f t="shared" si="68"/>
        <v>0.31712824293811342</v>
      </c>
      <c r="AY12" s="111">
        <f t="shared" si="17"/>
        <v>10850.5</v>
      </c>
      <c r="AZ12" s="112">
        <v>10850.5</v>
      </c>
      <c r="BA12" s="120">
        <f t="shared" si="18"/>
        <v>7409.5</v>
      </c>
      <c r="BB12" s="113">
        <f>2870+571</f>
        <v>3441</v>
      </c>
      <c r="BC12" s="112">
        <v>4308.37</v>
      </c>
      <c r="BD12" s="114">
        <v>6.25E-2</v>
      </c>
      <c r="BE12" s="115">
        <v>0</v>
      </c>
      <c r="BF12" s="114">
        <v>0</v>
      </c>
      <c r="BG12" s="115">
        <v>176.29</v>
      </c>
      <c r="BH12" s="114">
        <v>0.86458333333333337</v>
      </c>
      <c r="BI12" s="56">
        <f t="shared" si="51"/>
        <v>46087</v>
      </c>
      <c r="BJ12" s="78">
        <f t="shared" si="69"/>
        <v>0.60467099999338758</v>
      </c>
      <c r="BK12" s="76">
        <f t="shared" si="70"/>
        <v>0.39532900000661242</v>
      </c>
      <c r="BL12" s="79">
        <f t="shared" si="71"/>
        <v>37807.75</v>
      </c>
      <c r="BM12" s="155">
        <v>22861.25</v>
      </c>
      <c r="BN12" s="155">
        <v>14946.5</v>
      </c>
      <c r="BO12" s="156">
        <v>4118.62</v>
      </c>
      <c r="BP12" s="157">
        <v>0.77638888888888891</v>
      </c>
      <c r="BQ12" s="158">
        <v>2784.38</v>
      </c>
      <c r="BR12" s="157">
        <v>0.77638888888888891</v>
      </c>
      <c r="BT12" s="14">
        <v>7339</v>
      </c>
      <c r="BV12" s="175">
        <f t="shared" si="52"/>
        <v>0</v>
      </c>
    </row>
    <row r="13" spans="1:75" ht="15.75" thickBot="1" x14ac:dyDescent="0.3">
      <c r="B13" s="56">
        <f t="shared" si="47"/>
        <v>46088</v>
      </c>
      <c r="C13" s="164"/>
      <c r="D13" s="87">
        <f t="shared" si="22"/>
        <v>35024</v>
      </c>
      <c r="E13" s="159">
        <f t="shared" si="53"/>
        <v>0.7930493375970763</v>
      </c>
      <c r="F13" s="87">
        <f t="shared" si="24"/>
        <v>27775.760000000002</v>
      </c>
      <c r="G13" s="159">
        <f t="shared" si="54"/>
        <v>0.2069506624029237</v>
      </c>
      <c r="H13" s="146">
        <f t="shared" si="26"/>
        <v>7248.24</v>
      </c>
      <c r="I13" s="160">
        <f t="shared" si="55"/>
        <v>7.0365427715805409E-2</v>
      </c>
      <c r="J13" s="159">
        <f t="shared" si="56"/>
        <v>0.14817605404473505</v>
      </c>
      <c r="K13" s="159">
        <f t="shared" si="57"/>
        <v>0.16247777039300532</v>
      </c>
      <c r="L13" s="161">
        <f t="shared" si="58"/>
        <v>0.65514555171731237</v>
      </c>
      <c r="M13" s="146">
        <f t="shared" si="59"/>
        <v>2373.9184348481272</v>
      </c>
      <c r="N13" s="146">
        <f t="shared" si="60"/>
        <v>4999.0155353072259</v>
      </c>
      <c r="O13" s="146">
        <f t="shared" si="61"/>
        <v>5481.51253974882</v>
      </c>
      <c r="P13" s="146">
        <f t="shared" si="62"/>
        <v>22102.645478286966</v>
      </c>
      <c r="Q13" s="56">
        <f t="shared" si="48"/>
        <v>46088</v>
      </c>
      <c r="R13" s="139">
        <v>35024</v>
      </c>
      <c r="S13" s="140">
        <v>0</v>
      </c>
      <c r="T13" s="140">
        <v>33737</v>
      </c>
      <c r="U13" s="140">
        <v>0</v>
      </c>
      <c r="V13" s="141">
        <v>6547.77</v>
      </c>
      <c r="W13" s="142">
        <v>0.45833333333333331</v>
      </c>
      <c r="X13" s="141">
        <v>2098.65</v>
      </c>
      <c r="Y13" s="142">
        <v>0.80208333333333337</v>
      </c>
      <c r="Z13" s="141">
        <v>0</v>
      </c>
      <c r="AA13" s="142">
        <v>0</v>
      </c>
      <c r="AB13" s="168">
        <f t="shared" si="49"/>
        <v>46088</v>
      </c>
      <c r="AC13" s="76">
        <f t="shared" si="63"/>
        <v>1</v>
      </c>
      <c r="AD13" s="162">
        <f t="shared" si="64"/>
        <v>0</v>
      </c>
      <c r="AE13" s="163">
        <v>2755</v>
      </c>
      <c r="AF13" s="118">
        <f t="shared" si="37"/>
        <v>2755</v>
      </c>
      <c r="AG13" s="147">
        <v>0</v>
      </c>
      <c r="AH13" s="148">
        <v>1627.42</v>
      </c>
      <c r="AI13" s="149">
        <v>0.75486111111111109</v>
      </c>
      <c r="AJ13" s="148">
        <v>0</v>
      </c>
      <c r="AK13" s="165">
        <v>0</v>
      </c>
      <c r="AL13" s="168">
        <f t="shared" si="38"/>
        <v>46088</v>
      </c>
      <c r="AM13" s="77">
        <f t="shared" si="65"/>
        <v>0.34581746100146515</v>
      </c>
      <c r="AN13" s="76">
        <f t="shared" si="66"/>
        <v>0.65418253899853485</v>
      </c>
      <c r="AO13" s="150">
        <v>5801.5</v>
      </c>
      <c r="AP13" s="117">
        <f t="shared" si="41"/>
        <v>2006.2600000000002</v>
      </c>
      <c r="AQ13" s="151">
        <v>3795.24</v>
      </c>
      <c r="AR13" s="152">
        <v>1566.81</v>
      </c>
      <c r="AS13" s="153">
        <v>0.41111111111111109</v>
      </c>
      <c r="AT13" s="152">
        <v>179.15</v>
      </c>
      <c r="AU13" s="154">
        <v>0.89583333333333337</v>
      </c>
      <c r="AV13" s="168">
        <f t="shared" si="50"/>
        <v>46088</v>
      </c>
      <c r="AW13" s="169">
        <f t="shared" si="67"/>
        <v>0.30178950561116163</v>
      </c>
      <c r="AX13" s="169">
        <f t="shared" si="68"/>
        <v>0.69821049438883831</v>
      </c>
      <c r="AY13" s="111">
        <f t="shared" si="17"/>
        <v>4945.5</v>
      </c>
      <c r="AZ13" s="112">
        <v>4945.5</v>
      </c>
      <c r="BA13" s="120">
        <f t="shared" si="18"/>
        <v>1492.5</v>
      </c>
      <c r="BB13" s="113">
        <f>2882+571</f>
        <v>3453</v>
      </c>
      <c r="BC13" s="112">
        <v>1521.62</v>
      </c>
      <c r="BD13" s="114">
        <v>0.58333333333333337</v>
      </c>
      <c r="BE13" s="115">
        <v>0</v>
      </c>
      <c r="BF13" s="114">
        <v>0</v>
      </c>
      <c r="BG13" s="115">
        <v>182.3</v>
      </c>
      <c r="BH13" s="114">
        <v>0.86458333333333337</v>
      </c>
      <c r="BI13" s="168">
        <f t="shared" si="51"/>
        <v>46088</v>
      </c>
      <c r="BJ13" s="170">
        <f t="shared" si="69"/>
        <v>0.61541085543307705</v>
      </c>
      <c r="BK13" s="76">
        <f t="shared" si="70"/>
        <v>0.384589144566923</v>
      </c>
      <c r="BL13" s="79">
        <f t="shared" si="71"/>
        <v>25650.75</v>
      </c>
      <c r="BM13" s="155">
        <v>15785.75</v>
      </c>
      <c r="BN13" s="155">
        <v>9865</v>
      </c>
      <c r="BO13" s="156">
        <v>3687.97</v>
      </c>
      <c r="BP13" s="157">
        <v>0.98958333333333337</v>
      </c>
      <c r="BQ13" s="158">
        <v>1663.9</v>
      </c>
      <c r="BR13" s="157">
        <v>0.37013888888888891</v>
      </c>
      <c r="BT13" s="14">
        <v>7248.24</v>
      </c>
      <c r="BV13" s="175">
        <f t="shared" si="52"/>
        <v>0</v>
      </c>
    </row>
    <row r="14" spans="1:75" ht="15.75" thickBot="1" x14ac:dyDescent="0.3">
      <c r="B14" s="56">
        <f t="shared" si="47"/>
        <v>46089</v>
      </c>
      <c r="C14" s="164"/>
      <c r="D14" s="87">
        <f t="shared" si="22"/>
        <v>32942</v>
      </c>
      <c r="E14" s="159">
        <f t="shared" si="53"/>
        <v>0.78058405682715071</v>
      </c>
      <c r="F14" s="87">
        <f t="shared" si="24"/>
        <v>25714</v>
      </c>
      <c r="G14" s="159">
        <f t="shared" si="54"/>
        <v>0.21941594317284924</v>
      </c>
      <c r="H14" s="146">
        <f t="shared" si="26"/>
        <v>7228</v>
      </c>
      <c r="I14" s="160">
        <f t="shared" si="55"/>
        <v>5.9958559958559955E-2</v>
      </c>
      <c r="J14" s="159">
        <f t="shared" si="56"/>
        <v>0.14384874384874385</v>
      </c>
      <c r="K14" s="159">
        <f t="shared" si="57"/>
        <v>0.20239282153539381</v>
      </c>
      <c r="L14" s="161">
        <f t="shared" si="58"/>
        <v>0.62794612794612792</v>
      </c>
      <c r="M14" s="146">
        <f t="shared" si="59"/>
        <v>1893.4313649313649</v>
      </c>
      <c r="N14" s="146">
        <f t="shared" si="60"/>
        <v>4542.5994819994821</v>
      </c>
      <c r="O14" s="146">
        <f t="shared" si="61"/>
        <v>6391.3629112662011</v>
      </c>
      <c r="P14" s="146">
        <f t="shared" si="62"/>
        <v>19829.910774410775</v>
      </c>
      <c r="Q14" s="56">
        <f t="shared" si="48"/>
        <v>46089</v>
      </c>
      <c r="R14" s="139">
        <v>32942</v>
      </c>
      <c r="S14" s="140">
        <v>0</v>
      </c>
      <c r="T14" s="140">
        <v>31579</v>
      </c>
      <c r="U14" s="140">
        <v>0</v>
      </c>
      <c r="V14" s="141">
        <v>5848</v>
      </c>
      <c r="W14" s="142">
        <v>0.84375</v>
      </c>
      <c r="X14" s="141">
        <v>1877</v>
      </c>
      <c r="Y14" s="142">
        <v>0.72916666666666663</v>
      </c>
      <c r="Z14" s="141">
        <v>0</v>
      </c>
      <c r="AA14" s="142">
        <v>0</v>
      </c>
      <c r="AB14" s="56">
        <f t="shared" si="49"/>
        <v>46089</v>
      </c>
      <c r="AC14" s="76">
        <f t="shared" si="63"/>
        <v>1</v>
      </c>
      <c r="AD14" s="162">
        <f t="shared" si="64"/>
        <v>0</v>
      </c>
      <c r="AE14" s="163">
        <v>2315</v>
      </c>
      <c r="AF14" s="118">
        <f t="shared" ref="AF14" si="72">+AE14-AG14</f>
        <v>2315</v>
      </c>
      <c r="AG14" s="147">
        <v>0</v>
      </c>
      <c r="AH14" s="148">
        <v>1485</v>
      </c>
      <c r="AI14" s="149">
        <v>0.87291666666666667</v>
      </c>
      <c r="AJ14" s="148">
        <v>0</v>
      </c>
      <c r="AK14" s="165">
        <v>0</v>
      </c>
      <c r="AL14" s="56">
        <f t="shared" si="38"/>
        <v>46089</v>
      </c>
      <c r="AM14" s="77">
        <f t="shared" si="65"/>
        <v>0.33471371984155562</v>
      </c>
      <c r="AN14" s="76">
        <f t="shared" si="66"/>
        <v>0.66528628015844438</v>
      </c>
      <c r="AO14" s="150">
        <v>5554</v>
      </c>
      <c r="AP14" s="117">
        <f t="shared" ref="AP14" si="73">AO14-AQ14</f>
        <v>1859</v>
      </c>
      <c r="AQ14" s="151">
        <v>3695</v>
      </c>
      <c r="AR14" s="152">
        <v>2201</v>
      </c>
      <c r="AS14" s="153">
        <v>0.14027777777777778</v>
      </c>
      <c r="AT14" s="152">
        <v>179</v>
      </c>
      <c r="AU14" s="154">
        <v>0.29166666666666669</v>
      </c>
      <c r="AV14" s="56">
        <f t="shared" si="50"/>
        <v>46089</v>
      </c>
      <c r="AW14" s="110">
        <f t="shared" si="67"/>
        <v>0.58487958941966045</v>
      </c>
      <c r="AX14" s="110">
        <f t="shared" si="68"/>
        <v>0.69739439399921044</v>
      </c>
      <c r="AY14" s="111">
        <f t="shared" si="17"/>
        <v>6496</v>
      </c>
      <c r="AZ14" s="112">
        <v>5066</v>
      </c>
      <c r="BA14" s="120">
        <v>2963</v>
      </c>
      <c r="BB14" s="113">
        <f>2962+571</f>
        <v>3533</v>
      </c>
      <c r="BC14" s="112">
        <v>2880</v>
      </c>
      <c r="BD14" s="114">
        <v>0</v>
      </c>
      <c r="BE14" s="115">
        <v>0</v>
      </c>
      <c r="BF14" s="114">
        <v>0</v>
      </c>
      <c r="BG14" s="115">
        <v>175</v>
      </c>
      <c r="BH14" s="114">
        <v>0.90625</v>
      </c>
      <c r="BI14" s="56">
        <f t="shared" si="51"/>
        <v>46089</v>
      </c>
      <c r="BJ14" s="78">
        <f t="shared" si="69"/>
        <v>0.67477830480511447</v>
      </c>
      <c r="BK14" s="76">
        <f t="shared" si="70"/>
        <v>0.32522169519488553</v>
      </c>
      <c r="BL14" s="79">
        <f t="shared" si="71"/>
        <v>24245</v>
      </c>
      <c r="BM14" s="155">
        <v>16360</v>
      </c>
      <c r="BN14" s="155">
        <v>7885</v>
      </c>
      <c r="BO14" s="156">
        <v>3581</v>
      </c>
      <c r="BP14" s="157">
        <v>0.15694444444444444</v>
      </c>
      <c r="BQ14" s="158">
        <v>1695</v>
      </c>
      <c r="BR14" s="157">
        <v>0.98958333333333337</v>
      </c>
      <c r="BT14" s="14">
        <v>7228</v>
      </c>
      <c r="BV14" s="175">
        <f t="shared" si="52"/>
        <v>0</v>
      </c>
    </row>
    <row r="15" spans="1:75" ht="15.75" thickBot="1" x14ac:dyDescent="0.3">
      <c r="B15" s="56">
        <f t="shared" si="47"/>
        <v>46090</v>
      </c>
      <c r="C15" s="164"/>
      <c r="D15" s="87">
        <f t="shared" si="22"/>
        <v>54500</v>
      </c>
      <c r="E15" s="159">
        <f t="shared" si="53"/>
        <v>0.86071559633027528</v>
      </c>
      <c r="F15" s="87">
        <f t="shared" si="24"/>
        <v>46909</v>
      </c>
      <c r="G15" s="159">
        <f t="shared" si="54"/>
        <v>0.13928440366972478</v>
      </c>
      <c r="H15" s="146">
        <f t="shared" si="26"/>
        <v>7591</v>
      </c>
      <c r="I15" s="160">
        <f t="shared" si="55"/>
        <v>0.11671066314694824</v>
      </c>
      <c r="J15" s="159">
        <f t="shared" si="56"/>
        <v>0.15822734181265499</v>
      </c>
      <c r="K15" s="159">
        <f t="shared" si="57"/>
        <v>0.17075674162545487</v>
      </c>
      <c r="L15" s="161">
        <f t="shared" si="58"/>
        <v>0.57867370610351176</v>
      </c>
      <c r="M15" s="146">
        <f t="shared" si="59"/>
        <v>6331.553475721942</v>
      </c>
      <c r="N15" s="146">
        <f t="shared" si="60"/>
        <v>8583.8332933365327</v>
      </c>
      <c r="O15" s="146">
        <f t="shared" si="61"/>
        <v>9263.5532331809263</v>
      </c>
      <c r="P15" s="146">
        <f t="shared" si="62"/>
        <v>31393.048556115515</v>
      </c>
      <c r="Q15" s="56">
        <f t="shared" si="48"/>
        <v>46090</v>
      </c>
      <c r="R15" s="139">
        <v>54500</v>
      </c>
      <c r="S15" s="140">
        <v>0</v>
      </c>
      <c r="T15" s="140">
        <v>54250</v>
      </c>
      <c r="U15" s="140">
        <v>0</v>
      </c>
      <c r="V15" s="141">
        <v>14960</v>
      </c>
      <c r="W15" s="142">
        <v>0.79166666666666663</v>
      </c>
      <c r="X15" s="141">
        <v>4590</v>
      </c>
      <c r="Y15" s="142">
        <v>0.8125</v>
      </c>
      <c r="Z15" s="141">
        <v>0</v>
      </c>
      <c r="AA15" s="142">
        <v>0</v>
      </c>
      <c r="AB15" s="56">
        <f t="shared" si="49"/>
        <v>46090</v>
      </c>
      <c r="AC15" s="76">
        <f t="shared" si="63"/>
        <v>1</v>
      </c>
      <c r="AD15" s="162">
        <f t="shared" si="64"/>
        <v>0</v>
      </c>
      <c r="AE15" s="163">
        <v>7295</v>
      </c>
      <c r="AF15" s="118">
        <f t="shared" si="37"/>
        <v>7295</v>
      </c>
      <c r="AG15" s="147">
        <v>0</v>
      </c>
      <c r="AH15" s="148">
        <v>3890</v>
      </c>
      <c r="AI15" s="149">
        <v>0.82291666666666663</v>
      </c>
      <c r="AJ15" s="148">
        <v>0</v>
      </c>
      <c r="AK15" s="165">
        <v>0</v>
      </c>
      <c r="AL15" s="168">
        <f t="shared" si="38"/>
        <v>46090</v>
      </c>
      <c r="AM15" s="77">
        <f t="shared" si="65"/>
        <v>0.59049544994944392</v>
      </c>
      <c r="AN15" s="76">
        <f t="shared" si="66"/>
        <v>0.40950455005055614</v>
      </c>
      <c r="AO15" s="150">
        <v>9890</v>
      </c>
      <c r="AP15" s="117">
        <f t="shared" si="41"/>
        <v>5840</v>
      </c>
      <c r="AQ15" s="151">
        <v>4050</v>
      </c>
      <c r="AR15" s="152">
        <v>3950</v>
      </c>
      <c r="AS15" s="153">
        <v>0.39583333333333331</v>
      </c>
      <c r="AT15" s="152">
        <v>198</v>
      </c>
      <c r="AU15" s="154">
        <v>0.6875</v>
      </c>
      <c r="AV15" s="56">
        <f t="shared" si="50"/>
        <v>46090</v>
      </c>
      <c r="AW15" s="169">
        <f t="shared" si="67"/>
        <v>0.61300546448087434</v>
      </c>
      <c r="AX15" s="169">
        <f t="shared" si="68"/>
        <v>0.38699453551912566</v>
      </c>
      <c r="AY15" s="111">
        <f t="shared" si="17"/>
        <v>9150</v>
      </c>
      <c r="AZ15" s="112">
        <v>9150</v>
      </c>
      <c r="BA15" s="120">
        <f t="shared" si="18"/>
        <v>5609</v>
      </c>
      <c r="BB15" s="113">
        <f>2970+571</f>
        <v>3541</v>
      </c>
      <c r="BC15" s="112">
        <v>4190</v>
      </c>
      <c r="BD15" s="114">
        <v>0.79166666666666663</v>
      </c>
      <c r="BE15" s="115">
        <v>0</v>
      </c>
      <c r="BF15" s="114" t="s">
        <v>69</v>
      </c>
      <c r="BG15" s="115">
        <v>178</v>
      </c>
      <c r="BH15" s="114">
        <v>0.85416666666666663</v>
      </c>
      <c r="BI15" s="56">
        <f t="shared" si="51"/>
        <v>46090</v>
      </c>
      <c r="BJ15" s="170">
        <f t="shared" si="69"/>
        <v>0.6123859552115013</v>
      </c>
      <c r="BK15" s="76">
        <f t="shared" si="70"/>
        <v>0.38761404478849876</v>
      </c>
      <c r="BL15" s="79">
        <f t="shared" si="71"/>
        <v>36170</v>
      </c>
      <c r="BM15" s="155">
        <v>22150</v>
      </c>
      <c r="BN15" s="155">
        <v>14020</v>
      </c>
      <c r="BO15" s="156">
        <v>4070</v>
      </c>
      <c r="BP15" s="157" t="s">
        <v>70</v>
      </c>
      <c r="BQ15" s="158">
        <v>2730</v>
      </c>
      <c r="BR15" s="157">
        <v>0.875</v>
      </c>
      <c r="BT15" s="14">
        <v>7530</v>
      </c>
      <c r="BV15" s="175">
        <f t="shared" si="52"/>
        <v>-61</v>
      </c>
    </row>
    <row r="16" spans="1:75" ht="15.75" thickBot="1" x14ac:dyDescent="0.3">
      <c r="B16" s="56">
        <f t="shared" si="47"/>
        <v>46091</v>
      </c>
      <c r="C16" s="164"/>
      <c r="D16" s="87">
        <f t="shared" si="22"/>
        <v>55200</v>
      </c>
      <c r="E16" s="159">
        <f t="shared" si="53"/>
        <v>0.86067028985507243</v>
      </c>
      <c r="F16" s="87">
        <f t="shared" si="24"/>
        <v>47509</v>
      </c>
      <c r="G16" s="159">
        <f t="shared" si="54"/>
        <v>0.13932971014492754</v>
      </c>
      <c r="H16" s="146">
        <f t="shared" si="26"/>
        <v>7691</v>
      </c>
      <c r="I16" s="160">
        <f t="shared" si="55"/>
        <v>0.11760961247712262</v>
      </c>
      <c r="J16" s="159">
        <f t="shared" si="56"/>
        <v>0.15922654571496778</v>
      </c>
      <c r="K16" s="159">
        <f t="shared" si="57"/>
        <v>0.17027202673846439</v>
      </c>
      <c r="L16" s="161">
        <f t="shared" si="58"/>
        <v>0.5772260682740511</v>
      </c>
      <c r="M16" s="146">
        <f t="shared" si="59"/>
        <v>6380.3214768839025</v>
      </c>
      <c r="N16" s="146">
        <f t="shared" si="60"/>
        <v>8638.0401050370019</v>
      </c>
      <c r="O16" s="146">
        <f t="shared" si="61"/>
        <v>9237.257450561694</v>
      </c>
      <c r="P16" s="146">
        <f t="shared" si="62"/>
        <v>31314.514203867271</v>
      </c>
      <c r="Q16" s="56">
        <f t="shared" si="48"/>
        <v>46091</v>
      </c>
      <c r="R16" s="139">
        <v>55200</v>
      </c>
      <c r="S16" s="140">
        <v>0</v>
      </c>
      <c r="T16" s="140">
        <v>54250</v>
      </c>
      <c r="U16" s="140">
        <v>0</v>
      </c>
      <c r="V16" s="141">
        <v>14850</v>
      </c>
      <c r="W16" s="142">
        <v>0.77083333333333337</v>
      </c>
      <c r="X16" s="141">
        <v>4690</v>
      </c>
      <c r="Y16" s="142">
        <v>0.75</v>
      </c>
      <c r="Z16" s="141">
        <v>0</v>
      </c>
      <c r="AA16" s="142">
        <v>0</v>
      </c>
      <c r="AB16" s="56">
        <f t="shared" si="49"/>
        <v>46091</v>
      </c>
      <c r="AC16" s="76">
        <f t="shared" si="63"/>
        <v>1</v>
      </c>
      <c r="AD16" s="162">
        <f t="shared" si="64"/>
        <v>0</v>
      </c>
      <c r="AE16" s="163">
        <v>7390</v>
      </c>
      <c r="AF16" s="118">
        <f t="shared" si="37"/>
        <v>7390</v>
      </c>
      <c r="AG16" s="147">
        <v>0</v>
      </c>
      <c r="AH16" s="148">
        <v>3905</v>
      </c>
      <c r="AI16" s="149">
        <v>0.83333333333333337</v>
      </c>
      <c r="AJ16" s="148">
        <v>0</v>
      </c>
      <c r="AK16" s="165">
        <v>0</v>
      </c>
      <c r="AL16" s="56">
        <f t="shared" si="38"/>
        <v>46091</v>
      </c>
      <c r="AM16" s="77">
        <f t="shared" si="65"/>
        <v>0.59020489755122441</v>
      </c>
      <c r="AN16" s="76">
        <f t="shared" si="66"/>
        <v>0.40979510244877559</v>
      </c>
      <c r="AO16" s="150">
        <v>10005</v>
      </c>
      <c r="AP16" s="117">
        <f t="shared" si="41"/>
        <v>5905</v>
      </c>
      <c r="AQ16" s="151">
        <v>4100</v>
      </c>
      <c r="AR16" s="152">
        <v>3955</v>
      </c>
      <c r="AS16" s="153">
        <v>0.35416666666666669</v>
      </c>
      <c r="AT16" s="152">
        <v>197</v>
      </c>
      <c r="AU16" s="154">
        <v>0.70833333333333337</v>
      </c>
      <c r="AV16" s="56">
        <f t="shared" si="50"/>
        <v>46091</v>
      </c>
      <c r="AW16" s="110">
        <f t="shared" si="67"/>
        <v>0.60839694656488552</v>
      </c>
      <c r="AX16" s="110">
        <f t="shared" si="68"/>
        <v>0.39160305343511448</v>
      </c>
      <c r="AY16" s="111">
        <f t="shared" si="17"/>
        <v>9170</v>
      </c>
      <c r="AZ16" s="112">
        <v>9170</v>
      </c>
      <c r="BA16" s="120">
        <f t="shared" si="18"/>
        <v>5579</v>
      </c>
      <c r="BB16" s="113">
        <f>3020+571</f>
        <v>3591</v>
      </c>
      <c r="BC16" s="112">
        <v>4200</v>
      </c>
      <c r="BD16" s="114">
        <v>0.77083333333333337</v>
      </c>
      <c r="BE16" s="115">
        <v>0</v>
      </c>
      <c r="BF16" s="114">
        <v>0</v>
      </c>
      <c r="BG16" s="115">
        <v>178</v>
      </c>
      <c r="BH16" s="114">
        <v>0.875</v>
      </c>
      <c r="BI16" s="56">
        <f t="shared" si="51"/>
        <v>46091</v>
      </c>
      <c r="BJ16" s="78">
        <f t="shared" si="69"/>
        <v>0.61262751585332231</v>
      </c>
      <c r="BK16" s="76">
        <f t="shared" si="70"/>
        <v>0.38737248414667769</v>
      </c>
      <c r="BL16" s="79">
        <f t="shared" si="71"/>
        <v>36270</v>
      </c>
      <c r="BM16" s="155">
        <v>22220</v>
      </c>
      <c r="BN16" s="155">
        <v>14050</v>
      </c>
      <c r="BO16" s="156">
        <v>4100</v>
      </c>
      <c r="BP16" s="157">
        <v>0.77083333333333337</v>
      </c>
      <c r="BQ16" s="158">
        <v>2760</v>
      </c>
      <c r="BR16" s="157">
        <v>0.85416666666666663</v>
      </c>
      <c r="BT16" s="14">
        <v>7620</v>
      </c>
      <c r="BV16" s="175">
        <f t="shared" si="52"/>
        <v>-71</v>
      </c>
    </row>
    <row r="17" spans="1:74" ht="15.75" thickBot="1" x14ac:dyDescent="0.3">
      <c r="B17" s="56">
        <f t="shared" si="47"/>
        <v>46092</v>
      </c>
      <c r="C17" s="164"/>
      <c r="D17" s="87">
        <f t="shared" si="22"/>
        <v>57878</v>
      </c>
      <c r="E17" s="159">
        <f t="shared" si="53"/>
        <v>0.8663568195169149</v>
      </c>
      <c r="F17" s="87">
        <f t="shared" si="24"/>
        <v>50143</v>
      </c>
      <c r="G17" s="159">
        <f t="shared" si="54"/>
        <v>0.1336431804830851</v>
      </c>
      <c r="H17" s="146">
        <f t="shared" si="26"/>
        <v>7735</v>
      </c>
      <c r="I17" s="160">
        <f t="shared" si="55"/>
        <v>0.1178039044470779</v>
      </c>
      <c r="J17" s="159">
        <f t="shared" si="56"/>
        <v>0.15943678662758062</v>
      </c>
      <c r="K17" s="159">
        <f t="shared" si="57"/>
        <v>0.18790275595416747</v>
      </c>
      <c r="L17" s="161">
        <f t="shared" si="58"/>
        <v>0.55680471527474584</v>
      </c>
      <c r="M17" s="146">
        <f t="shared" si="59"/>
        <v>6670.0570697935509</v>
      </c>
      <c r="N17" s="146">
        <f t="shared" si="60"/>
        <v>9027.3108588536143</v>
      </c>
      <c r="O17" s="146">
        <f t="shared" si="61"/>
        <v>10639.054042124963</v>
      </c>
      <c r="P17" s="146">
        <f t="shared" si="62"/>
        <v>31526.28297885611</v>
      </c>
      <c r="Q17" s="56">
        <f t="shared" si="48"/>
        <v>46092</v>
      </c>
      <c r="R17" s="139">
        <v>57878</v>
      </c>
      <c r="S17" s="140">
        <v>0</v>
      </c>
      <c r="T17" s="140">
        <v>56620</v>
      </c>
      <c r="U17" s="140">
        <v>0</v>
      </c>
      <c r="V17" s="141">
        <v>14563</v>
      </c>
      <c r="W17" s="142">
        <v>0.80208333333333337</v>
      </c>
      <c r="X17" s="141">
        <v>5037</v>
      </c>
      <c r="Y17" s="142">
        <v>0.80208333333333337</v>
      </c>
      <c r="Z17" s="141">
        <v>0</v>
      </c>
      <c r="AA17" s="142">
        <v>0</v>
      </c>
      <c r="AB17" s="56">
        <f t="shared" si="49"/>
        <v>46092</v>
      </c>
      <c r="AC17" s="76">
        <f t="shared" si="63"/>
        <v>1</v>
      </c>
      <c r="AD17" s="162">
        <f t="shared" si="64"/>
        <v>0</v>
      </c>
      <c r="AE17" s="163">
        <v>7555</v>
      </c>
      <c r="AF17" s="118">
        <f t="shared" si="37"/>
        <v>7555</v>
      </c>
      <c r="AG17" s="147">
        <v>0</v>
      </c>
      <c r="AH17" s="148">
        <v>4243</v>
      </c>
      <c r="AI17" s="149">
        <v>0.34375</v>
      </c>
      <c r="AJ17" s="148">
        <v>0</v>
      </c>
      <c r="AK17" s="165">
        <v>0</v>
      </c>
      <c r="AL17" s="56">
        <f t="shared" si="38"/>
        <v>46092</v>
      </c>
      <c r="AM17" s="77">
        <f t="shared" si="65"/>
        <v>0.60176039119804403</v>
      </c>
      <c r="AN17" s="76">
        <f t="shared" si="66"/>
        <v>0.39823960880195597</v>
      </c>
      <c r="AO17" s="150">
        <v>10225</v>
      </c>
      <c r="AP17" s="117">
        <f t="shared" si="41"/>
        <v>6153</v>
      </c>
      <c r="AQ17" s="151">
        <v>4072</v>
      </c>
      <c r="AR17" s="152">
        <v>5018</v>
      </c>
      <c r="AS17" s="153">
        <v>0.3576388888888889</v>
      </c>
      <c r="AT17" s="152">
        <v>193</v>
      </c>
      <c r="AU17" s="154">
        <v>0.70833333333333337</v>
      </c>
      <c r="AV17" s="56">
        <f t="shared" si="50"/>
        <v>46092</v>
      </c>
      <c r="AW17" s="110">
        <f t="shared" si="67"/>
        <v>0.65583012308559618</v>
      </c>
      <c r="AX17" s="110">
        <f t="shared" si="68"/>
        <v>0.34416987691440382</v>
      </c>
      <c r="AY17" s="111">
        <f t="shared" si="17"/>
        <v>10643</v>
      </c>
      <c r="AZ17" s="112">
        <v>10643</v>
      </c>
      <c r="BA17" s="120">
        <f t="shared" si="18"/>
        <v>6980</v>
      </c>
      <c r="BB17" s="113">
        <f>3092+571</f>
        <v>3663</v>
      </c>
      <c r="BC17" s="112">
        <v>5132</v>
      </c>
      <c r="BD17" s="114">
        <v>0.76041666666666663</v>
      </c>
      <c r="BE17" s="115">
        <v>0</v>
      </c>
      <c r="BF17" s="114">
        <v>0</v>
      </c>
      <c r="BG17" s="115">
        <v>185</v>
      </c>
      <c r="BH17" s="114">
        <v>0.85416666666666663</v>
      </c>
      <c r="BI17" s="56">
        <f t="shared" si="51"/>
        <v>46092</v>
      </c>
      <c r="BJ17" s="78">
        <f t="shared" si="69"/>
        <v>0.60620571844633009</v>
      </c>
      <c r="BK17" s="76">
        <f t="shared" si="70"/>
        <v>0.39379428155366997</v>
      </c>
      <c r="BL17" s="79">
        <f t="shared" si="71"/>
        <v>35709</v>
      </c>
      <c r="BM17" s="155">
        <v>21647</v>
      </c>
      <c r="BN17" s="155">
        <v>14062</v>
      </c>
      <c r="BO17" s="156">
        <v>4151</v>
      </c>
      <c r="BP17" s="157">
        <v>0.76041666666666663</v>
      </c>
      <c r="BQ17" s="158">
        <v>2775</v>
      </c>
      <c r="BR17" s="157">
        <v>0.76041666666666663</v>
      </c>
      <c r="BT17" s="14">
        <v>7685</v>
      </c>
      <c r="BV17" s="175">
        <f t="shared" si="52"/>
        <v>-50</v>
      </c>
    </row>
    <row r="18" spans="1:74" ht="15.75" thickBot="1" x14ac:dyDescent="0.3">
      <c r="B18" s="56">
        <f t="shared" si="47"/>
        <v>46093</v>
      </c>
      <c r="C18" s="164"/>
      <c r="D18" s="87">
        <f t="shared" si="22"/>
        <v>58406</v>
      </c>
      <c r="E18" s="159">
        <f t="shared" si="53"/>
        <v>0.86741088244358455</v>
      </c>
      <c r="F18" s="87">
        <f t="shared" si="24"/>
        <v>50662</v>
      </c>
      <c r="G18" s="159">
        <f t="shared" si="54"/>
        <v>0.13258911755641545</v>
      </c>
      <c r="H18" s="146">
        <f t="shared" si="26"/>
        <v>7744</v>
      </c>
      <c r="I18" s="160">
        <f t="shared" si="55"/>
        <v>0.11895139437295799</v>
      </c>
      <c r="J18" s="159">
        <f t="shared" si="56"/>
        <v>0.15956705532586984</v>
      </c>
      <c r="K18" s="159">
        <f t="shared" si="57"/>
        <v>0.17182229757760503</v>
      </c>
      <c r="L18" s="161">
        <f t="shared" si="58"/>
        <v>0.57397686626097455</v>
      </c>
      <c r="M18" s="146">
        <f t="shared" si="59"/>
        <v>6794.0278410058681</v>
      </c>
      <c r="N18" s="146">
        <f t="shared" si="60"/>
        <v>9113.8319319923812</v>
      </c>
      <c r="O18" s="146">
        <f t="shared" si="61"/>
        <v>9813.8023484424884</v>
      </c>
      <c r="P18" s="146">
        <f t="shared" si="62"/>
        <v>32783.262693361823</v>
      </c>
      <c r="Q18" s="56">
        <f t="shared" si="48"/>
        <v>46093</v>
      </c>
      <c r="R18" s="139">
        <v>58406</v>
      </c>
      <c r="S18" s="140">
        <v>0</v>
      </c>
      <c r="T18" s="140">
        <v>57116</v>
      </c>
      <c r="U18" s="140">
        <v>0</v>
      </c>
      <c r="V18" s="141">
        <v>15176</v>
      </c>
      <c r="W18" s="142">
        <v>0.38541666666666669</v>
      </c>
      <c r="X18" s="141">
        <v>5163</v>
      </c>
      <c r="Y18" s="142">
        <v>0.80208333333333337</v>
      </c>
      <c r="Z18" s="141">
        <v>0</v>
      </c>
      <c r="AA18" s="142">
        <v>0</v>
      </c>
      <c r="AB18" s="56">
        <f t="shared" si="49"/>
        <v>46093</v>
      </c>
      <c r="AC18" s="76">
        <f t="shared" si="63"/>
        <v>1</v>
      </c>
      <c r="AD18" s="162">
        <f t="shared" si="64"/>
        <v>0</v>
      </c>
      <c r="AE18" s="163">
        <v>7682</v>
      </c>
      <c r="AF18" s="118">
        <f t="shared" si="37"/>
        <v>7682</v>
      </c>
      <c r="AG18" s="147">
        <v>0</v>
      </c>
      <c r="AH18" s="148">
        <v>4244</v>
      </c>
      <c r="AI18" s="149">
        <v>0.33819444444444446</v>
      </c>
      <c r="AJ18" s="148">
        <v>0</v>
      </c>
      <c r="AK18" s="165">
        <v>0</v>
      </c>
      <c r="AL18" s="56">
        <f t="shared" si="38"/>
        <v>46093</v>
      </c>
      <c r="AM18" s="77">
        <f t="shared" si="65"/>
        <v>0.60465793304221249</v>
      </c>
      <c r="AN18" s="76">
        <f t="shared" si="66"/>
        <v>0.39534206695778751</v>
      </c>
      <c r="AO18" s="150">
        <v>10305</v>
      </c>
      <c r="AP18" s="117">
        <f t="shared" si="41"/>
        <v>6231</v>
      </c>
      <c r="AQ18" s="151">
        <v>4074</v>
      </c>
      <c r="AR18" s="152">
        <v>4343</v>
      </c>
      <c r="AS18" s="153">
        <v>0.34444444444444444</v>
      </c>
      <c r="AT18" s="152">
        <v>198</v>
      </c>
      <c r="AU18" s="154">
        <v>0.65625</v>
      </c>
      <c r="AV18" s="56">
        <f t="shared" si="50"/>
        <v>46093</v>
      </c>
      <c r="AW18" s="110">
        <f t="shared" si="67"/>
        <v>0.61473861011967246</v>
      </c>
      <c r="AX18" s="110">
        <f t="shared" si="68"/>
        <v>0.38526138988032754</v>
      </c>
      <c r="AY18" s="111">
        <f t="shared" si="17"/>
        <v>9526</v>
      </c>
      <c r="AZ18" s="112">
        <v>9526</v>
      </c>
      <c r="BA18" s="120">
        <f t="shared" si="18"/>
        <v>5856</v>
      </c>
      <c r="BB18" s="113">
        <f>3099+571</f>
        <v>3670</v>
      </c>
      <c r="BC18" s="112">
        <v>3739</v>
      </c>
      <c r="BD18" s="114">
        <v>0.375</v>
      </c>
      <c r="BE18" s="115">
        <v>0</v>
      </c>
      <c r="BF18" s="114">
        <v>0</v>
      </c>
      <c r="BG18" s="115">
        <v>184</v>
      </c>
      <c r="BH18" s="114">
        <v>0.90625</v>
      </c>
      <c r="BI18" s="56">
        <f t="shared" si="51"/>
        <v>46093</v>
      </c>
      <c r="BJ18" s="78">
        <f t="shared" si="69"/>
        <v>0.60634509550016191</v>
      </c>
      <c r="BK18" s="76">
        <f t="shared" si="70"/>
        <v>0.39365490449983814</v>
      </c>
      <c r="BL18" s="79">
        <f t="shared" si="71"/>
        <v>37068</v>
      </c>
      <c r="BM18" s="155">
        <v>22476</v>
      </c>
      <c r="BN18" s="155">
        <v>14592</v>
      </c>
      <c r="BO18" s="156">
        <v>4147</v>
      </c>
      <c r="BP18" s="157">
        <v>0.75208333333333333</v>
      </c>
      <c r="BQ18" s="158">
        <v>2779</v>
      </c>
      <c r="BR18" s="157">
        <v>0.75208333333333333</v>
      </c>
      <c r="BT18" s="14">
        <v>7694</v>
      </c>
      <c r="BV18" s="175">
        <f t="shared" si="52"/>
        <v>-50</v>
      </c>
    </row>
    <row r="19" spans="1:74" ht="15.75" thickBot="1" x14ac:dyDescent="0.3">
      <c r="B19" s="56">
        <f t="shared" si="47"/>
        <v>46094</v>
      </c>
      <c r="C19" s="164"/>
      <c r="D19" s="87">
        <f t="shared" si="22"/>
        <v>55700</v>
      </c>
      <c r="E19" s="159">
        <f t="shared" si="53"/>
        <v>0.86518850987432672</v>
      </c>
      <c r="F19" s="87">
        <f t="shared" si="24"/>
        <v>48191</v>
      </c>
      <c r="G19" s="159">
        <f t="shared" si="54"/>
        <v>0.13481149012567326</v>
      </c>
      <c r="H19" s="146">
        <f t="shared" si="26"/>
        <v>7509</v>
      </c>
      <c r="I19" s="160">
        <f t="shared" si="55"/>
        <v>0.1217030957991387</v>
      </c>
      <c r="J19" s="159">
        <f t="shared" si="56"/>
        <v>0.16039652230437962</v>
      </c>
      <c r="K19" s="159">
        <f t="shared" si="57"/>
        <v>0.17108255628837843</v>
      </c>
      <c r="L19" s="161">
        <f t="shared" si="58"/>
        <v>0.57120338019013572</v>
      </c>
      <c r="M19" s="146">
        <f t="shared" si="59"/>
        <v>6624.7863167303158</v>
      </c>
      <c r="N19" s="146">
        <f t="shared" si="60"/>
        <v>8731.0242951166001</v>
      </c>
      <c r="O19" s="146">
        <f t="shared" si="61"/>
        <v>9312.7078690015915</v>
      </c>
      <c r="P19" s="146">
        <f t="shared" si="62"/>
        <v>31092.88479726985</v>
      </c>
      <c r="Q19" s="56">
        <f t="shared" si="48"/>
        <v>46094</v>
      </c>
      <c r="R19" s="139">
        <v>55700</v>
      </c>
      <c r="S19" s="140">
        <v>0</v>
      </c>
      <c r="T19" s="140">
        <v>54434</v>
      </c>
      <c r="U19" s="140">
        <v>0</v>
      </c>
      <c r="V19" s="141">
        <v>14219</v>
      </c>
      <c r="W19" s="142">
        <v>0.80208333333333337</v>
      </c>
      <c r="X19" s="141">
        <v>4620</v>
      </c>
      <c r="Y19" s="142">
        <v>0.80208333333333337</v>
      </c>
      <c r="Z19" s="141">
        <v>0</v>
      </c>
      <c r="AA19" s="142">
        <v>0</v>
      </c>
      <c r="AB19" s="56">
        <f t="shared" si="49"/>
        <v>46094</v>
      </c>
      <c r="AC19" s="76">
        <f t="shared" si="63"/>
        <v>1</v>
      </c>
      <c r="AD19" s="162">
        <f t="shared" si="64"/>
        <v>0</v>
      </c>
      <c r="AE19" s="163">
        <v>7489</v>
      </c>
      <c r="AF19" s="118">
        <f t="shared" si="37"/>
        <v>7489</v>
      </c>
      <c r="AG19" s="147">
        <v>0</v>
      </c>
      <c r="AH19" s="148">
        <v>4172</v>
      </c>
      <c r="AI19" s="149">
        <v>0.78541666666666665</v>
      </c>
      <c r="AJ19" s="148">
        <v>0</v>
      </c>
      <c r="AK19" s="165">
        <v>0</v>
      </c>
      <c r="AL19" s="56">
        <f t="shared" si="38"/>
        <v>46094</v>
      </c>
      <c r="AM19" s="77">
        <f t="shared" ref="AM19" si="74">+AP19/AO19</f>
        <v>0.59635258358662613</v>
      </c>
      <c r="AN19" s="76">
        <f t="shared" ref="AN19" si="75">+AQ19/AO19</f>
        <v>0.40364741641337387</v>
      </c>
      <c r="AO19" s="150">
        <v>9870</v>
      </c>
      <c r="AP19" s="117">
        <f t="shared" si="41"/>
        <v>5886</v>
      </c>
      <c r="AQ19" s="151">
        <v>3984</v>
      </c>
      <c r="AR19" s="152">
        <v>3562</v>
      </c>
      <c r="AS19" s="153">
        <v>0.38472222222222224</v>
      </c>
      <c r="AT19" s="152">
        <v>191</v>
      </c>
      <c r="AU19" s="154">
        <v>0.32291666666666669</v>
      </c>
      <c r="AV19" s="56">
        <f t="shared" si="50"/>
        <v>46094</v>
      </c>
      <c r="AW19" s="110">
        <f t="shared" ref="AW19" si="76">BA19/AZ19</f>
        <v>0.60950481887670327</v>
      </c>
      <c r="AX19" s="110">
        <f t="shared" ref="AX19" si="77">BB19/AZ19</f>
        <v>0.39049518112329679</v>
      </c>
      <c r="AY19" s="111">
        <f t="shared" si="17"/>
        <v>9027</v>
      </c>
      <c r="AZ19" s="112">
        <v>9027</v>
      </c>
      <c r="BA19" s="120">
        <f t="shared" si="18"/>
        <v>5502</v>
      </c>
      <c r="BB19" s="113">
        <f>2954+571</f>
        <v>3525</v>
      </c>
      <c r="BC19" s="181">
        <v>4460</v>
      </c>
      <c r="BD19" s="114">
        <v>0.76041666666666663</v>
      </c>
      <c r="BE19" s="115">
        <v>0</v>
      </c>
      <c r="BF19" s="114">
        <v>0</v>
      </c>
      <c r="BG19" s="115">
        <v>180</v>
      </c>
      <c r="BH19" s="114">
        <v>0.89583333333333337</v>
      </c>
      <c r="BI19" s="56">
        <f t="shared" si="51"/>
        <v>46094</v>
      </c>
      <c r="BJ19" s="78">
        <f t="shared" ref="BJ19" si="78">+BM19/BL19</f>
        <v>0.60698739651199185</v>
      </c>
      <c r="BK19" s="76">
        <f t="shared" ref="BK19" si="79">+BN19/BL19</f>
        <v>0.39301260348800821</v>
      </c>
      <c r="BL19" s="79">
        <f t="shared" ref="BL19" si="80">BM19+BN19</f>
        <v>35149</v>
      </c>
      <c r="BM19" s="155">
        <v>21335</v>
      </c>
      <c r="BN19" s="155">
        <v>13814</v>
      </c>
      <c r="BO19" s="156">
        <v>4483</v>
      </c>
      <c r="BP19" s="157">
        <v>0.80208333333333337</v>
      </c>
      <c r="BQ19" s="158">
        <v>2953</v>
      </c>
      <c r="BR19" s="157">
        <v>0.80277777777777781</v>
      </c>
      <c r="BT19" s="14">
        <v>7459</v>
      </c>
      <c r="BV19" s="175">
        <f t="shared" si="52"/>
        <v>-50</v>
      </c>
    </row>
    <row r="20" spans="1:74" ht="15.75" thickBot="1" x14ac:dyDescent="0.3">
      <c r="B20" s="56">
        <f t="shared" si="47"/>
        <v>46095</v>
      </c>
      <c r="C20" s="164"/>
      <c r="D20" s="87">
        <f t="shared" si="22"/>
        <v>33634</v>
      </c>
      <c r="E20" s="159">
        <f t="shared" si="53"/>
        <v>0.80475114467503117</v>
      </c>
      <c r="F20" s="87">
        <f t="shared" si="24"/>
        <v>27067</v>
      </c>
      <c r="G20" s="159">
        <f t="shared" si="54"/>
        <v>0.19524885532496877</v>
      </c>
      <c r="H20" s="146">
        <f t="shared" si="26"/>
        <v>6567</v>
      </c>
      <c r="I20" s="160">
        <f t="shared" si="55"/>
        <v>8.0070697873707894E-2</v>
      </c>
      <c r="J20" s="159">
        <f t="shared" si="56"/>
        <v>0.12958598896684698</v>
      </c>
      <c r="K20" s="159">
        <f t="shared" si="57"/>
        <v>0.18769349845201239</v>
      </c>
      <c r="L20" s="161">
        <f t="shared" si="58"/>
        <v>0.6344866370306893</v>
      </c>
      <c r="M20" s="146">
        <f t="shared" si="59"/>
        <v>2579.7177440951209</v>
      </c>
      <c r="N20" s="146">
        <f t="shared" si="60"/>
        <v>4175.0013925338762</v>
      </c>
      <c r="O20" s="146">
        <f t="shared" si="61"/>
        <v>6047.1091331269354</v>
      </c>
      <c r="P20" s="146">
        <f t="shared" si="62"/>
        <v>20441.890471854749</v>
      </c>
      <c r="Q20" s="56">
        <f t="shared" si="48"/>
        <v>46095</v>
      </c>
      <c r="R20" s="139">
        <v>33634</v>
      </c>
      <c r="S20" s="140">
        <v>0</v>
      </c>
      <c r="T20" s="140">
        <v>32218</v>
      </c>
      <c r="U20" s="140">
        <v>0</v>
      </c>
      <c r="V20" s="141">
        <v>6359</v>
      </c>
      <c r="W20" s="142">
        <v>0.41666666666666669</v>
      </c>
      <c r="X20" s="141">
        <v>2077</v>
      </c>
      <c r="Y20" s="142">
        <v>0.42708333333333331</v>
      </c>
      <c r="Z20" s="141">
        <v>0</v>
      </c>
      <c r="AA20" s="142">
        <v>0</v>
      </c>
      <c r="AB20" s="56">
        <f t="shared" si="49"/>
        <v>46095</v>
      </c>
      <c r="AC20" s="76">
        <f t="shared" si="63"/>
        <v>1</v>
      </c>
      <c r="AD20" s="162">
        <f t="shared" si="64"/>
        <v>0</v>
      </c>
      <c r="AE20" s="163">
        <v>2990</v>
      </c>
      <c r="AF20" s="118">
        <f t="shared" si="37"/>
        <v>2990</v>
      </c>
      <c r="AG20" s="147">
        <v>0</v>
      </c>
      <c r="AH20" s="148">
        <v>1743</v>
      </c>
      <c r="AI20" s="149">
        <v>0.34236111111111112</v>
      </c>
      <c r="AJ20" s="148">
        <v>0</v>
      </c>
      <c r="AK20" s="165">
        <v>0</v>
      </c>
      <c r="AL20" s="56">
        <f t="shared" si="38"/>
        <v>46095</v>
      </c>
      <c r="AM20" s="77">
        <f t="shared" si="65"/>
        <v>0.41620169456499279</v>
      </c>
      <c r="AN20" s="76">
        <f t="shared" si="66"/>
        <v>0.58379830543500721</v>
      </c>
      <c r="AO20" s="150">
        <v>4839</v>
      </c>
      <c r="AP20" s="117">
        <f t="shared" si="41"/>
        <v>2014</v>
      </c>
      <c r="AQ20" s="151">
        <v>2825</v>
      </c>
      <c r="AR20" s="152">
        <v>1482</v>
      </c>
      <c r="AS20" s="153">
        <v>0.95347222222222228</v>
      </c>
      <c r="AT20" s="152">
        <v>177</v>
      </c>
      <c r="AU20" s="154">
        <v>0.92708333333333337</v>
      </c>
      <c r="AV20" s="56">
        <f t="shared" si="50"/>
        <v>46095</v>
      </c>
      <c r="AW20" s="110">
        <f t="shared" si="67"/>
        <v>0.35704467353951891</v>
      </c>
      <c r="AX20" s="110">
        <f t="shared" si="68"/>
        <v>0.64295532646048115</v>
      </c>
      <c r="AY20" s="111">
        <f t="shared" si="17"/>
        <v>5820</v>
      </c>
      <c r="AZ20" s="112">
        <v>5820</v>
      </c>
      <c r="BA20" s="120">
        <f t="shared" si="18"/>
        <v>2078</v>
      </c>
      <c r="BB20" s="113">
        <v>3742</v>
      </c>
      <c r="BC20" s="112">
        <v>1541</v>
      </c>
      <c r="BD20" s="114">
        <v>0.36458333333333331</v>
      </c>
      <c r="BE20" s="115">
        <v>0</v>
      </c>
      <c r="BF20" s="114">
        <v>0</v>
      </c>
      <c r="BG20" s="115">
        <v>170</v>
      </c>
      <c r="BH20" s="114">
        <v>0.84375</v>
      </c>
      <c r="BI20" s="56">
        <f t="shared" si="51"/>
        <v>46095</v>
      </c>
      <c r="BJ20" s="78">
        <f t="shared" si="69"/>
        <v>0.60625501202886933</v>
      </c>
      <c r="BK20" s="76">
        <f t="shared" si="70"/>
        <v>0.39374498797113072</v>
      </c>
      <c r="BL20" s="79">
        <f t="shared" si="71"/>
        <v>23693</v>
      </c>
      <c r="BM20" s="155">
        <v>14364</v>
      </c>
      <c r="BN20" s="155">
        <v>9329</v>
      </c>
      <c r="BO20" s="156">
        <v>2827</v>
      </c>
      <c r="BP20" s="157">
        <v>0.37291666666666667</v>
      </c>
      <c r="BQ20" s="158">
        <v>1867</v>
      </c>
      <c r="BR20" s="157">
        <v>0.37291666666666667</v>
      </c>
      <c r="BT20" s="14">
        <v>7088</v>
      </c>
      <c r="BV20" s="175">
        <f t="shared" si="52"/>
        <v>521</v>
      </c>
    </row>
    <row r="21" spans="1:74" ht="15.75" thickBot="1" x14ac:dyDescent="0.3">
      <c r="A21" s="14"/>
      <c r="B21" s="56">
        <f t="shared" si="47"/>
        <v>46096</v>
      </c>
      <c r="C21" s="164"/>
      <c r="D21" s="87">
        <f t="shared" si="22"/>
        <v>29082</v>
      </c>
      <c r="E21" s="159">
        <f t="shared" si="53"/>
        <v>0.75699745547073793</v>
      </c>
      <c r="F21" s="87">
        <f t="shared" si="24"/>
        <v>22015</v>
      </c>
      <c r="G21" s="159">
        <f t="shared" si="54"/>
        <v>0.24300254452926209</v>
      </c>
      <c r="H21" s="146">
        <f t="shared" si="26"/>
        <v>7067</v>
      </c>
      <c r="I21" s="160">
        <f t="shared" si="55"/>
        <v>6.3484562066792691E-2</v>
      </c>
      <c r="J21" s="159">
        <f t="shared" si="56"/>
        <v>0.16433522369250159</v>
      </c>
      <c r="K21" s="159">
        <f t="shared" si="57"/>
        <v>0.17927671678179602</v>
      </c>
      <c r="L21" s="161">
        <f t="shared" si="58"/>
        <v>0.63317580340264645</v>
      </c>
      <c r="M21" s="146">
        <f t="shared" si="59"/>
        <v>1775.4092627599243</v>
      </c>
      <c r="N21" s="146">
        <f t="shared" si="60"/>
        <v>4595.798865784499</v>
      </c>
      <c r="O21" s="146">
        <f t="shared" si="61"/>
        <v>5013.6526615197072</v>
      </c>
      <c r="P21" s="146">
        <f t="shared" si="62"/>
        <v>17707.394517958412</v>
      </c>
      <c r="Q21" s="56">
        <f t="shared" si="48"/>
        <v>46096</v>
      </c>
      <c r="R21" s="139">
        <v>29082</v>
      </c>
      <c r="S21" s="140">
        <v>0</v>
      </c>
      <c r="T21" s="140">
        <v>27966</v>
      </c>
      <c r="U21" s="140">
        <v>0</v>
      </c>
      <c r="V21" s="141">
        <v>6230</v>
      </c>
      <c r="W21" s="142">
        <v>0.9375</v>
      </c>
      <c r="X21" s="141">
        <v>1881</v>
      </c>
      <c r="Y21" s="142">
        <v>0.69791666666666663</v>
      </c>
      <c r="Z21" s="141">
        <v>0</v>
      </c>
      <c r="AA21" s="142">
        <v>0</v>
      </c>
      <c r="AB21" s="56">
        <f t="shared" si="49"/>
        <v>46096</v>
      </c>
      <c r="AC21" s="76">
        <f t="shared" si="63"/>
        <v>1</v>
      </c>
      <c r="AD21" s="162">
        <f t="shared" si="64"/>
        <v>0</v>
      </c>
      <c r="AE21" s="163">
        <v>2015</v>
      </c>
      <c r="AF21" s="118">
        <f t="shared" si="37"/>
        <v>2015</v>
      </c>
      <c r="AG21" s="147">
        <v>0</v>
      </c>
      <c r="AH21" s="148">
        <v>1690</v>
      </c>
      <c r="AI21" s="149">
        <v>0.3840277777777778</v>
      </c>
      <c r="AJ21" s="148">
        <v>0</v>
      </c>
      <c r="AK21" s="165">
        <v>0</v>
      </c>
      <c r="AL21" s="56">
        <f t="shared" si="38"/>
        <v>46096</v>
      </c>
      <c r="AM21" s="77">
        <f t="shared" si="65"/>
        <v>0.29486196319018404</v>
      </c>
      <c r="AN21" s="76">
        <f t="shared" si="66"/>
        <v>0.7051380368098159</v>
      </c>
      <c r="AO21" s="150">
        <v>5216</v>
      </c>
      <c r="AP21" s="117">
        <f t="shared" si="41"/>
        <v>1538</v>
      </c>
      <c r="AQ21" s="151">
        <v>3678</v>
      </c>
      <c r="AR21" s="152">
        <v>1679</v>
      </c>
      <c r="AS21" s="153">
        <v>0.55763888888888891</v>
      </c>
      <c r="AT21" s="152">
        <v>178</v>
      </c>
      <c r="AU21" s="154">
        <v>0.88541666666666663</v>
      </c>
      <c r="AV21" s="56">
        <f t="shared" si="50"/>
        <v>46096</v>
      </c>
      <c r="AW21" s="110">
        <f t="shared" si="67"/>
        <v>0.23186763372620126</v>
      </c>
      <c r="AX21" s="110">
        <f t="shared" si="68"/>
        <v>0.76813236627379877</v>
      </c>
      <c r="AY21" s="111">
        <f t="shared" si="17"/>
        <v>4412</v>
      </c>
      <c r="AZ21" s="112">
        <v>4412</v>
      </c>
      <c r="BA21" s="120">
        <f t="shared" si="18"/>
        <v>1023</v>
      </c>
      <c r="BB21" s="113">
        <f>2818+571</f>
        <v>3389</v>
      </c>
      <c r="BC21" s="112">
        <v>1625</v>
      </c>
      <c r="BD21" s="114">
        <v>0.89583333333333337</v>
      </c>
      <c r="BE21" s="115">
        <v>0</v>
      </c>
      <c r="BF21" s="114">
        <v>0</v>
      </c>
      <c r="BG21" s="115">
        <v>172</v>
      </c>
      <c r="BH21" s="114">
        <v>0.85416666666666663</v>
      </c>
      <c r="BI21" s="56">
        <f>BI20+1</f>
        <v>46096</v>
      </c>
      <c r="BJ21" s="78">
        <f t="shared" si="69"/>
        <v>0.60869781559436731</v>
      </c>
      <c r="BK21" s="76">
        <f t="shared" si="70"/>
        <v>0.39130218440563269</v>
      </c>
      <c r="BL21" s="79">
        <f t="shared" si="71"/>
        <v>20097</v>
      </c>
      <c r="BM21" s="155">
        <v>12233</v>
      </c>
      <c r="BN21" s="155">
        <v>7864</v>
      </c>
      <c r="BO21" s="156">
        <v>2401</v>
      </c>
      <c r="BP21" s="157">
        <v>0.64166666666666672</v>
      </c>
      <c r="BQ21" s="158">
        <v>1589</v>
      </c>
      <c r="BR21" s="157">
        <v>0.64236111111111116</v>
      </c>
      <c r="BT21" s="14">
        <v>7017</v>
      </c>
      <c r="BV21" s="175">
        <f t="shared" si="52"/>
        <v>-50</v>
      </c>
    </row>
    <row r="22" spans="1:74" ht="15.75" thickBot="1" x14ac:dyDescent="0.3">
      <c r="A22" s="14"/>
      <c r="B22" s="56">
        <f t="shared" si="47"/>
        <v>46097</v>
      </c>
      <c r="C22" s="164"/>
      <c r="D22" s="87">
        <f t="shared" si="22"/>
        <v>55340</v>
      </c>
      <c r="E22" s="159">
        <f t="shared" si="53"/>
        <v>0.86581134803035775</v>
      </c>
      <c r="F22" s="87">
        <f t="shared" si="24"/>
        <v>47914</v>
      </c>
      <c r="G22" s="159">
        <f t="shared" si="54"/>
        <v>0.13418865196964222</v>
      </c>
      <c r="H22" s="146">
        <f t="shared" si="26"/>
        <v>7426</v>
      </c>
      <c r="I22" s="160">
        <f t="shared" si="55"/>
        <v>0.1202078954657282</v>
      </c>
      <c r="J22" s="159">
        <f t="shared" si="56"/>
        <v>0.1619499160923473</v>
      </c>
      <c r="K22" s="159">
        <f t="shared" si="57"/>
        <v>0.17372257260470561</v>
      </c>
      <c r="L22" s="161">
        <f t="shared" si="58"/>
        <v>0.56794890594196523</v>
      </c>
      <c r="M22" s="146">
        <f t="shared" si="59"/>
        <v>6488.2211577626795</v>
      </c>
      <c r="N22" s="146">
        <f t="shared" si="60"/>
        <v>8741.2467210844461</v>
      </c>
      <c r="O22" s="146">
        <f t="shared" si="61"/>
        <v>9376.6758563389849</v>
      </c>
      <c r="P22" s="146">
        <f t="shared" si="62"/>
        <v>30655.042198217572</v>
      </c>
      <c r="Q22" s="56">
        <f t="shared" si="48"/>
        <v>46097</v>
      </c>
      <c r="R22" s="139">
        <v>55340</v>
      </c>
      <c r="S22" s="140">
        <v>0</v>
      </c>
      <c r="T22" s="140">
        <v>53975</v>
      </c>
      <c r="U22" s="140">
        <v>0</v>
      </c>
      <c r="V22" s="141">
        <v>13191</v>
      </c>
      <c r="W22" s="142">
        <v>0.35416666666666669</v>
      </c>
      <c r="X22" s="141">
        <v>4629</v>
      </c>
      <c r="Y22" s="142">
        <v>0.80208333333333337</v>
      </c>
      <c r="Z22" s="141">
        <v>0</v>
      </c>
      <c r="AA22" s="142">
        <v>0</v>
      </c>
      <c r="AB22" s="56">
        <f t="shared" si="49"/>
        <v>46097</v>
      </c>
      <c r="AC22" s="76">
        <f t="shared" si="63"/>
        <v>1</v>
      </c>
      <c r="AD22" s="162">
        <f t="shared" si="64"/>
        <v>0</v>
      </c>
      <c r="AE22" s="163">
        <v>7378</v>
      </c>
      <c r="AF22" s="118">
        <f t="shared" si="37"/>
        <v>7378</v>
      </c>
      <c r="AG22" s="147">
        <v>0</v>
      </c>
      <c r="AH22" s="148">
        <v>4017</v>
      </c>
      <c r="AI22" s="149">
        <v>0.33402777777777776</v>
      </c>
      <c r="AJ22" s="148">
        <v>0</v>
      </c>
      <c r="AK22" s="165">
        <v>0</v>
      </c>
      <c r="AL22" s="56">
        <f t="shared" si="38"/>
        <v>46097</v>
      </c>
      <c r="AM22" s="77">
        <f t="shared" si="65"/>
        <v>0.60784708249496977</v>
      </c>
      <c r="AN22" s="76">
        <f t="shared" si="66"/>
        <v>0.39215291750503017</v>
      </c>
      <c r="AO22" s="150">
        <v>9940</v>
      </c>
      <c r="AP22" s="117">
        <f t="shared" si="41"/>
        <v>6042</v>
      </c>
      <c r="AQ22" s="151">
        <v>3898</v>
      </c>
      <c r="AR22" s="152">
        <v>3977</v>
      </c>
      <c r="AS22" s="153">
        <v>0.34305555555555556</v>
      </c>
      <c r="AT22" s="152">
        <v>184</v>
      </c>
      <c r="AU22" s="154">
        <v>0.85416666666666663</v>
      </c>
      <c r="AV22" s="56">
        <f t="shared" si="50"/>
        <v>46097</v>
      </c>
      <c r="AW22" s="110">
        <f t="shared" si="67"/>
        <v>0.61652173913043473</v>
      </c>
      <c r="AX22" s="110">
        <f t="shared" si="68"/>
        <v>0.38347826086956521</v>
      </c>
      <c r="AY22" s="111">
        <f t="shared" si="17"/>
        <v>9200</v>
      </c>
      <c r="AZ22" s="112">
        <v>9200</v>
      </c>
      <c r="BA22" s="120">
        <f t="shared" si="18"/>
        <v>5672</v>
      </c>
      <c r="BB22" s="113">
        <f>2957+571</f>
        <v>3528</v>
      </c>
      <c r="BC22" s="112">
        <v>4514</v>
      </c>
      <c r="BD22" s="114">
        <v>0.75</v>
      </c>
      <c r="BE22" s="115">
        <v>0</v>
      </c>
      <c r="BF22" s="114">
        <v>0</v>
      </c>
      <c r="BG22" s="115">
        <v>172</v>
      </c>
      <c r="BH22" s="114">
        <v>0.88541666666666663</v>
      </c>
      <c r="BI22" s="56">
        <f t="shared" si="51"/>
        <v>46097</v>
      </c>
      <c r="BJ22" s="78">
        <f t="shared" si="69"/>
        <v>0.60638572535069857</v>
      </c>
      <c r="BK22" s="76">
        <f t="shared" si="70"/>
        <v>0.39361427464930149</v>
      </c>
      <c r="BL22" s="79">
        <f t="shared" si="71"/>
        <v>34859</v>
      </c>
      <c r="BM22" s="155">
        <v>21138</v>
      </c>
      <c r="BN22" s="155">
        <v>13721</v>
      </c>
      <c r="BO22" s="156">
        <v>4198</v>
      </c>
      <c r="BP22" s="157">
        <v>0.78472222222222221</v>
      </c>
      <c r="BQ22" s="158">
        <v>2812</v>
      </c>
      <c r="BR22" s="157">
        <v>0.74791666666666667</v>
      </c>
    </row>
    <row r="23" spans="1:74" ht="15.75" thickBot="1" x14ac:dyDescent="0.3">
      <c r="A23" s="14"/>
      <c r="B23" s="56">
        <f t="shared" si="47"/>
        <v>46098</v>
      </c>
      <c r="C23" s="164"/>
      <c r="D23" s="87">
        <f t="shared" si="22"/>
        <v>55116</v>
      </c>
      <c r="E23" s="159">
        <f t="shared" si="53"/>
        <v>0.86109986210900646</v>
      </c>
      <c r="F23" s="87">
        <f t="shared" si="24"/>
        <v>47460.38</v>
      </c>
      <c r="G23" s="159">
        <f t="shared" si="54"/>
        <v>0.13890013789099354</v>
      </c>
      <c r="H23" s="146">
        <f t="shared" si="26"/>
        <v>7655.62</v>
      </c>
      <c r="I23" s="160">
        <f t="shared" si="55"/>
        <v>0.1226827061674125</v>
      </c>
      <c r="J23" s="159">
        <f t="shared" si="56"/>
        <v>0.16594339302519739</v>
      </c>
      <c r="K23" s="159">
        <f t="shared" si="57"/>
        <v>0.17258456757967219</v>
      </c>
      <c r="L23" s="161">
        <f t="shared" si="58"/>
        <v>0.56267563763129946</v>
      </c>
      <c r="M23" s="146">
        <f t="shared" si="59"/>
        <v>6595.1769181477612</v>
      </c>
      <c r="N23" s="146">
        <f t="shared" si="60"/>
        <v>8920.784922248562</v>
      </c>
      <c r="O23" s="146">
        <f t="shared" si="61"/>
        <v>9277.8011839480187</v>
      </c>
      <c r="P23" s="146">
        <f t="shared" si="62"/>
        <v>30248.316927783395</v>
      </c>
      <c r="Q23" s="56">
        <f t="shared" si="48"/>
        <v>46098</v>
      </c>
      <c r="R23" s="139">
        <v>55116</v>
      </c>
      <c r="S23" s="140">
        <v>0</v>
      </c>
      <c r="T23" s="140">
        <v>53758</v>
      </c>
      <c r="U23" s="140">
        <v>0</v>
      </c>
      <c r="V23" s="141">
        <v>14801.86</v>
      </c>
      <c r="W23" s="142">
        <v>0.86458333333333337</v>
      </c>
      <c r="X23" s="141">
        <v>4638.88</v>
      </c>
      <c r="Y23" s="142">
        <v>0.79166666666666663</v>
      </c>
      <c r="Z23" s="141">
        <v>0</v>
      </c>
      <c r="AA23" s="142">
        <v>0</v>
      </c>
      <c r="AB23" s="56">
        <f t="shared" si="49"/>
        <v>46098</v>
      </c>
      <c r="AC23" s="76">
        <f t="shared" si="63"/>
        <v>1</v>
      </c>
      <c r="AD23" s="162">
        <f t="shared" si="64"/>
        <v>0</v>
      </c>
      <c r="AE23" s="163">
        <v>7483.98</v>
      </c>
      <c r="AF23" s="118">
        <f t="shared" si="37"/>
        <v>7483.98</v>
      </c>
      <c r="AG23" s="147">
        <v>0</v>
      </c>
      <c r="AH23" s="148">
        <v>3839.53</v>
      </c>
      <c r="AI23" s="149">
        <v>0.79791666666666672</v>
      </c>
      <c r="AJ23" s="148">
        <v>0</v>
      </c>
      <c r="AK23" s="165">
        <v>0</v>
      </c>
      <c r="AL23" s="56">
        <f t="shared" si="38"/>
        <v>46098</v>
      </c>
      <c r="AM23" s="77">
        <f t="shared" si="65"/>
        <v>0.59567420725081499</v>
      </c>
      <c r="AN23" s="76">
        <f t="shared" si="66"/>
        <v>0.40432579274918501</v>
      </c>
      <c r="AO23" s="150">
        <v>10123</v>
      </c>
      <c r="AP23" s="117">
        <f t="shared" si="41"/>
        <v>6030.01</v>
      </c>
      <c r="AQ23" s="151">
        <v>4092.99</v>
      </c>
      <c r="AR23" s="152">
        <v>3654.8</v>
      </c>
      <c r="AS23" s="153">
        <v>0.78194444444444444</v>
      </c>
      <c r="AT23" s="152">
        <v>192.6</v>
      </c>
      <c r="AU23" s="154">
        <v>0.71875</v>
      </c>
      <c r="AV23" s="56">
        <f t="shared" si="50"/>
        <v>46098</v>
      </c>
      <c r="AW23" s="110">
        <f t="shared" si="67"/>
        <v>0.60725057876750077</v>
      </c>
      <c r="AX23" s="110">
        <f t="shared" si="68"/>
        <v>0.39274942123249917</v>
      </c>
      <c r="AY23" s="111">
        <f t="shared" si="17"/>
        <v>9071</v>
      </c>
      <c r="AZ23" s="112">
        <v>9071</v>
      </c>
      <c r="BA23" s="120">
        <f t="shared" si="18"/>
        <v>5508.37</v>
      </c>
      <c r="BB23" s="113">
        <f>2991.63+571</f>
        <v>3562.63</v>
      </c>
      <c r="BC23" s="112">
        <v>4182.2</v>
      </c>
      <c r="BD23" s="114">
        <v>0.3125</v>
      </c>
      <c r="BE23" s="115">
        <v>0</v>
      </c>
      <c r="BF23" s="114">
        <v>0</v>
      </c>
      <c r="BG23" s="115">
        <v>172.7</v>
      </c>
      <c r="BH23" s="114">
        <v>0.32291666666666669</v>
      </c>
      <c r="BI23" s="56">
        <f t="shared" si="51"/>
        <v>46098</v>
      </c>
      <c r="BJ23" s="78">
        <f t="shared" si="69"/>
        <v>0.60899933721294397</v>
      </c>
      <c r="BK23" s="76">
        <f t="shared" si="70"/>
        <v>0.39100066278705597</v>
      </c>
      <c r="BL23" s="79">
        <f t="shared" si="71"/>
        <v>34324.75</v>
      </c>
      <c r="BM23" s="155">
        <v>20903.75</v>
      </c>
      <c r="BN23" s="155">
        <v>13421</v>
      </c>
      <c r="BO23" s="156">
        <v>5000.4799999999996</v>
      </c>
      <c r="BP23" s="157">
        <v>0.81666666666666665</v>
      </c>
      <c r="BQ23" s="158">
        <v>3371.58</v>
      </c>
      <c r="BR23" s="157">
        <v>0.81666666666666665</v>
      </c>
    </row>
    <row r="24" spans="1:74" ht="15.75" thickBot="1" x14ac:dyDescent="0.3">
      <c r="A24" s="14"/>
      <c r="B24" s="56">
        <f t="shared" si="47"/>
        <v>46099</v>
      </c>
      <c r="C24" s="164"/>
      <c r="D24" s="87">
        <f t="shared" si="22"/>
        <v>55748</v>
      </c>
      <c r="E24" s="159">
        <f t="shared" si="53"/>
        <v>0.86526870919136112</v>
      </c>
      <c r="F24" s="87">
        <f t="shared" si="24"/>
        <v>48237</v>
      </c>
      <c r="G24" s="159">
        <f t="shared" si="54"/>
        <v>0.13473129080863888</v>
      </c>
      <c r="H24" s="146">
        <f t="shared" si="26"/>
        <v>7511</v>
      </c>
      <c r="I24" s="160">
        <f t="shared" si="55"/>
        <v>0.12229982134156245</v>
      </c>
      <c r="J24" s="159">
        <f t="shared" si="56"/>
        <v>0.16421958746142601</v>
      </c>
      <c r="K24" s="159">
        <f t="shared" si="57"/>
        <v>0.17212093760616012</v>
      </c>
      <c r="L24" s="161">
        <f t="shared" si="58"/>
        <v>0.56535650479129451</v>
      </c>
      <c r="M24" s="146">
        <f t="shared" si="59"/>
        <v>6676.7141464999186</v>
      </c>
      <c r="N24" s="146">
        <f t="shared" si="60"/>
        <v>8965.2399382816293</v>
      </c>
      <c r="O24" s="146">
        <f t="shared" si="61"/>
        <v>9396.5983467330989</v>
      </c>
      <c r="P24" s="146">
        <f t="shared" si="62"/>
        <v>30864.507666071142</v>
      </c>
      <c r="Q24" s="56">
        <f t="shared" si="48"/>
        <v>46099</v>
      </c>
      <c r="R24" s="139">
        <v>55748</v>
      </c>
      <c r="S24" s="140">
        <v>0</v>
      </c>
      <c r="T24" s="140">
        <v>54593</v>
      </c>
      <c r="U24" s="140">
        <v>0</v>
      </c>
      <c r="V24" s="141">
        <v>14920</v>
      </c>
      <c r="W24" s="142">
        <v>0.8125</v>
      </c>
      <c r="X24" s="141">
        <v>4685</v>
      </c>
      <c r="Y24" s="142">
        <v>0.79166666666666663</v>
      </c>
      <c r="Z24" s="141">
        <v>0</v>
      </c>
      <c r="AA24" s="142">
        <v>0</v>
      </c>
      <c r="AB24" s="56">
        <f t="shared" si="49"/>
        <v>46099</v>
      </c>
      <c r="AC24" s="76">
        <f t="shared" si="63"/>
        <v>1</v>
      </c>
      <c r="AD24" s="162">
        <f t="shared" si="64"/>
        <v>0</v>
      </c>
      <c r="AE24" s="163">
        <v>7530</v>
      </c>
      <c r="AF24" s="118">
        <f t="shared" si="37"/>
        <v>7530</v>
      </c>
      <c r="AG24" s="147">
        <v>0</v>
      </c>
      <c r="AH24" s="148">
        <v>5303</v>
      </c>
      <c r="AI24" s="149">
        <v>0.72986111111111107</v>
      </c>
      <c r="AJ24" s="148">
        <v>0</v>
      </c>
      <c r="AK24" s="165">
        <v>0</v>
      </c>
      <c r="AL24" s="56">
        <f t="shared" si="38"/>
        <v>46099</v>
      </c>
      <c r="AM24" s="77">
        <f t="shared" si="65"/>
        <v>0.60419345267530411</v>
      </c>
      <c r="AN24" s="76">
        <f t="shared" si="66"/>
        <v>0.39580654732469589</v>
      </c>
      <c r="AO24" s="150">
        <v>10111</v>
      </c>
      <c r="AP24" s="117">
        <f t="shared" si="41"/>
        <v>6109</v>
      </c>
      <c r="AQ24" s="151">
        <v>4002</v>
      </c>
      <c r="AR24" s="152">
        <v>4298</v>
      </c>
      <c r="AS24" s="153">
        <v>0.32708333333333334</v>
      </c>
      <c r="AT24" s="152">
        <v>193</v>
      </c>
      <c r="AU24" s="154">
        <v>0.84375</v>
      </c>
      <c r="AV24" s="56">
        <f t="shared" si="50"/>
        <v>46099</v>
      </c>
      <c r="AW24" s="110">
        <f t="shared" si="67"/>
        <v>0.61524122807017545</v>
      </c>
      <c r="AX24" s="110">
        <f t="shared" si="68"/>
        <v>0.38475877192982455</v>
      </c>
      <c r="AY24" s="111">
        <f t="shared" si="17"/>
        <v>9120</v>
      </c>
      <c r="AZ24" s="112">
        <v>9120</v>
      </c>
      <c r="BA24" s="120">
        <f t="shared" si="18"/>
        <v>5611</v>
      </c>
      <c r="BB24" s="113">
        <f>2938+571</f>
        <v>3509</v>
      </c>
      <c r="BC24" s="112">
        <v>4036</v>
      </c>
      <c r="BD24" s="114">
        <v>0.32291666666666669</v>
      </c>
      <c r="BE24" s="115">
        <v>0</v>
      </c>
      <c r="BF24" s="114">
        <v>0</v>
      </c>
      <c r="BG24" s="115">
        <v>174</v>
      </c>
      <c r="BH24" s="114">
        <v>0.85416666666666663</v>
      </c>
      <c r="BI24" s="56">
        <f t="shared" si="51"/>
        <v>46099</v>
      </c>
      <c r="BJ24" s="78">
        <f t="shared" si="69"/>
        <v>0.60636616966876378</v>
      </c>
      <c r="BK24" s="76">
        <f t="shared" si="70"/>
        <v>0.39363383033123617</v>
      </c>
      <c r="BL24" s="79">
        <f t="shared" si="71"/>
        <v>34809</v>
      </c>
      <c r="BM24" s="155">
        <v>21107</v>
      </c>
      <c r="BN24" s="155">
        <v>13702</v>
      </c>
      <c r="BO24" s="156">
        <v>3863</v>
      </c>
      <c r="BP24" s="157">
        <v>0.83263888888888893</v>
      </c>
      <c r="BQ24" s="158">
        <v>2582</v>
      </c>
      <c r="BR24" s="157">
        <v>0.83263888888888893</v>
      </c>
    </row>
    <row r="25" spans="1:74" ht="15.75" thickBot="1" x14ac:dyDescent="0.3">
      <c r="A25" s="14"/>
      <c r="B25" s="56">
        <f t="shared" si="47"/>
        <v>46100</v>
      </c>
      <c r="C25" s="164"/>
      <c r="D25" s="87">
        <f t="shared" si="22"/>
        <v>55416</v>
      </c>
      <c r="E25" s="159">
        <f t="shared" ref="E25:E36" si="81">F25/D25</f>
        <v>0.86429911938790238</v>
      </c>
      <c r="F25" s="87">
        <f t="shared" si="24"/>
        <v>47896</v>
      </c>
      <c r="G25" s="159">
        <f t="shared" ref="G25:G36" si="82">H25/D25</f>
        <v>0.13570088061209759</v>
      </c>
      <c r="H25" s="146">
        <f t="shared" si="26"/>
        <v>7520</v>
      </c>
      <c r="I25" s="160">
        <f t="shared" ref="I25:I36" si="83">AE25/(AE25+AO25+BL25+AY25)</f>
        <v>0.12118496309211491</v>
      </c>
      <c r="J25" s="159">
        <f t="shared" ref="J25:J36" si="84">AO25/(AE25+AO25+BL25+AY25)</f>
        <v>0.16091186103733154</v>
      </c>
      <c r="K25" s="159">
        <f t="shared" ref="K25:K36" si="85">AY25/(AF25+AP25+BM25+AZ25+AY25)</f>
        <v>0.17304347826086958</v>
      </c>
      <c r="L25" s="161">
        <f t="shared" ref="L25:L36" si="86">BL25/(AE25+AO25+BL25+AY25)</f>
        <v>0.56873991754794762</v>
      </c>
      <c r="M25" s="146">
        <f t="shared" ref="M25:M35" si="87">(S25+T25)*I25</f>
        <v>6560.3479769916403</v>
      </c>
      <c r="N25" s="146">
        <f t="shared" ref="N25:N35" si="88">(S25+T25)*J25</f>
        <v>8710.9635972559427</v>
      </c>
      <c r="O25" s="146">
        <f t="shared" ref="O25:O35" si="89">(S25+T25)*K25</f>
        <v>9367.7086956521744</v>
      </c>
      <c r="P25" s="146">
        <f t="shared" ref="P25:P35" si="90">(S25+T25)*L25</f>
        <v>30788.735436458144</v>
      </c>
      <c r="Q25" s="56">
        <f t="shared" si="48"/>
        <v>46100</v>
      </c>
      <c r="R25" s="139">
        <v>55416</v>
      </c>
      <c r="S25" s="140">
        <v>0</v>
      </c>
      <c r="T25" s="140">
        <v>54135</v>
      </c>
      <c r="U25" s="140">
        <v>0</v>
      </c>
      <c r="V25" s="141">
        <v>12527</v>
      </c>
      <c r="W25" s="142">
        <v>0.79166666666666663</v>
      </c>
      <c r="X25" s="141">
        <v>4670</v>
      </c>
      <c r="Y25" s="142">
        <v>0.80208333333333337</v>
      </c>
      <c r="Z25" s="141">
        <v>0</v>
      </c>
      <c r="AA25" s="142">
        <v>0</v>
      </c>
      <c r="AB25" s="168">
        <f t="shared" si="49"/>
        <v>46100</v>
      </c>
      <c r="AC25" s="76">
        <f t="shared" si="63"/>
        <v>1</v>
      </c>
      <c r="AD25" s="162">
        <f t="shared" si="64"/>
        <v>0</v>
      </c>
      <c r="AE25" s="163">
        <v>7437</v>
      </c>
      <c r="AF25" s="118">
        <f t="shared" si="37"/>
        <v>7437</v>
      </c>
      <c r="AG25" s="147">
        <v>0</v>
      </c>
      <c r="AH25" s="148">
        <v>4428</v>
      </c>
      <c r="AI25" s="149">
        <v>0.34583333333333333</v>
      </c>
      <c r="AJ25" s="148">
        <v>0</v>
      </c>
      <c r="AK25" s="165">
        <v>0</v>
      </c>
      <c r="AL25" s="168">
        <f t="shared" si="38"/>
        <v>46100</v>
      </c>
      <c r="AM25" s="77">
        <f t="shared" si="65"/>
        <v>0.60303797468354425</v>
      </c>
      <c r="AN25" s="76">
        <f t="shared" si="66"/>
        <v>0.39696202531645569</v>
      </c>
      <c r="AO25" s="150">
        <v>9875</v>
      </c>
      <c r="AP25" s="117">
        <f t="shared" si="41"/>
        <v>5955</v>
      </c>
      <c r="AQ25" s="151">
        <v>3920</v>
      </c>
      <c r="AR25" s="152">
        <v>4195</v>
      </c>
      <c r="AS25" s="153">
        <v>0.33958333333333335</v>
      </c>
      <c r="AT25" s="152">
        <v>181</v>
      </c>
      <c r="AU25" s="154">
        <v>0.875</v>
      </c>
      <c r="AV25" s="168">
        <f t="shared" si="50"/>
        <v>46100</v>
      </c>
      <c r="AW25" s="169">
        <f t="shared" si="67"/>
        <v>0.60672929866724934</v>
      </c>
      <c r="AX25" s="169">
        <f t="shared" si="68"/>
        <v>0.39327070133275072</v>
      </c>
      <c r="AY25" s="111">
        <f t="shared" si="17"/>
        <v>9154</v>
      </c>
      <c r="AZ25" s="112">
        <v>9154</v>
      </c>
      <c r="BA25" s="120">
        <f t="shared" si="18"/>
        <v>5554</v>
      </c>
      <c r="BB25" s="113">
        <f>3029+571</f>
        <v>3600</v>
      </c>
      <c r="BC25" s="112">
        <v>3973</v>
      </c>
      <c r="BD25" s="114">
        <v>0.77083333333333337</v>
      </c>
      <c r="BE25" s="115">
        <v>0</v>
      </c>
      <c r="BF25" s="114">
        <v>0</v>
      </c>
      <c r="BG25" s="115">
        <v>173</v>
      </c>
      <c r="BH25" s="114">
        <v>0.85416666666666663</v>
      </c>
      <c r="BI25" s="168">
        <f t="shared" si="51"/>
        <v>46100</v>
      </c>
      <c r="BJ25" s="170">
        <f t="shared" si="69"/>
        <v>0.60739764490158443</v>
      </c>
      <c r="BK25" s="76">
        <f t="shared" si="70"/>
        <v>0.39260235509841562</v>
      </c>
      <c r="BL25" s="79">
        <f t="shared" si="71"/>
        <v>34903</v>
      </c>
      <c r="BM25" s="155">
        <v>21200</v>
      </c>
      <c r="BN25" s="155">
        <v>13703</v>
      </c>
      <c r="BO25" s="156">
        <v>4041</v>
      </c>
      <c r="BP25" s="157">
        <v>0.76944444444444449</v>
      </c>
      <c r="BQ25" s="158">
        <v>2668</v>
      </c>
      <c r="BR25" s="157">
        <v>0.76944444444444449</v>
      </c>
    </row>
    <row r="26" spans="1:74" ht="15.75" thickBot="1" x14ac:dyDescent="0.3">
      <c r="A26" s="14"/>
      <c r="B26" s="56">
        <f t="shared" si="47"/>
        <v>46101</v>
      </c>
      <c r="C26" s="164"/>
      <c r="D26" s="87">
        <f t="shared" si="22"/>
        <v>55405</v>
      </c>
      <c r="E26" s="159">
        <f t="shared" si="81"/>
        <v>0.86582438408085916</v>
      </c>
      <c r="F26" s="87">
        <f t="shared" si="24"/>
        <v>47971</v>
      </c>
      <c r="G26" s="159">
        <f t="shared" si="82"/>
        <v>0.13417561591914087</v>
      </c>
      <c r="H26" s="146">
        <f t="shared" si="26"/>
        <v>7434</v>
      </c>
      <c r="I26" s="160">
        <f t="shared" si="83"/>
        <v>0.12153883851997059</v>
      </c>
      <c r="J26" s="159">
        <f t="shared" si="84"/>
        <v>0.1604181981540472</v>
      </c>
      <c r="K26" s="159">
        <f t="shared" si="85"/>
        <v>0.17190019922208519</v>
      </c>
      <c r="L26" s="161">
        <f t="shared" si="86"/>
        <v>0.5700400228702116</v>
      </c>
      <c r="M26" s="146">
        <f t="shared" si="87"/>
        <v>6581.3281058564071</v>
      </c>
      <c r="N26" s="146">
        <f t="shared" si="88"/>
        <v>8686.6454300416553</v>
      </c>
      <c r="O26" s="146">
        <f t="shared" si="89"/>
        <v>9308.395787875912</v>
      </c>
      <c r="P26" s="146">
        <f t="shared" si="90"/>
        <v>30867.66723842196</v>
      </c>
      <c r="Q26" s="56">
        <f t="shared" si="48"/>
        <v>46101</v>
      </c>
      <c r="R26" s="139">
        <v>55405</v>
      </c>
      <c r="S26" s="140">
        <v>0</v>
      </c>
      <c r="T26" s="140">
        <v>54150</v>
      </c>
      <c r="U26" s="140">
        <v>0</v>
      </c>
      <c r="V26" s="141">
        <v>12700</v>
      </c>
      <c r="W26" s="142">
        <v>0.78125</v>
      </c>
      <c r="X26" s="141">
        <v>4580</v>
      </c>
      <c r="Y26" s="142">
        <v>0.77083333333333337</v>
      </c>
      <c r="Z26" s="141">
        <v>0</v>
      </c>
      <c r="AA26" s="142">
        <v>0</v>
      </c>
      <c r="AB26" s="56">
        <f t="shared" si="49"/>
        <v>46101</v>
      </c>
      <c r="AC26" s="76">
        <f t="shared" ref="AC26:AC36" si="91">+AF26/AE26</f>
        <v>1</v>
      </c>
      <c r="AD26" s="162">
        <f t="shared" ref="AD26:AD36" si="92">+AG26/AE26</f>
        <v>0</v>
      </c>
      <c r="AE26" s="163">
        <v>7440</v>
      </c>
      <c r="AF26" s="118">
        <f t="shared" si="37"/>
        <v>7440</v>
      </c>
      <c r="AG26" s="147">
        <v>0</v>
      </c>
      <c r="AH26" s="148">
        <v>4250</v>
      </c>
      <c r="AI26" s="149">
        <v>0.375</v>
      </c>
      <c r="AJ26" s="148">
        <v>0</v>
      </c>
      <c r="AK26" s="165">
        <v>0</v>
      </c>
      <c r="AL26" s="56">
        <f t="shared" si="38"/>
        <v>46101</v>
      </c>
      <c r="AM26" s="77">
        <f t="shared" ref="AM26:AM36" si="93">+AP26/AO26</f>
        <v>0.60641547861507128</v>
      </c>
      <c r="AN26" s="76">
        <f t="shared" ref="AN26:AN36" si="94">+AQ26/AO26</f>
        <v>0.39358452138492872</v>
      </c>
      <c r="AO26" s="150">
        <v>9820</v>
      </c>
      <c r="AP26" s="117">
        <f t="shared" si="41"/>
        <v>5955</v>
      </c>
      <c r="AQ26" s="151">
        <v>3865</v>
      </c>
      <c r="AR26" s="152">
        <v>4050</v>
      </c>
      <c r="AS26" s="153">
        <v>0.36458333333333331</v>
      </c>
      <c r="AT26" s="152">
        <v>184</v>
      </c>
      <c r="AU26" s="154">
        <v>0.83333333333333337</v>
      </c>
      <c r="AV26" s="56">
        <f t="shared" si="50"/>
        <v>46101</v>
      </c>
      <c r="AW26" s="110">
        <f t="shared" ref="AW26:AW36" si="95">BA26/AZ26</f>
        <v>0.60607064017660039</v>
      </c>
      <c r="AX26" s="110">
        <f t="shared" ref="AX26:AX36" si="96">BB26/AZ26</f>
        <v>0.39392935982339955</v>
      </c>
      <c r="AY26" s="111">
        <f t="shared" si="17"/>
        <v>9060</v>
      </c>
      <c r="AZ26" s="112">
        <v>9060</v>
      </c>
      <c r="BA26" s="120">
        <f t="shared" si="18"/>
        <v>5491</v>
      </c>
      <c r="BB26" s="113">
        <f>2998+571</f>
        <v>3569</v>
      </c>
      <c r="BC26" s="112">
        <v>3995</v>
      </c>
      <c r="BD26" s="114">
        <v>0.72916666666666663</v>
      </c>
      <c r="BE26" s="115">
        <v>0</v>
      </c>
      <c r="BF26" s="114">
        <v>0</v>
      </c>
      <c r="BG26" s="115">
        <v>174</v>
      </c>
      <c r="BH26" s="114">
        <v>0.875</v>
      </c>
      <c r="BI26" s="56">
        <f t="shared" si="51"/>
        <v>46101</v>
      </c>
      <c r="BJ26" s="78">
        <f t="shared" ref="BJ26:BJ36" si="97">+BM26/BL26</f>
        <v>0.60725032239575871</v>
      </c>
      <c r="BK26" s="76">
        <f t="shared" ref="BK26:BK36" si="98">+BN26/BL26</f>
        <v>0.39274967760424129</v>
      </c>
      <c r="BL26" s="79">
        <f t="shared" ref="BL26:BL36" si="99">BM26+BN26</f>
        <v>34895</v>
      </c>
      <c r="BM26" s="155">
        <v>21190</v>
      </c>
      <c r="BN26" s="155">
        <v>13705</v>
      </c>
      <c r="BO26" s="156">
        <v>4070</v>
      </c>
      <c r="BP26" s="157">
        <v>0.8125</v>
      </c>
      <c r="BQ26" s="158">
        <v>2690</v>
      </c>
      <c r="BR26" s="157">
        <v>0.72916666666666663</v>
      </c>
    </row>
    <row r="27" spans="1:74" ht="15.75" thickBot="1" x14ac:dyDescent="0.3">
      <c r="A27" s="14"/>
      <c r="B27" s="56">
        <f t="shared" si="47"/>
        <v>46102</v>
      </c>
      <c r="C27" s="164"/>
      <c r="D27" s="87">
        <f t="shared" si="22"/>
        <v>34250</v>
      </c>
      <c r="E27" s="159">
        <f t="shared" si="81"/>
        <v>0.81643795620437953</v>
      </c>
      <c r="F27" s="87">
        <f t="shared" si="24"/>
        <v>27963</v>
      </c>
      <c r="G27" s="159">
        <f t="shared" si="82"/>
        <v>0.18356204379562044</v>
      </c>
      <c r="H27" s="146">
        <f t="shared" si="26"/>
        <v>6287</v>
      </c>
      <c r="I27" s="160">
        <f t="shared" si="83"/>
        <v>7.4734936643392813E-2</v>
      </c>
      <c r="J27" s="159">
        <f t="shared" si="84"/>
        <v>0.12878200155159039</v>
      </c>
      <c r="K27" s="159">
        <f t="shared" si="85"/>
        <v>0.17231512685191072</v>
      </c>
      <c r="L27" s="161">
        <f t="shared" si="86"/>
        <v>0.656322730799069</v>
      </c>
      <c r="M27" s="146">
        <f t="shared" si="87"/>
        <v>2487.9260408585469</v>
      </c>
      <c r="N27" s="146">
        <f t="shared" si="88"/>
        <v>4287.1528316524445</v>
      </c>
      <c r="O27" s="146">
        <f t="shared" si="89"/>
        <v>5736.3705729001076</v>
      </c>
      <c r="P27" s="146">
        <f t="shared" si="90"/>
        <v>21848.983708301006</v>
      </c>
      <c r="Q27" s="56">
        <f t="shared" si="48"/>
        <v>46102</v>
      </c>
      <c r="R27" s="139">
        <v>34250</v>
      </c>
      <c r="S27" s="140">
        <v>0</v>
      </c>
      <c r="T27" s="140">
        <v>33290</v>
      </c>
      <c r="U27" s="140">
        <v>0</v>
      </c>
      <c r="V27" s="141">
        <v>6520</v>
      </c>
      <c r="W27" s="142">
        <v>0.72916666666666663</v>
      </c>
      <c r="X27" s="141">
        <v>2085</v>
      </c>
      <c r="Y27" s="142">
        <v>0.82291666666666663</v>
      </c>
      <c r="Z27" s="141">
        <v>0</v>
      </c>
      <c r="AA27" s="142">
        <v>0</v>
      </c>
      <c r="AB27" s="56">
        <f t="shared" si="49"/>
        <v>46102</v>
      </c>
      <c r="AC27" s="76">
        <f t="shared" si="91"/>
        <v>1</v>
      </c>
      <c r="AD27" s="162">
        <f t="shared" si="92"/>
        <v>0</v>
      </c>
      <c r="AE27" s="163">
        <v>2890</v>
      </c>
      <c r="AF27" s="118">
        <f t="shared" si="37"/>
        <v>2890</v>
      </c>
      <c r="AG27" s="147">
        <v>0</v>
      </c>
      <c r="AH27" s="148">
        <v>1720</v>
      </c>
      <c r="AI27" s="149">
        <v>0.34375</v>
      </c>
      <c r="AJ27" s="148">
        <v>0</v>
      </c>
      <c r="AK27" s="165">
        <v>0</v>
      </c>
      <c r="AL27" s="56">
        <f t="shared" si="38"/>
        <v>46102</v>
      </c>
      <c r="AM27" s="77">
        <f t="shared" si="93"/>
        <v>0.42851405622489958</v>
      </c>
      <c r="AN27" s="76">
        <f t="shared" si="94"/>
        <v>0.57148594377510042</v>
      </c>
      <c r="AO27" s="150">
        <v>4980</v>
      </c>
      <c r="AP27" s="117">
        <f t="shared" si="41"/>
        <v>2134</v>
      </c>
      <c r="AQ27" s="151">
        <v>2846</v>
      </c>
      <c r="AR27" s="152">
        <v>1498</v>
      </c>
      <c r="AS27" s="153" t="s">
        <v>71</v>
      </c>
      <c r="AT27" s="152">
        <v>178</v>
      </c>
      <c r="AU27" s="154">
        <v>0.8125</v>
      </c>
      <c r="AV27" s="56">
        <f t="shared" si="50"/>
        <v>46102</v>
      </c>
      <c r="AW27" s="110">
        <f t="shared" si="95"/>
        <v>0.36512915129151291</v>
      </c>
      <c r="AX27" s="110">
        <f t="shared" si="96"/>
        <v>0.63487084870848709</v>
      </c>
      <c r="AY27" s="111">
        <f t="shared" si="17"/>
        <v>5420</v>
      </c>
      <c r="AZ27" s="112">
        <v>5420</v>
      </c>
      <c r="BA27" s="120">
        <f t="shared" si="18"/>
        <v>1979</v>
      </c>
      <c r="BB27" s="113">
        <f>2870+571</f>
        <v>3441</v>
      </c>
      <c r="BC27" s="112">
        <v>1590</v>
      </c>
      <c r="BD27" s="114">
        <v>0.85416666666666663</v>
      </c>
      <c r="BE27" s="115">
        <v>0</v>
      </c>
      <c r="BF27" s="114">
        <v>0</v>
      </c>
      <c r="BG27" s="115">
        <v>172</v>
      </c>
      <c r="BH27" s="114">
        <v>0.86458333333333337</v>
      </c>
      <c r="BI27" s="56">
        <f t="shared" si="51"/>
        <v>46102</v>
      </c>
      <c r="BJ27" s="78">
        <f t="shared" si="97"/>
        <v>0.6142631993695824</v>
      </c>
      <c r="BK27" s="76">
        <f t="shared" si="98"/>
        <v>0.38573680063041765</v>
      </c>
      <c r="BL27" s="79">
        <f t="shared" si="99"/>
        <v>25380</v>
      </c>
      <c r="BM27" s="155">
        <v>15590</v>
      </c>
      <c r="BN27" s="155">
        <v>9790</v>
      </c>
      <c r="BO27" s="156">
        <v>2890</v>
      </c>
      <c r="BP27" s="157">
        <v>0.75</v>
      </c>
      <c r="BQ27" s="158">
        <v>1960</v>
      </c>
      <c r="BR27" s="157">
        <v>0.77083333333333337</v>
      </c>
    </row>
    <row r="28" spans="1:74" ht="15.75" thickBot="1" x14ac:dyDescent="0.3">
      <c r="A28" s="14"/>
      <c r="B28" s="56">
        <f t="shared" si="47"/>
        <v>46103</v>
      </c>
      <c r="C28" s="164"/>
      <c r="D28" s="87">
        <f t="shared" si="22"/>
        <v>28302</v>
      </c>
      <c r="E28" s="159">
        <f t="shared" si="81"/>
        <v>0.75899229736414386</v>
      </c>
      <c r="F28" s="87">
        <f t="shared" si="24"/>
        <v>21481</v>
      </c>
      <c r="G28" s="159">
        <f t="shared" si="82"/>
        <v>0.24100770263585614</v>
      </c>
      <c r="H28" s="146">
        <f t="shared" si="26"/>
        <v>6821</v>
      </c>
      <c r="I28" s="160">
        <f t="shared" si="83"/>
        <v>6.1168318114111782E-2</v>
      </c>
      <c r="J28" s="159">
        <f t="shared" si="84"/>
        <v>0.1660514215400557</v>
      </c>
      <c r="K28" s="159">
        <f t="shared" si="85"/>
        <v>0.17945705534343137</v>
      </c>
      <c r="L28" s="161">
        <f t="shared" si="86"/>
        <v>0.63428534421345772</v>
      </c>
      <c r="M28" s="146">
        <f t="shared" si="87"/>
        <v>1615.332944757464</v>
      </c>
      <c r="N28" s="146">
        <f t="shared" si="88"/>
        <v>4385.0859400297913</v>
      </c>
      <c r="O28" s="146">
        <f t="shared" si="89"/>
        <v>4739.1019175093361</v>
      </c>
      <c r="P28" s="146">
        <f t="shared" si="90"/>
        <v>16750.207369988992</v>
      </c>
      <c r="Q28" s="56">
        <f t="shared" si="48"/>
        <v>46103</v>
      </c>
      <c r="R28" s="139">
        <v>28302</v>
      </c>
      <c r="S28" s="140">
        <v>0</v>
      </c>
      <c r="T28" s="140">
        <v>26408</v>
      </c>
      <c r="U28" s="140">
        <v>0</v>
      </c>
      <c r="V28" s="141">
        <v>5956</v>
      </c>
      <c r="W28" s="142">
        <v>0.875</v>
      </c>
      <c r="X28" s="141">
        <v>2084</v>
      </c>
      <c r="Y28" s="142">
        <v>0.75</v>
      </c>
      <c r="Z28" s="141">
        <v>0</v>
      </c>
      <c r="AA28" s="142">
        <v>0</v>
      </c>
      <c r="AB28" s="56">
        <f t="shared" si="49"/>
        <v>46103</v>
      </c>
      <c r="AC28" s="76">
        <f t="shared" si="91"/>
        <v>1</v>
      </c>
      <c r="AD28" s="162">
        <f t="shared" si="92"/>
        <v>0</v>
      </c>
      <c r="AE28" s="163">
        <v>1889</v>
      </c>
      <c r="AF28" s="118">
        <f t="shared" si="37"/>
        <v>1889</v>
      </c>
      <c r="AG28" s="147">
        <v>0</v>
      </c>
      <c r="AH28" s="148">
        <v>1567</v>
      </c>
      <c r="AI28" s="149">
        <v>0.92569444444444449</v>
      </c>
      <c r="AJ28" s="148">
        <v>0</v>
      </c>
      <c r="AK28" s="165">
        <v>0</v>
      </c>
      <c r="AL28" s="56">
        <f t="shared" si="38"/>
        <v>46103</v>
      </c>
      <c r="AM28" s="77">
        <f t="shared" si="93"/>
        <v>0.29153666146645868</v>
      </c>
      <c r="AN28" s="76">
        <f t="shared" si="94"/>
        <v>0.70846333853354138</v>
      </c>
      <c r="AO28" s="150">
        <v>5128</v>
      </c>
      <c r="AP28" s="117">
        <f t="shared" si="41"/>
        <v>1495</v>
      </c>
      <c r="AQ28" s="151">
        <v>3633</v>
      </c>
      <c r="AR28" s="152">
        <v>1601</v>
      </c>
      <c r="AS28" s="153">
        <v>0.82847222222222228</v>
      </c>
      <c r="AT28" s="152">
        <v>169</v>
      </c>
      <c r="AU28" s="154">
        <v>0.30208333333333331</v>
      </c>
      <c r="AV28" s="56">
        <f t="shared" si="50"/>
        <v>46103</v>
      </c>
      <c r="AW28" s="110">
        <f t="shared" si="95"/>
        <v>0.25461772270282906</v>
      </c>
      <c r="AX28" s="110">
        <f t="shared" si="96"/>
        <v>0.74538227729717088</v>
      </c>
      <c r="AY28" s="111">
        <f t="shared" si="17"/>
        <v>4277</v>
      </c>
      <c r="AZ28" s="112">
        <v>4277</v>
      </c>
      <c r="BA28" s="120">
        <f t="shared" si="18"/>
        <v>1089</v>
      </c>
      <c r="BB28" s="113">
        <f>2617+571</f>
        <v>3188</v>
      </c>
      <c r="BC28" s="112">
        <v>1442</v>
      </c>
      <c r="BD28" s="114">
        <v>0.40625</v>
      </c>
      <c r="BE28" s="115">
        <v>0</v>
      </c>
      <c r="BF28" s="114">
        <v>0</v>
      </c>
      <c r="BG28" s="115">
        <v>153</v>
      </c>
      <c r="BH28" s="114">
        <v>0.89583333333333337</v>
      </c>
      <c r="BI28" s="56">
        <f t="shared" si="51"/>
        <v>46103</v>
      </c>
      <c r="BJ28" s="78">
        <f t="shared" si="97"/>
        <v>0.60725954666122117</v>
      </c>
      <c r="BK28" s="76">
        <f t="shared" si="98"/>
        <v>0.39274045333877883</v>
      </c>
      <c r="BL28" s="79">
        <f t="shared" si="99"/>
        <v>19588</v>
      </c>
      <c r="BM28" s="155">
        <v>11895</v>
      </c>
      <c r="BN28" s="155">
        <v>7693</v>
      </c>
      <c r="BO28" s="156">
        <v>2505</v>
      </c>
      <c r="BP28" s="157">
        <v>0.68680555555555556</v>
      </c>
      <c r="BQ28" s="158">
        <v>1660</v>
      </c>
      <c r="BR28" s="157">
        <v>0.6875</v>
      </c>
    </row>
    <row r="29" spans="1:74" ht="15.75" thickBot="1" x14ac:dyDescent="0.3">
      <c r="A29" s="14"/>
      <c r="B29" s="56">
        <f t="shared" si="47"/>
        <v>46104</v>
      </c>
      <c r="C29" s="164"/>
      <c r="D29" s="87">
        <f t="shared" si="22"/>
        <v>55496</v>
      </c>
      <c r="E29" s="159">
        <f t="shared" si="81"/>
        <v>0.87159434914228051</v>
      </c>
      <c r="F29" s="87">
        <f t="shared" si="24"/>
        <v>48370</v>
      </c>
      <c r="G29" s="159">
        <f t="shared" si="82"/>
        <v>0.12840565085771949</v>
      </c>
      <c r="H29" s="146">
        <f t="shared" si="26"/>
        <v>7126</v>
      </c>
      <c r="I29" s="160">
        <f t="shared" si="83"/>
        <v>0.12204667575587456</v>
      </c>
      <c r="J29" s="159">
        <f t="shared" si="84"/>
        <v>0.15962787713529553</v>
      </c>
      <c r="K29" s="159">
        <f t="shared" si="85"/>
        <v>0.17117486084479774</v>
      </c>
      <c r="L29" s="161">
        <f t="shared" si="86"/>
        <v>0.5708396824123827</v>
      </c>
      <c r="M29" s="146">
        <f t="shared" si="87"/>
        <v>6643.4887480952757</v>
      </c>
      <c r="N29" s="146">
        <f t="shared" si="88"/>
        <v>8689.1838639826765</v>
      </c>
      <c r="O29" s="146">
        <f t="shared" si="89"/>
        <v>9317.7323752257198</v>
      </c>
      <c r="P29" s="146">
        <f t="shared" si="90"/>
        <v>31073.087272435641</v>
      </c>
      <c r="Q29" s="56">
        <f t="shared" si="48"/>
        <v>46104</v>
      </c>
      <c r="R29" s="139">
        <v>55496</v>
      </c>
      <c r="S29" s="140">
        <v>0</v>
      </c>
      <c r="T29" s="140">
        <v>54434</v>
      </c>
      <c r="U29" s="140">
        <v>0</v>
      </c>
      <c r="V29" s="141">
        <v>14448</v>
      </c>
      <c r="W29" s="142">
        <v>0.77083333333333337</v>
      </c>
      <c r="X29" s="141">
        <v>4654</v>
      </c>
      <c r="Y29" s="142">
        <v>0.78125</v>
      </c>
      <c r="Z29" s="141">
        <v>0</v>
      </c>
      <c r="AA29" s="142">
        <v>0</v>
      </c>
      <c r="AB29" s="56">
        <f t="shared" si="49"/>
        <v>46104</v>
      </c>
      <c r="AC29" s="76">
        <f t="shared" si="91"/>
        <v>1</v>
      </c>
      <c r="AD29" s="162">
        <f t="shared" si="92"/>
        <v>0</v>
      </c>
      <c r="AE29" s="163">
        <v>7609</v>
      </c>
      <c r="AF29" s="118">
        <f t="shared" si="37"/>
        <v>7609</v>
      </c>
      <c r="AG29" s="147">
        <v>0</v>
      </c>
      <c r="AH29" s="148">
        <v>4118</v>
      </c>
      <c r="AI29" s="149">
        <v>0.3527777777777778</v>
      </c>
      <c r="AJ29" s="148">
        <v>0</v>
      </c>
      <c r="AK29" s="165">
        <v>0</v>
      </c>
      <c r="AL29" s="56">
        <f t="shared" si="38"/>
        <v>46104</v>
      </c>
      <c r="AM29" s="77">
        <f t="shared" si="93"/>
        <v>0.62027733118971062</v>
      </c>
      <c r="AN29" s="76">
        <f t="shared" si="94"/>
        <v>0.37972266881028938</v>
      </c>
      <c r="AO29" s="150">
        <v>9952</v>
      </c>
      <c r="AP29" s="117">
        <f t="shared" si="41"/>
        <v>6173</v>
      </c>
      <c r="AQ29" s="151">
        <v>3779</v>
      </c>
      <c r="AR29" s="152">
        <v>4063</v>
      </c>
      <c r="AS29" s="153">
        <v>0.73750000000000004</v>
      </c>
      <c r="AT29" s="152">
        <v>187</v>
      </c>
      <c r="AU29" s="154">
        <v>0.67708333333333337</v>
      </c>
      <c r="AV29" s="56">
        <f t="shared" si="50"/>
        <v>46104</v>
      </c>
      <c r="AW29" s="110">
        <f t="shared" si="95"/>
        <v>0.63599782490483958</v>
      </c>
      <c r="AX29" s="110">
        <f t="shared" si="96"/>
        <v>0.36400217509516042</v>
      </c>
      <c r="AY29" s="111">
        <f t="shared" si="17"/>
        <v>9195</v>
      </c>
      <c r="AZ29" s="112">
        <v>9195</v>
      </c>
      <c r="BA29" s="120">
        <f t="shared" si="18"/>
        <v>5848</v>
      </c>
      <c r="BB29" s="113">
        <f>2776+571</f>
        <v>3347</v>
      </c>
      <c r="BC29" s="112">
        <v>3842</v>
      </c>
      <c r="BD29" s="114">
        <v>0.69791666666666663</v>
      </c>
      <c r="BE29" s="115">
        <v>0</v>
      </c>
      <c r="BF29" s="114">
        <v>0</v>
      </c>
      <c r="BG29" s="115">
        <v>176</v>
      </c>
      <c r="BH29" s="114">
        <v>0.90625</v>
      </c>
      <c r="BI29" s="56">
        <f t="shared" si="51"/>
        <v>46104</v>
      </c>
      <c r="BJ29" s="78">
        <f t="shared" si="97"/>
        <v>0.60538368597038406</v>
      </c>
      <c r="BK29" s="76">
        <f t="shared" si="98"/>
        <v>0.39461631402961589</v>
      </c>
      <c r="BL29" s="79">
        <f t="shared" si="99"/>
        <v>35589</v>
      </c>
      <c r="BM29" s="155">
        <v>21545</v>
      </c>
      <c r="BN29" s="155">
        <v>14044</v>
      </c>
      <c r="BO29" s="156">
        <v>4454</v>
      </c>
      <c r="BP29" s="157">
        <v>0.76041666666666663</v>
      </c>
      <c r="BQ29" s="158">
        <v>2974</v>
      </c>
      <c r="BR29" s="157">
        <v>0.76041666666666663</v>
      </c>
    </row>
    <row r="30" spans="1:74" ht="15.75" thickBot="1" x14ac:dyDescent="0.3">
      <c r="A30" s="14"/>
      <c r="B30" s="56">
        <f t="shared" si="47"/>
        <v>46105</v>
      </c>
      <c r="C30" s="164"/>
      <c r="D30" s="87">
        <f t="shared" si="22"/>
        <v>55282</v>
      </c>
      <c r="E30" s="159">
        <f t="shared" si="81"/>
        <v>0.86729857819905209</v>
      </c>
      <c r="F30" s="87">
        <f t="shared" si="24"/>
        <v>47946</v>
      </c>
      <c r="G30" s="159">
        <f t="shared" si="82"/>
        <v>0.13270142180094788</v>
      </c>
      <c r="H30" s="146">
        <f t="shared" si="26"/>
        <v>7336</v>
      </c>
      <c r="I30" s="160">
        <f t="shared" si="83"/>
        <v>0.1215191932335719</v>
      </c>
      <c r="J30" s="159">
        <f t="shared" si="84"/>
        <v>0.16106050748210801</v>
      </c>
      <c r="K30" s="159">
        <f t="shared" si="85"/>
        <v>0.17093532789362345</v>
      </c>
      <c r="L30" s="161">
        <f t="shared" si="86"/>
        <v>0.57021795705920619</v>
      </c>
      <c r="M30" s="146">
        <f t="shared" si="87"/>
        <v>6529.8338484059859</v>
      </c>
      <c r="N30" s="146">
        <f t="shared" si="88"/>
        <v>8654.5863695510743</v>
      </c>
      <c r="O30" s="146">
        <f t="shared" si="89"/>
        <v>9185.209844363857</v>
      </c>
      <c r="P30" s="146">
        <f t="shared" si="90"/>
        <v>30640.661922576444</v>
      </c>
      <c r="Q30" s="56">
        <f t="shared" si="48"/>
        <v>46105</v>
      </c>
      <c r="R30" s="139">
        <v>55282</v>
      </c>
      <c r="S30" s="140">
        <v>0</v>
      </c>
      <c r="T30" s="140">
        <v>53735</v>
      </c>
      <c r="U30" s="140">
        <v>0</v>
      </c>
      <c r="V30" s="141">
        <v>14402</v>
      </c>
      <c r="W30" s="142">
        <v>0.8125</v>
      </c>
      <c r="X30" s="141">
        <v>4815</v>
      </c>
      <c r="Y30" s="142">
        <v>0.80208333333333337</v>
      </c>
      <c r="Z30" s="141">
        <v>0</v>
      </c>
      <c r="AA30" s="142">
        <v>0</v>
      </c>
      <c r="AB30" s="56">
        <f t="shared" si="49"/>
        <v>46105</v>
      </c>
      <c r="AC30" s="76">
        <f t="shared" si="91"/>
        <v>1</v>
      </c>
      <c r="AD30" s="162">
        <f t="shared" si="92"/>
        <v>0</v>
      </c>
      <c r="AE30" s="163">
        <v>7471</v>
      </c>
      <c r="AF30" s="118">
        <f t="shared" si="37"/>
        <v>7471</v>
      </c>
      <c r="AG30" s="147">
        <v>0</v>
      </c>
      <c r="AH30" s="148">
        <v>4021</v>
      </c>
      <c r="AI30" s="149">
        <v>0.34722222222222221</v>
      </c>
      <c r="AJ30" s="148">
        <v>0</v>
      </c>
      <c r="AK30" s="165">
        <v>0</v>
      </c>
      <c r="AL30" s="56">
        <f t="shared" si="38"/>
        <v>46105</v>
      </c>
      <c r="AM30" s="77">
        <f t="shared" si="93"/>
        <v>0.61371440113108466</v>
      </c>
      <c r="AN30" s="76">
        <f t="shared" si="94"/>
        <v>0.38628559886891539</v>
      </c>
      <c r="AO30" s="150">
        <v>9902</v>
      </c>
      <c r="AP30" s="117">
        <f t="shared" si="41"/>
        <v>6077</v>
      </c>
      <c r="AQ30" s="151">
        <v>3825</v>
      </c>
      <c r="AR30" s="152">
        <v>4143</v>
      </c>
      <c r="AS30" s="153">
        <v>0.74791666666666667</v>
      </c>
      <c r="AT30" s="152">
        <v>182</v>
      </c>
      <c r="AU30" s="154">
        <v>0.3125</v>
      </c>
      <c r="AV30" s="56">
        <f t="shared" si="50"/>
        <v>46105</v>
      </c>
      <c r="AW30" s="110">
        <f t="shared" si="95"/>
        <v>0.61204419889502759</v>
      </c>
      <c r="AX30" s="110">
        <f t="shared" si="96"/>
        <v>0.38795580110497235</v>
      </c>
      <c r="AY30" s="111">
        <f t="shared" si="17"/>
        <v>9050</v>
      </c>
      <c r="AZ30" s="112">
        <v>9050</v>
      </c>
      <c r="BA30" s="120">
        <f t="shared" si="18"/>
        <v>5539</v>
      </c>
      <c r="BB30" s="113">
        <f>2940+571</f>
        <v>3511</v>
      </c>
      <c r="BC30" s="112">
        <v>4243</v>
      </c>
      <c r="BD30" s="114">
        <v>0.76041666666666663</v>
      </c>
      <c r="BE30" s="115">
        <v>0</v>
      </c>
      <c r="BF30" s="114">
        <v>0</v>
      </c>
      <c r="BG30" s="115">
        <v>170</v>
      </c>
      <c r="BH30" s="114">
        <v>0.83333333333333337</v>
      </c>
      <c r="BI30" s="56">
        <f t="shared" si="51"/>
        <v>46105</v>
      </c>
      <c r="BJ30" s="78">
        <f t="shared" si="97"/>
        <v>0.6074678380922498</v>
      </c>
      <c r="BK30" s="76">
        <f t="shared" si="98"/>
        <v>0.39253216190775025</v>
      </c>
      <c r="BL30" s="79">
        <f t="shared" si="99"/>
        <v>35057</v>
      </c>
      <c r="BM30" s="155">
        <v>21296</v>
      </c>
      <c r="BN30" s="155">
        <v>13761</v>
      </c>
      <c r="BO30" s="156">
        <v>4439</v>
      </c>
      <c r="BP30" s="157">
        <v>0.80208333333333337</v>
      </c>
      <c r="BQ30" s="158">
        <v>2990</v>
      </c>
      <c r="BR30" s="157">
        <v>0.80208333333333337</v>
      </c>
    </row>
    <row r="31" spans="1:74" ht="15.75" thickBot="1" x14ac:dyDescent="0.3">
      <c r="A31" s="14"/>
      <c r="B31" s="56">
        <f t="shared" si="47"/>
        <v>46106</v>
      </c>
      <c r="C31" s="164"/>
      <c r="D31" s="87">
        <f t="shared" si="22"/>
        <v>57344</v>
      </c>
      <c r="E31" s="159">
        <f t="shared" si="81"/>
        <v>0.8709368024553571</v>
      </c>
      <c r="F31" s="87">
        <f t="shared" si="24"/>
        <v>49943</v>
      </c>
      <c r="G31" s="159">
        <f t="shared" si="82"/>
        <v>0.12906319754464285</v>
      </c>
      <c r="H31" s="146">
        <f t="shared" si="26"/>
        <v>7401</v>
      </c>
      <c r="I31" s="160">
        <f t="shared" si="83"/>
        <v>0.1175089427819537</v>
      </c>
      <c r="J31" s="159">
        <f t="shared" si="84"/>
        <v>0.15660505208087111</v>
      </c>
      <c r="K31" s="159">
        <f t="shared" si="85"/>
        <v>0.16935914675705049</v>
      </c>
      <c r="L31" s="161">
        <f t="shared" si="86"/>
        <v>0.58100505838415351</v>
      </c>
      <c r="M31" s="146">
        <f t="shared" si="87"/>
        <v>6580.5007957894077</v>
      </c>
      <c r="N31" s="146">
        <f t="shared" si="88"/>
        <v>8769.8829165287825</v>
      </c>
      <c r="O31" s="146">
        <f t="shared" si="89"/>
        <v>9484.1122183948282</v>
      </c>
      <c r="P31" s="146">
        <f t="shared" si="90"/>
        <v>32536.283269512598</v>
      </c>
      <c r="Q31" s="56">
        <f t="shared" si="48"/>
        <v>46106</v>
      </c>
      <c r="R31" s="139">
        <v>57344</v>
      </c>
      <c r="S31" s="140">
        <v>0</v>
      </c>
      <c r="T31" s="140">
        <v>56000</v>
      </c>
      <c r="U31" s="140">
        <v>0</v>
      </c>
      <c r="V31" s="141">
        <v>13424</v>
      </c>
      <c r="W31" s="142">
        <v>0.80208333333333337</v>
      </c>
      <c r="X31" s="141">
        <v>4675</v>
      </c>
      <c r="Y31" s="142">
        <v>0.80208333333333337</v>
      </c>
      <c r="Z31" s="141">
        <v>0</v>
      </c>
      <c r="AA31" s="142">
        <v>0</v>
      </c>
      <c r="AB31" s="56">
        <f t="shared" si="49"/>
        <v>46106</v>
      </c>
      <c r="AC31" s="76">
        <f t="shared" si="91"/>
        <v>1</v>
      </c>
      <c r="AD31" s="162">
        <f t="shared" si="92"/>
        <v>0</v>
      </c>
      <c r="AE31" s="163">
        <v>7457</v>
      </c>
      <c r="AF31" s="118">
        <f t="shared" si="37"/>
        <v>7457</v>
      </c>
      <c r="AG31" s="147">
        <v>0</v>
      </c>
      <c r="AH31" s="148">
        <v>3981</v>
      </c>
      <c r="AI31" s="149">
        <v>0.75138888888888888</v>
      </c>
      <c r="AJ31" s="148">
        <v>0</v>
      </c>
      <c r="AK31" s="165">
        <v>0</v>
      </c>
      <c r="AL31" s="56">
        <f t="shared" si="38"/>
        <v>46106</v>
      </c>
      <c r="AM31" s="77">
        <f t="shared" si="93"/>
        <v>0.61189374119541151</v>
      </c>
      <c r="AN31" s="76">
        <f t="shared" si="94"/>
        <v>0.38810625880458843</v>
      </c>
      <c r="AO31" s="150">
        <v>9938</v>
      </c>
      <c r="AP31" s="117">
        <f t="shared" si="41"/>
        <v>6081</v>
      </c>
      <c r="AQ31" s="151">
        <v>3857</v>
      </c>
      <c r="AR31" s="152">
        <v>3580</v>
      </c>
      <c r="AS31" s="153">
        <v>0.76736111111111116</v>
      </c>
      <c r="AT31" s="152">
        <v>186</v>
      </c>
      <c r="AU31" s="154">
        <v>0.83333333333333337</v>
      </c>
      <c r="AV31" s="56">
        <f t="shared" si="50"/>
        <v>46106</v>
      </c>
      <c r="AW31" s="110">
        <f t="shared" si="95"/>
        <v>0.61453121601044158</v>
      </c>
      <c r="AX31" s="110">
        <f t="shared" si="96"/>
        <v>0.38546878398955842</v>
      </c>
      <c r="AY31" s="111">
        <f t="shared" si="17"/>
        <v>9194</v>
      </c>
      <c r="AZ31" s="112">
        <v>9194</v>
      </c>
      <c r="BA31" s="120">
        <f t="shared" si="18"/>
        <v>5650</v>
      </c>
      <c r="BB31" s="113">
        <f>2973+571</f>
        <v>3544</v>
      </c>
      <c r="BC31" s="112">
        <v>3904</v>
      </c>
      <c r="BD31" s="114">
        <v>0.3125</v>
      </c>
      <c r="BE31" s="115">
        <v>0</v>
      </c>
      <c r="BF31" s="114">
        <v>0</v>
      </c>
      <c r="BG31" s="115">
        <v>175</v>
      </c>
      <c r="BH31" s="114">
        <v>0.3125</v>
      </c>
      <c r="BI31" s="56">
        <f t="shared" si="51"/>
        <v>46106</v>
      </c>
      <c r="BJ31" s="78">
        <f t="shared" si="97"/>
        <v>0.60648223487930564</v>
      </c>
      <c r="BK31" s="76">
        <f t="shared" si="98"/>
        <v>0.39351776512069431</v>
      </c>
      <c r="BL31" s="79">
        <f t="shared" si="99"/>
        <v>36870</v>
      </c>
      <c r="BM31" s="155">
        <v>22361</v>
      </c>
      <c r="BN31" s="155">
        <v>14509</v>
      </c>
      <c r="BO31" s="156">
        <v>4389</v>
      </c>
      <c r="BP31" s="157">
        <v>0.81180555555555556</v>
      </c>
      <c r="BQ31" s="158">
        <v>2950</v>
      </c>
      <c r="BR31" s="157">
        <v>0.8125</v>
      </c>
    </row>
    <row r="32" spans="1:74" ht="15.75" thickBot="1" x14ac:dyDescent="0.3">
      <c r="A32" s="14"/>
      <c r="B32" s="56">
        <f t="shared" si="47"/>
        <v>46107</v>
      </c>
      <c r="C32" s="164"/>
      <c r="D32" s="87">
        <f t="shared" si="22"/>
        <v>56976</v>
      </c>
      <c r="E32" s="159">
        <f t="shared" si="81"/>
        <v>0.87234976130300479</v>
      </c>
      <c r="F32" s="87">
        <f t="shared" si="24"/>
        <v>49703</v>
      </c>
      <c r="G32" s="159">
        <f t="shared" si="82"/>
        <v>0.12765023869699524</v>
      </c>
      <c r="H32" s="146">
        <f t="shared" si="26"/>
        <v>7273</v>
      </c>
      <c r="I32" s="160">
        <f t="shared" si="83"/>
        <v>0.11560657868271626</v>
      </c>
      <c r="J32" s="159">
        <f t="shared" si="84"/>
        <v>0.15171816254854331</v>
      </c>
      <c r="K32" s="159">
        <f t="shared" si="85"/>
        <v>0.16739319965126417</v>
      </c>
      <c r="L32" s="161">
        <f t="shared" si="86"/>
        <v>0.59008556000804546</v>
      </c>
      <c r="M32" s="146">
        <f t="shared" si="87"/>
        <v>6557.5519626197147</v>
      </c>
      <c r="N32" s="146">
        <f t="shared" si="88"/>
        <v>8605.9093342410215</v>
      </c>
      <c r="O32" s="146">
        <f t="shared" si="89"/>
        <v>9495.0444638186582</v>
      </c>
      <c r="P32" s="146">
        <f t="shared" si="90"/>
        <v>33471.423220336364</v>
      </c>
      <c r="Q32" s="56">
        <f t="shared" si="48"/>
        <v>46107</v>
      </c>
      <c r="R32" s="139">
        <v>56976</v>
      </c>
      <c r="S32" s="140">
        <v>0</v>
      </c>
      <c r="T32" s="140">
        <v>56723</v>
      </c>
      <c r="U32" s="140">
        <v>0</v>
      </c>
      <c r="V32" s="141">
        <v>13902</v>
      </c>
      <c r="W32" s="142">
        <v>0.75</v>
      </c>
      <c r="X32" s="141">
        <v>4670</v>
      </c>
      <c r="Y32" s="142">
        <v>0.75</v>
      </c>
      <c r="Z32" s="141">
        <v>0</v>
      </c>
      <c r="AA32" s="142">
        <v>0</v>
      </c>
      <c r="AB32" s="168">
        <f t="shared" si="49"/>
        <v>46107</v>
      </c>
      <c r="AC32" s="76">
        <f t="shared" si="91"/>
        <v>1</v>
      </c>
      <c r="AD32" s="162">
        <f t="shared" si="92"/>
        <v>0</v>
      </c>
      <c r="AE32" s="163">
        <v>7472</v>
      </c>
      <c r="AF32" s="118">
        <f t="shared" si="37"/>
        <v>7472</v>
      </c>
      <c r="AG32" s="147">
        <v>0</v>
      </c>
      <c r="AH32" s="148">
        <v>4449</v>
      </c>
      <c r="AI32" s="149">
        <v>0.70486111111111116</v>
      </c>
      <c r="AJ32" s="148">
        <v>0</v>
      </c>
      <c r="AK32" s="165">
        <v>0</v>
      </c>
      <c r="AL32" s="168">
        <f t="shared" si="38"/>
        <v>46107</v>
      </c>
      <c r="AM32" s="77">
        <f t="shared" si="93"/>
        <v>0.61564348358148069</v>
      </c>
      <c r="AN32" s="76">
        <f t="shared" si="94"/>
        <v>0.38435651641851926</v>
      </c>
      <c r="AO32" s="150">
        <v>9806</v>
      </c>
      <c r="AP32" s="117">
        <f t="shared" si="41"/>
        <v>6037</v>
      </c>
      <c r="AQ32" s="151">
        <v>3769</v>
      </c>
      <c r="AR32" s="152">
        <v>3908</v>
      </c>
      <c r="AS32" s="153">
        <v>0.70138888888888884</v>
      </c>
      <c r="AT32" s="152">
        <v>184</v>
      </c>
      <c r="AU32" s="154">
        <v>0.32291666666666669</v>
      </c>
      <c r="AV32" s="168">
        <f t="shared" si="50"/>
        <v>46107</v>
      </c>
      <c r="AW32" s="169">
        <f t="shared" si="95"/>
        <v>0.61979166666666663</v>
      </c>
      <c r="AX32" s="169">
        <f t="shared" si="96"/>
        <v>0.38020833333333331</v>
      </c>
      <c r="AY32" s="111">
        <f t="shared" si="17"/>
        <v>9216</v>
      </c>
      <c r="AZ32" s="112">
        <v>9216</v>
      </c>
      <c r="BA32" s="120">
        <f t="shared" si="18"/>
        <v>5712</v>
      </c>
      <c r="BB32" s="113">
        <f>2933+571</f>
        <v>3504</v>
      </c>
      <c r="BC32" s="112">
        <v>3997</v>
      </c>
      <c r="BD32" s="114">
        <v>0.3972222222222222</v>
      </c>
      <c r="BE32" s="115">
        <v>0</v>
      </c>
      <c r="BF32" s="114">
        <v>0</v>
      </c>
      <c r="BG32" s="115">
        <v>197</v>
      </c>
      <c r="BH32" s="114">
        <v>2.0833333333333332E-2</v>
      </c>
      <c r="BI32" s="168">
        <f t="shared" si="51"/>
        <v>46107</v>
      </c>
      <c r="BJ32" s="170">
        <f t="shared" si="97"/>
        <v>0.60607252418783919</v>
      </c>
      <c r="BK32" s="76">
        <f t="shared" si="98"/>
        <v>0.39392747581216075</v>
      </c>
      <c r="BL32" s="79">
        <f t="shared" si="99"/>
        <v>38139</v>
      </c>
      <c r="BM32" s="155">
        <v>23115</v>
      </c>
      <c r="BN32" s="155">
        <v>15024</v>
      </c>
      <c r="BO32" s="156">
        <v>4673</v>
      </c>
      <c r="BP32" s="157">
        <v>0.69930555555555551</v>
      </c>
      <c r="BQ32" s="158">
        <v>3114</v>
      </c>
      <c r="BR32" s="157">
        <v>0.69930555555555551</v>
      </c>
    </row>
    <row r="33" spans="1:70" ht="15.75" thickBot="1" x14ac:dyDescent="0.3">
      <c r="A33" s="14"/>
      <c r="B33" s="56">
        <f t="shared" si="47"/>
        <v>46108</v>
      </c>
      <c r="C33" s="164"/>
      <c r="D33" s="87">
        <f t="shared" si="22"/>
        <v>58724</v>
      </c>
      <c r="E33" s="159">
        <f t="shared" si="81"/>
        <v>0.87650704992847894</v>
      </c>
      <c r="F33" s="87">
        <f t="shared" si="24"/>
        <v>51472</v>
      </c>
      <c r="G33" s="159">
        <f t="shared" si="82"/>
        <v>0.12349295007152102</v>
      </c>
      <c r="H33" s="146">
        <f t="shared" si="26"/>
        <v>7252</v>
      </c>
      <c r="I33" s="160">
        <f t="shared" si="83"/>
        <v>9.0018956306496839E-2</v>
      </c>
      <c r="J33" s="159">
        <f t="shared" si="84"/>
        <v>0.15400040732559414</v>
      </c>
      <c r="K33" s="159">
        <f t="shared" si="85"/>
        <v>0.17501407958363271</v>
      </c>
      <c r="L33" s="161">
        <f t="shared" si="86"/>
        <v>0.61479531888894112</v>
      </c>
      <c r="M33" s="146">
        <f t="shared" si="87"/>
        <v>5173.4794378906799</v>
      </c>
      <c r="N33" s="146">
        <f t="shared" si="88"/>
        <v>8850.5574094092208</v>
      </c>
      <c r="O33" s="146">
        <f t="shared" si="89"/>
        <v>10058.234167750956</v>
      </c>
      <c r="P33" s="146">
        <f t="shared" si="90"/>
        <v>35332.901771866338</v>
      </c>
      <c r="Q33" s="56">
        <f t="shared" si="48"/>
        <v>46108</v>
      </c>
      <c r="R33" s="139">
        <v>58724</v>
      </c>
      <c r="S33" s="140">
        <v>0</v>
      </c>
      <c r="T33" s="140">
        <v>57471</v>
      </c>
      <c r="U33" s="140">
        <v>0</v>
      </c>
      <c r="V33" s="141">
        <v>13165</v>
      </c>
      <c r="W33" s="142">
        <v>0.76041666666666663</v>
      </c>
      <c r="X33" s="141">
        <v>4483</v>
      </c>
      <c r="Y33" s="142">
        <v>0.76041666666666663</v>
      </c>
      <c r="Z33" s="141">
        <v>0</v>
      </c>
      <c r="AA33" s="142">
        <v>0</v>
      </c>
      <c r="AB33" s="56">
        <f t="shared" si="49"/>
        <v>46108</v>
      </c>
      <c r="AC33" s="76">
        <f t="shared" si="91"/>
        <v>1</v>
      </c>
      <c r="AD33" s="162">
        <f t="shared" si="92"/>
        <v>0</v>
      </c>
      <c r="AE33" s="163">
        <v>5746</v>
      </c>
      <c r="AF33" s="118">
        <f t="shared" si="37"/>
        <v>5746</v>
      </c>
      <c r="AG33" s="147">
        <v>0</v>
      </c>
      <c r="AH33" s="148">
        <v>3985</v>
      </c>
      <c r="AI33" s="149">
        <v>0.71319444444444446</v>
      </c>
      <c r="AJ33" s="148">
        <v>0</v>
      </c>
      <c r="AK33" s="165">
        <v>0</v>
      </c>
      <c r="AL33" s="168">
        <f t="shared" si="38"/>
        <v>46108</v>
      </c>
      <c r="AM33" s="77">
        <f t="shared" si="93"/>
        <v>0.39918616480162766</v>
      </c>
      <c r="AN33" s="76">
        <f t="shared" si="94"/>
        <v>0.38738555442522887</v>
      </c>
      <c r="AO33" s="150">
        <v>9830</v>
      </c>
      <c r="AP33" s="117">
        <v>3924</v>
      </c>
      <c r="AQ33" s="151">
        <v>3808</v>
      </c>
      <c r="AR33" s="152">
        <v>3902</v>
      </c>
      <c r="AS33" s="153">
        <v>0.77083333333333337</v>
      </c>
      <c r="AT33" s="152">
        <v>183</v>
      </c>
      <c r="AU33" s="154">
        <v>0.83333333333333337</v>
      </c>
      <c r="AV33" s="56">
        <f t="shared" si="50"/>
        <v>46108</v>
      </c>
      <c r="AW33" s="169">
        <f t="shared" si="95"/>
        <v>0.61784287616511313</v>
      </c>
      <c r="AX33" s="169">
        <f t="shared" si="96"/>
        <v>0.38215712383488681</v>
      </c>
      <c r="AY33" s="111">
        <f t="shared" si="17"/>
        <v>9012</v>
      </c>
      <c r="AZ33" s="112">
        <v>9012</v>
      </c>
      <c r="BA33" s="120">
        <f t="shared" si="18"/>
        <v>5568</v>
      </c>
      <c r="BB33" s="113">
        <f>2873+571</f>
        <v>3444</v>
      </c>
      <c r="BC33" s="112">
        <v>3553</v>
      </c>
      <c r="BD33" s="114">
        <v>0.71875</v>
      </c>
      <c r="BE33" s="115">
        <v>0</v>
      </c>
      <c r="BF33" s="114">
        <v>0</v>
      </c>
      <c r="BG33" s="115">
        <v>177</v>
      </c>
      <c r="BH33" s="114">
        <v>0.85416666666666663</v>
      </c>
      <c r="BI33" s="56">
        <f t="shared" si="51"/>
        <v>46108</v>
      </c>
      <c r="BJ33" s="170">
        <f t="shared" si="97"/>
        <v>0.60645210610809575</v>
      </c>
      <c r="BK33" s="76">
        <f t="shared" si="98"/>
        <v>0.39354789389190431</v>
      </c>
      <c r="BL33" s="79">
        <f t="shared" si="99"/>
        <v>39243</v>
      </c>
      <c r="BM33" s="155">
        <v>23799</v>
      </c>
      <c r="BN33" s="155">
        <v>15444</v>
      </c>
      <c r="BO33" s="156">
        <v>4088</v>
      </c>
      <c r="BP33" s="157">
        <v>0.61736111111111114</v>
      </c>
      <c r="BQ33" s="158">
        <v>2745</v>
      </c>
      <c r="BR33" s="157">
        <v>0.61805555555555558</v>
      </c>
    </row>
    <row r="34" spans="1:70" ht="15.75" thickBot="1" x14ac:dyDescent="0.3">
      <c r="A34" s="14"/>
      <c r="B34" s="56">
        <f t="shared" si="47"/>
        <v>46109</v>
      </c>
      <c r="C34" s="164"/>
      <c r="D34" s="87">
        <f t="shared" si="22"/>
        <v>35834</v>
      </c>
      <c r="E34" s="159">
        <f t="shared" si="81"/>
        <v>0.80387341630853382</v>
      </c>
      <c r="F34" s="87">
        <f t="shared" si="24"/>
        <v>28806</v>
      </c>
      <c r="G34" s="159">
        <f t="shared" si="82"/>
        <v>0.19612658369146621</v>
      </c>
      <c r="H34" s="146">
        <f t="shared" si="26"/>
        <v>7028</v>
      </c>
      <c r="I34" s="160">
        <f t="shared" si="83"/>
        <v>7.4250127097102187E-2</v>
      </c>
      <c r="J34" s="159">
        <f t="shared" si="84"/>
        <v>0.14865277071682767</v>
      </c>
      <c r="K34" s="159">
        <f t="shared" si="85"/>
        <v>0.19002670309880146</v>
      </c>
      <c r="L34" s="161">
        <f t="shared" si="86"/>
        <v>0.62153024911032029</v>
      </c>
      <c r="M34" s="146">
        <f t="shared" si="87"/>
        <v>2551.01161667514</v>
      </c>
      <c r="N34" s="146">
        <f t="shared" si="88"/>
        <v>5107.2632435180485</v>
      </c>
      <c r="O34" s="146">
        <f t="shared" si="89"/>
        <v>6528.7474383655217</v>
      </c>
      <c r="P34" s="146">
        <f t="shared" si="90"/>
        <v>21353.914768683273</v>
      </c>
      <c r="Q34" s="56">
        <f t="shared" si="48"/>
        <v>46109</v>
      </c>
      <c r="R34" s="139">
        <v>35834</v>
      </c>
      <c r="S34" s="140">
        <v>0</v>
      </c>
      <c r="T34" s="140">
        <v>34357</v>
      </c>
      <c r="U34" s="140">
        <v>0</v>
      </c>
      <c r="V34" s="141">
        <v>6933</v>
      </c>
      <c r="W34" s="142">
        <v>0.70833333333333337</v>
      </c>
      <c r="X34" s="141">
        <v>2069</v>
      </c>
      <c r="Y34" s="142">
        <v>0.71736111111111112</v>
      </c>
      <c r="Z34" s="141">
        <v>0</v>
      </c>
      <c r="AA34" s="142">
        <v>0</v>
      </c>
      <c r="AB34" s="56">
        <f t="shared" si="49"/>
        <v>46109</v>
      </c>
      <c r="AC34" s="76">
        <f t="shared" si="91"/>
        <v>1</v>
      </c>
      <c r="AD34" s="162">
        <f t="shared" si="92"/>
        <v>0</v>
      </c>
      <c r="AE34" s="163">
        <v>2921</v>
      </c>
      <c r="AF34" s="118">
        <f t="shared" si="37"/>
        <v>2921</v>
      </c>
      <c r="AG34" s="147">
        <v>0</v>
      </c>
      <c r="AH34" s="148">
        <v>1566</v>
      </c>
      <c r="AI34" s="149">
        <v>0.53819444444444442</v>
      </c>
      <c r="AJ34" s="148">
        <v>0</v>
      </c>
      <c r="AK34" s="165">
        <v>0</v>
      </c>
      <c r="AL34" s="56">
        <f t="shared" si="38"/>
        <v>46109</v>
      </c>
      <c r="AM34" s="77">
        <f t="shared" si="93"/>
        <v>0.37636798905608754</v>
      </c>
      <c r="AN34" s="76">
        <f t="shared" si="94"/>
        <v>0.62363201094391241</v>
      </c>
      <c r="AO34" s="150">
        <v>5848</v>
      </c>
      <c r="AP34" s="117">
        <f t="shared" si="41"/>
        <v>2201</v>
      </c>
      <c r="AQ34" s="151">
        <v>3647</v>
      </c>
      <c r="AR34" s="152">
        <v>1584</v>
      </c>
      <c r="AS34" s="153">
        <v>0.94513888888888886</v>
      </c>
      <c r="AT34" s="152">
        <v>176</v>
      </c>
      <c r="AU34" s="154">
        <v>0.86458333333333337</v>
      </c>
      <c r="AV34" s="56">
        <f t="shared" si="50"/>
        <v>46109</v>
      </c>
      <c r="AW34" s="110">
        <f t="shared" si="95"/>
        <v>0.44754901960784316</v>
      </c>
      <c r="AX34" s="110">
        <f t="shared" si="96"/>
        <v>0.5524509803921569</v>
      </c>
      <c r="AY34" s="111">
        <f t="shared" si="17"/>
        <v>6120</v>
      </c>
      <c r="AZ34" s="112">
        <v>6120</v>
      </c>
      <c r="BA34" s="120">
        <f t="shared" si="18"/>
        <v>2739</v>
      </c>
      <c r="BB34" s="113">
        <f>2810+571</f>
        <v>3381</v>
      </c>
      <c r="BC34" s="112">
        <v>2902</v>
      </c>
      <c r="BD34" s="114">
        <v>0.125</v>
      </c>
      <c r="BE34" s="115">
        <v>0</v>
      </c>
      <c r="BF34" s="114">
        <v>0</v>
      </c>
      <c r="BG34" s="115">
        <v>167</v>
      </c>
      <c r="BH34" s="114">
        <v>0.89583333333333337</v>
      </c>
      <c r="BI34" s="56">
        <f t="shared" si="51"/>
        <v>46109</v>
      </c>
      <c r="BJ34" s="78">
        <f t="shared" si="97"/>
        <v>0.60709173448938691</v>
      </c>
      <c r="BK34" s="76">
        <f t="shared" si="98"/>
        <v>0.39290826551061309</v>
      </c>
      <c r="BL34" s="79">
        <f t="shared" si="99"/>
        <v>24451</v>
      </c>
      <c r="BM34" s="155">
        <v>14844</v>
      </c>
      <c r="BN34" s="155">
        <v>9607</v>
      </c>
      <c r="BO34" s="156">
        <v>2645</v>
      </c>
      <c r="BP34" s="157">
        <v>0.7729166666666667</v>
      </c>
      <c r="BQ34" s="158">
        <v>1729</v>
      </c>
      <c r="BR34" s="157">
        <v>0.7729166666666667</v>
      </c>
    </row>
    <row r="35" spans="1:70" ht="15.75" thickBot="1" x14ac:dyDescent="0.3">
      <c r="A35" s="14"/>
      <c r="B35" s="56">
        <f t="shared" si="47"/>
        <v>46110</v>
      </c>
      <c r="C35" s="164"/>
      <c r="D35" s="87">
        <f t="shared" si="22"/>
        <v>28890</v>
      </c>
      <c r="E35" s="159">
        <f t="shared" si="81"/>
        <v>0.75548632744894428</v>
      </c>
      <c r="F35" s="87">
        <f t="shared" si="24"/>
        <v>21826</v>
      </c>
      <c r="G35" s="159">
        <f t="shared" si="82"/>
        <v>0.24451367255105572</v>
      </c>
      <c r="H35" s="146">
        <f t="shared" si="26"/>
        <v>7064</v>
      </c>
      <c r="I35" s="160">
        <f t="shared" si="83"/>
        <v>6.4724206286775124E-2</v>
      </c>
      <c r="J35" s="159">
        <f t="shared" si="84"/>
        <v>0.16336805009282276</v>
      </c>
      <c r="K35" s="159">
        <f t="shared" si="85"/>
        <v>0.18155468781450021</v>
      </c>
      <c r="L35" s="161">
        <f t="shared" si="86"/>
        <v>0.62999905603977224</v>
      </c>
      <c r="M35" s="146">
        <f t="shared" si="87"/>
        <v>1799.5271073912088</v>
      </c>
      <c r="N35" s="146">
        <f t="shared" si="88"/>
        <v>4542.1218967307514</v>
      </c>
      <c r="O35" s="146">
        <f t="shared" si="89"/>
        <v>5047.7649853065495</v>
      </c>
      <c r="P35" s="146">
        <f t="shared" si="90"/>
        <v>17515.863755073788</v>
      </c>
      <c r="Q35" s="56">
        <f t="shared" si="48"/>
        <v>46110</v>
      </c>
      <c r="R35" s="139">
        <v>28890</v>
      </c>
      <c r="S35" s="140">
        <v>0</v>
      </c>
      <c r="T35" s="140">
        <v>27803</v>
      </c>
      <c r="U35" s="140">
        <v>0</v>
      </c>
      <c r="V35" s="141">
        <v>6118</v>
      </c>
      <c r="W35" s="142">
        <v>0.77083333333333337</v>
      </c>
      <c r="X35" s="141">
        <v>2303</v>
      </c>
      <c r="Y35" s="142">
        <v>0.75</v>
      </c>
      <c r="Z35" s="141">
        <v>0</v>
      </c>
      <c r="AA35" s="142">
        <v>0</v>
      </c>
      <c r="AB35" s="56">
        <f t="shared" si="49"/>
        <v>46110</v>
      </c>
      <c r="AC35" s="76">
        <f t="shared" si="91"/>
        <v>1</v>
      </c>
      <c r="AD35" s="162">
        <f t="shared" si="92"/>
        <v>0</v>
      </c>
      <c r="AE35" s="163">
        <v>2057</v>
      </c>
      <c r="AF35" s="118">
        <f t="shared" si="37"/>
        <v>2057</v>
      </c>
      <c r="AG35" s="147">
        <v>0</v>
      </c>
      <c r="AH35" s="148">
        <v>1442</v>
      </c>
      <c r="AI35" s="149">
        <v>0.77916666666666667</v>
      </c>
      <c r="AJ35" s="148">
        <v>0</v>
      </c>
      <c r="AK35" s="165">
        <v>0</v>
      </c>
      <c r="AL35" s="56">
        <f t="shared" si="38"/>
        <v>46110</v>
      </c>
      <c r="AM35" s="77">
        <f t="shared" si="93"/>
        <v>0.30258089368258861</v>
      </c>
      <c r="AN35" s="76">
        <f t="shared" si="94"/>
        <v>0.69741910631741144</v>
      </c>
      <c r="AO35" s="150">
        <v>5192</v>
      </c>
      <c r="AP35" s="117">
        <f t="shared" si="41"/>
        <v>1571</v>
      </c>
      <c r="AQ35" s="151">
        <v>3621</v>
      </c>
      <c r="AR35" s="152">
        <v>1568</v>
      </c>
      <c r="AS35" s="153">
        <v>0.59930555555555554</v>
      </c>
      <c r="AT35" s="152">
        <v>177</v>
      </c>
      <c r="AU35" s="154">
        <v>0.86458333333333337</v>
      </c>
      <c r="AV35" s="56">
        <f>AV34+1</f>
        <v>46110</v>
      </c>
      <c r="AW35" s="110">
        <f t="shared" si="95"/>
        <v>0.23658536585365852</v>
      </c>
      <c r="AX35" s="110">
        <f t="shared" si="96"/>
        <v>0.76341463414634148</v>
      </c>
      <c r="AY35" s="111">
        <f t="shared" si="17"/>
        <v>4510</v>
      </c>
      <c r="AZ35" s="112">
        <v>4510</v>
      </c>
      <c r="BA35" s="120">
        <f t="shared" si="18"/>
        <v>1067</v>
      </c>
      <c r="BB35" s="113">
        <f>2872+571</f>
        <v>3443</v>
      </c>
      <c r="BC35" s="112">
        <v>1556</v>
      </c>
      <c r="BD35" s="114">
        <v>0.70833333333333337</v>
      </c>
      <c r="BE35" s="115">
        <v>0</v>
      </c>
      <c r="BF35" s="114">
        <v>0</v>
      </c>
      <c r="BG35" s="115">
        <v>168</v>
      </c>
      <c r="BH35" s="114">
        <v>0.88541666666666663</v>
      </c>
      <c r="BI35" s="56">
        <f t="shared" si="51"/>
        <v>46110</v>
      </c>
      <c r="BJ35" s="78">
        <f t="shared" si="97"/>
        <v>0.60898012186594741</v>
      </c>
      <c r="BK35" s="76">
        <f t="shared" si="98"/>
        <v>0.39101987813405253</v>
      </c>
      <c r="BL35" s="79">
        <f t="shared" si="99"/>
        <v>20022</v>
      </c>
      <c r="BM35" s="155">
        <v>12193</v>
      </c>
      <c r="BN35" s="155">
        <v>7829</v>
      </c>
      <c r="BO35" s="156">
        <v>2731</v>
      </c>
      <c r="BP35" s="157">
        <v>0.70833333333333337</v>
      </c>
      <c r="BQ35" s="158">
        <v>1799</v>
      </c>
      <c r="BR35" s="157">
        <v>0.70833333333333337</v>
      </c>
    </row>
    <row r="36" spans="1:70" ht="15.75" thickBot="1" x14ac:dyDescent="0.3">
      <c r="A36" s="14"/>
      <c r="B36" s="56">
        <f t="shared" si="47"/>
        <v>46111</v>
      </c>
      <c r="C36" s="164"/>
      <c r="D36" s="87">
        <f t="shared" si="22"/>
        <v>56232</v>
      </c>
      <c r="E36" s="159">
        <f t="shared" si="81"/>
        <v>0.87010954616588421</v>
      </c>
      <c r="F36" s="87">
        <f t="shared" si="24"/>
        <v>48928</v>
      </c>
      <c r="G36" s="159">
        <f t="shared" si="82"/>
        <v>0.12989045383411579</v>
      </c>
      <c r="H36" s="146">
        <f t="shared" si="26"/>
        <v>7304</v>
      </c>
      <c r="I36" s="160">
        <f t="shared" si="83"/>
        <v>0.12154377880184332</v>
      </c>
      <c r="J36" s="159">
        <f t="shared" si="84"/>
        <v>0.16132232462877624</v>
      </c>
      <c r="K36" s="159">
        <f t="shared" si="85"/>
        <v>0.1718122048337809</v>
      </c>
      <c r="L36" s="161">
        <f t="shared" si="86"/>
        <v>0.5686923963133641</v>
      </c>
      <c r="M36" s="146">
        <f>(S36+T36)*I36</f>
        <v>6662.3006912442397</v>
      </c>
      <c r="N36" s="146">
        <f>(S36+T36)*J36</f>
        <v>8842.7219022017416</v>
      </c>
      <c r="O36" s="146">
        <f>(S36+T36)*K36</f>
        <v>9417.7141957588665</v>
      </c>
      <c r="P36" s="146">
        <f>(S36+T36)*L36</f>
        <v>31172.305011520741</v>
      </c>
      <c r="Q36" s="56">
        <f t="shared" si="48"/>
        <v>46111</v>
      </c>
      <c r="R36" s="139">
        <v>56232</v>
      </c>
      <c r="S36" s="140">
        <v>0</v>
      </c>
      <c r="T36" s="140">
        <v>54814</v>
      </c>
      <c r="U36" s="140">
        <v>0</v>
      </c>
      <c r="V36" s="141">
        <v>14032</v>
      </c>
      <c r="W36" s="142">
        <v>0.40625</v>
      </c>
      <c r="X36" s="141">
        <v>4571</v>
      </c>
      <c r="Y36" s="142">
        <v>0.80208333333333337</v>
      </c>
      <c r="Z36" s="141">
        <v>0</v>
      </c>
      <c r="AA36" s="142">
        <v>0</v>
      </c>
      <c r="AB36" s="56">
        <f t="shared" si="49"/>
        <v>46111</v>
      </c>
      <c r="AC36" s="76">
        <f t="shared" si="91"/>
        <v>1</v>
      </c>
      <c r="AD36" s="162">
        <f t="shared" si="92"/>
        <v>0</v>
      </c>
      <c r="AE36" s="163">
        <v>7596</v>
      </c>
      <c r="AF36" s="118">
        <f t="shared" si="37"/>
        <v>7596</v>
      </c>
      <c r="AG36" s="147">
        <v>0</v>
      </c>
      <c r="AH36" s="148">
        <v>4435</v>
      </c>
      <c r="AI36" s="149">
        <v>0.69652777777777775</v>
      </c>
      <c r="AJ36" s="148">
        <v>0</v>
      </c>
      <c r="AK36" s="165">
        <v>0</v>
      </c>
      <c r="AL36" s="56">
        <f t="shared" si="38"/>
        <v>46111</v>
      </c>
      <c r="AM36" s="77">
        <f t="shared" si="93"/>
        <v>0.62209878992263434</v>
      </c>
      <c r="AN36" s="76">
        <f t="shared" si="94"/>
        <v>0.3779012100773656</v>
      </c>
      <c r="AO36" s="150">
        <v>10082</v>
      </c>
      <c r="AP36" s="117">
        <f t="shared" si="41"/>
        <v>6272</v>
      </c>
      <c r="AQ36" s="151">
        <v>3810</v>
      </c>
      <c r="AR36" s="152">
        <v>3849</v>
      </c>
      <c r="AS36" s="153">
        <v>0.34097222222222223</v>
      </c>
      <c r="AT36" s="152">
        <v>178</v>
      </c>
      <c r="AU36" s="154">
        <v>0.9375</v>
      </c>
      <c r="AV36" s="56">
        <f t="shared" si="50"/>
        <v>46111</v>
      </c>
      <c r="AW36" s="110">
        <f t="shared" si="95"/>
        <v>0.62336962380079763</v>
      </c>
      <c r="AX36" s="110">
        <f t="shared" si="96"/>
        <v>0.37663037619920231</v>
      </c>
      <c r="AY36" s="111">
        <f t="shared" si="17"/>
        <v>9277</v>
      </c>
      <c r="AZ36" s="112">
        <v>9277</v>
      </c>
      <c r="BA36" s="120">
        <f t="shared" si="18"/>
        <v>5783</v>
      </c>
      <c r="BB36" s="113">
        <f>2923+571</f>
        <v>3494</v>
      </c>
      <c r="BC36" s="112">
        <v>4363</v>
      </c>
      <c r="BD36" s="114">
        <v>0.35416666666666669</v>
      </c>
      <c r="BE36" s="115">
        <v>0</v>
      </c>
      <c r="BF36" s="114">
        <v>0</v>
      </c>
      <c r="BG36" s="115">
        <v>172</v>
      </c>
      <c r="BH36" s="114">
        <v>0.86458333333333337</v>
      </c>
      <c r="BI36" s="56">
        <f t="shared" si="51"/>
        <v>46111</v>
      </c>
      <c r="BJ36" s="78">
        <f t="shared" si="97"/>
        <v>0.60698911116738419</v>
      </c>
      <c r="BK36" s="76">
        <f t="shared" si="98"/>
        <v>0.39301088883261587</v>
      </c>
      <c r="BL36" s="79">
        <f t="shared" si="99"/>
        <v>35541</v>
      </c>
      <c r="BM36" s="155">
        <v>21573</v>
      </c>
      <c r="BN36" s="155">
        <v>13968</v>
      </c>
      <c r="BO36" s="156">
        <v>4193</v>
      </c>
      <c r="BP36" s="157">
        <v>0.8208333333333333</v>
      </c>
      <c r="BQ36" s="158">
        <v>2845</v>
      </c>
      <c r="BR36" s="157">
        <v>0.8208333333333333</v>
      </c>
    </row>
    <row r="37" spans="1:70" ht="15.75" thickBot="1" x14ac:dyDescent="0.3">
      <c r="B37" s="56">
        <f t="shared" si="47"/>
        <v>46112</v>
      </c>
      <c r="D37" s="87">
        <f t="shared" si="22"/>
        <v>59138</v>
      </c>
      <c r="E37" s="159">
        <f t="shared" ref="E37" si="100">F37/D37</f>
        <v>0.87481822178633029</v>
      </c>
      <c r="F37" s="87">
        <f t="shared" si="24"/>
        <v>51735</v>
      </c>
      <c r="G37" s="159">
        <f t="shared" ref="G37" si="101">H37/D37</f>
        <v>0.12518177821366971</v>
      </c>
      <c r="H37" s="146">
        <f t="shared" si="26"/>
        <v>7403</v>
      </c>
      <c r="I37" s="160">
        <f t="shared" ref="I37" si="102">AE37/(AE37+AO37+BL37+AY37)</f>
        <v>0.11750829452409217</v>
      </c>
      <c r="J37" s="159">
        <f t="shared" ref="J37" si="103">AO37/(AE37+AO37+BL37+AY37)</f>
        <v>0.1568958694791952</v>
      </c>
      <c r="K37" s="159">
        <f t="shared" ref="K37" si="104">AY37/(AF37+AP37+BM37+AZ37+AY37)</f>
        <v>0.16410063837776942</v>
      </c>
      <c r="L37" s="161">
        <f t="shared" ref="L37" si="105">BL37/(AE37+AO37+BL37+AY37)</f>
        <v>0.58592822573280978</v>
      </c>
      <c r="M37" s="146">
        <f>(S37+T37)*I37</f>
        <v>6799.9699875201659</v>
      </c>
      <c r="N37" s="146">
        <f>(S37+T37)*J37</f>
        <v>9079.2501750220672</v>
      </c>
      <c r="O37" s="146">
        <f>(S37+T37)*K37</f>
        <v>9496.1757416447599</v>
      </c>
      <c r="P37" s="146">
        <f>(S37+T37)*L37</f>
        <v>33906.494566706235</v>
      </c>
      <c r="Q37" s="56">
        <f t="shared" si="48"/>
        <v>46112</v>
      </c>
      <c r="R37" s="139">
        <v>59138</v>
      </c>
      <c r="S37" s="140">
        <v>0</v>
      </c>
      <c r="T37" s="140">
        <v>57868</v>
      </c>
      <c r="U37" s="140">
        <v>0</v>
      </c>
      <c r="V37" s="141">
        <v>13204</v>
      </c>
      <c r="W37" s="142">
        <v>0.79166666666666663</v>
      </c>
      <c r="X37" s="141">
        <v>4733</v>
      </c>
      <c r="Y37" s="142">
        <v>0.82291666666666663</v>
      </c>
      <c r="Z37" s="141">
        <v>0</v>
      </c>
      <c r="AA37" s="142">
        <v>0</v>
      </c>
      <c r="AB37" s="56">
        <f t="shared" si="49"/>
        <v>46112</v>
      </c>
      <c r="AC37" s="76">
        <f t="shared" ref="AC37" si="106">+AF37/AE37</f>
        <v>1</v>
      </c>
      <c r="AD37" s="162">
        <f t="shared" ref="AD37" si="107">+AG37/AE37</f>
        <v>0</v>
      </c>
      <c r="AE37" s="163">
        <v>7721</v>
      </c>
      <c r="AF37" s="118">
        <f t="shared" ref="AF37" si="108">+AE37-AG37</f>
        <v>7721</v>
      </c>
      <c r="AG37" s="147">
        <v>0</v>
      </c>
      <c r="AH37" s="148">
        <v>3975</v>
      </c>
      <c r="AI37" s="149">
        <v>0.73819444444444449</v>
      </c>
      <c r="AJ37" s="148">
        <v>0</v>
      </c>
      <c r="AK37" s="165">
        <v>0</v>
      </c>
      <c r="AL37" s="56">
        <f t="shared" si="38"/>
        <v>46112</v>
      </c>
      <c r="AM37" s="77">
        <f t="shared" ref="AM37" si="109">+AP37/AO37</f>
        <v>0.62692792705403044</v>
      </c>
      <c r="AN37" s="76">
        <f t="shared" ref="AN37" si="110">+AQ37/AO37</f>
        <v>0.37307207294596956</v>
      </c>
      <c r="AO37" s="150">
        <v>10309</v>
      </c>
      <c r="AP37" s="117">
        <f t="shared" ref="AP37" si="111">AO37-AQ37</f>
        <v>6463</v>
      </c>
      <c r="AQ37" s="151">
        <v>3846</v>
      </c>
      <c r="AR37" s="152">
        <v>4445</v>
      </c>
      <c r="AS37" s="153">
        <v>0.34930555555555554</v>
      </c>
      <c r="AT37" s="152">
        <v>183</v>
      </c>
      <c r="AU37" s="154">
        <v>0.91666666666666663</v>
      </c>
      <c r="AV37" s="56">
        <f t="shared" si="50"/>
        <v>46112</v>
      </c>
      <c r="AW37" s="110">
        <f t="shared" ref="AW37" si="112">BA37/AZ37</f>
        <v>0.61240056663397624</v>
      </c>
      <c r="AX37" s="110">
        <f t="shared" ref="AX37" si="113">BB37/AZ37</f>
        <v>0.38759943336602376</v>
      </c>
      <c r="AY37" s="111">
        <f t="shared" si="17"/>
        <v>9177</v>
      </c>
      <c r="AZ37" s="112">
        <v>9177</v>
      </c>
      <c r="BA37" s="120">
        <f t="shared" si="18"/>
        <v>5620</v>
      </c>
      <c r="BB37" s="113">
        <f>2986+571</f>
        <v>3557</v>
      </c>
      <c r="BC37" s="112">
        <v>4381</v>
      </c>
      <c r="BD37" s="114">
        <v>0.82291666666666663</v>
      </c>
      <c r="BE37" s="115">
        <v>0</v>
      </c>
      <c r="BF37" s="114">
        <v>0</v>
      </c>
      <c r="BG37" s="115">
        <v>175</v>
      </c>
      <c r="BH37" s="114">
        <v>0.85416666666666663</v>
      </c>
      <c r="BI37" s="56">
        <f t="shared" si="51"/>
        <v>46112</v>
      </c>
      <c r="BJ37" s="78">
        <f t="shared" ref="BJ37" si="114">+BM37/BL37</f>
        <v>0.60741837450323388</v>
      </c>
      <c r="BK37" s="76">
        <f t="shared" ref="BK37" si="115">+BN37/BL37</f>
        <v>0.39258162549676617</v>
      </c>
      <c r="BL37" s="79">
        <f t="shared" ref="BL37" si="116">BM37+BN37</f>
        <v>38499</v>
      </c>
      <c r="BM37" s="155">
        <v>23385</v>
      </c>
      <c r="BN37" s="155">
        <v>15114</v>
      </c>
      <c r="BO37" s="156">
        <v>4251</v>
      </c>
      <c r="BP37" s="157">
        <v>0.75138888888888888</v>
      </c>
      <c r="BQ37" s="158">
        <v>2835</v>
      </c>
      <c r="BR37" s="157">
        <v>0.75138888888888888</v>
      </c>
    </row>
    <row r="38" spans="1:70" x14ac:dyDescent="0.25">
      <c r="R38" s="175" t="e">
        <f>#REF!-S39</f>
        <v>#REF!</v>
      </c>
    </row>
    <row r="39" spans="1:70" x14ac:dyDescent="0.25">
      <c r="S39" s="176">
        <f>R36-T36</f>
        <v>1418</v>
      </c>
      <c r="T39" s="176"/>
      <c r="U39" s="175"/>
    </row>
    <row r="41" spans="1:70" x14ac:dyDescent="0.25">
      <c r="S41" s="176"/>
      <c r="T41" s="175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25" zoomScaleNormal="100" workbookViewId="0">
      <selection activeCell="P45" sqref="P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19" t="s">
        <v>0</v>
      </c>
      <c r="D2" s="222" t="s">
        <v>37</v>
      </c>
      <c r="E2" s="223"/>
      <c r="F2" s="223"/>
      <c r="G2" s="223"/>
      <c r="H2" s="224"/>
      <c r="J2" s="222" t="s">
        <v>38</v>
      </c>
      <c r="K2" s="223"/>
      <c r="L2" s="224"/>
      <c r="N2" s="222" t="s">
        <v>39</v>
      </c>
      <c r="O2" s="223"/>
      <c r="P2" s="223"/>
      <c r="Q2" s="223"/>
      <c r="R2" s="223"/>
      <c r="S2" s="223"/>
      <c r="T2" s="224"/>
      <c r="V2" s="228" t="s">
        <v>40</v>
      </c>
      <c r="W2" s="229"/>
      <c r="X2" s="230"/>
    </row>
    <row r="3" spans="2:27" ht="15.75" thickBot="1" x14ac:dyDescent="0.3">
      <c r="B3" s="220"/>
      <c r="D3" s="225"/>
      <c r="E3" s="226"/>
      <c r="F3" s="226"/>
      <c r="G3" s="226"/>
      <c r="H3" s="227"/>
      <c r="J3" s="225"/>
      <c r="K3" s="226"/>
      <c r="L3" s="227"/>
      <c r="N3" s="225"/>
      <c r="O3" s="226"/>
      <c r="P3" s="226"/>
      <c r="Q3" s="226"/>
      <c r="R3" s="226"/>
      <c r="S3" s="226"/>
      <c r="T3" s="227"/>
      <c r="V3" s="231"/>
      <c r="W3" s="232"/>
      <c r="X3" s="233"/>
    </row>
    <row r="4" spans="2:27" ht="23.25" customHeight="1" x14ac:dyDescent="0.25">
      <c r="B4" s="220"/>
      <c r="D4" s="234" t="s">
        <v>41</v>
      </c>
      <c r="E4" s="235"/>
      <c r="F4" s="234" t="s">
        <v>42</v>
      </c>
      <c r="G4" s="236"/>
      <c r="H4" s="237"/>
      <c r="J4" s="234" t="s">
        <v>41</v>
      </c>
      <c r="K4" s="235"/>
      <c r="L4" s="16" t="s">
        <v>42</v>
      </c>
      <c r="N4" s="217" t="s">
        <v>41</v>
      </c>
      <c r="O4" s="238"/>
      <c r="P4" s="239"/>
      <c r="Q4" s="240"/>
      <c r="R4" s="234" t="s">
        <v>42</v>
      </c>
      <c r="S4" s="241"/>
      <c r="T4" s="237"/>
      <c r="V4" s="217" t="s">
        <v>41</v>
      </c>
      <c r="W4" s="218"/>
      <c r="X4" s="16" t="s">
        <v>42</v>
      </c>
    </row>
    <row r="5" spans="2:27" ht="23.25" thickBot="1" x14ac:dyDescent="0.3">
      <c r="B5" s="221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46081</v>
      </c>
      <c r="C14" s="13"/>
      <c r="D14" s="171">
        <v>73</v>
      </c>
      <c r="E14" s="89">
        <v>0.19791666666666666</v>
      </c>
      <c r="F14" s="88">
        <v>1025</v>
      </c>
      <c r="G14" s="93">
        <f t="shared" ref="G14:G45" si="0">F14-H14</f>
        <v>494</v>
      </c>
      <c r="H14" s="88">
        <v>531</v>
      </c>
      <c r="I14" s="90">
        <f>B14</f>
        <v>46081</v>
      </c>
      <c r="J14" s="91">
        <v>30</v>
      </c>
      <c r="K14" s="89">
        <v>0.91666666666666663</v>
      </c>
      <c r="L14" s="88">
        <v>553</v>
      </c>
      <c r="M14" s="90">
        <f>B14</f>
        <v>46081</v>
      </c>
      <c r="N14" s="91">
        <v>21</v>
      </c>
      <c r="O14" s="89">
        <v>0.64583333333333337</v>
      </c>
      <c r="P14" s="91">
        <v>13</v>
      </c>
      <c r="Q14" s="89">
        <v>0.53125</v>
      </c>
      <c r="R14" s="92">
        <f t="shared" ref="R14" si="1">S14+T14</f>
        <v>462</v>
      </c>
      <c r="S14" s="88">
        <v>245</v>
      </c>
      <c r="T14" s="88">
        <v>217</v>
      </c>
      <c r="U14" s="90">
        <f>B14</f>
        <v>46081</v>
      </c>
      <c r="V14" s="91">
        <v>29</v>
      </c>
      <c r="W14" s="89">
        <v>0.84375</v>
      </c>
      <c r="X14" s="88">
        <v>535</v>
      </c>
    </row>
    <row r="15" spans="2:27" s="52" customFormat="1" ht="15.75" thickBot="1" x14ac:dyDescent="0.3">
      <c r="B15" s="90">
        <v>46082</v>
      </c>
      <c r="C15" s="13"/>
      <c r="D15" s="171">
        <v>57.63</v>
      </c>
      <c r="E15" s="172">
        <v>0.94791666666666663</v>
      </c>
      <c r="F15" s="173">
        <v>939.18</v>
      </c>
      <c r="G15" s="93">
        <f t="shared" si="0"/>
        <v>421.03999999999996</v>
      </c>
      <c r="H15" s="173">
        <v>518.14</v>
      </c>
      <c r="I15" s="90">
        <f t="shared" ref="I15:I45" si="2">I14+1</f>
        <v>46082</v>
      </c>
      <c r="J15" s="171">
        <v>28.79</v>
      </c>
      <c r="K15" s="172">
        <v>0.78125</v>
      </c>
      <c r="L15" s="173">
        <v>533.20000000000005</v>
      </c>
      <c r="M15" s="90">
        <f t="shared" ref="M15:M44" si="3">B15</f>
        <v>46082</v>
      </c>
      <c r="N15" s="171">
        <v>21.55</v>
      </c>
      <c r="O15" s="172">
        <v>0.60416666666666663</v>
      </c>
      <c r="P15" s="171">
        <v>10.09</v>
      </c>
      <c r="Q15" s="172">
        <v>0.92708333333333337</v>
      </c>
      <c r="R15" s="92">
        <f t="shared" ref="R15:R25" si="4">S15+T15</f>
        <v>537.73</v>
      </c>
      <c r="S15" s="173">
        <v>337.68</v>
      </c>
      <c r="T15" s="173">
        <v>200.05</v>
      </c>
      <c r="U15" s="90">
        <f t="shared" ref="U15:U45" si="5">U14+1</f>
        <v>46082</v>
      </c>
      <c r="V15" s="171">
        <v>27.76</v>
      </c>
      <c r="W15" s="172">
        <v>0.83333333333333337</v>
      </c>
      <c r="X15" s="173">
        <v>507.32</v>
      </c>
    </row>
    <row r="16" spans="2:27" s="52" customFormat="1" ht="15.75" thickBot="1" x14ac:dyDescent="0.3">
      <c r="B16" s="55">
        <f t="shared" ref="B16" si="6">B15+1</f>
        <v>46083</v>
      </c>
      <c r="C16" s="13"/>
      <c r="D16" s="50">
        <v>92</v>
      </c>
      <c r="E16" s="11">
        <v>0</v>
      </c>
      <c r="F16" s="10">
        <v>1349</v>
      </c>
      <c r="G16" s="93">
        <f t="shared" si="0"/>
        <v>792</v>
      </c>
      <c r="H16" s="10">
        <v>557</v>
      </c>
      <c r="I16" s="90">
        <f t="shared" si="2"/>
        <v>46083</v>
      </c>
      <c r="J16" s="50">
        <v>30</v>
      </c>
      <c r="K16" s="54">
        <v>0.84375</v>
      </c>
      <c r="L16" s="53">
        <v>581</v>
      </c>
      <c r="M16" s="90">
        <f t="shared" si="3"/>
        <v>46083</v>
      </c>
      <c r="N16" s="50">
        <v>25</v>
      </c>
      <c r="O16" s="11">
        <v>0.36458333333333331</v>
      </c>
      <c r="P16" s="50">
        <v>15</v>
      </c>
      <c r="Q16" s="11">
        <v>0.72916666666666663</v>
      </c>
      <c r="R16" s="92">
        <f t="shared" si="4"/>
        <v>598</v>
      </c>
      <c r="S16" s="10">
        <v>342</v>
      </c>
      <c r="T16" s="10">
        <v>256</v>
      </c>
      <c r="U16" s="90">
        <f t="shared" si="5"/>
        <v>46083</v>
      </c>
      <c r="V16" s="50">
        <v>33</v>
      </c>
      <c r="W16" s="11">
        <v>0.78125</v>
      </c>
      <c r="X16" s="10">
        <v>631</v>
      </c>
    </row>
    <row r="17" spans="2:24" ht="15.75" thickBot="1" x14ac:dyDescent="0.3">
      <c r="B17" s="55">
        <f t="shared" ref="B17:B45" si="7">B16+1</f>
        <v>46084</v>
      </c>
      <c r="D17" s="50">
        <v>93</v>
      </c>
      <c r="E17" s="54">
        <v>1600</v>
      </c>
      <c r="F17" s="53">
        <v>1392</v>
      </c>
      <c r="G17" s="93">
        <f t="shared" si="0"/>
        <v>817</v>
      </c>
      <c r="H17" s="53">
        <v>575</v>
      </c>
      <c r="I17" s="90">
        <f t="shared" si="2"/>
        <v>46084</v>
      </c>
      <c r="J17" s="50">
        <v>30</v>
      </c>
      <c r="K17" s="54">
        <v>5.2083333333333336E-2</v>
      </c>
      <c r="L17" s="53">
        <v>589</v>
      </c>
      <c r="M17" s="90">
        <f t="shared" si="3"/>
        <v>46084</v>
      </c>
      <c r="N17" s="50">
        <v>21</v>
      </c>
      <c r="O17" s="54">
        <v>0.92708333333333337</v>
      </c>
      <c r="P17" s="50">
        <v>17</v>
      </c>
      <c r="Q17" s="54">
        <v>0.6875</v>
      </c>
      <c r="R17" s="92">
        <f t="shared" si="4"/>
        <v>613</v>
      </c>
      <c r="S17" s="53">
        <v>345</v>
      </c>
      <c r="T17" s="53">
        <v>268</v>
      </c>
      <c r="U17" s="90">
        <f t="shared" si="5"/>
        <v>46084</v>
      </c>
      <c r="V17" s="50">
        <v>29</v>
      </c>
      <c r="W17" s="54">
        <v>2.0833333333333332E-2</v>
      </c>
      <c r="X17" s="53">
        <v>579</v>
      </c>
    </row>
    <row r="18" spans="2:24" ht="15.75" thickBot="1" x14ac:dyDescent="0.3">
      <c r="B18" s="55">
        <f t="shared" si="7"/>
        <v>46085</v>
      </c>
      <c r="D18" s="50">
        <v>81</v>
      </c>
      <c r="E18" s="54">
        <v>0.67708333333333337</v>
      </c>
      <c r="F18" s="53">
        <v>1344</v>
      </c>
      <c r="G18" s="93">
        <f t="shared" si="0"/>
        <v>804</v>
      </c>
      <c r="H18" s="53">
        <v>540</v>
      </c>
      <c r="I18" s="90">
        <f t="shared" si="2"/>
        <v>46085</v>
      </c>
      <c r="J18" s="50">
        <v>29</v>
      </c>
      <c r="K18" s="54">
        <v>0.88541666666666663</v>
      </c>
      <c r="L18" s="53">
        <v>566</v>
      </c>
      <c r="M18" s="90">
        <f t="shared" si="3"/>
        <v>46085</v>
      </c>
      <c r="N18" s="50">
        <v>21</v>
      </c>
      <c r="O18" s="54">
        <v>0.4375</v>
      </c>
      <c r="P18" s="50">
        <v>16</v>
      </c>
      <c r="Q18" s="54">
        <v>0.70833333333333337</v>
      </c>
      <c r="R18" s="51">
        <f t="shared" si="4"/>
        <v>590</v>
      </c>
      <c r="S18" s="53">
        <v>344</v>
      </c>
      <c r="T18" s="53">
        <v>246</v>
      </c>
      <c r="U18" s="90">
        <f t="shared" si="5"/>
        <v>46085</v>
      </c>
      <c r="V18" s="50">
        <v>30</v>
      </c>
      <c r="W18" s="54">
        <v>0.86458333333333337</v>
      </c>
      <c r="X18" s="53">
        <v>525</v>
      </c>
    </row>
    <row r="19" spans="2:24" ht="15.75" thickBot="1" x14ac:dyDescent="0.3">
      <c r="B19" s="90">
        <f t="shared" si="7"/>
        <v>46086</v>
      </c>
      <c r="D19" s="91">
        <v>81</v>
      </c>
      <c r="E19" s="89">
        <v>0.13541666666666666</v>
      </c>
      <c r="F19" s="88">
        <v>1323</v>
      </c>
      <c r="G19" s="93">
        <f t="shared" si="0"/>
        <v>756</v>
      </c>
      <c r="H19" s="88">
        <v>567</v>
      </c>
      <c r="I19" s="90">
        <f t="shared" si="2"/>
        <v>46086</v>
      </c>
      <c r="J19" s="91">
        <v>30</v>
      </c>
      <c r="K19" s="89">
        <v>3.125E-2</v>
      </c>
      <c r="L19" s="88">
        <v>549</v>
      </c>
      <c r="M19" s="90">
        <f t="shared" si="3"/>
        <v>46086</v>
      </c>
      <c r="N19" s="91">
        <v>29</v>
      </c>
      <c r="O19" s="89">
        <v>0.47916666666666669</v>
      </c>
      <c r="P19" s="91">
        <v>14</v>
      </c>
      <c r="Q19" s="89">
        <v>0.55208333333333337</v>
      </c>
      <c r="R19" s="92">
        <f t="shared" si="4"/>
        <v>593</v>
      </c>
      <c r="S19" s="88">
        <v>352</v>
      </c>
      <c r="T19" s="88">
        <v>241</v>
      </c>
      <c r="U19" s="90">
        <f t="shared" si="5"/>
        <v>46086</v>
      </c>
      <c r="V19" s="91">
        <v>26</v>
      </c>
      <c r="W19" s="89">
        <v>0.84375</v>
      </c>
      <c r="X19" s="88">
        <v>529</v>
      </c>
    </row>
    <row r="20" spans="2:24" ht="15.75" thickBot="1" x14ac:dyDescent="0.3">
      <c r="B20" s="90">
        <f t="shared" si="7"/>
        <v>46087</v>
      </c>
      <c r="D20" s="171">
        <v>77.03</v>
      </c>
      <c r="E20" s="172">
        <v>0.59375</v>
      </c>
      <c r="F20" s="173">
        <v>1266.81</v>
      </c>
      <c r="G20" s="93">
        <f t="shared" si="0"/>
        <v>680.93999999999994</v>
      </c>
      <c r="H20" s="173">
        <v>585.87</v>
      </c>
      <c r="I20" s="90">
        <f t="shared" si="2"/>
        <v>46087</v>
      </c>
      <c r="J20" s="171">
        <v>30.65</v>
      </c>
      <c r="K20" s="172">
        <v>0.88541666666666663</v>
      </c>
      <c r="L20" s="173">
        <v>525.04</v>
      </c>
      <c r="M20" s="90">
        <f t="shared" si="3"/>
        <v>46087</v>
      </c>
      <c r="N20" s="171">
        <v>21.57</v>
      </c>
      <c r="O20" s="172">
        <v>0.60416666666666663</v>
      </c>
      <c r="P20" s="171">
        <v>14.2</v>
      </c>
      <c r="Q20" s="172">
        <v>0.28125</v>
      </c>
      <c r="R20" s="92">
        <f t="shared" si="4"/>
        <v>581.64</v>
      </c>
      <c r="S20" s="173">
        <v>343.71</v>
      </c>
      <c r="T20" s="173">
        <v>237.93</v>
      </c>
      <c r="U20" s="174">
        <f t="shared" si="5"/>
        <v>46087</v>
      </c>
      <c r="V20" s="171">
        <v>30.4</v>
      </c>
      <c r="W20" s="172">
        <v>0.42708333333333331</v>
      </c>
      <c r="X20" s="173">
        <v>534.96</v>
      </c>
    </row>
    <row r="21" spans="2:24" ht="15.75" thickBot="1" x14ac:dyDescent="0.3">
      <c r="B21" s="90">
        <f t="shared" si="7"/>
        <v>46088</v>
      </c>
      <c r="D21" s="171">
        <v>63.42</v>
      </c>
      <c r="E21" s="172">
        <v>0.78125</v>
      </c>
      <c r="F21" s="88">
        <v>841.75</v>
      </c>
      <c r="G21" s="93">
        <f t="shared" si="0"/>
        <v>363.57</v>
      </c>
      <c r="H21" s="88">
        <v>478.18</v>
      </c>
      <c r="I21" s="90">
        <f t="shared" si="2"/>
        <v>46088</v>
      </c>
      <c r="J21" s="91">
        <v>29.52</v>
      </c>
      <c r="K21" s="89">
        <v>0.36458333333333331</v>
      </c>
      <c r="L21" s="88">
        <v>585.78</v>
      </c>
      <c r="M21" s="90">
        <f t="shared" si="3"/>
        <v>46088</v>
      </c>
      <c r="N21" s="91">
        <v>19.18</v>
      </c>
      <c r="O21" s="89">
        <v>0.39583333333333331</v>
      </c>
      <c r="P21" s="91">
        <v>13.4</v>
      </c>
      <c r="Q21" s="89">
        <v>0.42708333333333331</v>
      </c>
      <c r="R21" s="92">
        <f t="shared" si="4"/>
        <v>557.91</v>
      </c>
      <c r="S21" s="88">
        <v>342.33</v>
      </c>
      <c r="T21" s="88">
        <v>215.58</v>
      </c>
      <c r="U21" s="90">
        <f t="shared" si="5"/>
        <v>46088</v>
      </c>
      <c r="V21" s="91">
        <v>26.32</v>
      </c>
      <c r="W21" s="89">
        <v>5.2083333333333336E-2</v>
      </c>
      <c r="X21" s="88">
        <v>534.33000000000004</v>
      </c>
    </row>
    <row r="22" spans="2:24" ht="15.75" thickBot="1" x14ac:dyDescent="0.3">
      <c r="B22" s="90">
        <f t="shared" si="7"/>
        <v>46089</v>
      </c>
      <c r="D22" s="171">
        <v>63</v>
      </c>
      <c r="E22" s="89">
        <v>5.2083333333333336E-2</v>
      </c>
      <c r="F22" s="88">
        <v>863</v>
      </c>
      <c r="G22" s="93">
        <f t="shared" si="0"/>
        <v>377</v>
      </c>
      <c r="H22" s="88">
        <v>486</v>
      </c>
      <c r="I22" s="90">
        <f t="shared" si="2"/>
        <v>46089</v>
      </c>
      <c r="J22" s="91">
        <v>30</v>
      </c>
      <c r="K22" s="89">
        <v>0.9375</v>
      </c>
      <c r="L22" s="88">
        <v>580</v>
      </c>
      <c r="M22" s="90">
        <f t="shared" si="3"/>
        <v>46089</v>
      </c>
      <c r="N22" s="91">
        <v>24</v>
      </c>
      <c r="O22" s="89">
        <v>0.78125</v>
      </c>
      <c r="P22" s="91">
        <v>9</v>
      </c>
      <c r="Q22" s="89">
        <v>0.53125</v>
      </c>
      <c r="R22" s="92">
        <f t="shared" si="4"/>
        <v>531</v>
      </c>
      <c r="S22" s="88">
        <v>340</v>
      </c>
      <c r="T22" s="88">
        <v>191</v>
      </c>
      <c r="U22" s="90">
        <f t="shared" si="5"/>
        <v>46089</v>
      </c>
      <c r="V22" s="91">
        <v>31</v>
      </c>
      <c r="W22" s="89">
        <v>0.78125</v>
      </c>
      <c r="X22" s="88">
        <v>507</v>
      </c>
    </row>
    <row r="23" spans="2:24" ht="15.75" thickBot="1" x14ac:dyDescent="0.3">
      <c r="B23" s="90">
        <f t="shared" si="7"/>
        <v>46090</v>
      </c>
      <c r="D23" s="171">
        <v>87</v>
      </c>
      <c r="E23" s="89">
        <v>0.72916666666666663</v>
      </c>
      <c r="F23" s="88">
        <v>1360</v>
      </c>
      <c r="G23" s="93">
        <f t="shared" si="0"/>
        <v>810</v>
      </c>
      <c r="H23" s="88">
        <v>550</v>
      </c>
      <c r="I23" s="90">
        <f t="shared" si="2"/>
        <v>46090</v>
      </c>
      <c r="J23" s="91">
        <v>30</v>
      </c>
      <c r="K23" s="89">
        <v>0.875</v>
      </c>
      <c r="L23" s="88">
        <v>580</v>
      </c>
      <c r="M23" s="90">
        <f t="shared" si="3"/>
        <v>46090</v>
      </c>
      <c r="N23" s="91">
        <v>25</v>
      </c>
      <c r="O23" s="89">
        <v>0.72916666666666663</v>
      </c>
      <c r="P23" s="91">
        <v>14</v>
      </c>
      <c r="Q23" s="89">
        <v>0.5625</v>
      </c>
      <c r="R23" s="92">
        <f t="shared" si="4"/>
        <v>580</v>
      </c>
      <c r="S23" s="88">
        <v>341</v>
      </c>
      <c r="T23" s="88">
        <v>239</v>
      </c>
      <c r="U23" s="90">
        <f t="shared" si="5"/>
        <v>46090</v>
      </c>
      <c r="V23" s="91">
        <v>31</v>
      </c>
      <c r="W23" s="89">
        <v>0.72916666666666663</v>
      </c>
      <c r="X23" s="88">
        <v>560</v>
      </c>
    </row>
    <row r="24" spans="2:24" ht="15.75" thickBot="1" x14ac:dyDescent="0.3">
      <c r="B24" s="90">
        <f t="shared" si="7"/>
        <v>46091</v>
      </c>
      <c r="D24" s="171">
        <v>90</v>
      </c>
      <c r="E24" s="89">
        <v>0.75</v>
      </c>
      <c r="F24" s="88">
        <v>1350</v>
      </c>
      <c r="G24" s="93">
        <f t="shared" si="0"/>
        <v>798</v>
      </c>
      <c r="H24" s="88">
        <v>552</v>
      </c>
      <c r="I24" s="90">
        <f t="shared" si="2"/>
        <v>46091</v>
      </c>
      <c r="J24" s="91">
        <v>30</v>
      </c>
      <c r="K24" s="89">
        <v>0.85416666666666663</v>
      </c>
      <c r="L24" s="88">
        <v>581</v>
      </c>
      <c r="M24" s="90">
        <f t="shared" si="3"/>
        <v>46091</v>
      </c>
      <c r="N24" s="91">
        <v>25</v>
      </c>
      <c r="O24" s="89">
        <v>0.75</v>
      </c>
      <c r="P24" s="91">
        <v>15</v>
      </c>
      <c r="Q24" s="89">
        <v>0.70833333333333337</v>
      </c>
      <c r="R24" s="92">
        <f t="shared" si="4"/>
        <v>580</v>
      </c>
      <c r="S24" s="88">
        <v>340</v>
      </c>
      <c r="T24" s="88">
        <v>240</v>
      </c>
      <c r="U24" s="90">
        <f t="shared" si="5"/>
        <v>46091</v>
      </c>
      <c r="V24" s="91">
        <v>32</v>
      </c>
      <c r="W24" s="89">
        <v>0.75</v>
      </c>
      <c r="X24" s="88">
        <v>570</v>
      </c>
    </row>
    <row r="25" spans="2:24" ht="15.75" thickBot="1" x14ac:dyDescent="0.3">
      <c r="B25" s="90">
        <f t="shared" si="7"/>
        <v>46092</v>
      </c>
      <c r="D25" s="171">
        <v>94</v>
      </c>
      <c r="E25" s="89">
        <v>5.2083333333333336E-2</v>
      </c>
      <c r="F25" s="88">
        <v>1354</v>
      </c>
      <c r="G25" s="93">
        <f t="shared" si="0"/>
        <v>756</v>
      </c>
      <c r="H25" s="88">
        <v>598</v>
      </c>
      <c r="I25" s="90">
        <f t="shared" si="2"/>
        <v>46092</v>
      </c>
      <c r="J25" s="91">
        <v>30</v>
      </c>
      <c r="K25" s="89">
        <v>0.625</v>
      </c>
      <c r="L25" s="88">
        <v>581</v>
      </c>
      <c r="M25" s="90">
        <f t="shared" si="3"/>
        <v>46092</v>
      </c>
      <c r="N25" s="91">
        <v>19</v>
      </c>
      <c r="O25" s="89">
        <v>0.54166666666666663</v>
      </c>
      <c r="P25" s="91">
        <v>15</v>
      </c>
      <c r="Q25" s="89">
        <v>0.5</v>
      </c>
      <c r="R25" s="92">
        <f t="shared" si="4"/>
        <v>596</v>
      </c>
      <c r="S25" s="88">
        <v>342</v>
      </c>
      <c r="T25" s="88">
        <v>254</v>
      </c>
      <c r="U25" s="90">
        <f t="shared" si="5"/>
        <v>46092</v>
      </c>
      <c r="V25" s="91">
        <v>29</v>
      </c>
      <c r="W25" s="89">
        <v>0.94791666666666663</v>
      </c>
      <c r="X25" s="88">
        <v>544</v>
      </c>
    </row>
    <row r="26" spans="2:24" ht="15.75" thickBot="1" x14ac:dyDescent="0.3">
      <c r="B26" s="90">
        <f t="shared" si="7"/>
        <v>46093</v>
      </c>
      <c r="D26" s="171">
        <v>95</v>
      </c>
      <c r="E26" s="89">
        <v>0.6875</v>
      </c>
      <c r="F26" s="88">
        <v>1431</v>
      </c>
      <c r="G26" s="93">
        <f t="shared" si="0"/>
        <v>814</v>
      </c>
      <c r="H26" s="88">
        <v>617</v>
      </c>
      <c r="I26" s="90">
        <f t="shared" si="2"/>
        <v>46093</v>
      </c>
      <c r="J26" s="91">
        <v>33</v>
      </c>
      <c r="K26" s="89">
        <v>0.6875</v>
      </c>
      <c r="L26" s="88">
        <v>586</v>
      </c>
      <c r="M26" s="90">
        <f t="shared" si="3"/>
        <v>46093</v>
      </c>
      <c r="N26" s="91">
        <v>25</v>
      </c>
      <c r="O26" s="89">
        <v>0.47916666666666669</v>
      </c>
      <c r="P26" s="91">
        <v>14</v>
      </c>
      <c r="Q26" s="89">
        <v>0.625</v>
      </c>
      <c r="R26" s="92">
        <f t="shared" ref="R26:R44" si="8">S26+T26</f>
        <v>598</v>
      </c>
      <c r="S26" s="88">
        <v>347</v>
      </c>
      <c r="T26" s="88">
        <v>251</v>
      </c>
      <c r="U26" s="90">
        <f t="shared" si="5"/>
        <v>46093</v>
      </c>
      <c r="V26" s="91">
        <v>30</v>
      </c>
      <c r="W26" s="89">
        <v>0.63541666666666663</v>
      </c>
      <c r="X26" s="88">
        <v>550</v>
      </c>
    </row>
    <row r="27" spans="2:24" ht="15.75" thickBot="1" x14ac:dyDescent="0.3">
      <c r="B27" s="90">
        <f t="shared" si="7"/>
        <v>46094</v>
      </c>
      <c r="D27" s="171">
        <v>95</v>
      </c>
      <c r="E27" s="89">
        <v>0.72916666666666663</v>
      </c>
      <c r="F27" s="88">
        <v>1205</v>
      </c>
      <c r="G27" s="93">
        <f t="shared" si="0"/>
        <v>677</v>
      </c>
      <c r="H27" s="88">
        <v>528</v>
      </c>
      <c r="I27" s="90">
        <f t="shared" si="2"/>
        <v>46094</v>
      </c>
      <c r="J27" s="91">
        <v>30</v>
      </c>
      <c r="K27" s="89">
        <v>0.29166666666666669</v>
      </c>
      <c r="L27" s="88">
        <v>548</v>
      </c>
      <c r="M27" s="90">
        <f t="shared" si="3"/>
        <v>46094</v>
      </c>
      <c r="N27" s="91">
        <v>22</v>
      </c>
      <c r="O27" s="89">
        <v>0.38541666666666669</v>
      </c>
      <c r="P27" s="91">
        <v>15</v>
      </c>
      <c r="Q27" s="89">
        <v>0.69791666666666663</v>
      </c>
      <c r="R27" s="92">
        <f t="shared" si="8"/>
        <v>597</v>
      </c>
      <c r="S27" s="88">
        <v>349</v>
      </c>
      <c r="T27" s="88">
        <v>248</v>
      </c>
      <c r="U27" s="90">
        <f t="shared" si="5"/>
        <v>46094</v>
      </c>
      <c r="V27" s="91">
        <v>27</v>
      </c>
      <c r="W27" s="89">
        <v>0.28125</v>
      </c>
      <c r="X27" s="88">
        <v>518</v>
      </c>
    </row>
    <row r="28" spans="2:24" ht="15.75" thickBot="1" x14ac:dyDescent="0.3">
      <c r="B28" s="90">
        <f t="shared" si="7"/>
        <v>46095</v>
      </c>
      <c r="D28" s="171">
        <v>61</v>
      </c>
      <c r="E28" s="89">
        <v>0.13541666666666666</v>
      </c>
      <c r="F28" s="88">
        <v>960</v>
      </c>
      <c r="G28" s="93">
        <f t="shared" si="0"/>
        <v>456</v>
      </c>
      <c r="H28" s="88">
        <v>504</v>
      </c>
      <c r="I28" s="90">
        <f t="shared" si="2"/>
        <v>46095</v>
      </c>
      <c r="J28" s="91">
        <v>31</v>
      </c>
      <c r="K28" s="89">
        <v>0.88541666666666663</v>
      </c>
      <c r="L28" s="88">
        <v>522</v>
      </c>
      <c r="M28" s="90">
        <f t="shared" si="3"/>
        <v>46095</v>
      </c>
      <c r="N28" s="91">
        <v>23</v>
      </c>
      <c r="O28" s="89">
        <v>0.66666666666666663</v>
      </c>
      <c r="P28" s="91">
        <v>14</v>
      </c>
      <c r="Q28" s="89">
        <v>0.3125</v>
      </c>
      <c r="R28" s="92">
        <f t="shared" si="8"/>
        <v>556</v>
      </c>
      <c r="S28" s="88">
        <v>338</v>
      </c>
      <c r="T28" s="88">
        <v>218</v>
      </c>
      <c r="U28" s="90">
        <f t="shared" si="5"/>
        <v>46095</v>
      </c>
      <c r="V28" s="91">
        <v>25</v>
      </c>
      <c r="W28" s="89">
        <v>0.82291666666666663</v>
      </c>
      <c r="X28" s="88">
        <v>490</v>
      </c>
    </row>
    <row r="29" spans="2:24" ht="15.75" thickBot="1" x14ac:dyDescent="0.3">
      <c r="B29" s="90">
        <f t="shared" si="7"/>
        <v>46096</v>
      </c>
      <c r="D29" s="171">
        <v>64</v>
      </c>
      <c r="E29" s="89">
        <v>0.5625</v>
      </c>
      <c r="F29" s="88">
        <v>863</v>
      </c>
      <c r="G29" s="93">
        <f t="shared" si="0"/>
        <v>352</v>
      </c>
      <c r="H29" s="88">
        <v>511</v>
      </c>
      <c r="I29" s="90">
        <f t="shared" si="2"/>
        <v>46096</v>
      </c>
      <c r="J29" s="91">
        <v>28</v>
      </c>
      <c r="K29" s="89">
        <v>0.76041666666666663</v>
      </c>
      <c r="L29" s="88">
        <v>515</v>
      </c>
      <c r="M29" s="90">
        <f t="shared" si="3"/>
        <v>46096</v>
      </c>
      <c r="N29" s="91">
        <v>27</v>
      </c>
      <c r="O29" s="89">
        <v>0.69791666666666663</v>
      </c>
      <c r="P29" s="91">
        <v>10</v>
      </c>
      <c r="Q29" s="89">
        <v>0.64583333333333337</v>
      </c>
      <c r="R29" s="92">
        <f t="shared" si="8"/>
        <v>527</v>
      </c>
      <c r="S29" s="88">
        <v>330</v>
      </c>
      <c r="T29" s="88">
        <v>197</v>
      </c>
      <c r="U29" s="90">
        <f t="shared" si="5"/>
        <v>46096</v>
      </c>
      <c r="V29" s="91">
        <v>26</v>
      </c>
      <c r="W29" s="89">
        <v>0.80208333333333337</v>
      </c>
      <c r="X29" s="88">
        <v>494</v>
      </c>
    </row>
    <row r="30" spans="2:24" ht="15.75" thickBot="1" x14ac:dyDescent="0.3">
      <c r="B30" s="90">
        <f t="shared" si="7"/>
        <v>46097</v>
      </c>
      <c r="D30" s="171">
        <v>94</v>
      </c>
      <c r="E30" s="89">
        <v>4.1666666666666664E-2</v>
      </c>
      <c r="F30" s="88">
        <v>1242</v>
      </c>
      <c r="G30" s="93">
        <f t="shared" si="0"/>
        <v>722</v>
      </c>
      <c r="H30" s="88">
        <v>520</v>
      </c>
      <c r="I30" s="90">
        <f t="shared" si="2"/>
        <v>46097</v>
      </c>
      <c r="J30" s="91">
        <v>30</v>
      </c>
      <c r="K30" s="89">
        <v>0.85416666666666663</v>
      </c>
      <c r="L30" s="88">
        <v>560</v>
      </c>
      <c r="M30" s="90">
        <f t="shared" si="3"/>
        <v>46097</v>
      </c>
      <c r="N30" s="91">
        <v>23</v>
      </c>
      <c r="O30" s="89">
        <v>0.38541666666666669</v>
      </c>
      <c r="P30" s="91">
        <v>15</v>
      </c>
      <c r="Q30" s="89">
        <v>0.77083333333333337</v>
      </c>
      <c r="R30" s="92">
        <f t="shared" si="8"/>
        <v>589</v>
      </c>
      <c r="S30" s="88">
        <v>346</v>
      </c>
      <c r="T30" s="88">
        <v>243</v>
      </c>
      <c r="U30" s="90">
        <f t="shared" si="5"/>
        <v>46097</v>
      </c>
      <c r="V30" s="91">
        <v>26</v>
      </c>
      <c r="W30" s="89">
        <v>0.91666666666666663</v>
      </c>
      <c r="X30" s="88">
        <v>501</v>
      </c>
    </row>
    <row r="31" spans="2:24" ht="15.75" thickBot="1" x14ac:dyDescent="0.3">
      <c r="B31" s="90">
        <f t="shared" si="7"/>
        <v>46098</v>
      </c>
      <c r="D31" s="171">
        <v>94.73</v>
      </c>
      <c r="E31" s="89">
        <v>0.57291666666666663</v>
      </c>
      <c r="F31" s="88">
        <v>1385.82</v>
      </c>
      <c r="G31" s="93">
        <f t="shared" si="0"/>
        <v>852.74999999999989</v>
      </c>
      <c r="H31" s="88">
        <v>533.07000000000005</v>
      </c>
      <c r="I31" s="90">
        <f t="shared" si="2"/>
        <v>46098</v>
      </c>
      <c r="J31" s="91">
        <v>30.76</v>
      </c>
      <c r="K31" s="89">
        <v>0.86458333333333337</v>
      </c>
      <c r="L31" s="88">
        <v>571.82000000000005</v>
      </c>
      <c r="M31" s="90">
        <f t="shared" si="3"/>
        <v>46098</v>
      </c>
      <c r="N31" s="91">
        <v>21.32</v>
      </c>
      <c r="O31" s="89">
        <v>0.80208333333333337</v>
      </c>
      <c r="P31" s="91">
        <v>23.21</v>
      </c>
      <c r="Q31" s="89">
        <v>0.71875</v>
      </c>
      <c r="R31" s="92">
        <f t="shared" si="8"/>
        <v>595.16</v>
      </c>
      <c r="S31" s="88">
        <v>346.77</v>
      </c>
      <c r="T31" s="88">
        <v>248.39</v>
      </c>
      <c r="U31" s="90">
        <f t="shared" si="5"/>
        <v>46098</v>
      </c>
      <c r="V31" s="91">
        <v>31.38</v>
      </c>
      <c r="W31" s="89">
        <v>0.52083333333333337</v>
      </c>
      <c r="X31" s="88">
        <v>557.24</v>
      </c>
    </row>
    <row r="32" spans="2:24" ht="15.75" thickBot="1" x14ac:dyDescent="0.3">
      <c r="B32" s="90">
        <f t="shared" si="7"/>
        <v>46099</v>
      </c>
      <c r="D32" s="171">
        <v>76</v>
      </c>
      <c r="E32" s="89">
        <v>0.6875</v>
      </c>
      <c r="F32" s="88">
        <v>1321</v>
      </c>
      <c r="G32" s="93">
        <f t="shared" si="0"/>
        <v>796</v>
      </c>
      <c r="H32" s="88">
        <v>525</v>
      </c>
      <c r="I32" s="90">
        <f t="shared" si="2"/>
        <v>46099</v>
      </c>
      <c r="J32" s="91">
        <v>29</v>
      </c>
      <c r="K32" s="89">
        <v>0.86458333333333337</v>
      </c>
      <c r="L32" s="88">
        <v>553</v>
      </c>
      <c r="M32" s="90">
        <f t="shared" si="3"/>
        <v>46099</v>
      </c>
      <c r="N32" s="91">
        <v>22</v>
      </c>
      <c r="O32" s="89">
        <v>0.40625</v>
      </c>
      <c r="P32" s="91">
        <v>16</v>
      </c>
      <c r="Q32" s="89">
        <v>0.3125</v>
      </c>
      <c r="R32" s="92">
        <f t="shared" si="8"/>
        <v>593</v>
      </c>
      <c r="S32" s="88">
        <v>345</v>
      </c>
      <c r="T32" s="88">
        <v>248</v>
      </c>
      <c r="U32" s="90">
        <f t="shared" si="5"/>
        <v>46099</v>
      </c>
      <c r="V32" s="91">
        <v>27</v>
      </c>
      <c r="W32" s="89">
        <v>0.77083333333333337</v>
      </c>
      <c r="X32" s="88">
        <v>545</v>
      </c>
    </row>
    <row r="33" spans="2:24" ht="15.75" thickBot="1" x14ac:dyDescent="0.3">
      <c r="B33" s="90">
        <f t="shared" si="7"/>
        <v>46100</v>
      </c>
      <c r="D33" s="171">
        <v>99</v>
      </c>
      <c r="E33" s="172">
        <v>0.63541666666666663</v>
      </c>
      <c r="F33" s="173">
        <v>1412</v>
      </c>
      <c r="G33" s="182">
        <f t="shared" si="0"/>
        <v>881</v>
      </c>
      <c r="H33" s="173">
        <v>531</v>
      </c>
      <c r="I33" s="174">
        <f t="shared" si="2"/>
        <v>46100</v>
      </c>
      <c r="J33" s="171">
        <v>29</v>
      </c>
      <c r="K33" s="172">
        <v>0.98958333333333337</v>
      </c>
      <c r="L33" s="173">
        <v>531</v>
      </c>
      <c r="M33" s="174">
        <f t="shared" si="3"/>
        <v>46100</v>
      </c>
      <c r="N33" s="171">
        <v>22</v>
      </c>
      <c r="O33" s="172">
        <v>0.91666666666666663</v>
      </c>
      <c r="P33" s="171">
        <v>15</v>
      </c>
      <c r="Q33" s="172">
        <v>0.77083333333333337</v>
      </c>
      <c r="R33" s="92">
        <f t="shared" si="8"/>
        <v>581</v>
      </c>
      <c r="S33" s="173">
        <v>341</v>
      </c>
      <c r="T33" s="173">
        <v>240</v>
      </c>
      <c r="U33" s="174">
        <f t="shared" si="5"/>
        <v>46100</v>
      </c>
      <c r="V33" s="171">
        <v>27</v>
      </c>
      <c r="W33" s="172">
        <v>0.59375</v>
      </c>
      <c r="X33" s="173">
        <v>539</v>
      </c>
    </row>
    <row r="34" spans="2:24" ht="15.75" thickBot="1" x14ac:dyDescent="0.3">
      <c r="B34" s="90">
        <f t="shared" si="7"/>
        <v>46101</v>
      </c>
      <c r="D34" s="171">
        <v>95</v>
      </c>
      <c r="E34" s="89">
        <v>0.5625</v>
      </c>
      <c r="F34" s="88">
        <v>1370</v>
      </c>
      <c r="G34" s="93">
        <f t="shared" si="0"/>
        <v>841</v>
      </c>
      <c r="H34" s="88">
        <v>529</v>
      </c>
      <c r="I34" s="90">
        <f t="shared" si="2"/>
        <v>46101</v>
      </c>
      <c r="J34" s="91">
        <v>29</v>
      </c>
      <c r="K34" s="89">
        <v>0.89583333333333337</v>
      </c>
      <c r="L34" s="88">
        <v>535</v>
      </c>
      <c r="M34" s="90">
        <f t="shared" si="3"/>
        <v>46101</v>
      </c>
      <c r="N34" s="91">
        <v>22</v>
      </c>
      <c r="O34" s="89">
        <v>0.77083333333333337</v>
      </c>
      <c r="P34" s="91">
        <v>15</v>
      </c>
      <c r="Q34" s="89">
        <v>0.70833333333333337</v>
      </c>
      <c r="R34" s="92">
        <f t="shared" si="8"/>
        <v>578</v>
      </c>
      <c r="S34" s="88">
        <v>340</v>
      </c>
      <c r="T34" s="88">
        <v>238</v>
      </c>
      <c r="U34" s="90">
        <f t="shared" si="5"/>
        <v>46101</v>
      </c>
      <c r="V34" s="91">
        <v>27</v>
      </c>
      <c r="W34" s="89">
        <v>0.5625</v>
      </c>
      <c r="X34" s="88">
        <v>525</v>
      </c>
    </row>
    <row r="35" spans="2:24" ht="15.75" thickBot="1" x14ac:dyDescent="0.3">
      <c r="B35" s="90">
        <f t="shared" si="7"/>
        <v>46102</v>
      </c>
      <c r="D35" s="171">
        <v>65</v>
      </c>
      <c r="E35" s="89" t="s">
        <v>72</v>
      </c>
      <c r="F35" s="88">
        <v>920</v>
      </c>
      <c r="G35" s="93">
        <f t="shared" si="0"/>
        <v>419</v>
      </c>
      <c r="H35" s="88">
        <v>501</v>
      </c>
      <c r="I35" s="90">
        <f t="shared" si="2"/>
        <v>46102</v>
      </c>
      <c r="J35" s="91">
        <v>30</v>
      </c>
      <c r="K35" s="89">
        <v>0.83333333333333337</v>
      </c>
      <c r="L35" s="88">
        <v>525</v>
      </c>
      <c r="M35" s="90">
        <f t="shared" si="3"/>
        <v>46102</v>
      </c>
      <c r="N35" s="91">
        <v>21</v>
      </c>
      <c r="O35" s="89">
        <v>0.73958333333333337</v>
      </c>
      <c r="P35" s="91">
        <v>14</v>
      </c>
      <c r="Q35" s="89">
        <v>0.77083333333333337</v>
      </c>
      <c r="R35" s="92">
        <f t="shared" si="8"/>
        <v>559</v>
      </c>
      <c r="S35" s="88">
        <v>340</v>
      </c>
      <c r="T35" s="88">
        <v>219</v>
      </c>
      <c r="U35" s="90">
        <f t="shared" si="5"/>
        <v>46102</v>
      </c>
      <c r="V35" s="91">
        <v>25</v>
      </c>
      <c r="W35" s="89">
        <v>0.60416666666666663</v>
      </c>
      <c r="X35" s="88">
        <v>520</v>
      </c>
    </row>
    <row r="36" spans="2:24" ht="15.75" thickBot="1" x14ac:dyDescent="0.3">
      <c r="B36" s="90">
        <f t="shared" si="7"/>
        <v>46103</v>
      </c>
      <c r="D36" s="171">
        <v>59</v>
      </c>
      <c r="E36" s="89">
        <v>0.88541666666666663</v>
      </c>
      <c r="F36" s="88">
        <v>798</v>
      </c>
      <c r="G36" s="93">
        <f t="shared" si="0"/>
        <v>303</v>
      </c>
      <c r="H36" s="88">
        <v>495</v>
      </c>
      <c r="I36" s="90">
        <f t="shared" si="2"/>
        <v>46103</v>
      </c>
      <c r="J36" s="91">
        <v>29</v>
      </c>
      <c r="K36" s="89">
        <v>0.26041666666666669</v>
      </c>
      <c r="L36" s="88">
        <v>504</v>
      </c>
      <c r="M36" s="90">
        <f t="shared" si="3"/>
        <v>46103</v>
      </c>
      <c r="N36" s="91">
        <v>26</v>
      </c>
      <c r="O36" s="89">
        <v>0.73958333333333337</v>
      </c>
      <c r="P36" s="91">
        <v>8</v>
      </c>
      <c r="Q36" s="89">
        <v>0.55208333333333337</v>
      </c>
      <c r="R36" s="92">
        <f t="shared" si="8"/>
        <v>493</v>
      </c>
      <c r="S36" s="88">
        <v>320</v>
      </c>
      <c r="T36" s="88">
        <v>173</v>
      </c>
      <c r="U36" s="90">
        <f t="shared" si="5"/>
        <v>46103</v>
      </c>
      <c r="V36" s="91">
        <v>26</v>
      </c>
      <c r="W36" s="89">
        <v>4.1666666666666664E-2</v>
      </c>
      <c r="X36" s="88">
        <v>511</v>
      </c>
    </row>
    <row r="37" spans="2:24" ht="15.75" thickBot="1" x14ac:dyDescent="0.3">
      <c r="B37" s="90">
        <f t="shared" si="7"/>
        <v>46104</v>
      </c>
      <c r="D37" s="171">
        <v>85</v>
      </c>
      <c r="E37" s="89">
        <v>5.2083333333333336E-2</v>
      </c>
      <c r="F37" s="88">
        <v>1341</v>
      </c>
      <c r="G37" s="93">
        <f t="shared" si="0"/>
        <v>804</v>
      </c>
      <c r="H37" s="88">
        <v>537</v>
      </c>
      <c r="I37" s="90">
        <f t="shared" si="2"/>
        <v>46104</v>
      </c>
      <c r="J37" s="91">
        <v>40</v>
      </c>
      <c r="K37" s="89">
        <v>1.0416666666666666E-2</v>
      </c>
      <c r="L37" s="88">
        <v>529</v>
      </c>
      <c r="M37" s="90">
        <f t="shared" si="3"/>
        <v>46104</v>
      </c>
      <c r="N37" s="91">
        <v>19</v>
      </c>
      <c r="O37" s="89">
        <v>0.51041666666666663</v>
      </c>
      <c r="P37" s="91">
        <v>14</v>
      </c>
      <c r="Q37" s="89">
        <v>0.72916666666666663</v>
      </c>
      <c r="R37" s="92">
        <f t="shared" si="8"/>
        <v>570</v>
      </c>
      <c r="S37" s="88">
        <v>333</v>
      </c>
      <c r="T37" s="88">
        <v>237</v>
      </c>
      <c r="U37" s="90">
        <f t="shared" si="5"/>
        <v>46104</v>
      </c>
      <c r="V37" s="91">
        <v>28</v>
      </c>
      <c r="W37" s="89">
        <v>0.91666666666666663</v>
      </c>
      <c r="X37" s="88">
        <v>502</v>
      </c>
    </row>
    <row r="38" spans="2:24" ht="15.75" thickBot="1" x14ac:dyDescent="0.3">
      <c r="B38" s="90">
        <f t="shared" si="7"/>
        <v>46105</v>
      </c>
      <c r="D38" s="171">
        <v>90</v>
      </c>
      <c r="E38" s="89">
        <v>0.72916666666666663</v>
      </c>
      <c r="F38" s="88">
        <v>1303</v>
      </c>
      <c r="G38" s="93">
        <f t="shared" si="0"/>
        <v>774</v>
      </c>
      <c r="H38" s="88">
        <v>529</v>
      </c>
      <c r="I38" s="90">
        <f t="shared" si="2"/>
        <v>46105</v>
      </c>
      <c r="J38" s="91">
        <v>32</v>
      </c>
      <c r="K38" s="89">
        <v>0.84375</v>
      </c>
      <c r="L38" s="88">
        <v>556</v>
      </c>
      <c r="M38" s="90">
        <f t="shared" si="3"/>
        <v>46105</v>
      </c>
      <c r="N38" s="91">
        <v>22</v>
      </c>
      <c r="O38" s="89">
        <v>0.36458333333333331</v>
      </c>
      <c r="P38" s="91">
        <v>14</v>
      </c>
      <c r="Q38" s="89">
        <v>0.67708333333333337</v>
      </c>
      <c r="R38" s="92">
        <f t="shared" si="8"/>
        <v>564</v>
      </c>
      <c r="S38" s="88">
        <v>322</v>
      </c>
      <c r="T38" s="88">
        <v>242</v>
      </c>
      <c r="U38" s="90">
        <f t="shared" si="5"/>
        <v>46105</v>
      </c>
      <c r="V38" s="91">
        <v>28</v>
      </c>
      <c r="W38" s="89">
        <v>0.29166666666666669</v>
      </c>
      <c r="X38" s="88">
        <v>506</v>
      </c>
    </row>
    <row r="39" spans="2:24" ht="15.75" thickBot="1" x14ac:dyDescent="0.3">
      <c r="B39" s="90">
        <f t="shared" si="7"/>
        <v>46106</v>
      </c>
      <c r="D39" s="171">
        <v>91</v>
      </c>
      <c r="E39" s="89">
        <v>0.3125</v>
      </c>
      <c r="F39" s="88">
        <v>1276</v>
      </c>
      <c r="G39" s="93">
        <f t="shared" si="0"/>
        <v>758</v>
      </c>
      <c r="H39" s="88">
        <v>518</v>
      </c>
      <c r="I39" s="90">
        <f t="shared" si="2"/>
        <v>46106</v>
      </c>
      <c r="J39" s="91">
        <v>29</v>
      </c>
      <c r="K39" s="89">
        <v>0.83333333333333337</v>
      </c>
      <c r="L39" s="88">
        <v>552</v>
      </c>
      <c r="M39" s="90">
        <f t="shared" si="3"/>
        <v>46106</v>
      </c>
      <c r="N39" s="91">
        <v>26</v>
      </c>
      <c r="O39" s="89">
        <v>0.46875</v>
      </c>
      <c r="P39" s="91">
        <v>14</v>
      </c>
      <c r="Q39" s="89">
        <v>0.70833333333333337</v>
      </c>
      <c r="R39" s="92">
        <f t="shared" si="8"/>
        <v>576</v>
      </c>
      <c r="S39" s="88">
        <v>333</v>
      </c>
      <c r="T39" s="88">
        <v>243</v>
      </c>
      <c r="U39" s="90">
        <f t="shared" si="5"/>
        <v>46106</v>
      </c>
      <c r="V39" s="91">
        <v>28</v>
      </c>
      <c r="W39" s="89">
        <v>0.86458333333333337</v>
      </c>
      <c r="X39" s="88">
        <v>506</v>
      </c>
    </row>
    <row r="40" spans="2:24" ht="15.75" thickBot="1" x14ac:dyDescent="0.3">
      <c r="B40" s="90">
        <f t="shared" si="7"/>
        <v>46107</v>
      </c>
      <c r="D40" s="171">
        <v>87</v>
      </c>
      <c r="E40" s="172">
        <v>6.25E-2</v>
      </c>
      <c r="F40" s="173">
        <v>1343</v>
      </c>
      <c r="G40" s="93">
        <f t="shared" si="0"/>
        <v>812</v>
      </c>
      <c r="H40" s="173">
        <v>531</v>
      </c>
      <c r="I40" s="174">
        <f t="shared" si="2"/>
        <v>46107</v>
      </c>
      <c r="J40" s="171">
        <v>35</v>
      </c>
      <c r="K40" s="172">
        <v>2.0833333333333332E-2</v>
      </c>
      <c r="L40" s="173">
        <v>547</v>
      </c>
      <c r="M40" s="174">
        <f t="shared" si="3"/>
        <v>46107</v>
      </c>
      <c r="N40" s="171">
        <v>17</v>
      </c>
      <c r="O40" s="172">
        <v>0.6875</v>
      </c>
      <c r="P40" s="171">
        <v>13</v>
      </c>
      <c r="Q40" s="172">
        <v>0.35416666666666669</v>
      </c>
      <c r="R40" s="92">
        <f t="shared" si="8"/>
        <v>565</v>
      </c>
      <c r="S40" s="173">
        <v>344</v>
      </c>
      <c r="T40" s="173">
        <v>221</v>
      </c>
      <c r="U40" s="174">
        <f t="shared" si="5"/>
        <v>46107</v>
      </c>
      <c r="V40" s="171">
        <v>28</v>
      </c>
      <c r="W40" s="172">
        <v>0.8125</v>
      </c>
      <c r="X40" s="173">
        <v>489</v>
      </c>
    </row>
    <row r="41" spans="2:24" ht="15.75" thickBot="1" x14ac:dyDescent="0.3">
      <c r="B41" s="90">
        <f t="shared" si="7"/>
        <v>46108</v>
      </c>
      <c r="D41" s="171">
        <v>86</v>
      </c>
      <c r="E41" s="89">
        <v>3.125E-2</v>
      </c>
      <c r="F41" s="88">
        <v>1142</v>
      </c>
      <c r="G41" s="93">
        <f t="shared" si="0"/>
        <v>661</v>
      </c>
      <c r="H41" s="88">
        <v>481</v>
      </c>
      <c r="I41" s="90">
        <f t="shared" si="2"/>
        <v>46108</v>
      </c>
      <c r="J41" s="91">
        <v>29</v>
      </c>
      <c r="K41" s="89">
        <v>0.97916666666666663</v>
      </c>
      <c r="L41" s="88">
        <v>533</v>
      </c>
      <c r="M41" s="90">
        <f t="shared" si="3"/>
        <v>46108</v>
      </c>
      <c r="N41" s="91">
        <v>23</v>
      </c>
      <c r="O41" s="89">
        <v>0.76388888888888884</v>
      </c>
      <c r="P41" s="91">
        <v>14</v>
      </c>
      <c r="Q41" s="89">
        <v>0.625</v>
      </c>
      <c r="R41" s="92">
        <f t="shared" si="8"/>
        <v>582</v>
      </c>
      <c r="S41" s="88">
        <v>348</v>
      </c>
      <c r="T41" s="88">
        <v>234</v>
      </c>
      <c r="U41" s="90">
        <f t="shared" si="5"/>
        <v>46108</v>
      </c>
      <c r="V41" s="91">
        <v>27</v>
      </c>
      <c r="W41" s="89">
        <v>0.83333333333333337</v>
      </c>
      <c r="X41" s="88">
        <v>496</v>
      </c>
    </row>
    <row r="42" spans="2:24" ht="15.75" thickBot="1" x14ac:dyDescent="0.3">
      <c r="B42" s="90">
        <f t="shared" si="7"/>
        <v>46109</v>
      </c>
      <c r="D42" s="171">
        <v>65</v>
      </c>
      <c r="E42" s="89">
        <v>0.33333333333333331</v>
      </c>
      <c r="F42" s="88">
        <v>898</v>
      </c>
      <c r="G42" s="93">
        <f t="shared" si="0"/>
        <v>419</v>
      </c>
      <c r="H42" s="88">
        <v>479</v>
      </c>
      <c r="I42" s="90">
        <f t="shared" si="2"/>
        <v>46109</v>
      </c>
      <c r="J42" s="91">
        <v>28</v>
      </c>
      <c r="K42" s="89">
        <v>1.0416666666666666E-2</v>
      </c>
      <c r="L42" s="88">
        <v>531</v>
      </c>
      <c r="M42" s="90">
        <f t="shared" si="3"/>
        <v>46109</v>
      </c>
      <c r="N42" s="91">
        <v>23</v>
      </c>
      <c r="O42" s="89">
        <v>0.70833333333333337</v>
      </c>
      <c r="P42" s="91">
        <v>14</v>
      </c>
      <c r="Q42" s="89">
        <v>0.48958333333333331</v>
      </c>
      <c r="R42" s="92">
        <f t="shared" si="8"/>
        <v>549</v>
      </c>
      <c r="S42" s="88">
        <v>334</v>
      </c>
      <c r="T42" s="88">
        <v>215</v>
      </c>
      <c r="U42" s="90">
        <f t="shared" si="5"/>
        <v>46109</v>
      </c>
      <c r="V42" s="91">
        <v>28</v>
      </c>
      <c r="W42" s="89">
        <v>0.85416666666666663</v>
      </c>
      <c r="X42" s="88">
        <v>494</v>
      </c>
    </row>
    <row r="43" spans="2:24" ht="15.75" thickBot="1" x14ac:dyDescent="0.3">
      <c r="B43" s="90">
        <f t="shared" si="7"/>
        <v>46110</v>
      </c>
      <c r="D43" s="171">
        <v>54</v>
      </c>
      <c r="E43" s="89">
        <v>0.98958333333333337</v>
      </c>
      <c r="F43" s="88">
        <v>853</v>
      </c>
      <c r="G43" s="93">
        <f t="shared" si="0"/>
        <v>407</v>
      </c>
      <c r="H43" s="88">
        <v>446</v>
      </c>
      <c r="I43" s="90">
        <f t="shared" si="2"/>
        <v>46110</v>
      </c>
      <c r="J43" s="91">
        <v>29</v>
      </c>
      <c r="K43" s="89">
        <v>0.86458333333333337</v>
      </c>
      <c r="L43" s="88">
        <v>530</v>
      </c>
      <c r="M43" s="174">
        <f t="shared" si="3"/>
        <v>46110</v>
      </c>
      <c r="N43" s="91">
        <v>25</v>
      </c>
      <c r="O43" s="89">
        <v>0.48958333333333331</v>
      </c>
      <c r="P43" s="91">
        <v>10</v>
      </c>
      <c r="Q43" s="89">
        <v>0.58333333333333337</v>
      </c>
      <c r="R43" s="92">
        <f t="shared" si="8"/>
        <v>520</v>
      </c>
      <c r="S43" s="88">
        <v>331</v>
      </c>
      <c r="T43" s="88">
        <v>189</v>
      </c>
      <c r="U43" s="90">
        <f t="shared" si="5"/>
        <v>46110</v>
      </c>
      <c r="V43" s="91">
        <v>28</v>
      </c>
      <c r="W43" s="89">
        <v>0.79166666666666663</v>
      </c>
      <c r="X43" s="88">
        <v>485</v>
      </c>
    </row>
    <row r="44" spans="2:24" ht="15.75" thickBot="1" x14ac:dyDescent="0.3">
      <c r="B44" s="90">
        <f t="shared" si="7"/>
        <v>46111</v>
      </c>
      <c r="D44" s="171">
        <v>70</v>
      </c>
      <c r="E44" s="172">
        <v>0.38541666666666669</v>
      </c>
      <c r="F44" s="173">
        <v>1236</v>
      </c>
      <c r="G44" s="93">
        <f t="shared" si="0"/>
        <v>746</v>
      </c>
      <c r="H44" s="173">
        <v>490</v>
      </c>
      <c r="I44" s="90">
        <f t="shared" si="2"/>
        <v>46111</v>
      </c>
      <c r="J44" s="171">
        <v>32</v>
      </c>
      <c r="K44" s="172">
        <v>0.85416666666666663</v>
      </c>
      <c r="L44" s="173">
        <v>559</v>
      </c>
      <c r="M44" s="90">
        <f t="shared" si="3"/>
        <v>46111</v>
      </c>
      <c r="N44" s="171">
        <v>24</v>
      </c>
      <c r="O44" s="172">
        <v>0.4375</v>
      </c>
      <c r="P44" s="171">
        <v>14</v>
      </c>
      <c r="Q44" s="172">
        <v>0.66666666666666663</v>
      </c>
      <c r="R44" s="92">
        <f t="shared" si="8"/>
        <v>575</v>
      </c>
      <c r="S44" s="173">
        <v>344</v>
      </c>
      <c r="T44" s="173">
        <v>231</v>
      </c>
      <c r="U44" s="90">
        <f t="shared" si="5"/>
        <v>46111</v>
      </c>
      <c r="V44" s="171">
        <v>26</v>
      </c>
      <c r="W44" s="172">
        <v>0.90625</v>
      </c>
      <c r="X44" s="173">
        <v>502</v>
      </c>
    </row>
    <row r="45" spans="2:24" x14ac:dyDescent="0.25">
      <c r="B45" s="90">
        <f t="shared" si="7"/>
        <v>46112</v>
      </c>
      <c r="D45" s="171">
        <v>104</v>
      </c>
      <c r="E45" s="172">
        <v>0.76041666666666663</v>
      </c>
      <c r="F45" s="173">
        <v>1280</v>
      </c>
      <c r="G45" s="93">
        <f t="shared" si="0"/>
        <v>784</v>
      </c>
      <c r="H45" s="173">
        <v>496</v>
      </c>
      <c r="I45" s="90">
        <f t="shared" si="2"/>
        <v>46112</v>
      </c>
      <c r="J45" s="171">
        <v>31</v>
      </c>
      <c r="K45" s="172">
        <v>0.84375</v>
      </c>
      <c r="L45" s="173">
        <v>579</v>
      </c>
      <c r="M45" s="90">
        <f t="shared" ref="M45" si="9">B45</f>
        <v>46112</v>
      </c>
      <c r="N45" s="171">
        <v>24</v>
      </c>
      <c r="O45" s="172">
        <v>0.55208333333333337</v>
      </c>
      <c r="P45" s="171">
        <v>13</v>
      </c>
      <c r="Q45" s="172">
        <v>0.66666666666666663</v>
      </c>
      <c r="R45" s="92">
        <f t="shared" ref="R45" si="10">S45+T45</f>
        <v>591</v>
      </c>
      <c r="S45" s="173">
        <v>347</v>
      </c>
      <c r="T45" s="173">
        <v>244</v>
      </c>
      <c r="U45" s="90">
        <f t="shared" si="5"/>
        <v>46112</v>
      </c>
      <c r="V45" s="171">
        <v>27</v>
      </c>
      <c r="W45" s="172">
        <v>0.29166666666666669</v>
      </c>
      <c r="X45" s="173">
        <v>501</v>
      </c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1">F14/J48</f>
        <v>0.39805825242718446</v>
      </c>
      <c r="F48" s="178">
        <f t="shared" ref="F48:F78" si="12">L14/J48</f>
        <v>0.21475728155339807</v>
      </c>
      <c r="G48" s="178">
        <f t="shared" ref="G48:G78" si="13">S14/J48</f>
        <v>9.5145631067961159E-2</v>
      </c>
      <c r="H48" s="178">
        <f t="shared" ref="H48:H78" si="14">T14/J48</f>
        <v>8.4271844660194176E-2</v>
      </c>
      <c r="I48" s="178">
        <f t="shared" ref="I48:I78" si="15">X14/J48</f>
        <v>0.20776699029126214</v>
      </c>
      <c r="J48" s="179">
        <f>F14+L14+S14+T14+X14</f>
        <v>2575</v>
      </c>
    </row>
    <row r="49" spans="4:10" x14ac:dyDescent="0.25">
      <c r="D49" s="180">
        <v>45839</v>
      </c>
      <c r="E49" s="178">
        <f t="shared" si="11"/>
        <v>0.37307094934119311</v>
      </c>
      <c r="F49" s="178">
        <f t="shared" si="12"/>
        <v>0.21180330734121702</v>
      </c>
      <c r="G49" s="178">
        <f t="shared" si="13"/>
        <v>0.13413679824265221</v>
      </c>
      <c r="H49" s="178">
        <f t="shared" si="14"/>
        <v>7.9465963303845588E-2</v>
      </c>
      <c r="I49" s="178">
        <f t="shared" si="15"/>
        <v>0.20152298177109193</v>
      </c>
      <c r="J49" s="179">
        <f t="shared" ref="J49:J78" si="16">F15+L15+S15+T15+X15</f>
        <v>2517.4300000000003</v>
      </c>
    </row>
    <row r="50" spans="4:10" x14ac:dyDescent="0.25">
      <c r="D50" s="180">
        <v>45840</v>
      </c>
      <c r="E50" s="178">
        <f t="shared" si="11"/>
        <v>0.4270338714783159</v>
      </c>
      <c r="F50" s="178">
        <f t="shared" si="12"/>
        <v>0.18391896169673946</v>
      </c>
      <c r="G50" s="178">
        <f t="shared" si="13"/>
        <v>0.10826210826210826</v>
      </c>
      <c r="H50" s="178">
        <f t="shared" si="14"/>
        <v>8.1038303260525482E-2</v>
      </c>
      <c r="I50" s="178">
        <f t="shared" si="15"/>
        <v>0.19974675530231087</v>
      </c>
      <c r="J50" s="179">
        <f t="shared" si="16"/>
        <v>3159</v>
      </c>
    </row>
    <row r="51" spans="4:10" x14ac:dyDescent="0.25">
      <c r="D51" s="180">
        <v>45841</v>
      </c>
      <c r="E51" s="178">
        <f t="shared" si="11"/>
        <v>0.43870154427986136</v>
      </c>
      <c r="F51" s="178">
        <f t="shared" si="12"/>
        <v>0.18562874251497005</v>
      </c>
      <c r="G51" s="178">
        <f t="shared" si="13"/>
        <v>0.10872990860384495</v>
      </c>
      <c r="H51" s="178">
        <f t="shared" si="14"/>
        <v>8.4462653640088245E-2</v>
      </c>
      <c r="I51" s="178">
        <f t="shared" si="15"/>
        <v>0.18247715096123543</v>
      </c>
      <c r="J51" s="179">
        <f t="shared" si="16"/>
        <v>3173</v>
      </c>
    </row>
    <row r="52" spans="4:10" x14ac:dyDescent="0.25">
      <c r="D52" s="180">
        <v>45842</v>
      </c>
      <c r="E52" s="178">
        <f t="shared" si="11"/>
        <v>0.44429752066115702</v>
      </c>
      <c r="F52" s="178">
        <f t="shared" si="12"/>
        <v>0.18710743801652893</v>
      </c>
      <c r="G52" s="178">
        <f t="shared" si="13"/>
        <v>0.11371900826446281</v>
      </c>
      <c r="H52" s="178">
        <f t="shared" si="14"/>
        <v>8.1322314049586772E-2</v>
      </c>
      <c r="I52" s="178">
        <f t="shared" si="15"/>
        <v>0.17355371900826447</v>
      </c>
      <c r="J52" s="179">
        <f t="shared" si="16"/>
        <v>3025</v>
      </c>
    </row>
    <row r="53" spans="4:10" x14ac:dyDescent="0.25">
      <c r="D53" s="180">
        <v>45843</v>
      </c>
      <c r="E53" s="178">
        <f t="shared" si="11"/>
        <v>0.44188376753507014</v>
      </c>
      <c r="F53" s="178">
        <f t="shared" si="12"/>
        <v>0.18336673346693386</v>
      </c>
      <c r="G53" s="178">
        <f t="shared" si="13"/>
        <v>0.11756847027388109</v>
      </c>
      <c r="H53" s="178">
        <f t="shared" si="14"/>
        <v>8.0494321977287911E-2</v>
      </c>
      <c r="I53" s="178">
        <f t="shared" si="15"/>
        <v>0.17668670674682699</v>
      </c>
      <c r="J53" s="179">
        <f t="shared" si="16"/>
        <v>2994</v>
      </c>
    </row>
    <row r="54" spans="4:10" x14ac:dyDescent="0.25">
      <c r="D54" s="180">
        <v>45844</v>
      </c>
      <c r="E54" s="178">
        <f t="shared" si="11"/>
        <v>0.43556189723048361</v>
      </c>
      <c r="F54" s="178">
        <f t="shared" si="12"/>
        <v>0.18052227131289864</v>
      </c>
      <c r="G54" s="178">
        <f t="shared" si="13"/>
        <v>0.1181763482267187</v>
      </c>
      <c r="H54" s="178">
        <f t="shared" si="14"/>
        <v>8.1806460485825794E-2</v>
      </c>
      <c r="I54" s="178">
        <f t="shared" si="15"/>
        <v>0.18393302274407333</v>
      </c>
      <c r="J54" s="179">
        <f t="shared" si="16"/>
        <v>2908.45</v>
      </c>
    </row>
    <row r="55" spans="4:10" x14ac:dyDescent="0.25">
      <c r="D55" s="180">
        <v>45845</v>
      </c>
      <c r="E55" s="178">
        <f t="shared" si="11"/>
        <v>0.33405826722280207</v>
      </c>
      <c r="F55" s="178">
        <f t="shared" si="12"/>
        <v>0.23247359878084109</v>
      </c>
      <c r="G55" s="178">
        <f t="shared" si="13"/>
        <v>0.1358576378002754</v>
      </c>
      <c r="H55" s="178">
        <f t="shared" si="14"/>
        <v>8.5555427677922985E-2</v>
      </c>
      <c r="I55" s="178">
        <f t="shared" si="15"/>
        <v>0.21205506851815842</v>
      </c>
      <c r="J55" s="179">
        <f t="shared" si="16"/>
        <v>2519.77</v>
      </c>
    </row>
    <row r="56" spans="4:10" x14ac:dyDescent="0.25">
      <c r="D56" s="180">
        <v>45846</v>
      </c>
      <c r="E56" s="178">
        <f t="shared" si="11"/>
        <v>0.34784361144699716</v>
      </c>
      <c r="F56" s="178">
        <f t="shared" si="12"/>
        <v>0.23377670294236194</v>
      </c>
      <c r="G56" s="178">
        <f t="shared" si="13"/>
        <v>0.13704151551793631</v>
      </c>
      <c r="H56" s="178">
        <f t="shared" si="14"/>
        <v>7.6985086658605401E-2</v>
      </c>
      <c r="I56" s="178">
        <f t="shared" si="15"/>
        <v>0.20435308343409916</v>
      </c>
      <c r="J56" s="179">
        <f t="shared" si="16"/>
        <v>2481</v>
      </c>
    </row>
    <row r="57" spans="4:10" x14ac:dyDescent="0.25">
      <c r="D57" s="180">
        <v>45847</v>
      </c>
      <c r="E57" s="178">
        <f t="shared" si="11"/>
        <v>0.44155844155844154</v>
      </c>
      <c r="F57" s="178">
        <f t="shared" si="12"/>
        <v>0.18831168831168832</v>
      </c>
      <c r="G57" s="178">
        <f t="shared" si="13"/>
        <v>0.11071428571428571</v>
      </c>
      <c r="H57" s="178">
        <f t="shared" si="14"/>
        <v>7.7597402597402595E-2</v>
      </c>
      <c r="I57" s="178">
        <f t="shared" si="15"/>
        <v>0.18181818181818182</v>
      </c>
      <c r="J57" s="179">
        <f t="shared" si="16"/>
        <v>3080</v>
      </c>
    </row>
    <row r="58" spans="4:10" x14ac:dyDescent="0.25">
      <c r="D58" s="180">
        <v>45848</v>
      </c>
      <c r="E58" s="178">
        <f t="shared" si="11"/>
        <v>0.43816942551119764</v>
      </c>
      <c r="F58" s="178">
        <f t="shared" si="12"/>
        <v>0.18857513794222655</v>
      </c>
      <c r="G58" s="178">
        <f t="shared" si="13"/>
        <v>0.11035378123985719</v>
      </c>
      <c r="H58" s="178">
        <f t="shared" si="14"/>
        <v>7.7896786757546257E-2</v>
      </c>
      <c r="I58" s="178">
        <f t="shared" si="15"/>
        <v>0.18500486854917234</v>
      </c>
      <c r="J58" s="179">
        <f t="shared" si="16"/>
        <v>3081</v>
      </c>
    </row>
    <row r="59" spans="4:10" x14ac:dyDescent="0.25">
      <c r="D59" s="180">
        <v>45849</v>
      </c>
      <c r="E59" s="178">
        <f t="shared" si="11"/>
        <v>0.4403252032520325</v>
      </c>
      <c r="F59" s="178">
        <f t="shared" si="12"/>
        <v>0.1889430894308943</v>
      </c>
      <c r="G59" s="178">
        <f t="shared" si="13"/>
        <v>0.11121951219512195</v>
      </c>
      <c r="H59" s="178">
        <f t="shared" si="14"/>
        <v>8.2601626016260157E-2</v>
      </c>
      <c r="I59" s="178">
        <f t="shared" si="15"/>
        <v>0.17691056910569106</v>
      </c>
      <c r="J59" s="179">
        <f t="shared" si="16"/>
        <v>3075</v>
      </c>
    </row>
    <row r="60" spans="4:10" x14ac:dyDescent="0.25">
      <c r="D60" s="180">
        <v>45850</v>
      </c>
      <c r="E60" s="178">
        <f t="shared" si="11"/>
        <v>0.45213270142180095</v>
      </c>
      <c r="F60" s="178">
        <f t="shared" si="12"/>
        <v>0.18515007898894154</v>
      </c>
      <c r="G60" s="178">
        <f t="shared" si="13"/>
        <v>0.10963665086887836</v>
      </c>
      <c r="H60" s="178">
        <f t="shared" si="14"/>
        <v>7.9304897314375983E-2</v>
      </c>
      <c r="I60" s="178">
        <f t="shared" si="15"/>
        <v>0.17377567140600317</v>
      </c>
      <c r="J60" s="179">
        <f t="shared" si="16"/>
        <v>3165</v>
      </c>
    </row>
    <row r="61" spans="4:10" x14ac:dyDescent="0.25">
      <c r="D61" s="180">
        <v>45851</v>
      </c>
      <c r="E61" s="178">
        <f t="shared" si="11"/>
        <v>0.4201534170153417</v>
      </c>
      <c r="F61" s="178">
        <f t="shared" si="12"/>
        <v>0.19107391910739191</v>
      </c>
      <c r="G61" s="178">
        <f t="shared" si="13"/>
        <v>0.12168758716875872</v>
      </c>
      <c r="H61" s="178">
        <f t="shared" si="14"/>
        <v>8.6471408647140868E-2</v>
      </c>
      <c r="I61" s="178">
        <f t="shared" si="15"/>
        <v>0.18061366806136681</v>
      </c>
      <c r="J61" s="179">
        <f t="shared" si="16"/>
        <v>2868</v>
      </c>
    </row>
    <row r="62" spans="4:10" x14ac:dyDescent="0.25">
      <c r="D62" s="180">
        <v>45852</v>
      </c>
      <c r="E62" s="178">
        <f t="shared" si="11"/>
        <v>0.379746835443038</v>
      </c>
      <c r="F62" s="178">
        <f t="shared" si="12"/>
        <v>0.20648734177215189</v>
      </c>
      <c r="G62" s="178">
        <f t="shared" si="13"/>
        <v>0.13370253164556961</v>
      </c>
      <c r="H62" s="178">
        <f t="shared" si="14"/>
        <v>8.6234177215189875E-2</v>
      </c>
      <c r="I62" s="178">
        <f t="shared" si="15"/>
        <v>0.19382911392405064</v>
      </c>
      <c r="J62" s="179">
        <f t="shared" si="16"/>
        <v>2528</v>
      </c>
    </row>
    <row r="63" spans="4:10" x14ac:dyDescent="0.25">
      <c r="D63" s="180">
        <v>45853</v>
      </c>
      <c r="E63" s="178">
        <f t="shared" si="11"/>
        <v>0.35973322217590664</v>
      </c>
      <c r="F63" s="178">
        <f t="shared" si="12"/>
        <v>0.21467278032513548</v>
      </c>
      <c r="G63" s="178">
        <f t="shared" si="13"/>
        <v>0.13755731554814507</v>
      </c>
      <c r="H63" s="178">
        <f t="shared" si="14"/>
        <v>8.2117548978741142E-2</v>
      </c>
      <c r="I63" s="178">
        <f t="shared" si="15"/>
        <v>0.20591913297207171</v>
      </c>
      <c r="J63" s="179">
        <f t="shared" si="16"/>
        <v>2399</v>
      </c>
    </row>
    <row r="64" spans="4:10" x14ac:dyDescent="0.25">
      <c r="D64" s="180">
        <v>45854</v>
      </c>
      <c r="E64" s="178">
        <f t="shared" si="11"/>
        <v>0.42946058091286304</v>
      </c>
      <c r="F64" s="178">
        <f t="shared" si="12"/>
        <v>0.19363762102351315</v>
      </c>
      <c r="G64" s="178">
        <f t="shared" si="13"/>
        <v>0.11964038727524205</v>
      </c>
      <c r="H64" s="178">
        <f t="shared" si="14"/>
        <v>8.4024896265560173E-2</v>
      </c>
      <c r="I64" s="178">
        <f t="shared" si="15"/>
        <v>0.17323651452282157</v>
      </c>
      <c r="J64" s="179">
        <f t="shared" si="16"/>
        <v>2892</v>
      </c>
    </row>
    <row r="65" spans="4:10" x14ac:dyDescent="0.25">
      <c r="D65" s="180">
        <v>45855</v>
      </c>
      <c r="E65" s="178">
        <f t="shared" si="11"/>
        <v>0.44559555504109272</v>
      </c>
      <c r="F65" s="178">
        <f t="shared" si="12"/>
        <v>0.18386258697637331</v>
      </c>
      <c r="G65" s="178">
        <f t="shared" si="13"/>
        <v>0.11150017363120732</v>
      </c>
      <c r="H65" s="178">
        <f t="shared" si="14"/>
        <v>7.9867139972476228E-2</v>
      </c>
      <c r="I65" s="178">
        <f t="shared" si="15"/>
        <v>0.17917454437885044</v>
      </c>
      <c r="J65" s="179">
        <f t="shared" si="16"/>
        <v>3110.04</v>
      </c>
    </row>
    <row r="66" spans="4:10" x14ac:dyDescent="0.25">
      <c r="D66" s="180">
        <v>45856</v>
      </c>
      <c r="E66" s="178">
        <f t="shared" si="11"/>
        <v>0.43857901726427623</v>
      </c>
      <c r="F66" s="178">
        <f t="shared" si="12"/>
        <v>0.18359893758300133</v>
      </c>
      <c r="G66" s="178">
        <f t="shared" si="13"/>
        <v>0.1145418326693227</v>
      </c>
      <c r="H66" s="178">
        <f t="shared" si="14"/>
        <v>8.233731739707835E-2</v>
      </c>
      <c r="I66" s="178">
        <f t="shared" si="15"/>
        <v>0.18094289508632139</v>
      </c>
      <c r="J66" s="179">
        <f t="shared" si="16"/>
        <v>3012</v>
      </c>
    </row>
    <row r="67" spans="4:10" x14ac:dyDescent="0.25">
      <c r="D67" s="180">
        <v>45857</v>
      </c>
      <c r="E67" s="178">
        <f t="shared" si="11"/>
        <v>0.46098596147567744</v>
      </c>
      <c r="F67" s="178">
        <f t="shared" si="12"/>
        <v>0.17335945151811949</v>
      </c>
      <c r="G67" s="178">
        <f t="shared" si="13"/>
        <v>0.11132876265099576</v>
      </c>
      <c r="H67" s="178">
        <f t="shared" si="14"/>
        <v>7.8354554358472092E-2</v>
      </c>
      <c r="I67" s="178">
        <f t="shared" si="15"/>
        <v>0.17597126999673524</v>
      </c>
      <c r="J67" s="179">
        <f t="shared" si="16"/>
        <v>3063</v>
      </c>
    </row>
    <row r="68" spans="4:10" x14ac:dyDescent="0.25">
      <c r="D68" s="180">
        <v>45858</v>
      </c>
      <c r="E68" s="178">
        <f t="shared" si="11"/>
        <v>0.45545212765957449</v>
      </c>
      <c r="F68" s="178">
        <f t="shared" si="12"/>
        <v>0.17785904255319149</v>
      </c>
      <c r="G68" s="178">
        <f t="shared" si="13"/>
        <v>0.11303191489361702</v>
      </c>
      <c r="H68" s="178">
        <f t="shared" si="14"/>
        <v>7.9122340425531915E-2</v>
      </c>
      <c r="I68" s="178">
        <f t="shared" si="15"/>
        <v>0.1745345744680851</v>
      </c>
      <c r="J68" s="179">
        <f t="shared" si="16"/>
        <v>3008</v>
      </c>
    </row>
    <row r="69" spans="4:10" x14ac:dyDescent="0.25">
      <c r="D69" s="180">
        <v>45859</v>
      </c>
      <c r="E69" s="178">
        <f t="shared" si="11"/>
        <v>0.36450079239302696</v>
      </c>
      <c r="F69" s="178">
        <f t="shared" si="12"/>
        <v>0.20800316957210777</v>
      </c>
      <c r="G69" s="178">
        <f t="shared" si="13"/>
        <v>0.1347068145800317</v>
      </c>
      <c r="H69" s="178">
        <f t="shared" si="14"/>
        <v>8.6767036450079243E-2</v>
      </c>
      <c r="I69" s="178">
        <f t="shared" si="15"/>
        <v>0.20602218700475436</v>
      </c>
      <c r="J69" s="179">
        <f t="shared" si="16"/>
        <v>2524</v>
      </c>
    </row>
    <row r="70" spans="4:10" x14ac:dyDescent="0.25">
      <c r="D70" s="180">
        <v>45860</v>
      </c>
      <c r="E70" s="178">
        <f t="shared" si="11"/>
        <v>0.34605377276669558</v>
      </c>
      <c r="F70" s="178">
        <f t="shared" si="12"/>
        <v>0.21856027753686036</v>
      </c>
      <c r="G70" s="178">
        <f t="shared" si="13"/>
        <v>0.13876843018213356</v>
      </c>
      <c r="H70" s="178">
        <f t="shared" si="14"/>
        <v>7.5021682567215961E-2</v>
      </c>
      <c r="I70" s="178">
        <f t="shared" si="15"/>
        <v>0.22159583694709453</v>
      </c>
      <c r="J70" s="179">
        <f t="shared" si="16"/>
        <v>2306</v>
      </c>
    </row>
    <row r="71" spans="4:10" x14ac:dyDescent="0.25">
      <c r="D71" s="180">
        <v>45861</v>
      </c>
      <c r="E71" s="178">
        <f t="shared" si="11"/>
        <v>0.45581237253569001</v>
      </c>
      <c r="F71" s="178">
        <f t="shared" si="12"/>
        <v>0.17980965329707682</v>
      </c>
      <c r="G71" s="178">
        <f t="shared" si="13"/>
        <v>0.11318830727396328</v>
      </c>
      <c r="H71" s="178">
        <f t="shared" si="14"/>
        <v>8.0557443915703603E-2</v>
      </c>
      <c r="I71" s="178">
        <f t="shared" si="15"/>
        <v>0.17063222297756628</v>
      </c>
      <c r="J71" s="179">
        <f t="shared" si="16"/>
        <v>2942</v>
      </c>
    </row>
    <row r="72" spans="4:10" x14ac:dyDescent="0.25">
      <c r="D72" s="180">
        <v>45862</v>
      </c>
      <c r="E72" s="178">
        <f t="shared" si="11"/>
        <v>0.44486172755206554</v>
      </c>
      <c r="F72" s="178">
        <f t="shared" si="12"/>
        <v>0.18982587913963811</v>
      </c>
      <c r="G72" s="178">
        <f t="shared" si="13"/>
        <v>0.10993513144417891</v>
      </c>
      <c r="H72" s="178">
        <f t="shared" si="14"/>
        <v>8.2622055308979175E-2</v>
      </c>
      <c r="I72" s="178">
        <f t="shared" si="15"/>
        <v>0.17275520655513826</v>
      </c>
      <c r="J72" s="179">
        <f t="shared" si="16"/>
        <v>2929</v>
      </c>
    </row>
    <row r="73" spans="4:10" x14ac:dyDescent="0.25">
      <c r="D73" s="180">
        <v>45863</v>
      </c>
      <c r="E73" s="178">
        <f t="shared" si="11"/>
        <v>0.43848797250859106</v>
      </c>
      <c r="F73" s="178">
        <f t="shared" si="12"/>
        <v>0.18969072164948453</v>
      </c>
      <c r="G73" s="178">
        <f t="shared" si="13"/>
        <v>0.11443298969072165</v>
      </c>
      <c r="H73" s="178">
        <f t="shared" si="14"/>
        <v>8.3505154639175252E-2</v>
      </c>
      <c r="I73" s="178">
        <f t="shared" si="15"/>
        <v>0.17388316151202748</v>
      </c>
      <c r="J73" s="179">
        <f t="shared" si="16"/>
        <v>2910</v>
      </c>
    </row>
    <row r="74" spans="4:10" x14ac:dyDescent="0.25">
      <c r="D74" s="180">
        <v>45864</v>
      </c>
      <c r="E74" s="178">
        <f t="shared" si="11"/>
        <v>0.4561820652173913</v>
      </c>
      <c r="F74" s="178">
        <f t="shared" si="12"/>
        <v>0.18580163043478262</v>
      </c>
      <c r="G74" s="178">
        <f t="shared" si="13"/>
        <v>0.11684782608695653</v>
      </c>
      <c r="H74" s="178">
        <f t="shared" si="14"/>
        <v>7.5067934782608689E-2</v>
      </c>
      <c r="I74" s="178">
        <f t="shared" si="15"/>
        <v>0.16610054347826086</v>
      </c>
      <c r="J74" s="179">
        <f t="shared" si="16"/>
        <v>2944</v>
      </c>
    </row>
    <row r="75" spans="4:10" x14ac:dyDescent="0.25">
      <c r="D75" s="180">
        <v>45865</v>
      </c>
      <c r="E75" s="178">
        <f t="shared" si="11"/>
        <v>0.41482019614965493</v>
      </c>
      <c r="F75" s="178">
        <f t="shared" si="12"/>
        <v>0.19360697420995279</v>
      </c>
      <c r="G75" s="178">
        <f t="shared" si="13"/>
        <v>0.12640755539411552</v>
      </c>
      <c r="H75" s="178">
        <f t="shared" si="14"/>
        <v>8.4998183799491464E-2</v>
      </c>
      <c r="I75" s="178">
        <f t="shared" si="15"/>
        <v>0.18016709044678533</v>
      </c>
      <c r="J75" s="179">
        <f t="shared" si="16"/>
        <v>2753</v>
      </c>
    </row>
    <row r="76" spans="4:10" x14ac:dyDescent="0.25">
      <c r="D76" s="180">
        <v>45866</v>
      </c>
      <c r="E76" s="178">
        <f t="shared" si="11"/>
        <v>0.36326860841423947</v>
      </c>
      <c r="F76" s="178">
        <f t="shared" si="12"/>
        <v>0.21480582524271843</v>
      </c>
      <c r="G76" s="178">
        <f t="shared" si="13"/>
        <v>0.13511326860841424</v>
      </c>
      <c r="H76" s="178">
        <f t="shared" si="14"/>
        <v>8.6974110032362453E-2</v>
      </c>
      <c r="I76" s="178">
        <f t="shared" si="15"/>
        <v>0.19983818770226539</v>
      </c>
      <c r="J76" s="179">
        <f t="shared" si="16"/>
        <v>2472</v>
      </c>
    </row>
    <row r="77" spans="4:10" x14ac:dyDescent="0.25">
      <c r="D77" s="180">
        <v>45867</v>
      </c>
      <c r="E77" s="178">
        <f t="shared" si="11"/>
        <v>0.35720268006700168</v>
      </c>
      <c r="F77" s="178">
        <f t="shared" si="12"/>
        <v>0.22194304857621441</v>
      </c>
      <c r="G77" s="178">
        <f t="shared" si="13"/>
        <v>0.13860971524288107</v>
      </c>
      <c r="H77" s="178">
        <f t="shared" si="14"/>
        <v>7.9145728643216076E-2</v>
      </c>
      <c r="I77" s="178">
        <f t="shared" si="15"/>
        <v>0.20309882747068678</v>
      </c>
      <c r="J77" s="179">
        <f t="shared" si="16"/>
        <v>2388</v>
      </c>
    </row>
    <row r="78" spans="4:10" x14ac:dyDescent="0.25">
      <c r="D78" s="180">
        <v>45868</v>
      </c>
      <c r="E78" s="178">
        <f t="shared" si="11"/>
        <v>0.43036211699164345</v>
      </c>
      <c r="F78" s="178">
        <f t="shared" si="12"/>
        <v>0.19463788300835655</v>
      </c>
      <c r="G78" s="178">
        <f t="shared" si="13"/>
        <v>0.11977715877437325</v>
      </c>
      <c r="H78" s="178">
        <f t="shared" si="14"/>
        <v>8.0431754874651817E-2</v>
      </c>
      <c r="I78" s="178">
        <f t="shared" si="15"/>
        <v>0.17479108635097493</v>
      </c>
      <c r="J78" s="179">
        <f t="shared" si="16"/>
        <v>2872</v>
      </c>
    </row>
    <row r="79" spans="4:10" x14ac:dyDescent="0.25">
      <c r="D79" s="180">
        <v>45869</v>
      </c>
      <c r="E79" s="178">
        <f t="shared" ref="E79" si="17">F45/J79</f>
        <v>0.43375127075567604</v>
      </c>
      <c r="F79" s="178">
        <f t="shared" ref="F79" si="18">L45/J79</f>
        <v>0.19620467638088784</v>
      </c>
      <c r="G79" s="178">
        <f t="shared" ref="G79" si="19">S45/J79</f>
        <v>0.11758725855642155</v>
      </c>
      <c r="H79" s="178">
        <f t="shared" ref="H79" si="20">T45/J79</f>
        <v>8.2683835987800741E-2</v>
      </c>
      <c r="I79" s="178">
        <f t="shared" ref="I79" si="21">X45/J79</f>
        <v>0.16977295831921382</v>
      </c>
      <c r="J79" s="179">
        <f t="shared" ref="J79" si="22">F45+L45+S45+T45+X45</f>
        <v>2951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72" operator="equal">
      <formula>MAX($L$14:$L$16)</formula>
    </cfRule>
  </conditionalFormatting>
  <conditionalFormatting sqref="T16:T19 T27:T32 T21:T25 T41:T43 T34:T39">
    <cfRule type="cellIs" dxfId="83" priority="273" operator="equal">
      <formula>MAX($T$14:$T$16)</formula>
    </cfRule>
  </conditionalFormatting>
  <conditionalFormatting sqref="X16:X19 X27:X32 X21:X25 X41:X43 X34:X39">
    <cfRule type="cellIs" dxfId="82" priority="274" operator="equal">
      <formula>MAX($X$14:$X$16)</formula>
    </cfRule>
  </conditionalFormatting>
  <conditionalFormatting sqref="J16:J19 J27:J32 J21:J25 J41:J42 J34:J39">
    <cfRule type="cellIs" dxfId="81" priority="275" operator="equal">
      <formula>MAX($J$14:$J$16)</formula>
    </cfRule>
  </conditionalFormatting>
  <conditionalFormatting sqref="V16:V19 V27:V32 V21:V23 V41:V43 V34:V39">
    <cfRule type="cellIs" dxfId="80" priority="276" operator="equal">
      <formula>MAX($V$14:$V$16)</formula>
    </cfRule>
  </conditionalFormatting>
  <conditionalFormatting sqref="D16:D19">
    <cfRule type="cellIs" dxfId="79" priority="277" operator="equal">
      <formula>MAX($D$14:$D$16)</formula>
    </cfRule>
  </conditionalFormatting>
  <conditionalFormatting sqref="S16:S19 S27:S32 S21:S25 S41:S43 S34:S39">
    <cfRule type="cellIs" dxfId="78" priority="278" operator="equal">
      <formula>MAX($S$14:$S$16)</formula>
    </cfRule>
  </conditionalFormatting>
  <conditionalFormatting sqref="N16:N19 N27:N32 N21:N25 N41:N42 N34:N39">
    <cfRule type="cellIs" dxfId="77" priority="279" operator="equal">
      <formula>MAX($N$14:$N$16)</formula>
    </cfRule>
  </conditionalFormatting>
  <conditionalFormatting sqref="P16:P19 P27:P32 P21:P25 P41:P42 P39 P34:P37">
    <cfRule type="cellIs" dxfId="76" priority="280" operator="equal">
      <formula>MAX($P$14:$P$16)</formula>
    </cfRule>
  </conditionalFormatting>
  <conditionalFormatting sqref="L26">
    <cfRule type="cellIs" dxfId="75" priority="204" operator="equal">
      <formula>MAX($L$14:$L$16)</formula>
    </cfRule>
  </conditionalFormatting>
  <conditionalFormatting sqref="T26">
    <cfRule type="cellIs" dxfId="74" priority="205" operator="equal">
      <formula>MAX($T$14:$T$16)</formula>
    </cfRule>
  </conditionalFormatting>
  <conditionalFormatting sqref="X26">
    <cfRule type="cellIs" dxfId="73" priority="206" operator="equal">
      <formula>MAX($X$14:$X$16)</formula>
    </cfRule>
  </conditionalFormatting>
  <conditionalFormatting sqref="J26">
    <cfRule type="cellIs" dxfId="72" priority="207" operator="equal">
      <formula>MAX($J$14:$J$16)</formula>
    </cfRule>
  </conditionalFormatting>
  <conditionalFormatting sqref="V26">
    <cfRule type="cellIs" dxfId="71" priority="208" operator="equal">
      <formula>MAX($V$14:$V$16)</formula>
    </cfRule>
  </conditionalFormatting>
  <conditionalFormatting sqref="S26">
    <cfRule type="cellIs" dxfId="70" priority="210" operator="equal">
      <formula>MAX($S$14:$S$16)</formula>
    </cfRule>
  </conditionalFormatting>
  <conditionalFormatting sqref="N26">
    <cfRule type="cellIs" dxfId="69" priority="211" operator="equal">
      <formula>MAX($N$14:$N$16)</formula>
    </cfRule>
  </conditionalFormatting>
  <conditionalFormatting sqref="P26">
    <cfRule type="cellIs" dxfId="68" priority="212" operator="equal">
      <formula>MAX($P$14:$P$16)</formula>
    </cfRule>
  </conditionalFormatting>
  <conditionalFormatting sqref="L40">
    <cfRule type="cellIs" dxfId="67" priority="194" operator="equal">
      <formula>MAX($L$14:$L$16)</formula>
    </cfRule>
  </conditionalFormatting>
  <conditionalFormatting sqref="T40">
    <cfRule type="cellIs" dxfId="66" priority="195" operator="equal">
      <formula>MAX($T$14:$T$16)</formula>
    </cfRule>
  </conditionalFormatting>
  <conditionalFormatting sqref="X40">
    <cfRule type="cellIs" dxfId="65" priority="196" operator="equal">
      <formula>MAX($X$14:$X$16)</formula>
    </cfRule>
  </conditionalFormatting>
  <conditionalFormatting sqref="J40">
    <cfRule type="cellIs" dxfId="64" priority="197" operator="equal">
      <formula>MAX($J$14:$J$16)</formula>
    </cfRule>
  </conditionalFormatting>
  <conditionalFormatting sqref="V40">
    <cfRule type="cellIs" dxfId="63" priority="198" operator="equal">
      <formula>MAX($V$14:$V$16)</formula>
    </cfRule>
  </conditionalFormatting>
  <conditionalFormatting sqref="S40">
    <cfRule type="cellIs" dxfId="62" priority="200" operator="equal">
      <formula>MAX($S$14:$S$16)</formula>
    </cfRule>
  </conditionalFormatting>
  <conditionalFormatting sqref="N40">
    <cfRule type="cellIs" dxfId="61" priority="201" operator="equal">
      <formula>MAX($N$14:$N$16)</formula>
    </cfRule>
  </conditionalFormatting>
  <conditionalFormatting sqref="P40">
    <cfRule type="cellIs" dxfId="60" priority="202" operator="equal">
      <formula>MAX($P$14:$P$16)</formula>
    </cfRule>
  </conditionalFormatting>
  <conditionalFormatting sqref="D20:D32 D44:D45 D34:D42">
    <cfRule type="cellIs" dxfId="59" priority="190" operator="equal">
      <formula>MAX($D$14:$D$42)</formula>
    </cfRule>
  </conditionalFormatting>
  <conditionalFormatting sqref="L20">
    <cfRule type="cellIs" dxfId="58" priority="181" operator="equal">
      <formula>MAX($L$14:$L$42)</formula>
    </cfRule>
  </conditionalFormatting>
  <conditionalFormatting sqref="T20">
    <cfRule type="cellIs" dxfId="57" priority="182" operator="equal">
      <formula>MAX($T$14:$T$42)</formula>
    </cfRule>
  </conditionalFormatting>
  <conditionalFormatting sqref="X20">
    <cfRule type="cellIs" dxfId="56" priority="183" operator="equal">
      <formula>MAX($X$14:$X$42)</formula>
    </cfRule>
  </conditionalFormatting>
  <conditionalFormatting sqref="J20">
    <cfRule type="cellIs" dxfId="55" priority="184" operator="equal">
      <formula>MAX($J$14:$J$42)</formula>
    </cfRule>
  </conditionalFormatting>
  <conditionalFormatting sqref="V20">
    <cfRule type="cellIs" dxfId="54" priority="185" operator="equal">
      <formula>MAX($V$14:$V$42)</formula>
    </cfRule>
  </conditionalFormatting>
  <conditionalFormatting sqref="S20">
    <cfRule type="cellIs" dxfId="53" priority="186" operator="equal">
      <formula>MAX($S$14:$S$42)</formula>
    </cfRule>
  </conditionalFormatting>
  <conditionalFormatting sqref="N20">
    <cfRule type="cellIs" dxfId="52" priority="187" operator="equal">
      <formula>MAX($N$14:$N$42)</formula>
    </cfRule>
  </conditionalFormatting>
  <conditionalFormatting sqref="P20">
    <cfRule type="cellIs" dxfId="51" priority="188" operator="equal">
      <formula>MAX($P$14:$P$42)</formula>
    </cfRule>
  </conditionalFormatting>
  <conditionalFormatting sqref="E48:E64">
    <cfRule type="top10" dxfId="50" priority="180" rank="2"/>
  </conditionalFormatting>
  <conditionalFormatting sqref="F48:F79">
    <cfRule type="top10" dxfId="49" priority="179" rank="2"/>
  </conditionalFormatting>
  <conditionalFormatting sqref="G48:G64">
    <cfRule type="top10" dxfId="48" priority="178" rank="2"/>
  </conditionalFormatting>
  <conditionalFormatting sqref="H48:H64">
    <cfRule type="top10" dxfId="47" priority="177" rank="2"/>
  </conditionalFormatting>
  <conditionalFormatting sqref="I48:I64">
    <cfRule type="top10" dxfId="46" priority="176" rank="2"/>
  </conditionalFormatting>
  <conditionalFormatting sqref="V24">
    <cfRule type="cellIs" dxfId="45" priority="146" operator="equal">
      <formula>MAX($J$14:$J$16)</formula>
    </cfRule>
  </conditionalFormatting>
  <conditionalFormatting sqref="V25">
    <cfRule type="cellIs" dxfId="44" priority="145" operator="equal">
      <formula>MAX($J$14:$J$16)</formula>
    </cfRule>
  </conditionalFormatting>
  <conditionalFormatting sqref="G18:G32 G34:G45">
    <cfRule type="cellIs" dxfId="43" priority="134" operator="equal">
      <formula>MAX($G$14:$G$16)</formula>
    </cfRule>
  </conditionalFormatting>
  <conditionalFormatting sqref="L44:L45">
    <cfRule type="cellIs" dxfId="42" priority="124" operator="equal">
      <formula>MAX($L$14:$L$16)</formula>
    </cfRule>
  </conditionalFormatting>
  <conditionalFormatting sqref="T44:T45">
    <cfRule type="cellIs" dxfId="41" priority="125" operator="equal">
      <formula>MAX($T$14:$T$16)</formula>
    </cfRule>
  </conditionalFormatting>
  <conditionalFormatting sqref="X44:X45">
    <cfRule type="cellIs" dxfId="40" priority="126" operator="equal">
      <formula>MAX($X$14:$X$16)</formula>
    </cfRule>
  </conditionalFormatting>
  <conditionalFormatting sqref="J44:J45">
    <cfRule type="cellIs" dxfId="39" priority="127" operator="equal">
      <formula>MAX($J$14:$J$16)</formula>
    </cfRule>
  </conditionalFormatting>
  <conditionalFormatting sqref="V44:V45">
    <cfRule type="cellIs" dxfId="38" priority="128" operator="equal">
      <formula>MAX($V$14:$V$16)</formula>
    </cfRule>
  </conditionalFormatting>
  <conditionalFormatting sqref="S44:S45">
    <cfRule type="cellIs" dxfId="37" priority="130" operator="equal">
      <formula>MAX($S$14:$S$16)</formula>
    </cfRule>
  </conditionalFormatting>
  <conditionalFormatting sqref="N44:N45">
    <cfRule type="cellIs" dxfId="36" priority="131" operator="equal">
      <formula>MAX($N$14:$N$16)</formula>
    </cfRule>
  </conditionalFormatting>
  <conditionalFormatting sqref="P44:P45">
    <cfRule type="cellIs" dxfId="35" priority="132" operator="equal">
      <formula>MAX($P$14:$P$16)</formula>
    </cfRule>
  </conditionalFormatting>
  <conditionalFormatting sqref="D15">
    <cfRule type="cellIs" dxfId="34" priority="113" operator="equal">
      <formula>MAX($D$14:$D$16)</formula>
    </cfRule>
  </conditionalFormatting>
  <conditionalFormatting sqref="L15">
    <cfRule type="cellIs" dxfId="33" priority="110" operator="equal">
      <formula>MAX($L$14:$L$16)</formula>
    </cfRule>
  </conditionalFormatting>
  <conditionalFormatting sqref="J15">
    <cfRule type="cellIs" dxfId="32" priority="111" operator="equal">
      <formula>MAX($J$14:$J$16)</formula>
    </cfRule>
  </conditionalFormatting>
  <conditionalFormatting sqref="N15">
    <cfRule type="cellIs" dxfId="31" priority="106" operator="equal">
      <formula>MAX($N$14:$N$16)</formula>
    </cfRule>
  </conditionalFormatting>
  <conditionalFormatting sqref="P15">
    <cfRule type="cellIs" dxfId="30" priority="107" operator="equal">
      <formula>MAX($P$14:$P$16)</formula>
    </cfRule>
  </conditionalFormatting>
  <conditionalFormatting sqref="T15">
    <cfRule type="cellIs" dxfId="29" priority="102" operator="equal">
      <formula>MAX($T$14:$T$16)</formula>
    </cfRule>
  </conditionalFormatting>
  <conditionalFormatting sqref="S15">
    <cfRule type="cellIs" dxfId="28" priority="103" operator="equal">
      <formula>MAX($S$14:$S$16)</formula>
    </cfRule>
  </conditionalFormatting>
  <conditionalFormatting sqref="X15">
    <cfRule type="cellIs" dxfId="27" priority="98" operator="equal">
      <formula>MAX($X$14:$X$16)</formula>
    </cfRule>
  </conditionalFormatting>
  <conditionalFormatting sqref="V15">
    <cfRule type="cellIs" dxfId="26" priority="99" operator="equal">
      <formula>MAX($V$14:$V$16)</formula>
    </cfRule>
  </conditionalFormatting>
  <conditionalFormatting sqref="N43">
    <cfRule type="cellIs" dxfId="25" priority="83" operator="equal">
      <formula>MAX($N$14:$N$16)</formula>
    </cfRule>
  </conditionalFormatting>
  <conditionalFormatting sqref="P43">
    <cfRule type="cellIs" dxfId="24" priority="84" operator="equal">
      <formula>MAX($P$14:$P$16)</formula>
    </cfRule>
  </conditionalFormatting>
  <conditionalFormatting sqref="L43">
    <cfRule type="cellIs" dxfId="23" priority="79" operator="equal">
      <formula>MAX($L$14:$L$16)</formula>
    </cfRule>
  </conditionalFormatting>
  <conditionalFormatting sqref="J43">
    <cfRule type="cellIs" dxfId="22" priority="80" operator="equal">
      <formula>MAX($J$14:$J$16)</formula>
    </cfRule>
  </conditionalFormatting>
  <conditionalFormatting sqref="D43">
    <cfRule type="cellIs" dxfId="21" priority="77" operator="equal">
      <formula>MAX($D$14:$D$42)</formula>
    </cfRule>
  </conditionalFormatting>
  <conditionalFormatting sqref="L33">
    <cfRule type="cellIs" dxfId="20" priority="32" operator="equal">
      <formula>MAX($L$14:$L$16)</formula>
    </cfRule>
  </conditionalFormatting>
  <conditionalFormatting sqref="T33">
    <cfRule type="cellIs" dxfId="19" priority="33" operator="equal">
      <formula>MAX($T$14:$T$16)</formula>
    </cfRule>
  </conditionalFormatting>
  <conditionalFormatting sqref="X33">
    <cfRule type="cellIs" dxfId="18" priority="34" operator="equal">
      <formula>MAX($X$14:$X$16)</formula>
    </cfRule>
  </conditionalFormatting>
  <conditionalFormatting sqref="J33">
    <cfRule type="cellIs" dxfId="17" priority="35" operator="equal">
      <formula>MAX($J$14:$J$16)</formula>
    </cfRule>
  </conditionalFormatting>
  <conditionalFormatting sqref="V33">
    <cfRule type="cellIs" dxfId="16" priority="36" operator="equal">
      <formula>MAX($V$14:$V$16)</formula>
    </cfRule>
  </conditionalFormatting>
  <conditionalFormatting sqref="S33">
    <cfRule type="cellIs" dxfId="15" priority="37" operator="equal">
      <formula>MAX($S$14:$S$16)</formula>
    </cfRule>
  </conditionalFormatting>
  <conditionalFormatting sqref="N33">
    <cfRule type="cellIs" dxfId="14" priority="38" operator="equal">
      <formula>MAX($N$14:$N$16)</formula>
    </cfRule>
  </conditionalFormatting>
  <conditionalFormatting sqref="P33">
    <cfRule type="cellIs" dxfId="13" priority="39" operator="equal">
      <formula>MAX($P$14:$P$16)</formula>
    </cfRule>
  </conditionalFormatting>
  <conditionalFormatting sqref="D33">
    <cfRule type="cellIs" dxfId="12" priority="31" operator="equal">
      <formula>MAX($D$14:$D$42)</formula>
    </cfRule>
  </conditionalFormatting>
  <conditionalFormatting sqref="G33">
    <cfRule type="cellIs" dxfId="11" priority="30" operator="equal">
      <formula>MAX($G$14:$G$16)</formula>
    </cfRule>
  </conditionalFormatting>
  <conditionalFormatting sqref="P38">
    <cfRule type="cellIs" dxfId="10" priority="29" operator="equal">
      <formula>MAX($P$14:$P$16)</formula>
    </cfRule>
  </conditionalFormatting>
  <conditionalFormatting sqref="G14:G17">
    <cfRule type="cellIs" dxfId="9" priority="18" operator="equal">
      <formula>MAX($G$14:$G$16)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43069561-89A9-4F0F-93A7-F4E1BB90CC53}"/>
</file>

<file path=customXml/itemProps2.xml><?xml version="1.0" encoding="utf-8"?>
<ds:datastoreItem xmlns:ds="http://schemas.openxmlformats.org/officeDocument/2006/customXml" ds:itemID="{37B2135A-E44A-4FCA-87FA-9A4760BEC53A}"/>
</file>

<file path=customXml/itemProps3.xml><?xml version="1.0" encoding="utf-8"?>
<ds:datastoreItem xmlns:ds="http://schemas.openxmlformats.org/officeDocument/2006/customXml" ds:itemID="{244A8360-A9F5-4BD3-90CB-4CB82EE20B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2026-04-15T15:45:42Z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