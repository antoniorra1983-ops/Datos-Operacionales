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1" documentId="14_{F61CAED6-267A-4B2C-80CD-4BC72F22561D}" xr6:coauthVersionLast="47" xr6:coauthVersionMax="47" xr10:uidLastSave="{EB74727D-D8CC-4B91-9EC1-23213C173EE6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definedNames>
    <definedName name="_xlnm._FilterDatabase" localSheetId="0" hidden="1">'SEAT-SERs'!$D$6:$BS$37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1" i="1" l="1"/>
  <c r="BA31" i="1" s="1"/>
  <c r="BB30" i="1"/>
  <c r="BB29" i="1"/>
  <c r="BB28" i="1"/>
  <c r="BB27" i="1"/>
  <c r="BA27" i="1" s="1"/>
  <c r="AY27" i="1" s="1"/>
  <c r="BB26" i="1"/>
  <c r="BB25" i="1"/>
  <c r="BB24" i="1"/>
  <c r="BB23" i="1"/>
  <c r="BA23" i="1" s="1"/>
  <c r="BB22" i="1"/>
  <c r="BA22" i="1" s="1"/>
  <c r="BB21" i="1"/>
  <c r="H21" i="1" s="1"/>
  <c r="G21" i="1" s="1"/>
  <c r="BB20" i="1"/>
  <c r="BA20" i="1" s="1"/>
  <c r="BB19" i="1"/>
  <c r="BL32" i="1"/>
  <c r="BK32" i="1"/>
  <c r="BJ32" i="1"/>
  <c r="BA32" i="1"/>
  <c r="AY32" i="1"/>
  <c r="J32" i="1" s="1"/>
  <c r="N32" i="1" s="1"/>
  <c r="AX32" i="1"/>
  <c r="AW32" i="1"/>
  <c r="AP32" i="1"/>
  <c r="AM32" i="1" s="1"/>
  <c r="AN32" i="1"/>
  <c r="AF32" i="1"/>
  <c r="AD32" i="1"/>
  <c r="AC32" i="1"/>
  <c r="L32" i="1"/>
  <c r="P32" i="1" s="1"/>
  <c r="K32" i="1"/>
  <c r="O32" i="1" s="1"/>
  <c r="I32" i="1"/>
  <c r="M32" i="1" s="1"/>
  <c r="H32" i="1"/>
  <c r="D32" i="1"/>
  <c r="G32" i="1" s="1"/>
  <c r="BL31" i="1"/>
  <c r="BK31" i="1" s="1"/>
  <c r="AX31" i="1"/>
  <c r="AP31" i="1"/>
  <c r="AN31" i="1"/>
  <c r="AM31" i="1"/>
  <c r="AF31" i="1"/>
  <c r="AD31" i="1"/>
  <c r="AC31" i="1"/>
  <c r="H31" i="1"/>
  <c r="G31" i="1" s="1"/>
  <c r="D31" i="1"/>
  <c r="F31" i="1" s="1"/>
  <c r="E31" i="1" s="1"/>
  <c r="BL30" i="1"/>
  <c r="BJ30" i="1" s="1"/>
  <c r="BK30" i="1"/>
  <c r="BA30" i="1"/>
  <c r="AY30" i="1"/>
  <c r="AX30" i="1"/>
  <c r="AW30" i="1"/>
  <c r="AP30" i="1"/>
  <c r="AM30" i="1" s="1"/>
  <c r="AN30" i="1"/>
  <c r="AF30" i="1"/>
  <c r="AD30" i="1"/>
  <c r="AC30" i="1"/>
  <c r="J30" i="1"/>
  <c r="N30" i="1" s="1"/>
  <c r="I30" i="1"/>
  <c r="M30" i="1" s="1"/>
  <c r="H30" i="1"/>
  <c r="G30" i="1" s="1"/>
  <c r="D30" i="1"/>
  <c r="BL29" i="1"/>
  <c r="BK29" i="1"/>
  <c r="BJ29" i="1"/>
  <c r="BA29" i="1"/>
  <c r="AY29" i="1" s="1"/>
  <c r="AX29" i="1"/>
  <c r="AP29" i="1"/>
  <c r="AM29" i="1" s="1"/>
  <c r="AN29" i="1"/>
  <c r="AF29" i="1"/>
  <c r="AC29" i="1" s="1"/>
  <c r="AD29" i="1"/>
  <c r="H29" i="1"/>
  <c r="G29" i="1" s="1"/>
  <c r="D29" i="1"/>
  <c r="BL28" i="1"/>
  <c r="BK28" i="1"/>
  <c r="BJ28" i="1"/>
  <c r="BA28" i="1"/>
  <c r="AW28" i="1" s="1"/>
  <c r="AY28" i="1"/>
  <c r="L28" i="1" s="1"/>
  <c r="P28" i="1" s="1"/>
  <c r="AX28" i="1"/>
  <c r="AP28" i="1"/>
  <c r="AN28" i="1"/>
  <c r="AM28" i="1"/>
  <c r="AF28" i="1"/>
  <c r="AC28" i="1" s="1"/>
  <c r="AD28" i="1"/>
  <c r="I28" i="1"/>
  <c r="M28" i="1" s="1"/>
  <c r="H28" i="1"/>
  <c r="G28" i="1" s="1"/>
  <c r="D28" i="1"/>
  <c r="F28" i="1" s="1"/>
  <c r="E28" i="1" s="1"/>
  <c r="BL27" i="1"/>
  <c r="BK27" i="1"/>
  <c r="BJ27" i="1"/>
  <c r="AX27" i="1"/>
  <c r="AP27" i="1"/>
  <c r="AN27" i="1"/>
  <c r="AM27" i="1"/>
  <c r="AF27" i="1"/>
  <c r="AD27" i="1"/>
  <c r="AC27" i="1"/>
  <c r="H27" i="1"/>
  <c r="G27" i="1" s="1"/>
  <c r="F27" i="1"/>
  <c r="E27" i="1" s="1"/>
  <c r="D27" i="1"/>
  <c r="BL26" i="1"/>
  <c r="BJ26" i="1"/>
  <c r="BA26" i="1"/>
  <c r="AW26" i="1" s="1"/>
  <c r="AY26" i="1"/>
  <c r="K26" i="1" s="1"/>
  <c r="O26" i="1" s="1"/>
  <c r="AX26" i="1"/>
  <c r="AP26" i="1"/>
  <c r="AN26" i="1"/>
  <c r="AM26" i="1"/>
  <c r="AF26" i="1"/>
  <c r="AC26" i="1" s="1"/>
  <c r="AD26" i="1"/>
  <c r="H26" i="1"/>
  <c r="G26" i="1"/>
  <c r="F26" i="1"/>
  <c r="E26" i="1"/>
  <c r="D26" i="1"/>
  <c r="BL25" i="1"/>
  <c r="BK25" i="1" s="1"/>
  <c r="BA25" i="1"/>
  <c r="AW25" i="1" s="1"/>
  <c r="AX25" i="1"/>
  <c r="AP25" i="1"/>
  <c r="AM25" i="1" s="1"/>
  <c r="AN25" i="1"/>
  <c r="AF25" i="1"/>
  <c r="AC25" i="1" s="1"/>
  <c r="AD25" i="1"/>
  <c r="H25" i="1"/>
  <c r="G25" i="1" s="1"/>
  <c r="D25" i="1"/>
  <c r="BL24" i="1"/>
  <c r="BK24" i="1"/>
  <c r="BJ24" i="1"/>
  <c r="BA24" i="1"/>
  <c r="AY24" i="1"/>
  <c r="J24" i="1" s="1"/>
  <c r="N24" i="1" s="1"/>
  <c r="AX24" i="1"/>
  <c r="AW24" i="1"/>
  <c r="AP24" i="1"/>
  <c r="AM24" i="1" s="1"/>
  <c r="AN24" i="1"/>
  <c r="AF24" i="1"/>
  <c r="AD24" i="1"/>
  <c r="AC24" i="1"/>
  <c r="L24" i="1"/>
  <c r="P24" i="1" s="1"/>
  <c r="K24" i="1"/>
  <c r="O24" i="1" s="1"/>
  <c r="H24" i="1"/>
  <c r="G24" i="1" s="1"/>
  <c r="D24" i="1"/>
  <c r="F24" i="1" s="1"/>
  <c r="E24" i="1" s="1"/>
  <c r="BL23" i="1"/>
  <c r="BK23" i="1" s="1"/>
  <c r="AP23" i="1"/>
  <c r="AN23" i="1"/>
  <c r="AM23" i="1"/>
  <c r="AF23" i="1"/>
  <c r="AD23" i="1"/>
  <c r="AC23" i="1"/>
  <c r="D23" i="1"/>
  <c r="BL22" i="1"/>
  <c r="BJ22" i="1" s="1"/>
  <c r="BK22" i="1"/>
  <c r="AX22" i="1"/>
  <c r="AP22" i="1"/>
  <c r="AM22" i="1" s="1"/>
  <c r="AN22" i="1"/>
  <c r="AF22" i="1"/>
  <c r="AD22" i="1"/>
  <c r="AC22" i="1"/>
  <c r="Q22" i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H22" i="1"/>
  <c r="G22" i="1" s="1"/>
  <c r="D22" i="1"/>
  <c r="BL21" i="1"/>
  <c r="BK21" i="1"/>
  <c r="BJ21" i="1"/>
  <c r="AX21" i="1"/>
  <c r="AP21" i="1"/>
  <c r="AM21" i="1" s="1"/>
  <c r="AN21" i="1"/>
  <c r="AF21" i="1"/>
  <c r="AC21" i="1" s="1"/>
  <c r="AD21" i="1"/>
  <c r="Q21" i="1"/>
  <c r="D21" i="1"/>
  <c r="BL20" i="1"/>
  <c r="BK20" i="1"/>
  <c r="BJ20" i="1"/>
  <c r="BI20" i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AX20" i="1"/>
  <c r="AP20" i="1"/>
  <c r="AN20" i="1"/>
  <c r="AM20" i="1"/>
  <c r="AF20" i="1"/>
  <c r="AC20" i="1" s="1"/>
  <c r="AD20" i="1"/>
  <c r="Q20" i="1"/>
  <c r="H20" i="1"/>
  <c r="G20" i="1"/>
  <c r="D20" i="1"/>
  <c r="F20" i="1" s="1"/>
  <c r="E20" i="1" s="1"/>
  <c r="BL19" i="1"/>
  <c r="BK19" i="1" s="1"/>
  <c r="BJ19" i="1"/>
  <c r="BI19" i="1"/>
  <c r="BA19" i="1"/>
  <c r="AY19" i="1" s="1"/>
  <c r="AX19" i="1"/>
  <c r="AV19" i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P19" i="1"/>
  <c r="AN19" i="1"/>
  <c r="AM19" i="1"/>
  <c r="AL19" i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F19" i="1"/>
  <c r="AD19" i="1"/>
  <c r="AC19" i="1"/>
  <c r="AB19" i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Q19" i="1"/>
  <c r="H19" i="1"/>
  <c r="G19" i="1"/>
  <c r="F19" i="1"/>
  <c r="E19" i="1" s="1"/>
  <c r="D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Y31" i="1" l="1"/>
  <c r="AW31" i="1"/>
  <c r="F30" i="1"/>
  <c r="E30" i="1" s="1"/>
  <c r="L29" i="1"/>
  <c r="P29" i="1" s="1"/>
  <c r="L26" i="1"/>
  <c r="P26" i="1" s="1"/>
  <c r="F25" i="1"/>
  <c r="E25" i="1" s="1"/>
  <c r="AY25" i="1"/>
  <c r="AY23" i="1"/>
  <c r="AW23" i="1"/>
  <c r="H23" i="1"/>
  <c r="G23" i="1" s="1"/>
  <c r="AX23" i="1"/>
  <c r="AY22" i="1"/>
  <c r="AW22" i="1"/>
  <c r="F22" i="1"/>
  <c r="E22" i="1" s="1"/>
  <c r="BA21" i="1"/>
  <c r="AY21" i="1" s="1"/>
  <c r="AY20" i="1"/>
  <c r="AW20" i="1"/>
  <c r="J21" i="1"/>
  <c r="N21" i="1" s="1"/>
  <c r="K21" i="1"/>
  <c r="O21" i="1" s="1"/>
  <c r="I21" i="1"/>
  <c r="M21" i="1" s="1"/>
  <c r="I22" i="1"/>
  <c r="M22" i="1" s="1"/>
  <c r="K22" i="1"/>
  <c r="O22" i="1" s="1"/>
  <c r="J22" i="1"/>
  <c r="N22" i="1" s="1"/>
  <c r="L19" i="1"/>
  <c r="P19" i="1" s="1"/>
  <c r="K19" i="1"/>
  <c r="O19" i="1" s="1"/>
  <c r="J19" i="1"/>
  <c r="N19" i="1" s="1"/>
  <c r="I19" i="1"/>
  <c r="M19" i="1" s="1"/>
  <c r="L21" i="1"/>
  <c r="P21" i="1" s="1"/>
  <c r="L27" i="1"/>
  <c r="P27" i="1" s="1"/>
  <c r="K27" i="1"/>
  <c r="O27" i="1" s="1"/>
  <c r="J27" i="1"/>
  <c r="N27" i="1" s="1"/>
  <c r="I27" i="1"/>
  <c r="M27" i="1" s="1"/>
  <c r="K23" i="1"/>
  <c r="O23" i="1" s="1"/>
  <c r="J23" i="1"/>
  <c r="N23" i="1" s="1"/>
  <c r="K31" i="1"/>
  <c r="O31" i="1" s="1"/>
  <c r="J31" i="1"/>
  <c r="N31" i="1" s="1"/>
  <c r="I29" i="1"/>
  <c r="M29" i="1" s="1"/>
  <c r="K29" i="1"/>
  <c r="O29" i="1" s="1"/>
  <c r="J29" i="1"/>
  <c r="N29" i="1" s="1"/>
  <c r="K30" i="1"/>
  <c r="O30" i="1" s="1"/>
  <c r="L31" i="1"/>
  <c r="P31" i="1" s="1"/>
  <c r="J20" i="1"/>
  <c r="N20" i="1" s="1"/>
  <c r="AW21" i="1"/>
  <c r="L22" i="1"/>
  <c r="P22" i="1" s="1"/>
  <c r="J28" i="1"/>
  <c r="N28" i="1" s="1"/>
  <c r="AW29" i="1"/>
  <c r="L30" i="1"/>
  <c r="P30" i="1" s="1"/>
  <c r="F32" i="1"/>
  <c r="E32" i="1" s="1"/>
  <c r="K20" i="1"/>
  <c r="O20" i="1" s="1"/>
  <c r="BJ25" i="1"/>
  <c r="I26" i="1"/>
  <c r="M26" i="1" s="1"/>
  <c r="BK26" i="1"/>
  <c r="K28" i="1"/>
  <c r="O28" i="1" s="1"/>
  <c r="L23" i="1"/>
  <c r="P23" i="1" s="1"/>
  <c r="AW19" i="1"/>
  <c r="I25" i="1"/>
  <c r="M25" i="1" s="1"/>
  <c r="J26" i="1"/>
  <c r="N26" i="1" s="1"/>
  <c r="AW27" i="1"/>
  <c r="I24" i="1"/>
  <c r="M24" i="1" s="1"/>
  <c r="F21" i="1"/>
  <c r="E21" i="1" s="1"/>
  <c r="BJ23" i="1"/>
  <c r="J25" i="1"/>
  <c r="N25" i="1" s="1"/>
  <c r="F29" i="1"/>
  <c r="E29" i="1" s="1"/>
  <c r="BJ31" i="1"/>
  <c r="I23" i="1"/>
  <c r="M23" i="1" s="1"/>
  <c r="I31" i="1"/>
  <c r="M31" i="1" s="1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15" i="2"/>
  <c r="G16" i="2"/>
  <c r="G17" i="2"/>
  <c r="G18" i="2"/>
  <c r="G19" i="2"/>
  <c r="G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14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15" i="2"/>
  <c r="M14" i="2"/>
  <c r="BL7" i="1"/>
  <c r="BK7" i="1" s="1"/>
  <c r="BL8" i="1"/>
  <c r="BL9" i="1"/>
  <c r="BL10" i="1"/>
  <c r="BL11" i="1"/>
  <c r="BL12" i="1"/>
  <c r="BL13" i="1"/>
  <c r="BL14" i="1"/>
  <c r="BL15" i="1"/>
  <c r="BL16" i="1"/>
  <c r="BL17" i="1"/>
  <c r="BL18" i="1"/>
  <c r="BL33" i="1"/>
  <c r="BL34" i="1"/>
  <c r="BL35" i="1"/>
  <c r="BL36" i="1"/>
  <c r="BL37" i="1"/>
  <c r="BL6" i="1"/>
  <c r="BK6" i="1" s="1"/>
  <c r="BA7" i="1"/>
  <c r="AW7" i="1" s="1"/>
  <c r="BA8" i="1"/>
  <c r="AY8" i="1" s="1"/>
  <c r="BA9" i="1"/>
  <c r="AY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33" i="1"/>
  <c r="AY33" i="1" s="1"/>
  <c r="BA34" i="1"/>
  <c r="AY34" i="1" s="1"/>
  <c r="BA35" i="1"/>
  <c r="AY35" i="1" s="1"/>
  <c r="BA36" i="1"/>
  <c r="AY36" i="1" s="1"/>
  <c r="BA37" i="1"/>
  <c r="AY37" i="1" s="1"/>
  <c r="BA6" i="1"/>
  <c r="AW6" i="1" s="1"/>
  <c r="AF7" i="1"/>
  <c r="AC7" i="1" s="1"/>
  <c r="AF8" i="1"/>
  <c r="AF9" i="1"/>
  <c r="AF10" i="1"/>
  <c r="AF11" i="1"/>
  <c r="AF12" i="1"/>
  <c r="AF13" i="1"/>
  <c r="AF14" i="1"/>
  <c r="AF15" i="1"/>
  <c r="AF16" i="1"/>
  <c r="AF18" i="1"/>
  <c r="AF33" i="1"/>
  <c r="AF34" i="1"/>
  <c r="AF35" i="1"/>
  <c r="AF36" i="1"/>
  <c r="AF37" i="1"/>
  <c r="AP7" i="1"/>
  <c r="AP8" i="1"/>
  <c r="AM8" i="1" s="1"/>
  <c r="AP9" i="1"/>
  <c r="AM9" i="1" s="1"/>
  <c r="AP10" i="1"/>
  <c r="AM10" i="1" s="1"/>
  <c r="AP11" i="1"/>
  <c r="AM11" i="1" s="1"/>
  <c r="AP12" i="1"/>
  <c r="AM12" i="1" s="1"/>
  <c r="AP13" i="1"/>
  <c r="AM13" i="1" s="1"/>
  <c r="AP14" i="1"/>
  <c r="AM14" i="1" s="1"/>
  <c r="AP15" i="1"/>
  <c r="AM15" i="1" s="1"/>
  <c r="AP16" i="1"/>
  <c r="AM16" i="1" s="1"/>
  <c r="AP17" i="1"/>
  <c r="AM17" i="1" s="1"/>
  <c r="AP18" i="1"/>
  <c r="AM18" i="1" s="1"/>
  <c r="AP33" i="1"/>
  <c r="AM33" i="1" s="1"/>
  <c r="AP34" i="1"/>
  <c r="AM34" i="1" s="1"/>
  <c r="AP35" i="1"/>
  <c r="AM35" i="1" s="1"/>
  <c r="AP36" i="1"/>
  <c r="AM36" i="1" s="1"/>
  <c r="AP37" i="1"/>
  <c r="AP6" i="1"/>
  <c r="AM6" i="1" s="1"/>
  <c r="AF6" i="1"/>
  <c r="AC6" i="1" s="1"/>
  <c r="D7" i="1"/>
  <c r="AN34" i="1"/>
  <c r="H7" i="1"/>
  <c r="H8" i="1"/>
  <c r="H9" i="1"/>
  <c r="H10" i="1"/>
  <c r="H11" i="1"/>
  <c r="H12" i="1"/>
  <c r="H13" i="1"/>
  <c r="H14" i="1"/>
  <c r="H15" i="1"/>
  <c r="H16" i="1"/>
  <c r="H17" i="1"/>
  <c r="H18" i="1"/>
  <c r="H33" i="1"/>
  <c r="H34" i="1"/>
  <c r="H35" i="1"/>
  <c r="H36" i="1"/>
  <c r="H37" i="1"/>
  <c r="D8" i="1"/>
  <c r="D9" i="1"/>
  <c r="D10" i="1"/>
  <c r="D11" i="1"/>
  <c r="D12" i="1"/>
  <c r="D13" i="1"/>
  <c r="D14" i="1"/>
  <c r="D15" i="1"/>
  <c r="D16" i="1"/>
  <c r="D17" i="1"/>
  <c r="D18" i="1"/>
  <c r="D33" i="1"/>
  <c r="D34" i="1"/>
  <c r="D35" i="1"/>
  <c r="D36" i="1"/>
  <c r="D37" i="1"/>
  <c r="D6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33" i="1"/>
  <c r="AN35" i="1"/>
  <c r="AN36" i="1"/>
  <c r="AN37" i="1"/>
  <c r="AM37" i="1"/>
  <c r="H6" i="1"/>
  <c r="AD6" i="1"/>
  <c r="AX6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33" i="1" s="1"/>
  <c r="Q34" i="1" s="1"/>
  <c r="Q35" i="1" s="1"/>
  <c r="Q36" i="1" s="1"/>
  <c r="Q37" i="1" s="1"/>
  <c r="AB7" i="1"/>
  <c r="AD7" i="1"/>
  <c r="AL7" i="1"/>
  <c r="AV7" i="1"/>
  <c r="AX7" i="1"/>
  <c r="BI7" i="1"/>
  <c r="K25" i="1" l="1"/>
  <c r="O25" i="1" s="1"/>
  <c r="L25" i="1"/>
  <c r="P25" i="1" s="1"/>
  <c r="F23" i="1"/>
  <c r="E23" i="1" s="1"/>
  <c r="L20" i="1"/>
  <c r="P20" i="1" s="1"/>
  <c r="I20" i="1"/>
  <c r="M20" i="1" s="1"/>
  <c r="AY6" i="1"/>
  <c r="L6" i="1" s="1"/>
  <c r="P6" i="1" s="1"/>
  <c r="K9" i="1"/>
  <c r="O9" i="1" s="1"/>
  <c r="L9" i="1"/>
  <c r="P9" i="1" s="1"/>
  <c r="I8" i="1"/>
  <c r="L8" i="1"/>
  <c r="P8" i="1" s="1"/>
  <c r="K8" i="1"/>
  <c r="O8" i="1" s="1"/>
  <c r="AY7" i="1"/>
  <c r="L7" i="1" s="1"/>
  <c r="P7" i="1" s="1"/>
  <c r="F7" i="1"/>
  <c r="E7" i="1" s="1"/>
  <c r="BJ6" i="1"/>
  <c r="I9" i="1"/>
  <c r="J8" i="1"/>
  <c r="N8" i="1" s="1"/>
  <c r="J9" i="1"/>
  <c r="N9" i="1" s="1"/>
  <c r="AM7" i="1"/>
  <c r="F9" i="1"/>
  <c r="E9" i="1" s="1"/>
  <c r="F8" i="1"/>
  <c r="E8" i="1" s="1"/>
  <c r="F35" i="1"/>
  <c r="E35" i="1" s="1"/>
  <c r="F37" i="1"/>
  <c r="E37" i="1" s="1"/>
  <c r="F36" i="1"/>
  <c r="E36" i="1" s="1"/>
  <c r="F34" i="1"/>
  <c r="E34" i="1" s="1"/>
  <c r="F33" i="1"/>
  <c r="E33" i="1" s="1"/>
  <c r="F18" i="1"/>
  <c r="E18" i="1" s="1"/>
  <c r="F17" i="1"/>
  <c r="E17" i="1" s="1"/>
  <c r="F16" i="1"/>
  <c r="E16" i="1" s="1"/>
  <c r="F15" i="1"/>
  <c r="E15" i="1" s="1"/>
  <c r="F14" i="1"/>
  <c r="E14" i="1" s="1"/>
  <c r="F13" i="1"/>
  <c r="E13" i="1" s="1"/>
  <c r="F12" i="1"/>
  <c r="E12" i="1" s="1"/>
  <c r="F11" i="1"/>
  <c r="E11" i="1" s="1"/>
  <c r="F10" i="1"/>
  <c r="E10" i="1" s="1"/>
  <c r="G6" i="1"/>
  <c r="BJ7" i="1"/>
  <c r="F6" i="1"/>
  <c r="E6" i="1" s="1"/>
  <c r="G7" i="1"/>
  <c r="G35" i="1"/>
  <c r="G13" i="1"/>
  <c r="G9" i="1"/>
  <c r="G8" i="1"/>
  <c r="G37" i="1"/>
  <c r="G16" i="1"/>
  <c r="G36" i="1"/>
  <c r="G34" i="1"/>
  <c r="G33" i="1"/>
  <c r="G18" i="1"/>
  <c r="G17" i="1"/>
  <c r="G15" i="1"/>
  <c r="G12" i="1"/>
  <c r="G11" i="1"/>
  <c r="G10" i="1"/>
  <c r="G14" i="1"/>
  <c r="I6" i="1" l="1"/>
  <c r="M6" i="1" s="1"/>
  <c r="J6" i="1"/>
  <c r="N6" i="1" s="1"/>
  <c r="J7" i="1"/>
  <c r="N7" i="1" s="1"/>
  <c r="K7" i="1"/>
  <c r="O7" i="1" s="1"/>
  <c r="I7" i="1"/>
  <c r="M7" i="1" s="1"/>
  <c r="K6" i="1"/>
  <c r="O6" i="1" s="1"/>
  <c r="AX35" i="1"/>
  <c r="AD35" i="1"/>
  <c r="K13" i="1"/>
  <c r="O13" i="1" s="1"/>
  <c r="K37" i="1" l="1"/>
  <c r="O37" i="1" s="1"/>
  <c r="K36" i="1"/>
  <c r="O36" i="1" s="1"/>
  <c r="I35" i="1"/>
  <c r="M35" i="1" s="1"/>
  <c r="J35" i="1"/>
  <c r="N35" i="1" s="1"/>
  <c r="L35" i="1"/>
  <c r="P35" i="1" s="1"/>
  <c r="AC35" i="1"/>
  <c r="K35" i="1"/>
  <c r="O35" i="1" s="1"/>
  <c r="K34" i="1"/>
  <c r="O34" i="1" s="1"/>
  <c r="K33" i="1"/>
  <c r="O33" i="1" s="1"/>
  <c r="K18" i="1"/>
  <c r="O18" i="1" s="1"/>
  <c r="K17" i="1"/>
  <c r="O17" i="1" s="1"/>
  <c r="K16" i="1"/>
  <c r="O16" i="1" s="1"/>
  <c r="K15" i="1"/>
  <c r="O15" i="1" s="1"/>
  <c r="K14" i="1"/>
  <c r="O14" i="1" s="1"/>
  <c r="I13" i="1"/>
  <c r="K12" i="1"/>
  <c r="O12" i="1" s="1"/>
  <c r="K11" i="1"/>
  <c r="O11" i="1" s="1"/>
  <c r="K10" i="1"/>
  <c r="O10" i="1" s="1"/>
  <c r="BJ35" i="1"/>
  <c r="BK35" i="1"/>
  <c r="AW35" i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L8" i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33" i="1" s="1"/>
  <c r="AL34" i="1" s="1"/>
  <c r="AV8" i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33" i="1" s="1"/>
  <c r="AV34" i="1" s="1"/>
  <c r="BI8" i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33" i="1" s="1"/>
  <c r="BI34" i="1" s="1"/>
  <c r="AC8" i="1"/>
  <c r="AD8" i="1"/>
  <c r="AX8" i="1"/>
  <c r="AD9" i="1"/>
  <c r="AC9" i="1"/>
  <c r="AX9" i="1"/>
  <c r="AW9" i="1"/>
  <c r="AC10" i="1"/>
  <c r="AD10" i="1"/>
  <c r="AX10" i="1"/>
  <c r="I10" i="1"/>
  <c r="AD11" i="1"/>
  <c r="AW11" i="1"/>
  <c r="AX11" i="1"/>
  <c r="AD12" i="1"/>
  <c r="AC12" i="1"/>
  <c r="AX12" i="1"/>
  <c r="AW12" i="1"/>
  <c r="BJ12" i="1"/>
  <c r="AD13" i="1"/>
  <c r="AC13" i="1"/>
  <c r="AX13" i="1"/>
  <c r="AW13" i="1"/>
  <c r="J13" i="1"/>
  <c r="N13" i="1" s="1"/>
  <c r="AD14" i="1"/>
  <c r="AC14" i="1"/>
  <c r="AW14" i="1"/>
  <c r="AX14" i="1"/>
  <c r="L14" i="1"/>
  <c r="P14" i="1" s="1"/>
  <c r="AD15" i="1"/>
  <c r="AC15" i="1"/>
  <c r="AW15" i="1"/>
  <c r="AX15" i="1"/>
  <c r="J15" i="1"/>
  <c r="N15" i="1" s="1"/>
  <c r="AD16" i="1"/>
  <c r="AC16" i="1"/>
  <c r="AX16" i="1"/>
  <c r="AW16" i="1"/>
  <c r="BJ16" i="1"/>
  <c r="AD17" i="1"/>
  <c r="AC17" i="1"/>
  <c r="AX17" i="1"/>
  <c r="AW17" i="1"/>
  <c r="L17" i="1"/>
  <c r="P17" i="1" s="1"/>
  <c r="AD18" i="1"/>
  <c r="AC18" i="1"/>
  <c r="AX18" i="1"/>
  <c r="BJ18" i="1"/>
  <c r="AD33" i="1"/>
  <c r="AC33" i="1"/>
  <c r="AX33" i="1"/>
  <c r="J33" i="1"/>
  <c r="N33" i="1" s="1"/>
  <c r="AD34" i="1"/>
  <c r="AC34" i="1"/>
  <c r="AX34" i="1"/>
  <c r="AW34" i="1"/>
  <c r="BJ34" i="1"/>
  <c r="AD36" i="1"/>
  <c r="AC36" i="1"/>
  <c r="AX36" i="1"/>
  <c r="AD37" i="1"/>
  <c r="AC37" i="1"/>
  <c r="AW37" i="1"/>
  <c r="AX37" i="1"/>
  <c r="L37" i="1"/>
  <c r="P37" i="1" s="1"/>
  <c r="J79" i="2"/>
  <c r="E79" i="2" s="1"/>
  <c r="AB33" i="1" l="1"/>
  <c r="AB34" i="1" s="1"/>
  <c r="AB35" i="1" s="1"/>
  <c r="AB36" i="1" s="1"/>
  <c r="AB37" i="1" s="1"/>
  <c r="J37" i="1"/>
  <c r="N37" i="1" s="1"/>
  <c r="I37" i="1"/>
  <c r="BK36" i="1"/>
  <c r="I36" i="1"/>
  <c r="M36" i="1" s="1"/>
  <c r="L36" i="1"/>
  <c r="P36" i="1" s="1"/>
  <c r="J36" i="1"/>
  <c r="N36" i="1" s="1"/>
  <c r="L34" i="1"/>
  <c r="P34" i="1" s="1"/>
  <c r="J34" i="1"/>
  <c r="N34" i="1" s="1"/>
  <c r="I34" i="1"/>
  <c r="M34" i="1" s="1"/>
  <c r="L33" i="1"/>
  <c r="P33" i="1" s="1"/>
  <c r="I33" i="1"/>
  <c r="M33" i="1" s="1"/>
  <c r="L18" i="1"/>
  <c r="P18" i="1" s="1"/>
  <c r="J18" i="1"/>
  <c r="N18" i="1" s="1"/>
  <c r="I18" i="1"/>
  <c r="M18" i="1" s="1"/>
  <c r="J17" i="1"/>
  <c r="N17" i="1" s="1"/>
  <c r="I17" i="1"/>
  <c r="M17" i="1" s="1"/>
  <c r="J16" i="1"/>
  <c r="N16" i="1" s="1"/>
  <c r="I16" i="1"/>
  <c r="M16" i="1" s="1"/>
  <c r="L16" i="1"/>
  <c r="P16" i="1" s="1"/>
  <c r="L15" i="1"/>
  <c r="P15" i="1" s="1"/>
  <c r="I15" i="1"/>
  <c r="M15" i="1" s="1"/>
  <c r="J14" i="1"/>
  <c r="N14" i="1" s="1"/>
  <c r="I14" i="1"/>
  <c r="M14" i="1" s="1"/>
  <c r="L13" i="1"/>
  <c r="P13" i="1" s="1"/>
  <c r="L12" i="1"/>
  <c r="P12" i="1" s="1"/>
  <c r="I12" i="1"/>
  <c r="M12" i="1" s="1"/>
  <c r="J12" i="1"/>
  <c r="N12" i="1" s="1"/>
  <c r="BJ11" i="1"/>
  <c r="L11" i="1"/>
  <c r="P11" i="1" s="1"/>
  <c r="I11" i="1"/>
  <c r="M11" i="1" s="1"/>
  <c r="J11" i="1"/>
  <c r="N11" i="1" s="1"/>
  <c r="L10" i="1"/>
  <c r="P10" i="1" s="1"/>
  <c r="J10" i="1"/>
  <c r="N10" i="1" s="1"/>
  <c r="M13" i="1"/>
  <c r="M10" i="1"/>
  <c r="M37" i="1"/>
  <c r="BJ8" i="1"/>
  <c r="M8" i="1"/>
  <c r="BJ9" i="1"/>
  <c r="M9" i="1"/>
  <c r="AL35" i="1"/>
  <c r="AL36" i="1" s="1"/>
  <c r="AL37" i="1" s="1"/>
  <c r="BI35" i="1"/>
  <c r="BI36" i="1" s="1"/>
  <c r="BI37" i="1" s="1"/>
  <c r="AV35" i="1"/>
  <c r="AV36" i="1" s="1"/>
  <c r="AV37" i="1" s="1"/>
  <c r="AW8" i="1"/>
  <c r="BJ33" i="1"/>
  <c r="BJ13" i="1"/>
  <c r="BK16" i="1"/>
  <c r="BJ36" i="1"/>
  <c r="BK37" i="1"/>
  <c r="BJ15" i="1"/>
  <c r="BK8" i="1"/>
  <c r="BK33" i="1"/>
  <c r="AC11" i="1"/>
  <c r="BJ14" i="1"/>
  <c r="BK14" i="1"/>
  <c r="BJ17" i="1"/>
  <c r="BK17" i="1"/>
  <c r="AW10" i="1"/>
  <c r="BJ37" i="1"/>
  <c r="AW36" i="1"/>
  <c r="AW33" i="1"/>
  <c r="AW18" i="1"/>
  <c r="BK15" i="1"/>
  <c r="BK10" i="1"/>
  <c r="BK9" i="1"/>
  <c r="BK18" i="1"/>
  <c r="BK11" i="1"/>
  <c r="BJ10" i="1"/>
  <c r="BK34" i="1"/>
  <c r="BK12" i="1"/>
  <c r="BK13" i="1"/>
  <c r="I79" i="2"/>
  <c r="H79" i="2"/>
  <c r="G79" i="2"/>
  <c r="F79" i="2"/>
  <c r="J49" i="2" l="1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H30" authorId="2" shapeId="0" xr:uid="{416CE0A7-97AD-4A64-91A9-86DB2D39B0AB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CORTE 44KV SEAT FAENAS PST TRAMO INTERIOR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<sst xmlns="http://schemas.openxmlformats.org/spreadsheetml/2006/main" count="121" uniqueCount="69">
  <si>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</si>
  <si>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</si>
  <si>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</si>
  <si>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</si>
  <si>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</si>
  <si>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</si>
  <si>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</si>
  <si>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</si>
  <si>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</si>
  <si>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</si>
  <si>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</si>
  <si>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</si>
  <si>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</si>
  <si>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</si>
  <si>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</si>
  <si>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</si>
  <si>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</si>
  <si>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</si>
  <si>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</si>
  <si>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</si>
  <si>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</si>
  <si>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</si>
  <si>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</si>
  <si>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</si>
  <si>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</si>
  <si>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</si>
  <si>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</si>
  <si>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</si>
  <si>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</si>
  <si>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</si>
  <si>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</si>
  <si>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</si>
  <si>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</si>
  <si>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</si>
  <si>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</si>
  <si>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</si>
  <si>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</si>
  <si>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</si>
  <si>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</si>
  <si>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</si>
  <si>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</si>
  <si>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</si>
  <si>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</si>
  <si>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</si>
  <si>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</si>
  <si>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</si>
  <si>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</si>
  <si>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</si>
  <si>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</si>
  <si>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</si>
  <si>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</si>
  <si>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</si>
  <si>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</si>
  <si>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</si>
  <si>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</si>
  <si>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</si>
  <si>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</si>
  <si>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</si>
  <si>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</si>
  <si>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</si>
  <si>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</si>
  <si>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</si>
  <si>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</si>
  <si>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</si>
  <si>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</si>
  <si>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</si>
  <si>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</si>
  <si>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</si>
  <si>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>DDA Max 12 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</si>
</sst>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 applyFill="1"/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8" fillId="0" borderId="50" xfId="0" applyNumberFormat="1" applyFont="1" applyBorder="1" applyAlignment="1">
      <alignment horizontal="center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9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61184</c:v>
                </c:pt>
                <c:pt idx="1">
                  <c:v>62616</c:v>
                </c:pt>
                <c:pt idx="2">
                  <c:v>34232</c:v>
                </c:pt>
                <c:pt idx="3">
                  <c:v>29248</c:v>
                </c:pt>
                <c:pt idx="4">
                  <c:v>58215</c:v>
                </c:pt>
                <c:pt idx="5">
                  <c:v>62376</c:v>
                </c:pt>
                <c:pt idx="6">
                  <c:v>61600</c:v>
                </c:pt>
                <c:pt idx="7">
                  <c:v>61108</c:v>
                </c:pt>
                <c:pt idx="8">
                  <c:v>62162</c:v>
                </c:pt>
                <c:pt idx="9">
                  <c:v>33680</c:v>
                </c:pt>
                <c:pt idx="10">
                  <c:v>28690</c:v>
                </c:pt>
                <c:pt idx="11">
                  <c:v>28742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46296</c:v>
                      </c:pt>
                      <c:pt idx="1">
                        <c:v>46297</c:v>
                      </c:pt>
                      <c:pt idx="2">
                        <c:v>46298</c:v>
                      </c:pt>
                      <c:pt idx="3">
                        <c:v>46299</c:v>
                      </c:pt>
                      <c:pt idx="4">
                        <c:v>46300</c:v>
                      </c:pt>
                      <c:pt idx="5">
                        <c:v>46301</c:v>
                      </c:pt>
                      <c:pt idx="6">
                        <c:v>46302</c:v>
                      </c:pt>
                      <c:pt idx="7">
                        <c:v>46303</c:v>
                      </c:pt>
                      <c:pt idx="8">
                        <c:v>46304</c:v>
                      </c:pt>
                      <c:pt idx="9">
                        <c:v>46305</c:v>
                      </c:pt>
                      <c:pt idx="10">
                        <c:v>46306</c:v>
                      </c:pt>
                      <c:pt idx="11">
                        <c:v>46307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54032.377500000002</c:v>
                </c:pt>
                <c:pt idx="1">
                  <c:v>55584.127500000002</c:v>
                </c:pt>
                <c:pt idx="2">
                  <c:v>27491.1875</c:v>
                </c:pt>
                <c:pt idx="3">
                  <c:v>22603.377500000002</c:v>
                </c:pt>
                <c:pt idx="4">
                  <c:v>51286.377500000002</c:v>
                </c:pt>
                <c:pt idx="5">
                  <c:v>55166.377500000002</c:v>
                </c:pt>
                <c:pt idx="6">
                  <c:v>54515.377500000002</c:v>
                </c:pt>
                <c:pt idx="7">
                  <c:v>53986.387499999997</c:v>
                </c:pt>
                <c:pt idx="8">
                  <c:v>55372.377500000002</c:v>
                </c:pt>
                <c:pt idx="9">
                  <c:v>26676.377500000002</c:v>
                </c:pt>
                <c:pt idx="10">
                  <c:v>21710.377500000002</c:v>
                </c:pt>
                <c:pt idx="11">
                  <c:v>21708.377500000002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7151.6224999999995</c:v>
                </c:pt>
                <c:pt idx="1">
                  <c:v>7031.8724999999995</c:v>
                </c:pt>
                <c:pt idx="2">
                  <c:v>6740.8125</c:v>
                </c:pt>
                <c:pt idx="3">
                  <c:v>6644.6224999999995</c:v>
                </c:pt>
                <c:pt idx="4">
                  <c:v>6928.6224999999995</c:v>
                </c:pt>
                <c:pt idx="5">
                  <c:v>7209.6224999999995</c:v>
                </c:pt>
                <c:pt idx="6">
                  <c:v>7084.6224999999995</c:v>
                </c:pt>
                <c:pt idx="7">
                  <c:v>7121.6124999999993</c:v>
                </c:pt>
                <c:pt idx="8">
                  <c:v>6789.6224999999995</c:v>
                </c:pt>
                <c:pt idx="9">
                  <c:v>7003.6224999999995</c:v>
                </c:pt>
                <c:pt idx="10">
                  <c:v>6979.6224999999995</c:v>
                </c:pt>
                <c:pt idx="11">
                  <c:v>7033.6224999999995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2938</c:v>
                </c:pt>
                <c:pt idx="1">
                  <c:v>2852</c:v>
                </c:pt>
                <c:pt idx="2">
                  <c:v>2777.36</c:v>
                </c:pt>
                <c:pt idx="3">
                  <c:v>2432.7800000000002</c:v>
                </c:pt>
                <c:pt idx="4">
                  <c:v>2366</c:v>
                </c:pt>
                <c:pt idx="5">
                  <c:v>2840</c:v>
                </c:pt>
                <c:pt idx="6">
                  <c:v>3003</c:v>
                </c:pt>
                <c:pt idx="7">
                  <c:v>2896</c:v>
                </c:pt>
                <c:pt idx="8">
                  <c:v>2899.91</c:v>
                </c:pt>
                <c:pt idx="9">
                  <c:v>2864</c:v>
                </c:pt>
                <c:pt idx="10">
                  <c:v>2481</c:v>
                </c:pt>
                <c:pt idx="11">
                  <c:v>2468</c:v>
                </c:pt>
                <c:pt idx="12">
                  <c:v>2389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37</xdr:row>
      <xdr:rowOff>0</xdr:rowOff>
    </xdr:from>
    <xdr:to>
      <xdr:col>6</xdr:col>
      <xdr:colOff>23812</xdr:colOff>
      <xdr:row>49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37</xdr:row>
      <xdr:rowOff>0</xdr:rowOff>
    </xdr:from>
    <xdr:to>
      <xdr:col>15</xdr:col>
      <xdr:colOff>31750</xdr:colOff>
      <xdr:row>49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37</xdr:row>
      <xdr:rowOff>0</xdr:rowOff>
    </xdr:from>
    <xdr:to>
      <xdr:col>9</xdr:col>
      <xdr:colOff>666749</xdr:colOff>
      <xdr:row>49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9"/>
  <sheetViews>
    <sheetView tabSelected="1" topLeftCell="A5" zoomScaleNormal="100" zoomScaleSheetLayoutView="120" workbookViewId="0">
      <selection activeCell="BD35" sqref="BD35"/>
    </sheetView>
  </sheetViews>
  <sheetFormatPr baseColWidth="10" defaultColWidth="11.42578125" defaultRowHeight="15" x14ac:dyDescent="0.25"/>
  <cols>
    <col min="1" max="1" width="2.28515625" style="131" customWidth="1"/>
    <col min="2" max="2" width="10.42578125" style="14" customWidth="1"/>
    <col min="3" max="3" width="2.28515625" style="164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0" customFormat="1" ht="14.65" customHeight="1" x14ac:dyDescent="0.25">
      <c r="A1" s="124">
        <v>1.1111111E+55</v>
      </c>
      <c r="B1" s="201" t="s">
        <v>0</v>
      </c>
      <c r="C1" s="125"/>
      <c r="D1" s="203" t="s">
        <v>1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  <c r="P1" s="206"/>
      <c r="Q1" s="126"/>
      <c r="R1" s="183" t="s">
        <v>2</v>
      </c>
      <c r="S1" s="184"/>
      <c r="T1" s="184"/>
      <c r="U1" s="184"/>
      <c r="V1" s="184"/>
      <c r="W1" s="184"/>
      <c r="X1" s="184"/>
      <c r="Y1" s="184"/>
      <c r="Z1" s="184"/>
      <c r="AA1" s="185"/>
      <c r="AB1" s="127"/>
      <c r="AC1" s="183" t="s">
        <v>3</v>
      </c>
      <c r="AD1" s="184"/>
      <c r="AE1" s="184"/>
      <c r="AF1" s="184"/>
      <c r="AG1" s="184"/>
      <c r="AH1" s="184"/>
      <c r="AI1" s="184"/>
      <c r="AJ1" s="184"/>
      <c r="AK1" s="185"/>
      <c r="AL1" s="128"/>
      <c r="AM1" s="183" t="s">
        <v>4</v>
      </c>
      <c r="AN1" s="184"/>
      <c r="AO1" s="184"/>
      <c r="AP1" s="184"/>
      <c r="AQ1" s="184"/>
      <c r="AR1" s="184"/>
      <c r="AS1" s="184"/>
      <c r="AT1" s="184"/>
      <c r="AU1" s="185"/>
      <c r="AV1" s="128"/>
      <c r="AW1" s="183" t="s">
        <v>57</v>
      </c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5"/>
      <c r="BI1" s="128"/>
      <c r="BJ1" s="183" t="s">
        <v>5</v>
      </c>
      <c r="BK1" s="184"/>
      <c r="BL1" s="184"/>
      <c r="BM1" s="184"/>
      <c r="BN1" s="184"/>
      <c r="BO1" s="184"/>
      <c r="BP1" s="184"/>
      <c r="BQ1" s="184"/>
      <c r="BR1" s="185"/>
      <c r="BS1" s="129"/>
    </row>
    <row r="2" spans="1:71" ht="15" customHeight="1" thickBot="1" x14ac:dyDescent="0.3">
      <c r="B2" s="201"/>
      <c r="C2" s="1"/>
      <c r="D2" s="207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9"/>
      <c r="P2" s="210"/>
      <c r="Q2" s="56"/>
      <c r="R2" s="186"/>
      <c r="S2" s="187"/>
      <c r="T2" s="187"/>
      <c r="U2" s="187"/>
      <c r="V2" s="187"/>
      <c r="W2" s="187"/>
      <c r="X2" s="187"/>
      <c r="Y2" s="187"/>
      <c r="Z2" s="187"/>
      <c r="AA2" s="188"/>
      <c r="AB2" s="58"/>
      <c r="AC2" s="186"/>
      <c r="AD2" s="187"/>
      <c r="AE2" s="187"/>
      <c r="AF2" s="187"/>
      <c r="AG2" s="187"/>
      <c r="AH2" s="187"/>
      <c r="AI2" s="187"/>
      <c r="AJ2" s="187"/>
      <c r="AK2" s="188"/>
      <c r="AL2" s="57"/>
      <c r="AM2" s="186"/>
      <c r="AN2" s="187"/>
      <c r="AO2" s="187"/>
      <c r="AP2" s="187"/>
      <c r="AQ2" s="187"/>
      <c r="AR2" s="187"/>
      <c r="AS2" s="187"/>
      <c r="AT2" s="187"/>
      <c r="AU2" s="188"/>
      <c r="AV2" s="57"/>
      <c r="AW2" s="186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8"/>
      <c r="BI2" s="57"/>
      <c r="BJ2" s="186"/>
      <c r="BK2" s="187"/>
      <c r="BL2" s="187"/>
      <c r="BM2" s="187"/>
      <c r="BN2" s="187"/>
      <c r="BO2" s="187"/>
      <c r="BP2" s="187"/>
      <c r="BQ2" s="187"/>
      <c r="BR2" s="188"/>
      <c r="BS2" s="132"/>
    </row>
    <row r="3" spans="1:71" ht="30" customHeight="1" thickBot="1" x14ac:dyDescent="0.3">
      <c r="B3" s="201"/>
      <c r="C3" s="1"/>
      <c r="D3" s="189" t="s">
        <v>6</v>
      </c>
      <c r="E3" s="189" t="s">
        <v>7</v>
      </c>
      <c r="F3" s="189" t="s">
        <v>8</v>
      </c>
      <c r="G3" s="189" t="s">
        <v>9</v>
      </c>
      <c r="H3" s="189" t="s">
        <v>10</v>
      </c>
      <c r="I3" s="211" t="s">
        <v>11</v>
      </c>
      <c r="J3" s="212"/>
      <c r="K3" s="213"/>
      <c r="L3" s="214"/>
      <c r="M3" s="211" t="s">
        <v>12</v>
      </c>
      <c r="N3" s="212"/>
      <c r="O3" s="213"/>
      <c r="P3" s="214"/>
      <c r="Q3" s="56"/>
      <c r="R3" s="193" t="s">
        <v>13</v>
      </c>
      <c r="S3" s="194"/>
      <c r="T3" s="215"/>
      <c r="U3" s="215"/>
      <c r="V3" s="193" t="s">
        <v>14</v>
      </c>
      <c r="W3" s="194"/>
      <c r="X3" s="194"/>
      <c r="Y3" s="194"/>
      <c r="Z3" s="194"/>
      <c r="AA3" s="195"/>
      <c r="AB3" s="58"/>
      <c r="AC3" s="191" t="s">
        <v>15</v>
      </c>
      <c r="AD3" s="216" t="s">
        <v>9</v>
      </c>
      <c r="AE3" s="193" t="s">
        <v>13</v>
      </c>
      <c r="AF3" s="194"/>
      <c r="AG3" s="195"/>
      <c r="AH3" s="193" t="s">
        <v>14</v>
      </c>
      <c r="AI3" s="194"/>
      <c r="AJ3" s="194"/>
      <c r="AK3" s="195"/>
      <c r="AL3" s="57"/>
      <c r="AM3" s="196" t="s">
        <v>15</v>
      </c>
      <c r="AN3" s="191" t="s">
        <v>9</v>
      </c>
      <c r="AO3" s="200" t="s">
        <v>13</v>
      </c>
      <c r="AP3" s="194"/>
      <c r="AQ3" s="195"/>
      <c r="AR3" s="193" t="s">
        <v>14</v>
      </c>
      <c r="AS3" s="194"/>
      <c r="AT3" s="194"/>
      <c r="AU3" s="195"/>
      <c r="AV3" s="57"/>
      <c r="AW3" s="191" t="s">
        <v>15</v>
      </c>
      <c r="AX3" s="191" t="s">
        <v>9</v>
      </c>
      <c r="AY3" s="200" t="s">
        <v>13</v>
      </c>
      <c r="AZ3" s="200"/>
      <c r="BA3" s="194"/>
      <c r="BB3" s="195"/>
      <c r="BC3" s="193" t="s">
        <v>14</v>
      </c>
      <c r="BD3" s="200"/>
      <c r="BE3" s="200"/>
      <c r="BF3" s="194"/>
      <c r="BG3" s="194"/>
      <c r="BH3" s="195"/>
      <c r="BI3" s="57"/>
      <c r="BJ3" s="196" t="s">
        <v>16</v>
      </c>
      <c r="BK3" s="191" t="s">
        <v>17</v>
      </c>
      <c r="BL3" s="197" t="s">
        <v>18</v>
      </c>
      <c r="BM3" s="198"/>
      <c r="BN3" s="199"/>
      <c r="BO3" s="200" t="s">
        <v>14</v>
      </c>
      <c r="BP3" s="194"/>
      <c r="BQ3" s="194"/>
      <c r="BR3" s="195"/>
      <c r="BS3" s="132"/>
    </row>
    <row r="4" spans="1:71" ht="56.25" customHeight="1" thickBot="1" x14ac:dyDescent="0.3">
      <c r="B4" s="202"/>
      <c r="C4" s="2"/>
      <c r="D4" s="190"/>
      <c r="E4" s="190"/>
      <c r="F4" s="190"/>
      <c r="G4" s="190"/>
      <c r="H4" s="190"/>
      <c r="I4" s="78" t="s">
        <v>3</v>
      </c>
      <c r="J4" s="79" t="s">
        <v>4</v>
      </c>
      <c r="K4" s="80" t="s">
        <v>57</v>
      </c>
      <c r="L4" s="80" t="s">
        <v>5</v>
      </c>
      <c r="M4" s="79" t="s">
        <v>3</v>
      </c>
      <c r="N4" s="79" t="s">
        <v>4</v>
      </c>
      <c r="O4" s="79" t="s">
        <v>57</v>
      </c>
      <c r="P4" s="79" t="s">
        <v>19</v>
      </c>
      <c r="Q4" s="58"/>
      <c r="R4" s="119" t="s">
        <v>20</v>
      </c>
      <c r="S4" s="60" t="s">
        <v>21</v>
      </c>
      <c r="T4" s="60" t="s">
        <v>59</v>
      </c>
      <c r="U4" s="60" t="s">
        <v>22</v>
      </c>
      <c r="V4" s="120" t="s">
        <v>23</v>
      </c>
      <c r="W4" s="60" t="s">
        <v>24</v>
      </c>
      <c r="X4" s="120" t="s">
        <v>25</v>
      </c>
      <c r="Y4" s="60" t="s">
        <v>24</v>
      </c>
      <c r="Z4" s="122" t="s">
        <v>26</v>
      </c>
      <c r="AA4" s="122" t="s">
        <v>24</v>
      </c>
      <c r="AB4" s="58"/>
      <c r="AC4" s="192"/>
      <c r="AD4" s="184"/>
      <c r="AE4" s="60" t="s">
        <v>27</v>
      </c>
      <c r="AF4" s="119" t="s">
        <v>28</v>
      </c>
      <c r="AG4" s="60" t="s">
        <v>29</v>
      </c>
      <c r="AH4" s="121" t="s">
        <v>30</v>
      </c>
      <c r="AI4" s="60" t="s">
        <v>24</v>
      </c>
      <c r="AJ4" s="60" t="s">
        <v>31</v>
      </c>
      <c r="AK4" s="60" t="s">
        <v>24</v>
      </c>
      <c r="AL4" s="59"/>
      <c r="AM4" s="183"/>
      <c r="AN4" s="192"/>
      <c r="AO4" s="120" t="s">
        <v>27</v>
      </c>
      <c r="AP4" s="60" t="s">
        <v>28</v>
      </c>
      <c r="AQ4" s="119" t="s">
        <v>29</v>
      </c>
      <c r="AR4" s="60" t="s">
        <v>30</v>
      </c>
      <c r="AS4" s="120" t="s">
        <v>24</v>
      </c>
      <c r="AT4" s="60" t="s">
        <v>31</v>
      </c>
      <c r="AU4" s="121" t="s">
        <v>24</v>
      </c>
      <c r="AV4" s="59"/>
      <c r="AW4" s="192"/>
      <c r="AX4" s="192"/>
      <c r="AY4" s="120" t="s">
        <v>27</v>
      </c>
      <c r="AZ4" s="60" t="s">
        <v>58</v>
      </c>
      <c r="BA4" s="120" t="s">
        <v>60</v>
      </c>
      <c r="BB4" s="60" t="s">
        <v>29</v>
      </c>
      <c r="BC4" s="120" t="s">
        <v>55</v>
      </c>
      <c r="BD4" s="60" t="s">
        <v>24</v>
      </c>
      <c r="BE4" s="120" t="s">
        <v>56</v>
      </c>
      <c r="BF4" s="60" t="s">
        <v>24</v>
      </c>
      <c r="BG4" s="120" t="s">
        <v>68</v>
      </c>
      <c r="BH4" s="60" t="s">
        <v>24</v>
      </c>
      <c r="BI4" s="59"/>
      <c r="BJ4" s="183"/>
      <c r="BK4" s="192"/>
      <c r="BL4" s="120" t="s">
        <v>32</v>
      </c>
      <c r="BM4" s="60" t="s">
        <v>33</v>
      </c>
      <c r="BN4" s="60" t="s">
        <v>34</v>
      </c>
      <c r="BO4" s="60" t="s">
        <v>35</v>
      </c>
      <c r="BP4" s="120" t="s">
        <v>24</v>
      </c>
      <c r="BQ4" s="60" t="s">
        <v>36</v>
      </c>
      <c r="BR4" s="121" t="s">
        <v>24</v>
      </c>
      <c r="BS4" s="133"/>
    </row>
    <row r="5" spans="1:71" ht="15.75" thickBot="1" x14ac:dyDescent="0.3">
      <c r="B5" s="134"/>
      <c r="C5" s="135"/>
      <c r="D5" s="81"/>
      <c r="E5" s="69"/>
      <c r="F5" s="81"/>
      <c r="G5" s="69"/>
      <c r="H5" s="82"/>
      <c r="I5" s="83"/>
      <c r="J5" s="69"/>
      <c r="K5" s="84"/>
      <c r="L5" s="84"/>
      <c r="M5" s="82"/>
      <c r="N5" s="82"/>
      <c r="O5" s="82"/>
      <c r="P5" s="82"/>
      <c r="Q5" s="61"/>
      <c r="R5" s="136"/>
      <c r="S5" s="137"/>
      <c r="T5" s="137"/>
      <c r="U5" s="137"/>
      <c r="V5" s="138"/>
      <c r="W5" s="139"/>
      <c r="X5" s="138"/>
      <c r="Y5" s="139"/>
      <c r="Z5" s="138"/>
      <c r="AA5" s="139"/>
      <c r="AB5" s="62"/>
      <c r="AC5" s="140"/>
      <c r="AD5" s="141"/>
      <c r="AE5" s="91"/>
      <c r="AF5" s="116"/>
      <c r="AG5" s="91"/>
      <c r="AH5" s="91"/>
      <c r="AI5" s="92"/>
      <c r="AJ5" s="93"/>
      <c r="AK5" s="94"/>
      <c r="AL5" s="65"/>
      <c r="AM5" s="66"/>
      <c r="AN5" s="67"/>
      <c r="AO5" s="95"/>
      <c r="AP5" s="113"/>
      <c r="AQ5" s="96"/>
      <c r="AR5" s="97"/>
      <c r="AS5" s="98"/>
      <c r="AT5" s="99"/>
      <c r="AU5" s="100"/>
      <c r="AV5" s="65"/>
      <c r="AW5" s="101"/>
      <c r="AX5" s="102"/>
      <c r="AY5" s="103"/>
      <c r="AZ5" s="104"/>
      <c r="BA5" s="118"/>
      <c r="BB5" s="105"/>
      <c r="BC5" s="105"/>
      <c r="BD5" s="106"/>
      <c r="BE5" s="105"/>
      <c r="BF5" s="106"/>
      <c r="BG5" s="105"/>
      <c r="BH5" s="106"/>
      <c r="BI5" s="65"/>
      <c r="BJ5" s="70"/>
      <c r="BK5" s="67"/>
      <c r="BL5" s="71"/>
      <c r="BM5" s="63"/>
      <c r="BN5" s="63"/>
      <c r="BO5" s="68"/>
      <c r="BP5" s="72"/>
      <c r="BQ5" s="73"/>
      <c r="BR5" s="64"/>
      <c r="BS5" s="142"/>
    </row>
    <row r="6" spans="1:71" ht="15.75" thickBot="1" x14ac:dyDescent="0.3">
      <c r="B6" s="54">
        <v>46295</v>
      </c>
      <c r="D6" s="85">
        <f>R6+T6</f>
        <v>61650</v>
      </c>
      <c r="E6" s="156">
        <f t="shared" ref="E6:E35" si="0">F6/D6</f>
        <v>0.88472631792376322</v>
      </c>
      <c r="F6" s="85">
        <f t="shared" ref="F6:F37" si="1">D6-H6</f>
        <v>54543.377500000002</v>
      </c>
      <c r="G6" s="156">
        <f t="shared" ref="G6:G37" si="2">H6/D6</f>
        <v>0.11527368207623681</v>
      </c>
      <c r="H6" s="143">
        <f t="shared" ref="H6:H37" si="3">U6+AG6+AQ6+BB6</f>
        <v>7106.6224999999995</v>
      </c>
      <c r="I6" s="157">
        <f t="shared" ref="I6:I37" si="4">AE6/(AE6+AO6+BL6+AY6)</f>
        <v>0.1201260165579896</v>
      </c>
      <c r="J6" s="156">
        <f t="shared" ref="J6:J37" si="5">AO6/(AE6+AO6+BL6+AY6)</f>
        <v>0.15627518499523774</v>
      </c>
      <c r="K6" s="156">
        <f t="shared" ref="K6:K37" si="6">AY6/(AF6+AP6+BM6+AZ6+AY6)</f>
        <v>0.16927202674949504</v>
      </c>
      <c r="L6" s="158">
        <f t="shared" ref="L6:L37" si="7">BL6/(AE6+AO6+BL6+AY6)</f>
        <v>0.57746355044325592</v>
      </c>
      <c r="M6" s="143">
        <f>(S6+T6)*I6</f>
        <v>7320.7197010770024</v>
      </c>
      <c r="N6" s="143">
        <f>(S6+T6)*J6</f>
        <v>9523.7223239797786</v>
      </c>
      <c r="O6" s="143">
        <f>(S6+T6)*K6</f>
        <v>10315.775854167727</v>
      </c>
      <c r="P6" s="143">
        <f>(S6+T6)*L6</f>
        <v>35191.783691112905</v>
      </c>
      <c r="Q6" s="54">
        <v>46295</v>
      </c>
      <c r="R6" s="137">
        <v>61650</v>
      </c>
      <c r="S6" s="137">
        <v>60942</v>
      </c>
      <c r="T6" s="137">
        <v>0</v>
      </c>
      <c r="U6" s="137">
        <v>0</v>
      </c>
      <c r="V6" s="138">
        <v>13985</v>
      </c>
      <c r="W6" s="139">
        <v>0.80208333333333337</v>
      </c>
      <c r="X6" s="138">
        <v>5099</v>
      </c>
      <c r="Y6" s="139">
        <v>0.78125</v>
      </c>
      <c r="Z6" s="138">
        <v>0</v>
      </c>
      <c r="AA6" s="139">
        <v>0</v>
      </c>
      <c r="AB6" s="54">
        <v>46295</v>
      </c>
      <c r="AC6" s="74">
        <f t="shared" ref="AC6:AC7" si="8">+AF6/AE6</f>
        <v>1</v>
      </c>
      <c r="AD6" s="159">
        <f t="shared" ref="AD6:AD7" si="9">+AG6/AE6</f>
        <v>0</v>
      </c>
      <c r="AE6" s="160">
        <v>8198</v>
      </c>
      <c r="AF6" s="115">
        <f t="shared" ref="AF6:AF37" si="10">AE6-AG6</f>
        <v>8198</v>
      </c>
      <c r="AG6" s="144">
        <v>0</v>
      </c>
      <c r="AH6" s="145">
        <v>4486</v>
      </c>
      <c r="AI6" s="146">
        <v>0.73472222222222228</v>
      </c>
      <c r="AJ6" s="145">
        <v>0</v>
      </c>
      <c r="AK6" s="162">
        <v>0</v>
      </c>
      <c r="AL6" s="54">
        <v>46295</v>
      </c>
      <c r="AM6" s="75">
        <f t="shared" ref="AM6" si="11">+AP6/AO6</f>
        <v>0.63844350679793715</v>
      </c>
      <c r="AN6" s="74">
        <f t="shared" ref="AN6" si="12">+AQ6/AO6</f>
        <v>0.36155649320206285</v>
      </c>
      <c r="AO6" s="147">
        <v>10665</v>
      </c>
      <c r="AP6" s="114">
        <f>AO6-AQ6</f>
        <v>6809</v>
      </c>
      <c r="AQ6" s="148">
        <v>3856</v>
      </c>
      <c r="AR6" s="149">
        <v>3638</v>
      </c>
      <c r="AS6" s="150">
        <v>0.4152777777777778</v>
      </c>
      <c r="AT6" s="149">
        <v>174</v>
      </c>
      <c r="AU6" s="151">
        <v>0.9375</v>
      </c>
      <c r="AV6" s="54">
        <v>46295</v>
      </c>
      <c r="AW6" s="107">
        <f t="shared" ref="AW6:AW7" si="13">BA6/AZ6</f>
        <v>0.67405770580567537</v>
      </c>
      <c r="AX6" s="107">
        <f t="shared" ref="AX6:AX7" si="14">BB6/AZ6</f>
        <v>0.32594229419432469</v>
      </c>
      <c r="AY6" s="108">
        <f>BA6+BB6</f>
        <v>9973</v>
      </c>
      <c r="AZ6" s="109">
        <v>9973</v>
      </c>
      <c r="BA6" s="117">
        <f t="shared" ref="BA6:BA37" si="15">AZ6-BB6</f>
        <v>6722.3775000000005</v>
      </c>
      <c r="BB6" s="110">
        <f>2641+BB39</f>
        <v>3250.6224999999999</v>
      </c>
      <c r="BC6" s="109">
        <v>4531</v>
      </c>
      <c r="BD6" s="111">
        <v>0.76041666666666663</v>
      </c>
      <c r="BE6" s="112">
        <v>0</v>
      </c>
      <c r="BF6" s="111">
        <v>0</v>
      </c>
      <c r="BG6" s="112">
        <v>158</v>
      </c>
      <c r="BH6" s="111">
        <v>0.83333333333333337</v>
      </c>
      <c r="BI6" s="54">
        <v>46295</v>
      </c>
      <c r="BJ6" s="76">
        <f t="shared" ref="BJ6" si="16">+BM6/BL6</f>
        <v>0.60808444771498893</v>
      </c>
      <c r="BK6" s="74">
        <f t="shared" ref="BK6" si="17">+BN6/BL6</f>
        <v>0.39191555228501102</v>
      </c>
      <c r="BL6" s="77">
        <f t="shared" ref="BL6:BL37" si="18">BM6+BN6</f>
        <v>39409</v>
      </c>
      <c r="BM6" s="152">
        <v>23964</v>
      </c>
      <c r="BN6" s="152">
        <v>15445</v>
      </c>
      <c r="BO6" s="153">
        <v>4635</v>
      </c>
      <c r="BP6" s="154">
        <v>0.73541666666666672</v>
      </c>
      <c r="BQ6" s="155">
        <v>3081</v>
      </c>
      <c r="BR6" s="154">
        <v>0.73611111111111116</v>
      </c>
    </row>
    <row r="7" spans="1:71" ht="15.75" thickBot="1" x14ac:dyDescent="0.3">
      <c r="A7" s="163"/>
      <c r="B7" s="54">
        <v>46296</v>
      </c>
      <c r="C7" s="123"/>
      <c r="D7" s="85">
        <f>R7+T7</f>
        <v>61184</v>
      </c>
      <c r="E7" s="156">
        <f t="shared" si="0"/>
        <v>0.88311286447437243</v>
      </c>
      <c r="F7" s="85">
        <f t="shared" si="1"/>
        <v>54032.377500000002</v>
      </c>
      <c r="G7" s="156">
        <f t="shared" si="2"/>
        <v>0.1168871355256276</v>
      </c>
      <c r="H7" s="143">
        <f t="shared" si="3"/>
        <v>7151.6224999999995</v>
      </c>
      <c r="I7" s="157">
        <f t="shared" si="4"/>
        <v>0.11958293560466994</v>
      </c>
      <c r="J7" s="156">
        <f t="shared" si="5"/>
        <v>0.1590425141346648</v>
      </c>
      <c r="K7" s="156">
        <f t="shared" si="6"/>
        <v>0.17293538399066039</v>
      </c>
      <c r="L7" s="158">
        <f t="shared" si="7"/>
        <v>0.57127542403994425</v>
      </c>
      <c r="M7" s="143">
        <f t="shared" ref="M7:M37" si="19">(S7+T7)*I7</f>
        <v>7231.6584477568103</v>
      </c>
      <c r="N7" s="143">
        <f t="shared" ref="N7:N37" si="20">(S7+T7)*J7</f>
        <v>9617.9369997797185</v>
      </c>
      <c r="O7" s="143">
        <f t="shared" ref="O7:O37" si="21">(S7+T7)*K7</f>
        <v>10458.094411451197</v>
      </c>
      <c r="P7" s="143">
        <f t="shared" ref="P7:P37" si="22">(S7+T7)*L7</f>
        <v>34547.309993391587</v>
      </c>
      <c r="Q7" s="54">
        <f>Q6+1</f>
        <v>46296</v>
      </c>
      <c r="R7" s="136">
        <v>61184</v>
      </c>
      <c r="S7" s="137">
        <v>60474</v>
      </c>
      <c r="T7" s="137">
        <v>0</v>
      </c>
      <c r="U7" s="137">
        <v>0</v>
      </c>
      <c r="V7" s="138">
        <v>15040</v>
      </c>
      <c r="W7" s="139">
        <v>0.8125</v>
      </c>
      <c r="X7" s="138">
        <v>5297</v>
      </c>
      <c r="Y7" s="139">
        <v>0.40625</v>
      </c>
      <c r="Z7" s="138">
        <v>0</v>
      </c>
      <c r="AA7" s="139">
        <v>0</v>
      </c>
      <c r="AB7" s="54">
        <f>AB6+1</f>
        <v>46296</v>
      </c>
      <c r="AC7" s="74">
        <f t="shared" si="8"/>
        <v>1</v>
      </c>
      <c r="AD7" s="159">
        <f t="shared" si="9"/>
        <v>0</v>
      </c>
      <c r="AE7" s="160">
        <v>8143</v>
      </c>
      <c r="AF7" s="115">
        <f>AE7-AG7</f>
        <v>8143</v>
      </c>
      <c r="AG7" s="144">
        <v>0</v>
      </c>
      <c r="AH7" s="145">
        <v>4438</v>
      </c>
      <c r="AI7" s="146">
        <v>0.76597222222222228</v>
      </c>
      <c r="AJ7" s="145">
        <v>0</v>
      </c>
      <c r="AK7" s="162">
        <v>0</v>
      </c>
      <c r="AL7" s="54">
        <f>AL6+1</f>
        <v>46296</v>
      </c>
      <c r="AM7" s="75">
        <f t="shared" ref="AM7" si="23">+AP7/AO7</f>
        <v>0.64173591874422897</v>
      </c>
      <c r="AN7" s="74">
        <f t="shared" ref="AN7" si="24">+AQ7/AO7</f>
        <v>0.35826408125577103</v>
      </c>
      <c r="AO7" s="147">
        <v>10830</v>
      </c>
      <c r="AP7" s="114">
        <f t="shared" ref="AP7:AP37" si="25">AO7-AQ7</f>
        <v>6950</v>
      </c>
      <c r="AQ7" s="148">
        <v>3880</v>
      </c>
      <c r="AR7" s="149">
        <v>4154</v>
      </c>
      <c r="AS7" s="150">
        <v>0.71458333333333335</v>
      </c>
      <c r="AT7" s="149">
        <v>183</v>
      </c>
      <c r="AU7" s="151">
        <v>0.89583333333333337</v>
      </c>
      <c r="AV7" s="54">
        <f>AV6+1</f>
        <v>46296</v>
      </c>
      <c r="AW7" s="107">
        <f t="shared" si="13"/>
        <v>0.67991170139908041</v>
      </c>
      <c r="AX7" s="107">
        <f t="shared" si="14"/>
        <v>0.3200882986009197</v>
      </c>
      <c r="AY7" s="108">
        <f t="shared" ref="AY7:AY37" si="26">BA7+BB7</f>
        <v>10221</v>
      </c>
      <c r="AZ7" s="109">
        <v>10221</v>
      </c>
      <c r="BA7" s="117">
        <f t="shared" si="15"/>
        <v>6949.3775000000005</v>
      </c>
      <c r="BB7" s="110">
        <f>2662+BB39</f>
        <v>3271.6224999999999</v>
      </c>
      <c r="BC7" s="109">
        <v>5247</v>
      </c>
      <c r="BD7" s="111">
        <v>0.73958333333333337</v>
      </c>
      <c r="BE7" s="112">
        <v>0</v>
      </c>
      <c r="BF7" s="111">
        <v>0</v>
      </c>
      <c r="BG7" s="112">
        <v>161</v>
      </c>
      <c r="BH7" s="111">
        <v>0.83333333333333337</v>
      </c>
      <c r="BI7" s="54">
        <f>BI6+1</f>
        <v>46296</v>
      </c>
      <c r="BJ7" s="76">
        <f t="shared" ref="BJ7" si="27">+BM7/BL7</f>
        <v>0.60584560808205445</v>
      </c>
      <c r="BK7" s="74">
        <f t="shared" ref="BK7" si="28">+BN7/BL7</f>
        <v>0.39415439191794555</v>
      </c>
      <c r="BL7" s="77">
        <f t="shared" si="18"/>
        <v>38901</v>
      </c>
      <c r="BM7" s="152">
        <v>23568</v>
      </c>
      <c r="BN7" s="152">
        <v>15333</v>
      </c>
      <c r="BO7" s="153">
        <v>4333</v>
      </c>
      <c r="BP7" s="154">
        <v>0.73541666666666672</v>
      </c>
      <c r="BQ7" s="155">
        <v>2903</v>
      </c>
      <c r="BR7" s="154">
        <v>0.73541666666666672</v>
      </c>
    </row>
    <row r="8" spans="1:71" ht="15.75" thickBot="1" x14ac:dyDescent="0.3">
      <c r="A8" s="163"/>
      <c r="B8" s="54">
        <v>46297</v>
      </c>
      <c r="C8" s="161"/>
      <c r="D8" s="85">
        <f t="shared" ref="D8:D37" si="29">R8+T8</f>
        <v>62616</v>
      </c>
      <c r="E8" s="156">
        <f t="shared" si="0"/>
        <v>0.88769847163664239</v>
      </c>
      <c r="F8" s="85">
        <f t="shared" si="1"/>
        <v>55584.127500000002</v>
      </c>
      <c r="G8" s="156">
        <f t="shared" si="2"/>
        <v>0.11230152836335761</v>
      </c>
      <c r="H8" s="143">
        <f t="shared" si="3"/>
        <v>7031.8724999999995</v>
      </c>
      <c r="I8" s="157">
        <f t="shared" si="4"/>
        <v>0.1189497352974066</v>
      </c>
      <c r="J8" s="156">
        <f t="shared" si="5"/>
        <v>0.15418960511661173</v>
      </c>
      <c r="K8" s="156">
        <f t="shared" si="6"/>
        <v>0.17238716812916252</v>
      </c>
      <c r="L8" s="158">
        <f t="shared" si="7"/>
        <v>0.58000913452745495</v>
      </c>
      <c r="M8" s="143">
        <f t="shared" si="19"/>
        <v>7364.9037056477564</v>
      </c>
      <c r="N8" s="143">
        <f t="shared" si="20"/>
        <v>9546.8190093606427</v>
      </c>
      <c r="O8" s="143">
        <f t="shared" si="21"/>
        <v>10673.541140602039</v>
      </c>
      <c r="P8" s="143">
        <f t="shared" si="22"/>
        <v>35911.903574315351</v>
      </c>
      <c r="Q8" s="54">
        <f>Q7+1</f>
        <v>46297</v>
      </c>
      <c r="R8" s="136">
        <v>62616</v>
      </c>
      <c r="S8" s="137">
        <v>61916.1</v>
      </c>
      <c r="T8" s="137">
        <v>0</v>
      </c>
      <c r="U8" s="137">
        <v>0</v>
      </c>
      <c r="V8" s="138">
        <v>16677.599999999999</v>
      </c>
      <c r="W8" s="139">
        <v>0.375</v>
      </c>
      <c r="X8" s="138">
        <v>4880.7</v>
      </c>
      <c r="Y8" s="139">
        <v>0.40625</v>
      </c>
      <c r="Z8" s="138">
        <v>0</v>
      </c>
      <c r="AA8" s="139">
        <v>0</v>
      </c>
      <c r="AB8" s="54">
        <f>AB7+1</f>
        <v>46297</v>
      </c>
      <c r="AC8" s="74">
        <f t="shared" ref="AC8:AC10" si="30">+AF8/AE8</f>
        <v>1</v>
      </c>
      <c r="AD8" s="159">
        <f t="shared" ref="AD8:AD10" si="31">+AG8/AE8</f>
        <v>0</v>
      </c>
      <c r="AE8" s="160">
        <v>8201.25</v>
      </c>
      <c r="AF8" s="115">
        <f t="shared" si="10"/>
        <v>8201.25</v>
      </c>
      <c r="AG8" s="144">
        <v>0</v>
      </c>
      <c r="AH8" s="145">
        <v>4497.6899999999996</v>
      </c>
      <c r="AI8" s="146">
        <v>0.33055555555555555</v>
      </c>
      <c r="AJ8" s="145">
        <v>0</v>
      </c>
      <c r="AK8" s="162">
        <v>0</v>
      </c>
      <c r="AL8" s="54">
        <f>AL7+1</f>
        <v>46297</v>
      </c>
      <c r="AM8" s="75">
        <f t="shared" ref="AM8:AM10" si="32">+AP8/AO8</f>
        <v>0.64301181269012908</v>
      </c>
      <c r="AN8" s="74">
        <f t="shared" ref="AN8:AN10" si="33">+AQ8/AO8</f>
        <v>0.35698818730987097</v>
      </c>
      <c r="AO8" s="147">
        <v>10630.94</v>
      </c>
      <c r="AP8" s="114">
        <f t="shared" si="25"/>
        <v>6835.8200000000006</v>
      </c>
      <c r="AQ8" s="148">
        <v>3795.12</v>
      </c>
      <c r="AR8" s="149">
        <v>3872.25</v>
      </c>
      <c r="AS8" s="150">
        <v>0.32708333333333334</v>
      </c>
      <c r="AT8" s="149">
        <v>180.1</v>
      </c>
      <c r="AU8" s="151">
        <v>0.3125</v>
      </c>
      <c r="AV8" s="54">
        <f>AV7+1</f>
        <v>46297</v>
      </c>
      <c r="AW8" s="107">
        <f t="shared" ref="AW8:AW10" si="34">BA8/AZ8</f>
        <v>0.68032074074074067</v>
      </c>
      <c r="AX8" s="107">
        <f t="shared" ref="AX8:AX10" si="35">BB8/AZ8</f>
        <v>0.31967925925925927</v>
      </c>
      <c r="AY8" s="108">
        <f t="shared" si="26"/>
        <v>10125</v>
      </c>
      <c r="AZ8" s="109">
        <v>10125</v>
      </c>
      <c r="BA8" s="117">
        <f t="shared" si="15"/>
        <v>6888.2474999999995</v>
      </c>
      <c r="BB8" s="110">
        <f>2627.13+BB39</f>
        <v>3236.7525000000001</v>
      </c>
      <c r="BC8" s="109">
        <v>4382</v>
      </c>
      <c r="BD8" s="111">
        <v>0.34375</v>
      </c>
      <c r="BE8" s="112">
        <v>0</v>
      </c>
      <c r="BF8" s="111">
        <v>0</v>
      </c>
      <c r="BG8" s="112">
        <v>279.26</v>
      </c>
      <c r="BH8" s="111">
        <v>4.1666666666666664E-2</v>
      </c>
      <c r="BI8" s="54">
        <f>BI7+1</f>
        <v>46297</v>
      </c>
      <c r="BJ8" s="76">
        <f t="shared" ref="BJ8:BJ10" si="36">+BM8/BL8</f>
        <v>0.58632158039509874</v>
      </c>
      <c r="BK8" s="74">
        <f t="shared" ref="BK8:BK10" si="37">+BN8/BL8</f>
        <v>0.4136784196049012</v>
      </c>
      <c r="BL8" s="77">
        <f t="shared" si="18"/>
        <v>39990</v>
      </c>
      <c r="BM8" s="152">
        <v>23447</v>
      </c>
      <c r="BN8" s="152">
        <v>16543</v>
      </c>
      <c r="BO8" s="153">
        <v>4416.4399999999996</v>
      </c>
      <c r="BP8" s="154">
        <v>0.28472222222222221</v>
      </c>
      <c r="BQ8" s="155">
        <v>2932.09</v>
      </c>
      <c r="BR8" s="154">
        <v>0.28541666666666665</v>
      </c>
    </row>
    <row r="9" spans="1:71" ht="15.75" thickBot="1" x14ac:dyDescent="0.3">
      <c r="A9" s="163" t="s">
        <v>67</v>
      </c>
      <c r="B9" s="54">
        <v>46298</v>
      </c>
      <c r="C9" s="161"/>
      <c r="D9" s="85">
        <f t="shared" si="29"/>
        <v>34232</v>
      </c>
      <c r="E9" s="156">
        <f t="shared" si="0"/>
        <v>0.80308446774947417</v>
      </c>
      <c r="F9" s="85">
        <f t="shared" si="1"/>
        <v>27491.1875</v>
      </c>
      <c r="G9" s="156">
        <f t="shared" si="2"/>
        <v>0.19691553225052583</v>
      </c>
      <c r="H9" s="143">
        <f t="shared" si="3"/>
        <v>6740.8125</v>
      </c>
      <c r="I9" s="157">
        <f t="shared" si="4"/>
        <v>7.5618599503256417E-2</v>
      </c>
      <c r="J9" s="156">
        <f t="shared" si="5"/>
        <v>0.15620331839873122</v>
      </c>
      <c r="K9" s="156">
        <f t="shared" si="6"/>
        <v>0.16198694960251728</v>
      </c>
      <c r="L9" s="158">
        <f t="shared" si="7"/>
        <v>0.64225458608475594</v>
      </c>
      <c r="M9" s="143">
        <f t="shared" si="19"/>
        <v>2527.6628477376157</v>
      </c>
      <c r="N9" s="143">
        <f t="shared" si="20"/>
        <v>5221.3255363556373</v>
      </c>
      <c r="O9" s="143">
        <f t="shared" si="21"/>
        <v>5414.6519112800561</v>
      </c>
      <c r="P9" s="143">
        <f t="shared" si="22"/>
        <v>21468.303654124513</v>
      </c>
      <c r="Q9" s="54">
        <f t="shared" ref="Q9:Q37" si="38">Q8+1</f>
        <v>46298</v>
      </c>
      <c r="R9" s="136">
        <v>34232</v>
      </c>
      <c r="S9" s="137">
        <v>33426.47</v>
      </c>
      <c r="T9" s="137">
        <v>0</v>
      </c>
      <c r="U9" s="137">
        <v>0</v>
      </c>
      <c r="V9" s="138">
        <v>7017.41</v>
      </c>
      <c r="W9" s="139">
        <v>0.90625</v>
      </c>
      <c r="X9" s="138">
        <v>2225.9</v>
      </c>
      <c r="Y9" s="139">
        <v>0.95833333333333337</v>
      </c>
      <c r="Z9" s="138">
        <v>0</v>
      </c>
      <c r="AA9" s="139">
        <v>0</v>
      </c>
      <c r="AB9" s="54">
        <f t="shared" ref="AB9:AB37" si="39">AB8+1</f>
        <v>46298</v>
      </c>
      <c r="AC9" s="74">
        <f t="shared" si="30"/>
        <v>1</v>
      </c>
      <c r="AD9" s="159">
        <f t="shared" si="31"/>
        <v>0</v>
      </c>
      <c r="AE9" s="160">
        <v>2872.25</v>
      </c>
      <c r="AF9" s="115">
        <f t="shared" si="10"/>
        <v>2872.25</v>
      </c>
      <c r="AG9" s="144">
        <v>0</v>
      </c>
      <c r="AH9" s="145">
        <v>1595.18</v>
      </c>
      <c r="AI9" s="146">
        <v>0.77222222222222225</v>
      </c>
      <c r="AJ9" s="145">
        <v>0</v>
      </c>
      <c r="AK9" s="162">
        <v>0</v>
      </c>
      <c r="AL9" s="54">
        <f t="shared" ref="AL9:AL37" si="40">AL8+1</f>
        <v>46298</v>
      </c>
      <c r="AM9" s="75">
        <f t="shared" si="32"/>
        <v>0.37329706242742028</v>
      </c>
      <c r="AN9" s="74">
        <f t="shared" si="33"/>
        <v>0.62670293757257967</v>
      </c>
      <c r="AO9" s="147">
        <v>5933.13</v>
      </c>
      <c r="AP9" s="114">
        <f t="shared" si="25"/>
        <v>2214.8200000000002</v>
      </c>
      <c r="AQ9" s="148">
        <v>3718.31</v>
      </c>
      <c r="AR9" s="149">
        <v>1663.46</v>
      </c>
      <c r="AS9" s="150">
        <v>0.95208333333333328</v>
      </c>
      <c r="AT9" s="149">
        <v>179.07</v>
      </c>
      <c r="AU9" s="151">
        <v>0.83333333333333337</v>
      </c>
      <c r="AV9" s="54">
        <f t="shared" ref="AV9:AV37" si="41">AV8+1</f>
        <v>46298</v>
      </c>
      <c r="AW9" s="107">
        <f t="shared" si="34"/>
        <v>0.36807390758937902</v>
      </c>
      <c r="AX9" s="107">
        <f t="shared" si="35"/>
        <v>0.63192609241062092</v>
      </c>
      <c r="AY9" s="108">
        <f t="shared" si="26"/>
        <v>4783</v>
      </c>
      <c r="AZ9" s="109">
        <v>4783</v>
      </c>
      <c r="BA9" s="117">
        <f t="shared" si="15"/>
        <v>1760.4974999999999</v>
      </c>
      <c r="BB9" s="110">
        <f>2412.88+BB39</f>
        <v>3022.5025000000001</v>
      </c>
      <c r="BC9" s="109">
        <v>1582.17</v>
      </c>
      <c r="BD9" s="111">
        <v>0.60416666666666663</v>
      </c>
      <c r="BE9" s="112">
        <v>0</v>
      </c>
      <c r="BF9" s="111">
        <v>0</v>
      </c>
      <c r="BG9" s="112">
        <v>140.47</v>
      </c>
      <c r="BH9" s="111">
        <v>0.86458333333333337</v>
      </c>
      <c r="BI9" s="54">
        <f t="shared" ref="BI9:BI37" si="42">BI8+1</f>
        <v>46298</v>
      </c>
      <c r="BJ9" s="76">
        <f t="shared" si="36"/>
        <v>0.60971510555441688</v>
      </c>
      <c r="BK9" s="74">
        <f t="shared" si="37"/>
        <v>0.39028489444558312</v>
      </c>
      <c r="BL9" s="77">
        <f t="shared" si="18"/>
        <v>24395</v>
      </c>
      <c r="BM9" s="152">
        <v>14874</v>
      </c>
      <c r="BN9" s="152">
        <v>9521</v>
      </c>
      <c r="BO9" s="153">
        <v>2800.06</v>
      </c>
      <c r="BP9" s="154">
        <v>0.90694444444444444</v>
      </c>
      <c r="BQ9" s="155">
        <v>1860.61</v>
      </c>
      <c r="BR9" s="154">
        <v>0.90694444444444444</v>
      </c>
    </row>
    <row r="10" spans="1:71" ht="15.75" thickBot="1" x14ac:dyDescent="0.3">
      <c r="B10" s="54">
        <v>46299</v>
      </c>
      <c r="C10" s="161"/>
      <c r="D10" s="85">
        <f t="shared" si="29"/>
        <v>29248</v>
      </c>
      <c r="E10" s="156">
        <f t="shared" si="0"/>
        <v>0.77281788498358872</v>
      </c>
      <c r="F10" s="85">
        <f t="shared" si="1"/>
        <v>22603.377500000002</v>
      </c>
      <c r="G10" s="156">
        <f t="shared" si="2"/>
        <v>0.22718211501641136</v>
      </c>
      <c r="H10" s="143">
        <f t="shared" si="3"/>
        <v>6644.6224999999995</v>
      </c>
      <c r="I10" s="157">
        <f t="shared" si="4"/>
        <v>6.2191115554920726E-2</v>
      </c>
      <c r="J10" s="156">
        <f t="shared" si="5"/>
        <v>0.24002285387801742</v>
      </c>
      <c r="K10" s="156">
        <f t="shared" si="6"/>
        <v>0.15720727168622961</v>
      </c>
      <c r="L10" s="158">
        <f t="shared" si="7"/>
        <v>0.57228967290387089</v>
      </c>
      <c r="M10" s="143">
        <f t="shared" si="19"/>
        <v>1828.7297528924439</v>
      </c>
      <c r="N10" s="143">
        <f t="shared" si="20"/>
        <v>7057.8720182831021</v>
      </c>
      <c r="O10" s="143">
        <f t="shared" si="21"/>
        <v>4622.6798239335812</v>
      </c>
      <c r="P10" s="143">
        <f t="shared" si="22"/>
        <v>16828.177831738325</v>
      </c>
      <c r="Q10" s="54">
        <f t="shared" si="38"/>
        <v>46299</v>
      </c>
      <c r="R10" s="136">
        <v>29248</v>
      </c>
      <c r="S10" s="137">
        <v>29405</v>
      </c>
      <c r="T10" s="137">
        <v>0</v>
      </c>
      <c r="U10" s="137">
        <v>0</v>
      </c>
      <c r="V10" s="138">
        <v>6690</v>
      </c>
      <c r="W10" s="139">
        <v>0.76041666666666663</v>
      </c>
      <c r="X10" s="138">
        <v>1959</v>
      </c>
      <c r="Y10" s="139">
        <v>0.9375</v>
      </c>
      <c r="Z10" s="138">
        <v>0</v>
      </c>
      <c r="AA10" s="139">
        <v>0</v>
      </c>
      <c r="AB10" s="54">
        <f t="shared" si="39"/>
        <v>46299</v>
      </c>
      <c r="AC10" s="74">
        <f t="shared" si="30"/>
        <v>1</v>
      </c>
      <c r="AD10" s="159">
        <f t="shared" si="31"/>
        <v>0</v>
      </c>
      <c r="AE10" s="160">
        <v>2177</v>
      </c>
      <c r="AF10" s="115">
        <f t="shared" si="10"/>
        <v>2177</v>
      </c>
      <c r="AG10" s="144">
        <v>0</v>
      </c>
      <c r="AH10" s="145">
        <v>1598</v>
      </c>
      <c r="AI10" s="146">
        <v>0.79722222222222228</v>
      </c>
      <c r="AJ10" s="145">
        <v>0</v>
      </c>
      <c r="AK10" s="162">
        <v>0</v>
      </c>
      <c r="AL10" s="54">
        <f t="shared" si="40"/>
        <v>46299</v>
      </c>
      <c r="AM10" s="75">
        <f t="shared" si="32"/>
        <v>0.56676981671030702</v>
      </c>
      <c r="AN10" s="74">
        <f t="shared" si="33"/>
        <v>0.43323018328969293</v>
      </c>
      <c r="AO10" s="147">
        <v>8402</v>
      </c>
      <c r="AP10" s="114">
        <f t="shared" si="25"/>
        <v>4762</v>
      </c>
      <c r="AQ10" s="148">
        <v>3640</v>
      </c>
      <c r="AR10" s="149">
        <v>1760</v>
      </c>
      <c r="AS10" s="150">
        <v>0.88124999999999998</v>
      </c>
      <c r="AT10" s="149">
        <v>181</v>
      </c>
      <c r="AU10" s="151">
        <v>0.89583333333333337</v>
      </c>
      <c r="AV10" s="54">
        <f t="shared" si="41"/>
        <v>46299</v>
      </c>
      <c r="AW10" s="107">
        <f t="shared" si="34"/>
        <v>0.31604313680855911</v>
      </c>
      <c r="AX10" s="107">
        <f t="shared" si="35"/>
        <v>0.68395686319144089</v>
      </c>
      <c r="AY10" s="108">
        <f t="shared" si="26"/>
        <v>4393</v>
      </c>
      <c r="AZ10" s="109">
        <v>4393</v>
      </c>
      <c r="BA10" s="117">
        <f t="shared" si="15"/>
        <v>1388.3775000000001</v>
      </c>
      <c r="BB10" s="110">
        <f>2395+BB39</f>
        <v>3004.6224999999999</v>
      </c>
      <c r="BC10" s="109">
        <v>1743</v>
      </c>
      <c r="BD10" s="111">
        <v>0.89583333333333337</v>
      </c>
      <c r="BE10" s="112">
        <v>0</v>
      </c>
      <c r="BF10" s="111">
        <v>0</v>
      </c>
      <c r="BG10" s="112">
        <v>143</v>
      </c>
      <c r="BH10" s="111">
        <v>0.89583333333333337</v>
      </c>
      <c r="BI10" s="54">
        <f t="shared" si="42"/>
        <v>46299</v>
      </c>
      <c r="BJ10" s="76">
        <f t="shared" si="36"/>
        <v>0.60994359307143209</v>
      </c>
      <c r="BK10" s="74">
        <f t="shared" si="37"/>
        <v>0.39005640692856786</v>
      </c>
      <c r="BL10" s="77">
        <f t="shared" si="18"/>
        <v>20033</v>
      </c>
      <c r="BM10" s="152">
        <v>12219</v>
      </c>
      <c r="BN10" s="152">
        <v>7814</v>
      </c>
      <c r="BO10" s="153">
        <v>3371</v>
      </c>
      <c r="BP10" s="154">
        <v>0.41944444444444445</v>
      </c>
      <c r="BQ10" s="155">
        <v>2233</v>
      </c>
      <c r="BR10" s="154">
        <v>0.41944444444444445</v>
      </c>
    </row>
    <row r="11" spans="1:71" ht="15.75" thickBot="1" x14ac:dyDescent="0.3">
      <c r="B11" s="54">
        <v>46300</v>
      </c>
      <c r="C11" s="161"/>
      <c r="D11" s="85">
        <f t="shared" si="29"/>
        <v>58215</v>
      </c>
      <c r="E11" s="156">
        <f t="shared" si="0"/>
        <v>0.88098217813278368</v>
      </c>
      <c r="F11" s="85">
        <f t="shared" si="1"/>
        <v>51286.377500000002</v>
      </c>
      <c r="G11" s="156">
        <f t="shared" si="2"/>
        <v>0.11901782186721635</v>
      </c>
      <c r="H11" s="143">
        <f t="shared" si="3"/>
        <v>6928.6224999999995</v>
      </c>
      <c r="I11" s="157">
        <f t="shared" si="4"/>
        <v>0.11876062666990526</v>
      </c>
      <c r="J11" s="156">
        <f t="shared" si="5"/>
        <v>0.15753279086713626</v>
      </c>
      <c r="K11" s="156">
        <f t="shared" si="6"/>
        <v>0.17201854930440108</v>
      </c>
      <c r="L11" s="158">
        <f t="shared" si="7"/>
        <v>0.57447777507894093</v>
      </c>
      <c r="M11" s="143">
        <f t="shared" si="19"/>
        <v>6871.4898591207184</v>
      </c>
      <c r="N11" s="143">
        <f t="shared" si="20"/>
        <v>9114.8472795725047</v>
      </c>
      <c r="O11" s="143">
        <f t="shared" si="21"/>
        <v>9952.9932627526468</v>
      </c>
      <c r="P11" s="143">
        <f t="shared" si="22"/>
        <v>33239.284066067521</v>
      </c>
      <c r="Q11" s="54">
        <f t="shared" si="38"/>
        <v>46300</v>
      </c>
      <c r="R11" s="136">
        <v>58215</v>
      </c>
      <c r="S11" s="137">
        <v>57860</v>
      </c>
      <c r="T11" s="137">
        <v>0</v>
      </c>
      <c r="U11" s="137">
        <v>0</v>
      </c>
      <c r="V11" s="138">
        <v>12950</v>
      </c>
      <c r="W11" s="139">
        <v>0.72916666666666663</v>
      </c>
      <c r="X11" s="138">
        <v>4890</v>
      </c>
      <c r="Y11" s="139">
        <v>0.77083333333333337</v>
      </c>
      <c r="Z11" s="138">
        <v>0</v>
      </c>
      <c r="AA11" s="139">
        <v>0</v>
      </c>
      <c r="AB11" s="54">
        <f t="shared" si="39"/>
        <v>46300</v>
      </c>
      <c r="AC11" s="74">
        <f t="shared" ref="AC11:AC32" si="43">+AF11/AE11</f>
        <v>1</v>
      </c>
      <c r="AD11" s="159">
        <f t="shared" ref="AD11:AD32" si="44">+AG11/AE11</f>
        <v>0</v>
      </c>
      <c r="AE11" s="160">
        <v>7823</v>
      </c>
      <c r="AF11" s="115">
        <f t="shared" si="10"/>
        <v>7823</v>
      </c>
      <c r="AG11" s="144">
        <v>0</v>
      </c>
      <c r="AH11" s="145">
        <v>4120</v>
      </c>
      <c r="AI11" s="146">
        <v>0.77083333333333337</v>
      </c>
      <c r="AJ11" s="145">
        <v>0</v>
      </c>
      <c r="AK11" s="162">
        <v>0</v>
      </c>
      <c r="AL11" s="54">
        <f t="shared" si="40"/>
        <v>46300</v>
      </c>
      <c r="AM11" s="75">
        <f t="shared" ref="AM11:AM32" si="45">+AP11/AO11</f>
        <v>0.63862387973402712</v>
      </c>
      <c r="AN11" s="74">
        <f t="shared" ref="AN11:AN32" si="46">+AQ11/AO11</f>
        <v>0.36137612026597282</v>
      </c>
      <c r="AO11" s="147">
        <v>10377</v>
      </c>
      <c r="AP11" s="114">
        <f t="shared" si="25"/>
        <v>6627</v>
      </c>
      <c r="AQ11" s="148">
        <v>3750</v>
      </c>
      <c r="AR11" s="149">
        <v>3750</v>
      </c>
      <c r="AS11" s="150">
        <v>0.79166666666666663</v>
      </c>
      <c r="AT11" s="149">
        <v>183</v>
      </c>
      <c r="AU11" s="151">
        <v>0.85416666666666663</v>
      </c>
      <c r="AV11" s="54">
        <f t="shared" si="41"/>
        <v>46300</v>
      </c>
      <c r="AW11" s="107">
        <f t="shared" ref="AW11:AW32" si="47">BA11/AZ11</f>
        <v>0.6766406408952188</v>
      </c>
      <c r="AX11" s="107">
        <f t="shared" ref="AX11:AX32" si="48">BB11/AZ11</f>
        <v>0.32335935910478125</v>
      </c>
      <c r="AY11" s="108">
        <f t="shared" si="26"/>
        <v>9830</v>
      </c>
      <c r="AZ11" s="109">
        <v>9830</v>
      </c>
      <c r="BA11" s="117">
        <f t="shared" si="15"/>
        <v>6651.3775000000005</v>
      </c>
      <c r="BB11" s="110">
        <f>2569+BB39</f>
        <v>3178.6224999999999</v>
      </c>
      <c r="BC11" s="109">
        <v>4330</v>
      </c>
      <c r="BD11" s="111">
        <v>0.73958333333333337</v>
      </c>
      <c r="BE11" s="112">
        <v>0</v>
      </c>
      <c r="BF11" s="111">
        <v>0</v>
      </c>
      <c r="BG11" s="112">
        <v>150</v>
      </c>
      <c r="BH11" s="111">
        <v>0.85416666666666663</v>
      </c>
      <c r="BI11" s="54">
        <f t="shared" si="42"/>
        <v>46300</v>
      </c>
      <c r="BJ11" s="76">
        <f t="shared" ref="BJ11:BJ32" si="49">+BM11/BL11</f>
        <v>0.60871518418688231</v>
      </c>
      <c r="BK11" s="74">
        <f t="shared" ref="BK11:BK32" si="50">+BN11/BL11</f>
        <v>0.39128481581311769</v>
      </c>
      <c r="BL11" s="77">
        <f t="shared" si="18"/>
        <v>37842</v>
      </c>
      <c r="BM11" s="152">
        <v>23035</v>
      </c>
      <c r="BN11" s="152">
        <v>14807</v>
      </c>
      <c r="BO11" s="153">
        <v>4150</v>
      </c>
      <c r="BP11" s="154">
        <v>0.40625</v>
      </c>
      <c r="BQ11" s="155">
        <v>2890</v>
      </c>
      <c r="BR11" s="154">
        <v>0.70833333333333337</v>
      </c>
    </row>
    <row r="12" spans="1:71" ht="15.75" thickBot="1" x14ac:dyDescent="0.3">
      <c r="B12" s="54">
        <v>46301</v>
      </c>
      <c r="C12" s="161"/>
      <c r="D12" s="85">
        <f t="shared" si="29"/>
        <v>62376</v>
      </c>
      <c r="E12" s="156">
        <f t="shared" si="0"/>
        <v>0.88441672277799155</v>
      </c>
      <c r="F12" s="85">
        <f t="shared" si="1"/>
        <v>55166.377500000002</v>
      </c>
      <c r="G12" s="156">
        <f t="shared" si="2"/>
        <v>0.11558327722200845</v>
      </c>
      <c r="H12" s="143">
        <f t="shared" si="3"/>
        <v>7209.6224999999995</v>
      </c>
      <c r="I12" s="157">
        <f t="shared" si="4"/>
        <v>0.11145027330162562</v>
      </c>
      <c r="J12" s="156">
        <f t="shared" si="5"/>
        <v>0.14403350606942572</v>
      </c>
      <c r="K12" s="156">
        <f t="shared" si="6"/>
        <v>0.16845252927984053</v>
      </c>
      <c r="L12" s="158">
        <f t="shared" si="7"/>
        <v>0.60055370199474689</v>
      </c>
      <c r="M12" s="143">
        <f t="shared" si="19"/>
        <v>6873.3612550578546</v>
      </c>
      <c r="N12" s="143">
        <f t="shared" si="20"/>
        <v>8882.8343863136233</v>
      </c>
      <c r="O12" s="143">
        <f t="shared" si="21"/>
        <v>10388.804385746325</v>
      </c>
      <c r="P12" s="143">
        <f t="shared" si="22"/>
        <v>37037.34790942003</v>
      </c>
      <c r="Q12" s="54">
        <f t="shared" si="38"/>
        <v>46301</v>
      </c>
      <c r="R12" s="136">
        <v>62376</v>
      </c>
      <c r="S12" s="137">
        <v>61672</v>
      </c>
      <c r="T12" s="137">
        <v>0</v>
      </c>
      <c r="U12" s="137">
        <v>0</v>
      </c>
      <c r="V12" s="138">
        <v>15200</v>
      </c>
      <c r="W12" s="139">
        <v>0.75</v>
      </c>
      <c r="X12" s="138">
        <v>5090</v>
      </c>
      <c r="Y12" s="139">
        <v>0.70833333333333337</v>
      </c>
      <c r="Z12" s="138">
        <v>0</v>
      </c>
      <c r="AA12" s="139">
        <v>0</v>
      </c>
      <c r="AB12" s="54">
        <f t="shared" si="39"/>
        <v>46301</v>
      </c>
      <c r="AC12" s="74">
        <f t="shared" si="43"/>
        <v>1</v>
      </c>
      <c r="AD12" s="159">
        <f t="shared" si="44"/>
        <v>0</v>
      </c>
      <c r="AE12" s="160">
        <v>7850</v>
      </c>
      <c r="AF12" s="115">
        <f t="shared" si="10"/>
        <v>7850</v>
      </c>
      <c r="AG12" s="144">
        <v>0</v>
      </c>
      <c r="AH12" s="145">
        <v>4210</v>
      </c>
      <c r="AI12" s="146">
        <v>0.72916666666666663</v>
      </c>
      <c r="AJ12" s="145">
        <v>0</v>
      </c>
      <c r="AK12" s="162">
        <v>0</v>
      </c>
      <c r="AL12" s="54">
        <f t="shared" si="40"/>
        <v>46301</v>
      </c>
      <c r="AM12" s="75">
        <f t="shared" si="45"/>
        <v>0.62345983242976832</v>
      </c>
      <c r="AN12" s="74">
        <f t="shared" si="46"/>
        <v>0.37654016757023162</v>
      </c>
      <c r="AO12" s="147">
        <v>10145</v>
      </c>
      <c r="AP12" s="114">
        <f t="shared" si="25"/>
        <v>6325</v>
      </c>
      <c r="AQ12" s="148">
        <v>3820</v>
      </c>
      <c r="AR12" s="149">
        <v>3760</v>
      </c>
      <c r="AS12" s="150">
        <v>0.77083333333333337</v>
      </c>
      <c r="AT12" s="149">
        <v>183</v>
      </c>
      <c r="AU12" s="151">
        <v>0.875</v>
      </c>
      <c r="AV12" s="54">
        <f t="shared" si="41"/>
        <v>46301</v>
      </c>
      <c r="AW12" s="107">
        <f t="shared" si="47"/>
        <v>0.66571770216962534</v>
      </c>
      <c r="AX12" s="107">
        <f t="shared" si="48"/>
        <v>0.33428229783037477</v>
      </c>
      <c r="AY12" s="108">
        <f t="shared" si="26"/>
        <v>10140</v>
      </c>
      <c r="AZ12" s="109">
        <v>10140</v>
      </c>
      <c r="BA12" s="117">
        <f t="shared" si="15"/>
        <v>6750.3775000000005</v>
      </c>
      <c r="BB12" s="110">
        <f>2780+BB39</f>
        <v>3389.6224999999999</v>
      </c>
      <c r="BC12" s="109">
        <v>4450</v>
      </c>
      <c r="BD12" s="111">
        <v>0.77083333333333337</v>
      </c>
      <c r="BE12" s="112">
        <v>0</v>
      </c>
      <c r="BF12" s="111">
        <v>0</v>
      </c>
      <c r="BG12" s="112">
        <v>160</v>
      </c>
      <c r="BH12" s="111">
        <v>0.875</v>
      </c>
      <c r="BI12" s="54">
        <f t="shared" si="42"/>
        <v>46301</v>
      </c>
      <c r="BJ12" s="76">
        <f t="shared" si="49"/>
        <v>0.60851063829787233</v>
      </c>
      <c r="BK12" s="74">
        <f t="shared" si="50"/>
        <v>0.39148936170212767</v>
      </c>
      <c r="BL12" s="77">
        <f t="shared" si="18"/>
        <v>42300</v>
      </c>
      <c r="BM12" s="152">
        <v>25740</v>
      </c>
      <c r="BN12" s="152">
        <v>16560</v>
      </c>
      <c r="BO12" s="153">
        <v>4680</v>
      </c>
      <c r="BP12" s="154">
        <v>0.35416666666666669</v>
      </c>
      <c r="BQ12" s="155">
        <v>2940</v>
      </c>
      <c r="BR12" s="154">
        <v>0.77083333333333337</v>
      </c>
    </row>
    <row r="13" spans="1:71" ht="15.75" thickBot="1" x14ac:dyDescent="0.3">
      <c r="B13" s="54">
        <v>46302</v>
      </c>
      <c r="C13" s="161"/>
      <c r="D13" s="85">
        <f t="shared" si="29"/>
        <v>61600</v>
      </c>
      <c r="E13" s="156">
        <f t="shared" si="0"/>
        <v>0.88498989448051957</v>
      </c>
      <c r="F13" s="85">
        <f t="shared" si="1"/>
        <v>54515.377500000002</v>
      </c>
      <c r="G13" s="156">
        <f t="shared" si="2"/>
        <v>0.11501010551948052</v>
      </c>
      <c r="H13" s="143">
        <f t="shared" si="3"/>
        <v>7084.6224999999995</v>
      </c>
      <c r="I13" s="157">
        <f t="shared" si="4"/>
        <v>0.11755042170883755</v>
      </c>
      <c r="J13" s="156">
        <f t="shared" si="5"/>
        <v>0.15359002566923358</v>
      </c>
      <c r="K13" s="156">
        <f t="shared" si="6"/>
        <v>0.17225505015803216</v>
      </c>
      <c r="L13" s="158">
        <f t="shared" si="7"/>
        <v>0.5817675100843418</v>
      </c>
      <c r="M13" s="143">
        <f t="shared" si="19"/>
        <v>7157.6451778511182</v>
      </c>
      <c r="N13" s="143">
        <f t="shared" si="20"/>
        <v>9352.0966629996328</v>
      </c>
      <c r="O13" s="143">
        <f t="shared" si="21"/>
        <v>10488.610004122578</v>
      </c>
      <c r="P13" s="143">
        <f t="shared" si="22"/>
        <v>35423.823689035569</v>
      </c>
      <c r="Q13" s="54">
        <f t="shared" si="38"/>
        <v>46302</v>
      </c>
      <c r="R13" s="136">
        <v>61600</v>
      </c>
      <c r="S13" s="137">
        <v>60890</v>
      </c>
      <c r="T13" s="137">
        <v>0</v>
      </c>
      <c r="U13" s="137">
        <v>0</v>
      </c>
      <c r="V13" s="138">
        <v>12553</v>
      </c>
      <c r="W13" s="139">
        <v>0.80208333333333337</v>
      </c>
      <c r="X13" s="138">
        <v>5100</v>
      </c>
      <c r="Y13" s="139">
        <v>0.79166666666666663</v>
      </c>
      <c r="Z13" s="138">
        <v>0</v>
      </c>
      <c r="AA13" s="139">
        <v>0</v>
      </c>
      <c r="AB13" s="165">
        <f t="shared" si="39"/>
        <v>46302</v>
      </c>
      <c r="AC13" s="74">
        <f t="shared" si="43"/>
        <v>1</v>
      </c>
      <c r="AD13" s="159">
        <f t="shared" si="44"/>
        <v>0</v>
      </c>
      <c r="AE13" s="160">
        <v>8014</v>
      </c>
      <c r="AF13" s="115">
        <f t="shared" si="10"/>
        <v>8014</v>
      </c>
      <c r="AG13" s="144">
        <v>0</v>
      </c>
      <c r="AH13" s="145">
        <v>4533</v>
      </c>
      <c r="AI13" s="146">
        <v>0.68680555555555556</v>
      </c>
      <c r="AJ13" s="145">
        <v>0</v>
      </c>
      <c r="AK13" s="162">
        <v>0</v>
      </c>
      <c r="AL13" s="165">
        <f t="shared" si="40"/>
        <v>46302</v>
      </c>
      <c r="AM13" s="75">
        <f t="shared" si="45"/>
        <v>0.63451437303027414</v>
      </c>
      <c r="AN13" s="74">
        <f t="shared" si="46"/>
        <v>0.36548562696972592</v>
      </c>
      <c r="AO13" s="147">
        <v>10471</v>
      </c>
      <c r="AP13" s="114">
        <f t="shared" si="25"/>
        <v>6644</v>
      </c>
      <c r="AQ13" s="148">
        <v>3827</v>
      </c>
      <c r="AR13" s="149">
        <v>4308</v>
      </c>
      <c r="AS13" s="150">
        <v>0.75138888888888888</v>
      </c>
      <c r="AT13" s="149">
        <v>182</v>
      </c>
      <c r="AU13" s="151">
        <v>0.91666666666666663</v>
      </c>
      <c r="AV13" s="165">
        <f t="shared" si="41"/>
        <v>46302</v>
      </c>
      <c r="AW13" s="166">
        <f t="shared" si="47"/>
        <v>0.67514733745512567</v>
      </c>
      <c r="AX13" s="166">
        <f t="shared" si="48"/>
        <v>0.32485266254487433</v>
      </c>
      <c r="AY13" s="108">
        <f t="shared" si="26"/>
        <v>10028</v>
      </c>
      <c r="AZ13" s="109">
        <v>10028</v>
      </c>
      <c r="BA13" s="117">
        <f t="shared" si="15"/>
        <v>6770.3775000000005</v>
      </c>
      <c r="BB13" s="110">
        <f>2648+BB39</f>
        <v>3257.6224999999999</v>
      </c>
      <c r="BC13" s="109">
        <v>4097</v>
      </c>
      <c r="BD13" s="111">
        <v>0.72916666666666663</v>
      </c>
      <c r="BE13" s="112">
        <v>0</v>
      </c>
      <c r="BF13" s="111">
        <v>0</v>
      </c>
      <c r="BG13" s="112">
        <v>156</v>
      </c>
      <c r="BH13" s="111">
        <v>0.90625</v>
      </c>
      <c r="BI13" s="165">
        <f t="shared" si="42"/>
        <v>46302</v>
      </c>
      <c r="BJ13" s="167">
        <f t="shared" si="49"/>
        <v>0.59255710755887248</v>
      </c>
      <c r="BK13" s="74">
        <f t="shared" si="50"/>
        <v>0.40744289244112752</v>
      </c>
      <c r="BL13" s="77">
        <f t="shared" si="18"/>
        <v>39662</v>
      </c>
      <c r="BM13" s="152">
        <v>23502</v>
      </c>
      <c r="BN13" s="152">
        <v>16160</v>
      </c>
      <c r="BO13" s="153">
        <v>4346</v>
      </c>
      <c r="BP13" s="154">
        <v>0.72291666666666665</v>
      </c>
      <c r="BQ13" s="155">
        <v>2895</v>
      </c>
      <c r="BR13" s="154">
        <v>0.72361111111111109</v>
      </c>
    </row>
    <row r="14" spans="1:71" ht="15.75" thickBot="1" x14ac:dyDescent="0.3">
      <c r="B14" s="54">
        <v>46303</v>
      </c>
      <c r="C14" s="161"/>
      <c r="D14" s="85">
        <f t="shared" si="29"/>
        <v>61108</v>
      </c>
      <c r="E14" s="156">
        <f t="shared" si="0"/>
        <v>0.88345858971002156</v>
      </c>
      <c r="F14" s="85">
        <f t="shared" si="1"/>
        <v>53986.387499999997</v>
      </c>
      <c r="G14" s="156">
        <f t="shared" si="2"/>
        <v>0.11654141028997839</v>
      </c>
      <c r="H14" s="143">
        <f t="shared" si="3"/>
        <v>7121.6124999999993</v>
      </c>
      <c r="I14" s="157">
        <f t="shared" si="4"/>
        <v>0.12193288520102587</v>
      </c>
      <c r="J14" s="156">
        <f t="shared" si="5"/>
        <v>0.16012445726255695</v>
      </c>
      <c r="K14" s="156">
        <f t="shared" si="6"/>
        <v>0.1682131548444244</v>
      </c>
      <c r="L14" s="158">
        <f t="shared" si="7"/>
        <v>0.57266924061683333</v>
      </c>
      <c r="M14" s="143">
        <f t="shared" si="19"/>
        <v>7367.8104395470637</v>
      </c>
      <c r="N14" s="143">
        <f t="shared" si="20"/>
        <v>9675.5411462694465</v>
      </c>
      <c r="O14" s="143">
        <f t="shared" si="21"/>
        <v>10164.301749184473</v>
      </c>
      <c r="P14" s="143">
        <f t="shared" si="22"/>
        <v>34603.613311273431</v>
      </c>
      <c r="Q14" s="54">
        <f t="shared" si="38"/>
        <v>46303</v>
      </c>
      <c r="R14" s="136">
        <v>61108</v>
      </c>
      <c r="S14" s="137">
        <v>60425.13</v>
      </c>
      <c r="T14" s="137">
        <v>0</v>
      </c>
      <c r="U14" s="137">
        <v>0</v>
      </c>
      <c r="V14" s="138">
        <v>13578.3</v>
      </c>
      <c r="W14" s="139">
        <v>0.80208333333333337</v>
      </c>
      <c r="X14" s="138">
        <v>4774.8100000000004</v>
      </c>
      <c r="Y14" s="139">
        <v>0.41666666666666669</v>
      </c>
      <c r="Z14" s="138">
        <v>0</v>
      </c>
      <c r="AA14" s="139">
        <v>0</v>
      </c>
      <c r="AB14" s="54">
        <f t="shared" si="39"/>
        <v>46303</v>
      </c>
      <c r="AC14" s="74">
        <f t="shared" si="43"/>
        <v>1</v>
      </c>
      <c r="AD14" s="159">
        <f t="shared" si="44"/>
        <v>0</v>
      </c>
      <c r="AE14" s="160">
        <v>8264.5</v>
      </c>
      <c r="AF14" s="115">
        <f t="shared" si="10"/>
        <v>8264.5</v>
      </c>
      <c r="AG14" s="144">
        <v>0</v>
      </c>
      <c r="AH14" s="145">
        <v>3672.01</v>
      </c>
      <c r="AI14" s="146">
        <v>0.37638888888888888</v>
      </c>
      <c r="AJ14" s="145">
        <v>0</v>
      </c>
      <c r="AK14" s="162">
        <v>0</v>
      </c>
      <c r="AL14" s="54">
        <f t="shared" si="40"/>
        <v>46303</v>
      </c>
      <c r="AM14" s="75">
        <f t="shared" si="45"/>
        <v>0.6419692456249787</v>
      </c>
      <c r="AN14" s="74">
        <f t="shared" si="46"/>
        <v>0.3580307543750213</v>
      </c>
      <c r="AO14" s="147">
        <v>10853.09</v>
      </c>
      <c r="AP14" s="114">
        <f t="shared" si="25"/>
        <v>6967.35</v>
      </c>
      <c r="AQ14" s="148">
        <v>3885.74</v>
      </c>
      <c r="AR14" s="149">
        <v>4295.45</v>
      </c>
      <c r="AS14" s="150">
        <v>0.35625000000000001</v>
      </c>
      <c r="AT14" s="149">
        <v>178.27</v>
      </c>
      <c r="AU14" s="151">
        <v>0.94791666666666663</v>
      </c>
      <c r="AV14" s="54">
        <f t="shared" si="41"/>
        <v>46303</v>
      </c>
      <c r="AW14" s="107">
        <f t="shared" si="47"/>
        <v>0.67136825267861677</v>
      </c>
      <c r="AX14" s="107">
        <f t="shared" si="48"/>
        <v>0.32863174732138323</v>
      </c>
      <c r="AY14" s="108">
        <f t="shared" si="26"/>
        <v>9846.5</v>
      </c>
      <c r="AZ14" s="109">
        <v>9846.5</v>
      </c>
      <c r="BA14" s="117">
        <f t="shared" si="15"/>
        <v>6610.6275000000005</v>
      </c>
      <c r="BB14" s="110">
        <f>2626.25+BB39</f>
        <v>3235.8724999999999</v>
      </c>
      <c r="BC14" s="109">
        <v>5868.3</v>
      </c>
      <c r="BD14" s="111">
        <v>0.76041666666666663</v>
      </c>
      <c r="BE14" s="112">
        <v>0</v>
      </c>
      <c r="BF14" s="111">
        <v>0</v>
      </c>
      <c r="BG14" s="112">
        <v>148.36000000000001</v>
      </c>
      <c r="BH14" s="111">
        <v>0.3125</v>
      </c>
      <c r="BI14" s="54">
        <f t="shared" si="42"/>
        <v>46303</v>
      </c>
      <c r="BJ14" s="76">
        <f t="shared" si="49"/>
        <v>0.60829576194770063</v>
      </c>
      <c r="BK14" s="74">
        <f t="shared" si="50"/>
        <v>0.39170423805229937</v>
      </c>
      <c r="BL14" s="77">
        <f t="shared" si="18"/>
        <v>38815</v>
      </c>
      <c r="BM14" s="152">
        <v>23611</v>
      </c>
      <c r="BN14" s="152">
        <v>15204</v>
      </c>
      <c r="BO14" s="153">
        <v>4604.21</v>
      </c>
      <c r="BP14" s="154">
        <v>0.8</v>
      </c>
      <c r="BQ14" s="155">
        <v>3073.88</v>
      </c>
      <c r="BR14" s="154">
        <v>0.8</v>
      </c>
    </row>
    <row r="15" spans="1:71" ht="15.75" thickBot="1" x14ac:dyDescent="0.3">
      <c r="B15" s="54">
        <v>46304</v>
      </c>
      <c r="C15" s="161"/>
      <c r="D15" s="85">
        <f t="shared" si="29"/>
        <v>62162</v>
      </c>
      <c r="E15" s="156">
        <f t="shared" si="0"/>
        <v>0.89077535310961686</v>
      </c>
      <c r="F15" s="85">
        <f t="shared" si="1"/>
        <v>55372.377500000002</v>
      </c>
      <c r="G15" s="156">
        <f t="shared" si="2"/>
        <v>0.10922464689038318</v>
      </c>
      <c r="H15" s="143">
        <f t="shared" si="3"/>
        <v>6789.6224999999995</v>
      </c>
      <c r="I15" s="157">
        <f t="shared" si="4"/>
        <v>0.12887374409523669</v>
      </c>
      <c r="J15" s="156">
        <f t="shared" si="5"/>
        <v>0.16084355850651536</v>
      </c>
      <c r="K15" s="156">
        <f t="shared" si="6"/>
        <v>0.16919699711776928</v>
      </c>
      <c r="L15" s="158">
        <f t="shared" si="7"/>
        <v>0.56261608435585064</v>
      </c>
      <c r="M15" s="143">
        <f t="shared" si="19"/>
        <v>7916.4563522821991</v>
      </c>
      <c r="N15" s="143">
        <f t="shared" si="20"/>
        <v>9880.2981119382257</v>
      </c>
      <c r="O15" s="143">
        <f t="shared" si="21"/>
        <v>10393.433138950331</v>
      </c>
      <c r="P15" s="143">
        <f t="shared" si="22"/>
        <v>34560.380829811191</v>
      </c>
      <c r="Q15" s="54">
        <f t="shared" si="38"/>
        <v>46304</v>
      </c>
      <c r="R15" s="136">
        <v>62162</v>
      </c>
      <c r="S15" s="137">
        <v>61428</v>
      </c>
      <c r="T15" s="137">
        <v>0</v>
      </c>
      <c r="U15" s="137">
        <v>0</v>
      </c>
      <c r="V15" s="138">
        <v>14700</v>
      </c>
      <c r="W15" s="139">
        <v>0.38541666666666669</v>
      </c>
      <c r="X15" s="138">
        <v>5100</v>
      </c>
      <c r="Y15" s="139">
        <v>0.39583333333333331</v>
      </c>
      <c r="Z15" s="138">
        <v>0</v>
      </c>
      <c r="AA15" s="139">
        <v>0</v>
      </c>
      <c r="AB15" s="54">
        <f t="shared" si="39"/>
        <v>46304</v>
      </c>
      <c r="AC15" s="74">
        <f t="shared" si="43"/>
        <v>1</v>
      </c>
      <c r="AD15" s="159">
        <f t="shared" si="44"/>
        <v>0</v>
      </c>
      <c r="AE15" s="160">
        <v>8812</v>
      </c>
      <c r="AF15" s="115">
        <f t="shared" si="10"/>
        <v>8812</v>
      </c>
      <c r="AG15" s="144">
        <v>0</v>
      </c>
      <c r="AH15" s="145">
        <v>4078</v>
      </c>
      <c r="AI15" s="146">
        <v>0.77847222222222223</v>
      </c>
      <c r="AJ15" s="145">
        <v>0</v>
      </c>
      <c r="AK15" s="162">
        <v>0</v>
      </c>
      <c r="AL15" s="165">
        <f t="shared" si="40"/>
        <v>46304</v>
      </c>
      <c r="AM15" s="75">
        <f t="shared" si="45"/>
        <v>0.6678486997635934</v>
      </c>
      <c r="AN15" s="74">
        <f t="shared" si="46"/>
        <v>0.3321513002364066</v>
      </c>
      <c r="AO15" s="147">
        <v>10998</v>
      </c>
      <c r="AP15" s="114">
        <f t="shared" si="25"/>
        <v>7345</v>
      </c>
      <c r="AQ15" s="148">
        <v>3653</v>
      </c>
      <c r="AR15" s="149">
        <v>4415</v>
      </c>
      <c r="AS15" s="150">
        <v>0.7055555555555556</v>
      </c>
      <c r="AT15" s="149">
        <v>195</v>
      </c>
      <c r="AU15" s="151">
        <v>0.10416666666666667</v>
      </c>
      <c r="AV15" s="54">
        <f t="shared" si="41"/>
        <v>46304</v>
      </c>
      <c r="AW15" s="166">
        <f t="shared" si="47"/>
        <v>0.68935104486481136</v>
      </c>
      <c r="AX15" s="166">
        <f t="shared" si="48"/>
        <v>0.31064895513518864</v>
      </c>
      <c r="AY15" s="108">
        <f t="shared" si="26"/>
        <v>10097</v>
      </c>
      <c r="AZ15" s="109">
        <v>10097</v>
      </c>
      <c r="BA15" s="117">
        <f t="shared" si="15"/>
        <v>6960.3775000000005</v>
      </c>
      <c r="BB15" s="110">
        <f>2527+BB39</f>
        <v>3136.6224999999999</v>
      </c>
      <c r="BC15" s="109">
        <v>3971</v>
      </c>
      <c r="BD15" s="111">
        <v>0.69791666666666663</v>
      </c>
      <c r="BE15" s="112">
        <v>0</v>
      </c>
      <c r="BF15" s="111">
        <v>0</v>
      </c>
      <c r="BG15" s="112">
        <v>155</v>
      </c>
      <c r="BH15" s="111">
        <v>0.84375</v>
      </c>
      <c r="BI15" s="54">
        <f t="shared" si="42"/>
        <v>46304</v>
      </c>
      <c r="BJ15" s="167">
        <f t="shared" si="49"/>
        <v>0.60631661034572393</v>
      </c>
      <c r="BK15" s="74">
        <f t="shared" si="50"/>
        <v>0.39368338965427607</v>
      </c>
      <c r="BL15" s="77">
        <f t="shared" si="18"/>
        <v>38470</v>
      </c>
      <c r="BM15" s="152">
        <v>23325</v>
      </c>
      <c r="BN15" s="152">
        <v>15145</v>
      </c>
      <c r="BO15" s="153">
        <v>4014</v>
      </c>
      <c r="BP15" s="154">
        <v>0.72638888888888886</v>
      </c>
      <c r="BQ15" s="155">
        <v>2683</v>
      </c>
      <c r="BR15" s="154">
        <v>0.72638888888888886</v>
      </c>
    </row>
    <row r="16" spans="1:71" ht="15.75" thickBot="1" x14ac:dyDescent="0.3">
      <c r="B16" s="54">
        <v>46305</v>
      </c>
      <c r="C16" s="161"/>
      <c r="D16" s="85">
        <f t="shared" si="29"/>
        <v>33680</v>
      </c>
      <c r="E16" s="156">
        <f t="shared" si="0"/>
        <v>0.79205396377672221</v>
      </c>
      <c r="F16" s="85">
        <f t="shared" si="1"/>
        <v>26676.377500000002</v>
      </c>
      <c r="G16" s="156">
        <f t="shared" si="2"/>
        <v>0.2079460362232779</v>
      </c>
      <c r="H16" s="143">
        <f t="shared" si="3"/>
        <v>7003.6224999999995</v>
      </c>
      <c r="I16" s="157">
        <f t="shared" si="4"/>
        <v>7.5036152321782443E-2</v>
      </c>
      <c r="J16" s="156">
        <f t="shared" si="5"/>
        <v>0.15869530287611805</v>
      </c>
      <c r="K16" s="156">
        <f t="shared" si="6"/>
        <v>0.17070679558763449</v>
      </c>
      <c r="L16" s="158">
        <f t="shared" si="7"/>
        <v>0.63199614375234325</v>
      </c>
      <c r="M16" s="143">
        <f t="shared" si="19"/>
        <v>2466.6634352739543</v>
      </c>
      <c r="N16" s="143">
        <f t="shared" si="20"/>
        <v>5216.7906914466284</v>
      </c>
      <c r="O16" s="143">
        <f t="shared" si="21"/>
        <v>5611.6444913523083</v>
      </c>
      <c r="P16" s="143">
        <f t="shared" si="22"/>
        <v>20775.60923357078</v>
      </c>
      <c r="Q16" s="54">
        <f t="shared" si="38"/>
        <v>46305</v>
      </c>
      <c r="R16" s="136">
        <v>33680</v>
      </c>
      <c r="S16" s="137">
        <v>32873</v>
      </c>
      <c r="T16" s="137">
        <v>0</v>
      </c>
      <c r="U16" s="137">
        <v>0</v>
      </c>
      <c r="V16" s="138">
        <v>6186</v>
      </c>
      <c r="W16" s="139">
        <v>0.71875</v>
      </c>
      <c r="X16" s="138">
        <v>2120</v>
      </c>
      <c r="Y16" s="139">
        <v>0.59375</v>
      </c>
      <c r="Z16" s="138">
        <v>0</v>
      </c>
      <c r="AA16" s="139">
        <v>0</v>
      </c>
      <c r="AB16" s="54">
        <f t="shared" si="39"/>
        <v>46305</v>
      </c>
      <c r="AC16" s="74">
        <f t="shared" si="43"/>
        <v>1</v>
      </c>
      <c r="AD16" s="159">
        <f t="shared" si="44"/>
        <v>0</v>
      </c>
      <c r="AE16" s="160">
        <v>2802</v>
      </c>
      <c r="AF16" s="115">
        <f t="shared" si="10"/>
        <v>2802</v>
      </c>
      <c r="AG16" s="144">
        <v>0</v>
      </c>
      <c r="AH16" s="145">
        <v>1665</v>
      </c>
      <c r="AI16" s="146">
        <v>0.9375</v>
      </c>
      <c r="AJ16" s="145">
        <v>0</v>
      </c>
      <c r="AK16" s="162">
        <v>0</v>
      </c>
      <c r="AL16" s="54">
        <f t="shared" si="40"/>
        <v>46305</v>
      </c>
      <c r="AM16" s="75">
        <f t="shared" si="45"/>
        <v>0.36466419169760378</v>
      </c>
      <c r="AN16" s="74">
        <f t="shared" si="46"/>
        <v>0.63533580830239622</v>
      </c>
      <c r="AO16" s="147">
        <v>5926</v>
      </c>
      <c r="AP16" s="114">
        <f t="shared" si="25"/>
        <v>2161</v>
      </c>
      <c r="AQ16" s="148">
        <v>3765</v>
      </c>
      <c r="AR16" s="149">
        <v>1690</v>
      </c>
      <c r="AS16" s="150">
        <v>0.57222222222222219</v>
      </c>
      <c r="AT16" s="149">
        <v>175</v>
      </c>
      <c r="AU16" s="151">
        <v>0.83333333333333337</v>
      </c>
      <c r="AV16" s="54">
        <f t="shared" si="41"/>
        <v>46305</v>
      </c>
      <c r="AW16" s="107">
        <f t="shared" si="47"/>
        <v>0.35408406461906661</v>
      </c>
      <c r="AX16" s="107">
        <f t="shared" si="48"/>
        <v>0.64591593538093339</v>
      </c>
      <c r="AY16" s="108">
        <f t="shared" si="26"/>
        <v>5014</v>
      </c>
      <c r="AZ16" s="109">
        <v>5014</v>
      </c>
      <c r="BA16" s="117">
        <f t="shared" si="15"/>
        <v>1775.3775000000001</v>
      </c>
      <c r="BB16" s="110">
        <f>2629+BB39</f>
        <v>3238.6224999999999</v>
      </c>
      <c r="BC16" s="109">
        <v>1614</v>
      </c>
      <c r="BD16" s="111">
        <v>0.96875</v>
      </c>
      <c r="BE16" s="112">
        <v>0</v>
      </c>
      <c r="BF16" s="111">
        <v>0</v>
      </c>
      <c r="BG16" s="112">
        <v>152</v>
      </c>
      <c r="BH16" s="111">
        <v>0.8125</v>
      </c>
      <c r="BI16" s="54">
        <f t="shared" si="42"/>
        <v>46305</v>
      </c>
      <c r="BJ16" s="76">
        <f t="shared" si="49"/>
        <v>0.60936440677966097</v>
      </c>
      <c r="BK16" s="74">
        <f t="shared" si="50"/>
        <v>0.39063559322033897</v>
      </c>
      <c r="BL16" s="77">
        <f t="shared" si="18"/>
        <v>23600</v>
      </c>
      <c r="BM16" s="152">
        <v>14381</v>
      </c>
      <c r="BN16" s="152">
        <v>9219</v>
      </c>
      <c r="BO16" s="153">
        <v>2570</v>
      </c>
      <c r="BP16" s="154">
        <v>0.73124999999999996</v>
      </c>
      <c r="BQ16" s="155">
        <v>1713</v>
      </c>
      <c r="BR16" s="154">
        <v>0.73124999999999996</v>
      </c>
    </row>
    <row r="17" spans="1:70" ht="15.75" thickBot="1" x14ac:dyDescent="0.3">
      <c r="B17" s="54">
        <v>46306</v>
      </c>
      <c r="C17" s="161"/>
      <c r="D17" s="85">
        <f t="shared" si="29"/>
        <v>28690</v>
      </c>
      <c r="E17" s="156">
        <f t="shared" si="0"/>
        <v>0.75672281282676901</v>
      </c>
      <c r="F17" s="85">
        <f t="shared" si="1"/>
        <v>21710.377500000002</v>
      </c>
      <c r="G17" s="156">
        <f t="shared" si="2"/>
        <v>0.24327718717323107</v>
      </c>
      <c r="H17" s="143">
        <f t="shared" si="3"/>
        <v>6979.6224999999995</v>
      </c>
      <c r="I17" s="157">
        <f t="shared" si="4"/>
        <v>6.6728739913097454E-2</v>
      </c>
      <c r="J17" s="156">
        <f t="shared" si="5"/>
        <v>0.17194289261328369</v>
      </c>
      <c r="K17" s="156">
        <f t="shared" si="6"/>
        <v>0.17989002356637862</v>
      </c>
      <c r="L17" s="158">
        <f t="shared" si="7"/>
        <v>0.61918063314711358</v>
      </c>
      <c r="M17" s="143">
        <f t="shared" si="19"/>
        <v>1858.1952203600249</v>
      </c>
      <c r="N17" s="143">
        <f t="shared" si="20"/>
        <v>4788.0937306021106</v>
      </c>
      <c r="O17" s="143">
        <f t="shared" si="21"/>
        <v>5009.3974862529458</v>
      </c>
      <c r="P17" s="143">
        <f t="shared" si="22"/>
        <v>17242.323091247672</v>
      </c>
      <c r="Q17" s="54">
        <f t="shared" si="38"/>
        <v>46306</v>
      </c>
      <c r="R17" s="136">
        <v>28690</v>
      </c>
      <c r="S17" s="137">
        <v>27847</v>
      </c>
      <c r="T17" s="137">
        <v>0</v>
      </c>
      <c r="U17" s="137">
        <v>0</v>
      </c>
      <c r="V17" s="138">
        <v>6250</v>
      </c>
      <c r="W17" s="139">
        <v>0.75</v>
      </c>
      <c r="X17" s="138">
        <v>2150</v>
      </c>
      <c r="Y17" s="139">
        <v>0.75</v>
      </c>
      <c r="Z17" s="138">
        <v>0</v>
      </c>
      <c r="AA17" s="139">
        <v>0</v>
      </c>
      <c r="AB17" s="54">
        <f t="shared" si="39"/>
        <v>46306</v>
      </c>
      <c r="AC17" s="74">
        <f t="shared" si="43"/>
        <v>1.0930232558139534</v>
      </c>
      <c r="AD17" s="159">
        <f t="shared" si="44"/>
        <v>0</v>
      </c>
      <c r="AE17" s="160">
        <v>2150</v>
      </c>
      <c r="AF17" s="115">
        <v>2350</v>
      </c>
      <c r="AG17" s="144">
        <v>0</v>
      </c>
      <c r="AH17" s="145">
        <v>1590</v>
      </c>
      <c r="AI17" s="146">
        <v>0.79166666666666663</v>
      </c>
      <c r="AJ17" s="145">
        <v>0</v>
      </c>
      <c r="AK17" s="162">
        <v>0</v>
      </c>
      <c r="AL17" s="54">
        <f t="shared" si="40"/>
        <v>46306</v>
      </c>
      <c r="AM17" s="75">
        <f t="shared" si="45"/>
        <v>0.33393501805054154</v>
      </c>
      <c r="AN17" s="74">
        <f t="shared" si="46"/>
        <v>0.66606498194945851</v>
      </c>
      <c r="AO17" s="147">
        <v>5540</v>
      </c>
      <c r="AP17" s="114">
        <f t="shared" si="25"/>
        <v>1850</v>
      </c>
      <c r="AQ17" s="148">
        <v>3690</v>
      </c>
      <c r="AR17" s="149">
        <v>1585</v>
      </c>
      <c r="AS17" s="150">
        <v>0.72916666666666663</v>
      </c>
      <c r="AT17" s="149">
        <v>178</v>
      </c>
      <c r="AU17" s="151">
        <v>0.875</v>
      </c>
      <c r="AV17" s="54">
        <f t="shared" si="41"/>
        <v>46306</v>
      </c>
      <c r="AW17" s="107">
        <f t="shared" si="47"/>
        <v>0.28174181222707423</v>
      </c>
      <c r="AX17" s="107">
        <f t="shared" si="48"/>
        <v>0.71825818777292572</v>
      </c>
      <c r="AY17" s="108">
        <f t="shared" si="26"/>
        <v>4580</v>
      </c>
      <c r="AZ17" s="109">
        <v>4580</v>
      </c>
      <c r="BA17" s="117">
        <f t="shared" si="15"/>
        <v>1290.3775000000001</v>
      </c>
      <c r="BB17" s="110">
        <f>2680+BB39</f>
        <v>3289.6224999999999</v>
      </c>
      <c r="BC17" s="109">
        <v>1595</v>
      </c>
      <c r="BD17" s="111">
        <v>0.875</v>
      </c>
      <c r="BE17" s="112">
        <v>0</v>
      </c>
      <c r="BF17" s="111">
        <v>0</v>
      </c>
      <c r="BG17" s="112">
        <v>152</v>
      </c>
      <c r="BH17" s="111">
        <v>0.83333333333333337</v>
      </c>
      <c r="BI17" s="54">
        <f t="shared" si="42"/>
        <v>46306</v>
      </c>
      <c r="BJ17" s="76">
        <f t="shared" si="49"/>
        <v>0.60651629072681701</v>
      </c>
      <c r="BK17" s="74">
        <f t="shared" si="50"/>
        <v>0.39348370927318294</v>
      </c>
      <c r="BL17" s="77">
        <f t="shared" si="18"/>
        <v>19950</v>
      </c>
      <c r="BM17" s="152">
        <v>12100</v>
      </c>
      <c r="BN17" s="152">
        <v>7850</v>
      </c>
      <c r="BO17" s="153">
        <v>2680</v>
      </c>
      <c r="BP17" s="154">
        <v>0.75347222222222221</v>
      </c>
      <c r="BQ17" s="155">
        <v>1820</v>
      </c>
      <c r="BR17" s="154">
        <v>0.75</v>
      </c>
    </row>
    <row r="18" spans="1:70" ht="15.75" thickBot="1" x14ac:dyDescent="0.3">
      <c r="B18" s="54">
        <v>46307</v>
      </c>
      <c r="C18" s="161"/>
      <c r="D18" s="85">
        <f t="shared" si="29"/>
        <v>28742</v>
      </c>
      <c r="E18" s="156">
        <f t="shared" si="0"/>
        <v>0.7552841660288081</v>
      </c>
      <c r="F18" s="85">
        <f t="shared" si="1"/>
        <v>21708.377500000002</v>
      </c>
      <c r="G18" s="156">
        <f t="shared" si="2"/>
        <v>0.24471583397119195</v>
      </c>
      <c r="H18" s="143">
        <f t="shared" si="3"/>
        <v>7033.6224999999995</v>
      </c>
      <c r="I18" s="157">
        <f t="shared" si="4"/>
        <v>5.590823381521056E-2</v>
      </c>
      <c r="J18" s="156">
        <f t="shared" si="5"/>
        <v>0.16404776869893148</v>
      </c>
      <c r="K18" s="156">
        <f t="shared" si="6"/>
        <v>0.18622848200312989</v>
      </c>
      <c r="L18" s="158">
        <f t="shared" si="7"/>
        <v>0.6341923318667505</v>
      </c>
      <c r="M18" s="143">
        <f t="shared" si="19"/>
        <v>1561.0137963544942</v>
      </c>
      <c r="N18" s="143">
        <f t="shared" si="20"/>
        <v>4580.3777498428663</v>
      </c>
      <c r="O18" s="143">
        <f t="shared" si="21"/>
        <v>5199.6854460093891</v>
      </c>
      <c r="P18" s="143">
        <f t="shared" si="22"/>
        <v>17707.284098051539</v>
      </c>
      <c r="Q18" s="54">
        <f t="shared" si="38"/>
        <v>46307</v>
      </c>
      <c r="R18" s="136">
        <v>28742</v>
      </c>
      <c r="S18" s="137">
        <v>27921</v>
      </c>
      <c r="T18" s="137">
        <v>0</v>
      </c>
      <c r="U18" s="137">
        <v>0</v>
      </c>
      <c r="V18" s="138">
        <v>6506</v>
      </c>
      <c r="W18" s="139">
        <v>0.65625</v>
      </c>
      <c r="X18" s="138">
        <v>2170</v>
      </c>
      <c r="Y18" s="139">
        <v>0.91666666666666663</v>
      </c>
      <c r="Z18" s="138">
        <v>0</v>
      </c>
      <c r="AA18" s="139">
        <v>0</v>
      </c>
      <c r="AB18" s="54">
        <f t="shared" si="39"/>
        <v>46307</v>
      </c>
      <c r="AC18" s="74">
        <f t="shared" si="43"/>
        <v>1</v>
      </c>
      <c r="AD18" s="159">
        <f t="shared" si="44"/>
        <v>0</v>
      </c>
      <c r="AE18" s="160">
        <v>1779</v>
      </c>
      <c r="AF18" s="115">
        <f t="shared" si="10"/>
        <v>1779</v>
      </c>
      <c r="AG18" s="144">
        <v>0</v>
      </c>
      <c r="AH18" s="145">
        <v>1546</v>
      </c>
      <c r="AI18" s="146">
        <v>0.93888888888888888</v>
      </c>
      <c r="AJ18" s="145">
        <v>0</v>
      </c>
      <c r="AK18" s="162">
        <v>0</v>
      </c>
      <c r="AL18" s="54">
        <f t="shared" si="40"/>
        <v>46307</v>
      </c>
      <c r="AM18" s="75">
        <f t="shared" si="45"/>
        <v>0.29099616858237548</v>
      </c>
      <c r="AN18" s="74">
        <f t="shared" si="46"/>
        <v>0.70900383141762457</v>
      </c>
      <c r="AO18" s="147">
        <v>5220</v>
      </c>
      <c r="AP18" s="114">
        <f t="shared" si="25"/>
        <v>1519</v>
      </c>
      <c r="AQ18" s="148">
        <v>3701</v>
      </c>
      <c r="AR18" s="149">
        <v>1749</v>
      </c>
      <c r="AS18" s="150">
        <v>0.39305555555555555</v>
      </c>
      <c r="AT18" s="149">
        <v>176</v>
      </c>
      <c r="AU18" s="151">
        <v>0.30208333333333331</v>
      </c>
      <c r="AV18" s="54">
        <f t="shared" si="41"/>
        <v>46307</v>
      </c>
      <c r="AW18" s="107">
        <f t="shared" si="47"/>
        <v>0.28191715147597501</v>
      </c>
      <c r="AX18" s="107">
        <f t="shared" si="48"/>
        <v>0.71808284852402493</v>
      </c>
      <c r="AY18" s="108">
        <f t="shared" si="26"/>
        <v>4641</v>
      </c>
      <c r="AZ18" s="109">
        <v>4641</v>
      </c>
      <c r="BA18" s="117">
        <f t="shared" si="15"/>
        <v>1308.3775000000001</v>
      </c>
      <c r="BB18" s="110">
        <f>2723+BB39</f>
        <v>3332.6224999999999</v>
      </c>
      <c r="BC18" s="109">
        <v>1561</v>
      </c>
      <c r="BD18" s="111">
        <v>0.61458333333333337</v>
      </c>
      <c r="BE18" s="112">
        <v>0</v>
      </c>
      <c r="BF18" s="111">
        <v>0</v>
      </c>
      <c r="BG18" s="112">
        <v>154</v>
      </c>
      <c r="BH18" s="111">
        <v>0.33333333333333331</v>
      </c>
      <c r="BI18" s="54">
        <f t="shared" si="42"/>
        <v>46307</v>
      </c>
      <c r="BJ18" s="76">
        <f t="shared" si="49"/>
        <v>0.61154608523290388</v>
      </c>
      <c r="BK18" s="74">
        <f t="shared" si="50"/>
        <v>0.38845391476709612</v>
      </c>
      <c r="BL18" s="77">
        <f t="shared" si="18"/>
        <v>20180</v>
      </c>
      <c r="BM18" s="152">
        <v>12341</v>
      </c>
      <c r="BN18" s="152">
        <v>7839</v>
      </c>
      <c r="BO18" s="153">
        <v>2724</v>
      </c>
      <c r="BP18" s="154">
        <v>0.60833333333333328</v>
      </c>
      <c r="BQ18" s="155">
        <v>1804</v>
      </c>
      <c r="BR18" s="154">
        <v>0.60833333333333328</v>
      </c>
    </row>
    <row r="19" spans="1:70" ht="15.75" thickBot="1" x14ac:dyDescent="0.3">
      <c r="B19" s="54">
        <v>46308</v>
      </c>
      <c r="C19" s="161"/>
      <c r="D19" s="85">
        <f t="shared" si="29"/>
        <v>61922</v>
      </c>
      <c r="E19" s="156">
        <f t="shared" si="0"/>
        <v>0.88212602144633567</v>
      </c>
      <c r="F19" s="85">
        <f t="shared" si="1"/>
        <v>54623.0075</v>
      </c>
      <c r="G19" s="156">
        <f t="shared" si="2"/>
        <v>0.11787397855366429</v>
      </c>
      <c r="H19" s="143">
        <f t="shared" si="3"/>
        <v>7298.9925000000003</v>
      </c>
      <c r="I19" s="157">
        <f t="shared" si="4"/>
        <v>0.11742433001382105</v>
      </c>
      <c r="J19" s="156">
        <f t="shared" si="5"/>
        <v>0.15705323710256947</v>
      </c>
      <c r="K19" s="156">
        <f t="shared" si="6"/>
        <v>0.16894577404166536</v>
      </c>
      <c r="L19" s="158">
        <f t="shared" si="7"/>
        <v>0.57976445188550374</v>
      </c>
      <c r="M19" s="143">
        <f t="shared" si="19"/>
        <v>7189.7085447914415</v>
      </c>
      <c r="N19" s="143">
        <f t="shared" si="20"/>
        <v>9616.1247047404486</v>
      </c>
      <c r="O19" s="143">
        <f t="shared" si="21"/>
        <v>10344.286189163666</v>
      </c>
      <c r="P19" s="143">
        <f t="shared" si="22"/>
        <v>35498.072956404452</v>
      </c>
      <c r="Q19" s="165">
        <f t="shared" si="38"/>
        <v>46308</v>
      </c>
      <c r="R19" s="136">
        <v>61922</v>
      </c>
      <c r="S19" s="137">
        <v>61228.44</v>
      </c>
      <c r="T19" s="137">
        <v>0</v>
      </c>
      <c r="U19" s="137">
        <v>0</v>
      </c>
      <c r="V19" s="138">
        <v>14718.49</v>
      </c>
      <c r="W19" s="139">
        <v>0.8125</v>
      </c>
      <c r="X19" s="138">
        <v>5146.99</v>
      </c>
      <c r="Y19" s="139">
        <v>0.40625</v>
      </c>
      <c r="Z19" s="138">
        <v>0</v>
      </c>
      <c r="AA19" s="139">
        <v>0</v>
      </c>
      <c r="AB19" s="165">
        <f t="shared" si="39"/>
        <v>46308</v>
      </c>
      <c r="AC19" s="74">
        <f t="shared" si="43"/>
        <v>1</v>
      </c>
      <c r="AD19" s="159">
        <f t="shared" si="44"/>
        <v>0</v>
      </c>
      <c r="AE19" s="160">
        <v>8175.75</v>
      </c>
      <c r="AF19" s="115">
        <f t="shared" si="10"/>
        <v>8175.75</v>
      </c>
      <c r="AG19" s="144">
        <v>0</v>
      </c>
      <c r="AH19" s="145">
        <v>4769.99</v>
      </c>
      <c r="AI19" s="146">
        <v>0.69652777777777775</v>
      </c>
      <c r="AJ19" s="145">
        <v>0</v>
      </c>
      <c r="AK19" s="162">
        <v>0</v>
      </c>
      <c r="AL19" s="165">
        <f t="shared" si="40"/>
        <v>46308</v>
      </c>
      <c r="AM19" s="75">
        <f t="shared" si="45"/>
        <v>0.64502594435817662</v>
      </c>
      <c r="AN19" s="74">
        <f t="shared" si="46"/>
        <v>0.35497405564182333</v>
      </c>
      <c r="AO19" s="147">
        <v>10934.94</v>
      </c>
      <c r="AP19" s="114">
        <f t="shared" si="25"/>
        <v>7053.3200000000006</v>
      </c>
      <c r="AQ19" s="148">
        <v>3881.62</v>
      </c>
      <c r="AR19" s="149">
        <v>3874.12</v>
      </c>
      <c r="AS19" s="150">
        <v>0.36944444444444446</v>
      </c>
      <c r="AT19" s="149">
        <v>186.34</v>
      </c>
      <c r="AU19" s="151">
        <v>0.84375</v>
      </c>
      <c r="AV19" s="165">
        <f t="shared" si="41"/>
        <v>46308</v>
      </c>
      <c r="AW19" s="166">
        <f t="shared" si="47"/>
        <v>0.66326329014140029</v>
      </c>
      <c r="AX19" s="166">
        <f t="shared" si="48"/>
        <v>0.33673670985859977</v>
      </c>
      <c r="AY19" s="108">
        <f t="shared" si="26"/>
        <v>10148.5</v>
      </c>
      <c r="AZ19" s="109">
        <v>10148.5</v>
      </c>
      <c r="BA19" s="242">
        <f t="shared" si="15"/>
        <v>6731.1275000000005</v>
      </c>
      <c r="BB19" s="110">
        <f>2807.75+BB39</f>
        <v>3417.3724999999999</v>
      </c>
      <c r="BC19" s="177">
        <v>4558.5200000000004</v>
      </c>
      <c r="BD19" s="111">
        <v>0.77083333333333337</v>
      </c>
      <c r="BE19" s="112">
        <v>0</v>
      </c>
      <c r="BF19" s="111">
        <v>0</v>
      </c>
      <c r="BG19" s="112">
        <v>160.5</v>
      </c>
      <c r="BH19" s="111">
        <v>0.25</v>
      </c>
      <c r="BI19" s="165">
        <f t="shared" si="42"/>
        <v>46308</v>
      </c>
      <c r="BJ19" s="167">
        <f t="shared" si="49"/>
        <v>0.60801654837550945</v>
      </c>
      <c r="BK19" s="74">
        <f t="shared" si="50"/>
        <v>0.39198345162449061</v>
      </c>
      <c r="BL19" s="77">
        <f t="shared" si="18"/>
        <v>40366.5</v>
      </c>
      <c r="BM19" s="152">
        <v>24543.5</v>
      </c>
      <c r="BN19" s="152">
        <v>15823</v>
      </c>
      <c r="BO19" s="153">
        <v>4077.69</v>
      </c>
      <c r="BP19" s="154">
        <v>0.76180555555555551</v>
      </c>
      <c r="BQ19" s="155">
        <v>2724.34</v>
      </c>
      <c r="BR19" s="154">
        <v>0.76249999999999996</v>
      </c>
    </row>
    <row r="20" spans="1:70" ht="15.75" thickBot="1" x14ac:dyDescent="0.3">
      <c r="B20" s="54">
        <v>46309</v>
      </c>
      <c r="C20" s="161"/>
      <c r="D20" s="85">
        <f t="shared" si="29"/>
        <v>62122</v>
      </c>
      <c r="E20" s="156">
        <f t="shared" si="0"/>
        <v>0.88466384694633149</v>
      </c>
      <c r="F20" s="85">
        <f t="shared" si="1"/>
        <v>54957.087500000001</v>
      </c>
      <c r="G20" s="156">
        <f t="shared" si="2"/>
        <v>0.11533615305366859</v>
      </c>
      <c r="H20" s="143">
        <f t="shared" si="3"/>
        <v>7164.9125000000004</v>
      </c>
      <c r="I20" s="157">
        <f t="shared" si="4"/>
        <v>0.12153332925288501</v>
      </c>
      <c r="J20" s="156">
        <f t="shared" si="5"/>
        <v>0.15895167341961389</v>
      </c>
      <c r="K20" s="156">
        <f t="shared" si="6"/>
        <v>0.17166213405262812</v>
      </c>
      <c r="L20" s="158">
        <f t="shared" si="7"/>
        <v>0.57050072505866134</v>
      </c>
      <c r="M20" s="143">
        <f t="shared" si="19"/>
        <v>7461.8656741365658</v>
      </c>
      <c r="N20" s="143">
        <f t="shared" si="20"/>
        <v>9759.2655695986941</v>
      </c>
      <c r="O20" s="143">
        <f t="shared" si="21"/>
        <v>10539.658491301705</v>
      </c>
      <c r="P20" s="143">
        <f t="shared" si="22"/>
        <v>35027.426661926926</v>
      </c>
      <c r="Q20" s="165">
        <f t="shared" si="38"/>
        <v>46309</v>
      </c>
      <c r="R20" s="136">
        <v>62122</v>
      </c>
      <c r="S20" s="137">
        <v>61397.69</v>
      </c>
      <c r="T20" s="137">
        <v>0</v>
      </c>
      <c r="U20" s="137">
        <v>0</v>
      </c>
      <c r="V20" s="138">
        <v>14209.96</v>
      </c>
      <c r="W20" s="139">
        <v>0.79166666666666663</v>
      </c>
      <c r="X20" s="138">
        <v>5243.44</v>
      </c>
      <c r="Y20" s="139">
        <v>0.80208333333333337</v>
      </c>
      <c r="Z20" s="138">
        <v>0</v>
      </c>
      <c r="AA20" s="139">
        <v>0</v>
      </c>
      <c r="AB20" s="165">
        <f t="shared" si="39"/>
        <v>46309</v>
      </c>
      <c r="AC20" s="74">
        <f t="shared" si="43"/>
        <v>1</v>
      </c>
      <c r="AD20" s="159">
        <f t="shared" si="44"/>
        <v>0</v>
      </c>
      <c r="AE20" s="160">
        <v>8319.75</v>
      </c>
      <c r="AF20" s="115">
        <f t="shared" si="10"/>
        <v>8319.75</v>
      </c>
      <c r="AG20" s="144">
        <v>0</v>
      </c>
      <c r="AH20" s="145">
        <v>3664.97</v>
      </c>
      <c r="AI20" s="146">
        <v>0.77986111111111112</v>
      </c>
      <c r="AJ20" s="145">
        <v>0</v>
      </c>
      <c r="AK20" s="162">
        <v>0</v>
      </c>
      <c r="AL20" s="165">
        <f t="shared" si="40"/>
        <v>46309</v>
      </c>
      <c r="AM20" s="75">
        <f t="shared" si="45"/>
        <v>0.65007241795082937</v>
      </c>
      <c r="AN20" s="74">
        <f t="shared" si="46"/>
        <v>0.34992758204917063</v>
      </c>
      <c r="AO20" s="147">
        <v>10881.28</v>
      </c>
      <c r="AP20" s="114">
        <f t="shared" si="25"/>
        <v>7073.6200000000008</v>
      </c>
      <c r="AQ20" s="148">
        <v>3807.66</v>
      </c>
      <c r="AR20" s="149">
        <v>3978.88</v>
      </c>
      <c r="AS20" s="150">
        <v>0.3659722222222222</v>
      </c>
      <c r="AT20" s="149">
        <v>180.3</v>
      </c>
      <c r="AU20" s="151">
        <v>0.86458333333333337</v>
      </c>
      <c r="AV20" s="165">
        <f t="shared" si="41"/>
        <v>46309</v>
      </c>
      <c r="AW20" s="166">
        <f t="shared" si="47"/>
        <v>0.67088986373884907</v>
      </c>
      <c r="AX20" s="166">
        <f t="shared" si="48"/>
        <v>0.32911013626115088</v>
      </c>
      <c r="AY20" s="108">
        <f t="shared" si="26"/>
        <v>10201</v>
      </c>
      <c r="AZ20" s="109">
        <v>10201</v>
      </c>
      <c r="BA20" s="242">
        <f t="shared" si="15"/>
        <v>6843.7474999999995</v>
      </c>
      <c r="BB20" s="110">
        <f>2747.63+BB39</f>
        <v>3357.2525000000001</v>
      </c>
      <c r="BC20" s="109">
        <v>4381.54</v>
      </c>
      <c r="BD20" s="111">
        <v>0.36458333333333331</v>
      </c>
      <c r="BE20" s="112">
        <v>0</v>
      </c>
      <c r="BF20" s="111">
        <v>0</v>
      </c>
      <c r="BG20" s="112">
        <v>163.34</v>
      </c>
      <c r="BH20" s="111">
        <v>0.89583333333333337</v>
      </c>
      <c r="BI20" s="165">
        <f t="shared" si="42"/>
        <v>46309</v>
      </c>
      <c r="BJ20" s="167">
        <f t="shared" si="49"/>
        <v>0.60503911201013971</v>
      </c>
      <c r="BK20" s="74">
        <f t="shared" si="50"/>
        <v>0.39496088798986034</v>
      </c>
      <c r="BL20" s="77">
        <f t="shared" si="18"/>
        <v>39054.5</v>
      </c>
      <c r="BM20" s="152">
        <v>23629.5</v>
      </c>
      <c r="BN20" s="152">
        <v>15425</v>
      </c>
      <c r="BO20" s="153">
        <v>4380.82</v>
      </c>
      <c r="BP20" s="154">
        <v>0.73958333333333337</v>
      </c>
      <c r="BQ20" s="155">
        <v>1940</v>
      </c>
      <c r="BR20" s="154">
        <v>0.74027777777777781</v>
      </c>
    </row>
    <row r="21" spans="1:70" ht="15.75" thickBot="1" x14ac:dyDescent="0.3">
      <c r="A21" s="14"/>
      <c r="B21" s="54">
        <v>46310</v>
      </c>
      <c r="C21" s="161"/>
      <c r="D21" s="85">
        <f t="shared" si="29"/>
        <v>60656</v>
      </c>
      <c r="E21" s="156">
        <f t="shared" si="0"/>
        <v>0.88058473193088893</v>
      </c>
      <c r="F21" s="85">
        <f t="shared" si="1"/>
        <v>53412.747499999998</v>
      </c>
      <c r="G21" s="156">
        <f t="shared" si="2"/>
        <v>0.11941526806911106</v>
      </c>
      <c r="H21" s="143">
        <f t="shared" si="3"/>
        <v>7243.2525000000005</v>
      </c>
      <c r="I21" s="157">
        <f t="shared" si="4"/>
        <v>0.12818744167729421</v>
      </c>
      <c r="J21" s="156">
        <f t="shared" si="5"/>
        <v>0.15375647229823686</v>
      </c>
      <c r="K21" s="156">
        <f t="shared" si="6"/>
        <v>0.17288460174480461</v>
      </c>
      <c r="L21" s="158">
        <f t="shared" si="7"/>
        <v>0.56747881374809106</v>
      </c>
      <c r="M21" s="143">
        <f t="shared" si="19"/>
        <v>7685.246046492739</v>
      </c>
      <c r="N21" s="143">
        <f t="shared" si="20"/>
        <v>9218.1909974259306</v>
      </c>
      <c r="O21" s="143">
        <f t="shared" si="21"/>
        <v>10364.983376480603</v>
      </c>
      <c r="P21" s="143">
        <f t="shared" si="22"/>
        <v>34022.165141613914</v>
      </c>
      <c r="Q21" s="165">
        <f t="shared" si="38"/>
        <v>46310</v>
      </c>
      <c r="R21" s="136">
        <v>60656</v>
      </c>
      <c r="S21" s="137">
        <v>59953.19</v>
      </c>
      <c r="T21" s="137">
        <v>0</v>
      </c>
      <c r="U21" s="137">
        <v>0</v>
      </c>
      <c r="V21" s="138">
        <v>15248.8</v>
      </c>
      <c r="W21" s="139">
        <v>0.75</v>
      </c>
      <c r="X21" s="138">
        <v>4853.49</v>
      </c>
      <c r="Y21" s="139">
        <v>0.41666666666666669</v>
      </c>
      <c r="Z21" s="138">
        <v>0</v>
      </c>
      <c r="AA21" s="139">
        <v>0</v>
      </c>
      <c r="AB21" s="165">
        <f t="shared" si="39"/>
        <v>46310</v>
      </c>
      <c r="AC21" s="74">
        <f t="shared" si="43"/>
        <v>1</v>
      </c>
      <c r="AD21" s="159">
        <f t="shared" si="44"/>
        <v>0</v>
      </c>
      <c r="AE21" s="160">
        <v>8632.25</v>
      </c>
      <c r="AF21" s="115">
        <f t="shared" si="10"/>
        <v>8632.25</v>
      </c>
      <c r="AG21" s="144">
        <v>0</v>
      </c>
      <c r="AH21" s="145">
        <v>4022.27</v>
      </c>
      <c r="AI21" s="146">
        <v>0.36527777777777776</v>
      </c>
      <c r="AJ21" s="145">
        <v>0</v>
      </c>
      <c r="AK21" s="162">
        <v>0</v>
      </c>
      <c r="AL21" s="165">
        <f t="shared" si="40"/>
        <v>46310</v>
      </c>
      <c r="AM21" s="75">
        <f t="shared" si="45"/>
        <v>0.63077392605241023</v>
      </c>
      <c r="AN21" s="74">
        <f t="shared" si="46"/>
        <v>0.36922607394758977</v>
      </c>
      <c r="AO21" s="147">
        <v>10354.09</v>
      </c>
      <c r="AP21" s="114">
        <f t="shared" si="25"/>
        <v>6531.09</v>
      </c>
      <c r="AQ21" s="148">
        <v>3823</v>
      </c>
      <c r="AR21" s="149">
        <v>4604.45</v>
      </c>
      <c r="AS21" s="150">
        <v>0.7729166666666667</v>
      </c>
      <c r="AT21" s="149">
        <v>178.45</v>
      </c>
      <c r="AU21" s="151">
        <v>0.90625</v>
      </c>
      <c r="AV21" s="165">
        <f t="shared" si="41"/>
        <v>46310</v>
      </c>
      <c r="AW21" s="166">
        <f t="shared" si="47"/>
        <v>0.66269699211045363</v>
      </c>
      <c r="AX21" s="166">
        <f t="shared" si="48"/>
        <v>0.33730300788954637</v>
      </c>
      <c r="AY21" s="108">
        <f t="shared" si="26"/>
        <v>10140</v>
      </c>
      <c r="AZ21" s="109">
        <v>10140</v>
      </c>
      <c r="BA21" s="242">
        <f t="shared" si="15"/>
        <v>6719.7474999999995</v>
      </c>
      <c r="BB21" s="110">
        <f>2810.63+BB39</f>
        <v>3420.2525000000001</v>
      </c>
      <c r="BC21" s="109">
        <v>4203.9799999999996</v>
      </c>
      <c r="BD21" s="111">
        <v>0.70833333333333337</v>
      </c>
      <c r="BE21" s="112">
        <v>0</v>
      </c>
      <c r="BF21" s="111">
        <v>0</v>
      </c>
      <c r="BG21" s="112">
        <v>159.19</v>
      </c>
      <c r="BH21" s="111">
        <v>0.89583333333333337</v>
      </c>
      <c r="BI21" s="165">
        <f>BI20+1</f>
        <v>46310</v>
      </c>
      <c r="BJ21" s="167">
        <f t="shared" si="49"/>
        <v>0.6073218281018985</v>
      </c>
      <c r="BK21" s="74">
        <f t="shared" si="50"/>
        <v>0.3926781718981015</v>
      </c>
      <c r="BL21" s="77">
        <f t="shared" si="18"/>
        <v>38214.5</v>
      </c>
      <c r="BM21" s="152">
        <v>23208.5</v>
      </c>
      <c r="BN21" s="152">
        <v>15006</v>
      </c>
      <c r="BO21" s="153">
        <v>4316.25</v>
      </c>
      <c r="BP21" s="154">
        <v>0.45277777777777778</v>
      </c>
      <c r="BQ21" s="155">
        <v>2868.86</v>
      </c>
      <c r="BR21" s="154">
        <v>0.45277777777777778</v>
      </c>
    </row>
    <row r="22" spans="1:70" ht="15.75" thickBot="1" x14ac:dyDescent="0.3">
      <c r="A22" s="14"/>
      <c r="B22" s="54">
        <v>46311</v>
      </c>
      <c r="C22" s="161"/>
      <c r="D22" s="85">
        <f t="shared" si="29"/>
        <v>60898</v>
      </c>
      <c r="E22" s="156">
        <f t="shared" si="0"/>
        <v>0.88665272258530659</v>
      </c>
      <c r="F22" s="85">
        <f t="shared" si="1"/>
        <v>53995.377500000002</v>
      </c>
      <c r="G22" s="156">
        <f t="shared" si="2"/>
        <v>0.11334727741469341</v>
      </c>
      <c r="H22" s="143">
        <f t="shared" si="3"/>
        <v>6902.6224999999995</v>
      </c>
      <c r="I22" s="157">
        <f t="shared" si="4"/>
        <v>0.12592592592592591</v>
      </c>
      <c r="J22" s="156">
        <f t="shared" si="5"/>
        <v>0.15504982894541128</v>
      </c>
      <c r="K22" s="156">
        <f t="shared" si="6"/>
        <v>0.17557510148849798</v>
      </c>
      <c r="L22" s="158">
        <f t="shared" si="7"/>
        <v>0.56462888591402649</v>
      </c>
      <c r="M22" s="143">
        <f t="shared" si="19"/>
        <v>7578.4740740740735</v>
      </c>
      <c r="N22" s="143">
        <f t="shared" si="20"/>
        <v>9331.2088055927416</v>
      </c>
      <c r="O22" s="143">
        <f t="shared" si="21"/>
        <v>10566.460757780786</v>
      </c>
      <c r="P22" s="143">
        <f t="shared" si="22"/>
        <v>33980.495612077939</v>
      </c>
      <c r="Q22" s="165">
        <f t="shared" si="38"/>
        <v>46311</v>
      </c>
      <c r="R22" s="136">
        <v>60898</v>
      </c>
      <c r="S22" s="137">
        <v>60182</v>
      </c>
      <c r="T22" s="137">
        <v>0</v>
      </c>
      <c r="U22" s="137">
        <v>0</v>
      </c>
      <c r="V22" s="138">
        <v>15890</v>
      </c>
      <c r="W22" s="139">
        <v>0.73958333333333337</v>
      </c>
      <c r="X22" s="138">
        <v>4811</v>
      </c>
      <c r="Y22" s="139">
        <v>0.75</v>
      </c>
      <c r="Z22" s="138">
        <v>0</v>
      </c>
      <c r="AA22" s="139">
        <v>0</v>
      </c>
      <c r="AB22" s="165">
        <f t="shared" si="39"/>
        <v>46311</v>
      </c>
      <c r="AC22" s="74">
        <f t="shared" si="43"/>
        <v>1</v>
      </c>
      <c r="AD22" s="159">
        <f t="shared" si="44"/>
        <v>0</v>
      </c>
      <c r="AE22" s="160">
        <v>8466</v>
      </c>
      <c r="AF22" s="115">
        <f t="shared" si="10"/>
        <v>8466</v>
      </c>
      <c r="AG22" s="144">
        <v>0</v>
      </c>
      <c r="AH22" s="145">
        <v>4858</v>
      </c>
      <c r="AI22" s="146">
        <v>0.7055555555555556</v>
      </c>
      <c r="AJ22" s="145">
        <v>0</v>
      </c>
      <c r="AK22" s="162">
        <v>0</v>
      </c>
      <c r="AL22" s="165">
        <f t="shared" si="40"/>
        <v>46311</v>
      </c>
      <c r="AM22" s="75">
        <f t="shared" si="45"/>
        <v>0.66346891788181117</v>
      </c>
      <c r="AN22" s="74">
        <f t="shared" si="46"/>
        <v>0.33653108211818877</v>
      </c>
      <c r="AO22" s="147">
        <v>10424</v>
      </c>
      <c r="AP22" s="114">
        <f t="shared" si="25"/>
        <v>6916</v>
      </c>
      <c r="AQ22" s="148">
        <v>3508</v>
      </c>
      <c r="AR22" s="149">
        <v>4508</v>
      </c>
      <c r="AS22" s="150">
        <v>0.33888888888888891</v>
      </c>
      <c r="AT22" s="149">
        <v>180</v>
      </c>
      <c r="AU22" s="151">
        <v>0.92708333333333337</v>
      </c>
      <c r="AV22" s="165">
        <f t="shared" si="41"/>
        <v>46311</v>
      </c>
      <c r="AW22" s="166">
        <f t="shared" si="47"/>
        <v>0.67296507707129094</v>
      </c>
      <c r="AX22" s="166">
        <f t="shared" si="48"/>
        <v>0.32703492292870906</v>
      </c>
      <c r="AY22" s="108">
        <f t="shared" si="26"/>
        <v>10380</v>
      </c>
      <c r="AZ22" s="109">
        <v>10380</v>
      </c>
      <c r="BA22" s="242">
        <f t="shared" si="15"/>
        <v>6985.3775000000005</v>
      </c>
      <c r="BB22" s="110">
        <f>2785+BB39</f>
        <v>3394.6224999999999</v>
      </c>
      <c r="BC22" s="109">
        <v>4432</v>
      </c>
      <c r="BD22" s="111">
        <v>0.73958333333333337</v>
      </c>
      <c r="BE22" s="112">
        <v>0</v>
      </c>
      <c r="BF22" s="111">
        <v>0</v>
      </c>
      <c r="BG22" s="112">
        <v>162</v>
      </c>
      <c r="BH22" s="111">
        <v>0.90625</v>
      </c>
      <c r="BI22" s="165">
        <f t="shared" si="42"/>
        <v>46311</v>
      </c>
      <c r="BJ22" s="167">
        <f t="shared" si="49"/>
        <v>0.60532139093782933</v>
      </c>
      <c r="BK22" s="74">
        <f t="shared" si="50"/>
        <v>0.39467860906217073</v>
      </c>
      <c r="BL22" s="77">
        <f t="shared" si="18"/>
        <v>37960</v>
      </c>
      <c r="BM22" s="152">
        <v>22978</v>
      </c>
      <c r="BN22" s="152">
        <v>14982</v>
      </c>
      <c r="BO22" s="153">
        <v>4303</v>
      </c>
      <c r="BP22" s="154">
        <v>0.73124999999999996</v>
      </c>
      <c r="BQ22" s="155">
        <v>2819</v>
      </c>
      <c r="BR22" s="154">
        <v>0.73124999999999996</v>
      </c>
    </row>
    <row r="23" spans="1:70" ht="15.75" thickBot="1" x14ac:dyDescent="0.3">
      <c r="A23" s="14"/>
      <c r="B23" s="54">
        <v>46312</v>
      </c>
      <c r="C23" s="161"/>
      <c r="D23" s="85">
        <f t="shared" si="29"/>
        <v>34344</v>
      </c>
      <c r="E23" s="156">
        <f t="shared" si="0"/>
        <v>0.79284234509666907</v>
      </c>
      <c r="F23" s="85">
        <f t="shared" si="1"/>
        <v>27229.377500000002</v>
      </c>
      <c r="G23" s="156">
        <f t="shared" si="2"/>
        <v>0.20715765490333099</v>
      </c>
      <c r="H23" s="143">
        <f t="shared" si="3"/>
        <v>7114.6224999999995</v>
      </c>
      <c r="I23" s="157">
        <f t="shared" si="4"/>
        <v>9.6465059795665151E-2</v>
      </c>
      <c r="J23" s="156">
        <f t="shared" si="5"/>
        <v>0.15686792153963938</v>
      </c>
      <c r="K23" s="156">
        <f t="shared" si="6"/>
        <v>0.16871430468853765</v>
      </c>
      <c r="L23" s="158">
        <f t="shared" si="7"/>
        <v>0.61252936983552897</v>
      </c>
      <c r="M23" s="143">
        <f t="shared" si="19"/>
        <v>3234.2805248290611</v>
      </c>
      <c r="N23" s="143">
        <f t="shared" si="20"/>
        <v>5259.4676733810293</v>
      </c>
      <c r="O23" s="143">
        <f t="shared" si="21"/>
        <v>5656.65320759729</v>
      </c>
      <c r="P23" s="143">
        <f t="shared" si="22"/>
        <v>20536.884711845614</v>
      </c>
      <c r="Q23" s="165">
        <f t="shared" si="38"/>
        <v>46312</v>
      </c>
      <c r="R23" s="136">
        <v>34344</v>
      </c>
      <c r="S23" s="137">
        <v>33528</v>
      </c>
      <c r="T23" s="137">
        <v>0</v>
      </c>
      <c r="U23" s="137">
        <v>0</v>
      </c>
      <c r="V23" s="138">
        <v>6782</v>
      </c>
      <c r="W23" s="139">
        <v>0.875</v>
      </c>
      <c r="X23" s="138">
        <v>2061</v>
      </c>
      <c r="Y23" s="139">
        <v>0.40625</v>
      </c>
      <c r="Z23" s="138">
        <v>0</v>
      </c>
      <c r="AA23" s="139">
        <v>0</v>
      </c>
      <c r="AB23" s="165">
        <f t="shared" si="39"/>
        <v>46312</v>
      </c>
      <c r="AC23" s="74">
        <f t="shared" si="43"/>
        <v>1</v>
      </c>
      <c r="AD23" s="159">
        <f t="shared" si="44"/>
        <v>0</v>
      </c>
      <c r="AE23" s="160">
        <v>3654</v>
      </c>
      <c r="AF23" s="115">
        <f t="shared" si="10"/>
        <v>3654</v>
      </c>
      <c r="AG23" s="144">
        <v>0</v>
      </c>
      <c r="AH23" s="145">
        <v>5626</v>
      </c>
      <c r="AI23" s="146">
        <v>4.3749999999999997E-2</v>
      </c>
      <c r="AJ23" s="145">
        <v>0</v>
      </c>
      <c r="AK23" s="162">
        <v>0</v>
      </c>
      <c r="AL23" s="165">
        <f t="shared" si="40"/>
        <v>46312</v>
      </c>
      <c r="AM23" s="75">
        <f t="shared" si="45"/>
        <v>0.36654325143049477</v>
      </c>
      <c r="AN23" s="74">
        <f t="shared" si="46"/>
        <v>0.63345674856950518</v>
      </c>
      <c r="AO23" s="147">
        <v>5942</v>
      </c>
      <c r="AP23" s="114">
        <f t="shared" si="25"/>
        <v>2178</v>
      </c>
      <c r="AQ23" s="148">
        <v>3764</v>
      </c>
      <c r="AR23" s="149">
        <v>1567</v>
      </c>
      <c r="AS23" s="150">
        <v>0.7729166666666667</v>
      </c>
      <c r="AT23" s="149">
        <v>190</v>
      </c>
      <c r="AU23" s="151">
        <v>0.94791666666666663</v>
      </c>
      <c r="AV23" s="165">
        <f t="shared" si="41"/>
        <v>46312</v>
      </c>
      <c r="AW23" s="166">
        <f t="shared" si="47"/>
        <v>0.34055845306042121</v>
      </c>
      <c r="AX23" s="166">
        <f t="shared" si="48"/>
        <v>0.65944154693957879</v>
      </c>
      <c r="AY23" s="108">
        <f t="shared" si="26"/>
        <v>5081</v>
      </c>
      <c r="AZ23" s="109">
        <v>5081</v>
      </c>
      <c r="BA23" s="242">
        <f t="shared" si="15"/>
        <v>1730.3775000000001</v>
      </c>
      <c r="BB23" s="110">
        <f>2741+BB39</f>
        <v>3350.6224999999999</v>
      </c>
      <c r="BC23" s="109">
        <v>1608</v>
      </c>
      <c r="BD23" s="111">
        <v>0.36458333333333331</v>
      </c>
      <c r="BE23" s="112">
        <v>0</v>
      </c>
      <c r="BF23" s="111">
        <v>0</v>
      </c>
      <c r="BG23" s="112">
        <v>166</v>
      </c>
      <c r="BH23" s="111">
        <v>0.85416666666666663</v>
      </c>
      <c r="BI23" s="165">
        <f t="shared" si="42"/>
        <v>46312</v>
      </c>
      <c r="BJ23" s="167">
        <f t="shared" si="49"/>
        <v>0.60865442634255673</v>
      </c>
      <c r="BK23" s="74">
        <f t="shared" si="50"/>
        <v>0.39134557365744332</v>
      </c>
      <c r="BL23" s="77">
        <f t="shared" si="18"/>
        <v>23202</v>
      </c>
      <c r="BM23" s="152">
        <v>14122</v>
      </c>
      <c r="BN23" s="152">
        <v>9080</v>
      </c>
      <c r="BO23" s="153">
        <v>2830</v>
      </c>
      <c r="BP23" s="154">
        <v>0.37569444444444444</v>
      </c>
      <c r="BQ23" s="155">
        <v>1865</v>
      </c>
      <c r="BR23" s="154">
        <v>0.37569444444444444</v>
      </c>
    </row>
    <row r="24" spans="1:70" ht="15.75" thickBot="1" x14ac:dyDescent="0.3">
      <c r="A24" s="14"/>
      <c r="B24" s="54">
        <v>46313</v>
      </c>
      <c r="C24" s="161"/>
      <c r="D24" s="85">
        <f t="shared" si="29"/>
        <v>29010</v>
      </c>
      <c r="E24" s="156">
        <f t="shared" si="0"/>
        <v>0.75537323336780426</v>
      </c>
      <c r="F24" s="85">
        <f t="shared" si="1"/>
        <v>21913.377500000002</v>
      </c>
      <c r="G24" s="156">
        <f t="shared" si="2"/>
        <v>0.24462676663219576</v>
      </c>
      <c r="H24" s="143">
        <f t="shared" si="3"/>
        <v>7096.6224999999995</v>
      </c>
      <c r="I24" s="157">
        <f t="shared" si="4"/>
        <v>5.8230010121457489E-2</v>
      </c>
      <c r="J24" s="156">
        <f t="shared" si="5"/>
        <v>0.1697241902834008</v>
      </c>
      <c r="K24" s="156">
        <f t="shared" si="6"/>
        <v>0.18626267503621438</v>
      </c>
      <c r="L24" s="158">
        <f t="shared" si="7"/>
        <v>0.62563259109311742</v>
      </c>
      <c r="M24" s="143">
        <f t="shared" si="19"/>
        <v>1641.0381452429149</v>
      </c>
      <c r="N24" s="143">
        <f t="shared" si="20"/>
        <v>4783.1671305668015</v>
      </c>
      <c r="O24" s="143">
        <f t="shared" si="21"/>
        <v>5249.2547078705938</v>
      </c>
      <c r="P24" s="143">
        <f t="shared" si="22"/>
        <v>17631.577682186235</v>
      </c>
      <c r="Q24" s="165">
        <f t="shared" si="38"/>
        <v>46313</v>
      </c>
      <c r="R24" s="137">
        <v>29010</v>
      </c>
      <c r="S24" s="137">
        <v>28182</v>
      </c>
      <c r="T24" s="137">
        <v>0</v>
      </c>
      <c r="U24" s="137">
        <v>0</v>
      </c>
      <c r="V24" s="138">
        <v>5596</v>
      </c>
      <c r="W24" s="139">
        <v>0.76041666666666663</v>
      </c>
      <c r="X24" s="138">
        <v>1859</v>
      </c>
      <c r="Y24" s="139">
        <v>0.80208333333333337</v>
      </c>
      <c r="Z24" s="138">
        <v>0</v>
      </c>
      <c r="AA24" s="139">
        <v>0</v>
      </c>
      <c r="AB24" s="165">
        <f t="shared" si="39"/>
        <v>46313</v>
      </c>
      <c r="AC24" s="74">
        <f t="shared" si="43"/>
        <v>1</v>
      </c>
      <c r="AD24" s="159">
        <f t="shared" si="44"/>
        <v>0</v>
      </c>
      <c r="AE24" s="160">
        <v>1841</v>
      </c>
      <c r="AF24" s="115">
        <f t="shared" si="10"/>
        <v>1841</v>
      </c>
      <c r="AG24" s="144">
        <v>0</v>
      </c>
      <c r="AH24" s="145">
        <v>1369</v>
      </c>
      <c r="AI24" s="146">
        <v>0.49513888888888891</v>
      </c>
      <c r="AJ24" s="145">
        <v>0</v>
      </c>
      <c r="AK24" s="162">
        <v>0</v>
      </c>
      <c r="AL24" s="165">
        <f t="shared" si="40"/>
        <v>46313</v>
      </c>
      <c r="AM24" s="75">
        <f t="shared" si="45"/>
        <v>0.30022363026462917</v>
      </c>
      <c r="AN24" s="74">
        <f t="shared" si="46"/>
        <v>0.69977636973537083</v>
      </c>
      <c r="AO24" s="147">
        <v>5366</v>
      </c>
      <c r="AP24" s="114">
        <f t="shared" si="25"/>
        <v>1611</v>
      </c>
      <c r="AQ24" s="148">
        <v>3755</v>
      </c>
      <c r="AR24" s="149">
        <v>1766</v>
      </c>
      <c r="AS24" s="150">
        <v>0.39374999999999999</v>
      </c>
      <c r="AT24" s="149">
        <v>184</v>
      </c>
      <c r="AU24" s="151">
        <v>0.83333333333333337</v>
      </c>
      <c r="AV24" s="165">
        <f t="shared" si="41"/>
        <v>46313</v>
      </c>
      <c r="AW24" s="166">
        <f t="shared" si="47"/>
        <v>0.27811136314538776</v>
      </c>
      <c r="AX24" s="166">
        <f t="shared" si="48"/>
        <v>0.72188863685461224</v>
      </c>
      <c r="AY24" s="108">
        <f t="shared" si="26"/>
        <v>4629</v>
      </c>
      <c r="AZ24" s="109">
        <v>4629</v>
      </c>
      <c r="BA24" s="242">
        <f t="shared" si="15"/>
        <v>1287.3775000000001</v>
      </c>
      <c r="BB24" s="110">
        <f>2732+BB39</f>
        <v>3341.6224999999999</v>
      </c>
      <c r="BC24" s="109">
        <v>2071</v>
      </c>
      <c r="BD24" s="111">
        <v>7.2916666666666671E-2</v>
      </c>
      <c r="BE24" s="112">
        <v>0</v>
      </c>
      <c r="BF24" s="111">
        <v>0</v>
      </c>
      <c r="BG24" s="112">
        <v>160</v>
      </c>
      <c r="BH24" s="111">
        <v>0.85416666666666663</v>
      </c>
      <c r="BI24" s="165">
        <f t="shared" si="42"/>
        <v>46313</v>
      </c>
      <c r="BJ24" s="167">
        <f t="shared" si="49"/>
        <v>0.61385237613751265</v>
      </c>
      <c r="BK24" s="74">
        <f t="shared" si="50"/>
        <v>0.38614762386248735</v>
      </c>
      <c r="BL24" s="77">
        <f t="shared" si="18"/>
        <v>19780</v>
      </c>
      <c r="BM24" s="152">
        <v>12142</v>
      </c>
      <c r="BN24" s="152">
        <v>7638</v>
      </c>
      <c r="BO24" s="153">
        <v>1327</v>
      </c>
      <c r="BP24" s="154">
        <v>0.41597222222222224</v>
      </c>
      <c r="BQ24" s="155">
        <v>1799</v>
      </c>
      <c r="BR24" s="154">
        <v>0.41666666666666669</v>
      </c>
    </row>
    <row r="25" spans="1:70" ht="15.75" thickBot="1" x14ac:dyDescent="0.3">
      <c r="A25" s="14"/>
      <c r="B25" s="54">
        <v>46314</v>
      </c>
      <c r="C25" s="161"/>
      <c r="D25" s="85">
        <f t="shared" si="29"/>
        <v>58992</v>
      </c>
      <c r="E25" s="156">
        <f t="shared" si="0"/>
        <v>0.87437919548413345</v>
      </c>
      <c r="F25" s="85">
        <f t="shared" si="1"/>
        <v>51581.377500000002</v>
      </c>
      <c r="G25" s="156">
        <f t="shared" si="2"/>
        <v>0.12562080451586655</v>
      </c>
      <c r="H25" s="143">
        <f t="shared" si="3"/>
        <v>7410.6224999999995</v>
      </c>
      <c r="I25" s="157">
        <f t="shared" si="4"/>
        <v>0.11946761958118196</v>
      </c>
      <c r="J25" s="156">
        <f t="shared" si="5"/>
        <v>0.16156140696213073</v>
      </c>
      <c r="K25" s="156">
        <f t="shared" si="6"/>
        <v>0.17717551303143128</v>
      </c>
      <c r="L25" s="158">
        <f t="shared" si="7"/>
        <v>0.56405675090471363</v>
      </c>
      <c r="M25" s="143">
        <f t="shared" si="19"/>
        <v>6961.6171282346349</v>
      </c>
      <c r="N25" s="143">
        <f t="shared" si="20"/>
        <v>9414.5063064972819</v>
      </c>
      <c r="O25" s="143">
        <f t="shared" si="21"/>
        <v>10324.371495367564</v>
      </c>
      <c r="P25" s="143">
        <f t="shared" si="22"/>
        <v>32868.714988719476</v>
      </c>
      <c r="Q25" s="165">
        <f t="shared" si="38"/>
        <v>46314</v>
      </c>
      <c r="R25" s="137">
        <v>58992</v>
      </c>
      <c r="S25" s="137">
        <v>58272</v>
      </c>
      <c r="T25" s="137">
        <v>0</v>
      </c>
      <c r="U25" s="137">
        <v>0</v>
      </c>
      <c r="V25" s="138">
        <v>14985</v>
      </c>
      <c r="W25" s="139">
        <v>0.76041666666666663</v>
      </c>
      <c r="X25" s="138">
        <v>5051</v>
      </c>
      <c r="Y25" s="139">
        <v>0.80208333333333337</v>
      </c>
      <c r="Z25" s="138">
        <v>0</v>
      </c>
      <c r="AA25" s="139">
        <v>0</v>
      </c>
      <c r="AB25" s="165">
        <f t="shared" si="39"/>
        <v>46314</v>
      </c>
      <c r="AC25" s="74">
        <f t="shared" si="43"/>
        <v>1</v>
      </c>
      <c r="AD25" s="159">
        <f t="shared" si="44"/>
        <v>0</v>
      </c>
      <c r="AE25" s="160">
        <v>7890</v>
      </c>
      <c r="AF25" s="115">
        <f t="shared" si="10"/>
        <v>7890</v>
      </c>
      <c r="AG25" s="144">
        <v>0</v>
      </c>
      <c r="AH25" s="145">
        <v>4197</v>
      </c>
      <c r="AI25" s="146">
        <v>0.68194444444444446</v>
      </c>
      <c r="AJ25" s="145">
        <v>0</v>
      </c>
      <c r="AK25" s="162">
        <v>0</v>
      </c>
      <c r="AL25" s="165">
        <f t="shared" si="40"/>
        <v>46314</v>
      </c>
      <c r="AM25" s="75">
        <f t="shared" si="45"/>
        <v>0.63036551077788194</v>
      </c>
      <c r="AN25" s="74">
        <f t="shared" si="46"/>
        <v>0.36963448922211811</v>
      </c>
      <c r="AO25" s="147">
        <v>10670</v>
      </c>
      <c r="AP25" s="114">
        <f t="shared" si="25"/>
        <v>6726</v>
      </c>
      <c r="AQ25" s="148">
        <v>3944</v>
      </c>
      <c r="AR25" s="149">
        <v>4137</v>
      </c>
      <c r="AS25" s="150">
        <v>0.76458333333333328</v>
      </c>
      <c r="AT25" s="149">
        <v>181</v>
      </c>
      <c r="AU25" s="151">
        <v>0.86458333333333337</v>
      </c>
      <c r="AV25" s="165">
        <f t="shared" si="41"/>
        <v>46314</v>
      </c>
      <c r="AW25" s="166">
        <f t="shared" si="47"/>
        <v>0.6611648421464178</v>
      </c>
      <c r="AX25" s="166">
        <f t="shared" si="48"/>
        <v>0.33883515785358226</v>
      </c>
      <c r="AY25" s="108">
        <f t="shared" si="26"/>
        <v>10231</v>
      </c>
      <c r="AZ25" s="109">
        <v>10231</v>
      </c>
      <c r="BA25" s="242">
        <f t="shared" si="15"/>
        <v>6764.3775000000005</v>
      </c>
      <c r="BB25" s="110">
        <f>2857+BB39</f>
        <v>3466.6224999999999</v>
      </c>
      <c r="BC25" s="109">
        <v>4103</v>
      </c>
      <c r="BD25" s="111">
        <v>0.82291666666666663</v>
      </c>
      <c r="BE25" s="112">
        <v>0</v>
      </c>
      <c r="BF25" s="111">
        <v>0</v>
      </c>
      <c r="BG25" s="112">
        <v>165</v>
      </c>
      <c r="BH25" s="111">
        <v>0.89583333333333337</v>
      </c>
      <c r="BI25" s="165">
        <f t="shared" si="42"/>
        <v>46314</v>
      </c>
      <c r="BJ25" s="167">
        <f t="shared" si="49"/>
        <v>0.60847739718672822</v>
      </c>
      <c r="BK25" s="74">
        <f t="shared" si="50"/>
        <v>0.39152260281327178</v>
      </c>
      <c r="BL25" s="77">
        <f t="shared" si="18"/>
        <v>37252</v>
      </c>
      <c r="BM25" s="152">
        <v>22667</v>
      </c>
      <c r="BN25" s="152">
        <v>14585</v>
      </c>
      <c r="BO25" s="153">
        <v>4610</v>
      </c>
      <c r="BP25" s="154">
        <v>0.75138888888888888</v>
      </c>
      <c r="BQ25" s="155">
        <v>3115</v>
      </c>
      <c r="BR25" s="154">
        <v>0.75138888888888888</v>
      </c>
    </row>
    <row r="26" spans="1:70" ht="15.75" thickBot="1" x14ac:dyDescent="0.3">
      <c r="A26" s="14"/>
      <c r="B26" s="54">
        <v>46315</v>
      </c>
      <c r="C26" s="161"/>
      <c r="D26" s="85">
        <f t="shared" si="29"/>
        <v>58716</v>
      </c>
      <c r="E26" s="156">
        <f t="shared" si="0"/>
        <v>0.87300527113563597</v>
      </c>
      <c r="F26" s="85">
        <f t="shared" si="1"/>
        <v>51259.377500000002</v>
      </c>
      <c r="G26" s="156">
        <f t="shared" si="2"/>
        <v>0.12699472886436405</v>
      </c>
      <c r="H26" s="143">
        <f t="shared" si="3"/>
        <v>7456.6224999999995</v>
      </c>
      <c r="I26" s="157">
        <f t="shared" si="4"/>
        <v>0.10823421774931381</v>
      </c>
      <c r="J26" s="156">
        <f t="shared" si="5"/>
        <v>0.14896309850564196</v>
      </c>
      <c r="K26" s="156">
        <f t="shared" si="6"/>
        <v>0.16830012565069108</v>
      </c>
      <c r="L26" s="158">
        <f t="shared" si="7"/>
        <v>0.59983226593473615</v>
      </c>
      <c r="M26" s="143">
        <f t="shared" si="19"/>
        <v>6276.9352241537053</v>
      </c>
      <c r="N26" s="143">
        <f t="shared" si="20"/>
        <v>8638.9659347361994</v>
      </c>
      <c r="O26" s="143">
        <f t="shared" si="21"/>
        <v>9760.3974869861777</v>
      </c>
      <c r="P26" s="143">
        <f t="shared" si="22"/>
        <v>34786.672430619088</v>
      </c>
      <c r="Q26" s="165">
        <f t="shared" si="38"/>
        <v>46315</v>
      </c>
      <c r="R26" s="137">
        <v>58716</v>
      </c>
      <c r="S26" s="137">
        <v>57994</v>
      </c>
      <c r="T26" s="137">
        <v>0</v>
      </c>
      <c r="U26" s="137">
        <v>0</v>
      </c>
      <c r="V26" s="138">
        <v>13019</v>
      </c>
      <c r="W26" s="139">
        <v>0.41666666666666669</v>
      </c>
      <c r="X26" s="138">
        <v>4716</v>
      </c>
      <c r="Y26" s="139">
        <v>0.41666666666666669</v>
      </c>
      <c r="Z26" s="138">
        <v>0</v>
      </c>
      <c r="AA26" s="139">
        <v>0</v>
      </c>
      <c r="AB26" s="165">
        <f t="shared" si="39"/>
        <v>46315</v>
      </c>
      <c r="AC26" s="74">
        <f t="shared" si="43"/>
        <v>1</v>
      </c>
      <c r="AD26" s="159">
        <f t="shared" si="44"/>
        <v>0</v>
      </c>
      <c r="AE26" s="160">
        <v>7098</v>
      </c>
      <c r="AF26" s="115">
        <f t="shared" si="10"/>
        <v>7098</v>
      </c>
      <c r="AG26" s="144">
        <v>0</v>
      </c>
      <c r="AH26" s="145">
        <v>3727</v>
      </c>
      <c r="AI26" s="146">
        <v>0.35555555555555557</v>
      </c>
      <c r="AJ26" s="145">
        <v>0</v>
      </c>
      <c r="AK26" s="162">
        <v>0</v>
      </c>
      <c r="AL26" s="165">
        <f t="shared" si="40"/>
        <v>46315</v>
      </c>
      <c r="AM26" s="75">
        <f t="shared" si="45"/>
        <v>0.59709284471286728</v>
      </c>
      <c r="AN26" s="74">
        <f t="shared" si="46"/>
        <v>0.40290715528713278</v>
      </c>
      <c r="AO26" s="147">
        <v>9769</v>
      </c>
      <c r="AP26" s="114">
        <f t="shared" si="25"/>
        <v>5833</v>
      </c>
      <c r="AQ26" s="148">
        <v>3936</v>
      </c>
      <c r="AR26" s="149">
        <v>3694</v>
      </c>
      <c r="AS26" s="150">
        <v>0.34791666666666665</v>
      </c>
      <c r="AT26" s="149">
        <v>181</v>
      </c>
      <c r="AU26" s="151">
        <v>0.91666666666666663</v>
      </c>
      <c r="AV26" s="165">
        <f t="shared" si="41"/>
        <v>46315</v>
      </c>
      <c r="AW26" s="166">
        <f t="shared" si="47"/>
        <v>0.62450698592150178</v>
      </c>
      <c r="AX26" s="166">
        <f t="shared" si="48"/>
        <v>0.37549301407849828</v>
      </c>
      <c r="AY26" s="108">
        <f t="shared" si="26"/>
        <v>9376</v>
      </c>
      <c r="AZ26" s="109">
        <v>9376</v>
      </c>
      <c r="BA26" s="242">
        <f t="shared" si="15"/>
        <v>5855.3775000000005</v>
      </c>
      <c r="BB26" s="110">
        <f>2911+BB39</f>
        <v>3520.6224999999999</v>
      </c>
      <c r="BC26" s="109">
        <v>4348</v>
      </c>
      <c r="BD26" s="111">
        <v>0.375</v>
      </c>
      <c r="BE26" s="112">
        <v>0</v>
      </c>
      <c r="BF26" s="111">
        <v>0</v>
      </c>
      <c r="BG26" s="112">
        <v>162</v>
      </c>
      <c r="BH26" s="111">
        <v>0.90625</v>
      </c>
      <c r="BI26" s="165">
        <f t="shared" si="42"/>
        <v>46315</v>
      </c>
      <c r="BJ26" s="167">
        <f t="shared" si="49"/>
        <v>0.61079899331418253</v>
      </c>
      <c r="BK26" s="74">
        <f t="shared" si="50"/>
        <v>0.38920100668581742</v>
      </c>
      <c r="BL26" s="77">
        <f t="shared" si="18"/>
        <v>39337</v>
      </c>
      <c r="BM26" s="152">
        <v>24027</v>
      </c>
      <c r="BN26" s="152">
        <v>15310</v>
      </c>
      <c r="BO26" s="153">
        <v>4001</v>
      </c>
      <c r="BP26" s="154">
        <v>0.65138888888888891</v>
      </c>
      <c r="BQ26" s="155">
        <v>2644</v>
      </c>
      <c r="BR26" s="154">
        <v>0.65208333333333335</v>
      </c>
    </row>
    <row r="27" spans="1:70" ht="15.75" thickBot="1" x14ac:dyDescent="0.3">
      <c r="A27" s="14"/>
      <c r="B27" s="54">
        <v>46316</v>
      </c>
      <c r="C27" s="161"/>
      <c r="D27" s="85">
        <f t="shared" si="29"/>
        <v>61518</v>
      </c>
      <c r="E27" s="156">
        <f t="shared" si="0"/>
        <v>0.88071178354302815</v>
      </c>
      <c r="F27" s="85">
        <f t="shared" si="1"/>
        <v>54179.627500000002</v>
      </c>
      <c r="G27" s="156">
        <f t="shared" si="2"/>
        <v>0.11928821645697193</v>
      </c>
      <c r="H27" s="143">
        <f t="shared" si="3"/>
        <v>7338.3724999999995</v>
      </c>
      <c r="I27" s="157">
        <f t="shared" si="4"/>
        <v>0.11683567840631218</v>
      </c>
      <c r="J27" s="156">
        <f t="shared" si="5"/>
        <v>0.15387872605158451</v>
      </c>
      <c r="K27" s="156">
        <f t="shared" si="6"/>
        <v>0.17349292680086872</v>
      </c>
      <c r="L27" s="158">
        <f t="shared" si="7"/>
        <v>0.5787019576165866</v>
      </c>
      <c r="M27" s="143">
        <f t="shared" si="19"/>
        <v>7107.3479888127822</v>
      </c>
      <c r="N27" s="143">
        <f t="shared" si="20"/>
        <v>9360.7506631699889</v>
      </c>
      <c r="O27" s="143">
        <f t="shared" si="21"/>
        <v>10553.921723150446</v>
      </c>
      <c r="P27" s="143">
        <f t="shared" si="22"/>
        <v>35203.5974857322</v>
      </c>
      <c r="Q27" s="165">
        <f t="shared" si="38"/>
        <v>46316</v>
      </c>
      <c r="R27" s="137">
        <v>61518</v>
      </c>
      <c r="S27" s="137">
        <v>60832</v>
      </c>
      <c r="T27" s="137">
        <v>0</v>
      </c>
      <c r="U27" s="137">
        <v>0</v>
      </c>
      <c r="V27" s="138">
        <v>13801.66</v>
      </c>
      <c r="W27" s="139">
        <v>0.77083333333333337</v>
      </c>
      <c r="X27" s="138">
        <v>5123.97</v>
      </c>
      <c r="Y27" s="139">
        <v>0.77083333333333337</v>
      </c>
      <c r="Z27" s="138">
        <v>0</v>
      </c>
      <c r="AA27" s="139">
        <v>0</v>
      </c>
      <c r="AB27" s="165">
        <f t="shared" si="39"/>
        <v>46316</v>
      </c>
      <c r="AC27" s="74">
        <f t="shared" si="43"/>
        <v>1</v>
      </c>
      <c r="AD27" s="159">
        <f t="shared" si="44"/>
        <v>0</v>
      </c>
      <c r="AE27" s="160">
        <v>7976.88</v>
      </c>
      <c r="AF27" s="115">
        <f t="shared" si="10"/>
        <v>7976.88</v>
      </c>
      <c r="AG27" s="144">
        <v>0</v>
      </c>
      <c r="AH27" s="145">
        <v>4225.8</v>
      </c>
      <c r="AI27" s="146">
        <v>0.75208333333333333</v>
      </c>
      <c r="AJ27" s="145">
        <v>0</v>
      </c>
      <c r="AK27" s="162">
        <v>0</v>
      </c>
      <c r="AL27" s="165">
        <f t="shared" si="40"/>
        <v>46316</v>
      </c>
      <c r="AM27" s="75">
        <f t="shared" si="45"/>
        <v>0.62940594728521027</v>
      </c>
      <c r="AN27" s="74">
        <f t="shared" si="46"/>
        <v>0.37059405271478979</v>
      </c>
      <c r="AO27" s="147">
        <v>10505.97</v>
      </c>
      <c r="AP27" s="114">
        <f t="shared" si="25"/>
        <v>6612.5199999999995</v>
      </c>
      <c r="AQ27" s="148">
        <v>3893.45</v>
      </c>
      <c r="AR27" s="149">
        <v>4052.5</v>
      </c>
      <c r="AS27" s="150">
        <v>0.69861111111111107</v>
      </c>
      <c r="AT27" s="149">
        <v>182</v>
      </c>
      <c r="AU27" s="151">
        <v>0.32291666666666669</v>
      </c>
      <c r="AV27" s="165">
        <f t="shared" si="41"/>
        <v>46316</v>
      </c>
      <c r="AW27" s="166">
        <f t="shared" si="47"/>
        <v>0.66492340239276326</v>
      </c>
      <c r="AX27" s="166">
        <f t="shared" si="48"/>
        <v>0.33507659760723668</v>
      </c>
      <c r="AY27" s="108">
        <f t="shared" si="26"/>
        <v>10281</v>
      </c>
      <c r="AZ27" s="109">
        <v>10281</v>
      </c>
      <c r="BA27" s="242">
        <f t="shared" si="15"/>
        <v>6836.0774999999994</v>
      </c>
      <c r="BB27" s="110">
        <f>2835.3+BB39</f>
        <v>3444.9225000000001</v>
      </c>
      <c r="BC27" s="109">
        <v>4243.79</v>
      </c>
      <c r="BD27" s="111">
        <v>0.72916666666666663</v>
      </c>
      <c r="BE27" s="112">
        <v>0</v>
      </c>
      <c r="BF27" s="111">
        <v>0</v>
      </c>
      <c r="BG27" s="112">
        <v>164.98</v>
      </c>
      <c r="BH27" s="111">
        <v>0.29166666666666669</v>
      </c>
      <c r="BI27" s="165">
        <f t="shared" si="42"/>
        <v>46316</v>
      </c>
      <c r="BJ27" s="167">
        <f t="shared" si="49"/>
        <v>0.61015426279090368</v>
      </c>
      <c r="BK27" s="74">
        <f t="shared" si="50"/>
        <v>0.38984573720909632</v>
      </c>
      <c r="BL27" s="77">
        <f t="shared" si="18"/>
        <v>39510.5</v>
      </c>
      <c r="BM27" s="152">
        <v>24107.5</v>
      </c>
      <c r="BN27" s="152">
        <v>15403</v>
      </c>
      <c r="BO27" s="153">
        <v>4532.6899999999996</v>
      </c>
      <c r="BP27" s="154">
        <v>0.36041666666666666</v>
      </c>
      <c r="BQ27" s="155">
        <v>3029.18</v>
      </c>
      <c r="BR27" s="154">
        <v>0.36041666666666666</v>
      </c>
    </row>
    <row r="28" spans="1:70" ht="15.75" thickBot="1" x14ac:dyDescent="0.3">
      <c r="A28" s="14"/>
      <c r="B28" s="54">
        <v>46317</v>
      </c>
      <c r="C28" s="161"/>
      <c r="D28" s="85">
        <f t="shared" si="29"/>
        <v>61830</v>
      </c>
      <c r="E28" s="156">
        <f t="shared" si="0"/>
        <v>0.87994545528060808</v>
      </c>
      <c r="F28" s="85">
        <f t="shared" si="1"/>
        <v>54407.027499999997</v>
      </c>
      <c r="G28" s="156">
        <f t="shared" si="2"/>
        <v>0.12005454471939188</v>
      </c>
      <c r="H28" s="143">
        <f t="shared" si="3"/>
        <v>7422.9724999999999</v>
      </c>
      <c r="I28" s="157">
        <f t="shared" si="4"/>
        <v>0.11717713205788968</v>
      </c>
      <c r="J28" s="156">
        <f t="shared" si="5"/>
        <v>0.15760224504141979</v>
      </c>
      <c r="K28" s="156">
        <f t="shared" si="6"/>
        <v>0.17628705720294982</v>
      </c>
      <c r="L28" s="158">
        <f t="shared" si="7"/>
        <v>0.57142516446196456</v>
      </c>
      <c r="M28" s="143">
        <f t="shared" si="19"/>
        <v>7158.9661773597845</v>
      </c>
      <c r="N28" s="143">
        <f t="shared" si="20"/>
        <v>9628.7485613668014</v>
      </c>
      <c r="O28" s="143">
        <f t="shared" si="21"/>
        <v>10770.301831578519</v>
      </c>
      <c r="P28" s="143">
        <f t="shared" si="22"/>
        <v>34911.36327909484</v>
      </c>
      <c r="Q28" s="165">
        <f t="shared" si="38"/>
        <v>46317</v>
      </c>
      <c r="R28" s="137">
        <v>61830</v>
      </c>
      <c r="S28" s="137">
        <v>61095.25</v>
      </c>
      <c r="T28" s="137">
        <v>0</v>
      </c>
      <c r="U28" s="137">
        <v>0</v>
      </c>
      <c r="V28" s="138">
        <v>13795.32</v>
      </c>
      <c r="W28" s="139">
        <v>0.40625</v>
      </c>
      <c r="X28" s="138">
        <v>5147</v>
      </c>
      <c r="Y28" s="139">
        <v>0.40625</v>
      </c>
      <c r="Z28" s="138">
        <v>0</v>
      </c>
      <c r="AA28" s="139">
        <v>0</v>
      </c>
      <c r="AB28" s="165">
        <f t="shared" si="39"/>
        <v>46317</v>
      </c>
      <c r="AC28" s="74">
        <f t="shared" si="43"/>
        <v>1</v>
      </c>
      <c r="AD28" s="159">
        <f t="shared" si="44"/>
        <v>0</v>
      </c>
      <c r="AE28" s="160">
        <v>8057.88</v>
      </c>
      <c r="AF28" s="115">
        <f t="shared" si="10"/>
        <v>8057.88</v>
      </c>
      <c r="AG28" s="144">
        <v>0</v>
      </c>
      <c r="AH28" s="145">
        <v>4392.25</v>
      </c>
      <c r="AI28" s="146">
        <v>0.35694444444444445</v>
      </c>
      <c r="AJ28" s="145">
        <v>0</v>
      </c>
      <c r="AK28" s="162">
        <v>0</v>
      </c>
      <c r="AL28" s="165">
        <f t="shared" si="40"/>
        <v>46317</v>
      </c>
      <c r="AM28" s="75">
        <f t="shared" si="45"/>
        <v>0.63483296394649091</v>
      </c>
      <c r="AN28" s="74">
        <f t="shared" si="46"/>
        <v>0.36516703605350909</v>
      </c>
      <c r="AO28" s="147">
        <v>10837.78</v>
      </c>
      <c r="AP28" s="114">
        <f t="shared" si="25"/>
        <v>6880.18</v>
      </c>
      <c r="AQ28" s="148">
        <v>3957.6</v>
      </c>
      <c r="AR28" s="149">
        <v>3916.26</v>
      </c>
      <c r="AS28" s="150">
        <v>0.34097222222222223</v>
      </c>
      <c r="AT28" s="149">
        <v>182.28</v>
      </c>
      <c r="AU28" s="151">
        <v>0.86458333333333337</v>
      </c>
      <c r="AV28" s="165">
        <f t="shared" si="41"/>
        <v>46317</v>
      </c>
      <c r="AW28" s="166">
        <f t="shared" si="47"/>
        <v>0.67233618570347964</v>
      </c>
      <c r="AX28" s="166">
        <f t="shared" si="48"/>
        <v>0.32766381429652042</v>
      </c>
      <c r="AY28" s="108">
        <f t="shared" si="26"/>
        <v>10576</v>
      </c>
      <c r="AZ28" s="109">
        <v>10576</v>
      </c>
      <c r="BA28" s="242">
        <f t="shared" si="15"/>
        <v>7110.6275000000005</v>
      </c>
      <c r="BB28" s="110">
        <f>2855.75+BB39</f>
        <v>3465.3724999999999</v>
      </c>
      <c r="BC28" s="109">
        <v>4242.7299999999996</v>
      </c>
      <c r="BD28" s="111">
        <v>0.36458333333333331</v>
      </c>
      <c r="BE28" s="112">
        <v>0</v>
      </c>
      <c r="BF28" s="111">
        <v>0</v>
      </c>
      <c r="BG28" s="112">
        <v>158.87</v>
      </c>
      <c r="BH28" s="111">
        <v>0.9375</v>
      </c>
      <c r="BI28" s="165">
        <f t="shared" si="42"/>
        <v>46317</v>
      </c>
      <c r="BJ28" s="167">
        <f t="shared" si="49"/>
        <v>0.60829622089324342</v>
      </c>
      <c r="BK28" s="74">
        <f t="shared" si="50"/>
        <v>0.39170377910675658</v>
      </c>
      <c r="BL28" s="77">
        <f t="shared" si="18"/>
        <v>39295</v>
      </c>
      <c r="BM28" s="152">
        <v>23903</v>
      </c>
      <c r="BN28" s="152">
        <v>15392</v>
      </c>
      <c r="BO28" s="153">
        <v>4305.54</v>
      </c>
      <c r="BP28" s="154">
        <v>0.73541666666666672</v>
      </c>
      <c r="BQ28" s="155">
        <v>2875.23</v>
      </c>
      <c r="BR28" s="154">
        <v>0.73541666666666672</v>
      </c>
    </row>
    <row r="29" spans="1:70" ht="15.75" thickBot="1" x14ac:dyDescent="0.3">
      <c r="A29" s="14"/>
      <c r="B29" s="54">
        <v>46318</v>
      </c>
      <c r="C29" s="161"/>
      <c r="D29" s="85">
        <f t="shared" si="29"/>
        <v>61936</v>
      </c>
      <c r="E29" s="156">
        <f t="shared" si="0"/>
        <v>0.88303050729785593</v>
      </c>
      <c r="F29" s="85">
        <f t="shared" si="1"/>
        <v>54691.377500000002</v>
      </c>
      <c r="G29" s="156">
        <f t="shared" si="2"/>
        <v>0.11696949270214414</v>
      </c>
      <c r="H29" s="143">
        <f t="shared" si="3"/>
        <v>7244.6224999999995</v>
      </c>
      <c r="I29" s="157">
        <f t="shared" si="4"/>
        <v>0.11914390411258888</v>
      </c>
      <c r="J29" s="156">
        <f t="shared" si="5"/>
        <v>0.15864928391024424</v>
      </c>
      <c r="K29" s="156">
        <f t="shared" si="6"/>
        <v>0.17633771709667703</v>
      </c>
      <c r="L29" s="158">
        <f t="shared" si="7"/>
        <v>0.56834605895148693</v>
      </c>
      <c r="M29" s="143">
        <f t="shared" si="19"/>
        <v>7291.9643634027771</v>
      </c>
      <c r="N29" s="143">
        <f t="shared" si="20"/>
        <v>9709.8121231586792</v>
      </c>
      <c r="O29" s="143">
        <f t="shared" si="21"/>
        <v>10792.397299467924</v>
      </c>
      <c r="P29" s="143">
        <f t="shared" si="22"/>
        <v>34784.483846007854</v>
      </c>
      <c r="Q29" s="165">
        <f t="shared" si="38"/>
        <v>46318</v>
      </c>
      <c r="R29" s="136">
        <v>61936</v>
      </c>
      <c r="S29" s="137">
        <v>61203</v>
      </c>
      <c r="T29" s="137">
        <v>0</v>
      </c>
      <c r="U29" s="137">
        <v>0</v>
      </c>
      <c r="V29" s="138">
        <v>14502</v>
      </c>
      <c r="W29" s="139">
        <v>0.82291666666666663</v>
      </c>
      <c r="X29" s="138">
        <v>5128</v>
      </c>
      <c r="Y29" s="139">
        <v>0.76041666666666663</v>
      </c>
      <c r="Z29" s="138">
        <v>0</v>
      </c>
      <c r="AA29" s="139">
        <v>0</v>
      </c>
      <c r="AB29" s="165">
        <f t="shared" si="39"/>
        <v>46318</v>
      </c>
      <c r="AC29" s="74">
        <f t="shared" si="43"/>
        <v>1</v>
      </c>
      <c r="AD29" s="159">
        <f t="shared" si="44"/>
        <v>0</v>
      </c>
      <c r="AE29" s="160">
        <v>8161</v>
      </c>
      <c r="AF29" s="115">
        <f t="shared" si="10"/>
        <v>8161</v>
      </c>
      <c r="AG29" s="144">
        <v>0</v>
      </c>
      <c r="AH29" s="145">
        <v>4760</v>
      </c>
      <c r="AI29" s="146">
        <v>0.78402777777777777</v>
      </c>
      <c r="AJ29" s="145">
        <v>0</v>
      </c>
      <c r="AK29" s="162">
        <v>0</v>
      </c>
      <c r="AL29" s="165">
        <f t="shared" si="40"/>
        <v>46318</v>
      </c>
      <c r="AM29" s="75">
        <f t="shared" si="45"/>
        <v>0.63752645624367354</v>
      </c>
      <c r="AN29" s="74">
        <f t="shared" si="46"/>
        <v>0.36247354375632651</v>
      </c>
      <c r="AO29" s="147">
        <v>10867</v>
      </c>
      <c r="AP29" s="114">
        <f t="shared" si="25"/>
        <v>6928</v>
      </c>
      <c r="AQ29" s="148">
        <v>3939</v>
      </c>
      <c r="AR29" s="149">
        <v>4430</v>
      </c>
      <c r="AS29" s="150">
        <v>0.78125</v>
      </c>
      <c r="AT29" s="149">
        <v>184</v>
      </c>
      <c r="AU29" s="151">
        <v>0.86458333333333337</v>
      </c>
      <c r="AV29" s="165">
        <f t="shared" si="41"/>
        <v>46318</v>
      </c>
      <c r="AW29" s="166">
        <f t="shared" si="47"/>
        <v>0.6863438181990702</v>
      </c>
      <c r="AX29" s="166">
        <f t="shared" si="48"/>
        <v>0.31365618180092986</v>
      </c>
      <c r="AY29" s="108">
        <f t="shared" si="26"/>
        <v>10539</v>
      </c>
      <c r="AZ29" s="109">
        <v>10539</v>
      </c>
      <c r="BA29" s="242">
        <f t="shared" si="15"/>
        <v>7233.3775000000005</v>
      </c>
      <c r="BB29" s="110">
        <f>2696+BB39</f>
        <v>3305.6224999999999</v>
      </c>
      <c r="BC29" s="109">
        <v>4863</v>
      </c>
      <c r="BD29" s="111">
        <v>0.73958333333333337</v>
      </c>
      <c r="BE29" s="112">
        <v>0</v>
      </c>
      <c r="BF29" s="111">
        <v>0</v>
      </c>
      <c r="BG29" s="112">
        <v>160</v>
      </c>
      <c r="BH29" s="111">
        <v>0.29166666666666669</v>
      </c>
      <c r="BI29" s="165">
        <f t="shared" si="42"/>
        <v>46318</v>
      </c>
      <c r="BJ29" s="167">
        <f t="shared" si="49"/>
        <v>0.60619059851014645</v>
      </c>
      <c r="BK29" s="74">
        <f t="shared" si="50"/>
        <v>0.39380940148985361</v>
      </c>
      <c r="BL29" s="77">
        <f t="shared" si="18"/>
        <v>38930</v>
      </c>
      <c r="BM29" s="152">
        <v>23599</v>
      </c>
      <c r="BN29" s="152">
        <v>15331</v>
      </c>
      <c r="BO29" s="153">
        <v>4938</v>
      </c>
      <c r="BP29" s="154">
        <v>0.73541666666666672</v>
      </c>
      <c r="BQ29" s="155">
        <v>3302</v>
      </c>
      <c r="BR29" s="154">
        <v>0.73541666666666672</v>
      </c>
    </row>
    <row r="30" spans="1:70" ht="15.75" thickBot="1" x14ac:dyDescent="0.3">
      <c r="A30" s="14"/>
      <c r="B30" s="54">
        <v>46319</v>
      </c>
      <c r="C30" s="161"/>
      <c r="D30" s="85">
        <f t="shared" si="29"/>
        <v>34462</v>
      </c>
      <c r="E30" s="156">
        <f t="shared" si="0"/>
        <v>0.80872780163658531</v>
      </c>
      <c r="F30" s="85">
        <f t="shared" si="1"/>
        <v>27870.377500000002</v>
      </c>
      <c r="G30" s="156">
        <f t="shared" si="2"/>
        <v>0.19127219836341475</v>
      </c>
      <c r="H30" s="143">
        <f t="shared" si="3"/>
        <v>6591.6224999999995</v>
      </c>
      <c r="I30" s="157">
        <f t="shared" si="4"/>
        <v>7.8745754679725138E-2</v>
      </c>
      <c r="J30" s="156">
        <f t="shared" si="5"/>
        <v>0.16402074612326567</v>
      </c>
      <c r="K30" s="156">
        <f t="shared" si="6"/>
        <v>0.14810602143866541</v>
      </c>
      <c r="L30" s="158">
        <f t="shared" si="7"/>
        <v>0.64410394123686909</v>
      </c>
      <c r="M30" s="143">
        <f t="shared" si="19"/>
        <v>2650.4246110101885</v>
      </c>
      <c r="N30" s="143">
        <f t="shared" si="20"/>
        <v>5520.6102730168759</v>
      </c>
      <c r="O30" s="143">
        <f t="shared" si="21"/>
        <v>4984.9524695826003</v>
      </c>
      <c r="P30" s="143">
        <f t="shared" si="22"/>
        <v>21679.25045415054</v>
      </c>
      <c r="Q30" s="165">
        <f t="shared" si="38"/>
        <v>46319</v>
      </c>
      <c r="R30" s="136">
        <v>34462</v>
      </c>
      <c r="S30" s="137">
        <v>33658</v>
      </c>
      <c r="T30" s="137">
        <v>0</v>
      </c>
      <c r="U30" s="137">
        <v>43</v>
      </c>
      <c r="V30" s="138">
        <v>7068</v>
      </c>
      <c r="W30" s="139">
        <v>0.84375</v>
      </c>
      <c r="X30" s="138">
        <v>2248</v>
      </c>
      <c r="Y30" s="139">
        <v>0.41666666666666669</v>
      </c>
      <c r="Z30" s="138">
        <v>0</v>
      </c>
      <c r="AA30" s="139">
        <v>0</v>
      </c>
      <c r="AB30" s="165">
        <f t="shared" si="39"/>
        <v>46319</v>
      </c>
      <c r="AC30" s="74">
        <f t="shared" si="43"/>
        <v>1</v>
      </c>
      <c r="AD30" s="159">
        <f t="shared" si="44"/>
        <v>0</v>
      </c>
      <c r="AE30" s="160">
        <v>2991</v>
      </c>
      <c r="AF30" s="115">
        <f t="shared" si="10"/>
        <v>2991</v>
      </c>
      <c r="AG30" s="144">
        <v>0</v>
      </c>
      <c r="AH30" s="145">
        <v>1711</v>
      </c>
      <c r="AI30" s="146">
        <v>0.9458333333333333</v>
      </c>
      <c r="AJ30" s="145">
        <v>0</v>
      </c>
      <c r="AK30" s="162">
        <v>0</v>
      </c>
      <c r="AL30" s="165">
        <f t="shared" si="40"/>
        <v>46319</v>
      </c>
      <c r="AM30" s="75">
        <f t="shared" si="45"/>
        <v>0.40256821829855538</v>
      </c>
      <c r="AN30" s="74">
        <f t="shared" si="46"/>
        <v>0.59743178170144462</v>
      </c>
      <c r="AO30" s="147">
        <v>6230</v>
      </c>
      <c r="AP30" s="114">
        <f t="shared" si="25"/>
        <v>2508</v>
      </c>
      <c r="AQ30" s="148">
        <v>3722</v>
      </c>
      <c r="AR30" s="149">
        <v>2567</v>
      </c>
      <c r="AS30" s="150">
        <v>6.9444444444444447E-4</v>
      </c>
      <c r="AT30" s="149">
        <v>178</v>
      </c>
      <c r="AU30" s="151">
        <v>0.91666666666666663</v>
      </c>
      <c r="AV30" s="165">
        <f t="shared" si="41"/>
        <v>46319</v>
      </c>
      <c r="AW30" s="166">
        <f t="shared" si="47"/>
        <v>0.34218699092390042</v>
      </c>
      <c r="AX30" s="166">
        <f t="shared" si="48"/>
        <v>0.65781300907609963</v>
      </c>
      <c r="AY30" s="108">
        <f t="shared" si="26"/>
        <v>4297</v>
      </c>
      <c r="AZ30" s="109">
        <v>4297</v>
      </c>
      <c r="BA30" s="242">
        <f t="shared" si="15"/>
        <v>1470.3775000000001</v>
      </c>
      <c r="BB30" s="110">
        <f>2217+BB39</f>
        <v>2826.6224999999999</v>
      </c>
      <c r="BC30" s="109">
        <v>1907</v>
      </c>
      <c r="BD30" s="111">
        <v>0.38541666666666669</v>
      </c>
      <c r="BE30" s="112">
        <v>0</v>
      </c>
      <c r="BF30" s="111">
        <v>0</v>
      </c>
      <c r="BG30" s="112">
        <v>161</v>
      </c>
      <c r="BH30" s="111">
        <v>0.19791666666666666</v>
      </c>
      <c r="BI30" s="165">
        <f t="shared" si="42"/>
        <v>46319</v>
      </c>
      <c r="BJ30" s="167">
        <f t="shared" si="49"/>
        <v>0.60985080727569996</v>
      </c>
      <c r="BK30" s="74">
        <f t="shared" si="50"/>
        <v>0.39014919272430004</v>
      </c>
      <c r="BL30" s="77">
        <f t="shared" si="18"/>
        <v>24465</v>
      </c>
      <c r="BM30" s="152">
        <v>14920</v>
      </c>
      <c r="BN30" s="152">
        <v>9545</v>
      </c>
      <c r="BO30" s="153">
        <v>3218</v>
      </c>
      <c r="BP30" s="154">
        <v>0.37777777777777777</v>
      </c>
      <c r="BQ30" s="155">
        <v>2147</v>
      </c>
      <c r="BR30" s="154">
        <v>0.36944444444444446</v>
      </c>
    </row>
    <row r="31" spans="1:70" ht="15.75" thickBot="1" x14ac:dyDescent="0.3">
      <c r="A31" s="14"/>
      <c r="B31" s="54">
        <v>46320</v>
      </c>
      <c r="C31" s="161"/>
      <c r="D31" s="85">
        <f t="shared" si="29"/>
        <v>28708</v>
      </c>
      <c r="E31" s="156">
        <f t="shared" si="0"/>
        <v>0.7497693151734709</v>
      </c>
      <c r="F31" s="85">
        <f t="shared" si="1"/>
        <v>21524.377500000002</v>
      </c>
      <c r="G31" s="156">
        <f t="shared" si="2"/>
        <v>0.25023068482652916</v>
      </c>
      <c r="H31" s="143">
        <f t="shared" si="3"/>
        <v>7183.6224999999995</v>
      </c>
      <c r="I31" s="157">
        <f t="shared" si="4"/>
        <v>6.3598432165886967E-2</v>
      </c>
      <c r="J31" s="156">
        <f t="shared" si="5"/>
        <v>0.17012264508787459</v>
      </c>
      <c r="K31" s="156">
        <f t="shared" si="6"/>
        <v>0.18517625306483379</v>
      </c>
      <c r="L31" s="158">
        <f t="shared" si="7"/>
        <v>0.62065368567454793</v>
      </c>
      <c r="M31" s="143">
        <f t="shared" si="19"/>
        <v>1772.9334934884309</v>
      </c>
      <c r="N31" s="143">
        <f t="shared" si="20"/>
        <v>4742.5089771146795</v>
      </c>
      <c r="O31" s="143">
        <f t="shared" si="21"/>
        <v>5162.1584066883715</v>
      </c>
      <c r="P31" s="143">
        <f t="shared" si="22"/>
        <v>17301.962795549374</v>
      </c>
      <c r="Q31" s="165">
        <f t="shared" si="38"/>
        <v>46320</v>
      </c>
      <c r="R31" s="136">
        <v>28708</v>
      </c>
      <c r="S31" s="137">
        <v>27877</v>
      </c>
      <c r="T31" s="137">
        <v>0</v>
      </c>
      <c r="U31" s="137">
        <v>0</v>
      </c>
      <c r="V31" s="138">
        <v>5923</v>
      </c>
      <c r="W31" s="139">
        <v>0.90625</v>
      </c>
      <c r="X31" s="138">
        <v>2204</v>
      </c>
      <c r="Y31" s="139">
        <v>0.89583333333333337</v>
      </c>
      <c r="Z31" s="138">
        <v>0</v>
      </c>
      <c r="AA31" s="139">
        <v>0</v>
      </c>
      <c r="AB31" s="165">
        <f t="shared" si="39"/>
        <v>46320</v>
      </c>
      <c r="AC31" s="74">
        <f t="shared" si="43"/>
        <v>1</v>
      </c>
      <c r="AD31" s="159">
        <f t="shared" si="44"/>
        <v>0</v>
      </c>
      <c r="AE31" s="160">
        <v>2012</v>
      </c>
      <c r="AF31" s="115">
        <f t="shared" si="10"/>
        <v>2012</v>
      </c>
      <c r="AG31" s="144">
        <v>0</v>
      </c>
      <c r="AH31" s="145">
        <v>1766</v>
      </c>
      <c r="AI31" s="146">
        <v>0.38680555555555557</v>
      </c>
      <c r="AJ31" s="145">
        <v>0</v>
      </c>
      <c r="AK31" s="162">
        <v>0</v>
      </c>
      <c r="AL31" s="165">
        <f t="shared" si="40"/>
        <v>46320</v>
      </c>
      <c r="AM31" s="75">
        <f t="shared" si="45"/>
        <v>0.30992196209587514</v>
      </c>
      <c r="AN31" s="74">
        <f t="shared" si="46"/>
        <v>0.69007803790412481</v>
      </c>
      <c r="AO31" s="147">
        <v>5382</v>
      </c>
      <c r="AP31" s="114">
        <f t="shared" si="25"/>
        <v>1668</v>
      </c>
      <c r="AQ31" s="148">
        <v>3714</v>
      </c>
      <c r="AR31" s="149">
        <v>2012</v>
      </c>
      <c r="AS31" s="150">
        <v>0.39166666666666666</v>
      </c>
      <c r="AT31" s="149">
        <v>182</v>
      </c>
      <c r="AU31" s="151">
        <v>0.85416666666666663</v>
      </c>
      <c r="AV31" s="165">
        <f t="shared" si="41"/>
        <v>46320</v>
      </c>
      <c r="AW31" s="166">
        <f t="shared" si="47"/>
        <v>0.24688029086173216</v>
      </c>
      <c r="AX31" s="166">
        <f t="shared" si="48"/>
        <v>0.75311970913826787</v>
      </c>
      <c r="AY31" s="108">
        <f t="shared" si="26"/>
        <v>4607</v>
      </c>
      <c r="AZ31" s="109">
        <v>4607</v>
      </c>
      <c r="BA31" s="242">
        <f t="shared" si="15"/>
        <v>1137.3775000000001</v>
      </c>
      <c r="BB31" s="110">
        <f>2860+BB39</f>
        <v>3469.6224999999999</v>
      </c>
      <c r="BC31" s="109">
        <v>1691</v>
      </c>
      <c r="BD31" s="111">
        <v>0.40625</v>
      </c>
      <c r="BE31" s="112">
        <v>0</v>
      </c>
      <c r="BF31" s="111">
        <v>0</v>
      </c>
      <c r="BG31" s="112">
        <v>175</v>
      </c>
      <c r="BH31" s="111">
        <v>0.85416666666666663</v>
      </c>
      <c r="BI31" s="165">
        <f t="shared" si="42"/>
        <v>46320</v>
      </c>
      <c r="BJ31" s="167">
        <f t="shared" si="49"/>
        <v>0.61038961038961037</v>
      </c>
      <c r="BK31" s="74">
        <f t="shared" si="50"/>
        <v>0.38961038961038963</v>
      </c>
      <c r="BL31" s="77">
        <f t="shared" si="18"/>
        <v>19635</v>
      </c>
      <c r="BM31" s="152">
        <v>11985</v>
      </c>
      <c r="BN31" s="152">
        <v>7650</v>
      </c>
      <c r="BO31" s="153">
        <v>2954</v>
      </c>
      <c r="BP31" s="154">
        <v>0.8520833333333333</v>
      </c>
      <c r="BQ31" s="155">
        <v>1954</v>
      </c>
      <c r="BR31" s="154">
        <v>0.85277777777777775</v>
      </c>
    </row>
    <row r="32" spans="1:70" ht="15.75" thickBot="1" x14ac:dyDescent="0.3">
      <c r="A32" s="14"/>
      <c r="B32" s="54">
        <v>46321</v>
      </c>
      <c r="C32" s="161"/>
      <c r="D32" s="85">
        <f t="shared" si="29"/>
        <v>59268</v>
      </c>
      <c r="E32" s="156">
        <f t="shared" si="0"/>
        <v>0.88251214820813928</v>
      </c>
      <c r="F32" s="85">
        <f t="shared" si="1"/>
        <v>52304.729999999996</v>
      </c>
      <c r="G32" s="156">
        <f t="shared" si="2"/>
        <v>0.11748785179186071</v>
      </c>
      <c r="H32" s="143">
        <f t="shared" si="3"/>
        <v>6963.27</v>
      </c>
      <c r="I32" s="157">
        <f t="shared" si="4"/>
        <v>0.11896889072588306</v>
      </c>
      <c r="J32" s="156">
        <f t="shared" si="5"/>
        <v>0.15885099044658652</v>
      </c>
      <c r="K32" s="156">
        <f t="shared" si="6"/>
        <v>0.17614087094484573</v>
      </c>
      <c r="L32" s="158">
        <f t="shared" si="7"/>
        <v>0.56877460738037322</v>
      </c>
      <c r="M32" s="143">
        <f t="shared" si="19"/>
        <v>6969.332053568749</v>
      </c>
      <c r="N32" s="143">
        <f t="shared" si="20"/>
        <v>9305.6705219802425</v>
      </c>
      <c r="O32" s="143">
        <f t="shared" si="21"/>
        <v>10318.531259133229</v>
      </c>
      <c r="P32" s="143">
        <f t="shared" si="22"/>
        <v>33319.459215648603</v>
      </c>
      <c r="Q32" s="165">
        <f t="shared" si="38"/>
        <v>46321</v>
      </c>
      <c r="R32" s="136">
        <v>59268</v>
      </c>
      <c r="S32" s="137">
        <v>58581.13</v>
      </c>
      <c r="T32" s="137">
        <v>0</v>
      </c>
      <c r="U32" s="137">
        <v>0</v>
      </c>
      <c r="V32" s="138">
        <v>14811.42</v>
      </c>
      <c r="W32" s="139">
        <v>0.78125</v>
      </c>
      <c r="X32" s="138">
        <v>5061.95</v>
      </c>
      <c r="Y32" s="139">
        <v>0.78125</v>
      </c>
      <c r="Z32" s="138">
        <v>0</v>
      </c>
      <c r="AA32" s="139">
        <v>0</v>
      </c>
      <c r="AB32" s="165">
        <f t="shared" si="39"/>
        <v>46321</v>
      </c>
      <c r="AC32" s="74">
        <f t="shared" si="43"/>
        <v>1</v>
      </c>
      <c r="AD32" s="159">
        <f t="shared" si="44"/>
        <v>0</v>
      </c>
      <c r="AE32" s="160">
        <v>7852.13</v>
      </c>
      <c r="AF32" s="115">
        <f t="shared" si="10"/>
        <v>7852.13</v>
      </c>
      <c r="AG32" s="144">
        <v>0</v>
      </c>
      <c r="AH32" s="145">
        <v>3958.68</v>
      </c>
      <c r="AI32" s="146">
        <v>0.6791666666666667</v>
      </c>
      <c r="AJ32" s="145">
        <v>0</v>
      </c>
      <c r="AK32" s="162">
        <v>0</v>
      </c>
      <c r="AL32" s="165">
        <f t="shared" si="40"/>
        <v>46321</v>
      </c>
      <c r="AM32" s="75">
        <f t="shared" si="45"/>
        <v>0.62581203901793236</v>
      </c>
      <c r="AN32" s="74">
        <f t="shared" si="46"/>
        <v>0.37418796098206764</v>
      </c>
      <c r="AO32" s="147">
        <v>10484.41</v>
      </c>
      <c r="AP32" s="114">
        <f t="shared" si="25"/>
        <v>6561.27</v>
      </c>
      <c r="AQ32" s="148">
        <v>3923.14</v>
      </c>
      <c r="AR32" s="149">
        <v>4265.47</v>
      </c>
      <c r="AS32" s="150">
        <v>0.38263888888888886</v>
      </c>
      <c r="AT32" s="149">
        <v>185.81</v>
      </c>
      <c r="AU32" s="151">
        <v>0.85416666666666663</v>
      </c>
      <c r="AV32" s="165">
        <f t="shared" si="41"/>
        <v>46321</v>
      </c>
      <c r="AW32" s="166">
        <f t="shared" si="47"/>
        <v>0.69974024691358028</v>
      </c>
      <c r="AX32" s="166">
        <f t="shared" si="48"/>
        <v>0.30025975308641978</v>
      </c>
      <c r="AY32" s="108">
        <f t="shared" si="26"/>
        <v>10125</v>
      </c>
      <c r="AZ32" s="109">
        <v>10125</v>
      </c>
      <c r="BA32" s="242">
        <f t="shared" si="15"/>
        <v>7084.87</v>
      </c>
      <c r="BB32" s="110">
        <v>3040.13</v>
      </c>
      <c r="BC32" s="109">
        <v>4496.71</v>
      </c>
      <c r="BD32" s="111">
        <v>0.73958333333333337</v>
      </c>
      <c r="BE32" s="112">
        <v>0</v>
      </c>
      <c r="BF32" s="111">
        <v>0</v>
      </c>
      <c r="BG32" s="112">
        <v>172.38</v>
      </c>
      <c r="BH32" s="111">
        <v>0.92708333333333337</v>
      </c>
      <c r="BI32" s="165">
        <f t="shared" si="42"/>
        <v>46321</v>
      </c>
      <c r="BJ32" s="167">
        <f t="shared" si="49"/>
        <v>0.607858284496537</v>
      </c>
      <c r="BK32" s="74">
        <f t="shared" si="50"/>
        <v>0.392141715503463</v>
      </c>
      <c r="BL32" s="77">
        <f t="shared" si="18"/>
        <v>37540</v>
      </c>
      <c r="BM32" s="152">
        <v>22819</v>
      </c>
      <c r="BN32" s="152">
        <v>14721</v>
      </c>
      <c r="BO32" s="153">
        <v>4255.8900000000003</v>
      </c>
      <c r="BP32" s="154">
        <v>0.73124999999999996</v>
      </c>
      <c r="BQ32" s="155">
        <v>2842.58</v>
      </c>
      <c r="BR32" s="154">
        <v>0.7319444444444444</v>
      </c>
    </row>
    <row r="33" spans="1:70" ht="15.75" thickBot="1" x14ac:dyDescent="0.3">
      <c r="A33" s="14"/>
      <c r="B33" s="54">
        <v>46322</v>
      </c>
      <c r="C33" s="161"/>
      <c r="D33" s="85">
        <f t="shared" si="29"/>
        <v>0</v>
      </c>
      <c r="E33" s="156" t="e">
        <f t="shared" si="0"/>
        <v>#DIV/0!</v>
      </c>
      <c r="F33" s="85">
        <f t="shared" si="1"/>
        <v>0</v>
      </c>
      <c r="G33" s="156" t="e">
        <f t="shared" si="2"/>
        <v>#DIV/0!</v>
      </c>
      <c r="H33" s="143">
        <f t="shared" si="3"/>
        <v>0</v>
      </c>
      <c r="I33" s="157" t="e">
        <f t="shared" si="4"/>
        <v>#DIV/0!</v>
      </c>
      <c r="J33" s="156" t="e">
        <f t="shared" si="5"/>
        <v>#DIV/0!</v>
      </c>
      <c r="K33" s="156" t="e">
        <f t="shared" si="6"/>
        <v>#DIV/0!</v>
      </c>
      <c r="L33" s="158" t="e">
        <f t="shared" si="7"/>
        <v>#DIV/0!</v>
      </c>
      <c r="M33" s="143" t="e">
        <f t="shared" si="19"/>
        <v>#DIV/0!</v>
      </c>
      <c r="N33" s="143" t="e">
        <f t="shared" si="20"/>
        <v>#DIV/0!</v>
      </c>
      <c r="O33" s="143" t="e">
        <f t="shared" si="21"/>
        <v>#DIV/0!</v>
      </c>
      <c r="P33" s="143" t="e">
        <f t="shared" si="22"/>
        <v>#DIV/0!</v>
      </c>
      <c r="Q33" s="54">
        <f t="shared" si="38"/>
        <v>46322</v>
      </c>
      <c r="R33" s="136"/>
      <c r="S33" s="137"/>
      <c r="T33" s="137"/>
      <c r="U33" s="137"/>
      <c r="V33" s="138"/>
      <c r="W33" s="139"/>
      <c r="X33" s="138"/>
      <c r="Y33" s="139"/>
      <c r="Z33" s="138"/>
      <c r="AA33" s="139"/>
      <c r="AB33" s="54">
        <f t="shared" si="39"/>
        <v>46322</v>
      </c>
      <c r="AC33" s="74" t="e">
        <f t="shared" ref="AC26:AC36" si="51">+AF33/AE33</f>
        <v>#DIV/0!</v>
      </c>
      <c r="AD33" s="159" t="e">
        <f t="shared" ref="AD26:AD36" si="52">+AG33/AE33</f>
        <v>#DIV/0!</v>
      </c>
      <c r="AE33" s="160"/>
      <c r="AF33" s="115">
        <f t="shared" si="10"/>
        <v>0</v>
      </c>
      <c r="AG33" s="144"/>
      <c r="AH33" s="145"/>
      <c r="AI33" s="146"/>
      <c r="AJ33" s="145"/>
      <c r="AK33" s="162"/>
      <c r="AL33" s="165">
        <f t="shared" si="40"/>
        <v>46322</v>
      </c>
      <c r="AM33" s="75" t="e">
        <f t="shared" ref="AM26:AM36" si="53">+AP33/AO33</f>
        <v>#DIV/0!</v>
      </c>
      <c r="AN33" s="74" t="e">
        <f t="shared" ref="AN26:AN36" si="54">+AQ33/AO33</f>
        <v>#DIV/0!</v>
      </c>
      <c r="AO33" s="147"/>
      <c r="AP33" s="114">
        <f t="shared" si="25"/>
        <v>0</v>
      </c>
      <c r="AQ33" s="148"/>
      <c r="AR33" s="149"/>
      <c r="AS33" s="150"/>
      <c r="AT33" s="149"/>
      <c r="AU33" s="151"/>
      <c r="AV33" s="54">
        <f t="shared" si="41"/>
        <v>46322</v>
      </c>
      <c r="AW33" s="166" t="e">
        <f t="shared" ref="AW26:AW36" si="55">BA33/AZ33</f>
        <v>#DIV/0!</v>
      </c>
      <c r="AX33" s="166" t="e">
        <f t="shared" ref="AX26:AX36" si="56">BB33/AZ33</f>
        <v>#DIV/0!</v>
      </c>
      <c r="AY33" s="108">
        <f t="shared" si="26"/>
        <v>0</v>
      </c>
      <c r="AZ33" s="109"/>
      <c r="BA33" s="117">
        <f t="shared" si="15"/>
        <v>0</v>
      </c>
      <c r="BB33" s="110"/>
      <c r="BC33" s="109"/>
      <c r="BD33" s="111"/>
      <c r="BE33" s="112"/>
      <c r="BF33" s="111"/>
      <c r="BG33" s="112"/>
      <c r="BH33" s="111"/>
      <c r="BI33" s="54">
        <f t="shared" si="42"/>
        <v>46322</v>
      </c>
      <c r="BJ33" s="167" t="e">
        <f t="shared" ref="BJ26:BJ36" si="57">+BM33/BL33</f>
        <v>#DIV/0!</v>
      </c>
      <c r="BK33" s="74" t="e">
        <f t="shared" ref="BK26:BK36" si="58">+BN33/BL33</f>
        <v>#DIV/0!</v>
      </c>
      <c r="BL33" s="77">
        <f t="shared" si="18"/>
        <v>0</v>
      </c>
      <c r="BM33" s="152"/>
      <c r="BN33" s="152"/>
      <c r="BO33" s="153"/>
      <c r="BP33" s="154"/>
      <c r="BQ33" s="155"/>
      <c r="BR33" s="154"/>
    </row>
    <row r="34" spans="1:70" ht="15.75" thickBot="1" x14ac:dyDescent="0.3">
      <c r="A34" s="14"/>
      <c r="B34" s="54">
        <v>46323</v>
      </c>
      <c r="C34" s="161"/>
      <c r="D34" s="85">
        <f t="shared" si="29"/>
        <v>0</v>
      </c>
      <c r="E34" s="156" t="e">
        <f t="shared" si="0"/>
        <v>#DIV/0!</v>
      </c>
      <c r="F34" s="85">
        <f t="shared" si="1"/>
        <v>0</v>
      </c>
      <c r="G34" s="156" t="e">
        <f t="shared" si="2"/>
        <v>#DIV/0!</v>
      </c>
      <c r="H34" s="143">
        <f t="shared" si="3"/>
        <v>0</v>
      </c>
      <c r="I34" s="157" t="e">
        <f t="shared" si="4"/>
        <v>#DIV/0!</v>
      </c>
      <c r="J34" s="156" t="e">
        <f t="shared" si="5"/>
        <v>#DIV/0!</v>
      </c>
      <c r="K34" s="156" t="e">
        <f t="shared" si="6"/>
        <v>#DIV/0!</v>
      </c>
      <c r="L34" s="158" t="e">
        <f t="shared" si="7"/>
        <v>#DIV/0!</v>
      </c>
      <c r="M34" s="143" t="e">
        <f t="shared" si="19"/>
        <v>#DIV/0!</v>
      </c>
      <c r="N34" s="143" t="e">
        <f t="shared" si="20"/>
        <v>#DIV/0!</v>
      </c>
      <c r="O34" s="143" t="e">
        <f t="shared" si="21"/>
        <v>#DIV/0!</v>
      </c>
      <c r="P34" s="143" t="e">
        <f t="shared" si="22"/>
        <v>#DIV/0!</v>
      </c>
      <c r="Q34" s="54">
        <f t="shared" si="38"/>
        <v>46323</v>
      </c>
      <c r="R34" s="136"/>
      <c r="S34" s="137"/>
      <c r="T34" s="137"/>
      <c r="U34" s="137"/>
      <c r="V34" s="138"/>
      <c r="W34" s="139"/>
      <c r="X34" s="138"/>
      <c r="Y34" s="139"/>
      <c r="Z34" s="138"/>
      <c r="AA34" s="139"/>
      <c r="AB34" s="54">
        <f t="shared" si="39"/>
        <v>46323</v>
      </c>
      <c r="AC34" s="74" t="e">
        <f t="shared" si="51"/>
        <v>#DIV/0!</v>
      </c>
      <c r="AD34" s="159" t="e">
        <f t="shared" si="52"/>
        <v>#DIV/0!</v>
      </c>
      <c r="AE34" s="160"/>
      <c r="AF34" s="115">
        <f t="shared" si="10"/>
        <v>0</v>
      </c>
      <c r="AG34" s="144"/>
      <c r="AH34" s="145"/>
      <c r="AI34" s="146"/>
      <c r="AJ34" s="145"/>
      <c r="AK34" s="162"/>
      <c r="AL34" s="54">
        <f t="shared" si="40"/>
        <v>46323</v>
      </c>
      <c r="AM34" s="75" t="e">
        <f t="shared" si="53"/>
        <v>#DIV/0!</v>
      </c>
      <c r="AN34" s="74" t="e">
        <f t="shared" si="54"/>
        <v>#DIV/0!</v>
      </c>
      <c r="AO34" s="147"/>
      <c r="AP34" s="114">
        <f t="shared" si="25"/>
        <v>0</v>
      </c>
      <c r="AQ34" s="148"/>
      <c r="AR34" s="149"/>
      <c r="AS34" s="150"/>
      <c r="AT34" s="149"/>
      <c r="AU34" s="151"/>
      <c r="AV34" s="54">
        <f t="shared" si="41"/>
        <v>46323</v>
      </c>
      <c r="AW34" s="107" t="e">
        <f t="shared" si="55"/>
        <v>#DIV/0!</v>
      </c>
      <c r="AX34" s="107" t="e">
        <f t="shared" si="56"/>
        <v>#DIV/0!</v>
      </c>
      <c r="AY34" s="108">
        <f t="shared" si="26"/>
        <v>0</v>
      </c>
      <c r="AZ34" s="109"/>
      <c r="BA34" s="117">
        <f t="shared" si="15"/>
        <v>0</v>
      </c>
      <c r="BB34" s="110"/>
      <c r="BC34" s="109"/>
      <c r="BD34" s="111"/>
      <c r="BE34" s="112"/>
      <c r="BF34" s="111"/>
      <c r="BG34" s="112"/>
      <c r="BH34" s="111"/>
      <c r="BI34" s="54">
        <f t="shared" si="42"/>
        <v>46323</v>
      </c>
      <c r="BJ34" s="76" t="e">
        <f t="shared" si="57"/>
        <v>#DIV/0!</v>
      </c>
      <c r="BK34" s="74" t="e">
        <f t="shared" si="58"/>
        <v>#DIV/0!</v>
      </c>
      <c r="BL34" s="77">
        <f t="shared" si="18"/>
        <v>0</v>
      </c>
      <c r="BM34" s="152"/>
      <c r="BN34" s="152"/>
      <c r="BO34" s="153"/>
      <c r="BP34" s="154"/>
      <c r="BQ34" s="155"/>
      <c r="BR34" s="154"/>
    </row>
    <row r="35" spans="1:70" ht="15.75" thickBot="1" x14ac:dyDescent="0.3">
      <c r="A35" s="14"/>
      <c r="B35" s="54">
        <v>46324</v>
      </c>
      <c r="C35" s="161"/>
      <c r="D35" s="85">
        <f t="shared" si="29"/>
        <v>0</v>
      </c>
      <c r="E35" s="156" t="e">
        <f t="shared" si="0"/>
        <v>#DIV/0!</v>
      </c>
      <c r="F35" s="85">
        <f t="shared" si="1"/>
        <v>0</v>
      </c>
      <c r="G35" s="156" t="e">
        <f t="shared" si="2"/>
        <v>#DIV/0!</v>
      </c>
      <c r="H35" s="143">
        <f t="shared" si="3"/>
        <v>0</v>
      </c>
      <c r="I35" s="157" t="e">
        <f t="shared" si="4"/>
        <v>#DIV/0!</v>
      </c>
      <c r="J35" s="156" t="e">
        <f t="shared" si="5"/>
        <v>#DIV/0!</v>
      </c>
      <c r="K35" s="156" t="e">
        <f t="shared" si="6"/>
        <v>#DIV/0!</v>
      </c>
      <c r="L35" s="158" t="e">
        <f t="shared" si="7"/>
        <v>#DIV/0!</v>
      </c>
      <c r="M35" s="143" t="e">
        <f t="shared" si="19"/>
        <v>#DIV/0!</v>
      </c>
      <c r="N35" s="143" t="e">
        <f t="shared" si="20"/>
        <v>#DIV/0!</v>
      </c>
      <c r="O35" s="143" t="e">
        <f t="shared" si="21"/>
        <v>#DIV/0!</v>
      </c>
      <c r="P35" s="143" t="e">
        <f t="shared" si="22"/>
        <v>#DIV/0!</v>
      </c>
      <c r="Q35" s="54">
        <f t="shared" si="38"/>
        <v>46324</v>
      </c>
      <c r="R35" s="136"/>
      <c r="S35" s="137"/>
      <c r="T35" s="137"/>
      <c r="U35" s="137"/>
      <c r="V35" s="138"/>
      <c r="W35" s="139"/>
      <c r="X35" s="138"/>
      <c r="Y35" s="139"/>
      <c r="Z35" s="138"/>
      <c r="AA35" s="139"/>
      <c r="AB35" s="54">
        <f t="shared" si="39"/>
        <v>46324</v>
      </c>
      <c r="AC35" s="74" t="e">
        <f t="shared" ref="AC35" si="59">+AF35/AE35</f>
        <v>#DIV/0!</v>
      </c>
      <c r="AD35" s="159" t="e">
        <f t="shared" ref="AD35" si="60">+AG35/AE35</f>
        <v>#DIV/0!</v>
      </c>
      <c r="AE35" s="160"/>
      <c r="AF35" s="115">
        <f t="shared" si="10"/>
        <v>0</v>
      </c>
      <c r="AG35" s="144"/>
      <c r="AH35" s="145"/>
      <c r="AI35" s="146"/>
      <c r="AJ35" s="145"/>
      <c r="AK35" s="162"/>
      <c r="AL35" s="54">
        <f t="shared" si="40"/>
        <v>46324</v>
      </c>
      <c r="AM35" s="75" t="e">
        <f t="shared" ref="AM35" si="61">+AP35/AO35</f>
        <v>#DIV/0!</v>
      </c>
      <c r="AN35" s="74" t="e">
        <f t="shared" ref="AN35" si="62">+AQ35/AO35</f>
        <v>#DIV/0!</v>
      </c>
      <c r="AO35" s="147"/>
      <c r="AP35" s="114">
        <f t="shared" si="25"/>
        <v>0</v>
      </c>
      <c r="AQ35" s="148"/>
      <c r="AR35" s="149"/>
      <c r="AS35" s="150"/>
      <c r="AT35" s="149"/>
      <c r="AU35" s="151"/>
      <c r="AV35" s="54">
        <f t="shared" si="41"/>
        <v>46324</v>
      </c>
      <c r="AW35" s="107" t="e">
        <f t="shared" ref="AW35" si="63">BA35/AZ35</f>
        <v>#DIV/0!</v>
      </c>
      <c r="AX35" s="107" t="e">
        <f t="shared" ref="AX35" si="64">BB35/AZ35</f>
        <v>#DIV/0!</v>
      </c>
      <c r="AY35" s="108">
        <f t="shared" si="26"/>
        <v>0</v>
      </c>
      <c r="AZ35" s="109"/>
      <c r="BA35" s="117">
        <f t="shared" si="15"/>
        <v>0</v>
      </c>
      <c r="BB35" s="110"/>
      <c r="BC35" s="109"/>
      <c r="BD35" s="111"/>
      <c r="BE35" s="112"/>
      <c r="BF35" s="111"/>
      <c r="BG35" s="112"/>
      <c r="BH35" s="111"/>
      <c r="BI35" s="54">
        <f t="shared" si="42"/>
        <v>46324</v>
      </c>
      <c r="BJ35" s="76" t="e">
        <f t="shared" ref="BJ35" si="65">+BM35/BL35</f>
        <v>#DIV/0!</v>
      </c>
      <c r="BK35" s="74" t="e">
        <f t="shared" ref="BK35" si="66">+BN35/BL35</f>
        <v>#DIV/0!</v>
      </c>
      <c r="BL35" s="77">
        <f t="shared" si="18"/>
        <v>0</v>
      </c>
      <c r="BM35" s="152"/>
      <c r="BN35" s="152"/>
      <c r="BO35" s="153"/>
      <c r="BP35" s="154"/>
      <c r="BQ35" s="155"/>
      <c r="BR35" s="154"/>
    </row>
    <row r="36" spans="1:70" ht="15.75" thickBot="1" x14ac:dyDescent="0.3">
      <c r="A36" s="14"/>
      <c r="B36" s="54">
        <v>46325</v>
      </c>
      <c r="C36" s="161"/>
      <c r="D36" s="85">
        <f t="shared" si="29"/>
        <v>0</v>
      </c>
      <c r="E36" s="156" t="e">
        <f t="shared" ref="E36:E37" si="67">F36/D36</f>
        <v>#DIV/0!</v>
      </c>
      <c r="F36" s="85">
        <f t="shared" si="1"/>
        <v>0</v>
      </c>
      <c r="G36" s="156" t="e">
        <f t="shared" si="2"/>
        <v>#DIV/0!</v>
      </c>
      <c r="H36" s="143">
        <f t="shared" si="3"/>
        <v>0</v>
      </c>
      <c r="I36" s="157" t="e">
        <f t="shared" si="4"/>
        <v>#DIV/0!</v>
      </c>
      <c r="J36" s="156" t="e">
        <f t="shared" si="5"/>
        <v>#DIV/0!</v>
      </c>
      <c r="K36" s="156" t="e">
        <f t="shared" si="6"/>
        <v>#DIV/0!</v>
      </c>
      <c r="L36" s="158" t="e">
        <f t="shared" si="7"/>
        <v>#DIV/0!</v>
      </c>
      <c r="M36" s="143" t="e">
        <f>(S36+R36)*I36</f>
        <v>#DIV/0!</v>
      </c>
      <c r="N36" s="143" t="e">
        <f t="shared" si="20"/>
        <v>#DIV/0!</v>
      </c>
      <c r="O36" s="143" t="e">
        <f t="shared" si="21"/>
        <v>#DIV/0!</v>
      </c>
      <c r="P36" s="143" t="e">
        <f t="shared" si="22"/>
        <v>#DIV/0!</v>
      </c>
      <c r="Q36" s="54">
        <f t="shared" si="38"/>
        <v>46325</v>
      </c>
      <c r="R36" s="137"/>
      <c r="S36" s="137"/>
      <c r="T36" s="137"/>
      <c r="U36" s="137"/>
      <c r="V36" s="138"/>
      <c r="W36" s="139"/>
      <c r="X36" s="138"/>
      <c r="Y36" s="139"/>
      <c r="Z36" s="138"/>
      <c r="AA36" s="139"/>
      <c r="AB36" s="54">
        <f t="shared" si="39"/>
        <v>46325</v>
      </c>
      <c r="AC36" s="74" t="e">
        <f t="shared" si="51"/>
        <v>#DIV/0!</v>
      </c>
      <c r="AD36" s="159" t="e">
        <f t="shared" si="52"/>
        <v>#DIV/0!</v>
      </c>
      <c r="AE36" s="160"/>
      <c r="AF36" s="115">
        <f t="shared" si="10"/>
        <v>0</v>
      </c>
      <c r="AG36" s="144"/>
      <c r="AH36" s="145"/>
      <c r="AI36" s="146"/>
      <c r="AJ36" s="145"/>
      <c r="AK36" s="162"/>
      <c r="AL36" s="54">
        <f t="shared" si="40"/>
        <v>46325</v>
      </c>
      <c r="AM36" s="75" t="e">
        <f t="shared" si="53"/>
        <v>#DIV/0!</v>
      </c>
      <c r="AN36" s="74" t="e">
        <f t="shared" si="54"/>
        <v>#DIV/0!</v>
      </c>
      <c r="AO36" s="147"/>
      <c r="AP36" s="114">
        <f t="shared" si="25"/>
        <v>0</v>
      </c>
      <c r="AQ36" s="148"/>
      <c r="AR36" s="149"/>
      <c r="AS36" s="150"/>
      <c r="AT36" s="149"/>
      <c r="AU36" s="151"/>
      <c r="AV36" s="54">
        <f t="shared" si="41"/>
        <v>46325</v>
      </c>
      <c r="AW36" s="107" t="e">
        <f t="shared" si="55"/>
        <v>#DIV/0!</v>
      </c>
      <c r="AX36" s="107" t="e">
        <f t="shared" si="56"/>
        <v>#DIV/0!</v>
      </c>
      <c r="AY36" s="108">
        <f t="shared" si="26"/>
        <v>0</v>
      </c>
      <c r="AZ36" s="109"/>
      <c r="BA36" s="117">
        <f t="shared" si="15"/>
        <v>0</v>
      </c>
      <c r="BB36" s="110"/>
      <c r="BC36" s="109"/>
      <c r="BD36" s="111"/>
      <c r="BE36" s="112"/>
      <c r="BF36" s="111"/>
      <c r="BG36" s="112"/>
      <c r="BH36" s="111"/>
      <c r="BI36" s="54">
        <f t="shared" si="42"/>
        <v>46325</v>
      </c>
      <c r="BJ36" s="76" t="e">
        <f t="shared" si="57"/>
        <v>#DIV/0!</v>
      </c>
      <c r="BK36" s="74" t="e">
        <f t="shared" si="58"/>
        <v>#DIV/0!</v>
      </c>
      <c r="BL36" s="77">
        <f t="shared" si="18"/>
        <v>0</v>
      </c>
      <c r="BM36" s="152"/>
      <c r="BN36" s="152"/>
      <c r="BO36" s="153"/>
      <c r="BP36" s="154"/>
      <c r="BQ36" s="155"/>
      <c r="BR36" s="154"/>
    </row>
    <row r="37" spans="1:70" ht="15.75" thickBot="1" x14ac:dyDescent="0.3">
      <c r="B37" s="54">
        <v>46326</v>
      </c>
      <c r="D37" s="85">
        <f t="shared" si="29"/>
        <v>0</v>
      </c>
      <c r="E37" s="156" t="e">
        <f t="shared" si="67"/>
        <v>#DIV/0!</v>
      </c>
      <c r="F37" s="85">
        <f t="shared" si="1"/>
        <v>0</v>
      </c>
      <c r="G37" s="156" t="e">
        <f t="shared" si="2"/>
        <v>#DIV/0!</v>
      </c>
      <c r="H37" s="143">
        <f t="shared" si="3"/>
        <v>0</v>
      </c>
      <c r="I37" s="157" t="e">
        <f t="shared" si="4"/>
        <v>#DIV/0!</v>
      </c>
      <c r="J37" s="156" t="e">
        <f t="shared" si="5"/>
        <v>#DIV/0!</v>
      </c>
      <c r="K37" s="156" t="e">
        <f t="shared" si="6"/>
        <v>#DIV/0!</v>
      </c>
      <c r="L37" s="158" t="e">
        <f t="shared" si="7"/>
        <v>#DIV/0!</v>
      </c>
      <c r="M37" s="143" t="e">
        <f t="shared" si="19"/>
        <v>#DIV/0!</v>
      </c>
      <c r="N37" s="143" t="e">
        <f t="shared" si="20"/>
        <v>#DIV/0!</v>
      </c>
      <c r="O37" s="143" t="e">
        <f t="shared" si="21"/>
        <v>#DIV/0!</v>
      </c>
      <c r="P37" s="143" t="e">
        <f t="shared" si="22"/>
        <v>#DIV/0!</v>
      </c>
      <c r="Q37" s="54">
        <f t="shared" si="38"/>
        <v>46326</v>
      </c>
      <c r="R37" s="136"/>
      <c r="S37" s="137"/>
      <c r="T37" s="137"/>
      <c r="U37" s="137"/>
      <c r="V37" s="138"/>
      <c r="W37" s="139"/>
      <c r="X37" s="138"/>
      <c r="Y37" s="139"/>
      <c r="Z37" s="138"/>
      <c r="AA37" s="139"/>
      <c r="AB37" s="54">
        <f t="shared" si="39"/>
        <v>46326</v>
      </c>
      <c r="AC37" s="74" t="e">
        <f t="shared" ref="AC37" si="68">+AF37/AE37</f>
        <v>#DIV/0!</v>
      </c>
      <c r="AD37" s="159" t="e">
        <f t="shared" ref="AD37" si="69">+AG37/AE37</f>
        <v>#DIV/0!</v>
      </c>
      <c r="AE37" s="160"/>
      <c r="AF37" s="115">
        <f t="shared" si="10"/>
        <v>0</v>
      </c>
      <c r="AG37" s="144"/>
      <c r="AH37" s="145"/>
      <c r="AI37" s="146"/>
      <c r="AJ37" s="145"/>
      <c r="AK37" s="162"/>
      <c r="AL37" s="54">
        <f t="shared" si="40"/>
        <v>46326</v>
      </c>
      <c r="AM37" s="75" t="e">
        <f t="shared" ref="AM37" si="70">+AP37/AO37</f>
        <v>#DIV/0!</v>
      </c>
      <c r="AN37" s="74" t="e">
        <f t="shared" ref="AN37" si="71">+AQ37/AO37</f>
        <v>#DIV/0!</v>
      </c>
      <c r="AO37" s="147"/>
      <c r="AP37" s="114">
        <f t="shared" si="25"/>
        <v>0</v>
      </c>
      <c r="AQ37" s="148"/>
      <c r="AR37" s="149"/>
      <c r="AS37" s="150"/>
      <c r="AT37" s="149"/>
      <c r="AU37" s="151"/>
      <c r="AV37" s="54">
        <f t="shared" si="41"/>
        <v>46326</v>
      </c>
      <c r="AW37" s="107" t="e">
        <f t="shared" ref="AW37" si="72">BA37/AZ37</f>
        <v>#DIV/0!</v>
      </c>
      <c r="AX37" s="107" t="e">
        <f t="shared" ref="AX37" si="73">BB37/AZ37</f>
        <v>#DIV/0!</v>
      </c>
      <c r="AY37" s="108">
        <f t="shared" si="26"/>
        <v>0</v>
      </c>
      <c r="AZ37" s="109"/>
      <c r="BA37" s="117">
        <f t="shared" si="15"/>
        <v>0</v>
      </c>
      <c r="BB37" s="110"/>
      <c r="BC37" s="109"/>
      <c r="BD37" s="111"/>
      <c r="BE37" s="112"/>
      <c r="BF37" s="111"/>
      <c r="BG37" s="112"/>
      <c r="BH37" s="111"/>
      <c r="BI37" s="54">
        <f t="shared" si="42"/>
        <v>46326</v>
      </c>
      <c r="BJ37" s="76" t="e">
        <f t="shared" ref="BJ37" si="74">+BM37/BL37</f>
        <v>#DIV/0!</v>
      </c>
      <c r="BK37" s="74" t="e">
        <f t="shared" ref="BK37" si="75">+BN37/BL37</f>
        <v>#DIV/0!</v>
      </c>
      <c r="BL37" s="77">
        <f t="shared" si="18"/>
        <v>0</v>
      </c>
      <c r="BM37" s="152"/>
      <c r="BN37" s="152"/>
      <c r="BO37" s="153"/>
      <c r="BP37" s="154"/>
      <c r="BQ37" s="155"/>
      <c r="BR37" s="154"/>
    </row>
    <row r="38" spans="1:70" x14ac:dyDescent="0.25">
      <c r="S38" s="172"/>
      <c r="T38" s="171"/>
    </row>
    <row r="39" spans="1:70" x14ac:dyDescent="0.25">
      <c r="BB39" s="14">
        <v>609.62249999999995</v>
      </c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10" zoomScale="130" zoomScaleNormal="130" zoomScaleSheetLayoutView="85" workbookViewId="0">
      <selection activeCell="A26" sqref="A26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9" t="s">
        <v>0</v>
      </c>
      <c r="D2" s="222" t="s">
        <v>37</v>
      </c>
      <c r="E2" s="223"/>
      <c r="F2" s="223"/>
      <c r="G2" s="223"/>
      <c r="H2" s="224"/>
      <c r="J2" s="222" t="s">
        <v>38</v>
      </c>
      <c r="K2" s="223"/>
      <c r="L2" s="224"/>
      <c r="N2" s="222" t="s">
        <v>39</v>
      </c>
      <c r="O2" s="223"/>
      <c r="P2" s="223"/>
      <c r="Q2" s="223"/>
      <c r="R2" s="223"/>
      <c r="S2" s="223"/>
      <c r="T2" s="224"/>
      <c r="V2" s="228" t="s">
        <v>40</v>
      </c>
      <c r="W2" s="229"/>
      <c r="X2" s="230"/>
    </row>
    <row r="3" spans="2:27" ht="15.75" thickBot="1" x14ac:dyDescent="0.3">
      <c r="B3" s="220"/>
      <c r="D3" s="225"/>
      <c r="E3" s="226"/>
      <c r="F3" s="226"/>
      <c r="G3" s="226"/>
      <c r="H3" s="227"/>
      <c r="J3" s="225"/>
      <c r="K3" s="226"/>
      <c r="L3" s="227"/>
      <c r="N3" s="225"/>
      <c r="O3" s="226"/>
      <c r="P3" s="226"/>
      <c r="Q3" s="226"/>
      <c r="R3" s="226"/>
      <c r="S3" s="226"/>
      <c r="T3" s="227"/>
      <c r="V3" s="231"/>
      <c r="W3" s="232"/>
      <c r="X3" s="233"/>
    </row>
    <row r="4" spans="2:27" ht="23.25" customHeight="1" x14ac:dyDescent="0.25">
      <c r="B4" s="220"/>
      <c r="D4" s="234" t="s">
        <v>41</v>
      </c>
      <c r="E4" s="235"/>
      <c r="F4" s="234" t="s">
        <v>42</v>
      </c>
      <c r="G4" s="236"/>
      <c r="H4" s="237"/>
      <c r="J4" s="234" t="s">
        <v>41</v>
      </c>
      <c r="K4" s="235"/>
      <c r="L4" s="16" t="s">
        <v>42</v>
      </c>
      <c r="N4" s="217" t="s">
        <v>41</v>
      </c>
      <c r="O4" s="238"/>
      <c r="P4" s="239"/>
      <c r="Q4" s="240"/>
      <c r="R4" s="234" t="s">
        <v>42</v>
      </c>
      <c r="S4" s="241"/>
      <c r="T4" s="237"/>
      <c r="V4" s="217" t="s">
        <v>41</v>
      </c>
      <c r="W4" s="218"/>
      <c r="X4" s="16" t="s">
        <v>42</v>
      </c>
    </row>
    <row r="5" spans="2:27" ht="23.25" thickBot="1" x14ac:dyDescent="0.3">
      <c r="B5" s="221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5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1" customFormat="1" ht="15.75" thickBot="1" x14ac:dyDescent="0.3">
      <c r="B14" s="88">
        <v>46295</v>
      </c>
      <c r="C14" s="13"/>
      <c r="D14" s="180">
        <v>84</v>
      </c>
      <c r="E14" s="87">
        <v>0.55208333333333337</v>
      </c>
      <c r="F14" s="86">
        <v>1191</v>
      </c>
      <c r="G14" s="90">
        <f>F14-H14</f>
        <v>716</v>
      </c>
      <c r="H14" s="86">
        <v>475</v>
      </c>
      <c r="I14" s="88">
        <v>46295</v>
      </c>
      <c r="J14" s="89">
        <v>31</v>
      </c>
      <c r="K14" s="87">
        <v>0.10416666666666667</v>
      </c>
      <c r="L14" s="86">
        <v>637</v>
      </c>
      <c r="M14" s="88">
        <f t="shared" ref="M14:M45" si="0">B14</f>
        <v>46295</v>
      </c>
      <c r="N14" s="89">
        <v>25</v>
      </c>
      <c r="O14" s="87">
        <v>0.35416666666666669</v>
      </c>
      <c r="P14" s="89">
        <v>9</v>
      </c>
      <c r="Q14" s="87">
        <v>0.83333333333333337</v>
      </c>
      <c r="R14" s="181">
        <f>S14+T14</f>
        <v>545</v>
      </c>
      <c r="S14" s="86">
        <v>382</v>
      </c>
      <c r="T14" s="86">
        <v>163</v>
      </c>
      <c r="U14" s="88">
        <v>46295</v>
      </c>
      <c r="V14" s="89">
        <v>29</v>
      </c>
      <c r="W14" s="87">
        <v>0.73958333333333337</v>
      </c>
      <c r="X14" s="86">
        <v>565</v>
      </c>
    </row>
    <row r="15" spans="2:27" s="51" customFormat="1" ht="15.75" thickBot="1" x14ac:dyDescent="0.3">
      <c r="B15" s="88">
        <v>46296</v>
      </c>
      <c r="C15" s="13"/>
      <c r="D15" s="180">
        <v>85</v>
      </c>
      <c r="E15" s="179">
        <v>0.58333333333333337</v>
      </c>
      <c r="F15" s="178">
        <v>1148</v>
      </c>
      <c r="G15" s="90">
        <f t="shared" ref="G15:G45" si="1">F15-H15</f>
        <v>664</v>
      </c>
      <c r="H15" s="178">
        <v>484</v>
      </c>
      <c r="I15" s="88">
        <v>46296</v>
      </c>
      <c r="J15" s="180">
        <v>33</v>
      </c>
      <c r="K15" s="179">
        <v>0.64583333333333337</v>
      </c>
      <c r="L15" s="178">
        <v>633</v>
      </c>
      <c r="M15" s="88">
        <f t="shared" si="0"/>
        <v>46296</v>
      </c>
      <c r="N15" s="180">
        <v>23</v>
      </c>
      <c r="O15" s="179">
        <v>0.48958333333333331</v>
      </c>
      <c r="P15" s="180">
        <v>9</v>
      </c>
      <c r="Q15" s="179">
        <v>0.90625</v>
      </c>
      <c r="R15" s="181">
        <f t="shared" ref="R15:R45" si="2">S15+T15</f>
        <v>553</v>
      </c>
      <c r="S15" s="178">
        <v>377</v>
      </c>
      <c r="T15" s="178">
        <v>176</v>
      </c>
      <c r="U15" s="88">
        <v>46296</v>
      </c>
      <c r="V15" s="180">
        <v>27</v>
      </c>
      <c r="W15" s="179">
        <v>0.76041666666666663</v>
      </c>
      <c r="X15" s="178">
        <v>518</v>
      </c>
    </row>
    <row r="16" spans="2:27" s="51" customFormat="1" ht="15.75" thickBot="1" x14ac:dyDescent="0.3">
      <c r="B16" s="88">
        <v>46297</v>
      </c>
      <c r="C16" s="13"/>
      <c r="D16" s="50">
        <v>90.27</v>
      </c>
      <c r="E16" s="11">
        <v>0.54166666666666663</v>
      </c>
      <c r="F16" s="10">
        <v>1094.21</v>
      </c>
      <c r="G16" s="90">
        <f t="shared" si="1"/>
        <v>628.86</v>
      </c>
      <c r="H16" s="10">
        <v>465.35</v>
      </c>
      <c r="I16" s="88">
        <v>46297</v>
      </c>
      <c r="J16" s="50">
        <v>30.4</v>
      </c>
      <c r="K16" s="53">
        <v>0.84375</v>
      </c>
      <c r="L16" s="52">
        <v>614.94000000000005</v>
      </c>
      <c r="M16" s="88">
        <f t="shared" si="0"/>
        <v>46297</v>
      </c>
      <c r="N16" s="50">
        <v>42.7</v>
      </c>
      <c r="O16" s="11">
        <v>0.47916666666666669</v>
      </c>
      <c r="P16" s="50">
        <v>8.73</v>
      </c>
      <c r="Q16" s="11">
        <v>0.82291666666666663</v>
      </c>
      <c r="R16" s="181">
        <f t="shared" si="2"/>
        <v>552.15</v>
      </c>
      <c r="S16" s="10">
        <v>382.63</v>
      </c>
      <c r="T16" s="10">
        <v>169.52</v>
      </c>
      <c r="U16" s="88">
        <v>46297</v>
      </c>
      <c r="V16" s="50">
        <v>28.27</v>
      </c>
      <c r="W16" s="11">
        <v>0.40625</v>
      </c>
      <c r="X16" s="10">
        <v>516.05999999999995</v>
      </c>
    </row>
    <row r="17" spans="2:24" ht="15.75" thickBot="1" x14ac:dyDescent="0.3">
      <c r="B17" s="88">
        <v>46298</v>
      </c>
      <c r="D17" s="50">
        <v>66.849999999999994</v>
      </c>
      <c r="E17" s="53">
        <v>0.14583333333333334</v>
      </c>
      <c r="F17" s="52">
        <v>783.61</v>
      </c>
      <c r="G17" s="90">
        <f t="shared" si="1"/>
        <v>322.68</v>
      </c>
      <c r="H17" s="52">
        <v>460.93</v>
      </c>
      <c r="I17" s="88">
        <v>46298</v>
      </c>
      <c r="J17" s="50">
        <v>34.369999999999997</v>
      </c>
      <c r="K17" s="53">
        <v>0.20833333333333334</v>
      </c>
      <c r="L17" s="52">
        <v>604.59</v>
      </c>
      <c r="M17" s="88">
        <f t="shared" si="0"/>
        <v>46298</v>
      </c>
      <c r="N17" s="50">
        <v>27.48</v>
      </c>
      <c r="O17" s="53">
        <v>0.61458333333333337</v>
      </c>
      <c r="P17" s="50">
        <v>8.4600000000000009</v>
      </c>
      <c r="Q17" s="53">
        <v>0.83333333333333337</v>
      </c>
      <c r="R17" s="181">
        <f t="shared" si="2"/>
        <v>545.43000000000006</v>
      </c>
      <c r="S17" s="52">
        <v>377.16</v>
      </c>
      <c r="T17" s="52">
        <v>168.27</v>
      </c>
      <c r="U17" s="88">
        <v>46298</v>
      </c>
      <c r="V17" s="50">
        <v>27.59</v>
      </c>
      <c r="W17" s="53">
        <v>2.0833333333333332E-2</v>
      </c>
      <c r="X17" s="52">
        <v>499.15</v>
      </c>
    </row>
    <row r="18" spans="2:24" ht="15.75" thickBot="1" x14ac:dyDescent="0.3">
      <c r="B18" s="88">
        <v>46299</v>
      </c>
      <c r="D18" s="50">
        <v>62</v>
      </c>
      <c r="E18" s="53">
        <v>0.73958333333333337</v>
      </c>
      <c r="F18" s="52">
        <v>743</v>
      </c>
      <c r="G18" s="90">
        <f t="shared" si="1"/>
        <v>309</v>
      </c>
      <c r="H18" s="52">
        <v>434</v>
      </c>
      <c r="I18" s="88">
        <v>46299</v>
      </c>
      <c r="J18" s="50">
        <v>31</v>
      </c>
      <c r="K18" s="53">
        <v>0.90625</v>
      </c>
      <c r="L18" s="52">
        <v>611</v>
      </c>
      <c r="M18" s="88">
        <f t="shared" si="0"/>
        <v>46299</v>
      </c>
      <c r="N18" s="50">
        <v>18</v>
      </c>
      <c r="O18" s="53">
        <v>0.4375</v>
      </c>
      <c r="P18" s="50">
        <v>8</v>
      </c>
      <c r="Q18" s="53">
        <v>0.89583333333333337</v>
      </c>
      <c r="R18" s="181">
        <f t="shared" si="2"/>
        <v>516</v>
      </c>
      <c r="S18" s="52">
        <v>367</v>
      </c>
      <c r="T18" s="52">
        <v>149</v>
      </c>
      <c r="U18" s="88">
        <v>46299</v>
      </c>
      <c r="V18" s="50">
        <v>27</v>
      </c>
      <c r="W18" s="53">
        <v>0.82291666666666663</v>
      </c>
      <c r="X18" s="52">
        <v>496</v>
      </c>
    </row>
    <row r="19" spans="2:24" ht="15.75" thickBot="1" x14ac:dyDescent="0.3">
      <c r="B19" s="88">
        <v>46300</v>
      </c>
      <c r="D19" s="89">
        <v>95</v>
      </c>
      <c r="E19" s="87">
        <v>0.6875</v>
      </c>
      <c r="F19" s="86">
        <v>1098</v>
      </c>
      <c r="G19" s="90">
        <f t="shared" si="1"/>
        <v>630</v>
      </c>
      <c r="H19" s="86">
        <v>468</v>
      </c>
      <c r="I19" s="88">
        <v>46300</v>
      </c>
      <c r="J19" s="89">
        <v>32</v>
      </c>
      <c r="K19" s="87">
        <v>0.8125</v>
      </c>
      <c r="L19" s="86">
        <v>634</v>
      </c>
      <c r="M19" s="88">
        <f t="shared" si="0"/>
        <v>46300</v>
      </c>
      <c r="N19" s="89">
        <v>30</v>
      </c>
      <c r="O19" s="87">
        <v>0.375</v>
      </c>
      <c r="P19" s="89">
        <v>9</v>
      </c>
      <c r="Q19" s="87">
        <v>0.85416666666666663</v>
      </c>
      <c r="R19" s="181">
        <f t="shared" si="2"/>
        <v>543</v>
      </c>
      <c r="S19" s="86">
        <v>379</v>
      </c>
      <c r="T19" s="86">
        <v>164</v>
      </c>
      <c r="U19" s="88">
        <v>46300</v>
      </c>
      <c r="V19" s="89">
        <v>28</v>
      </c>
      <c r="W19" s="87">
        <v>0.72916666666666663</v>
      </c>
      <c r="X19" s="86">
        <v>565</v>
      </c>
    </row>
    <row r="20" spans="2:24" ht="15.75" thickBot="1" x14ac:dyDescent="0.3">
      <c r="B20" s="88">
        <v>46301</v>
      </c>
      <c r="D20" s="168">
        <v>95</v>
      </c>
      <c r="E20" s="169">
        <v>0.70833333333333337</v>
      </c>
      <c r="F20" s="170">
        <v>1250</v>
      </c>
      <c r="G20" s="90">
        <f t="shared" si="1"/>
        <v>790</v>
      </c>
      <c r="H20" s="170">
        <v>460</v>
      </c>
      <c r="I20" s="88">
        <v>46301</v>
      </c>
      <c r="J20" s="168">
        <v>32</v>
      </c>
      <c r="K20" s="169">
        <v>0.75</v>
      </c>
      <c r="L20" s="170">
        <v>643</v>
      </c>
      <c r="M20" s="88">
        <f t="shared" si="0"/>
        <v>46301</v>
      </c>
      <c r="N20" s="168">
        <v>30</v>
      </c>
      <c r="O20" s="169">
        <v>0.35416666666666669</v>
      </c>
      <c r="P20" s="168">
        <v>9</v>
      </c>
      <c r="Q20" s="169">
        <v>0.875</v>
      </c>
      <c r="R20" s="181">
        <f t="shared" si="2"/>
        <v>541</v>
      </c>
      <c r="S20" s="170">
        <v>366</v>
      </c>
      <c r="T20" s="170">
        <v>175</v>
      </c>
      <c r="U20" s="88">
        <v>46301</v>
      </c>
      <c r="V20" s="168">
        <v>28</v>
      </c>
      <c r="W20" s="169">
        <v>0.75</v>
      </c>
      <c r="X20" s="170">
        <v>569</v>
      </c>
    </row>
    <row r="21" spans="2:24" s="182" customFormat="1" ht="15.75" thickBot="1" x14ac:dyDescent="0.3">
      <c r="B21" s="88">
        <v>46302</v>
      </c>
      <c r="C21" s="13"/>
      <c r="D21" s="180">
        <v>95</v>
      </c>
      <c r="E21" s="179">
        <v>0.28125</v>
      </c>
      <c r="F21" s="178">
        <v>1219</v>
      </c>
      <c r="G21" s="90">
        <f t="shared" si="1"/>
        <v>798</v>
      </c>
      <c r="H21" s="178">
        <v>421</v>
      </c>
      <c r="I21" s="88">
        <v>46302</v>
      </c>
      <c r="J21" s="180">
        <v>33</v>
      </c>
      <c r="K21" s="179">
        <v>0.90625</v>
      </c>
      <c r="L21" s="178">
        <v>631</v>
      </c>
      <c r="M21" s="88">
        <f t="shared" si="0"/>
        <v>46302</v>
      </c>
      <c r="N21" s="180">
        <v>25</v>
      </c>
      <c r="O21" s="179">
        <v>0.88541666666666663</v>
      </c>
      <c r="P21" s="180">
        <v>9</v>
      </c>
      <c r="Q21" s="179">
        <v>0.3125</v>
      </c>
      <c r="R21" s="181">
        <f t="shared" si="2"/>
        <v>535</v>
      </c>
      <c r="S21" s="178">
        <v>365</v>
      </c>
      <c r="T21" s="178">
        <v>170</v>
      </c>
      <c r="U21" s="88">
        <v>46302</v>
      </c>
      <c r="V21" s="180">
        <v>29</v>
      </c>
      <c r="W21" s="179">
        <v>0.40625</v>
      </c>
      <c r="X21" s="178">
        <v>511</v>
      </c>
    </row>
    <row r="22" spans="2:24" ht="15.75" thickBot="1" x14ac:dyDescent="0.3">
      <c r="B22" s="88">
        <v>46303</v>
      </c>
      <c r="D22" s="168">
        <v>93.87</v>
      </c>
      <c r="E22" s="87">
        <v>0.66666666666666663</v>
      </c>
      <c r="F22" s="86">
        <v>1161.8699999999999</v>
      </c>
      <c r="G22" s="90">
        <f t="shared" si="1"/>
        <v>738.38999999999987</v>
      </c>
      <c r="H22" s="86">
        <v>423.48</v>
      </c>
      <c r="I22" s="88">
        <v>46303</v>
      </c>
      <c r="J22" s="89">
        <v>33.979999999999997</v>
      </c>
      <c r="K22" s="87">
        <v>0.89583333333333337</v>
      </c>
      <c r="L22" s="86">
        <v>637.38</v>
      </c>
      <c r="M22" s="88">
        <f t="shared" si="0"/>
        <v>46303</v>
      </c>
      <c r="N22" s="89">
        <v>25.87</v>
      </c>
      <c r="O22" s="87">
        <v>0.48958333333333331</v>
      </c>
      <c r="P22" s="89">
        <v>10.67</v>
      </c>
      <c r="Q22" s="87">
        <v>0.46875</v>
      </c>
      <c r="R22" s="181">
        <f t="shared" si="2"/>
        <v>581.81999999999994</v>
      </c>
      <c r="S22" s="86">
        <v>395.56</v>
      </c>
      <c r="T22" s="86">
        <v>186.26</v>
      </c>
      <c r="U22" s="88">
        <v>46303</v>
      </c>
      <c r="V22" s="89">
        <v>28.74</v>
      </c>
      <c r="W22" s="87">
        <v>0.41666666666666669</v>
      </c>
      <c r="X22" s="86">
        <v>518.84</v>
      </c>
    </row>
    <row r="23" spans="2:24" ht="15.75" thickBot="1" x14ac:dyDescent="0.3">
      <c r="B23" s="88">
        <v>46304</v>
      </c>
      <c r="D23" s="168">
        <v>99</v>
      </c>
      <c r="E23" s="87">
        <v>0.55208333333333337</v>
      </c>
      <c r="F23" s="86">
        <v>1218</v>
      </c>
      <c r="G23" s="90">
        <f t="shared" si="1"/>
        <v>756</v>
      </c>
      <c r="H23" s="86">
        <v>462</v>
      </c>
      <c r="I23" s="88">
        <v>46304</v>
      </c>
      <c r="J23" s="89">
        <v>36</v>
      </c>
      <c r="K23" s="87">
        <v>5.2083333333333336E-2</v>
      </c>
      <c r="L23" s="86">
        <v>627</v>
      </c>
      <c r="M23" s="88">
        <f t="shared" si="0"/>
        <v>46304</v>
      </c>
      <c r="N23" s="89">
        <v>26</v>
      </c>
      <c r="O23" s="87">
        <v>3.5069444444444446</v>
      </c>
      <c r="P23" s="89">
        <v>10</v>
      </c>
      <c r="Q23" s="87">
        <v>0.35416666666666669</v>
      </c>
      <c r="R23" s="181">
        <f t="shared" si="2"/>
        <v>544</v>
      </c>
      <c r="S23" s="86">
        <v>378</v>
      </c>
      <c r="T23" s="86">
        <v>166</v>
      </c>
      <c r="U23" s="88">
        <v>46304</v>
      </c>
      <c r="V23" s="89">
        <v>29</v>
      </c>
      <c r="W23" s="87">
        <v>0.48958333333333331</v>
      </c>
      <c r="X23" s="86">
        <v>475</v>
      </c>
    </row>
    <row r="24" spans="2:24" ht="15.75" thickBot="1" x14ac:dyDescent="0.3">
      <c r="B24" s="88">
        <v>46305</v>
      </c>
      <c r="D24" s="168">
        <v>73</v>
      </c>
      <c r="E24" s="87">
        <v>0.45833333333333331</v>
      </c>
      <c r="F24" s="86">
        <v>831</v>
      </c>
      <c r="G24" s="90">
        <f t="shared" si="1"/>
        <v>376</v>
      </c>
      <c r="H24" s="86">
        <v>455</v>
      </c>
      <c r="I24" s="88">
        <v>46305</v>
      </c>
      <c r="J24" s="89">
        <v>30</v>
      </c>
      <c r="K24" s="87">
        <v>2.0833333333333332E-2</v>
      </c>
      <c r="L24" s="86">
        <v>607</v>
      </c>
      <c r="M24" s="88">
        <f t="shared" si="0"/>
        <v>46305</v>
      </c>
      <c r="N24" s="89">
        <v>26</v>
      </c>
      <c r="O24" s="87">
        <v>0.65625</v>
      </c>
      <c r="P24" s="89">
        <v>9</v>
      </c>
      <c r="Q24" s="87">
        <v>0.89583333333333337</v>
      </c>
      <c r="R24" s="181">
        <f t="shared" si="2"/>
        <v>558</v>
      </c>
      <c r="S24" s="86">
        <v>385</v>
      </c>
      <c r="T24" s="86">
        <v>173</v>
      </c>
      <c r="U24" s="88">
        <v>46305</v>
      </c>
      <c r="V24" s="89">
        <v>28</v>
      </c>
      <c r="W24" s="87">
        <v>0.98958333333333337</v>
      </c>
      <c r="X24" s="86">
        <v>485</v>
      </c>
    </row>
    <row r="25" spans="2:24" ht="15.75" thickBot="1" x14ac:dyDescent="0.3">
      <c r="B25" s="88">
        <v>46306</v>
      </c>
      <c r="D25" s="168">
        <v>85</v>
      </c>
      <c r="E25" s="87">
        <v>0.54166666666666663</v>
      </c>
      <c r="F25" s="86">
        <v>780</v>
      </c>
      <c r="G25" s="90">
        <f t="shared" si="1"/>
        <v>355</v>
      </c>
      <c r="H25" s="86">
        <v>425</v>
      </c>
      <c r="I25" s="88">
        <v>46306</v>
      </c>
      <c r="J25" s="89">
        <v>30</v>
      </c>
      <c r="K25" s="87">
        <v>0.89583333333333337</v>
      </c>
      <c r="L25" s="86">
        <v>605</v>
      </c>
      <c r="M25" s="88">
        <f t="shared" si="0"/>
        <v>46306</v>
      </c>
      <c r="N25" s="89">
        <v>26</v>
      </c>
      <c r="O25" s="87">
        <v>0.45833333333333331</v>
      </c>
      <c r="P25" s="89">
        <v>9</v>
      </c>
      <c r="Q25" s="87">
        <v>0.83333333333333337</v>
      </c>
      <c r="R25" s="181">
        <f t="shared" si="2"/>
        <v>553</v>
      </c>
      <c r="S25" s="86">
        <v>381</v>
      </c>
      <c r="T25" s="86">
        <v>172</v>
      </c>
      <c r="U25" s="88">
        <v>46306</v>
      </c>
      <c r="V25" s="89">
        <v>28</v>
      </c>
      <c r="W25" s="87">
        <v>0.89583333333333337</v>
      </c>
      <c r="X25" s="86">
        <v>530</v>
      </c>
    </row>
    <row r="26" spans="2:24" ht="15.75" thickBot="1" x14ac:dyDescent="0.3">
      <c r="B26" s="88">
        <v>46307</v>
      </c>
      <c r="D26" s="168">
        <v>55</v>
      </c>
      <c r="E26" s="87">
        <v>0.22916666666666666</v>
      </c>
      <c r="F26" s="86">
        <v>721</v>
      </c>
      <c r="G26" s="90">
        <f t="shared" si="1"/>
        <v>289</v>
      </c>
      <c r="H26" s="86">
        <v>432</v>
      </c>
      <c r="I26" s="88">
        <v>46307</v>
      </c>
      <c r="J26" s="89">
        <v>32</v>
      </c>
      <c r="K26" s="87">
        <v>0.10416666666666667</v>
      </c>
      <c r="L26" s="86">
        <v>602</v>
      </c>
      <c r="M26" s="88">
        <f t="shared" si="0"/>
        <v>46307</v>
      </c>
      <c r="N26" s="89">
        <v>24</v>
      </c>
      <c r="O26" s="87">
        <v>0.80208333333333337</v>
      </c>
      <c r="P26" s="89">
        <v>10</v>
      </c>
      <c r="Q26" s="87">
        <v>0.83333333333333337</v>
      </c>
      <c r="R26" s="181">
        <f t="shared" si="2"/>
        <v>540</v>
      </c>
      <c r="S26" s="86">
        <v>366</v>
      </c>
      <c r="T26" s="86">
        <v>174</v>
      </c>
      <c r="U26" s="88">
        <v>46307</v>
      </c>
      <c r="V26" s="89">
        <v>27</v>
      </c>
      <c r="W26" s="87">
        <v>0.57291666666666663</v>
      </c>
      <c r="X26" s="86">
        <v>526</v>
      </c>
    </row>
    <row r="27" spans="2:24" ht="15.75" thickBot="1" x14ac:dyDescent="0.3">
      <c r="B27" s="88">
        <v>46308</v>
      </c>
      <c r="D27" s="168"/>
      <c r="E27" s="87"/>
      <c r="F27" s="86"/>
      <c r="G27" s="90">
        <f t="shared" si="1"/>
        <v>0</v>
      </c>
      <c r="H27" s="86"/>
      <c r="I27" s="88">
        <v>46308</v>
      </c>
      <c r="J27" s="89"/>
      <c r="K27" s="87"/>
      <c r="L27" s="86"/>
      <c r="M27" s="88">
        <f t="shared" si="0"/>
        <v>46308</v>
      </c>
      <c r="N27" s="89"/>
      <c r="O27" s="87"/>
      <c r="P27" s="89"/>
      <c r="Q27" s="87"/>
      <c r="R27" s="181">
        <f t="shared" si="2"/>
        <v>0</v>
      </c>
      <c r="S27" s="86"/>
      <c r="T27" s="86"/>
      <c r="U27" s="88">
        <v>46308</v>
      </c>
      <c r="V27" s="89"/>
      <c r="W27" s="87"/>
      <c r="X27" s="86"/>
    </row>
    <row r="28" spans="2:24" ht="15.75" thickBot="1" x14ac:dyDescent="0.3">
      <c r="B28" s="88">
        <v>46309</v>
      </c>
      <c r="D28" s="168"/>
      <c r="E28" s="87"/>
      <c r="F28" s="86"/>
      <c r="G28" s="90">
        <f t="shared" si="1"/>
        <v>0</v>
      </c>
      <c r="H28" s="86"/>
      <c r="I28" s="88">
        <v>46309</v>
      </c>
      <c r="J28" s="89"/>
      <c r="K28" s="87"/>
      <c r="L28" s="86"/>
      <c r="M28" s="88">
        <f t="shared" si="0"/>
        <v>46309</v>
      </c>
      <c r="N28" s="89"/>
      <c r="O28" s="87"/>
      <c r="P28" s="89"/>
      <c r="Q28" s="87"/>
      <c r="R28" s="181">
        <f t="shared" si="2"/>
        <v>0</v>
      </c>
      <c r="S28" s="86"/>
      <c r="T28" s="86"/>
      <c r="U28" s="88">
        <v>46309</v>
      </c>
      <c r="V28" s="89"/>
      <c r="W28" s="87"/>
      <c r="X28" s="86"/>
    </row>
    <row r="29" spans="2:24" ht="15.75" thickBot="1" x14ac:dyDescent="0.3">
      <c r="B29" s="88">
        <v>46310</v>
      </c>
      <c r="D29" s="168"/>
      <c r="E29" s="87"/>
      <c r="F29" s="86"/>
      <c r="G29" s="90">
        <f t="shared" si="1"/>
        <v>0</v>
      </c>
      <c r="H29" s="86"/>
      <c r="I29" s="88">
        <v>46310</v>
      </c>
      <c r="J29" s="89"/>
      <c r="K29" s="87"/>
      <c r="L29" s="86"/>
      <c r="M29" s="88">
        <f t="shared" si="0"/>
        <v>46310</v>
      </c>
      <c r="N29" s="89"/>
      <c r="O29" s="87"/>
      <c r="P29" s="89"/>
      <c r="Q29" s="87"/>
      <c r="R29" s="181">
        <f t="shared" si="2"/>
        <v>0</v>
      </c>
      <c r="S29" s="86"/>
      <c r="T29" s="86"/>
      <c r="U29" s="88">
        <v>46310</v>
      </c>
      <c r="V29" s="89"/>
      <c r="W29" s="87"/>
      <c r="X29" s="86"/>
    </row>
    <row r="30" spans="2:24" ht="15.75" thickBot="1" x14ac:dyDescent="0.3">
      <c r="B30" s="88">
        <v>46311</v>
      </c>
      <c r="D30" s="168"/>
      <c r="E30" s="87"/>
      <c r="F30" s="86"/>
      <c r="G30" s="90">
        <f t="shared" si="1"/>
        <v>0</v>
      </c>
      <c r="H30" s="86"/>
      <c r="I30" s="88">
        <v>46311</v>
      </c>
      <c r="J30" s="89"/>
      <c r="K30" s="87"/>
      <c r="L30" s="86"/>
      <c r="M30" s="88">
        <f t="shared" si="0"/>
        <v>46311</v>
      </c>
      <c r="N30" s="89"/>
      <c r="O30" s="87"/>
      <c r="P30" s="89"/>
      <c r="Q30" s="87"/>
      <c r="R30" s="181">
        <f t="shared" si="2"/>
        <v>0</v>
      </c>
      <c r="S30" s="86"/>
      <c r="T30" s="86"/>
      <c r="U30" s="88">
        <v>46311</v>
      </c>
      <c r="V30" s="89"/>
      <c r="W30" s="87"/>
      <c r="X30" s="86"/>
    </row>
    <row r="31" spans="2:24" ht="15.75" thickBot="1" x14ac:dyDescent="0.3">
      <c r="B31" s="88">
        <v>46312</v>
      </c>
      <c r="D31" s="168"/>
      <c r="E31" s="87"/>
      <c r="F31" s="86"/>
      <c r="G31" s="90">
        <f t="shared" si="1"/>
        <v>0</v>
      </c>
      <c r="H31" s="86"/>
      <c r="I31" s="88">
        <v>46312</v>
      </c>
      <c r="J31" s="89"/>
      <c r="K31" s="87"/>
      <c r="L31" s="86"/>
      <c r="M31" s="88">
        <f t="shared" si="0"/>
        <v>46312</v>
      </c>
      <c r="N31" s="89"/>
      <c r="O31" s="87"/>
      <c r="P31" s="89"/>
      <c r="Q31" s="87"/>
      <c r="R31" s="181">
        <f t="shared" si="2"/>
        <v>0</v>
      </c>
      <c r="S31" s="86"/>
      <c r="T31" s="86"/>
      <c r="U31" s="88">
        <v>46312</v>
      </c>
      <c r="V31" s="89"/>
      <c r="W31" s="87"/>
      <c r="X31" s="86"/>
    </row>
    <row r="32" spans="2:24" ht="15.75" thickBot="1" x14ac:dyDescent="0.3">
      <c r="B32" s="88">
        <v>46313</v>
      </c>
      <c r="D32" s="168"/>
      <c r="E32" s="87"/>
      <c r="F32" s="86"/>
      <c r="G32" s="90">
        <f t="shared" si="1"/>
        <v>0</v>
      </c>
      <c r="H32" s="86"/>
      <c r="I32" s="88">
        <v>46313</v>
      </c>
      <c r="J32" s="89"/>
      <c r="K32" s="87"/>
      <c r="L32" s="86"/>
      <c r="M32" s="88">
        <f t="shared" si="0"/>
        <v>46313</v>
      </c>
      <c r="N32" s="89"/>
      <c r="O32" s="87"/>
      <c r="P32" s="89"/>
      <c r="Q32" s="87"/>
      <c r="R32" s="181">
        <f t="shared" si="2"/>
        <v>0</v>
      </c>
      <c r="S32" s="86"/>
      <c r="T32" s="86"/>
      <c r="U32" s="88">
        <v>46313</v>
      </c>
      <c r="V32" s="89"/>
      <c r="W32" s="87"/>
      <c r="X32" s="86"/>
    </row>
    <row r="33" spans="2:24" ht="15.75" thickBot="1" x14ac:dyDescent="0.3">
      <c r="B33" s="88">
        <v>46314</v>
      </c>
      <c r="D33" s="168"/>
      <c r="E33" s="169"/>
      <c r="F33" s="170"/>
      <c r="G33" s="90">
        <f t="shared" si="1"/>
        <v>0</v>
      </c>
      <c r="H33" s="170"/>
      <c r="I33" s="88">
        <v>46314</v>
      </c>
      <c r="J33" s="168"/>
      <c r="K33" s="169"/>
      <c r="L33" s="170"/>
      <c r="M33" s="88">
        <f t="shared" si="0"/>
        <v>46314</v>
      </c>
      <c r="N33" s="168"/>
      <c r="O33" s="169"/>
      <c r="P33" s="168"/>
      <c r="Q33" s="169"/>
      <c r="R33" s="181">
        <f t="shared" si="2"/>
        <v>0</v>
      </c>
      <c r="S33" s="170"/>
      <c r="T33" s="170"/>
      <c r="U33" s="88">
        <v>46314</v>
      </c>
      <c r="V33" s="168"/>
      <c r="W33" s="169"/>
      <c r="X33" s="170"/>
    </row>
    <row r="34" spans="2:24" ht="15.75" thickBot="1" x14ac:dyDescent="0.3">
      <c r="B34" s="88">
        <v>46315</v>
      </c>
      <c r="D34" s="168"/>
      <c r="E34" s="87"/>
      <c r="F34" s="86"/>
      <c r="G34" s="90">
        <f t="shared" si="1"/>
        <v>0</v>
      </c>
      <c r="H34" s="86"/>
      <c r="I34" s="88">
        <v>46315</v>
      </c>
      <c r="J34" s="89"/>
      <c r="K34" s="87"/>
      <c r="L34" s="86"/>
      <c r="M34" s="88">
        <f t="shared" si="0"/>
        <v>46315</v>
      </c>
      <c r="N34" s="89"/>
      <c r="O34" s="87"/>
      <c r="P34" s="89"/>
      <c r="Q34" s="87"/>
      <c r="R34" s="181">
        <f t="shared" si="2"/>
        <v>0</v>
      </c>
      <c r="S34" s="86"/>
      <c r="T34" s="86"/>
      <c r="U34" s="88">
        <v>46315</v>
      </c>
      <c r="V34" s="89"/>
      <c r="W34" s="87"/>
      <c r="X34" s="86"/>
    </row>
    <row r="35" spans="2:24" ht="15.75" thickBot="1" x14ac:dyDescent="0.3">
      <c r="B35" s="88">
        <v>46316</v>
      </c>
      <c r="D35" s="168"/>
      <c r="E35" s="87"/>
      <c r="F35" s="86"/>
      <c r="G35" s="90">
        <f t="shared" si="1"/>
        <v>0</v>
      </c>
      <c r="H35" s="86"/>
      <c r="I35" s="88">
        <v>46316</v>
      </c>
      <c r="J35" s="89"/>
      <c r="K35" s="87"/>
      <c r="L35" s="86"/>
      <c r="M35" s="88">
        <f t="shared" si="0"/>
        <v>46316</v>
      </c>
      <c r="N35" s="89"/>
      <c r="O35" s="87"/>
      <c r="P35" s="89"/>
      <c r="Q35" s="87"/>
      <c r="R35" s="181">
        <f t="shared" si="2"/>
        <v>0</v>
      </c>
      <c r="S35" s="86"/>
      <c r="T35" s="86"/>
      <c r="U35" s="88">
        <v>46316</v>
      </c>
      <c r="V35" s="89"/>
      <c r="W35" s="87"/>
      <c r="X35" s="86"/>
    </row>
    <row r="36" spans="2:24" ht="15.75" thickBot="1" x14ac:dyDescent="0.3">
      <c r="B36" s="88">
        <v>46317</v>
      </c>
      <c r="D36" s="168"/>
      <c r="E36" s="87"/>
      <c r="F36" s="86"/>
      <c r="G36" s="90">
        <f t="shared" si="1"/>
        <v>0</v>
      </c>
      <c r="H36" s="86"/>
      <c r="I36" s="88">
        <v>46317</v>
      </c>
      <c r="J36" s="89"/>
      <c r="K36" s="87"/>
      <c r="L36" s="86"/>
      <c r="M36" s="88">
        <f t="shared" si="0"/>
        <v>46317</v>
      </c>
      <c r="N36" s="89"/>
      <c r="O36" s="87"/>
      <c r="P36" s="89"/>
      <c r="Q36" s="87"/>
      <c r="R36" s="181">
        <f t="shared" si="2"/>
        <v>0</v>
      </c>
      <c r="S36" s="86"/>
      <c r="T36" s="86"/>
      <c r="U36" s="88">
        <v>46317</v>
      </c>
      <c r="V36" s="89"/>
      <c r="W36" s="87"/>
      <c r="X36" s="86"/>
    </row>
    <row r="37" spans="2:24" ht="15.75" thickBot="1" x14ac:dyDescent="0.3">
      <c r="B37" s="88">
        <v>46318</v>
      </c>
      <c r="D37" s="168"/>
      <c r="E37" s="87"/>
      <c r="F37" s="86"/>
      <c r="G37" s="90">
        <f t="shared" si="1"/>
        <v>0</v>
      </c>
      <c r="H37" s="86"/>
      <c r="I37" s="88">
        <v>46318</v>
      </c>
      <c r="J37" s="89"/>
      <c r="K37" s="87"/>
      <c r="L37" s="86"/>
      <c r="M37" s="88">
        <f t="shared" si="0"/>
        <v>46318</v>
      </c>
      <c r="N37" s="89"/>
      <c r="O37" s="87"/>
      <c r="P37" s="89"/>
      <c r="Q37" s="87"/>
      <c r="R37" s="181">
        <f t="shared" si="2"/>
        <v>0</v>
      </c>
      <c r="S37" s="86"/>
      <c r="T37" s="86"/>
      <c r="U37" s="88">
        <v>46318</v>
      </c>
      <c r="V37" s="89"/>
      <c r="W37" s="87"/>
      <c r="X37" s="86"/>
    </row>
    <row r="38" spans="2:24" ht="15.75" thickBot="1" x14ac:dyDescent="0.3">
      <c r="B38" s="88">
        <v>46319</v>
      </c>
      <c r="D38" s="168"/>
      <c r="E38" s="87"/>
      <c r="F38" s="86"/>
      <c r="G38" s="90">
        <f t="shared" si="1"/>
        <v>0</v>
      </c>
      <c r="H38" s="86"/>
      <c r="I38" s="88">
        <v>46319</v>
      </c>
      <c r="J38" s="89"/>
      <c r="K38" s="87"/>
      <c r="L38" s="86"/>
      <c r="M38" s="88">
        <f t="shared" si="0"/>
        <v>46319</v>
      </c>
      <c r="N38" s="89"/>
      <c r="O38" s="87"/>
      <c r="P38" s="89"/>
      <c r="Q38" s="87"/>
      <c r="R38" s="181">
        <f t="shared" si="2"/>
        <v>0</v>
      </c>
      <c r="S38" s="86"/>
      <c r="T38" s="86"/>
      <c r="U38" s="88">
        <v>46319</v>
      </c>
      <c r="V38" s="89"/>
      <c r="W38" s="87"/>
      <c r="X38" s="86"/>
    </row>
    <row r="39" spans="2:24" ht="15.75" thickBot="1" x14ac:dyDescent="0.3">
      <c r="B39" s="88">
        <v>46320</v>
      </c>
      <c r="D39" s="168"/>
      <c r="E39" s="87"/>
      <c r="F39" s="86"/>
      <c r="G39" s="90">
        <f t="shared" si="1"/>
        <v>0</v>
      </c>
      <c r="H39" s="86"/>
      <c r="I39" s="88">
        <v>46320</v>
      </c>
      <c r="J39" s="89"/>
      <c r="K39" s="87"/>
      <c r="L39" s="86"/>
      <c r="M39" s="88">
        <f t="shared" si="0"/>
        <v>46320</v>
      </c>
      <c r="N39" s="89"/>
      <c r="O39" s="87"/>
      <c r="P39" s="89"/>
      <c r="Q39" s="87"/>
      <c r="R39" s="181">
        <f t="shared" si="2"/>
        <v>0</v>
      </c>
      <c r="S39" s="86"/>
      <c r="T39" s="86"/>
      <c r="U39" s="88">
        <v>46320</v>
      </c>
      <c r="V39" s="89"/>
      <c r="W39" s="87"/>
      <c r="X39" s="86"/>
    </row>
    <row r="40" spans="2:24" ht="15.75" thickBot="1" x14ac:dyDescent="0.3">
      <c r="B40" s="88">
        <v>46321</v>
      </c>
      <c r="D40" s="168"/>
      <c r="E40" s="169"/>
      <c r="F40" s="170"/>
      <c r="G40" s="90">
        <f t="shared" si="1"/>
        <v>0</v>
      </c>
      <c r="H40" s="170"/>
      <c r="I40" s="88">
        <v>46321</v>
      </c>
      <c r="J40" s="168"/>
      <c r="K40" s="169"/>
      <c r="L40" s="170"/>
      <c r="M40" s="88">
        <f t="shared" si="0"/>
        <v>46321</v>
      </c>
      <c r="N40" s="168"/>
      <c r="O40" s="169"/>
      <c r="P40" s="168"/>
      <c r="Q40" s="169"/>
      <c r="R40" s="181">
        <f t="shared" si="2"/>
        <v>0</v>
      </c>
      <c r="S40" s="170"/>
      <c r="T40" s="170"/>
      <c r="U40" s="88">
        <v>46321</v>
      </c>
      <c r="V40" s="168"/>
      <c r="W40" s="169"/>
      <c r="X40" s="170"/>
    </row>
    <row r="41" spans="2:24" ht="15.75" thickBot="1" x14ac:dyDescent="0.3">
      <c r="B41" s="88">
        <v>46322</v>
      </c>
      <c r="D41" s="168"/>
      <c r="E41" s="87"/>
      <c r="F41" s="86"/>
      <c r="G41" s="90">
        <f t="shared" si="1"/>
        <v>0</v>
      </c>
      <c r="H41" s="86"/>
      <c r="I41" s="88">
        <v>46322</v>
      </c>
      <c r="J41" s="89"/>
      <c r="K41" s="87"/>
      <c r="L41" s="86"/>
      <c r="M41" s="88">
        <f t="shared" si="0"/>
        <v>46322</v>
      </c>
      <c r="N41" s="89"/>
      <c r="O41" s="87"/>
      <c r="P41" s="89"/>
      <c r="Q41" s="87"/>
      <c r="R41" s="181">
        <f t="shared" si="2"/>
        <v>0</v>
      </c>
      <c r="S41" s="86"/>
      <c r="T41" s="86"/>
      <c r="U41" s="88">
        <v>46322</v>
      </c>
      <c r="V41" s="89"/>
      <c r="W41" s="87"/>
      <c r="X41" s="86"/>
    </row>
    <row r="42" spans="2:24" ht="15.75" thickBot="1" x14ac:dyDescent="0.3">
      <c r="B42" s="88">
        <v>46323</v>
      </c>
      <c r="D42" s="168"/>
      <c r="E42" s="87"/>
      <c r="F42" s="86"/>
      <c r="G42" s="90">
        <f t="shared" si="1"/>
        <v>0</v>
      </c>
      <c r="H42" s="86"/>
      <c r="I42" s="88">
        <v>46323</v>
      </c>
      <c r="J42" s="89"/>
      <c r="K42" s="87"/>
      <c r="L42" s="86"/>
      <c r="M42" s="88">
        <f t="shared" si="0"/>
        <v>46323</v>
      </c>
      <c r="N42" s="89"/>
      <c r="O42" s="87"/>
      <c r="P42" s="89"/>
      <c r="Q42" s="87"/>
      <c r="R42" s="181">
        <f t="shared" si="2"/>
        <v>0</v>
      </c>
      <c r="S42" s="86"/>
      <c r="T42" s="86"/>
      <c r="U42" s="88">
        <v>46323</v>
      </c>
      <c r="V42" s="89"/>
      <c r="W42" s="87"/>
      <c r="X42" s="86"/>
    </row>
    <row r="43" spans="2:24" ht="15.75" thickBot="1" x14ac:dyDescent="0.3">
      <c r="B43" s="88">
        <v>46324</v>
      </c>
      <c r="D43" s="168"/>
      <c r="E43" s="87"/>
      <c r="F43" s="86"/>
      <c r="G43" s="90">
        <f t="shared" si="1"/>
        <v>0</v>
      </c>
      <c r="H43" s="86"/>
      <c r="I43" s="88">
        <v>46324</v>
      </c>
      <c r="J43" s="89"/>
      <c r="K43" s="87"/>
      <c r="L43" s="86"/>
      <c r="M43" s="88">
        <f t="shared" si="0"/>
        <v>46324</v>
      </c>
      <c r="N43" s="89"/>
      <c r="O43" s="87"/>
      <c r="P43" s="89"/>
      <c r="Q43" s="87"/>
      <c r="R43" s="181">
        <f t="shared" si="2"/>
        <v>0</v>
      </c>
      <c r="S43" s="86"/>
      <c r="T43" s="86"/>
      <c r="U43" s="88">
        <v>46324</v>
      </c>
      <c r="V43" s="89"/>
      <c r="W43" s="87"/>
      <c r="X43" s="86"/>
    </row>
    <row r="44" spans="2:24" ht="15.75" thickBot="1" x14ac:dyDescent="0.3">
      <c r="B44" s="88">
        <v>46325</v>
      </c>
      <c r="D44" s="168"/>
      <c r="E44" s="87"/>
      <c r="F44" s="86"/>
      <c r="G44" s="90">
        <f t="shared" si="1"/>
        <v>0</v>
      </c>
      <c r="H44" s="86"/>
      <c r="I44" s="88">
        <v>46325</v>
      </c>
      <c r="J44" s="89"/>
      <c r="K44" s="87"/>
      <c r="L44" s="86"/>
      <c r="M44" s="88">
        <f t="shared" si="0"/>
        <v>46325</v>
      </c>
      <c r="N44" s="89"/>
      <c r="O44" s="87"/>
      <c r="P44" s="89"/>
      <c r="Q44" s="87"/>
      <c r="R44" s="181">
        <f t="shared" si="2"/>
        <v>0</v>
      </c>
      <c r="S44" s="86"/>
      <c r="T44" s="86"/>
      <c r="U44" s="88">
        <v>46325</v>
      </c>
      <c r="V44" s="89"/>
      <c r="W44" s="87"/>
      <c r="X44" s="86"/>
    </row>
    <row r="45" spans="2:24" x14ac:dyDescent="0.25">
      <c r="B45" s="88">
        <v>46326</v>
      </c>
      <c r="D45" s="168"/>
      <c r="E45" s="169"/>
      <c r="F45" s="170"/>
      <c r="G45" s="90">
        <f t="shared" si="1"/>
        <v>0</v>
      </c>
      <c r="H45" s="170"/>
      <c r="I45" s="88">
        <v>46326</v>
      </c>
      <c r="J45" s="168"/>
      <c r="K45" s="169"/>
      <c r="L45" s="170"/>
      <c r="M45" s="88">
        <f t="shared" si="0"/>
        <v>46326</v>
      </c>
      <c r="N45" s="168"/>
      <c r="O45" s="169"/>
      <c r="P45" s="168"/>
      <c r="Q45" s="169"/>
      <c r="R45" s="181">
        <f t="shared" si="2"/>
        <v>0</v>
      </c>
      <c r="S45" s="170"/>
      <c r="T45" s="170"/>
      <c r="U45" s="88">
        <v>46326</v>
      </c>
      <c r="V45" s="168"/>
      <c r="W45" s="169"/>
      <c r="X45" s="170"/>
    </row>
    <row r="47" spans="2:24" x14ac:dyDescent="0.25">
      <c r="E47" s="173" t="s">
        <v>61</v>
      </c>
      <c r="F47" s="173" t="s">
        <v>62</v>
      </c>
      <c r="G47" s="173" t="s">
        <v>63</v>
      </c>
      <c r="H47" s="173" t="s">
        <v>64</v>
      </c>
      <c r="I47" s="173" t="s">
        <v>65</v>
      </c>
      <c r="J47" s="173" t="s">
        <v>66</v>
      </c>
    </row>
    <row r="48" spans="2:24" x14ac:dyDescent="0.25">
      <c r="D48" s="176">
        <v>45838</v>
      </c>
      <c r="E48" s="174">
        <f t="shared" ref="E48:E78" si="3">F14/J48</f>
        <v>0.40537780803267531</v>
      </c>
      <c r="F48" s="174">
        <f t="shared" ref="F48:F78" si="4">L14/J48</f>
        <v>0.2168141592920354</v>
      </c>
      <c r="G48" s="174">
        <f t="shared" ref="G48:G78" si="5">S14/J48</f>
        <v>0.13002042205582029</v>
      </c>
      <c r="H48" s="174">
        <f t="shared" ref="H48:H78" si="6">T14/J48</f>
        <v>5.5479918311776719E-2</v>
      </c>
      <c r="I48" s="174">
        <f t="shared" ref="I48:I78" si="7">X14/J48</f>
        <v>0.19230769230769232</v>
      </c>
      <c r="J48" s="175">
        <f>F14+L14+S14+T14+X14</f>
        <v>2938</v>
      </c>
    </row>
    <row r="49" spans="4:10" x14ac:dyDescent="0.25">
      <c r="D49" s="176">
        <v>45839</v>
      </c>
      <c r="E49" s="174">
        <f t="shared" si="3"/>
        <v>0.40252454417952316</v>
      </c>
      <c r="F49" s="174">
        <f t="shared" si="4"/>
        <v>0.22194950911640954</v>
      </c>
      <c r="G49" s="174">
        <f t="shared" si="5"/>
        <v>0.13218793828892006</v>
      </c>
      <c r="H49" s="174">
        <f t="shared" si="6"/>
        <v>6.1711079943899017E-2</v>
      </c>
      <c r="I49" s="174">
        <f t="shared" si="7"/>
        <v>0.18162692847124826</v>
      </c>
      <c r="J49" s="175">
        <f t="shared" ref="J49:J78" si="8">F15+L15+S15+T15+X15</f>
        <v>2852</v>
      </c>
    </row>
    <row r="50" spans="4:10" x14ac:dyDescent="0.25">
      <c r="D50" s="176">
        <v>45840</v>
      </c>
      <c r="E50" s="174">
        <f t="shared" si="3"/>
        <v>0.39397485381801423</v>
      </c>
      <c r="F50" s="174">
        <f t="shared" si="4"/>
        <v>0.22141170031972809</v>
      </c>
      <c r="G50" s="174">
        <f t="shared" si="5"/>
        <v>0.13776752023504335</v>
      </c>
      <c r="H50" s="174">
        <f t="shared" si="6"/>
        <v>6.1036379871532681E-2</v>
      </c>
      <c r="I50" s="174">
        <f t="shared" si="7"/>
        <v>0.18580954575568162</v>
      </c>
      <c r="J50" s="175">
        <f t="shared" si="8"/>
        <v>2777.36</v>
      </c>
    </row>
    <row r="51" spans="4:10" x14ac:dyDescent="0.25">
      <c r="D51" s="176">
        <v>45841</v>
      </c>
      <c r="E51" s="174">
        <f t="shared" si="3"/>
        <v>0.32210475258757471</v>
      </c>
      <c r="F51" s="174">
        <f t="shared" si="4"/>
        <v>0.24851815618346088</v>
      </c>
      <c r="G51" s="174">
        <f t="shared" si="5"/>
        <v>0.15503251424296483</v>
      </c>
      <c r="H51" s="174">
        <f t="shared" si="6"/>
        <v>6.9167783358955598E-2</v>
      </c>
      <c r="I51" s="174">
        <f t="shared" si="7"/>
        <v>0.20517679362704394</v>
      </c>
      <c r="J51" s="175">
        <f t="shared" si="8"/>
        <v>2432.7800000000002</v>
      </c>
    </row>
    <row r="52" spans="4:10" x14ac:dyDescent="0.25">
      <c r="D52" s="176">
        <v>45842</v>
      </c>
      <c r="E52" s="174">
        <f t="shared" si="3"/>
        <v>0.3140321217244294</v>
      </c>
      <c r="F52" s="174">
        <f t="shared" si="4"/>
        <v>0.25824175824175827</v>
      </c>
      <c r="G52" s="174">
        <f t="shared" si="5"/>
        <v>0.15511411665257818</v>
      </c>
      <c r="H52" s="174">
        <f t="shared" si="6"/>
        <v>6.297548605240913E-2</v>
      </c>
      <c r="I52" s="174">
        <f t="shared" si="7"/>
        <v>0.20963651732882502</v>
      </c>
      <c r="J52" s="175">
        <f t="shared" si="8"/>
        <v>2366</v>
      </c>
    </row>
    <row r="53" spans="4:10" x14ac:dyDescent="0.25">
      <c r="D53" s="176">
        <v>45843</v>
      </c>
      <c r="E53" s="174">
        <f t="shared" si="3"/>
        <v>0.38661971830985914</v>
      </c>
      <c r="F53" s="174">
        <f t="shared" si="4"/>
        <v>0.22323943661971832</v>
      </c>
      <c r="G53" s="174">
        <f t="shared" si="5"/>
        <v>0.1334507042253521</v>
      </c>
      <c r="H53" s="174">
        <f t="shared" si="6"/>
        <v>5.7746478873239436E-2</v>
      </c>
      <c r="I53" s="174">
        <f t="shared" si="7"/>
        <v>0.198943661971831</v>
      </c>
      <c r="J53" s="175">
        <f t="shared" si="8"/>
        <v>2840</v>
      </c>
    </row>
    <row r="54" spans="4:10" x14ac:dyDescent="0.25">
      <c r="D54" s="176">
        <v>45844</v>
      </c>
      <c r="E54" s="174">
        <f t="shared" si="3"/>
        <v>0.41625041625041626</v>
      </c>
      <c r="F54" s="174">
        <f t="shared" si="4"/>
        <v>0.21411921411921411</v>
      </c>
      <c r="G54" s="174">
        <f t="shared" si="5"/>
        <v>0.12187812187812187</v>
      </c>
      <c r="H54" s="174">
        <f t="shared" si="6"/>
        <v>5.8275058275058272E-2</v>
      </c>
      <c r="I54" s="174">
        <f t="shared" si="7"/>
        <v>0.18947718947718947</v>
      </c>
      <c r="J54" s="175">
        <f t="shared" si="8"/>
        <v>3003</v>
      </c>
    </row>
    <row r="55" spans="4:10" x14ac:dyDescent="0.25">
      <c r="D55" s="176">
        <v>45845</v>
      </c>
      <c r="E55" s="174">
        <f t="shared" si="3"/>
        <v>0.42092541436464087</v>
      </c>
      <c r="F55" s="174">
        <f t="shared" ref="F55:F65" si="9">L21/J55</f>
        <v>0.21788674033149172</v>
      </c>
      <c r="G55" s="174">
        <f t="shared" ref="G55:G65" si="10">S21/J55</f>
        <v>0.12603591160220995</v>
      </c>
      <c r="H55" s="174">
        <f t="shared" ref="H55:H65" si="11">T21/J55</f>
        <v>5.8701657458563539E-2</v>
      </c>
      <c r="I55" s="174">
        <f t="shared" ref="I55:I65" si="12">X21/J55</f>
        <v>0.17645027624309392</v>
      </c>
      <c r="J55" s="175">
        <f t="shared" ref="J55:J65" si="13">F21+L21+S21+T21+X21</f>
        <v>2896</v>
      </c>
    </row>
    <row r="56" spans="4:10" x14ac:dyDescent="0.25">
      <c r="D56" s="176">
        <v>45846</v>
      </c>
      <c r="E56" s="174">
        <f t="shared" si="3"/>
        <v>0.4006572617770896</v>
      </c>
      <c r="F56" s="174">
        <f t="shared" si="9"/>
        <v>0.21979302805949152</v>
      </c>
      <c r="G56" s="174">
        <f t="shared" si="10"/>
        <v>0.13640423323482453</v>
      </c>
      <c r="H56" s="174">
        <f t="shared" si="11"/>
        <v>6.4229579538675335E-2</v>
      </c>
      <c r="I56" s="174">
        <f t="shared" si="12"/>
        <v>0.178915897389919</v>
      </c>
      <c r="J56" s="175">
        <f t="shared" si="13"/>
        <v>2899.91</v>
      </c>
    </row>
    <row r="57" spans="4:10" x14ac:dyDescent="0.25">
      <c r="D57" s="176">
        <v>45847</v>
      </c>
      <c r="E57" s="174">
        <f t="shared" si="3"/>
        <v>0.42527932960893855</v>
      </c>
      <c r="F57" s="174">
        <f t="shared" si="9"/>
        <v>0.21892458100558659</v>
      </c>
      <c r="G57" s="174">
        <f t="shared" si="10"/>
        <v>0.13198324022346369</v>
      </c>
      <c r="H57" s="174">
        <f t="shared" si="11"/>
        <v>5.7960893854748605E-2</v>
      </c>
      <c r="I57" s="174">
        <f t="shared" si="12"/>
        <v>0.16585195530726257</v>
      </c>
      <c r="J57" s="175">
        <f t="shared" si="13"/>
        <v>2864</v>
      </c>
    </row>
    <row r="58" spans="4:10" x14ac:dyDescent="0.25">
      <c r="D58" s="176">
        <v>45848</v>
      </c>
      <c r="E58" s="174">
        <f t="shared" si="3"/>
        <v>0.33494558645707379</v>
      </c>
      <c r="F58" s="174">
        <f t="shared" si="9"/>
        <v>0.24465941152760984</v>
      </c>
      <c r="G58" s="174">
        <f t="shared" si="10"/>
        <v>0.15517936316001613</v>
      </c>
      <c r="H58" s="174">
        <f t="shared" si="11"/>
        <v>6.9729947601773479E-2</v>
      </c>
      <c r="I58" s="174">
        <f t="shared" si="12"/>
        <v>0.1954856912535268</v>
      </c>
      <c r="J58" s="175">
        <f t="shared" si="13"/>
        <v>2481</v>
      </c>
    </row>
    <row r="59" spans="4:10" x14ac:dyDescent="0.25">
      <c r="D59" s="176">
        <v>45849</v>
      </c>
      <c r="E59" s="174">
        <f t="shared" si="3"/>
        <v>0.31604538087520262</v>
      </c>
      <c r="F59" s="174">
        <f t="shared" si="9"/>
        <v>0.24513776337115073</v>
      </c>
      <c r="G59" s="174">
        <f t="shared" si="10"/>
        <v>0.15437601296596434</v>
      </c>
      <c r="H59" s="174">
        <f t="shared" si="11"/>
        <v>6.9692058346839544E-2</v>
      </c>
      <c r="I59" s="174">
        <f t="shared" si="12"/>
        <v>0.21474878444084278</v>
      </c>
      <c r="J59" s="175">
        <f t="shared" si="13"/>
        <v>2468</v>
      </c>
    </row>
    <row r="60" spans="4:10" x14ac:dyDescent="0.25">
      <c r="D60" s="176">
        <v>45850</v>
      </c>
      <c r="E60" s="174">
        <f t="shared" si="3"/>
        <v>0.3017999162829636</v>
      </c>
      <c r="F60" s="174">
        <f t="shared" si="9"/>
        <v>0.25198827961490161</v>
      </c>
      <c r="G60" s="174">
        <f t="shared" si="10"/>
        <v>0.15320217664294683</v>
      </c>
      <c r="H60" s="174">
        <f t="shared" si="11"/>
        <v>7.2833821682712435E-2</v>
      </c>
      <c r="I60" s="174">
        <f t="shared" si="12"/>
        <v>0.22017580577647552</v>
      </c>
      <c r="J60" s="175">
        <f t="shared" si="13"/>
        <v>2389</v>
      </c>
    </row>
    <row r="61" spans="4:10" x14ac:dyDescent="0.25">
      <c r="D61" s="176">
        <v>45851</v>
      </c>
      <c r="E61" s="174" t="e">
        <f t="shared" si="3"/>
        <v>#DIV/0!</v>
      </c>
      <c r="F61" s="174" t="e">
        <f t="shared" si="9"/>
        <v>#DIV/0!</v>
      </c>
      <c r="G61" s="174" t="e">
        <f t="shared" si="10"/>
        <v>#DIV/0!</v>
      </c>
      <c r="H61" s="174" t="e">
        <f t="shared" si="11"/>
        <v>#DIV/0!</v>
      </c>
      <c r="I61" s="174" t="e">
        <f t="shared" si="12"/>
        <v>#DIV/0!</v>
      </c>
      <c r="J61" s="175">
        <f t="shared" si="13"/>
        <v>0</v>
      </c>
    </row>
    <row r="62" spans="4:10" x14ac:dyDescent="0.25">
      <c r="D62" s="176">
        <v>45852</v>
      </c>
      <c r="E62" s="174" t="e">
        <f t="shared" si="3"/>
        <v>#DIV/0!</v>
      </c>
      <c r="F62" s="174" t="e">
        <f t="shared" si="9"/>
        <v>#DIV/0!</v>
      </c>
      <c r="G62" s="174" t="e">
        <f t="shared" si="10"/>
        <v>#DIV/0!</v>
      </c>
      <c r="H62" s="174" t="e">
        <f t="shared" si="11"/>
        <v>#DIV/0!</v>
      </c>
      <c r="I62" s="174" t="e">
        <f t="shared" si="12"/>
        <v>#DIV/0!</v>
      </c>
      <c r="J62" s="175">
        <f t="shared" si="13"/>
        <v>0</v>
      </c>
    </row>
    <row r="63" spans="4:10" x14ac:dyDescent="0.25">
      <c r="D63" s="176">
        <v>45853</v>
      </c>
      <c r="E63" s="174" t="e">
        <f t="shared" si="3"/>
        <v>#DIV/0!</v>
      </c>
      <c r="F63" s="174" t="e">
        <f t="shared" si="9"/>
        <v>#DIV/0!</v>
      </c>
      <c r="G63" s="174" t="e">
        <f t="shared" si="10"/>
        <v>#DIV/0!</v>
      </c>
      <c r="H63" s="174" t="e">
        <f t="shared" si="11"/>
        <v>#DIV/0!</v>
      </c>
      <c r="I63" s="174" t="e">
        <f t="shared" si="12"/>
        <v>#DIV/0!</v>
      </c>
      <c r="J63" s="175">
        <f t="shared" si="13"/>
        <v>0</v>
      </c>
    </row>
    <row r="64" spans="4:10" x14ac:dyDescent="0.25">
      <c r="D64" s="176">
        <v>45854</v>
      </c>
      <c r="E64" s="174" t="e">
        <f t="shared" si="3"/>
        <v>#DIV/0!</v>
      </c>
      <c r="F64" s="174" t="e">
        <f t="shared" si="9"/>
        <v>#DIV/0!</v>
      </c>
      <c r="G64" s="174" t="e">
        <f t="shared" si="10"/>
        <v>#DIV/0!</v>
      </c>
      <c r="H64" s="174" t="e">
        <f t="shared" si="11"/>
        <v>#DIV/0!</v>
      </c>
      <c r="I64" s="174" t="e">
        <f t="shared" si="12"/>
        <v>#DIV/0!</v>
      </c>
      <c r="J64" s="175">
        <f t="shared" si="13"/>
        <v>0</v>
      </c>
    </row>
    <row r="65" spans="4:10" x14ac:dyDescent="0.25">
      <c r="D65" s="176">
        <v>45855</v>
      </c>
      <c r="E65" s="174" t="e">
        <f t="shared" si="3"/>
        <v>#DIV/0!</v>
      </c>
      <c r="F65" s="174" t="e">
        <f t="shared" si="9"/>
        <v>#DIV/0!</v>
      </c>
      <c r="G65" s="174" t="e">
        <f t="shared" si="10"/>
        <v>#DIV/0!</v>
      </c>
      <c r="H65" s="174" t="e">
        <f t="shared" si="11"/>
        <v>#DIV/0!</v>
      </c>
      <c r="I65" s="174" t="e">
        <f t="shared" si="12"/>
        <v>#DIV/0!</v>
      </c>
      <c r="J65" s="175">
        <f t="shared" si="13"/>
        <v>0</v>
      </c>
    </row>
    <row r="66" spans="4:10" x14ac:dyDescent="0.25">
      <c r="D66" s="176">
        <v>45856</v>
      </c>
      <c r="E66" s="174" t="e">
        <f t="shared" si="3"/>
        <v>#DIV/0!</v>
      </c>
      <c r="F66" s="174" t="e">
        <f t="shared" si="4"/>
        <v>#DIV/0!</v>
      </c>
      <c r="G66" s="174" t="e">
        <f t="shared" si="5"/>
        <v>#DIV/0!</v>
      </c>
      <c r="H66" s="174" t="e">
        <f t="shared" si="6"/>
        <v>#DIV/0!</v>
      </c>
      <c r="I66" s="174" t="e">
        <f t="shared" si="7"/>
        <v>#DIV/0!</v>
      </c>
      <c r="J66" s="175">
        <f t="shared" si="8"/>
        <v>0</v>
      </c>
    </row>
    <row r="67" spans="4:10" x14ac:dyDescent="0.25">
      <c r="D67" s="176">
        <v>45857</v>
      </c>
      <c r="E67" s="174" t="e">
        <f t="shared" si="3"/>
        <v>#DIV/0!</v>
      </c>
      <c r="F67" s="174" t="e">
        <f t="shared" si="4"/>
        <v>#DIV/0!</v>
      </c>
      <c r="G67" s="174" t="e">
        <f t="shared" si="5"/>
        <v>#DIV/0!</v>
      </c>
      <c r="H67" s="174" t="e">
        <f t="shared" si="6"/>
        <v>#DIV/0!</v>
      </c>
      <c r="I67" s="174" t="e">
        <f t="shared" si="7"/>
        <v>#DIV/0!</v>
      </c>
      <c r="J67" s="175">
        <f t="shared" si="8"/>
        <v>0</v>
      </c>
    </row>
    <row r="68" spans="4:10" x14ac:dyDescent="0.25">
      <c r="D68" s="176">
        <v>45858</v>
      </c>
      <c r="E68" s="174" t="e">
        <f t="shared" si="3"/>
        <v>#DIV/0!</v>
      </c>
      <c r="F68" s="174" t="e">
        <f t="shared" si="4"/>
        <v>#DIV/0!</v>
      </c>
      <c r="G68" s="174" t="e">
        <f t="shared" si="5"/>
        <v>#DIV/0!</v>
      </c>
      <c r="H68" s="174" t="e">
        <f t="shared" si="6"/>
        <v>#DIV/0!</v>
      </c>
      <c r="I68" s="174" t="e">
        <f t="shared" si="7"/>
        <v>#DIV/0!</v>
      </c>
      <c r="J68" s="175">
        <f t="shared" si="8"/>
        <v>0</v>
      </c>
    </row>
    <row r="69" spans="4:10" x14ac:dyDescent="0.25">
      <c r="D69" s="176">
        <v>45859</v>
      </c>
      <c r="E69" s="174" t="e">
        <f t="shared" si="3"/>
        <v>#DIV/0!</v>
      </c>
      <c r="F69" s="174" t="e">
        <f t="shared" si="4"/>
        <v>#DIV/0!</v>
      </c>
      <c r="G69" s="174" t="e">
        <f t="shared" si="5"/>
        <v>#DIV/0!</v>
      </c>
      <c r="H69" s="174" t="e">
        <f t="shared" si="6"/>
        <v>#DIV/0!</v>
      </c>
      <c r="I69" s="174" t="e">
        <f t="shared" si="7"/>
        <v>#DIV/0!</v>
      </c>
      <c r="J69" s="175">
        <f t="shared" si="8"/>
        <v>0</v>
      </c>
    </row>
    <row r="70" spans="4:10" x14ac:dyDescent="0.25">
      <c r="D70" s="176">
        <v>45860</v>
      </c>
      <c r="E70" s="174" t="e">
        <f t="shared" si="3"/>
        <v>#DIV/0!</v>
      </c>
      <c r="F70" s="174" t="e">
        <f t="shared" si="4"/>
        <v>#DIV/0!</v>
      </c>
      <c r="G70" s="174" t="e">
        <f t="shared" si="5"/>
        <v>#DIV/0!</v>
      </c>
      <c r="H70" s="174" t="e">
        <f t="shared" si="6"/>
        <v>#DIV/0!</v>
      </c>
      <c r="I70" s="174" t="e">
        <f t="shared" si="7"/>
        <v>#DIV/0!</v>
      </c>
      <c r="J70" s="175">
        <f t="shared" si="8"/>
        <v>0</v>
      </c>
    </row>
    <row r="71" spans="4:10" x14ac:dyDescent="0.25">
      <c r="D71" s="176">
        <v>45861</v>
      </c>
      <c r="E71" s="174" t="e">
        <f t="shared" si="3"/>
        <v>#DIV/0!</v>
      </c>
      <c r="F71" s="174" t="e">
        <f t="shared" si="4"/>
        <v>#DIV/0!</v>
      </c>
      <c r="G71" s="174" t="e">
        <f t="shared" si="5"/>
        <v>#DIV/0!</v>
      </c>
      <c r="H71" s="174" t="e">
        <f t="shared" si="6"/>
        <v>#DIV/0!</v>
      </c>
      <c r="I71" s="174" t="e">
        <f t="shared" si="7"/>
        <v>#DIV/0!</v>
      </c>
      <c r="J71" s="175">
        <f t="shared" si="8"/>
        <v>0</v>
      </c>
    </row>
    <row r="72" spans="4:10" x14ac:dyDescent="0.25">
      <c r="D72" s="176">
        <v>45862</v>
      </c>
      <c r="E72" s="174" t="e">
        <f t="shared" si="3"/>
        <v>#DIV/0!</v>
      </c>
      <c r="F72" s="174" t="e">
        <f t="shared" si="4"/>
        <v>#DIV/0!</v>
      </c>
      <c r="G72" s="174" t="e">
        <f t="shared" si="5"/>
        <v>#DIV/0!</v>
      </c>
      <c r="H72" s="174" t="e">
        <f t="shared" si="6"/>
        <v>#DIV/0!</v>
      </c>
      <c r="I72" s="174" t="e">
        <f t="shared" si="7"/>
        <v>#DIV/0!</v>
      </c>
      <c r="J72" s="175">
        <f t="shared" si="8"/>
        <v>0</v>
      </c>
    </row>
    <row r="73" spans="4:10" x14ac:dyDescent="0.25">
      <c r="D73" s="176">
        <v>45863</v>
      </c>
      <c r="E73" s="174" t="e">
        <f t="shared" si="3"/>
        <v>#DIV/0!</v>
      </c>
      <c r="F73" s="174" t="e">
        <f t="shared" si="4"/>
        <v>#DIV/0!</v>
      </c>
      <c r="G73" s="174" t="e">
        <f t="shared" si="5"/>
        <v>#DIV/0!</v>
      </c>
      <c r="H73" s="174" t="e">
        <f t="shared" si="6"/>
        <v>#DIV/0!</v>
      </c>
      <c r="I73" s="174" t="e">
        <f t="shared" si="7"/>
        <v>#DIV/0!</v>
      </c>
      <c r="J73" s="175">
        <f t="shared" si="8"/>
        <v>0</v>
      </c>
    </row>
    <row r="74" spans="4:10" x14ac:dyDescent="0.25">
      <c r="D74" s="176">
        <v>45864</v>
      </c>
      <c r="E74" s="174" t="e">
        <f t="shared" si="3"/>
        <v>#DIV/0!</v>
      </c>
      <c r="F74" s="174" t="e">
        <f t="shared" si="4"/>
        <v>#DIV/0!</v>
      </c>
      <c r="G74" s="174" t="e">
        <f t="shared" si="5"/>
        <v>#DIV/0!</v>
      </c>
      <c r="H74" s="174" t="e">
        <f t="shared" si="6"/>
        <v>#DIV/0!</v>
      </c>
      <c r="I74" s="174" t="e">
        <f t="shared" si="7"/>
        <v>#DIV/0!</v>
      </c>
      <c r="J74" s="175">
        <f t="shared" si="8"/>
        <v>0</v>
      </c>
    </row>
    <row r="75" spans="4:10" x14ac:dyDescent="0.25">
      <c r="D75" s="176">
        <v>45865</v>
      </c>
      <c r="E75" s="174" t="e">
        <f t="shared" si="3"/>
        <v>#DIV/0!</v>
      </c>
      <c r="F75" s="174" t="e">
        <f t="shared" si="4"/>
        <v>#DIV/0!</v>
      </c>
      <c r="G75" s="174" t="e">
        <f t="shared" si="5"/>
        <v>#DIV/0!</v>
      </c>
      <c r="H75" s="174" t="e">
        <f t="shared" si="6"/>
        <v>#DIV/0!</v>
      </c>
      <c r="I75" s="174" t="e">
        <f t="shared" si="7"/>
        <v>#DIV/0!</v>
      </c>
      <c r="J75" s="175">
        <f t="shared" si="8"/>
        <v>0</v>
      </c>
    </row>
    <row r="76" spans="4:10" x14ac:dyDescent="0.25">
      <c r="D76" s="176">
        <v>45866</v>
      </c>
      <c r="E76" s="174" t="e">
        <f t="shared" si="3"/>
        <v>#DIV/0!</v>
      </c>
      <c r="F76" s="174" t="e">
        <f t="shared" si="4"/>
        <v>#DIV/0!</v>
      </c>
      <c r="G76" s="174" t="e">
        <f t="shared" si="5"/>
        <v>#DIV/0!</v>
      </c>
      <c r="H76" s="174" t="e">
        <f t="shared" si="6"/>
        <v>#DIV/0!</v>
      </c>
      <c r="I76" s="174" t="e">
        <f t="shared" si="7"/>
        <v>#DIV/0!</v>
      </c>
      <c r="J76" s="175">
        <f t="shared" si="8"/>
        <v>0</v>
      </c>
    </row>
    <row r="77" spans="4:10" x14ac:dyDescent="0.25">
      <c r="D77" s="176">
        <v>45867</v>
      </c>
      <c r="E77" s="174" t="e">
        <f t="shared" si="3"/>
        <v>#DIV/0!</v>
      </c>
      <c r="F77" s="174" t="e">
        <f t="shared" si="4"/>
        <v>#DIV/0!</v>
      </c>
      <c r="G77" s="174" t="e">
        <f t="shared" si="5"/>
        <v>#DIV/0!</v>
      </c>
      <c r="H77" s="174" t="e">
        <f t="shared" si="6"/>
        <v>#DIV/0!</v>
      </c>
      <c r="I77" s="174" t="e">
        <f t="shared" si="7"/>
        <v>#DIV/0!</v>
      </c>
      <c r="J77" s="175">
        <f t="shared" si="8"/>
        <v>0</v>
      </c>
    </row>
    <row r="78" spans="4:10" x14ac:dyDescent="0.25">
      <c r="D78" s="176">
        <v>45868</v>
      </c>
      <c r="E78" s="174" t="e">
        <f t="shared" si="3"/>
        <v>#DIV/0!</v>
      </c>
      <c r="F78" s="174" t="e">
        <f t="shared" si="4"/>
        <v>#DIV/0!</v>
      </c>
      <c r="G78" s="174" t="e">
        <f t="shared" si="5"/>
        <v>#DIV/0!</v>
      </c>
      <c r="H78" s="174" t="e">
        <f t="shared" si="6"/>
        <v>#DIV/0!</v>
      </c>
      <c r="I78" s="174" t="e">
        <f t="shared" si="7"/>
        <v>#DIV/0!</v>
      </c>
      <c r="J78" s="175">
        <f t="shared" si="8"/>
        <v>0</v>
      </c>
    </row>
    <row r="79" spans="4:10" x14ac:dyDescent="0.25">
      <c r="D79" s="176">
        <v>45869</v>
      </c>
      <c r="E79" s="174" t="e">
        <f t="shared" ref="E79" si="14">F45/J79</f>
        <v>#DIV/0!</v>
      </c>
      <c r="F79" s="174" t="e">
        <f t="shared" ref="F79" si="15">L45/J79</f>
        <v>#DIV/0!</v>
      </c>
      <c r="G79" s="174" t="e">
        <f t="shared" ref="G79" si="16">S45/J79</f>
        <v>#DIV/0!</v>
      </c>
      <c r="H79" s="174" t="e">
        <f t="shared" ref="H79" si="17">T45/J79</f>
        <v>#DIV/0!</v>
      </c>
      <c r="I79" s="174" t="e">
        <f t="shared" ref="I79" si="18">X45/J79</f>
        <v>#DIV/0!</v>
      </c>
      <c r="J79" s="175">
        <f t="shared" ref="J79" si="19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2:L25 L41:L42 L34:L39">
    <cfRule type="cellIs" dxfId="96" priority="393" operator="equal">
      <formula>MAX($L$14:$L$16)</formula>
    </cfRule>
  </conditionalFormatting>
  <conditionalFormatting sqref="T16:T19 T27:T32 T22:T25 T41:T43 T34:T39">
    <cfRule type="cellIs" dxfId="95" priority="394" operator="equal">
      <formula>MAX($T$14:$T$16)</formula>
    </cfRule>
  </conditionalFormatting>
  <conditionalFormatting sqref="X16:X19 X27:X32 X22:X25 X41:X43 X34:X39">
    <cfRule type="cellIs" dxfId="94" priority="395" operator="equal">
      <formula>MAX($X$14:$X$16)</formula>
    </cfRule>
  </conditionalFormatting>
  <conditionalFormatting sqref="J16:J19 J27:J32 J41:J42 J34:J39 J23 J25">
    <cfRule type="cellIs" dxfId="93" priority="396" operator="equal">
      <formula>MAX($J$14:$J$16)</formula>
    </cfRule>
  </conditionalFormatting>
  <conditionalFormatting sqref="V16:V19 V27:V32 V41:V43 V34:V39 V23">
    <cfRule type="cellIs" dxfId="92" priority="397" operator="equal">
      <formula>MAX($V$14:$V$16)</formula>
    </cfRule>
  </conditionalFormatting>
  <conditionalFormatting sqref="D16:D19">
    <cfRule type="cellIs" dxfId="91" priority="398" operator="equal">
      <formula>MAX($D$14:$D$16)</formula>
    </cfRule>
  </conditionalFormatting>
  <conditionalFormatting sqref="S16:S19 S27:S32 S22:S25 S41:S43 S34:S39">
    <cfRule type="cellIs" dxfId="90" priority="399" operator="equal">
      <formula>MAX($S$14:$S$16)</formula>
    </cfRule>
  </conditionalFormatting>
  <conditionalFormatting sqref="N16:N19 N27:N32 N41:N42 N34:N39 N23:N25">
    <cfRule type="cellIs" dxfId="89" priority="400" operator="equal">
      <formula>MAX($N$14:$N$16)</formula>
    </cfRule>
  </conditionalFormatting>
  <conditionalFormatting sqref="P16:P19 P27:P32 P41:P42 P39 P34:P37 P23:P25">
    <cfRule type="cellIs" dxfId="88" priority="401" operator="equal">
      <formula>MAX($P$14:$P$16)</formula>
    </cfRule>
  </conditionalFormatting>
  <conditionalFormatting sqref="L26">
    <cfRule type="cellIs" dxfId="87" priority="325" operator="equal">
      <formula>MAX($L$14:$L$16)</formula>
    </cfRule>
  </conditionalFormatting>
  <conditionalFormatting sqref="T26">
    <cfRule type="cellIs" dxfId="86" priority="326" operator="equal">
      <formula>MAX($T$14:$T$16)</formula>
    </cfRule>
  </conditionalFormatting>
  <conditionalFormatting sqref="X26">
    <cfRule type="cellIs" dxfId="85" priority="327" operator="equal">
      <formula>MAX($X$14:$X$16)</formula>
    </cfRule>
  </conditionalFormatting>
  <conditionalFormatting sqref="J26">
    <cfRule type="cellIs" dxfId="84" priority="328" operator="equal">
      <formula>MAX($J$14:$J$16)</formula>
    </cfRule>
  </conditionalFormatting>
  <conditionalFormatting sqref="V26">
    <cfRule type="cellIs" dxfId="83" priority="329" operator="equal">
      <formula>MAX($V$14:$V$16)</formula>
    </cfRule>
  </conditionalFormatting>
  <conditionalFormatting sqref="S26">
    <cfRule type="cellIs" dxfId="82" priority="331" operator="equal">
      <formula>MAX($S$14:$S$16)</formula>
    </cfRule>
  </conditionalFormatting>
  <conditionalFormatting sqref="N26">
    <cfRule type="cellIs" dxfId="81" priority="332" operator="equal">
      <formula>MAX($N$14:$N$16)</formula>
    </cfRule>
  </conditionalFormatting>
  <conditionalFormatting sqref="P26">
    <cfRule type="cellIs" dxfId="80" priority="333" operator="equal">
      <formula>MAX($P$14:$P$16)</formula>
    </cfRule>
  </conditionalFormatting>
  <conditionalFormatting sqref="L40">
    <cfRule type="cellIs" dxfId="79" priority="315" operator="equal">
      <formula>MAX($L$14:$L$16)</formula>
    </cfRule>
  </conditionalFormatting>
  <conditionalFormatting sqref="T40">
    <cfRule type="cellIs" dxfId="78" priority="316" operator="equal">
      <formula>MAX($T$14:$T$16)</formula>
    </cfRule>
  </conditionalFormatting>
  <conditionalFormatting sqref="X40">
    <cfRule type="cellIs" dxfId="77" priority="317" operator="equal">
      <formula>MAX($X$14:$X$16)</formula>
    </cfRule>
  </conditionalFormatting>
  <conditionalFormatting sqref="J40">
    <cfRule type="cellIs" dxfId="76" priority="318" operator="equal">
      <formula>MAX($J$14:$J$16)</formula>
    </cfRule>
  </conditionalFormatting>
  <conditionalFormatting sqref="V40">
    <cfRule type="cellIs" dxfId="75" priority="319" operator="equal">
      <formula>MAX($V$14:$V$16)</formula>
    </cfRule>
  </conditionalFormatting>
  <conditionalFormatting sqref="S40">
    <cfRule type="cellIs" dxfId="74" priority="321" operator="equal">
      <formula>MAX($S$14:$S$16)</formula>
    </cfRule>
  </conditionalFormatting>
  <conditionalFormatting sqref="N40">
    <cfRule type="cellIs" dxfId="73" priority="322" operator="equal">
      <formula>MAX($N$14:$N$16)</formula>
    </cfRule>
  </conditionalFormatting>
  <conditionalFormatting sqref="P40">
    <cfRule type="cellIs" dxfId="72" priority="323" operator="equal">
      <formula>MAX($P$14:$P$16)</formula>
    </cfRule>
  </conditionalFormatting>
  <conditionalFormatting sqref="D45 D34:D42 D20:D32">
    <cfRule type="cellIs" dxfId="71" priority="311" operator="equal">
      <formula>MAX($D$14:$D$42)</formula>
    </cfRule>
  </conditionalFormatting>
  <conditionalFormatting sqref="L20:L21">
    <cfRule type="cellIs" dxfId="70" priority="302" operator="equal">
      <formula>MAX($L$14:$L$42)</formula>
    </cfRule>
  </conditionalFormatting>
  <conditionalFormatting sqref="T20:T21">
    <cfRule type="cellIs" dxfId="69" priority="303" operator="equal">
      <formula>MAX($T$14:$T$42)</formula>
    </cfRule>
  </conditionalFormatting>
  <conditionalFormatting sqref="X20:X21">
    <cfRule type="cellIs" dxfId="68" priority="304" operator="equal">
      <formula>MAX($X$14:$X$42)</formula>
    </cfRule>
  </conditionalFormatting>
  <conditionalFormatting sqref="J20:J21">
    <cfRule type="cellIs" dxfId="67" priority="305" operator="equal">
      <formula>MAX($J$14:$J$42)</formula>
    </cfRule>
  </conditionalFormatting>
  <conditionalFormatting sqref="V20:V21">
    <cfRule type="cellIs" dxfId="66" priority="306" operator="equal">
      <formula>MAX($V$14:$V$42)</formula>
    </cfRule>
  </conditionalFormatting>
  <conditionalFormatting sqref="S20:S21">
    <cfRule type="cellIs" dxfId="65" priority="307" operator="equal">
      <formula>MAX($S$14:$S$42)</formula>
    </cfRule>
  </conditionalFormatting>
  <conditionalFormatting sqref="N20:N21">
    <cfRule type="cellIs" dxfId="64" priority="308" operator="equal">
      <formula>MAX($N$14:$N$42)</formula>
    </cfRule>
  </conditionalFormatting>
  <conditionalFormatting sqref="P20:P21">
    <cfRule type="cellIs" dxfId="63" priority="309" operator="equal">
      <formula>MAX($P$14:$P$42)</formula>
    </cfRule>
  </conditionalFormatting>
  <conditionalFormatting sqref="E48:E64">
    <cfRule type="top10" dxfId="62" priority="301" rank="2"/>
  </conditionalFormatting>
  <conditionalFormatting sqref="F48:F79">
    <cfRule type="top10" dxfId="61" priority="300" rank="2"/>
  </conditionalFormatting>
  <conditionalFormatting sqref="G48:G64">
    <cfRule type="top10" dxfId="60" priority="299" rank="2"/>
  </conditionalFormatting>
  <conditionalFormatting sqref="H48:H64">
    <cfRule type="top10" dxfId="59" priority="298" rank="2"/>
  </conditionalFormatting>
  <conditionalFormatting sqref="I48:I64">
    <cfRule type="top10" dxfId="58" priority="297" rank="2"/>
  </conditionalFormatting>
  <conditionalFormatting sqref="V24">
    <cfRule type="cellIs" dxfId="57" priority="267" operator="equal">
      <formula>MAX($J$14:$J$16)</formula>
    </cfRule>
  </conditionalFormatting>
  <conditionalFormatting sqref="V25">
    <cfRule type="cellIs" dxfId="56" priority="266" operator="equal">
      <formula>MAX($J$14:$J$16)</formula>
    </cfRule>
  </conditionalFormatting>
  <conditionalFormatting sqref="L45">
    <cfRule type="cellIs" dxfId="55" priority="245" operator="equal">
      <formula>MAX($L$14:$L$16)</formula>
    </cfRule>
  </conditionalFormatting>
  <conditionalFormatting sqref="T45">
    <cfRule type="cellIs" dxfId="54" priority="246" operator="equal">
      <formula>MAX($T$14:$T$16)</formula>
    </cfRule>
  </conditionalFormatting>
  <conditionalFormatting sqref="X45">
    <cfRule type="cellIs" dxfId="53" priority="247" operator="equal">
      <formula>MAX($X$14:$X$16)</formula>
    </cfRule>
  </conditionalFormatting>
  <conditionalFormatting sqref="J45">
    <cfRule type="cellIs" dxfId="52" priority="248" operator="equal">
      <formula>MAX($J$14:$J$16)</formula>
    </cfRule>
  </conditionalFormatting>
  <conditionalFormatting sqref="V45">
    <cfRule type="cellIs" dxfId="51" priority="249" operator="equal">
      <formula>MAX($V$14:$V$16)</formula>
    </cfRule>
  </conditionalFormatting>
  <conditionalFormatting sqref="S45">
    <cfRule type="cellIs" dxfId="50" priority="251" operator="equal">
      <formula>MAX($S$14:$S$16)</formula>
    </cfRule>
  </conditionalFormatting>
  <conditionalFormatting sqref="N45">
    <cfRule type="cellIs" dxfId="49" priority="252" operator="equal">
      <formula>MAX($N$14:$N$16)</formula>
    </cfRule>
  </conditionalFormatting>
  <conditionalFormatting sqref="P45">
    <cfRule type="cellIs" dxfId="48" priority="253" operator="equal">
      <formula>MAX($P$14:$P$16)</formula>
    </cfRule>
  </conditionalFormatting>
  <conditionalFormatting sqref="N43">
    <cfRule type="cellIs" dxfId="47" priority="204" operator="equal">
      <formula>MAX($N$14:$N$16)</formula>
    </cfRule>
  </conditionalFormatting>
  <conditionalFormatting sqref="P43">
    <cfRule type="cellIs" dxfId="46" priority="205" operator="equal">
      <formula>MAX($P$14:$P$16)</formula>
    </cfRule>
  </conditionalFormatting>
  <conditionalFormatting sqref="L43">
    <cfRule type="cellIs" dxfId="45" priority="200" operator="equal">
      <formula>MAX($L$14:$L$16)</formula>
    </cfRule>
  </conditionalFormatting>
  <conditionalFormatting sqref="J43">
    <cfRule type="cellIs" dxfId="44" priority="201" operator="equal">
      <formula>MAX($J$14:$J$16)</formula>
    </cfRule>
  </conditionalFormatting>
  <conditionalFormatting sqref="D43">
    <cfRule type="cellIs" dxfId="43" priority="198" operator="equal">
      <formula>MAX($D$14:$D$42)</formula>
    </cfRule>
  </conditionalFormatting>
  <conditionalFormatting sqref="L33">
    <cfRule type="cellIs" dxfId="42" priority="153" operator="equal">
      <formula>MAX($L$14:$L$16)</formula>
    </cfRule>
  </conditionalFormatting>
  <conditionalFormatting sqref="T33">
    <cfRule type="cellIs" dxfId="41" priority="154" operator="equal">
      <formula>MAX($T$14:$T$16)</formula>
    </cfRule>
  </conditionalFormatting>
  <conditionalFormatting sqref="X33">
    <cfRule type="cellIs" dxfId="40" priority="155" operator="equal">
      <formula>MAX($X$14:$X$16)</formula>
    </cfRule>
  </conditionalFormatting>
  <conditionalFormatting sqref="J33">
    <cfRule type="cellIs" dxfId="39" priority="156" operator="equal">
      <formula>MAX($J$14:$J$16)</formula>
    </cfRule>
  </conditionalFormatting>
  <conditionalFormatting sqref="V33">
    <cfRule type="cellIs" dxfId="38" priority="157" operator="equal">
      <formula>MAX($V$14:$V$16)</formula>
    </cfRule>
  </conditionalFormatting>
  <conditionalFormatting sqref="S33">
    <cfRule type="cellIs" dxfId="37" priority="158" operator="equal">
      <formula>MAX($S$14:$S$16)</formula>
    </cfRule>
  </conditionalFormatting>
  <conditionalFormatting sqref="N33">
    <cfRule type="cellIs" dxfId="36" priority="159" operator="equal">
      <formula>MAX($N$14:$N$16)</formula>
    </cfRule>
  </conditionalFormatting>
  <conditionalFormatting sqref="P33">
    <cfRule type="cellIs" dxfId="35" priority="160" operator="equal">
      <formula>MAX($P$14:$P$16)</formula>
    </cfRule>
  </conditionalFormatting>
  <conditionalFormatting sqref="D33">
    <cfRule type="cellIs" dxfId="34" priority="152" operator="equal">
      <formula>MAX($D$14:$D$42)</formula>
    </cfRule>
  </conditionalFormatting>
  <conditionalFormatting sqref="P38">
    <cfRule type="cellIs" dxfId="33" priority="150" operator="equal">
      <formula>MAX($P$14:$P$16)</formula>
    </cfRule>
  </conditionalFormatting>
  <conditionalFormatting sqref="D44">
    <cfRule type="cellIs" dxfId="32" priority="110" operator="equal">
      <formula>MAX($D$14:$D$42)</formula>
    </cfRule>
  </conditionalFormatting>
  <conditionalFormatting sqref="L44">
    <cfRule type="cellIs" dxfId="31" priority="106" operator="equal">
      <formula>MAX($L$14:$L$16)</formula>
    </cfRule>
  </conditionalFormatting>
  <conditionalFormatting sqref="J44">
    <cfRule type="cellIs" dxfId="30" priority="107" operator="equal">
      <formula>MAX($J$14:$J$16)</formula>
    </cfRule>
  </conditionalFormatting>
  <conditionalFormatting sqref="N44">
    <cfRule type="cellIs" dxfId="29" priority="102" operator="equal">
      <formula>MAX($N$14:$N$16)</formula>
    </cfRule>
  </conditionalFormatting>
  <conditionalFormatting sqref="P44">
    <cfRule type="cellIs" dxfId="28" priority="103" operator="equal">
      <formula>MAX($P$14:$P$16)</formula>
    </cfRule>
  </conditionalFormatting>
  <conditionalFormatting sqref="T44">
    <cfRule type="cellIs" dxfId="27" priority="98" operator="equal">
      <formula>MAX($T$14:$T$16)</formula>
    </cfRule>
  </conditionalFormatting>
  <conditionalFormatting sqref="S44">
    <cfRule type="cellIs" dxfId="26" priority="99" operator="equal">
      <formula>MAX($S$14:$S$16)</formula>
    </cfRule>
  </conditionalFormatting>
  <conditionalFormatting sqref="X44">
    <cfRule type="cellIs" dxfId="25" priority="94" operator="equal">
      <formula>MAX($X$14:$X$16)</formula>
    </cfRule>
  </conditionalFormatting>
  <conditionalFormatting sqref="V44">
    <cfRule type="cellIs" dxfId="24" priority="95" operator="equal">
      <formula>MAX($V$14:$V$16)</formula>
    </cfRule>
  </conditionalFormatting>
  <conditionalFormatting sqref="V22">
    <cfRule type="cellIs" dxfId="23" priority="72" operator="equal">
      <formula>MAX($V$14:$V$16)</formula>
    </cfRule>
  </conditionalFormatting>
  <conditionalFormatting sqref="N22">
    <cfRule type="cellIs" dxfId="22" priority="68" operator="equal">
      <formula>MAX($N$14:$N$16)</formula>
    </cfRule>
  </conditionalFormatting>
  <conditionalFormatting sqref="P22">
    <cfRule type="cellIs" dxfId="21" priority="69" operator="equal">
      <formula>MAX($P$14:$P$16)</formula>
    </cfRule>
  </conditionalFormatting>
  <conditionalFormatting sqref="J22">
    <cfRule type="cellIs" dxfId="20" priority="66" operator="equal">
      <formula>MAX($J$14:$J$16)</formula>
    </cfRule>
  </conditionalFormatting>
  <conditionalFormatting sqref="D15">
    <cfRule type="cellIs" dxfId="19" priority="65" operator="equal">
      <formula>MAX($D$14:$D$42)</formula>
    </cfRule>
  </conditionalFormatting>
  <conditionalFormatting sqref="L15">
    <cfRule type="cellIs" dxfId="18" priority="56" operator="equal">
      <formula>MAX($L$14:$L$16)</formula>
    </cfRule>
  </conditionalFormatting>
  <conditionalFormatting sqref="T15">
    <cfRule type="cellIs" dxfId="17" priority="57" operator="equal">
      <formula>MAX($T$14:$T$16)</formula>
    </cfRule>
  </conditionalFormatting>
  <conditionalFormatting sqref="X15">
    <cfRule type="cellIs" dxfId="16" priority="58" operator="equal">
      <formula>MAX($X$14:$X$16)</formula>
    </cfRule>
  </conditionalFormatting>
  <conditionalFormatting sqref="J15">
    <cfRule type="cellIs" dxfId="15" priority="59" operator="equal">
      <formula>MAX($J$14:$J$16)</formula>
    </cfRule>
  </conditionalFormatting>
  <conditionalFormatting sqref="V15">
    <cfRule type="cellIs" dxfId="14" priority="60" operator="equal">
      <formula>MAX($V$14:$V$16)</formula>
    </cfRule>
  </conditionalFormatting>
  <conditionalFormatting sqref="S15">
    <cfRule type="cellIs" dxfId="13" priority="61" operator="equal">
      <formula>MAX($S$14:$S$16)</formula>
    </cfRule>
  </conditionalFormatting>
  <conditionalFormatting sqref="N15">
    <cfRule type="cellIs" dxfId="12" priority="62" operator="equal">
      <formula>MAX($N$14:$N$16)</formula>
    </cfRule>
  </conditionalFormatting>
  <conditionalFormatting sqref="P15">
    <cfRule type="cellIs" dxfId="11" priority="63" operator="equal">
      <formula>MAX($P$14:$P$16)</formula>
    </cfRule>
  </conditionalFormatting>
  <conditionalFormatting sqref="G14:G45">
    <cfRule type="cellIs" dxfId="10" priority="25" operator="equal">
      <formula>MAX($G$14:$G$16)</formula>
    </cfRule>
  </conditionalFormatting>
  <conditionalFormatting sqref="D14">
    <cfRule type="cellIs" dxfId="9" priority="16" operator="equal">
      <formula>MAX($D$14:$D$42)</formula>
    </cfRule>
  </conditionalFormatting>
  <conditionalFormatting sqref="L14">
    <cfRule type="cellIs" dxfId="8" priority="12" operator="equal">
      <formula>MAX($L$14:$L$16)</formula>
    </cfRule>
  </conditionalFormatting>
  <conditionalFormatting sqref="J14">
    <cfRule type="cellIs" dxfId="7" priority="13" operator="equal">
      <formula>MAX($J$14:$J$16)</formula>
    </cfRule>
  </conditionalFormatting>
  <conditionalFormatting sqref="N14">
    <cfRule type="cellIs" dxfId="6" priority="10" operator="equal">
      <formula>MAX($N$14:$N$16)</formula>
    </cfRule>
  </conditionalFormatting>
  <conditionalFormatting sqref="P14">
    <cfRule type="cellIs" dxfId="5" priority="11" operator="equal">
      <formula>MAX($P$14:$P$16)</formula>
    </cfRule>
  </conditionalFormatting>
  <conditionalFormatting sqref="T14">
    <cfRule type="cellIs" dxfId="4" priority="6" operator="equal">
      <formula>MAX($T$14:$T$16)</formula>
    </cfRule>
  </conditionalFormatting>
  <conditionalFormatting sqref="S14">
    <cfRule type="cellIs" dxfId="3" priority="7" operator="equal">
      <formula>MAX($S$14:$S$16)</formula>
    </cfRule>
  </conditionalFormatting>
  <conditionalFormatting sqref="X14">
    <cfRule type="cellIs" dxfId="2" priority="2" operator="equal">
      <formula>MAX($X$14:$X$16)</formula>
    </cfRule>
  </conditionalFormatting>
  <conditionalFormatting sqref="V14">
    <cfRule type="cellIs" dxfId="1" priority="3" operator="equal">
      <formula>MAX($V$14:$V$16)</formula>
    </cfRule>
  </conditionalFormatting>
  <conditionalFormatting sqref="J24">
    <cfRule type="cellIs" dxfId="0" priority="1" operator="equal">
      <formula>MAX($N$14:$N$16)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2026-10-27T14:36:51Z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