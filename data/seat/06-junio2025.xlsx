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10.30.76\Carpetas Red\PCD\CONSUMO ENERGETICO\CONSUMO ENERGETICO DIARIO\Energia 2025\JUNIO 2025\"/>
    </mc:Choice>
  </mc:AlternateContent>
  <xr:revisionPtr revIDLastSave="0" documentId="13_ncr:1_{E6F8CC99-EE65-4FC8-877A-05B136FED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7" i="1" l="1"/>
  <c r="AF22" i="1"/>
  <c r="M20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15" i="2"/>
  <c r="G16" i="2"/>
  <c r="G17" i="2"/>
  <c r="G18" i="2"/>
  <c r="D13" i="1"/>
  <c r="M41" i="2"/>
  <c r="M42" i="2"/>
  <c r="M43" i="2"/>
  <c r="M44" i="2"/>
  <c r="M45" i="2"/>
  <c r="BB6" i="1"/>
  <c r="BA6" i="1" s="1"/>
  <c r="AW6" i="1" s="1"/>
  <c r="D38" i="1"/>
  <c r="F38" i="1"/>
  <c r="E38" i="1" s="1"/>
  <c r="G38" i="1"/>
  <c r="H38" i="1"/>
  <c r="AC38" i="1"/>
  <c r="AD38" i="1"/>
  <c r="AF38" i="1"/>
  <c r="AM38" i="1"/>
  <c r="AN38" i="1"/>
  <c r="AP38" i="1"/>
  <c r="AW38" i="1"/>
  <c r="AX38" i="1"/>
  <c r="BA38" i="1"/>
  <c r="AY38" i="1" s="1"/>
  <c r="K38" i="1" s="1"/>
  <c r="O38" i="1" s="1"/>
  <c r="BL38" i="1"/>
  <c r="L38" i="1" s="1"/>
  <c r="P38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P37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3" i="1"/>
  <c r="BA13" i="1"/>
  <c r="AW13" i="1" s="1"/>
  <c r="AX14" i="1"/>
  <c r="BA14" i="1"/>
  <c r="AY14" i="1" s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BA19" i="1"/>
  <c r="AW19" i="1" s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5" i="1"/>
  <c r="BA25" i="1"/>
  <c r="AW25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2" i="1"/>
  <c r="BA32" i="1"/>
  <c r="AY32" i="1" s="1"/>
  <c r="AX33" i="1"/>
  <c r="BA33" i="1"/>
  <c r="AW33" i="1" s="1"/>
  <c r="AX34" i="1"/>
  <c r="BA34" i="1"/>
  <c r="AY34" i="1" s="1"/>
  <c r="AX35" i="1"/>
  <c r="BA35" i="1"/>
  <c r="AW35" i="1" s="1"/>
  <c r="AX36" i="1"/>
  <c r="BA36" i="1"/>
  <c r="AY36" i="1" s="1"/>
  <c r="BA37" i="1"/>
  <c r="AW32" i="1" l="1"/>
  <c r="AY29" i="1"/>
  <c r="AW36" i="1"/>
  <c r="AX6" i="1"/>
  <c r="AY31" i="1"/>
  <c r="AW30" i="1"/>
  <c r="J38" i="1"/>
  <c r="N38" i="1" s="1"/>
  <c r="AX37" i="1"/>
  <c r="BK38" i="1"/>
  <c r="I38" i="1"/>
  <c r="M38" i="1" s="1"/>
  <c r="BA8" i="1"/>
  <c r="AW34" i="1"/>
  <c r="AW10" i="1"/>
  <c r="BJ38" i="1"/>
  <c r="BA9" i="1"/>
  <c r="AY7" i="1"/>
  <c r="AX28" i="1"/>
  <c r="AY12" i="1"/>
  <c r="AY33" i="1"/>
  <c r="AY35" i="1"/>
  <c r="AY6" i="1"/>
  <c r="AW37" i="1"/>
  <c r="AY37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AY13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H36" i="1"/>
  <c r="D36" i="1"/>
  <c r="F36" i="1" l="1"/>
  <c r="E36" i="1" s="1"/>
  <c r="L36" i="1"/>
  <c r="P36" i="1" s="1"/>
  <c r="K36" i="1"/>
  <c r="O36" i="1" s="1"/>
  <c r="G36" i="1"/>
  <c r="I36" i="1"/>
  <c r="M36" i="1" s="1"/>
  <c r="J36" i="1"/>
  <c r="N36" i="1" s="1"/>
  <c r="BJ36" i="1"/>
  <c r="BK36" i="1"/>
  <c r="H22" i="1"/>
  <c r="BI6" i="1"/>
  <c r="AV6" i="1"/>
  <c r="AL6" i="1"/>
  <c r="AB6" i="1"/>
  <c r="Q6" i="1"/>
  <c r="BL6" i="1"/>
  <c r="BJ6" i="1" s="1"/>
  <c r="BK6" i="1"/>
  <c r="AM6" i="1"/>
  <c r="AN6" i="1"/>
  <c r="AD6" i="1"/>
  <c r="AC6" i="1"/>
  <c r="H6" i="1"/>
  <c r="D6" i="1"/>
  <c r="L6" i="1" l="1"/>
  <c r="P6" i="1" s="1"/>
  <c r="F6" i="1"/>
  <c r="E6" i="1" s="1"/>
  <c r="K6" i="1"/>
  <c r="O6" i="1" s="1"/>
  <c r="J6" i="1"/>
  <c r="N6" i="1" s="1"/>
  <c r="G6" i="1"/>
  <c r="I6" i="1"/>
  <c r="M6" i="1" s="1"/>
  <c r="U14" i="2" l="1"/>
  <c r="M14" i="2"/>
  <c r="I14" i="2"/>
  <c r="R14" i="2"/>
  <c r="G14" i="2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R45" i="2"/>
  <c r="H28" i="1"/>
  <c r="AD11" i="1"/>
  <c r="AC15" i="1"/>
  <c r="AM15" i="1"/>
  <c r="H33" i="1"/>
  <c r="H30" i="1"/>
  <c r="H31" i="1"/>
  <c r="H32" i="1"/>
  <c r="H34" i="1"/>
  <c r="H35" i="1"/>
  <c r="H37" i="1"/>
  <c r="H7" i="1"/>
  <c r="J50" i="2"/>
  <c r="I50" i="2" s="1"/>
  <c r="J51" i="2"/>
  <c r="F51" i="2" s="1"/>
  <c r="J52" i="2"/>
  <c r="G52" i="2" s="1"/>
  <c r="J53" i="2"/>
  <c r="H53" i="2" s="1"/>
  <c r="J54" i="2"/>
  <c r="G54" i="2" s="1"/>
  <c r="J55" i="2"/>
  <c r="I55" i="2" s="1"/>
  <c r="J56" i="2"/>
  <c r="I56" i="2" s="1"/>
  <c r="J57" i="2"/>
  <c r="F57" i="2" s="1"/>
  <c r="J58" i="2"/>
  <c r="I58" i="2" s="1"/>
  <c r="J59" i="2"/>
  <c r="F59" i="2" s="1"/>
  <c r="J60" i="2"/>
  <c r="G60" i="2" s="1"/>
  <c r="J61" i="2"/>
  <c r="H61" i="2" s="1"/>
  <c r="J62" i="2"/>
  <c r="E62" i="2" s="1"/>
  <c r="J63" i="2"/>
  <c r="I63" i="2" s="1"/>
  <c r="J64" i="2"/>
  <c r="I64" i="2" s="1"/>
  <c r="J65" i="2"/>
  <c r="F65" i="2" s="1"/>
  <c r="J66" i="2"/>
  <c r="H66" i="2" s="1"/>
  <c r="J67" i="2"/>
  <c r="G67" i="2" s="1"/>
  <c r="J68" i="2"/>
  <c r="E68" i="2" s="1"/>
  <c r="J69" i="2"/>
  <c r="G69" i="2" s="1"/>
  <c r="J70" i="2"/>
  <c r="G70" i="2" s="1"/>
  <c r="J71" i="2"/>
  <c r="F71" i="2" s="1"/>
  <c r="J72" i="2"/>
  <c r="E72" i="2" s="1"/>
  <c r="J73" i="2"/>
  <c r="I73" i="2" s="1"/>
  <c r="J74" i="2"/>
  <c r="H74" i="2" s="1"/>
  <c r="J75" i="2"/>
  <c r="E75" i="2" s="1"/>
  <c r="J76" i="2"/>
  <c r="F76" i="2" s="1"/>
  <c r="J77" i="2"/>
  <c r="F77" i="2" s="1"/>
  <c r="J78" i="2"/>
  <c r="F78" i="2" s="1"/>
  <c r="J79" i="2"/>
  <c r="E79" i="2" s="1"/>
  <c r="J49" i="2"/>
  <c r="H49" i="2" s="1"/>
  <c r="BL15" i="1"/>
  <c r="BK15" i="1" s="1"/>
  <c r="AN15" i="1"/>
  <c r="AD15" i="1"/>
  <c r="AB36" i="1" l="1"/>
  <c r="AB37" i="1" s="1"/>
  <c r="AB38" i="1" s="1"/>
  <c r="Q36" i="1"/>
  <c r="Q37" i="1" s="1"/>
  <c r="Q38" i="1" s="1"/>
  <c r="BI36" i="1"/>
  <c r="BI37" i="1" s="1"/>
  <c r="BI38" i="1" s="1"/>
  <c r="AV36" i="1"/>
  <c r="AV37" i="1" s="1"/>
  <c r="AV38" i="1" s="1"/>
  <c r="B37" i="1"/>
  <c r="B38" i="1" s="1"/>
  <c r="E49" i="2"/>
  <c r="I49" i="2"/>
  <c r="F49" i="2"/>
  <c r="H60" i="2"/>
  <c r="H64" i="2"/>
  <c r="I54" i="2"/>
  <c r="I53" i="2"/>
  <c r="H52" i="2"/>
  <c r="I62" i="2"/>
  <c r="F60" i="2"/>
  <c r="I61" i="2"/>
  <c r="F56" i="2"/>
  <c r="F64" i="2"/>
  <c r="I60" i="2"/>
  <c r="F52" i="2"/>
  <c r="H56" i="2"/>
  <c r="I52" i="2"/>
  <c r="E51" i="2"/>
  <c r="G51" i="2"/>
  <c r="E58" i="2"/>
  <c r="E50" i="2"/>
  <c r="G58" i="2"/>
  <c r="G50" i="2"/>
  <c r="H59" i="2"/>
  <c r="H51" i="2"/>
  <c r="F63" i="2"/>
  <c r="F55" i="2"/>
  <c r="E65" i="2"/>
  <c r="E57" i="2"/>
  <c r="G65" i="2"/>
  <c r="G57" i="2"/>
  <c r="H75" i="2"/>
  <c r="H58" i="2"/>
  <c r="H50" i="2"/>
  <c r="F62" i="2"/>
  <c r="F54" i="2"/>
  <c r="E64" i="2"/>
  <c r="E56" i="2"/>
  <c r="G64" i="2"/>
  <c r="G56" i="2"/>
  <c r="H65" i="2"/>
  <c r="H57" i="2"/>
  <c r="I59" i="2"/>
  <c r="I51" i="2"/>
  <c r="F61" i="2"/>
  <c r="F53" i="2"/>
  <c r="E59" i="2"/>
  <c r="E55" i="2"/>
  <c r="G55" i="2"/>
  <c r="G62" i="2"/>
  <c r="H55" i="2"/>
  <c r="E61" i="2"/>
  <c r="E53" i="2"/>
  <c r="G61" i="2"/>
  <c r="G53" i="2"/>
  <c r="H62" i="2"/>
  <c r="H54" i="2"/>
  <c r="F75" i="2"/>
  <c r="F58" i="2"/>
  <c r="F50" i="2"/>
  <c r="G59" i="2"/>
  <c r="E63" i="2"/>
  <c r="G63" i="2"/>
  <c r="I75" i="2"/>
  <c r="E54" i="2"/>
  <c r="H63" i="2"/>
  <c r="I65" i="2"/>
  <c r="I57" i="2"/>
  <c r="E60" i="2"/>
  <c r="E52" i="2"/>
  <c r="G49" i="2"/>
  <c r="G79" i="2"/>
  <c r="F79" i="2"/>
  <c r="H79" i="2"/>
  <c r="I79" i="2"/>
  <c r="E78" i="2"/>
  <c r="I78" i="2"/>
  <c r="G78" i="2"/>
  <c r="H78" i="2"/>
  <c r="E77" i="2"/>
  <c r="G77" i="2"/>
  <c r="H77" i="2"/>
  <c r="I77" i="2"/>
  <c r="I71" i="2"/>
  <c r="H71" i="2"/>
  <c r="E71" i="2"/>
  <c r="G71" i="2"/>
  <c r="H70" i="2"/>
  <c r="G76" i="2"/>
  <c r="H76" i="2"/>
  <c r="I76" i="2"/>
  <c r="E76" i="2"/>
  <c r="G75" i="2"/>
  <c r="F74" i="2"/>
  <c r="I74" i="2"/>
  <c r="E74" i="2"/>
  <c r="G74" i="2"/>
  <c r="F73" i="2"/>
  <c r="E73" i="2"/>
  <c r="G73" i="2"/>
  <c r="H73" i="2"/>
  <c r="G72" i="2"/>
  <c r="H72" i="2"/>
  <c r="I72" i="2"/>
  <c r="F72" i="2"/>
  <c r="I70" i="2"/>
  <c r="E70" i="2"/>
  <c r="F70" i="2"/>
  <c r="E69" i="2"/>
  <c r="H69" i="2"/>
  <c r="F69" i="2"/>
  <c r="I69" i="2"/>
  <c r="F68" i="2"/>
  <c r="G68" i="2"/>
  <c r="H68" i="2"/>
  <c r="I68" i="2"/>
  <c r="F67" i="2"/>
  <c r="H67" i="2"/>
  <c r="I67" i="2"/>
  <c r="E67" i="2"/>
  <c r="G66" i="2"/>
  <c r="F66" i="2"/>
  <c r="I66" i="2"/>
  <c r="E66" i="2"/>
  <c r="BJ15" i="1"/>
  <c r="R20" i="2" l="1"/>
  <c r="S41" i="1" l="1"/>
  <c r="R40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D24" i="1"/>
  <c r="H24" i="1"/>
  <c r="AD24" i="1"/>
  <c r="AC24" i="1"/>
  <c r="AN24" i="1"/>
  <c r="AM24" i="1"/>
  <c r="BL24" i="1"/>
  <c r="BJ24" i="1" s="1"/>
  <c r="D25" i="1"/>
  <c r="H25" i="1"/>
  <c r="AD25" i="1"/>
  <c r="AC25" i="1"/>
  <c r="AN25" i="1"/>
  <c r="AM25" i="1"/>
  <c r="BL25" i="1"/>
  <c r="BK25" i="1" s="1"/>
  <c r="D26" i="1"/>
  <c r="H26" i="1"/>
  <c r="AD26" i="1"/>
  <c r="AC26" i="1"/>
  <c r="AN26" i="1"/>
  <c r="BL26" i="1"/>
  <c r="BJ26" i="1" s="1"/>
  <c r="D27" i="1"/>
  <c r="H27" i="1"/>
  <c r="AD27" i="1"/>
  <c r="AC27" i="1"/>
  <c r="AN27" i="1"/>
  <c r="BL27" i="1"/>
  <c r="BK27" i="1" s="1"/>
  <c r="D28" i="1"/>
  <c r="AD28" i="1"/>
  <c r="AC28" i="1"/>
  <c r="AN28" i="1"/>
  <c r="BL28" i="1"/>
  <c r="BJ28" i="1" s="1"/>
  <c r="D29" i="1"/>
  <c r="H29" i="1"/>
  <c r="AD29" i="1"/>
  <c r="AC29" i="1"/>
  <c r="AN29" i="1"/>
  <c r="BL29" i="1"/>
  <c r="BK29" i="1" s="1"/>
  <c r="D30" i="1"/>
  <c r="F30" i="1" s="1"/>
  <c r="AD30" i="1"/>
  <c r="AC30" i="1"/>
  <c r="AN30" i="1"/>
  <c r="BL30" i="1"/>
  <c r="BJ30" i="1" s="1"/>
  <c r="D31" i="1"/>
  <c r="AC31" i="1"/>
  <c r="AN31" i="1"/>
  <c r="BL31" i="1"/>
  <c r="BK31" i="1" s="1"/>
  <c r="D32" i="1"/>
  <c r="AD32" i="1"/>
  <c r="AC32" i="1"/>
  <c r="AN32" i="1"/>
  <c r="BL32" i="1"/>
  <c r="BJ32" i="1" s="1"/>
  <c r="D33" i="1"/>
  <c r="D34" i="1"/>
  <c r="AD34" i="1"/>
  <c r="AC34" i="1"/>
  <c r="AN34" i="1"/>
  <c r="BL34" i="1"/>
  <c r="BK34" i="1" s="1"/>
  <c r="D35" i="1"/>
  <c r="AD35" i="1"/>
  <c r="AC35" i="1"/>
  <c r="AN35" i="1"/>
  <c r="BL35" i="1"/>
  <c r="BK35" i="1" s="1"/>
  <c r="D37" i="1"/>
  <c r="AD37" i="1"/>
  <c r="AC37" i="1"/>
  <c r="AN37" i="1"/>
  <c r="BL37" i="1"/>
  <c r="BK37" i="1" s="1"/>
  <c r="D11" i="1"/>
  <c r="H11" i="1"/>
  <c r="AC11" i="1"/>
  <c r="AN11" i="1"/>
  <c r="AM11" i="1"/>
  <c r="BL11" i="1"/>
  <c r="D12" i="1"/>
  <c r="H12" i="1"/>
  <c r="AD12" i="1"/>
  <c r="AC12" i="1"/>
  <c r="AN12" i="1"/>
  <c r="AM12" i="1"/>
  <c r="BL12" i="1"/>
  <c r="BK12" i="1" s="1"/>
  <c r="H13" i="1"/>
  <c r="AD13" i="1"/>
  <c r="AC13" i="1"/>
  <c r="AN13" i="1"/>
  <c r="AM13" i="1"/>
  <c r="BL13" i="1"/>
  <c r="BK13" i="1" s="1"/>
  <c r="D14" i="1"/>
  <c r="H14" i="1"/>
  <c r="AD14" i="1"/>
  <c r="AC14" i="1"/>
  <c r="AN14" i="1"/>
  <c r="AM14" i="1"/>
  <c r="BL14" i="1"/>
  <c r="BK14" i="1" s="1"/>
  <c r="D15" i="1"/>
  <c r="H15" i="1"/>
  <c r="D16" i="1"/>
  <c r="H16" i="1"/>
  <c r="AD16" i="1"/>
  <c r="AC16" i="1"/>
  <c r="AN16" i="1"/>
  <c r="AM16" i="1"/>
  <c r="BL16" i="1"/>
  <c r="BK16" i="1" s="1"/>
  <c r="D17" i="1"/>
  <c r="H17" i="1"/>
  <c r="AD17" i="1"/>
  <c r="AC17" i="1"/>
  <c r="AN17" i="1"/>
  <c r="AM17" i="1"/>
  <c r="BL17" i="1"/>
  <c r="D18" i="1"/>
  <c r="H18" i="1"/>
  <c r="AD18" i="1"/>
  <c r="AC18" i="1"/>
  <c r="AN18" i="1"/>
  <c r="AM18" i="1"/>
  <c r="BL18" i="1"/>
  <c r="BK18" i="1" s="1"/>
  <c r="D19" i="1"/>
  <c r="H19" i="1"/>
  <c r="AD19" i="1"/>
  <c r="D20" i="1"/>
  <c r="H20" i="1"/>
  <c r="AD20" i="1"/>
  <c r="AC20" i="1"/>
  <c r="AN20" i="1"/>
  <c r="AM20" i="1"/>
  <c r="BL20" i="1"/>
  <c r="D21" i="1"/>
  <c r="H21" i="1"/>
  <c r="AD21" i="1"/>
  <c r="AC21" i="1"/>
  <c r="AN21" i="1"/>
  <c r="AM21" i="1"/>
  <c r="BL21" i="1"/>
  <c r="D22" i="1"/>
  <c r="AD22" i="1"/>
  <c r="AC22" i="1"/>
  <c r="AN22" i="1"/>
  <c r="AM22" i="1"/>
  <c r="BL22" i="1"/>
  <c r="D23" i="1"/>
  <c r="H23" i="1"/>
  <c r="AD23" i="1"/>
  <c r="AC23" i="1"/>
  <c r="AN23" i="1"/>
  <c r="AM23" i="1"/>
  <c r="BL23" i="1"/>
  <c r="BK23" i="1" s="1"/>
  <c r="H9" i="1"/>
  <c r="H10" i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J37" i="1"/>
  <c r="N37" i="1" s="1"/>
  <c r="BJ37" i="1"/>
  <c r="F37" i="1"/>
  <c r="E37" i="1" s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7" i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G11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7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K37" i="1"/>
  <c r="O37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I37" i="1"/>
  <c r="M37" i="1" s="1"/>
  <c r="L13" i="1"/>
  <c r="P13" i="1" s="1"/>
  <c r="J22" i="1"/>
  <c r="N22" i="1" s="1"/>
  <c r="L37" i="1"/>
  <c r="P37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I40" i="2"/>
  <c r="I41" i="2" s="1"/>
  <c r="I42" i="2" s="1"/>
  <c r="I43" i="2" s="1"/>
  <c r="U40" i="2"/>
  <c r="U41" i="2" s="1"/>
  <c r="U42" i="2" s="1"/>
  <c r="U43" i="2" s="1"/>
  <c r="B15" i="2"/>
  <c r="U44" i="2" l="1"/>
  <c r="U45" i="2" s="1"/>
  <c r="I44" i="2"/>
  <c r="I45" i="2" s="1"/>
  <c r="AL36" i="1"/>
  <c r="AL37" i="1" s="1"/>
  <c r="AL38" i="1" s="1"/>
  <c r="B16" i="2"/>
  <c r="M15" i="2"/>
  <c r="B17" i="2" l="1"/>
  <c r="M16" i="2"/>
  <c r="B18" i="2" l="1"/>
  <c r="M17" i="2"/>
  <c r="B19" i="2" l="1"/>
  <c r="M18" i="2"/>
  <c r="B20" i="2" l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B42" i="2" s="1"/>
  <c r="B43" i="2" s="1"/>
  <c r="M40" i="2"/>
  <c r="B44" i="2" l="1"/>
  <c r="B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Eduardo Barrera Jimenez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G17" authorId="2" shapeId="0" xr:uid="{2B99A81E-D269-46D4-A31F-18900FF28FBD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se presentan dos cortes de 12kv que afectaron tramo qu - pe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Eduardo Barrera Jimenez</author>
    <author>Gilbet Gustavo Manriquez Henriquez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F29" authorId="1" shapeId="0" xr:uid="{1996A8C7-DA63-4249-9933-89E4C3028D18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averia 8855 falla en medida de tension</t>
        </r>
      </text>
    </comment>
    <comment ref="F35" authorId="1" shapeId="0" xr:uid="{B3D33440-2A2A-43BE-908E-0069747B6F68}">
      <text>
        <r>
          <rPr>
            <b/>
            <sz val="9"/>
            <color indexed="81"/>
            <rFont val="Tahoma"/>
            <charset val="1"/>
          </rPr>
          <t>Eduardo Barrera Jimenez:</t>
        </r>
        <r>
          <rPr>
            <sz val="9"/>
            <color indexed="81"/>
            <rFont val="Tahoma"/>
            <charset val="1"/>
          </rPr>
          <t xml:space="preserve">
falla de medidor</t>
        </r>
      </text>
    </comment>
    <comment ref="F36" authorId="2" shapeId="0" xr:uid="{E27D75EF-112D-4D92-AA52-C93578EF2CD9}">
      <text>
        <r>
          <rPr>
            <b/>
            <sz val="9"/>
            <color indexed="81"/>
            <rFont val="Tahoma"/>
            <charset val="1"/>
          </rPr>
          <t>Gilbet Gustavo Manriquez Henriquez:</t>
        </r>
        <r>
          <rPr>
            <sz val="9"/>
            <color indexed="81"/>
            <rFont val="Tahoma"/>
            <charset val="1"/>
          </rPr>
          <t xml:space="preserve">
continua falla de medidor
</t>
        </r>
      </text>
    </comment>
  </commentList>
</comments>
</file>

<file path=xl/sharedStrings.xml><?xml version="1.0" encoding="utf-8"?>
<sst xmlns="http://schemas.openxmlformats.org/spreadsheetml/2006/main" count="127" uniqueCount="74">
  <si>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</si>
  <si>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</si>
  <si>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</si>
  <si>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</si>
  <si>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</si>
  <si>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</si>
  <si>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</si>
  <si>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</si>
  <si>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</si>
  <si>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</si>
  <si>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</si>
  <si>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</si>
  <si>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</si>
  <si>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</si>
  <si>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</si>
  <si>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</si>
  <si>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</si>
  <si>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</si>
  <si>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</si>
  <si>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</si>
  <si>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</si>
  <si>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</si>
  <si>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</si>
  <si>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</si>
  <si>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</si>
  <si>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</si>
  <si>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</si>
  <si>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</si>
  <si>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</si>
  <si>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</si>
  <si>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</si>
  <si>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</si>
  <si>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</si>
  <si>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</si>
  <si>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</si>
  <si>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</si>
  <si>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</si>
  <si>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</si>
  <si>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</si>
  <si>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</si>
  <si>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</si>
  <si>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</si>
  <si>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</si>
  <si>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</si>
  <si>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</si>
  <si>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</si>
  <si>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</si>
  <si>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</si>
  <si>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</si>
  <si>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</si>
  <si>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</si>
  <si>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</si>
  <si>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</si>
  <si>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</si>
  <si>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</si>
  <si>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</si>
  <si>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</si>
  <si>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</si>
  <si>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</si>
  <si>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</si>
  <si>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</si>
  <si>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</si>
  <si>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</si>
  <si>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</si>
  <si>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</si>
  <si>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</si>
  <si>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</si>
  <si>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</si>
  <si>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</si>
  <si>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>09.03</t>
  </si>
  <si>
    <t xml:space="preserve"> </t>
  </si>
  <si>
    <t>08.30</t>
  </si>
  <si>
    <t>07.15</t>
  </si>
  <si>
    <t>08.35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</si>
</sst>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5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20" fontId="4" fillId="5" borderId="37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5" fontId="4" fillId="5" borderId="36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8" xfId="0" applyBorder="1"/>
    <xf numFmtId="0" fontId="0" fillId="5" borderId="34" xfId="0" applyFill="1" applyBorder="1"/>
    <xf numFmtId="0" fontId="0" fillId="5" borderId="37" xfId="0" applyFill="1" applyBorder="1"/>
    <xf numFmtId="0" fontId="0" fillId="5" borderId="36" xfId="0" applyFill="1" applyBorder="1"/>
    <xf numFmtId="0" fontId="0" fillId="5" borderId="5" xfId="0" applyFill="1" applyBorder="1"/>
    <xf numFmtId="0" fontId="0" fillId="5" borderId="35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6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8" xfId="0" applyFill="1" applyBorder="1"/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6" fontId="4" fillId="5" borderId="33" xfId="2" applyNumberFormat="1" applyFont="1" applyFill="1" applyBorder="1" applyAlignment="1">
      <alignment horizontal="center"/>
    </xf>
    <xf numFmtId="0" fontId="0" fillId="0" borderId="0" xfId="0"/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9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9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3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3" xfId="2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7" fontId="4" fillId="5" borderId="35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5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5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9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9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9" fontId="8" fillId="3" borderId="48" xfId="2" applyFont="1" applyFill="1" applyBorder="1" applyAlignment="1">
      <alignment horizontal="center"/>
    </xf>
    <xf numFmtId="1" fontId="8" fillId="0" borderId="48" xfId="0" applyNumberFormat="1" applyFont="1" applyFill="1" applyBorder="1" applyAlignment="1">
      <alignment horizontal="center"/>
    </xf>
    <xf numFmtId="1" fontId="8" fillId="3" borderId="48" xfId="0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horizontal="center"/>
    </xf>
    <xf numFmtId="1" fontId="8" fillId="9" borderId="48" xfId="0" applyNumberFormat="1" applyFont="1" applyFill="1" applyBorder="1"/>
    <xf numFmtId="168" fontId="8" fillId="9" borderId="48" xfId="0" applyNumberFormat="1" applyFont="1" applyFill="1" applyBorder="1"/>
    <xf numFmtId="9" fontId="8" fillId="0" borderId="48" xfId="0" applyNumberFormat="1" applyFont="1" applyFill="1" applyBorder="1" applyAlignment="1">
      <alignment horizontal="center"/>
    </xf>
    <xf numFmtId="165" fontId="8" fillId="3" borderId="48" xfId="0" applyNumberFormat="1" applyFont="1" applyFill="1" applyBorder="1" applyAlignment="1">
      <alignment horizontal="center"/>
    </xf>
    <xf numFmtId="166" fontId="8" fillId="9" borderId="48" xfId="0" applyNumberFormat="1" applyFont="1" applyFill="1" applyBorder="1" applyAlignment="1">
      <alignment horizontal="center"/>
    </xf>
    <xf numFmtId="165" fontId="8" fillId="9" borderId="48" xfId="0" applyNumberFormat="1" applyFont="1" applyFill="1" applyBorder="1" applyAlignment="1">
      <alignment horizontal="center"/>
    </xf>
    <xf numFmtId="168" fontId="8" fillId="9" borderId="48" xfId="0" applyNumberFormat="1" applyFont="1" applyFill="1" applyBorder="1" applyAlignment="1">
      <alignment horizontal="center"/>
    </xf>
    <xf numFmtId="1" fontId="8" fillId="9" borderId="48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1" xfId="1" applyNumberFormat="1" applyFont="1" applyFill="1" applyBorder="1" applyAlignment="1">
      <alignment horizontal="center"/>
    </xf>
    <xf numFmtId="166" fontId="8" fillId="0" borderId="39" xfId="1" applyNumberFormat="1" applyFont="1" applyFill="1" applyBorder="1" applyAlignment="1">
      <alignment horizontal="center"/>
    </xf>
    <xf numFmtId="165" fontId="8" fillId="0" borderId="51" xfId="0" applyNumberFormat="1" applyFont="1" applyFill="1" applyBorder="1" applyAlignment="1">
      <alignment horizontal="center"/>
    </xf>
    <xf numFmtId="166" fontId="8" fillId="0" borderId="48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/>
    </xf>
    <xf numFmtId="165" fontId="8" fillId="5" borderId="31" xfId="2" applyNumberFormat="1" applyFont="1" applyFill="1" applyBorder="1"/>
    <xf numFmtId="165" fontId="8" fillId="5" borderId="30" xfId="2" applyNumberFormat="1" applyFont="1" applyFill="1" applyBorder="1"/>
    <xf numFmtId="166" fontId="8" fillId="5" borderId="51" xfId="1" applyNumberFormat="1" applyFont="1" applyFill="1" applyBorder="1"/>
    <xf numFmtId="167" fontId="8" fillId="5" borderId="30" xfId="1" applyNumberFormat="1" applyFont="1" applyFill="1" applyBorder="1" applyAlignment="1">
      <alignment horizontal="center"/>
    </xf>
    <xf numFmtId="165" fontId="8" fillId="8" borderId="30" xfId="0" applyNumberFormat="1" applyFont="1" applyFill="1" applyBorder="1"/>
    <xf numFmtId="165" fontId="8" fillId="8" borderId="30" xfId="2" applyNumberFormat="1" applyFont="1" applyFill="1" applyBorder="1" applyAlignment="1">
      <alignment horizontal="center"/>
    </xf>
    <xf numFmtId="166" fontId="8" fillId="8" borderId="30" xfId="1" applyNumberFormat="1" applyFont="1" applyFill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20" fontId="8" fillId="8" borderId="30" xfId="0" applyNumberFormat="1" applyFont="1" applyFill="1" applyBorder="1" applyAlignment="1">
      <alignment horizontal="center"/>
    </xf>
    <xf numFmtId="165" fontId="8" fillId="7" borderId="51" xfId="2" applyNumberFormat="1" applyFont="1" applyFill="1" applyBorder="1" applyAlignment="1">
      <alignment horizontal="center"/>
    </xf>
    <xf numFmtId="165" fontId="8" fillId="7" borderId="31" xfId="2" applyNumberFormat="1" applyFont="1" applyFill="1" applyBorder="1" applyAlignment="1">
      <alignment horizontal="center"/>
    </xf>
    <xf numFmtId="166" fontId="8" fillId="7" borderId="30" xfId="1" applyNumberFormat="1" applyFont="1" applyFill="1" applyBorder="1" applyAlignment="1">
      <alignment horizontal="center"/>
    </xf>
    <xf numFmtId="167" fontId="8" fillId="7" borderId="51" xfId="0" applyNumberFormat="1" applyFont="1" applyFill="1" applyBorder="1" applyAlignment="1">
      <alignment horizontal="center"/>
    </xf>
    <xf numFmtId="167" fontId="8" fillId="7" borderId="47" xfId="0" applyNumberFormat="1" applyFont="1" applyFill="1" applyBorder="1" applyAlignment="1">
      <alignment horizontal="center"/>
    </xf>
    <xf numFmtId="166" fontId="8" fillId="9" borderId="55" xfId="0" applyNumberFormat="1" applyFont="1" applyFill="1" applyBorder="1" applyAlignment="1">
      <alignment horizontal="center"/>
    </xf>
    <xf numFmtId="165" fontId="8" fillId="9" borderId="55" xfId="0" applyNumberFormat="1" applyFont="1" applyFill="1" applyBorder="1" applyAlignment="1">
      <alignment horizontal="center"/>
    </xf>
    <xf numFmtId="168" fontId="8" fillId="9" borderId="55" xfId="0" applyNumberFormat="1" applyFont="1" applyFill="1" applyBorder="1" applyAlignment="1">
      <alignment horizontal="center"/>
    </xf>
    <xf numFmtId="1" fontId="8" fillId="9" borderId="55" xfId="0" applyNumberFormat="1" applyFont="1" applyFill="1" applyBorder="1" applyAlignment="1">
      <alignment horizontal="center"/>
    </xf>
    <xf numFmtId="165" fontId="8" fillId="5" borderId="30" xfId="2" applyNumberFormat="1" applyFont="1" applyFill="1" applyBorder="1" applyAlignment="1">
      <alignment horizontal="center"/>
    </xf>
    <xf numFmtId="166" fontId="8" fillId="5" borderId="31" xfId="1" applyNumberFormat="1" applyFont="1" applyFill="1" applyBorder="1" applyAlignment="1">
      <alignment horizontal="center"/>
    </xf>
    <xf numFmtId="167" fontId="8" fillId="5" borderId="30" xfId="0" applyNumberFormat="1" applyFont="1" applyFill="1" applyBorder="1" applyAlignment="1">
      <alignment horizontal="center"/>
    </xf>
    <xf numFmtId="166" fontId="8" fillId="5" borderId="51" xfId="1" applyNumberFormat="1" applyFont="1" applyFill="1" applyBorder="1" applyAlignment="1">
      <alignment horizontal="center"/>
    </xf>
    <xf numFmtId="0" fontId="0" fillId="0" borderId="56" xfId="0" applyBorder="1"/>
    <xf numFmtId="0" fontId="4" fillId="3" borderId="58" xfId="0" applyFont="1" applyFill="1" applyBorder="1" applyAlignment="1">
      <alignment horizontal="center"/>
    </xf>
    <xf numFmtId="0" fontId="8" fillId="0" borderId="58" xfId="0" applyFont="1" applyFill="1" applyBorder="1"/>
    <xf numFmtId="0" fontId="8" fillId="0" borderId="58" xfId="0" applyFont="1" applyFill="1" applyBorder="1" applyAlignment="1">
      <alignment horizontal="center" vertical="center" wrapText="1"/>
    </xf>
    <xf numFmtId="0" fontId="8" fillId="0" borderId="58" xfId="0" applyFont="1" applyBorder="1"/>
    <xf numFmtId="0" fontId="4" fillId="0" borderId="58" xfId="0" applyFont="1" applyBorder="1"/>
    <xf numFmtId="0" fontId="0" fillId="0" borderId="58" xfId="0" applyBorder="1"/>
    <xf numFmtId="0" fontId="0" fillId="0" borderId="65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7" xfId="0" applyNumberFormat="1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165" fontId="8" fillId="5" borderId="68" xfId="2" applyNumberFormat="1" applyFont="1" applyFill="1" applyBorder="1"/>
    <xf numFmtId="165" fontId="8" fillId="5" borderId="57" xfId="2" applyNumberFormat="1" applyFont="1" applyFill="1" applyBorder="1"/>
    <xf numFmtId="166" fontId="8" fillId="5" borderId="67" xfId="1" applyNumberFormat="1" applyFont="1" applyFill="1" applyBorder="1"/>
    <xf numFmtId="167" fontId="8" fillId="5" borderId="57" xfId="1" applyNumberFormat="1" applyFont="1" applyFill="1" applyBorder="1" applyAlignment="1">
      <alignment horizontal="center"/>
    </xf>
    <xf numFmtId="9" fontId="8" fillId="3" borderId="57" xfId="2" applyFont="1" applyFill="1" applyBorder="1" applyAlignment="1">
      <alignment horizontal="center"/>
    </xf>
    <xf numFmtId="9" fontId="8" fillId="3" borderId="67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7" xfId="2" applyNumberFormat="1" applyFont="1" applyFill="1" applyBorder="1" applyAlignment="1">
      <alignment horizontal="center"/>
    </xf>
    <xf numFmtId="165" fontId="8" fillId="8" borderId="57" xfId="2" applyNumberFormat="1" applyFont="1" applyFill="1" applyBorder="1" applyAlignment="1">
      <alignment horizontal="center"/>
    </xf>
    <xf numFmtId="166" fontId="8" fillId="8" borderId="57" xfId="1" applyNumberFormat="1" applyFont="1" applyFill="1" applyBorder="1" applyAlignment="1">
      <alignment horizontal="center"/>
    </xf>
    <xf numFmtId="167" fontId="8" fillId="8" borderId="57" xfId="0" applyNumberFormat="1" applyFont="1" applyFill="1" applyBorder="1" applyAlignment="1">
      <alignment horizontal="center"/>
    </xf>
    <xf numFmtId="165" fontId="8" fillId="7" borderId="67" xfId="2" applyNumberFormat="1" applyFont="1" applyFill="1" applyBorder="1" applyAlignment="1">
      <alignment horizontal="center"/>
    </xf>
    <xf numFmtId="165" fontId="8" fillId="7" borderId="68" xfId="2" applyNumberFormat="1" applyFont="1" applyFill="1" applyBorder="1" applyAlignment="1">
      <alignment horizontal="center"/>
    </xf>
    <xf numFmtId="166" fontId="8" fillId="7" borderId="57" xfId="1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7" fontId="8" fillId="7" borderId="69" xfId="0" applyNumberFormat="1" applyFont="1" applyFill="1" applyBorder="1" applyAlignment="1">
      <alignment horizontal="center"/>
    </xf>
    <xf numFmtId="165" fontId="8" fillId="5" borderId="57" xfId="2" applyNumberFormat="1" applyFont="1" applyFill="1" applyBorder="1" applyAlignment="1">
      <alignment horizontal="center"/>
    </xf>
    <xf numFmtId="166" fontId="8" fillId="5" borderId="68" xfId="1" applyNumberFormat="1" applyFont="1" applyFill="1" applyBorder="1" applyAlignment="1">
      <alignment horizontal="center"/>
    </xf>
    <xf numFmtId="167" fontId="8" fillId="5" borderId="57" xfId="0" applyNumberFormat="1" applyFont="1" applyFill="1" applyBorder="1" applyAlignment="1">
      <alignment horizontal="center"/>
    </xf>
    <xf numFmtId="166" fontId="8" fillId="5" borderId="67" xfId="1" applyNumberFormat="1" applyFont="1" applyFill="1" applyBorder="1" applyAlignment="1">
      <alignment horizontal="center"/>
    </xf>
    <xf numFmtId="9" fontId="8" fillId="0" borderId="57" xfId="2" applyFont="1" applyFill="1" applyBorder="1" applyAlignment="1">
      <alignment horizontal="center"/>
    </xf>
    <xf numFmtId="9" fontId="8" fillId="0" borderId="68" xfId="2" applyFont="1" applyFill="1" applyBorder="1" applyAlignment="1">
      <alignment horizontal="center"/>
    </xf>
    <xf numFmtId="9" fontId="8" fillId="0" borderId="69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165" fontId="8" fillId="8" borderId="57" xfId="0" applyNumberFormat="1" applyFont="1" applyFill="1" applyBorder="1"/>
    <xf numFmtId="0" fontId="4" fillId="0" borderId="67" xfId="0" applyFont="1" applyFill="1" applyBorder="1" applyAlignment="1">
      <alignment horizontal="center"/>
    </xf>
    <xf numFmtId="20" fontId="8" fillId="8" borderId="57" xfId="0" applyNumberFormat="1" applyFont="1" applyFill="1" applyBorder="1" applyAlignment="1">
      <alignment horizontal="center"/>
    </xf>
    <xf numFmtId="0" fontId="0" fillId="0" borderId="65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5" fontId="8" fillId="0" borderId="51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60" xfId="2" applyNumberFormat="1" applyFont="1" applyFill="1" applyBorder="1" applyAlignment="1">
      <alignment horizontal="center"/>
    </xf>
    <xf numFmtId="167" fontId="4" fillId="5" borderId="60" xfId="0" applyNumberFormat="1" applyFont="1" applyFill="1" applyBorder="1" applyAlignment="1">
      <alignment horizontal="center"/>
    </xf>
    <xf numFmtId="165" fontId="4" fillId="5" borderId="60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60" xfId="0" applyBorder="1"/>
    <xf numFmtId="9" fontId="0" fillId="0" borderId="60" xfId="2" applyFont="1" applyBorder="1"/>
    <xf numFmtId="165" fontId="0" fillId="0" borderId="60" xfId="0" applyNumberFormat="1" applyBorder="1"/>
    <xf numFmtId="14" fontId="0" fillId="0" borderId="60" xfId="0" applyNumberFormat="1" applyBorder="1"/>
    <xf numFmtId="165" fontId="9" fillId="9" borderId="48" xfId="0" applyNumberFormat="1" applyFont="1" applyFill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3" xfId="0" applyFont="1" applyFill="1" applyBorder="1" applyAlignment="1">
      <alignment horizontal="center" vertical="center" wrapText="1"/>
    </xf>
    <xf numFmtId="0" fontId="8" fillId="4" borderId="58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6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27820</c:v>
                </c:pt>
                <c:pt idx="1">
                  <c:v>54030</c:v>
                </c:pt>
                <c:pt idx="2">
                  <c:v>54392</c:v>
                </c:pt>
                <c:pt idx="3">
                  <c:v>52564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21444</c:v>
                </c:pt>
                <c:pt idx="1">
                  <c:v>47580</c:v>
                </c:pt>
                <c:pt idx="2">
                  <c:v>47504</c:v>
                </c:pt>
                <c:pt idx="3">
                  <c:v>46003.81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abSelected="1" view="pageBreakPreview" topLeftCell="C23" zoomScale="120" zoomScaleNormal="120" zoomScaleSheetLayoutView="120" workbookViewId="0">
      <selection activeCell="Z37" sqref="Z37"/>
    </sheetView>
  </sheetViews>
  <sheetFormatPr baseColWidth="10" defaultColWidth="11.42578125" defaultRowHeight="15" x14ac:dyDescent="0.25"/>
  <cols>
    <col min="1" max="1" width="2.28515625" style="157" customWidth="1"/>
    <col min="2" max="2" width="10.42578125" style="14" customWidth="1"/>
    <col min="3" max="3" width="2.28515625" style="190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56" customFormat="1" ht="14.65" customHeight="1" x14ac:dyDescent="0.25">
      <c r="A1" s="150">
        <v>1.1111111E+55</v>
      </c>
      <c r="B1" s="207" t="s">
        <v>0</v>
      </c>
      <c r="C1" s="151"/>
      <c r="D1" s="209" t="s">
        <v>1</v>
      </c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  <c r="P1" s="212"/>
      <c r="Q1" s="152"/>
      <c r="R1" s="217" t="s">
        <v>2</v>
      </c>
      <c r="S1" s="218"/>
      <c r="T1" s="218"/>
      <c r="U1" s="218"/>
      <c r="V1" s="218"/>
      <c r="W1" s="218"/>
      <c r="X1" s="218"/>
      <c r="Y1" s="218"/>
      <c r="Z1" s="218"/>
      <c r="AA1" s="219"/>
      <c r="AB1" s="153"/>
      <c r="AC1" s="217" t="s">
        <v>3</v>
      </c>
      <c r="AD1" s="218"/>
      <c r="AE1" s="218"/>
      <c r="AF1" s="218"/>
      <c r="AG1" s="218"/>
      <c r="AH1" s="218"/>
      <c r="AI1" s="218"/>
      <c r="AJ1" s="218"/>
      <c r="AK1" s="219"/>
      <c r="AL1" s="154"/>
      <c r="AM1" s="217" t="s">
        <v>4</v>
      </c>
      <c r="AN1" s="218"/>
      <c r="AO1" s="218"/>
      <c r="AP1" s="218"/>
      <c r="AQ1" s="218"/>
      <c r="AR1" s="218"/>
      <c r="AS1" s="218"/>
      <c r="AT1" s="218"/>
      <c r="AU1" s="219"/>
      <c r="AV1" s="154"/>
      <c r="AW1" s="217" t="s">
        <v>58</v>
      </c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9"/>
      <c r="BI1" s="154"/>
      <c r="BJ1" s="217" t="s">
        <v>5</v>
      </c>
      <c r="BK1" s="218"/>
      <c r="BL1" s="218"/>
      <c r="BM1" s="218"/>
      <c r="BN1" s="218"/>
      <c r="BO1" s="218"/>
      <c r="BP1" s="218"/>
      <c r="BQ1" s="218"/>
      <c r="BR1" s="219"/>
      <c r="BS1" s="155"/>
    </row>
    <row r="2" spans="1:72" ht="15" customHeight="1" thickBot="1" x14ac:dyDescent="0.3">
      <c r="B2" s="207"/>
      <c r="C2" s="1"/>
      <c r="D2" s="213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5"/>
      <c r="P2" s="216"/>
      <c r="Q2" s="59"/>
      <c r="R2" s="220"/>
      <c r="S2" s="221"/>
      <c r="T2" s="221"/>
      <c r="U2" s="221"/>
      <c r="V2" s="221"/>
      <c r="W2" s="221"/>
      <c r="X2" s="221"/>
      <c r="Y2" s="221"/>
      <c r="Z2" s="221"/>
      <c r="AA2" s="222"/>
      <c r="AB2" s="61"/>
      <c r="AC2" s="220"/>
      <c r="AD2" s="221"/>
      <c r="AE2" s="221"/>
      <c r="AF2" s="221"/>
      <c r="AG2" s="221"/>
      <c r="AH2" s="221"/>
      <c r="AI2" s="221"/>
      <c r="AJ2" s="221"/>
      <c r="AK2" s="222"/>
      <c r="AL2" s="60"/>
      <c r="AM2" s="220"/>
      <c r="AN2" s="221"/>
      <c r="AO2" s="221"/>
      <c r="AP2" s="221"/>
      <c r="AQ2" s="221"/>
      <c r="AR2" s="221"/>
      <c r="AS2" s="221"/>
      <c r="AT2" s="221"/>
      <c r="AU2" s="222"/>
      <c r="AV2" s="60"/>
      <c r="AW2" s="220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2"/>
      <c r="BI2" s="60"/>
      <c r="BJ2" s="220"/>
      <c r="BK2" s="221"/>
      <c r="BL2" s="221"/>
      <c r="BM2" s="221"/>
      <c r="BN2" s="221"/>
      <c r="BO2" s="221"/>
      <c r="BP2" s="221"/>
      <c r="BQ2" s="221"/>
      <c r="BR2" s="222"/>
      <c r="BS2" s="158"/>
    </row>
    <row r="3" spans="1:72" ht="30" customHeight="1" thickBot="1" x14ac:dyDescent="0.3">
      <c r="B3" s="207"/>
      <c r="C3" s="1"/>
      <c r="D3" s="226" t="s">
        <v>6</v>
      </c>
      <c r="E3" s="226" t="s">
        <v>7</v>
      </c>
      <c r="F3" s="226" t="s">
        <v>8</v>
      </c>
      <c r="G3" s="226" t="s">
        <v>9</v>
      </c>
      <c r="H3" s="226" t="s">
        <v>10</v>
      </c>
      <c r="I3" s="228" t="s">
        <v>11</v>
      </c>
      <c r="J3" s="229"/>
      <c r="K3" s="230"/>
      <c r="L3" s="231"/>
      <c r="M3" s="228" t="s">
        <v>12</v>
      </c>
      <c r="N3" s="229"/>
      <c r="O3" s="230"/>
      <c r="P3" s="231"/>
      <c r="Q3" s="59"/>
      <c r="R3" s="232" t="s">
        <v>13</v>
      </c>
      <c r="S3" s="224"/>
      <c r="T3" s="233"/>
      <c r="U3" s="233"/>
      <c r="V3" s="232" t="s">
        <v>14</v>
      </c>
      <c r="W3" s="224"/>
      <c r="X3" s="224"/>
      <c r="Y3" s="224"/>
      <c r="Z3" s="224"/>
      <c r="AA3" s="225"/>
      <c r="AB3" s="61"/>
      <c r="AC3" s="234" t="s">
        <v>15</v>
      </c>
      <c r="AD3" s="236" t="s">
        <v>9</v>
      </c>
      <c r="AE3" s="232" t="s">
        <v>13</v>
      </c>
      <c r="AF3" s="224"/>
      <c r="AG3" s="225"/>
      <c r="AH3" s="232" t="s">
        <v>14</v>
      </c>
      <c r="AI3" s="224"/>
      <c r="AJ3" s="224"/>
      <c r="AK3" s="225"/>
      <c r="AL3" s="60"/>
      <c r="AM3" s="237" t="s">
        <v>15</v>
      </c>
      <c r="AN3" s="234" t="s">
        <v>9</v>
      </c>
      <c r="AO3" s="223" t="s">
        <v>13</v>
      </c>
      <c r="AP3" s="224"/>
      <c r="AQ3" s="225"/>
      <c r="AR3" s="232" t="s">
        <v>14</v>
      </c>
      <c r="AS3" s="224"/>
      <c r="AT3" s="224"/>
      <c r="AU3" s="225"/>
      <c r="AV3" s="60"/>
      <c r="AW3" s="234" t="s">
        <v>15</v>
      </c>
      <c r="AX3" s="234" t="s">
        <v>9</v>
      </c>
      <c r="AY3" s="223" t="s">
        <v>13</v>
      </c>
      <c r="AZ3" s="223"/>
      <c r="BA3" s="224"/>
      <c r="BB3" s="225"/>
      <c r="BC3" s="232" t="s">
        <v>14</v>
      </c>
      <c r="BD3" s="223"/>
      <c r="BE3" s="223"/>
      <c r="BF3" s="224"/>
      <c r="BG3" s="224"/>
      <c r="BH3" s="225"/>
      <c r="BI3" s="60"/>
      <c r="BJ3" s="237" t="s">
        <v>16</v>
      </c>
      <c r="BK3" s="234" t="s">
        <v>17</v>
      </c>
      <c r="BL3" s="238" t="s">
        <v>18</v>
      </c>
      <c r="BM3" s="239"/>
      <c r="BN3" s="240"/>
      <c r="BO3" s="223" t="s">
        <v>14</v>
      </c>
      <c r="BP3" s="224"/>
      <c r="BQ3" s="224"/>
      <c r="BR3" s="225"/>
      <c r="BS3" s="158"/>
    </row>
    <row r="4" spans="1:72" ht="56.25" customHeight="1" thickBot="1" x14ac:dyDescent="0.3">
      <c r="B4" s="208"/>
      <c r="C4" s="2"/>
      <c r="D4" s="227"/>
      <c r="E4" s="227"/>
      <c r="F4" s="227"/>
      <c r="G4" s="227"/>
      <c r="H4" s="227"/>
      <c r="I4" s="81" t="s">
        <v>3</v>
      </c>
      <c r="J4" s="82" t="s">
        <v>4</v>
      </c>
      <c r="K4" s="83" t="s">
        <v>58</v>
      </c>
      <c r="L4" s="83" t="s">
        <v>5</v>
      </c>
      <c r="M4" s="82" t="s">
        <v>3</v>
      </c>
      <c r="N4" s="82" t="s">
        <v>4</v>
      </c>
      <c r="O4" s="82" t="s">
        <v>58</v>
      </c>
      <c r="P4" s="82" t="s">
        <v>19</v>
      </c>
      <c r="Q4" s="61"/>
      <c r="R4" s="123" t="s">
        <v>20</v>
      </c>
      <c r="S4" s="63" t="s">
        <v>21</v>
      </c>
      <c r="T4" s="63" t="s">
        <v>60</v>
      </c>
      <c r="U4" s="63" t="s">
        <v>22</v>
      </c>
      <c r="V4" s="124" t="s">
        <v>23</v>
      </c>
      <c r="W4" s="63" t="s">
        <v>24</v>
      </c>
      <c r="X4" s="124" t="s">
        <v>25</v>
      </c>
      <c r="Y4" s="63" t="s">
        <v>24</v>
      </c>
      <c r="Z4" s="126" t="s">
        <v>26</v>
      </c>
      <c r="AA4" s="126" t="s">
        <v>24</v>
      </c>
      <c r="AB4" s="61"/>
      <c r="AC4" s="235"/>
      <c r="AD4" s="218"/>
      <c r="AE4" s="63" t="s">
        <v>27</v>
      </c>
      <c r="AF4" s="123" t="s">
        <v>28</v>
      </c>
      <c r="AG4" s="63" t="s">
        <v>29</v>
      </c>
      <c r="AH4" s="125" t="s">
        <v>30</v>
      </c>
      <c r="AI4" s="63" t="s">
        <v>24</v>
      </c>
      <c r="AJ4" s="63" t="s">
        <v>31</v>
      </c>
      <c r="AK4" s="63" t="s">
        <v>24</v>
      </c>
      <c r="AL4" s="62"/>
      <c r="AM4" s="217"/>
      <c r="AN4" s="235"/>
      <c r="AO4" s="124" t="s">
        <v>27</v>
      </c>
      <c r="AP4" s="63" t="s">
        <v>28</v>
      </c>
      <c r="AQ4" s="123" t="s">
        <v>29</v>
      </c>
      <c r="AR4" s="63" t="s">
        <v>30</v>
      </c>
      <c r="AS4" s="124" t="s">
        <v>24</v>
      </c>
      <c r="AT4" s="63" t="s">
        <v>31</v>
      </c>
      <c r="AU4" s="125" t="s">
        <v>24</v>
      </c>
      <c r="AV4" s="62"/>
      <c r="AW4" s="235"/>
      <c r="AX4" s="235"/>
      <c r="AY4" s="124" t="s">
        <v>27</v>
      </c>
      <c r="AZ4" s="63" t="s">
        <v>59</v>
      </c>
      <c r="BA4" s="124" t="s">
        <v>61</v>
      </c>
      <c r="BB4" s="63" t="s">
        <v>29</v>
      </c>
      <c r="BC4" s="124" t="s">
        <v>56</v>
      </c>
      <c r="BD4" s="63" t="s">
        <v>24</v>
      </c>
      <c r="BE4" s="124" t="s">
        <v>57</v>
      </c>
      <c r="BF4" s="63" t="s">
        <v>24</v>
      </c>
      <c r="BG4" s="124" t="s">
        <v>31</v>
      </c>
      <c r="BH4" s="63" t="s">
        <v>24</v>
      </c>
      <c r="BI4" s="62"/>
      <c r="BJ4" s="217"/>
      <c r="BK4" s="235"/>
      <c r="BL4" s="124" t="s">
        <v>32</v>
      </c>
      <c r="BM4" s="63" t="s">
        <v>33</v>
      </c>
      <c r="BN4" s="63" t="s">
        <v>34</v>
      </c>
      <c r="BO4" s="63" t="s">
        <v>35</v>
      </c>
      <c r="BP4" s="124" t="s">
        <v>24</v>
      </c>
      <c r="BQ4" s="63" t="s">
        <v>36</v>
      </c>
      <c r="BR4" s="125" t="s">
        <v>24</v>
      </c>
      <c r="BS4" s="159"/>
    </row>
    <row r="5" spans="1:72" ht="15.75" thickBot="1" x14ac:dyDescent="0.3">
      <c r="B5" s="160"/>
      <c r="C5" s="161"/>
      <c r="D5" s="84"/>
      <c r="E5" s="72"/>
      <c r="F5" s="84"/>
      <c r="G5" s="72"/>
      <c r="H5" s="85"/>
      <c r="I5" s="86"/>
      <c r="J5" s="72"/>
      <c r="K5" s="87"/>
      <c r="L5" s="87"/>
      <c r="M5" s="85"/>
      <c r="N5" s="85"/>
      <c r="O5" s="85"/>
      <c r="P5" s="85"/>
      <c r="Q5" s="64"/>
      <c r="R5" s="162"/>
      <c r="S5" s="163"/>
      <c r="T5" s="163"/>
      <c r="U5" s="163"/>
      <c r="V5" s="164"/>
      <c r="W5" s="165"/>
      <c r="X5" s="164"/>
      <c r="Y5" s="165"/>
      <c r="Z5" s="164"/>
      <c r="AA5" s="165"/>
      <c r="AB5" s="65"/>
      <c r="AC5" s="166"/>
      <c r="AD5" s="167"/>
      <c r="AE5" s="95"/>
      <c r="AF5" s="120"/>
      <c r="AG5" s="95"/>
      <c r="AH5" s="95"/>
      <c r="AI5" s="96"/>
      <c r="AJ5" s="97"/>
      <c r="AK5" s="98"/>
      <c r="AL5" s="68"/>
      <c r="AM5" s="69"/>
      <c r="AN5" s="70"/>
      <c r="AO5" s="99"/>
      <c r="AP5" s="117"/>
      <c r="AQ5" s="100"/>
      <c r="AR5" s="101"/>
      <c r="AS5" s="102"/>
      <c r="AT5" s="103"/>
      <c r="AU5" s="104"/>
      <c r="AV5" s="68"/>
      <c r="AW5" s="105"/>
      <c r="AX5" s="106"/>
      <c r="AY5" s="107"/>
      <c r="AZ5" s="108"/>
      <c r="BA5" s="122"/>
      <c r="BB5" s="109"/>
      <c r="BC5" s="109"/>
      <c r="BD5" s="110"/>
      <c r="BE5" s="109"/>
      <c r="BF5" s="110"/>
      <c r="BG5" s="109"/>
      <c r="BH5" s="110"/>
      <c r="BI5" s="68"/>
      <c r="BJ5" s="73"/>
      <c r="BK5" s="70"/>
      <c r="BL5" s="74"/>
      <c r="BM5" s="66"/>
      <c r="BN5" s="66"/>
      <c r="BO5" s="71"/>
      <c r="BP5" s="75"/>
      <c r="BQ5" s="76"/>
      <c r="BR5" s="67"/>
      <c r="BS5" s="168"/>
    </row>
    <row r="6" spans="1:72" ht="15.75" thickBot="1" x14ac:dyDescent="0.3">
      <c r="B6" s="191">
        <v>45808</v>
      </c>
      <c r="C6" s="206"/>
      <c r="D6" s="88">
        <f t="shared" ref="D6" si="0">R6</f>
        <v>32862</v>
      </c>
      <c r="E6" s="182">
        <f t="shared" ref="E6" si="1">F6/D6</f>
        <v>0.80116852291400398</v>
      </c>
      <c r="F6" s="88">
        <f t="shared" ref="F6" si="2">D6-H6</f>
        <v>26328</v>
      </c>
      <c r="G6" s="182">
        <f t="shared" ref="G6" si="3">H6/D6</f>
        <v>0.19883147708599599</v>
      </c>
      <c r="H6" s="169">
        <f t="shared" ref="H6" si="4">U6+AG6+AQ6+BB6</f>
        <v>6534</v>
      </c>
      <c r="I6" s="183">
        <f t="shared" ref="I6" si="5">AE6/(AE6+AO6+BL6+AY6)</f>
        <v>7.5225014450469294E-2</v>
      </c>
      <c r="J6" s="182">
        <f t="shared" ref="J6" si="6">AO6/(AE6+AO6+BL6+AY6)</f>
        <v>0.15909278577523328</v>
      </c>
      <c r="K6" s="182">
        <f t="shared" ref="K6" si="7">AY6/(AF6+AP6+BM6+AZ6+AY6)</f>
        <v>0.15941146989331997</v>
      </c>
      <c r="L6" s="184">
        <f t="shared" ref="L6" si="8">BL6/(AE6+AO6+BL6+AY6)</f>
        <v>0.64311469543915667</v>
      </c>
      <c r="M6" s="169">
        <f>(S6+T6)*I6</f>
        <v>2350.8569265916158</v>
      </c>
      <c r="N6" s="169">
        <f>(S6+T6)*J6</f>
        <v>4971.8086482618155</v>
      </c>
      <c r="O6" s="169">
        <f>(S6+T6)*K6</f>
        <v>4981.7678456361427</v>
      </c>
      <c r="P6" s="169">
        <f>(S6+T6)*L6</f>
        <v>20097.977347169086</v>
      </c>
      <c r="Q6" s="191">
        <f>B6</f>
        <v>45808</v>
      </c>
      <c r="R6" s="162">
        <v>32862</v>
      </c>
      <c r="S6" s="163">
        <v>0</v>
      </c>
      <c r="T6" s="163">
        <v>31251</v>
      </c>
      <c r="U6" s="163">
        <v>0</v>
      </c>
      <c r="V6" s="164">
        <v>6724</v>
      </c>
      <c r="W6" s="165">
        <v>0.54166666666666663</v>
      </c>
      <c r="X6" s="164">
        <v>2039</v>
      </c>
      <c r="Y6" s="165">
        <v>0.47916666666666669</v>
      </c>
      <c r="Z6" s="164">
        <v>0</v>
      </c>
      <c r="AA6" s="165">
        <v>0</v>
      </c>
      <c r="AB6" s="191">
        <f>B6</f>
        <v>45808</v>
      </c>
      <c r="AC6" s="77">
        <f t="shared" ref="AC6" si="9">+AF6/AE6</f>
        <v>1</v>
      </c>
      <c r="AD6" s="185">
        <f t="shared" ref="AD6" si="10">+AG6/AE6</f>
        <v>0</v>
      </c>
      <c r="AE6" s="186">
        <v>2733</v>
      </c>
      <c r="AF6" s="119">
        <f t="shared" ref="AF6" si="11">+AE6-AG6</f>
        <v>2733</v>
      </c>
      <c r="AG6" s="170">
        <v>0</v>
      </c>
      <c r="AH6" s="171">
        <v>1778</v>
      </c>
      <c r="AI6" s="172">
        <v>0.93680555555555556</v>
      </c>
      <c r="AJ6" s="171">
        <v>0</v>
      </c>
      <c r="AK6" s="188">
        <v>0</v>
      </c>
      <c r="AL6" s="191">
        <f>B6</f>
        <v>45808</v>
      </c>
      <c r="AM6" s="78">
        <f t="shared" ref="AM6" si="12">+AP6/AO6</f>
        <v>0.35017301038062282</v>
      </c>
      <c r="AN6" s="77">
        <f t="shared" ref="AN6" si="13">+AQ6/AO6</f>
        <v>0.64982698961937713</v>
      </c>
      <c r="AO6" s="173">
        <v>5780</v>
      </c>
      <c r="AP6" s="118">
        <f t="shared" ref="AP6" si="14">AO6-AQ6</f>
        <v>2024</v>
      </c>
      <c r="AQ6" s="174">
        <v>3756</v>
      </c>
      <c r="AR6" s="175">
        <v>1656</v>
      </c>
      <c r="AS6" s="176">
        <v>0.92222222222222228</v>
      </c>
      <c r="AT6" s="175">
        <v>180</v>
      </c>
      <c r="AU6" s="177">
        <v>0.8125</v>
      </c>
      <c r="AV6" s="191">
        <f>B6</f>
        <v>45808</v>
      </c>
      <c r="AW6" s="192">
        <f t="shared" ref="AW6" si="15">BA6/AZ6</f>
        <v>0.37615090949921404</v>
      </c>
      <c r="AX6" s="192">
        <f t="shared" ref="AX6" si="16">BB6/AZ6</f>
        <v>0.62384909050078596</v>
      </c>
      <c r="AY6" s="112">
        <f t="shared" ref="AY6" si="17">BA6+BB6</f>
        <v>4453</v>
      </c>
      <c r="AZ6" s="113">
        <v>4453</v>
      </c>
      <c r="BA6" s="193">
        <f t="shared" ref="BA6" si="18">AZ6-BB6</f>
        <v>1675</v>
      </c>
      <c r="BB6" s="114">
        <f>1628+1150</f>
        <v>2778</v>
      </c>
      <c r="BC6" s="113">
        <v>1356</v>
      </c>
      <c r="BD6" s="115">
        <v>0.59375</v>
      </c>
      <c r="BE6" s="116">
        <v>0</v>
      </c>
      <c r="BF6" s="115">
        <v>0</v>
      </c>
      <c r="BG6" s="116">
        <v>145</v>
      </c>
      <c r="BH6" s="115">
        <v>0.125</v>
      </c>
      <c r="BI6" s="191">
        <f>B6</f>
        <v>45808</v>
      </c>
      <c r="BJ6" s="194">
        <f t="shared" ref="BJ6" si="19">+BM6/BL6</f>
        <v>0.61078536272202011</v>
      </c>
      <c r="BK6" s="77">
        <f t="shared" ref="BK6" si="20">+BN6/BL6</f>
        <v>0.38921463727797989</v>
      </c>
      <c r="BL6" s="80">
        <f t="shared" ref="BL6" si="21">BM6+BN6</f>
        <v>23365</v>
      </c>
      <c r="BM6" s="178">
        <v>14271</v>
      </c>
      <c r="BN6" s="178">
        <v>9094</v>
      </c>
      <c r="BO6" s="179">
        <v>2260</v>
      </c>
      <c r="BP6" s="180">
        <v>0.64722222222222225</v>
      </c>
      <c r="BQ6" s="181">
        <v>1717</v>
      </c>
      <c r="BR6" s="180">
        <v>0.64722222222222225</v>
      </c>
    </row>
    <row r="7" spans="1:72" ht="15.75" thickBot="1" x14ac:dyDescent="0.3">
      <c r="A7" s="189"/>
      <c r="B7" s="57">
        <f>B6+1</f>
        <v>45809</v>
      </c>
      <c r="C7" s="127"/>
      <c r="D7" s="88">
        <f t="shared" ref="D7:D10" si="22">R7</f>
        <v>27820</v>
      </c>
      <c r="E7" s="182">
        <f t="shared" ref="E7:E10" si="23">F7/D7</f>
        <v>0.77081236520488861</v>
      </c>
      <c r="F7" s="88">
        <f t="shared" ref="F7:F10" si="24">D7-H7</f>
        <v>21444</v>
      </c>
      <c r="G7" s="182">
        <f t="shared" ref="G7:G10" si="25">H7/D7</f>
        <v>0.22918763479511142</v>
      </c>
      <c r="H7" s="169">
        <f t="shared" ref="H7:H10" si="26">U7+AG7+AQ7+BB7</f>
        <v>6376</v>
      </c>
      <c r="I7" s="183">
        <f t="shared" ref="I7:I10" si="27">AE7/(AE7+AO7+BL7+AY7)</f>
        <v>6.0126349812679059E-2</v>
      </c>
      <c r="J7" s="182">
        <f t="shared" ref="J7:J10" si="28">AO7/(AE7+AO7+BL7+AY7)</f>
        <v>0.19169176522441783</v>
      </c>
      <c r="K7" s="182">
        <f t="shared" ref="K7:K10" si="29">AY7/(AF7+AP7+BM7+AZ7+AY7)</f>
        <v>0.19954732320199547</v>
      </c>
      <c r="L7" s="184">
        <f t="shared" ref="L7:L10" si="30">BL7/(AE7+AO7+BL7+AY7)</f>
        <v>0.58951002717990153</v>
      </c>
      <c r="M7" s="169">
        <f t="shared" ref="M7:M10" si="31">(S7+T7)*I7</f>
        <v>1833.8536692867112</v>
      </c>
      <c r="N7" s="169">
        <f t="shared" ref="N7:N10" si="32">(S7+T7)*J7</f>
        <v>5846.5988393447442</v>
      </c>
      <c r="O7" s="169">
        <f t="shared" ref="O7:O10" si="33">(S7+T7)*K7</f>
        <v>6086.1933576608617</v>
      </c>
      <c r="P7" s="169">
        <f t="shared" ref="P7:P10" si="34">(S7+T7)*L7</f>
        <v>17980.055828986995</v>
      </c>
      <c r="Q7" s="57">
        <f>Q6+1</f>
        <v>45809</v>
      </c>
      <c r="R7" s="128">
        <v>27820</v>
      </c>
      <c r="S7" s="129">
        <v>0</v>
      </c>
      <c r="T7" s="129">
        <v>30500</v>
      </c>
      <c r="U7" s="129">
        <v>0</v>
      </c>
      <c r="V7" s="130">
        <v>6520</v>
      </c>
      <c r="W7" s="131">
        <v>0.60416666666666663</v>
      </c>
      <c r="X7" s="130">
        <v>2015</v>
      </c>
      <c r="Y7" s="131">
        <v>0.54166666666666663</v>
      </c>
      <c r="Z7" s="130">
        <v>0</v>
      </c>
      <c r="AA7" s="131">
        <v>0</v>
      </c>
      <c r="AB7" s="57">
        <f>AB6+1</f>
        <v>45809</v>
      </c>
      <c r="AC7" s="77">
        <f t="shared" ref="AC7:AC10" si="35">+AF7/AE7</f>
        <v>1</v>
      </c>
      <c r="AD7" s="185">
        <f t="shared" ref="AD7:AD10" si="36">+AG7/AE7</f>
        <v>0</v>
      </c>
      <c r="AE7" s="132">
        <v>1637</v>
      </c>
      <c r="AF7" s="119">
        <f t="shared" ref="AF7:AF38" si="37">+AE7-AG7</f>
        <v>1637</v>
      </c>
      <c r="AG7" s="133">
        <v>0</v>
      </c>
      <c r="AH7" s="134">
        <v>1429</v>
      </c>
      <c r="AI7" s="135">
        <v>0.8833333333333333</v>
      </c>
      <c r="AJ7" s="134">
        <v>0</v>
      </c>
      <c r="AK7" s="136">
        <v>0</v>
      </c>
      <c r="AL7" s="57">
        <f t="shared" ref="AL7:AL38" si="38">AL6+1</f>
        <v>45809</v>
      </c>
      <c r="AM7" s="78">
        <f t="shared" ref="AM7:AM10" si="39">+AP7/AO7</f>
        <v>0.29181835600689787</v>
      </c>
      <c r="AN7" s="77">
        <f t="shared" ref="AN7:AN10" si="40">+AQ7/AO7</f>
        <v>0.70818164399310213</v>
      </c>
      <c r="AO7" s="137">
        <v>5219</v>
      </c>
      <c r="AP7" s="118">
        <f t="shared" ref="AP7:AP38" si="41">AO7-AQ7</f>
        <v>1523</v>
      </c>
      <c r="AQ7" s="138">
        <v>3696</v>
      </c>
      <c r="AR7" s="139">
        <v>1635</v>
      </c>
      <c r="AS7" s="140">
        <v>0.87986111111111109</v>
      </c>
      <c r="AT7" s="139">
        <v>185</v>
      </c>
      <c r="AU7" s="141">
        <v>0.86250000000000004</v>
      </c>
      <c r="AV7" s="57">
        <f>AV6+1</f>
        <v>45809</v>
      </c>
      <c r="AW7" s="111">
        <f t="shared" ref="AW7:AW10" si="42">BA7/AZ7</f>
        <v>0.37962962962962965</v>
      </c>
      <c r="AX7" s="111">
        <f t="shared" ref="AX7:AX10" si="43">BB7/AZ7</f>
        <v>0.62037037037037035</v>
      </c>
      <c r="AY7" s="112">
        <f t="shared" ref="AY7:AY37" si="44">BA7+BB7</f>
        <v>4320</v>
      </c>
      <c r="AZ7" s="142">
        <v>4320</v>
      </c>
      <c r="BA7" s="121">
        <f t="shared" ref="BA7:BA13" si="45">AZ7-BB7</f>
        <v>1640</v>
      </c>
      <c r="BB7" s="143">
        <v>2680</v>
      </c>
      <c r="BC7" s="142">
        <v>1350</v>
      </c>
      <c r="BD7" s="144">
        <v>0.625</v>
      </c>
      <c r="BE7" s="145">
        <v>0</v>
      </c>
      <c r="BF7" s="144">
        <v>0</v>
      </c>
      <c r="BG7" s="145">
        <v>143</v>
      </c>
      <c r="BH7" s="144">
        <v>0.35416666666666669</v>
      </c>
      <c r="BI7" s="57">
        <f>BI6+1</f>
        <v>45809</v>
      </c>
      <c r="BJ7" s="79">
        <f t="shared" ref="BJ7:BJ10" si="46">+BM7/BL7</f>
        <v>0.61364485981308414</v>
      </c>
      <c r="BK7" s="77">
        <f t="shared" ref="BK7:BK10" si="47">+BN7/BL7</f>
        <v>0.38635514018691591</v>
      </c>
      <c r="BL7" s="80">
        <f t="shared" ref="BL7:BL10" si="48">BM7+BN7</f>
        <v>16050</v>
      </c>
      <c r="BM7" s="146">
        <v>9849</v>
      </c>
      <c r="BN7" s="146">
        <v>6201</v>
      </c>
      <c r="BO7" s="147">
        <v>2516</v>
      </c>
      <c r="BP7" s="148">
        <v>0.68472222222222223</v>
      </c>
      <c r="BQ7" s="149">
        <v>1667</v>
      </c>
      <c r="BR7" s="148">
        <v>0.68472222222222223</v>
      </c>
    </row>
    <row r="8" spans="1:72" ht="15.75" thickBot="1" x14ac:dyDescent="0.3">
      <c r="A8" s="189"/>
      <c r="B8" s="57">
        <f t="shared" ref="B8:B36" si="49">B7+1</f>
        <v>45810</v>
      </c>
      <c r="C8" s="187"/>
      <c r="D8" s="88">
        <f t="shared" si="22"/>
        <v>54030</v>
      </c>
      <c r="E8" s="182">
        <f t="shared" si="23"/>
        <v>0.88062187673514714</v>
      </c>
      <c r="F8" s="88">
        <f t="shared" si="24"/>
        <v>47580</v>
      </c>
      <c r="G8" s="182">
        <f t="shared" si="25"/>
        <v>0.11937812326485286</v>
      </c>
      <c r="H8" s="169">
        <v>6450</v>
      </c>
      <c r="I8" s="183">
        <f t="shared" si="27"/>
        <v>0.11351866182510864</v>
      </c>
      <c r="J8" s="182">
        <f t="shared" si="28"/>
        <v>0.16911720935769986</v>
      </c>
      <c r="K8" s="182">
        <f t="shared" si="29"/>
        <v>0.18010853293413173</v>
      </c>
      <c r="L8" s="184">
        <f t="shared" si="30"/>
        <v>0.56457725658273306</v>
      </c>
      <c r="M8" s="169">
        <f t="shared" si="31"/>
        <v>5971.0816120007148</v>
      </c>
      <c r="N8" s="169">
        <f t="shared" si="32"/>
        <v>8895.5652122150132</v>
      </c>
      <c r="O8" s="169">
        <f t="shared" si="33"/>
        <v>9473.7088323353291</v>
      </c>
      <c r="P8" s="169">
        <f t="shared" si="34"/>
        <v>29696.763696251757</v>
      </c>
      <c r="Q8" s="57">
        <f t="shared" ref="Q8:Q37" si="50">Q7+1</f>
        <v>45810</v>
      </c>
      <c r="R8" s="162">
        <v>54030</v>
      </c>
      <c r="S8" s="163">
        <v>0</v>
      </c>
      <c r="T8" s="163">
        <v>52600</v>
      </c>
      <c r="U8" s="163">
        <v>0</v>
      </c>
      <c r="V8" s="164">
        <v>12240</v>
      </c>
      <c r="W8" s="165">
        <v>0.72916666666666663</v>
      </c>
      <c r="X8" s="164">
        <v>4500</v>
      </c>
      <c r="Y8" s="165">
        <v>0.75</v>
      </c>
      <c r="Z8" s="164">
        <v>0</v>
      </c>
      <c r="AA8" s="165">
        <v>0</v>
      </c>
      <c r="AB8" s="57">
        <f t="shared" ref="AB8:AB38" si="51">AB7+1</f>
        <v>45810</v>
      </c>
      <c r="AC8" s="77">
        <f t="shared" si="35"/>
        <v>1</v>
      </c>
      <c r="AD8" s="185">
        <f t="shared" si="36"/>
        <v>0</v>
      </c>
      <c r="AE8" s="186">
        <v>5721</v>
      </c>
      <c r="AF8" s="119">
        <f t="shared" si="37"/>
        <v>5721</v>
      </c>
      <c r="AG8" s="170">
        <v>0</v>
      </c>
      <c r="AH8" s="171">
        <v>3647</v>
      </c>
      <c r="AI8" s="172">
        <v>0.34027777777777779</v>
      </c>
      <c r="AJ8" s="171">
        <v>0</v>
      </c>
      <c r="AK8" s="188">
        <v>0</v>
      </c>
      <c r="AL8" s="57">
        <f t="shared" si="38"/>
        <v>45810</v>
      </c>
      <c r="AM8" s="78">
        <f t="shared" si="39"/>
        <v>0.49935468731667254</v>
      </c>
      <c r="AN8" s="77">
        <f t="shared" si="40"/>
        <v>0.50064531268332746</v>
      </c>
      <c r="AO8" s="173">
        <v>8523</v>
      </c>
      <c r="AP8" s="118">
        <f t="shared" si="41"/>
        <v>4256</v>
      </c>
      <c r="AQ8" s="174">
        <v>4267</v>
      </c>
      <c r="AR8" s="175">
        <v>3212</v>
      </c>
      <c r="AS8" s="176" t="s">
        <v>69</v>
      </c>
      <c r="AT8" s="175">
        <v>215</v>
      </c>
      <c r="AU8" s="177">
        <v>0.75486111111111109</v>
      </c>
      <c r="AV8" s="57">
        <f t="shared" ref="AV8:AV38" si="52">AV7+1</f>
        <v>45810</v>
      </c>
      <c r="AW8" s="111">
        <f t="shared" si="42"/>
        <v>0.62467532467532472</v>
      </c>
      <c r="AX8" s="111">
        <f t="shared" si="43"/>
        <v>0.37532467532467534</v>
      </c>
      <c r="AY8" s="112">
        <f t="shared" si="44"/>
        <v>7700</v>
      </c>
      <c r="AZ8" s="113">
        <v>7700</v>
      </c>
      <c r="BA8" s="121">
        <f t="shared" si="45"/>
        <v>4810</v>
      </c>
      <c r="BB8" s="114">
        <v>2890</v>
      </c>
      <c r="BC8" s="113">
        <v>2400</v>
      </c>
      <c r="BD8" s="115">
        <v>0.70833333333333337</v>
      </c>
      <c r="BE8" s="116">
        <v>0</v>
      </c>
      <c r="BF8" s="115">
        <v>0</v>
      </c>
      <c r="BG8" s="116">
        <v>145</v>
      </c>
      <c r="BH8" s="115">
        <v>0.375</v>
      </c>
      <c r="BI8" s="57">
        <f t="shared" ref="BI8:BI38" si="53">BI7+1</f>
        <v>45810</v>
      </c>
      <c r="BJ8" s="79">
        <f t="shared" si="46"/>
        <v>0.61065616982392013</v>
      </c>
      <c r="BK8" s="77">
        <f t="shared" si="47"/>
        <v>0.38934383017607987</v>
      </c>
      <c r="BL8" s="80">
        <f t="shared" si="48"/>
        <v>28453</v>
      </c>
      <c r="BM8" s="178">
        <v>17375</v>
      </c>
      <c r="BN8" s="178">
        <v>11078</v>
      </c>
      <c r="BO8" s="179">
        <v>3885</v>
      </c>
      <c r="BP8" s="180">
        <v>0.78541666666666665</v>
      </c>
      <c r="BQ8" s="181">
        <v>2542</v>
      </c>
      <c r="BR8" s="180">
        <v>0.78541666666666665</v>
      </c>
    </row>
    <row r="9" spans="1:72" ht="15.75" thickBot="1" x14ac:dyDescent="0.3">
      <c r="A9" s="189" t="s">
        <v>68</v>
      </c>
      <c r="B9" s="57">
        <f t="shared" si="49"/>
        <v>45811</v>
      </c>
      <c r="C9" s="187"/>
      <c r="D9" s="88">
        <f t="shared" si="22"/>
        <v>54392</v>
      </c>
      <c r="E9" s="182">
        <f t="shared" si="23"/>
        <v>0.87336372996028833</v>
      </c>
      <c r="F9" s="88">
        <f t="shared" si="24"/>
        <v>47504</v>
      </c>
      <c r="G9" s="182">
        <f t="shared" si="25"/>
        <v>0.12663627003971173</v>
      </c>
      <c r="H9" s="169">
        <f t="shared" si="26"/>
        <v>6888</v>
      </c>
      <c r="I9" s="183">
        <f t="shared" si="27"/>
        <v>0.11686437163002904</v>
      </c>
      <c r="J9" s="182">
        <f t="shared" si="28"/>
        <v>0.16496059726254667</v>
      </c>
      <c r="K9" s="182">
        <f t="shared" si="29"/>
        <v>0.16609119428605251</v>
      </c>
      <c r="L9" s="184">
        <f t="shared" si="30"/>
        <v>0.5785151389464952</v>
      </c>
      <c r="M9" s="169">
        <f t="shared" si="31"/>
        <v>6144.7286603069269</v>
      </c>
      <c r="N9" s="169">
        <f t="shared" si="32"/>
        <v>8673.6282040647038</v>
      </c>
      <c r="O9" s="169">
        <f t="shared" si="33"/>
        <v>8733.0749955606407</v>
      </c>
      <c r="P9" s="169">
        <f t="shared" si="34"/>
        <v>30418.326005806717</v>
      </c>
      <c r="Q9" s="57">
        <f t="shared" si="50"/>
        <v>45811</v>
      </c>
      <c r="R9" s="162">
        <v>54392</v>
      </c>
      <c r="S9" s="163">
        <v>0</v>
      </c>
      <c r="T9" s="163">
        <v>52580</v>
      </c>
      <c r="U9" s="163">
        <v>0</v>
      </c>
      <c r="V9" s="164">
        <v>16835</v>
      </c>
      <c r="W9" s="165">
        <v>0.78125</v>
      </c>
      <c r="X9" s="164">
        <v>4684</v>
      </c>
      <c r="Y9" s="165">
        <v>0.41666666666666669</v>
      </c>
      <c r="Z9" s="164">
        <v>0</v>
      </c>
      <c r="AA9" s="165">
        <v>0</v>
      </c>
      <c r="AB9" s="57">
        <f t="shared" si="51"/>
        <v>45811</v>
      </c>
      <c r="AC9" s="77">
        <f t="shared" si="35"/>
        <v>1</v>
      </c>
      <c r="AD9" s="185">
        <f t="shared" si="36"/>
        <v>0</v>
      </c>
      <c r="AE9" s="186">
        <v>7044</v>
      </c>
      <c r="AF9" s="119">
        <f t="shared" si="37"/>
        <v>7044</v>
      </c>
      <c r="AG9" s="170">
        <v>0</v>
      </c>
      <c r="AH9" s="171">
        <v>3546</v>
      </c>
      <c r="AI9" s="172">
        <v>0.37361111111111112</v>
      </c>
      <c r="AJ9" s="171">
        <v>0</v>
      </c>
      <c r="AK9" s="188">
        <v>0</v>
      </c>
      <c r="AL9" s="57">
        <f t="shared" si="38"/>
        <v>45811</v>
      </c>
      <c r="AM9" s="78">
        <f t="shared" si="39"/>
        <v>0.56451775118173586</v>
      </c>
      <c r="AN9" s="77">
        <f t="shared" si="40"/>
        <v>0.43548224881826408</v>
      </c>
      <c r="AO9" s="173">
        <v>9943</v>
      </c>
      <c r="AP9" s="118">
        <f t="shared" si="41"/>
        <v>5613</v>
      </c>
      <c r="AQ9" s="174">
        <v>4330</v>
      </c>
      <c r="AR9" s="175">
        <v>3949</v>
      </c>
      <c r="AS9" s="176">
        <v>0.73888888888888893</v>
      </c>
      <c r="AT9" s="175">
        <v>215</v>
      </c>
      <c r="AU9" s="177">
        <v>0.3125</v>
      </c>
      <c r="AV9" s="57">
        <f t="shared" si="52"/>
        <v>45811</v>
      </c>
      <c r="AW9" s="111">
        <f t="shared" si="42"/>
        <v>0.69612734616298411</v>
      </c>
      <c r="AX9" s="111">
        <f t="shared" si="43"/>
        <v>0.30387265383701589</v>
      </c>
      <c r="AY9" s="112">
        <f t="shared" si="44"/>
        <v>8418</v>
      </c>
      <c r="AZ9" s="113">
        <v>8418</v>
      </c>
      <c r="BA9" s="121">
        <f t="shared" si="45"/>
        <v>5860</v>
      </c>
      <c r="BB9" s="114">
        <v>2558</v>
      </c>
      <c r="BC9" s="113">
        <v>4734</v>
      </c>
      <c r="BD9" s="115">
        <v>0.73958333333333337</v>
      </c>
      <c r="BE9" s="116">
        <v>0</v>
      </c>
      <c r="BF9" s="115">
        <v>0</v>
      </c>
      <c r="BG9" s="116">
        <v>145</v>
      </c>
      <c r="BH9" s="115">
        <v>0.36458333333333331</v>
      </c>
      <c r="BI9" s="57">
        <f t="shared" si="53"/>
        <v>45811</v>
      </c>
      <c r="BJ9" s="79">
        <f t="shared" si="46"/>
        <v>0.60768568970461712</v>
      </c>
      <c r="BK9" s="77">
        <f t="shared" si="47"/>
        <v>0.39231431029538283</v>
      </c>
      <c r="BL9" s="80">
        <f t="shared" si="48"/>
        <v>34870</v>
      </c>
      <c r="BM9" s="178">
        <v>21190</v>
      </c>
      <c r="BN9" s="178">
        <v>13680</v>
      </c>
      <c r="BO9" s="179">
        <v>4592</v>
      </c>
      <c r="BP9" s="180">
        <v>0.70625000000000004</v>
      </c>
      <c r="BQ9" s="181">
        <v>3036</v>
      </c>
      <c r="BR9" s="180">
        <v>0.70625000000000004</v>
      </c>
    </row>
    <row r="10" spans="1:72" ht="15.75" thickBot="1" x14ac:dyDescent="0.3">
      <c r="B10" s="57">
        <f t="shared" si="49"/>
        <v>45812</v>
      </c>
      <c r="C10" s="187"/>
      <c r="D10" s="88">
        <f t="shared" si="22"/>
        <v>52564</v>
      </c>
      <c r="E10" s="182">
        <f t="shared" si="23"/>
        <v>0.87519614184613037</v>
      </c>
      <c r="F10" s="88">
        <f t="shared" si="24"/>
        <v>46003.81</v>
      </c>
      <c r="G10" s="182">
        <f t="shared" si="25"/>
        <v>0.12480385815386957</v>
      </c>
      <c r="H10" s="169">
        <f t="shared" si="26"/>
        <v>6560.1900000000005</v>
      </c>
      <c r="I10" s="183">
        <f t="shared" si="27"/>
        <v>0.11792487196520025</v>
      </c>
      <c r="J10" s="182">
        <f t="shared" si="28"/>
        <v>0.1628988364368826</v>
      </c>
      <c r="K10" s="182">
        <f t="shared" si="29"/>
        <v>0.16194139502824714</v>
      </c>
      <c r="L10" s="184">
        <f t="shared" si="30"/>
        <v>0.58312297769301646</v>
      </c>
      <c r="M10" s="169">
        <f t="shared" si="31"/>
        <v>6010.7781301562136</v>
      </c>
      <c r="N10" s="169">
        <f t="shared" si="32"/>
        <v>8303.1573167334518</v>
      </c>
      <c r="O10" s="169">
        <f t="shared" si="33"/>
        <v>8254.3553313335415</v>
      </c>
      <c r="P10" s="169">
        <f t="shared" si="34"/>
        <v>29722.507076735164</v>
      </c>
      <c r="Q10" s="57">
        <f t="shared" si="50"/>
        <v>45812</v>
      </c>
      <c r="R10" s="162">
        <v>52564</v>
      </c>
      <c r="S10" s="163">
        <v>0</v>
      </c>
      <c r="T10" s="163">
        <v>50971.25</v>
      </c>
      <c r="U10" s="163">
        <v>0</v>
      </c>
      <c r="V10" s="164">
        <v>13493.26</v>
      </c>
      <c r="W10" s="165">
        <v>0.8125</v>
      </c>
      <c r="X10" s="164">
        <v>4442.54</v>
      </c>
      <c r="Y10" s="165">
        <v>0.80208333333333337</v>
      </c>
      <c r="Z10" s="164">
        <v>0</v>
      </c>
      <c r="AA10" s="165">
        <v>0</v>
      </c>
      <c r="AB10" s="57">
        <f t="shared" si="51"/>
        <v>45812</v>
      </c>
      <c r="AC10" s="77">
        <f t="shared" si="35"/>
        <v>1</v>
      </c>
      <c r="AD10" s="185">
        <f t="shared" si="36"/>
        <v>0</v>
      </c>
      <c r="AE10" s="186">
        <v>6879</v>
      </c>
      <c r="AF10" s="119">
        <f t="shared" si="37"/>
        <v>6879</v>
      </c>
      <c r="AG10" s="170">
        <v>0</v>
      </c>
      <c r="AH10" s="171">
        <v>3683.76</v>
      </c>
      <c r="AI10" s="172">
        <v>0.34444444444444444</v>
      </c>
      <c r="AJ10" s="171">
        <v>0</v>
      </c>
      <c r="AK10" s="188">
        <v>0</v>
      </c>
      <c r="AL10" s="57">
        <f t="shared" si="38"/>
        <v>45812</v>
      </c>
      <c r="AM10" s="78">
        <f t="shared" si="39"/>
        <v>0.57279347540121017</v>
      </c>
      <c r="AN10" s="77">
        <f t="shared" si="40"/>
        <v>0.42720652459878983</v>
      </c>
      <c r="AO10" s="173">
        <v>9502.5</v>
      </c>
      <c r="AP10" s="118">
        <f t="shared" si="41"/>
        <v>5442.9699999999993</v>
      </c>
      <c r="AQ10" s="174">
        <v>4059.53</v>
      </c>
      <c r="AR10" s="175">
        <v>4345.95</v>
      </c>
      <c r="AS10" s="176">
        <v>0.7631944444444444</v>
      </c>
      <c r="AT10" s="175">
        <v>204.86</v>
      </c>
      <c r="AU10" s="177">
        <v>0.34375</v>
      </c>
      <c r="AV10" s="57">
        <f t="shared" si="52"/>
        <v>45812</v>
      </c>
      <c r="AW10" s="111">
        <f t="shared" si="42"/>
        <v>0.68491652491652488</v>
      </c>
      <c r="AX10" s="111">
        <f t="shared" si="43"/>
        <v>0.31508347508347506</v>
      </c>
      <c r="AY10" s="112">
        <f t="shared" si="44"/>
        <v>7936.5</v>
      </c>
      <c r="AZ10" s="113">
        <v>7936.5</v>
      </c>
      <c r="BA10" s="121">
        <f t="shared" si="45"/>
        <v>5435.84</v>
      </c>
      <c r="BB10" s="114">
        <v>2500.66</v>
      </c>
      <c r="BC10" s="113">
        <v>3627</v>
      </c>
      <c r="BD10" s="115">
        <v>0.3125</v>
      </c>
      <c r="BE10" s="116">
        <v>0</v>
      </c>
      <c r="BF10" s="115">
        <v>0</v>
      </c>
      <c r="BG10" s="116">
        <v>143.77000000000001</v>
      </c>
      <c r="BH10" s="115">
        <v>0.8125</v>
      </c>
      <c r="BI10" s="57">
        <f t="shared" si="53"/>
        <v>45812</v>
      </c>
      <c r="BJ10" s="79">
        <f t="shared" si="46"/>
        <v>0.61187832107185647</v>
      </c>
      <c r="BK10" s="77">
        <f t="shared" si="47"/>
        <v>0.38812167892814359</v>
      </c>
      <c r="BL10" s="80">
        <f t="shared" si="48"/>
        <v>34015.75</v>
      </c>
      <c r="BM10" s="178">
        <v>20813.5</v>
      </c>
      <c r="BN10" s="178">
        <v>13202.25</v>
      </c>
      <c r="BO10" s="179">
        <v>3976.88</v>
      </c>
      <c r="BP10" s="180">
        <v>0.61736111111111114</v>
      </c>
      <c r="BQ10" s="181">
        <v>2621.29</v>
      </c>
      <c r="BR10" s="180">
        <v>0.61736111111111114</v>
      </c>
      <c r="BS10" s="14" t="s">
        <v>70</v>
      </c>
    </row>
    <row r="11" spans="1:72" ht="15.75" thickBot="1" x14ac:dyDescent="0.3">
      <c r="B11" s="57">
        <f t="shared" si="49"/>
        <v>45813</v>
      </c>
      <c r="C11" s="187"/>
      <c r="D11" s="88">
        <f t="shared" ref="D11:D24" si="54">R11</f>
        <v>53584</v>
      </c>
      <c r="E11" s="182">
        <f t="shared" ref="E11:E24" si="55">F11/D11</f>
        <v>0.87583439086294412</v>
      </c>
      <c r="F11" s="88">
        <f t="shared" ref="F11:F24" si="56">D11-H11</f>
        <v>46930.71</v>
      </c>
      <c r="G11" s="182">
        <f t="shared" ref="G11:G24" si="57">H11/D11</f>
        <v>0.12416560913705584</v>
      </c>
      <c r="H11" s="169">
        <f t="shared" ref="H11:H24" si="58">U11+AG11+AQ11+BB11</f>
        <v>6653.29</v>
      </c>
      <c r="I11" s="183">
        <f t="shared" ref="I11:I24" si="59">AE11/(AE11+AO11+BL11+AY11)</f>
        <v>0.11946105263157895</v>
      </c>
      <c r="J11" s="182">
        <f t="shared" ref="J11:J24" si="60">AO11/(AE11+AO11+BL11+AY11)</f>
        <v>0.16352</v>
      </c>
      <c r="K11" s="182">
        <f t="shared" ref="K11:K24" si="61">AY11/(AF11+AP11+BM11+AZ11+AY11)</f>
        <v>0.1645908675973371</v>
      </c>
      <c r="L11" s="184">
        <f t="shared" ref="L11:L24" si="62">BL11/(AE11+AO11+BL11+AY11)</f>
        <v>0.57757473684210525</v>
      </c>
      <c r="M11" s="169">
        <f t="shared" ref="M11:M24" si="63">(S11+T11)*I11</f>
        <v>6196.265608421053</v>
      </c>
      <c r="N11" s="169">
        <f t="shared" ref="N11:N24" si="64">(S11+T11)*J11</f>
        <v>8481.537119999999</v>
      </c>
      <c r="O11" s="169">
        <f t="shared" ref="O11:O24" si="65">(S11+T11)*K11</f>
        <v>8537.0814159724796</v>
      </c>
      <c r="P11" s="169">
        <f t="shared" ref="P11:P24" si="66">(S11+T11)*L11</f>
        <v>29957.935237894737</v>
      </c>
      <c r="Q11" s="57">
        <f t="shared" si="50"/>
        <v>45813</v>
      </c>
      <c r="R11" s="162">
        <v>53584</v>
      </c>
      <c r="S11" s="163">
        <v>0</v>
      </c>
      <c r="T11" s="163">
        <v>51868.5</v>
      </c>
      <c r="U11" s="163">
        <v>0</v>
      </c>
      <c r="V11" s="164">
        <v>13210.9</v>
      </c>
      <c r="W11" s="165">
        <v>0.8125</v>
      </c>
      <c r="X11" s="164">
        <v>4498.42</v>
      </c>
      <c r="Y11" s="165">
        <v>0.40625</v>
      </c>
      <c r="Z11" s="164">
        <v>0</v>
      </c>
      <c r="AA11" s="165">
        <v>0</v>
      </c>
      <c r="AB11" s="57">
        <f t="shared" si="51"/>
        <v>45813</v>
      </c>
      <c r="AC11" s="77">
        <f t="shared" ref="AC11:AC24" si="67">+AF11/AE11</f>
        <v>1</v>
      </c>
      <c r="AD11" s="185">
        <f t="shared" ref="AD11:AD24" si="68">+AG11/AE11</f>
        <v>0</v>
      </c>
      <c r="AE11" s="186">
        <v>7093</v>
      </c>
      <c r="AF11" s="119">
        <f t="shared" si="37"/>
        <v>7093</v>
      </c>
      <c r="AG11" s="170">
        <v>0</v>
      </c>
      <c r="AH11" s="171">
        <v>3491.51</v>
      </c>
      <c r="AI11" s="172">
        <v>0.75416666666666665</v>
      </c>
      <c r="AJ11" s="171">
        <v>0</v>
      </c>
      <c r="AK11" s="188">
        <v>0</v>
      </c>
      <c r="AL11" s="57">
        <f t="shared" si="38"/>
        <v>45813</v>
      </c>
      <c r="AM11" s="78">
        <f t="shared" ref="AM11:AM24" si="69">+AP11/AO11</f>
        <v>0.58183335049953655</v>
      </c>
      <c r="AN11" s="77">
        <f t="shared" ref="AN11:AN24" si="70">+AQ11/AO11</f>
        <v>0.41816664950046351</v>
      </c>
      <c r="AO11" s="173">
        <v>9709</v>
      </c>
      <c r="AP11" s="118">
        <f t="shared" si="41"/>
        <v>5649.02</v>
      </c>
      <c r="AQ11" s="174">
        <v>4059.98</v>
      </c>
      <c r="AR11" s="175">
        <v>4140.3500000000004</v>
      </c>
      <c r="AS11" s="176">
        <v>0.34722222222222221</v>
      </c>
      <c r="AT11" s="175">
        <v>196.56</v>
      </c>
      <c r="AU11" s="177">
        <v>0.75</v>
      </c>
      <c r="AV11" s="57">
        <f t="shared" si="52"/>
        <v>45813</v>
      </c>
      <c r="AW11" s="111">
        <f t="shared" ref="AW11:AW24" si="71">BA11/AZ11</f>
        <v>0.68677939489099593</v>
      </c>
      <c r="AX11" s="111">
        <f t="shared" ref="AX11:AX24" si="72">BB11/AZ11</f>
        <v>0.31322060510900418</v>
      </c>
      <c r="AY11" s="112">
        <f t="shared" si="44"/>
        <v>8279.5</v>
      </c>
      <c r="AZ11" s="113">
        <v>8279.5</v>
      </c>
      <c r="BA11" s="193">
        <f t="shared" si="45"/>
        <v>5686.1900000000005</v>
      </c>
      <c r="BB11" s="114">
        <v>2593.31</v>
      </c>
      <c r="BC11" s="113">
        <v>4545.2700000000004</v>
      </c>
      <c r="BD11" s="115">
        <v>0.77083333333333337</v>
      </c>
      <c r="BE11" s="116">
        <v>0</v>
      </c>
      <c r="BF11" s="115">
        <v>0</v>
      </c>
      <c r="BG11" s="116">
        <v>149.08000000000001</v>
      </c>
      <c r="BH11" s="115">
        <v>0.29166666666666669</v>
      </c>
      <c r="BI11" s="57">
        <f t="shared" si="53"/>
        <v>45813</v>
      </c>
      <c r="BJ11" s="79">
        <f t="shared" ref="BJ11:BJ24" si="73">+BM11/BL11</f>
        <v>0.61243384314811844</v>
      </c>
      <c r="BK11" s="77">
        <f t="shared" ref="BK11:BK24" si="74">+BN11/BL11</f>
        <v>0.38756615685188156</v>
      </c>
      <c r="BL11" s="80">
        <f t="shared" ref="BL11:BL24" si="75">BM11+BN11</f>
        <v>34293.5</v>
      </c>
      <c r="BM11" s="178">
        <v>21002.5</v>
      </c>
      <c r="BN11" s="178">
        <v>13291</v>
      </c>
      <c r="BO11" s="179">
        <v>3931.54</v>
      </c>
      <c r="BP11" s="180">
        <v>0.82638888888888884</v>
      </c>
      <c r="BQ11" s="181">
        <v>2589.63</v>
      </c>
      <c r="BR11" s="180">
        <v>0.82638888888888884</v>
      </c>
    </row>
    <row r="12" spans="1:72" ht="15.75" thickBot="1" x14ac:dyDescent="0.3">
      <c r="B12" s="57">
        <f t="shared" si="49"/>
        <v>45814</v>
      </c>
      <c r="C12" s="187"/>
      <c r="D12" s="88">
        <f t="shared" si="54"/>
        <v>54660</v>
      </c>
      <c r="E12" s="182">
        <f t="shared" si="55"/>
        <v>0.87581412367361877</v>
      </c>
      <c r="F12" s="88">
        <f t="shared" si="56"/>
        <v>47872</v>
      </c>
      <c r="G12" s="182">
        <f>H12/D12</f>
        <v>0.12418587632638127</v>
      </c>
      <c r="H12" s="169">
        <f t="shared" si="58"/>
        <v>6788</v>
      </c>
      <c r="I12" s="183">
        <f t="shared" si="59"/>
        <v>0.11545237507203425</v>
      </c>
      <c r="J12" s="182">
        <f t="shared" si="60"/>
        <v>0.15758623528443236</v>
      </c>
      <c r="K12" s="182">
        <f t="shared" si="61"/>
        <v>0.16762904295579573</v>
      </c>
      <c r="L12" s="184">
        <f t="shared" si="62"/>
        <v>0.58547789577673504</v>
      </c>
      <c r="M12" s="169">
        <f t="shared" si="63"/>
        <v>6142.6436157075823</v>
      </c>
      <c r="N12" s="169">
        <f t="shared" si="64"/>
        <v>8384.3756483082234</v>
      </c>
      <c r="O12" s="169">
        <f t="shared" si="65"/>
        <v>8918.703230463112</v>
      </c>
      <c r="P12" s="169">
        <f t="shared" si="66"/>
        <v>31150.351444801188</v>
      </c>
      <c r="Q12" s="57">
        <f t="shared" si="50"/>
        <v>45814</v>
      </c>
      <c r="R12" s="162">
        <v>54660</v>
      </c>
      <c r="S12" s="163">
        <v>0</v>
      </c>
      <c r="T12" s="163">
        <v>53205</v>
      </c>
      <c r="U12" s="163">
        <v>0</v>
      </c>
      <c r="V12" s="164">
        <v>14746</v>
      </c>
      <c r="W12" s="165">
        <v>0.40625</v>
      </c>
      <c r="X12" s="164">
        <v>4581</v>
      </c>
      <c r="Y12" s="165">
        <v>0.79166666666666663</v>
      </c>
      <c r="Z12" s="164">
        <v>0</v>
      </c>
      <c r="AA12" s="165">
        <v>0</v>
      </c>
      <c r="AB12" s="57">
        <f t="shared" si="51"/>
        <v>45814</v>
      </c>
      <c r="AC12" s="77">
        <f t="shared" si="67"/>
        <v>1</v>
      </c>
      <c r="AD12" s="185">
        <f t="shared" si="68"/>
        <v>0</v>
      </c>
      <c r="AE12" s="186">
        <v>7012</v>
      </c>
      <c r="AF12" s="119">
        <f t="shared" si="37"/>
        <v>7012</v>
      </c>
      <c r="AG12" s="170">
        <v>0</v>
      </c>
      <c r="AH12" s="171">
        <v>4144</v>
      </c>
      <c r="AI12" s="172">
        <v>0.35555555555555557</v>
      </c>
      <c r="AJ12" s="171">
        <v>0</v>
      </c>
      <c r="AK12" s="188">
        <v>0</v>
      </c>
      <c r="AL12" s="57">
        <f t="shared" si="38"/>
        <v>45814</v>
      </c>
      <c r="AM12" s="78">
        <f t="shared" si="69"/>
        <v>0.55709957162260992</v>
      </c>
      <c r="AN12" s="77">
        <f t="shared" si="70"/>
        <v>0.44290042837739002</v>
      </c>
      <c r="AO12" s="173">
        <v>9571</v>
      </c>
      <c r="AP12" s="118">
        <f t="shared" si="41"/>
        <v>5332</v>
      </c>
      <c r="AQ12" s="174">
        <v>4239</v>
      </c>
      <c r="AR12" s="175">
        <v>3929</v>
      </c>
      <c r="AS12" s="176">
        <v>0.35833333333333334</v>
      </c>
      <c r="AT12" s="175">
        <v>207</v>
      </c>
      <c r="AU12" s="177">
        <v>0.53125</v>
      </c>
      <c r="AV12" s="57">
        <f t="shared" si="52"/>
        <v>45814</v>
      </c>
      <c r="AW12" s="111">
        <f t="shared" si="71"/>
        <v>0.70336320260677299</v>
      </c>
      <c r="AX12" s="111">
        <f t="shared" si="72"/>
        <v>0.29663679739322707</v>
      </c>
      <c r="AY12" s="112">
        <f t="shared" si="44"/>
        <v>8593</v>
      </c>
      <c r="AZ12" s="113">
        <v>8593</v>
      </c>
      <c r="BA12" s="193">
        <f t="shared" si="45"/>
        <v>6044</v>
      </c>
      <c r="BB12" s="114">
        <v>2549</v>
      </c>
      <c r="BC12" s="113">
        <v>3604</v>
      </c>
      <c r="BD12" s="115">
        <v>0.36458333333333331</v>
      </c>
      <c r="BE12" s="116">
        <v>0</v>
      </c>
      <c r="BF12" s="115">
        <v>0</v>
      </c>
      <c r="BG12" s="116">
        <v>149</v>
      </c>
      <c r="BH12" s="115">
        <v>0.84375</v>
      </c>
      <c r="BI12" s="57">
        <f t="shared" si="53"/>
        <v>45814</v>
      </c>
      <c r="BJ12" s="79">
        <f t="shared" si="73"/>
        <v>0.61115329452459288</v>
      </c>
      <c r="BK12" s="77">
        <f t="shared" si="74"/>
        <v>0.38884670547540706</v>
      </c>
      <c r="BL12" s="80">
        <f t="shared" si="75"/>
        <v>35559</v>
      </c>
      <c r="BM12" s="178">
        <v>21732</v>
      </c>
      <c r="BN12" s="178">
        <v>13827</v>
      </c>
      <c r="BO12" s="179">
        <v>4187</v>
      </c>
      <c r="BP12" s="180">
        <v>0.31458333333333333</v>
      </c>
      <c r="BQ12" s="181">
        <v>2748</v>
      </c>
      <c r="BR12" s="180">
        <v>0.35625000000000001</v>
      </c>
      <c r="BT12" s="14" t="s">
        <v>37</v>
      </c>
    </row>
    <row r="13" spans="1:72" ht="15.75" thickBot="1" x14ac:dyDescent="0.3">
      <c r="B13" s="57">
        <f t="shared" si="49"/>
        <v>45815</v>
      </c>
      <c r="C13" s="187"/>
      <c r="D13" s="88">
        <f t="shared" si="54"/>
        <v>33100</v>
      </c>
      <c r="E13" s="182">
        <f t="shared" si="55"/>
        <v>0.8090634441087613</v>
      </c>
      <c r="F13" s="88">
        <f t="shared" si="56"/>
        <v>26780</v>
      </c>
      <c r="G13" s="182">
        <f t="shared" si="57"/>
        <v>0.19093655589123867</v>
      </c>
      <c r="H13" s="169">
        <f t="shared" si="58"/>
        <v>6320</v>
      </c>
      <c r="I13" s="183">
        <f t="shared" si="59"/>
        <v>7.7321413970728517E-2</v>
      </c>
      <c r="J13" s="182">
        <f t="shared" si="60"/>
        <v>0.16033904772287483</v>
      </c>
      <c r="K13" s="182">
        <f t="shared" si="61"/>
        <v>0.1583137840335537</v>
      </c>
      <c r="L13" s="184">
        <f t="shared" si="62"/>
        <v>0.64094737128996215</v>
      </c>
      <c r="M13" s="169">
        <f t="shared" si="63"/>
        <v>2451.1661442860645</v>
      </c>
      <c r="N13" s="169">
        <f t="shared" si="64"/>
        <v>5082.9081518628545</v>
      </c>
      <c r="O13" s="169">
        <f t="shared" si="65"/>
        <v>5018.705267647686</v>
      </c>
      <c r="P13" s="169">
        <f t="shared" si="66"/>
        <v>20318.672617263092</v>
      </c>
      <c r="Q13" s="57">
        <f t="shared" si="50"/>
        <v>45815</v>
      </c>
      <c r="R13" s="162">
        <v>33100</v>
      </c>
      <c r="S13" s="163">
        <v>0</v>
      </c>
      <c r="T13" s="163">
        <v>31701</v>
      </c>
      <c r="U13" s="163">
        <v>0</v>
      </c>
      <c r="V13" s="164">
        <v>6376</v>
      </c>
      <c r="W13" s="165">
        <v>0.9375</v>
      </c>
      <c r="X13" s="164">
        <v>2225</v>
      </c>
      <c r="Y13" s="165">
        <v>0.42708333333333331</v>
      </c>
      <c r="Z13" s="164">
        <v>0</v>
      </c>
      <c r="AA13" s="165">
        <v>0</v>
      </c>
      <c r="AB13" s="57">
        <f t="shared" si="51"/>
        <v>45815</v>
      </c>
      <c r="AC13" s="77">
        <f t="shared" si="67"/>
        <v>1</v>
      </c>
      <c r="AD13" s="185">
        <f t="shared" si="68"/>
        <v>0</v>
      </c>
      <c r="AE13" s="186">
        <v>2837</v>
      </c>
      <c r="AF13" s="119">
        <f t="shared" si="37"/>
        <v>2837</v>
      </c>
      <c r="AG13" s="170">
        <v>0</v>
      </c>
      <c r="AH13" s="171">
        <v>1716</v>
      </c>
      <c r="AI13" s="172">
        <v>0.94097222222222221</v>
      </c>
      <c r="AJ13" s="171">
        <v>0</v>
      </c>
      <c r="AK13" s="188">
        <v>0</v>
      </c>
      <c r="AL13" s="57">
        <f t="shared" si="38"/>
        <v>45815</v>
      </c>
      <c r="AM13" s="78">
        <f t="shared" si="69"/>
        <v>0.32942376338602752</v>
      </c>
      <c r="AN13" s="77">
        <f t="shared" si="70"/>
        <v>0.67057623661397248</v>
      </c>
      <c r="AO13" s="173">
        <v>5883</v>
      </c>
      <c r="AP13" s="118">
        <f t="shared" si="41"/>
        <v>1938</v>
      </c>
      <c r="AQ13" s="174">
        <v>3945</v>
      </c>
      <c r="AR13" s="175">
        <v>1598</v>
      </c>
      <c r="AS13" s="176">
        <v>0.9506944444444444</v>
      </c>
      <c r="AT13" s="175">
        <v>188</v>
      </c>
      <c r="AU13" s="177">
        <v>0.29166666666666669</v>
      </c>
      <c r="AV13" s="57">
        <f t="shared" si="52"/>
        <v>45815</v>
      </c>
      <c r="AW13" s="111">
        <f t="shared" si="71"/>
        <v>0.46677144140098786</v>
      </c>
      <c r="AX13" s="111">
        <f t="shared" si="72"/>
        <v>0.53322855859901208</v>
      </c>
      <c r="AY13" s="112">
        <f t="shared" si="44"/>
        <v>4454</v>
      </c>
      <c r="AZ13" s="113">
        <v>4454</v>
      </c>
      <c r="BA13" s="193">
        <f t="shared" si="45"/>
        <v>2079</v>
      </c>
      <c r="BB13" s="114">
        <v>2375</v>
      </c>
      <c r="BC13" s="113">
        <v>1448</v>
      </c>
      <c r="BD13" s="115">
        <v>0.96875</v>
      </c>
      <c r="BE13" s="116">
        <v>0</v>
      </c>
      <c r="BF13" s="115">
        <v>0</v>
      </c>
      <c r="BG13" s="116">
        <v>149</v>
      </c>
      <c r="BH13" s="115">
        <v>0.8125</v>
      </c>
      <c r="BI13" s="57">
        <f t="shared" si="53"/>
        <v>45815</v>
      </c>
      <c r="BJ13" s="79">
        <f t="shared" si="73"/>
        <v>0.61449164434239056</v>
      </c>
      <c r="BK13" s="77">
        <f t="shared" si="74"/>
        <v>0.38550835565760938</v>
      </c>
      <c r="BL13" s="80">
        <f t="shared" si="75"/>
        <v>23517</v>
      </c>
      <c r="BM13" s="178">
        <v>14451</v>
      </c>
      <c r="BN13" s="178">
        <v>9066</v>
      </c>
      <c r="BO13" s="179">
        <v>2782</v>
      </c>
      <c r="BP13" s="180">
        <v>0.96458333333333335</v>
      </c>
      <c r="BQ13" s="181">
        <v>1832</v>
      </c>
      <c r="BR13" s="180">
        <v>0.96458333333333335</v>
      </c>
    </row>
    <row r="14" spans="1:72" ht="15.75" thickBot="1" x14ac:dyDescent="0.3">
      <c r="B14" s="57">
        <f t="shared" si="49"/>
        <v>45816</v>
      </c>
      <c r="C14" s="187"/>
      <c r="D14" s="88">
        <f t="shared" si="54"/>
        <v>27814</v>
      </c>
      <c r="E14" s="182">
        <f t="shared" si="55"/>
        <v>0.77058315955993384</v>
      </c>
      <c r="F14" s="88">
        <f t="shared" si="56"/>
        <v>21433</v>
      </c>
      <c r="G14" s="182">
        <f t="shared" si="57"/>
        <v>0.22941684044006616</v>
      </c>
      <c r="H14" s="169">
        <f t="shared" si="58"/>
        <v>6381</v>
      </c>
      <c r="I14" s="183">
        <f t="shared" si="59"/>
        <v>6.1285648422577881E-2</v>
      </c>
      <c r="J14" s="182">
        <f t="shared" si="60"/>
        <v>0.18250675097148125</v>
      </c>
      <c r="K14" s="182">
        <f t="shared" si="61"/>
        <v>0.17194194281717234</v>
      </c>
      <c r="L14" s="184">
        <f t="shared" si="62"/>
        <v>0.62668774287031548</v>
      </c>
      <c r="M14" s="169">
        <f t="shared" si="63"/>
        <v>1621.6795429098333</v>
      </c>
      <c r="N14" s="169">
        <f t="shared" si="64"/>
        <v>4829.311137456365</v>
      </c>
      <c r="O14" s="169">
        <f t="shared" si="65"/>
        <v>4549.7557488851971</v>
      </c>
      <c r="P14" s="169">
        <f t="shared" si="66"/>
        <v>16582.784364091418</v>
      </c>
      <c r="Q14" s="57">
        <f t="shared" si="50"/>
        <v>45816</v>
      </c>
      <c r="R14" s="162">
        <v>27814</v>
      </c>
      <c r="S14" s="163">
        <v>0</v>
      </c>
      <c r="T14" s="163">
        <v>26461</v>
      </c>
      <c r="U14" s="163">
        <v>0</v>
      </c>
      <c r="V14" s="164">
        <v>6715</v>
      </c>
      <c r="W14" s="165">
        <v>6.354166666666667</v>
      </c>
      <c r="X14" s="164">
        <v>1830</v>
      </c>
      <c r="Y14" s="165">
        <v>0.96875</v>
      </c>
      <c r="Z14" s="164">
        <v>0</v>
      </c>
      <c r="AA14" s="165">
        <v>0</v>
      </c>
      <c r="AB14" s="57">
        <f t="shared" si="51"/>
        <v>45816</v>
      </c>
      <c r="AC14" s="77">
        <f t="shared" si="67"/>
        <v>1</v>
      </c>
      <c r="AD14" s="185">
        <f t="shared" si="68"/>
        <v>0</v>
      </c>
      <c r="AE14" s="186">
        <v>1861</v>
      </c>
      <c r="AF14" s="119">
        <f t="shared" si="37"/>
        <v>1861</v>
      </c>
      <c r="AG14" s="170">
        <v>0</v>
      </c>
      <c r="AH14" s="171">
        <v>1475</v>
      </c>
      <c r="AI14" s="172">
        <v>0.93611111111111112</v>
      </c>
      <c r="AJ14" s="171">
        <v>0</v>
      </c>
      <c r="AK14" s="188">
        <v>0</v>
      </c>
      <c r="AL14" s="57">
        <f t="shared" si="38"/>
        <v>45816</v>
      </c>
      <c r="AM14" s="78">
        <f t="shared" si="69"/>
        <v>0.27408877661494047</v>
      </c>
      <c r="AN14" s="77">
        <f t="shared" si="70"/>
        <v>0.72591122338505953</v>
      </c>
      <c r="AO14" s="173">
        <v>5542</v>
      </c>
      <c r="AP14" s="118">
        <f t="shared" si="41"/>
        <v>1519</v>
      </c>
      <c r="AQ14" s="174">
        <v>4023</v>
      </c>
      <c r="AR14" s="175">
        <v>1635</v>
      </c>
      <c r="AS14" s="176">
        <v>0.59930555555555554</v>
      </c>
      <c r="AT14" s="175">
        <v>199</v>
      </c>
      <c r="AU14" s="177">
        <v>0.125</v>
      </c>
      <c r="AV14" s="57">
        <f t="shared" si="52"/>
        <v>45816</v>
      </c>
      <c r="AW14" s="111">
        <f t="shared" si="71"/>
        <v>0.40045766590389015</v>
      </c>
      <c r="AX14" s="111">
        <f t="shared" si="72"/>
        <v>0.5995423340961098</v>
      </c>
      <c r="AY14" s="112">
        <f t="shared" si="44"/>
        <v>3933</v>
      </c>
      <c r="AZ14" s="113">
        <v>3933</v>
      </c>
      <c r="BA14" s="121">
        <f t="shared" ref="BA14:BA24" si="76">AZ14-BB14</f>
        <v>1575</v>
      </c>
      <c r="BB14" s="114">
        <v>2358</v>
      </c>
      <c r="BC14" s="113">
        <v>1578</v>
      </c>
      <c r="BD14" s="115">
        <v>0.60416666666666663</v>
      </c>
      <c r="BE14" s="116">
        <v>0</v>
      </c>
      <c r="BF14" s="115">
        <v>0</v>
      </c>
      <c r="BG14" s="116">
        <v>140</v>
      </c>
      <c r="BH14" s="115">
        <v>0.84375</v>
      </c>
      <c r="BI14" s="57">
        <f t="shared" si="53"/>
        <v>45816</v>
      </c>
      <c r="BJ14" s="79">
        <f t="shared" si="73"/>
        <v>0.61103520756699947</v>
      </c>
      <c r="BK14" s="77">
        <f t="shared" si="74"/>
        <v>0.38896479243300053</v>
      </c>
      <c r="BL14" s="80">
        <f t="shared" si="75"/>
        <v>19030</v>
      </c>
      <c r="BM14" s="178">
        <v>11628</v>
      </c>
      <c r="BN14" s="178">
        <v>7402</v>
      </c>
      <c r="BO14" s="179">
        <v>2396</v>
      </c>
      <c r="BP14" s="180">
        <v>0.41666666666666669</v>
      </c>
      <c r="BQ14" s="181">
        <v>1602</v>
      </c>
      <c r="BR14" s="180">
        <v>0.41666666666666669</v>
      </c>
    </row>
    <row r="15" spans="1:72" ht="15.75" thickBot="1" x14ac:dyDescent="0.3">
      <c r="B15" s="57">
        <f t="shared" si="49"/>
        <v>45817</v>
      </c>
      <c r="C15" s="187"/>
      <c r="D15" s="88">
        <f t="shared" si="54"/>
        <v>54704</v>
      </c>
      <c r="E15" s="182">
        <f t="shared" si="55"/>
        <v>0.87933240713658967</v>
      </c>
      <c r="F15" s="88">
        <f t="shared" si="56"/>
        <v>48103</v>
      </c>
      <c r="G15" s="182">
        <f t="shared" si="57"/>
        <v>0.12066759286341035</v>
      </c>
      <c r="H15" s="169">
        <f t="shared" si="58"/>
        <v>6601</v>
      </c>
      <c r="I15" s="183">
        <f t="shared" si="59"/>
        <v>0.11910425723894677</v>
      </c>
      <c r="J15" s="182">
        <f t="shared" si="60"/>
        <v>0.1608235583627266</v>
      </c>
      <c r="K15" s="182">
        <f t="shared" si="61"/>
        <v>0.16522177614863948</v>
      </c>
      <c r="L15" s="184">
        <f t="shared" si="62"/>
        <v>0.58031334591091788</v>
      </c>
      <c r="M15" s="169">
        <f t="shared" si="63"/>
        <v>6350.4007874661638</v>
      </c>
      <c r="N15" s="169">
        <f t="shared" si="64"/>
        <v>8574.7904847838563</v>
      </c>
      <c r="O15" s="169">
        <f t="shared" si="65"/>
        <v>8809.29466069316</v>
      </c>
      <c r="P15" s="169">
        <f t="shared" si="66"/>
        <v>30941.14697727832</v>
      </c>
      <c r="Q15" s="57">
        <f t="shared" si="50"/>
        <v>45817</v>
      </c>
      <c r="R15" s="162">
        <v>54704</v>
      </c>
      <c r="S15" s="163">
        <v>0</v>
      </c>
      <c r="T15" s="163">
        <v>53318</v>
      </c>
      <c r="U15" s="163">
        <v>0</v>
      </c>
      <c r="V15" s="164">
        <v>14532</v>
      </c>
      <c r="W15" s="165">
        <v>0.39583333333333331</v>
      </c>
      <c r="X15" s="164">
        <v>4721</v>
      </c>
      <c r="Y15" s="165">
        <v>0.39583333333333331</v>
      </c>
      <c r="Z15" s="164">
        <v>0</v>
      </c>
      <c r="AA15" s="165">
        <v>0</v>
      </c>
      <c r="AB15" s="57">
        <f t="shared" si="51"/>
        <v>45817</v>
      </c>
      <c r="AC15" s="77">
        <f t="shared" si="67"/>
        <v>1</v>
      </c>
      <c r="AD15" s="185">
        <f t="shared" si="68"/>
        <v>0</v>
      </c>
      <c r="AE15" s="186">
        <v>7260</v>
      </c>
      <c r="AF15" s="119">
        <f t="shared" si="37"/>
        <v>7260</v>
      </c>
      <c r="AG15" s="170">
        <v>0</v>
      </c>
      <c r="AH15" s="171">
        <v>3839</v>
      </c>
      <c r="AI15" s="172">
        <v>0.36458333333333331</v>
      </c>
      <c r="AJ15" s="171">
        <v>0</v>
      </c>
      <c r="AK15" s="188">
        <v>0</v>
      </c>
      <c r="AL15" s="191">
        <f t="shared" si="38"/>
        <v>45817</v>
      </c>
      <c r="AM15" s="78">
        <f t="shared" si="69"/>
        <v>0.5792104457819035</v>
      </c>
      <c r="AN15" s="77">
        <f t="shared" si="70"/>
        <v>0.4207895542180965</v>
      </c>
      <c r="AO15" s="173">
        <v>9803</v>
      </c>
      <c r="AP15" s="118">
        <f t="shared" si="41"/>
        <v>5678</v>
      </c>
      <c r="AQ15" s="174">
        <v>4125</v>
      </c>
      <c r="AR15" s="175">
        <v>3906</v>
      </c>
      <c r="AS15" s="176">
        <v>0.33819444444444446</v>
      </c>
      <c r="AT15" s="175">
        <v>199</v>
      </c>
      <c r="AU15" s="177">
        <v>0.3125</v>
      </c>
      <c r="AV15" s="57">
        <f t="shared" si="52"/>
        <v>45817</v>
      </c>
      <c r="AW15" s="192">
        <f t="shared" si="71"/>
        <v>0.70935555816410378</v>
      </c>
      <c r="AX15" s="192">
        <f t="shared" si="72"/>
        <v>0.29064444183589622</v>
      </c>
      <c r="AY15" s="112">
        <f t="shared" si="44"/>
        <v>8519</v>
      </c>
      <c r="AZ15" s="113">
        <v>8519</v>
      </c>
      <c r="BA15" s="193">
        <f t="shared" si="76"/>
        <v>6043</v>
      </c>
      <c r="BB15" s="114">
        <v>2476</v>
      </c>
      <c r="BC15" s="113">
        <v>3962</v>
      </c>
      <c r="BD15" s="115">
        <v>0.39583333333333331</v>
      </c>
      <c r="BE15" s="116">
        <v>0</v>
      </c>
      <c r="BF15" s="115">
        <v>0</v>
      </c>
      <c r="BG15" s="116">
        <v>145</v>
      </c>
      <c r="BH15" s="115">
        <v>0.30208333333333331</v>
      </c>
      <c r="BI15" s="57">
        <f t="shared" si="53"/>
        <v>45817</v>
      </c>
      <c r="BJ15" s="194">
        <f t="shared" si="73"/>
        <v>0.61021117801713176</v>
      </c>
      <c r="BK15" s="77">
        <f t="shared" si="74"/>
        <v>0.38978882198286829</v>
      </c>
      <c r="BL15" s="80">
        <f t="shared" si="75"/>
        <v>35373</v>
      </c>
      <c r="BM15" s="178">
        <v>21585</v>
      </c>
      <c r="BN15" s="178">
        <v>13788</v>
      </c>
      <c r="BO15" s="179">
        <v>3752</v>
      </c>
      <c r="BP15" s="180">
        <v>0.75347222222222221</v>
      </c>
      <c r="BQ15" s="181">
        <v>2472</v>
      </c>
      <c r="BR15" s="180">
        <v>0.75347222222222221</v>
      </c>
    </row>
    <row r="16" spans="1:72" ht="15.75" thickBot="1" x14ac:dyDescent="0.3">
      <c r="B16" s="57">
        <f t="shared" si="49"/>
        <v>45818</v>
      </c>
      <c r="C16" s="187"/>
      <c r="D16" s="88">
        <f t="shared" si="54"/>
        <v>54562</v>
      </c>
      <c r="E16" s="182">
        <f t="shared" si="55"/>
        <v>0.87581100399545475</v>
      </c>
      <c r="F16" s="88">
        <f t="shared" si="56"/>
        <v>47786</v>
      </c>
      <c r="G16" s="182">
        <f t="shared" si="57"/>
        <v>0.12418899600454529</v>
      </c>
      <c r="H16" s="169">
        <f t="shared" si="58"/>
        <v>6776</v>
      </c>
      <c r="I16" s="183">
        <f t="shared" si="59"/>
        <v>0.11731226078923057</v>
      </c>
      <c r="J16" s="182">
        <f t="shared" si="60"/>
        <v>0.16248185297611192</v>
      </c>
      <c r="K16" s="182">
        <f t="shared" si="61"/>
        <v>0.16296876529912857</v>
      </c>
      <c r="L16" s="184">
        <f t="shared" si="62"/>
        <v>0.58291540187409263</v>
      </c>
      <c r="M16" s="169">
        <f t="shared" si="63"/>
        <v>6238.9006532928606</v>
      </c>
      <c r="N16" s="169">
        <f t="shared" si="64"/>
        <v>8641.1099049755849</v>
      </c>
      <c r="O16" s="169">
        <f t="shared" si="65"/>
        <v>8667.004876138255</v>
      </c>
      <c r="P16" s="169">
        <f t="shared" si="66"/>
        <v>31000.606902467993</v>
      </c>
      <c r="Q16" s="57">
        <f t="shared" si="50"/>
        <v>45818</v>
      </c>
      <c r="R16" s="162">
        <v>54562</v>
      </c>
      <c r="S16" s="163">
        <v>0</v>
      </c>
      <c r="T16" s="163">
        <v>53182</v>
      </c>
      <c r="U16" s="163">
        <v>0</v>
      </c>
      <c r="V16" s="164">
        <v>13471</v>
      </c>
      <c r="W16" s="165">
        <v>0.79166666666666663</v>
      </c>
      <c r="X16" s="164">
        <v>4565</v>
      </c>
      <c r="Y16" s="165">
        <v>0.79166666666666663</v>
      </c>
      <c r="Z16" s="164">
        <v>0</v>
      </c>
      <c r="AA16" s="165">
        <v>0</v>
      </c>
      <c r="AB16" s="57">
        <f t="shared" si="51"/>
        <v>45818</v>
      </c>
      <c r="AC16" s="77">
        <f t="shared" si="67"/>
        <v>1</v>
      </c>
      <c r="AD16" s="185">
        <f t="shared" si="68"/>
        <v>0</v>
      </c>
      <c r="AE16" s="186">
        <v>7111</v>
      </c>
      <c r="AF16" s="119">
        <f t="shared" si="37"/>
        <v>7111</v>
      </c>
      <c r="AG16" s="170">
        <v>0</v>
      </c>
      <c r="AH16" s="171">
        <v>3587</v>
      </c>
      <c r="AI16" s="172">
        <v>0.36041666666666666</v>
      </c>
      <c r="AJ16" s="171">
        <v>0</v>
      </c>
      <c r="AK16" s="188">
        <v>0</v>
      </c>
      <c r="AL16" s="57">
        <f t="shared" si="38"/>
        <v>45818</v>
      </c>
      <c r="AM16" s="78">
        <f t="shared" si="69"/>
        <v>0.56868717636308252</v>
      </c>
      <c r="AN16" s="77">
        <f t="shared" si="70"/>
        <v>0.43131282363691748</v>
      </c>
      <c r="AO16" s="173">
        <v>9849</v>
      </c>
      <c r="AP16" s="118">
        <f t="shared" si="41"/>
        <v>5601</v>
      </c>
      <c r="AQ16" s="174">
        <v>4248</v>
      </c>
      <c r="AR16" s="175">
        <v>3570</v>
      </c>
      <c r="AS16" s="176">
        <v>0.35069444444444442</v>
      </c>
      <c r="AT16" s="175">
        <v>199</v>
      </c>
      <c r="AU16" s="177">
        <v>0.39583333333333331</v>
      </c>
      <c r="AV16" s="57">
        <f t="shared" si="52"/>
        <v>45818</v>
      </c>
      <c r="AW16" s="111">
        <f t="shared" si="71"/>
        <v>0.69622686854121607</v>
      </c>
      <c r="AX16" s="111">
        <f t="shared" si="72"/>
        <v>0.30377313145878393</v>
      </c>
      <c r="AY16" s="112">
        <f t="shared" si="44"/>
        <v>8322</v>
      </c>
      <c r="AZ16" s="113">
        <v>8322</v>
      </c>
      <c r="BA16" s="121">
        <f t="shared" si="76"/>
        <v>5794</v>
      </c>
      <c r="BB16" s="114">
        <v>2528</v>
      </c>
      <c r="BC16" s="113">
        <v>4328</v>
      </c>
      <c r="BD16" s="115">
        <v>0.76041666666666663</v>
      </c>
      <c r="BE16" s="116">
        <v>0</v>
      </c>
      <c r="BF16" s="115">
        <v>0</v>
      </c>
      <c r="BG16" s="116">
        <v>150</v>
      </c>
      <c r="BH16" s="115">
        <v>0.3125</v>
      </c>
      <c r="BI16" s="57">
        <f t="shared" si="53"/>
        <v>45818</v>
      </c>
      <c r="BJ16" s="79">
        <f t="shared" si="73"/>
        <v>0.61439406803645213</v>
      </c>
      <c r="BK16" s="77">
        <f t="shared" si="74"/>
        <v>0.38560593196354787</v>
      </c>
      <c r="BL16" s="80">
        <f t="shared" si="75"/>
        <v>35334</v>
      </c>
      <c r="BM16" s="178">
        <v>21709</v>
      </c>
      <c r="BN16" s="178">
        <v>13625</v>
      </c>
      <c r="BO16" s="179">
        <v>4673</v>
      </c>
      <c r="BP16" s="180">
        <v>0.75069444444444444</v>
      </c>
      <c r="BQ16" s="181">
        <v>3105</v>
      </c>
      <c r="BR16" s="180">
        <v>0.75069444444444444</v>
      </c>
    </row>
    <row r="17" spans="1:70" ht="15.75" thickBot="1" x14ac:dyDescent="0.3">
      <c r="B17" s="57">
        <f t="shared" si="49"/>
        <v>45819</v>
      </c>
      <c r="C17" s="187"/>
      <c r="D17" s="88">
        <f t="shared" si="54"/>
        <v>53852</v>
      </c>
      <c r="E17" s="182">
        <f t="shared" si="55"/>
        <v>0.87149966575057569</v>
      </c>
      <c r="F17" s="88">
        <f t="shared" si="56"/>
        <v>46932</v>
      </c>
      <c r="G17" s="182">
        <f t="shared" si="57"/>
        <v>0.12850033424942434</v>
      </c>
      <c r="H17" s="169">
        <f t="shared" si="58"/>
        <v>6920</v>
      </c>
      <c r="I17" s="183">
        <f t="shared" si="59"/>
        <v>0.11572936723989111</v>
      </c>
      <c r="J17" s="182">
        <f t="shared" si="60"/>
        <v>0.16348516034791846</v>
      </c>
      <c r="K17" s="182">
        <f t="shared" si="61"/>
        <v>0.15715338792261868</v>
      </c>
      <c r="L17" s="184">
        <f t="shared" si="62"/>
        <v>0.58985127149591665</v>
      </c>
      <c r="M17" s="169">
        <f t="shared" si="63"/>
        <v>6091.9938915078683</v>
      </c>
      <c r="N17" s="169">
        <f t="shared" si="64"/>
        <v>8605.8588407144271</v>
      </c>
      <c r="O17" s="169">
        <f t="shared" si="65"/>
        <v>8272.5543402466483</v>
      </c>
      <c r="P17" s="169">
        <f t="shared" si="66"/>
        <v>31049.770931545052</v>
      </c>
      <c r="Q17" s="57">
        <f t="shared" si="50"/>
        <v>45819</v>
      </c>
      <c r="R17" s="162">
        <v>53852</v>
      </c>
      <c r="S17" s="163">
        <v>0</v>
      </c>
      <c r="T17" s="163">
        <v>52640</v>
      </c>
      <c r="U17" s="163">
        <v>359</v>
      </c>
      <c r="V17" s="164">
        <v>13265</v>
      </c>
      <c r="W17" s="165">
        <v>0.80208333333333337</v>
      </c>
      <c r="X17" s="164">
        <v>4612</v>
      </c>
      <c r="Y17" s="165">
        <v>0.38541666666666669</v>
      </c>
      <c r="Z17" s="164">
        <v>145</v>
      </c>
      <c r="AA17" s="165">
        <v>0.91666666666666663</v>
      </c>
      <c r="AB17" s="57">
        <f t="shared" si="51"/>
        <v>45819</v>
      </c>
      <c r="AC17" s="77">
        <f t="shared" si="67"/>
        <v>1</v>
      </c>
      <c r="AD17" s="185">
        <f t="shared" si="68"/>
        <v>0</v>
      </c>
      <c r="AE17" s="186">
        <v>6972</v>
      </c>
      <c r="AF17" s="119">
        <f t="shared" si="37"/>
        <v>6972</v>
      </c>
      <c r="AG17" s="170">
        <v>0</v>
      </c>
      <c r="AH17" s="171">
        <v>3918</v>
      </c>
      <c r="AI17" s="172">
        <v>0.72569444444444442</v>
      </c>
      <c r="AJ17" s="171">
        <v>0</v>
      </c>
      <c r="AK17" s="188">
        <v>0</v>
      </c>
      <c r="AL17" s="57">
        <f t="shared" si="38"/>
        <v>45819</v>
      </c>
      <c r="AM17" s="78">
        <f t="shared" si="69"/>
        <v>0.5638135851355468</v>
      </c>
      <c r="AN17" s="77">
        <f t="shared" si="70"/>
        <v>0.43618641486445325</v>
      </c>
      <c r="AO17" s="173">
        <v>9849</v>
      </c>
      <c r="AP17" s="118">
        <f t="shared" si="41"/>
        <v>5553</v>
      </c>
      <c r="AQ17" s="174">
        <v>4296</v>
      </c>
      <c r="AR17" s="175">
        <v>3740</v>
      </c>
      <c r="AS17" s="176">
        <v>0.72291666666666665</v>
      </c>
      <c r="AT17" s="175">
        <v>206</v>
      </c>
      <c r="AU17" s="177">
        <v>0.38541666666666669</v>
      </c>
      <c r="AV17" s="57">
        <f t="shared" si="52"/>
        <v>45819</v>
      </c>
      <c r="AW17" s="111">
        <f t="shared" si="71"/>
        <v>0.71285496957403649</v>
      </c>
      <c r="AX17" s="111">
        <f t="shared" si="72"/>
        <v>0.28714503042596351</v>
      </c>
      <c r="AY17" s="112">
        <f t="shared" si="44"/>
        <v>7888</v>
      </c>
      <c r="AZ17" s="113">
        <v>7888</v>
      </c>
      <c r="BA17" s="121">
        <f t="shared" si="76"/>
        <v>5623</v>
      </c>
      <c r="BB17" s="114">
        <v>2265</v>
      </c>
      <c r="BC17" s="113">
        <v>3806</v>
      </c>
      <c r="BD17" s="115">
        <v>0.375</v>
      </c>
      <c r="BE17" s="116">
        <v>0</v>
      </c>
      <c r="BF17" s="115">
        <v>0</v>
      </c>
      <c r="BG17" s="116">
        <v>343</v>
      </c>
      <c r="BH17" s="115">
        <v>0.89583333333333337</v>
      </c>
      <c r="BI17" s="57">
        <f t="shared" si="53"/>
        <v>45819</v>
      </c>
      <c r="BJ17" s="79">
        <f t="shared" si="73"/>
        <v>0.61606866469677779</v>
      </c>
      <c r="BK17" s="77">
        <f t="shared" si="74"/>
        <v>0.38393133530322215</v>
      </c>
      <c r="BL17" s="80">
        <f t="shared" si="75"/>
        <v>35535</v>
      </c>
      <c r="BM17" s="178">
        <v>21892</v>
      </c>
      <c r="BN17" s="178">
        <v>13643</v>
      </c>
      <c r="BO17" s="179">
        <v>4404</v>
      </c>
      <c r="BP17" s="180">
        <v>0.81597222222222221</v>
      </c>
      <c r="BQ17" s="181">
        <v>2625</v>
      </c>
      <c r="BR17" s="180">
        <v>0.81597222222222221</v>
      </c>
    </row>
    <row r="18" spans="1:70" ht="15.75" thickBot="1" x14ac:dyDescent="0.3">
      <c r="B18" s="57">
        <f t="shared" si="49"/>
        <v>45820</v>
      </c>
      <c r="C18" s="187"/>
      <c r="D18" s="88">
        <f t="shared" si="54"/>
        <v>53700</v>
      </c>
      <c r="E18" s="182">
        <f t="shared" si="55"/>
        <v>0.87225325884543758</v>
      </c>
      <c r="F18" s="88">
        <f t="shared" si="56"/>
        <v>46840</v>
      </c>
      <c r="G18" s="182">
        <f t="shared" si="57"/>
        <v>0.12774674115456239</v>
      </c>
      <c r="H18" s="169">
        <f t="shared" si="58"/>
        <v>6860</v>
      </c>
      <c r="I18" s="183">
        <f t="shared" si="59"/>
        <v>0.11326751988698475</v>
      </c>
      <c r="J18" s="182">
        <f t="shared" si="60"/>
        <v>0.15667412253409799</v>
      </c>
      <c r="K18" s="182">
        <f t="shared" si="61"/>
        <v>0.16213645287295836</v>
      </c>
      <c r="L18" s="184">
        <f t="shared" si="62"/>
        <v>0.59533139368661814</v>
      </c>
      <c r="M18" s="169">
        <f t="shared" si="63"/>
        <v>5856.0440456769984</v>
      </c>
      <c r="N18" s="169">
        <f t="shared" si="64"/>
        <v>8100.2088091353999</v>
      </c>
      <c r="O18" s="169">
        <f t="shared" si="65"/>
        <v>8382.6167499848198</v>
      </c>
      <c r="P18" s="169">
        <f t="shared" si="66"/>
        <v>30779.228384991846</v>
      </c>
      <c r="Q18" s="57">
        <f t="shared" si="50"/>
        <v>45820</v>
      </c>
      <c r="R18" s="162">
        <v>53700</v>
      </c>
      <c r="S18" s="163">
        <v>0</v>
      </c>
      <c r="T18" s="163">
        <v>51701</v>
      </c>
      <c r="U18" s="163">
        <v>191</v>
      </c>
      <c r="V18" s="164">
        <v>12680</v>
      </c>
      <c r="W18" s="165">
        <v>0.80208333333333337</v>
      </c>
      <c r="X18" s="164">
        <v>4446</v>
      </c>
      <c r="Y18" s="165">
        <v>0.80208333333333337</v>
      </c>
      <c r="Z18" s="164">
        <v>149</v>
      </c>
      <c r="AA18" s="165">
        <v>1.0416666666666666E-2</v>
      </c>
      <c r="AB18" s="57">
        <f t="shared" si="51"/>
        <v>45820</v>
      </c>
      <c r="AC18" s="77">
        <f t="shared" si="67"/>
        <v>1</v>
      </c>
      <c r="AD18" s="185">
        <f t="shared" si="68"/>
        <v>0</v>
      </c>
      <c r="AE18" s="186">
        <v>6735</v>
      </c>
      <c r="AF18" s="119">
        <f t="shared" si="37"/>
        <v>6735</v>
      </c>
      <c r="AG18" s="170">
        <v>0</v>
      </c>
      <c r="AH18" s="171">
        <v>4044</v>
      </c>
      <c r="AI18" s="172">
        <v>0.34791666666666665</v>
      </c>
      <c r="AJ18" s="171">
        <v>0</v>
      </c>
      <c r="AK18" s="188">
        <v>0</v>
      </c>
      <c r="AL18" s="57">
        <f t="shared" si="38"/>
        <v>45820</v>
      </c>
      <c r="AM18" s="78">
        <f t="shared" si="69"/>
        <v>0.54250751395448693</v>
      </c>
      <c r="AN18" s="77">
        <f t="shared" si="70"/>
        <v>0.45749248604551307</v>
      </c>
      <c r="AO18" s="173">
        <v>9316</v>
      </c>
      <c r="AP18" s="118">
        <f t="shared" si="41"/>
        <v>5054</v>
      </c>
      <c r="AQ18" s="174">
        <v>4262</v>
      </c>
      <c r="AR18" s="175">
        <v>3297</v>
      </c>
      <c r="AS18" s="176">
        <v>0.34444444444444444</v>
      </c>
      <c r="AT18" s="175">
        <v>209</v>
      </c>
      <c r="AU18" s="177">
        <v>0.34375</v>
      </c>
      <c r="AV18" s="57">
        <f t="shared" si="52"/>
        <v>45820</v>
      </c>
      <c r="AW18" s="111">
        <f t="shared" si="71"/>
        <v>0.69953813506428664</v>
      </c>
      <c r="AX18" s="111">
        <f t="shared" si="72"/>
        <v>0.30046186493571342</v>
      </c>
      <c r="AY18" s="112">
        <f t="shared" si="44"/>
        <v>8011</v>
      </c>
      <c r="AZ18" s="113">
        <v>8011</v>
      </c>
      <c r="BA18" s="121">
        <f t="shared" si="76"/>
        <v>5604</v>
      </c>
      <c r="BB18" s="114">
        <v>2407</v>
      </c>
      <c r="BC18" s="113">
        <v>4501</v>
      </c>
      <c r="BD18" s="115">
        <v>0.76041666666666663</v>
      </c>
      <c r="BE18" s="116">
        <v>0</v>
      </c>
      <c r="BF18" s="115">
        <v>0</v>
      </c>
      <c r="BG18" s="116">
        <v>452</v>
      </c>
      <c r="BH18" s="115">
        <v>0.13541666666666666</v>
      </c>
      <c r="BI18" s="57">
        <f t="shared" si="53"/>
        <v>45820</v>
      </c>
      <c r="BJ18" s="79">
        <f t="shared" si="73"/>
        <v>0.61013022966750474</v>
      </c>
      <c r="BK18" s="77">
        <f t="shared" si="74"/>
        <v>0.38986977033249526</v>
      </c>
      <c r="BL18" s="80">
        <f t="shared" si="75"/>
        <v>35399</v>
      </c>
      <c r="BM18" s="178">
        <v>21598</v>
      </c>
      <c r="BN18" s="178">
        <v>13801</v>
      </c>
      <c r="BO18" s="179">
        <v>4141</v>
      </c>
      <c r="BP18" s="180">
        <v>0.75763888888888886</v>
      </c>
      <c r="BQ18" s="181">
        <v>2740</v>
      </c>
      <c r="BR18" s="180">
        <v>0.7993055555555556</v>
      </c>
    </row>
    <row r="19" spans="1:70" ht="15.75" thickBot="1" x14ac:dyDescent="0.3">
      <c r="B19" s="57">
        <f t="shared" si="49"/>
        <v>45821</v>
      </c>
      <c r="C19" s="187"/>
      <c r="D19" s="88">
        <f t="shared" si="54"/>
        <v>55344</v>
      </c>
      <c r="E19" s="182">
        <f t="shared" si="55"/>
        <v>0.8773621350101185</v>
      </c>
      <c r="F19" s="88">
        <f t="shared" si="56"/>
        <v>48556.729999999996</v>
      </c>
      <c r="G19" s="182">
        <f t="shared" si="57"/>
        <v>0.12263786498988148</v>
      </c>
      <c r="H19" s="169">
        <f t="shared" si="58"/>
        <v>6787.27</v>
      </c>
      <c r="I19" s="183">
        <f t="shared" si="59"/>
        <v>0.11645010035999577</v>
      </c>
      <c r="J19" s="182">
        <f t="shared" si="60"/>
        <v>0.15983649853320006</v>
      </c>
      <c r="K19" s="182">
        <f t="shared" si="61"/>
        <v>0.16410206495017607</v>
      </c>
      <c r="L19" s="184">
        <f t="shared" si="62"/>
        <v>0.58615925953013648</v>
      </c>
      <c r="M19" s="169">
        <f t="shared" si="63"/>
        <v>6294.3608246584918</v>
      </c>
      <c r="N19" s="169">
        <f t="shared" si="64"/>
        <v>8639.4824187165304</v>
      </c>
      <c r="O19" s="169">
        <f t="shared" si="65"/>
        <v>8870.0448146869167</v>
      </c>
      <c r="P19" s="169">
        <f t="shared" si="66"/>
        <v>31683.080296122938</v>
      </c>
      <c r="Q19" s="57">
        <f t="shared" si="50"/>
        <v>45821</v>
      </c>
      <c r="R19" s="162">
        <v>55344</v>
      </c>
      <c r="S19" s="163">
        <v>0</v>
      </c>
      <c r="T19" s="163">
        <v>54052</v>
      </c>
      <c r="U19" s="163">
        <v>0</v>
      </c>
      <c r="V19" s="164">
        <v>12628.12</v>
      </c>
      <c r="W19" s="165">
        <v>0.83333333333333337</v>
      </c>
      <c r="X19" s="164">
        <v>4722.1899999999996</v>
      </c>
      <c r="Y19" s="165">
        <v>0.40625</v>
      </c>
      <c r="Z19" s="164">
        <v>201.62</v>
      </c>
      <c r="AA19" s="165">
        <v>0.36458333333333331</v>
      </c>
      <c r="AB19" s="57">
        <f t="shared" si="51"/>
        <v>45821</v>
      </c>
      <c r="AC19" s="77">
        <f t="shared" si="67"/>
        <v>1</v>
      </c>
      <c r="AD19" s="185">
        <f t="shared" si="68"/>
        <v>0</v>
      </c>
      <c r="AE19" s="186">
        <v>7165</v>
      </c>
      <c r="AF19" s="119">
        <f t="shared" si="37"/>
        <v>7165</v>
      </c>
      <c r="AG19" s="170">
        <v>0</v>
      </c>
      <c r="AH19" s="171">
        <v>3339.72</v>
      </c>
      <c r="AI19" s="172">
        <v>0.34930555555555554</v>
      </c>
      <c r="AJ19" s="171">
        <v>0</v>
      </c>
      <c r="AK19" s="188">
        <v>0</v>
      </c>
      <c r="AL19" s="57">
        <f t="shared" si="38"/>
        <v>45821</v>
      </c>
      <c r="AM19" s="78">
        <f t="shared" ref="AM19" si="77">+AP19/AO19</f>
        <v>0.56414764349992375</v>
      </c>
      <c r="AN19" s="77">
        <f t="shared" ref="AN19" si="78">+AQ19/AO19</f>
        <v>0.43585235650007631</v>
      </c>
      <c r="AO19" s="173">
        <v>9834.5</v>
      </c>
      <c r="AP19" s="118">
        <f t="shared" si="41"/>
        <v>5548.11</v>
      </c>
      <c r="AQ19" s="174">
        <v>4286.3900000000003</v>
      </c>
      <c r="AR19" s="175">
        <v>3886.08</v>
      </c>
      <c r="AS19" s="176">
        <v>0.35208333333333336</v>
      </c>
      <c r="AT19" s="175">
        <v>210.37</v>
      </c>
      <c r="AU19" s="177">
        <v>0.74930555555555556</v>
      </c>
      <c r="AV19" s="57">
        <f t="shared" si="52"/>
        <v>45821</v>
      </c>
      <c r="AW19" s="111">
        <f t="shared" ref="AW19" si="79">BA19/AZ19</f>
        <v>0.70450995451054532</v>
      </c>
      <c r="AX19" s="111">
        <f t="shared" ref="AX19" si="80">BB19/AZ19</f>
        <v>0.29549004548945473</v>
      </c>
      <c r="AY19" s="112">
        <f t="shared" si="44"/>
        <v>8463.5</v>
      </c>
      <c r="AZ19" s="113">
        <v>8463.5</v>
      </c>
      <c r="BA19" s="121">
        <f t="shared" ref="BA19:BA20" si="81">AZ19-BB19</f>
        <v>5962.62</v>
      </c>
      <c r="BB19" s="114">
        <v>2500.88</v>
      </c>
      <c r="BC19" s="113">
        <v>3808.58</v>
      </c>
      <c r="BD19" s="115">
        <v>0.77083333333333337</v>
      </c>
      <c r="BE19" s="116">
        <v>0</v>
      </c>
      <c r="BF19" s="115">
        <v>0</v>
      </c>
      <c r="BG19" s="116">
        <v>145.97999999999999</v>
      </c>
      <c r="BH19" s="115">
        <v>0.27083333333333331</v>
      </c>
      <c r="BI19" s="57">
        <f t="shared" si="53"/>
        <v>45821</v>
      </c>
      <c r="BJ19" s="79">
        <f t="shared" ref="BJ19" si="82">+BM19/BL19</f>
        <v>0.60818510765135658</v>
      </c>
      <c r="BK19" s="77">
        <f t="shared" ref="BK19" si="83">+BN19/BL19</f>
        <v>0.39181489234864342</v>
      </c>
      <c r="BL19" s="80">
        <f t="shared" ref="BL19" si="84">BM19+BN19</f>
        <v>36065.5</v>
      </c>
      <c r="BM19" s="178">
        <v>21934.5</v>
      </c>
      <c r="BN19" s="178">
        <v>14131</v>
      </c>
      <c r="BO19" s="179">
        <v>3884.06</v>
      </c>
      <c r="BP19" s="180">
        <v>0.79236111111111107</v>
      </c>
      <c r="BQ19" s="181">
        <v>2602.08</v>
      </c>
      <c r="BR19" s="180">
        <v>0.79236111111111107</v>
      </c>
    </row>
    <row r="20" spans="1:70" ht="15.75" thickBot="1" x14ac:dyDescent="0.3">
      <c r="B20" s="57">
        <f t="shared" si="49"/>
        <v>45822</v>
      </c>
      <c r="C20" s="187"/>
      <c r="D20" s="88">
        <f t="shared" si="54"/>
        <v>32234</v>
      </c>
      <c r="E20" s="182">
        <f t="shared" si="55"/>
        <v>0.79546441645467514</v>
      </c>
      <c r="F20" s="88">
        <f t="shared" si="56"/>
        <v>25641</v>
      </c>
      <c r="G20" s="182">
        <f t="shared" si="57"/>
        <v>0.20453558354532481</v>
      </c>
      <c r="H20" s="169">
        <f t="shared" si="58"/>
        <v>6593</v>
      </c>
      <c r="I20" s="183">
        <f t="shared" si="59"/>
        <v>7.5270626507375621E-2</v>
      </c>
      <c r="J20" s="182">
        <f t="shared" si="60"/>
        <v>0.1695832632228392</v>
      </c>
      <c r="K20" s="182">
        <f t="shared" si="61"/>
        <v>0.15950489562165157</v>
      </c>
      <c r="L20" s="184">
        <f t="shared" si="62"/>
        <v>0.63407930899096976</v>
      </c>
      <c r="M20" s="169">
        <f t="shared" si="63"/>
        <v>2322.2493690055526</v>
      </c>
      <c r="N20" s="169">
        <f t="shared" si="64"/>
        <v>5231.9828369510351</v>
      </c>
      <c r="O20" s="169">
        <f t="shared" si="65"/>
        <v>4921.0450397191944</v>
      </c>
      <c r="P20" s="169">
        <f t="shared" si="66"/>
        <v>19562.614840989398</v>
      </c>
      <c r="Q20" s="57">
        <f t="shared" si="50"/>
        <v>45822</v>
      </c>
      <c r="R20" s="162">
        <v>32234</v>
      </c>
      <c r="S20" s="163">
        <v>0</v>
      </c>
      <c r="T20" s="163">
        <v>30852</v>
      </c>
      <c r="U20" s="163">
        <v>0</v>
      </c>
      <c r="V20" s="164">
        <v>6646</v>
      </c>
      <c r="W20" s="165">
        <v>0.96875</v>
      </c>
      <c r="X20" s="164">
        <v>1998</v>
      </c>
      <c r="Y20" s="165">
        <v>0.42708333333333331</v>
      </c>
      <c r="Z20" s="164">
        <v>0</v>
      </c>
      <c r="AA20" s="165">
        <v>0</v>
      </c>
      <c r="AB20" s="57">
        <f t="shared" si="51"/>
        <v>45822</v>
      </c>
      <c r="AC20" s="77">
        <f t="shared" si="67"/>
        <v>1</v>
      </c>
      <c r="AD20" s="185">
        <f t="shared" si="68"/>
        <v>0</v>
      </c>
      <c r="AE20" s="186">
        <v>2684</v>
      </c>
      <c r="AF20" s="119">
        <f t="shared" si="37"/>
        <v>2684</v>
      </c>
      <c r="AG20" s="170">
        <v>0</v>
      </c>
      <c r="AH20" s="171">
        <v>1564</v>
      </c>
      <c r="AI20" s="172">
        <v>0.34652777777777777</v>
      </c>
      <c r="AJ20" s="171">
        <v>0</v>
      </c>
      <c r="AK20" s="188">
        <v>0</v>
      </c>
      <c r="AL20" s="57">
        <f t="shared" si="38"/>
        <v>45822</v>
      </c>
      <c r="AM20" s="78">
        <f t="shared" si="69"/>
        <v>0.31337853481064992</v>
      </c>
      <c r="AN20" s="77">
        <f t="shared" si="70"/>
        <v>0.68662146518935008</v>
      </c>
      <c r="AO20" s="173">
        <v>6047</v>
      </c>
      <c r="AP20" s="118">
        <f t="shared" si="41"/>
        <v>1895</v>
      </c>
      <c r="AQ20" s="174">
        <v>4152</v>
      </c>
      <c r="AR20" s="175">
        <v>1827</v>
      </c>
      <c r="AS20" s="176">
        <v>0.3527777777777778</v>
      </c>
      <c r="AT20" s="175">
        <v>192</v>
      </c>
      <c r="AU20" s="177">
        <v>0.32291666666666669</v>
      </c>
      <c r="AV20" s="57">
        <f t="shared" si="52"/>
        <v>45822</v>
      </c>
      <c r="AW20" s="111">
        <f t="shared" si="71"/>
        <v>0.43456103775770211</v>
      </c>
      <c r="AX20" s="111">
        <f t="shared" si="72"/>
        <v>0.56543896224229784</v>
      </c>
      <c r="AY20" s="112">
        <f t="shared" si="44"/>
        <v>4317</v>
      </c>
      <c r="AZ20" s="113">
        <v>4317</v>
      </c>
      <c r="BA20" s="121">
        <f t="shared" si="81"/>
        <v>1876</v>
      </c>
      <c r="BB20" s="114">
        <v>2441</v>
      </c>
      <c r="BC20" s="113">
        <v>1424</v>
      </c>
      <c r="BD20" s="115">
        <v>0.80208333333333337</v>
      </c>
      <c r="BE20" s="116">
        <v>0</v>
      </c>
      <c r="BF20" s="115">
        <v>0</v>
      </c>
      <c r="BG20" s="116">
        <v>142</v>
      </c>
      <c r="BH20" s="115">
        <v>0.33333333333333331</v>
      </c>
      <c r="BI20" s="57">
        <f t="shared" si="53"/>
        <v>45822</v>
      </c>
      <c r="BJ20" s="79">
        <f t="shared" si="73"/>
        <v>0.61264927023440952</v>
      </c>
      <c r="BK20" s="77">
        <f t="shared" si="74"/>
        <v>0.38735072976559043</v>
      </c>
      <c r="BL20" s="80">
        <f t="shared" si="75"/>
        <v>22610</v>
      </c>
      <c r="BM20" s="178">
        <v>13852</v>
      </c>
      <c r="BN20" s="178">
        <v>8758</v>
      </c>
      <c r="BO20" s="179">
        <v>2728</v>
      </c>
      <c r="BP20" s="180">
        <v>0.37291666666666667</v>
      </c>
      <c r="BQ20" s="181">
        <v>1793</v>
      </c>
      <c r="BR20" s="180">
        <v>0.37291666666666667</v>
      </c>
    </row>
    <row r="21" spans="1:70" ht="15.75" thickBot="1" x14ac:dyDescent="0.3">
      <c r="A21" s="14"/>
      <c r="B21" s="57">
        <f t="shared" si="49"/>
        <v>45823</v>
      </c>
      <c r="C21" s="187"/>
      <c r="D21" s="88">
        <f t="shared" si="54"/>
        <v>27498</v>
      </c>
      <c r="E21" s="182">
        <f t="shared" si="55"/>
        <v>0.76787402720197828</v>
      </c>
      <c r="F21" s="88">
        <f t="shared" si="56"/>
        <v>21115</v>
      </c>
      <c r="G21" s="182">
        <f t="shared" si="57"/>
        <v>0.23212597279802166</v>
      </c>
      <c r="H21" s="169">
        <f t="shared" si="58"/>
        <v>6383</v>
      </c>
      <c r="I21" s="183">
        <f t="shared" si="59"/>
        <v>5.8720565408368834E-2</v>
      </c>
      <c r="J21" s="182">
        <f t="shared" si="60"/>
        <v>0.17824234618052115</v>
      </c>
      <c r="K21" s="182">
        <f t="shared" si="61"/>
        <v>0.17141477547078707</v>
      </c>
      <c r="L21" s="184">
        <f t="shared" si="62"/>
        <v>0.63406981736517054</v>
      </c>
      <c r="M21" s="169">
        <f t="shared" si="63"/>
        <v>1544.6444730671421</v>
      </c>
      <c r="N21" s="169">
        <f t="shared" si="64"/>
        <v>4688.6649162786089</v>
      </c>
      <c r="O21" s="169">
        <f t="shared" si="65"/>
        <v>4509.0656687590536</v>
      </c>
      <c r="P21" s="169">
        <f t="shared" si="66"/>
        <v>16679.20654579081</v>
      </c>
      <c r="Q21" s="57">
        <f t="shared" si="50"/>
        <v>45823</v>
      </c>
      <c r="R21" s="162">
        <v>27498</v>
      </c>
      <c r="S21" s="163">
        <v>0</v>
      </c>
      <c r="T21" s="163">
        <v>26305</v>
      </c>
      <c r="U21" s="163">
        <v>0</v>
      </c>
      <c r="V21" s="164">
        <v>5662</v>
      </c>
      <c r="W21" s="165">
        <v>0.69791666666666663</v>
      </c>
      <c r="X21" s="164">
        <v>1944</v>
      </c>
      <c r="Y21" s="165">
        <v>0.80208333333333337</v>
      </c>
      <c r="Z21" s="164">
        <v>0</v>
      </c>
      <c r="AA21" s="165">
        <v>0</v>
      </c>
      <c r="AB21" s="57">
        <f t="shared" si="51"/>
        <v>45823</v>
      </c>
      <c r="AC21" s="77">
        <f t="shared" si="67"/>
        <v>1</v>
      </c>
      <c r="AD21" s="185">
        <f t="shared" si="68"/>
        <v>0</v>
      </c>
      <c r="AE21" s="186">
        <v>1778</v>
      </c>
      <c r="AF21" s="119">
        <f t="shared" si="37"/>
        <v>1778</v>
      </c>
      <c r="AG21" s="170">
        <v>0</v>
      </c>
      <c r="AH21" s="171">
        <v>1742</v>
      </c>
      <c r="AI21" s="172">
        <v>0.3840277777777778</v>
      </c>
      <c r="AJ21" s="171">
        <v>0</v>
      </c>
      <c r="AK21" s="188">
        <v>0</v>
      </c>
      <c r="AL21" s="57">
        <f t="shared" si="38"/>
        <v>45823</v>
      </c>
      <c r="AM21" s="78">
        <f t="shared" si="69"/>
        <v>0.25699462664443207</v>
      </c>
      <c r="AN21" s="77">
        <f t="shared" si="70"/>
        <v>0.74300537335556793</v>
      </c>
      <c r="AO21" s="173">
        <v>5397</v>
      </c>
      <c r="AP21" s="118">
        <f t="shared" si="41"/>
        <v>1387</v>
      </c>
      <c r="AQ21" s="174">
        <v>4010</v>
      </c>
      <c r="AR21" s="175">
        <v>1647</v>
      </c>
      <c r="AS21" s="176">
        <v>0.3923611111111111</v>
      </c>
      <c r="AT21" s="175">
        <v>194</v>
      </c>
      <c r="AU21" s="177">
        <v>0.20833333333333334</v>
      </c>
      <c r="AV21" s="57">
        <f t="shared" si="52"/>
        <v>45823</v>
      </c>
      <c r="AW21" s="111">
        <f t="shared" si="71"/>
        <v>0.39231754161331628</v>
      </c>
      <c r="AX21" s="111">
        <f t="shared" si="72"/>
        <v>0.60768245838668378</v>
      </c>
      <c r="AY21" s="112">
        <f t="shared" si="44"/>
        <v>3905</v>
      </c>
      <c r="AZ21" s="113">
        <v>3905</v>
      </c>
      <c r="BA21" s="121">
        <f t="shared" si="76"/>
        <v>1532</v>
      </c>
      <c r="BB21" s="114">
        <v>2373</v>
      </c>
      <c r="BC21" s="113">
        <v>1456</v>
      </c>
      <c r="BD21" s="115">
        <v>0.65625</v>
      </c>
      <c r="BE21" s="116">
        <v>0</v>
      </c>
      <c r="BF21" s="115">
        <v>0</v>
      </c>
      <c r="BG21" s="116">
        <v>136</v>
      </c>
      <c r="BH21" s="115">
        <v>0.79166666666666663</v>
      </c>
      <c r="BI21" s="57">
        <f t="shared" si="53"/>
        <v>45823</v>
      </c>
      <c r="BJ21" s="79">
        <f t="shared" si="73"/>
        <v>0.61492786082608464</v>
      </c>
      <c r="BK21" s="77">
        <f t="shared" si="74"/>
        <v>0.38507213917391531</v>
      </c>
      <c r="BL21" s="80">
        <f t="shared" si="75"/>
        <v>19199</v>
      </c>
      <c r="BM21" s="178">
        <v>11806</v>
      </c>
      <c r="BN21" s="178">
        <v>7393</v>
      </c>
      <c r="BO21" s="179">
        <v>2575</v>
      </c>
      <c r="BP21" s="180">
        <v>0.75972222222222219</v>
      </c>
      <c r="BQ21" s="181">
        <v>1682</v>
      </c>
      <c r="BR21" s="180">
        <v>0.75972222222222219</v>
      </c>
    </row>
    <row r="22" spans="1:70" ht="15.75" thickBot="1" x14ac:dyDescent="0.3">
      <c r="A22" s="14"/>
      <c r="B22" s="57">
        <f t="shared" si="49"/>
        <v>45824</v>
      </c>
      <c r="C22" s="187"/>
      <c r="D22" s="88">
        <f t="shared" si="54"/>
        <v>43464</v>
      </c>
      <c r="E22" s="182">
        <f t="shared" si="55"/>
        <v>0.84156451316031666</v>
      </c>
      <c r="F22" s="88">
        <f t="shared" si="56"/>
        <v>36577.760000000002</v>
      </c>
      <c r="G22" s="182">
        <f t="shared" si="57"/>
        <v>0.15843548683968342</v>
      </c>
      <c r="H22" s="169">
        <f>U22+AG22+AQ22+BB22</f>
        <v>6886.24</v>
      </c>
      <c r="I22" s="183">
        <f t="shared" si="59"/>
        <v>9.8115676388578793E-2</v>
      </c>
      <c r="J22" s="182">
        <f t="shared" si="60"/>
        <v>0.16404882937239407</v>
      </c>
      <c r="K22" s="182">
        <f t="shared" si="61"/>
        <v>0.15119172791300994</v>
      </c>
      <c r="L22" s="184">
        <f t="shared" si="62"/>
        <v>0.61897096926615747</v>
      </c>
      <c r="M22" s="169">
        <f t="shared" si="63"/>
        <v>4102.1183141300908</v>
      </c>
      <c r="N22" s="169">
        <f t="shared" si="64"/>
        <v>6858.7175072304235</v>
      </c>
      <c r="O22" s="169">
        <f t="shared" si="65"/>
        <v>6321.1749523150329</v>
      </c>
      <c r="P22" s="169">
        <f t="shared" si="66"/>
        <v>25878.557254048777</v>
      </c>
      <c r="Q22" s="57">
        <f t="shared" si="50"/>
        <v>45824</v>
      </c>
      <c r="R22" s="162">
        <v>43464</v>
      </c>
      <c r="S22" s="163">
        <v>0</v>
      </c>
      <c r="T22" s="163">
        <v>41809</v>
      </c>
      <c r="U22" s="163">
        <v>228.46</v>
      </c>
      <c r="V22" s="164">
        <v>12047.24</v>
      </c>
      <c r="W22" s="165">
        <v>0.85416666666666663</v>
      </c>
      <c r="X22" s="164">
        <v>3675.47</v>
      </c>
      <c r="Y22" s="165">
        <v>0.85416666666666663</v>
      </c>
      <c r="Z22" s="164">
        <v>139.94</v>
      </c>
      <c r="AA22" s="165">
        <v>8.3333333333333329E-2</v>
      </c>
      <c r="AB22" s="57">
        <f t="shared" si="51"/>
        <v>45824</v>
      </c>
      <c r="AC22" s="77">
        <f t="shared" si="67"/>
        <v>1</v>
      </c>
      <c r="AD22" s="185">
        <f t="shared" si="68"/>
        <v>0</v>
      </c>
      <c r="AE22" s="186">
        <v>4724</v>
      </c>
      <c r="AF22" s="119">
        <f t="shared" si="37"/>
        <v>4724</v>
      </c>
      <c r="AG22" s="170">
        <v>0</v>
      </c>
      <c r="AH22" s="171">
        <v>3233.6</v>
      </c>
      <c r="AI22" s="172">
        <v>0.62430555555555556</v>
      </c>
      <c r="AJ22" s="171">
        <v>0</v>
      </c>
      <c r="AK22" s="188">
        <v>0</v>
      </c>
      <c r="AL22" s="57">
        <f t="shared" si="38"/>
        <v>45824</v>
      </c>
      <c r="AM22" s="78">
        <f t="shared" si="69"/>
        <v>0.44699626511362922</v>
      </c>
      <c r="AN22" s="77">
        <f t="shared" si="70"/>
        <v>0.55300373488637078</v>
      </c>
      <c r="AO22" s="173">
        <v>7898.5</v>
      </c>
      <c r="AP22" s="118">
        <f t="shared" si="41"/>
        <v>3530.6000000000004</v>
      </c>
      <c r="AQ22" s="174">
        <v>4367.8999999999996</v>
      </c>
      <c r="AR22" s="175">
        <v>2971.73</v>
      </c>
      <c r="AS22" s="176">
        <v>0.35555555555555557</v>
      </c>
      <c r="AT22" s="175">
        <v>209.07</v>
      </c>
      <c r="AU22" s="177">
        <v>0.33333333333333331</v>
      </c>
      <c r="AV22" s="57">
        <f t="shared" si="52"/>
        <v>45824</v>
      </c>
      <c r="AW22" s="111">
        <f t="shared" si="71"/>
        <v>0.59988118119867195</v>
      </c>
      <c r="AX22" s="111">
        <f t="shared" si="72"/>
        <v>0.40011881880132799</v>
      </c>
      <c r="AY22" s="112">
        <f t="shared" si="44"/>
        <v>5723</v>
      </c>
      <c r="AZ22" s="113">
        <v>5723</v>
      </c>
      <c r="BA22" s="121">
        <f t="shared" si="76"/>
        <v>3433.12</v>
      </c>
      <c r="BB22" s="114">
        <v>2289.88</v>
      </c>
      <c r="BC22" s="113">
        <v>3295.87</v>
      </c>
      <c r="BD22" s="115">
        <v>0.83333333333333337</v>
      </c>
      <c r="BE22" s="116">
        <v>0</v>
      </c>
      <c r="BF22" s="115">
        <v>0</v>
      </c>
      <c r="BG22" s="116">
        <v>489.31</v>
      </c>
      <c r="BH22" s="115">
        <v>5.2083333333333336E-2</v>
      </c>
      <c r="BI22" s="57">
        <f t="shared" si="53"/>
        <v>45824</v>
      </c>
      <c r="BJ22" s="79">
        <f t="shared" si="73"/>
        <v>0.60909174796782073</v>
      </c>
      <c r="BK22" s="77">
        <f t="shared" si="74"/>
        <v>0.39090825203217933</v>
      </c>
      <c r="BL22" s="80">
        <f t="shared" si="75"/>
        <v>29801.75</v>
      </c>
      <c r="BM22" s="178">
        <v>18152</v>
      </c>
      <c r="BN22" s="178">
        <v>11649.75</v>
      </c>
      <c r="BO22" s="179">
        <v>3997.78</v>
      </c>
      <c r="BP22" s="180">
        <v>0.80555555555555558</v>
      </c>
      <c r="BQ22" s="181">
        <v>2641.75</v>
      </c>
      <c r="BR22" s="180">
        <v>0.80555555555555558</v>
      </c>
    </row>
    <row r="23" spans="1:70" ht="15.75" thickBot="1" x14ac:dyDescent="0.3">
      <c r="A23" s="14"/>
      <c r="B23" s="57">
        <f t="shared" si="49"/>
        <v>45825</v>
      </c>
      <c r="C23" s="187"/>
      <c r="D23" s="88">
        <f t="shared" si="54"/>
        <v>53816</v>
      </c>
      <c r="E23" s="182">
        <f t="shared" si="55"/>
        <v>0.87508752044001781</v>
      </c>
      <c r="F23" s="88">
        <f t="shared" si="56"/>
        <v>47093.71</v>
      </c>
      <c r="G23" s="182">
        <f t="shared" si="57"/>
        <v>0.12491247955998216</v>
      </c>
      <c r="H23" s="169">
        <f t="shared" si="58"/>
        <v>6722.29</v>
      </c>
      <c r="I23" s="183">
        <f t="shared" si="59"/>
        <v>0.11750269088533269</v>
      </c>
      <c r="J23" s="182">
        <f t="shared" si="60"/>
        <v>0.16310325042195595</v>
      </c>
      <c r="K23" s="182">
        <f t="shared" si="61"/>
        <v>0.1631816804089492</v>
      </c>
      <c r="L23" s="184">
        <f t="shared" si="62"/>
        <v>0.58284366898550477</v>
      </c>
      <c r="M23" s="169">
        <f t="shared" si="63"/>
        <v>6139.5155987586331</v>
      </c>
      <c r="N23" s="169">
        <f t="shared" si="64"/>
        <v>8522.1448345471981</v>
      </c>
      <c r="O23" s="169">
        <f t="shared" si="65"/>
        <v>8526.2428013675963</v>
      </c>
      <c r="P23" s="169">
        <f t="shared" si="66"/>
        <v>30453.581704492623</v>
      </c>
      <c r="Q23" s="57">
        <f t="shared" si="50"/>
        <v>45825</v>
      </c>
      <c r="R23" s="162">
        <v>53816</v>
      </c>
      <c r="S23" s="163">
        <v>0</v>
      </c>
      <c r="T23" s="163">
        <v>52250</v>
      </c>
      <c r="U23" s="163">
        <v>0</v>
      </c>
      <c r="V23" s="164">
        <v>13773.34</v>
      </c>
      <c r="W23" s="165">
        <v>0.78125</v>
      </c>
      <c r="X23" s="164">
        <v>4793.6000000000004</v>
      </c>
      <c r="Y23" s="165">
        <v>0.80208333333333337</v>
      </c>
      <c r="Z23" s="164">
        <v>0</v>
      </c>
      <c r="AA23" s="165">
        <v>0</v>
      </c>
      <c r="AB23" s="57">
        <f t="shared" si="51"/>
        <v>45825</v>
      </c>
      <c r="AC23" s="77">
        <f t="shared" si="67"/>
        <v>1</v>
      </c>
      <c r="AD23" s="185">
        <f t="shared" si="68"/>
        <v>0</v>
      </c>
      <c r="AE23" s="186">
        <v>7014</v>
      </c>
      <c r="AF23" s="119">
        <f t="shared" si="37"/>
        <v>7014</v>
      </c>
      <c r="AG23" s="170">
        <v>0</v>
      </c>
      <c r="AH23" s="171">
        <v>4074.46</v>
      </c>
      <c r="AI23" s="172">
        <v>0.37847222222222221</v>
      </c>
      <c r="AJ23" s="171">
        <v>0</v>
      </c>
      <c r="AK23" s="188">
        <v>0</v>
      </c>
      <c r="AL23" s="57">
        <f t="shared" si="38"/>
        <v>45825</v>
      </c>
      <c r="AM23" s="78">
        <f t="shared" si="69"/>
        <v>0.56280402629416604</v>
      </c>
      <c r="AN23" s="77">
        <f t="shared" si="70"/>
        <v>0.43719597370583402</v>
      </c>
      <c r="AO23" s="173">
        <v>9736</v>
      </c>
      <c r="AP23" s="118">
        <f t="shared" si="41"/>
        <v>5479.46</v>
      </c>
      <c r="AQ23" s="174">
        <v>4256.54</v>
      </c>
      <c r="AR23" s="175">
        <v>3543.09</v>
      </c>
      <c r="AS23" s="176">
        <v>0.73888888888888893</v>
      </c>
      <c r="AT23" s="175">
        <v>201</v>
      </c>
      <c r="AU23" s="177">
        <v>0.39583333333333331</v>
      </c>
      <c r="AV23" s="57">
        <f t="shared" si="52"/>
        <v>45825</v>
      </c>
      <c r="AW23" s="111">
        <f t="shared" si="71"/>
        <v>0.69749110538584225</v>
      </c>
      <c r="AX23" s="111">
        <f t="shared" si="72"/>
        <v>0.30250889461415775</v>
      </c>
      <c r="AY23" s="112">
        <f t="shared" si="44"/>
        <v>8151</v>
      </c>
      <c r="AZ23" s="113">
        <v>8151</v>
      </c>
      <c r="BA23" s="121">
        <f t="shared" si="76"/>
        <v>5685.25</v>
      </c>
      <c r="BB23" s="114">
        <v>2465.75</v>
      </c>
      <c r="BC23" s="113">
        <v>3773.82</v>
      </c>
      <c r="BD23" s="115">
        <v>0.83333333333333337</v>
      </c>
      <c r="BE23" s="116">
        <v>0</v>
      </c>
      <c r="BF23" s="115">
        <v>0</v>
      </c>
      <c r="BG23" s="116">
        <v>159.51</v>
      </c>
      <c r="BH23" s="115">
        <v>3.125E-2</v>
      </c>
      <c r="BI23" s="57">
        <f t="shared" si="53"/>
        <v>45825</v>
      </c>
      <c r="BJ23" s="79">
        <f t="shared" si="73"/>
        <v>0.60805518628965616</v>
      </c>
      <c r="BK23" s="77">
        <f t="shared" si="74"/>
        <v>0.39194481371034384</v>
      </c>
      <c r="BL23" s="80">
        <f t="shared" si="75"/>
        <v>34791.25</v>
      </c>
      <c r="BM23" s="178">
        <v>21155</v>
      </c>
      <c r="BN23" s="178">
        <v>13636.25</v>
      </c>
      <c r="BO23" s="179">
        <v>4060.87</v>
      </c>
      <c r="BP23" s="180">
        <v>0.80208333333333337</v>
      </c>
      <c r="BQ23" s="181">
        <v>2708</v>
      </c>
      <c r="BR23" s="180">
        <v>0.80208333333333337</v>
      </c>
    </row>
    <row r="24" spans="1:70" ht="15.75" thickBot="1" x14ac:dyDescent="0.3">
      <c r="A24" s="14"/>
      <c r="B24" s="57">
        <f t="shared" si="49"/>
        <v>45826</v>
      </c>
      <c r="C24" s="187"/>
      <c r="D24" s="88">
        <f t="shared" si="54"/>
        <v>54416</v>
      </c>
      <c r="E24" s="182">
        <f t="shared" si="55"/>
        <v>0.87775654219347254</v>
      </c>
      <c r="F24" s="88">
        <f t="shared" si="56"/>
        <v>47764</v>
      </c>
      <c r="G24" s="182">
        <f t="shared" si="57"/>
        <v>0.1222434578065275</v>
      </c>
      <c r="H24" s="169">
        <f t="shared" si="58"/>
        <v>6652</v>
      </c>
      <c r="I24" s="183">
        <f t="shared" si="59"/>
        <v>0.11205103042198233</v>
      </c>
      <c r="J24" s="182">
        <f t="shared" si="60"/>
        <v>0.16553483807654562</v>
      </c>
      <c r="K24" s="182">
        <f t="shared" si="61"/>
        <v>0.18368051559442974</v>
      </c>
      <c r="L24" s="184">
        <f t="shared" si="62"/>
        <v>0.56578999018645726</v>
      </c>
      <c r="M24" s="169">
        <f t="shared" si="63"/>
        <v>5952.150736015702</v>
      </c>
      <c r="N24" s="169">
        <f t="shared" si="64"/>
        <v>8793.2105986261031</v>
      </c>
      <c r="O24" s="169">
        <f t="shared" si="65"/>
        <v>9757.1089883761088</v>
      </c>
      <c r="P24" s="169">
        <f t="shared" si="66"/>
        <v>30054.76427870461</v>
      </c>
      <c r="Q24" s="57">
        <f t="shared" si="50"/>
        <v>45826</v>
      </c>
      <c r="R24" s="162">
        <v>54416</v>
      </c>
      <c r="S24" s="163">
        <v>0</v>
      </c>
      <c r="T24" s="163">
        <v>53120</v>
      </c>
      <c r="U24" s="163">
        <v>0</v>
      </c>
      <c r="V24" s="164">
        <v>13390</v>
      </c>
      <c r="W24" s="165">
        <v>0.77083333333333337</v>
      </c>
      <c r="X24" s="164">
        <v>4510</v>
      </c>
      <c r="Y24" s="165">
        <v>0.8125</v>
      </c>
      <c r="Z24" s="164">
        <v>0</v>
      </c>
      <c r="AA24" s="165">
        <v>0</v>
      </c>
      <c r="AB24" s="57">
        <f t="shared" si="51"/>
        <v>45826</v>
      </c>
      <c r="AC24" s="77">
        <f t="shared" si="67"/>
        <v>1</v>
      </c>
      <c r="AD24" s="185">
        <f t="shared" si="68"/>
        <v>0</v>
      </c>
      <c r="AE24" s="186">
        <v>5709</v>
      </c>
      <c r="AF24" s="119">
        <f t="shared" si="37"/>
        <v>5709</v>
      </c>
      <c r="AG24" s="170">
        <v>0</v>
      </c>
      <c r="AH24" s="171">
        <v>3799</v>
      </c>
      <c r="AI24" s="172">
        <v>0.36666666666666664</v>
      </c>
      <c r="AJ24" s="171">
        <v>0</v>
      </c>
      <c r="AK24" s="188">
        <v>0</v>
      </c>
      <c r="AL24" s="57">
        <f t="shared" si="38"/>
        <v>45826</v>
      </c>
      <c r="AM24" s="78">
        <f t="shared" si="69"/>
        <v>0.50284562485179041</v>
      </c>
      <c r="AN24" s="77">
        <f t="shared" si="70"/>
        <v>0.49715437514820965</v>
      </c>
      <c r="AO24" s="173">
        <v>8434</v>
      </c>
      <c r="AP24" s="118">
        <f t="shared" si="41"/>
        <v>4241</v>
      </c>
      <c r="AQ24" s="174">
        <v>4193</v>
      </c>
      <c r="AR24" s="175">
        <v>3779</v>
      </c>
      <c r="AS24" s="176">
        <v>0.75555555555555554</v>
      </c>
      <c r="AT24" s="175">
        <v>210</v>
      </c>
      <c r="AU24" s="177">
        <v>0.31111111111111112</v>
      </c>
      <c r="AV24" s="57">
        <f t="shared" si="52"/>
        <v>45826</v>
      </c>
      <c r="AW24" s="111">
        <f t="shared" si="71"/>
        <v>0.69185463659147872</v>
      </c>
      <c r="AX24" s="111">
        <f t="shared" si="72"/>
        <v>0.30814536340852128</v>
      </c>
      <c r="AY24" s="112">
        <f t="shared" si="44"/>
        <v>7980</v>
      </c>
      <c r="AZ24" s="113">
        <v>7980</v>
      </c>
      <c r="BA24" s="121">
        <f t="shared" si="76"/>
        <v>5521</v>
      </c>
      <c r="BB24" s="114">
        <v>2459</v>
      </c>
      <c r="BC24" s="113">
        <v>3980</v>
      </c>
      <c r="BD24" s="115">
        <v>0.875</v>
      </c>
      <c r="BE24" s="116">
        <v>0</v>
      </c>
      <c r="BF24" s="115">
        <v>0</v>
      </c>
      <c r="BG24" s="116">
        <v>150</v>
      </c>
      <c r="BH24" s="115">
        <v>0.33333333333333331</v>
      </c>
      <c r="BI24" s="57">
        <f t="shared" si="53"/>
        <v>45826</v>
      </c>
      <c r="BJ24" s="79">
        <f t="shared" si="73"/>
        <v>0.60828390050993864</v>
      </c>
      <c r="BK24" s="77">
        <f t="shared" si="74"/>
        <v>0.39171609949006142</v>
      </c>
      <c r="BL24" s="80">
        <f t="shared" si="75"/>
        <v>28827</v>
      </c>
      <c r="BM24" s="178">
        <v>17535</v>
      </c>
      <c r="BN24" s="178">
        <v>11292</v>
      </c>
      <c r="BO24" s="179">
        <v>4237</v>
      </c>
      <c r="BP24" s="180">
        <v>0.8041666666666667</v>
      </c>
      <c r="BQ24" s="181">
        <v>2786</v>
      </c>
      <c r="BR24" s="180">
        <v>0.8041666666666667</v>
      </c>
    </row>
    <row r="25" spans="1:70" ht="15.75" thickBot="1" x14ac:dyDescent="0.3">
      <c r="A25" s="14"/>
      <c r="B25" s="57">
        <f t="shared" si="49"/>
        <v>45827</v>
      </c>
      <c r="C25" s="187"/>
      <c r="D25" s="88">
        <f t="shared" ref="D25:D37" si="85">R25</f>
        <v>53850</v>
      </c>
      <c r="E25" s="182">
        <f t="shared" ref="E25:E37" si="86">F25/D25</f>
        <v>0.8749303621169916</v>
      </c>
      <c r="F25" s="88">
        <f t="shared" ref="F25:F37" si="87">D25-H25</f>
        <v>47115</v>
      </c>
      <c r="G25" s="182">
        <f t="shared" ref="G25:G37" si="88">H25/D25</f>
        <v>0.12506963788300834</v>
      </c>
      <c r="H25" s="169">
        <f t="shared" ref="H25:H37" si="89">U25+AG25+AQ25+BB25</f>
        <v>6735</v>
      </c>
      <c r="I25" s="183">
        <f t="shared" ref="I25:I37" si="90">AE25/(AE25+AO25+BL25+AY25)</f>
        <v>0.11061287920484346</v>
      </c>
      <c r="J25" s="182">
        <f t="shared" ref="J25:J37" si="91">AO25/(AE25+AO25+BL25+AY25)</f>
        <v>0.16147570175154596</v>
      </c>
      <c r="K25" s="182">
        <f t="shared" ref="K25:K37" si="92">AY25/(AF25+AP25+BM25+AZ25+AY25)</f>
        <v>0.15769162961076613</v>
      </c>
      <c r="L25" s="184">
        <f t="shared" ref="L25:L37" si="93">BL25/(AE25+AO25+BL25+AY25)</f>
        <v>0.59759769482306468</v>
      </c>
      <c r="M25" s="169">
        <f t="shared" ref="M25:M37" si="94">(S25+T25)*I25</f>
        <v>5790.5842263735549</v>
      </c>
      <c r="N25" s="169">
        <f t="shared" ref="N25:N37" si="95">(S25+T25)*J25</f>
        <v>8453.252986693431</v>
      </c>
      <c r="O25" s="169">
        <f t="shared" ref="O25:O37" si="96">(S25+T25)*K25</f>
        <v>8255.1568101236062</v>
      </c>
      <c r="P25" s="169">
        <f t="shared" ref="P25:P37" si="97">(S25+T25)*L25</f>
        <v>31284.239323987436</v>
      </c>
      <c r="Q25" s="57">
        <f t="shared" si="50"/>
        <v>45827</v>
      </c>
      <c r="R25" s="162">
        <v>53850</v>
      </c>
      <c r="S25" s="163">
        <v>0</v>
      </c>
      <c r="T25" s="163">
        <v>52350</v>
      </c>
      <c r="U25" s="163">
        <v>0</v>
      </c>
      <c r="V25" s="164">
        <v>13250</v>
      </c>
      <c r="W25" s="165">
        <v>0.83333333333333337</v>
      </c>
      <c r="X25" s="164">
        <v>4530</v>
      </c>
      <c r="Y25" s="165">
        <v>0.75</v>
      </c>
      <c r="Z25" s="164">
        <v>0</v>
      </c>
      <c r="AA25" s="165">
        <v>0</v>
      </c>
      <c r="AB25" s="57">
        <f t="shared" si="51"/>
        <v>45827</v>
      </c>
      <c r="AC25" s="77">
        <f t="shared" ref="AC25:AC37" si="98">+AF25/AE25</f>
        <v>1</v>
      </c>
      <c r="AD25" s="185">
        <f t="shared" ref="AD25:AD37" si="99">+AG25/AE25</f>
        <v>0</v>
      </c>
      <c r="AE25" s="186">
        <v>6833</v>
      </c>
      <c r="AF25" s="119">
        <f t="shared" si="37"/>
        <v>6833</v>
      </c>
      <c r="AG25" s="170">
        <v>0</v>
      </c>
      <c r="AH25" s="171">
        <v>4441</v>
      </c>
      <c r="AI25" s="172">
        <v>0.33402777777777776</v>
      </c>
      <c r="AJ25" s="171">
        <v>0</v>
      </c>
      <c r="AK25" s="188">
        <v>0</v>
      </c>
      <c r="AL25" s="57">
        <f t="shared" si="38"/>
        <v>45827</v>
      </c>
      <c r="AM25" s="78">
        <f t="shared" ref="AM25:AM37" si="100">+AP25/AO25</f>
        <v>0.5759398496240602</v>
      </c>
      <c r="AN25" s="77">
        <f t="shared" ref="AN25:AN37" si="101">+AQ25/AO25</f>
        <v>0.42406015037593986</v>
      </c>
      <c r="AO25" s="173">
        <v>9975</v>
      </c>
      <c r="AP25" s="118">
        <f t="shared" si="41"/>
        <v>5745</v>
      </c>
      <c r="AQ25" s="174">
        <v>4230</v>
      </c>
      <c r="AR25" s="175">
        <v>4310</v>
      </c>
      <c r="AS25" s="176">
        <v>0.34722222222222221</v>
      </c>
      <c r="AT25" s="175">
        <v>215</v>
      </c>
      <c r="AU25" s="177">
        <v>0.39583333333333331</v>
      </c>
      <c r="AV25" s="57">
        <f t="shared" si="52"/>
        <v>45827</v>
      </c>
      <c r="AW25" s="111">
        <f t="shared" ref="AW25:AW37" si="102">BA25/AZ25</f>
        <v>0.68881987577639747</v>
      </c>
      <c r="AX25" s="111">
        <f t="shared" ref="AX25:AX37" si="103">BB25/AZ25</f>
        <v>0.31118012422360247</v>
      </c>
      <c r="AY25" s="112">
        <f t="shared" si="44"/>
        <v>8050</v>
      </c>
      <c r="AZ25" s="113">
        <v>8050</v>
      </c>
      <c r="BA25" s="121">
        <f t="shared" ref="BA25:BA37" si="104">AZ25-BB25</f>
        <v>5545</v>
      </c>
      <c r="BB25" s="114">
        <v>2505</v>
      </c>
      <c r="BC25" s="113">
        <v>3900</v>
      </c>
      <c r="BD25" s="115">
        <v>0.75</v>
      </c>
      <c r="BE25" s="116">
        <v>0</v>
      </c>
      <c r="BF25" s="115">
        <v>0</v>
      </c>
      <c r="BG25" s="116">
        <v>149</v>
      </c>
      <c r="BH25" s="115">
        <v>0.3125</v>
      </c>
      <c r="BI25" s="57">
        <f t="shared" si="53"/>
        <v>45827</v>
      </c>
      <c r="BJ25" s="79">
        <f t="shared" ref="BJ25:BJ37" si="105">+BM25/BL25</f>
        <v>0.60599739950157117</v>
      </c>
      <c r="BK25" s="77">
        <f t="shared" ref="BK25:BK37" si="106">+BN25/BL25</f>
        <v>0.39400260049842889</v>
      </c>
      <c r="BL25" s="80">
        <f t="shared" ref="BL25:BL37" si="107">BM25+BN25</f>
        <v>36916</v>
      </c>
      <c r="BM25" s="178">
        <v>22371</v>
      </c>
      <c r="BN25" s="178">
        <v>14545</v>
      </c>
      <c r="BO25" s="179">
        <v>4584</v>
      </c>
      <c r="BP25" s="180">
        <v>0.75416666666666665</v>
      </c>
      <c r="BQ25" s="181">
        <v>3071</v>
      </c>
      <c r="BR25" s="180">
        <v>0.75416666666666665</v>
      </c>
    </row>
    <row r="26" spans="1:70" ht="15.75" thickBot="1" x14ac:dyDescent="0.3">
      <c r="A26" s="14"/>
      <c r="B26" s="57">
        <f t="shared" si="49"/>
        <v>45828</v>
      </c>
      <c r="C26" s="187"/>
      <c r="D26" s="88">
        <f t="shared" si="85"/>
        <v>27150</v>
      </c>
      <c r="E26" s="182">
        <f t="shared" si="86"/>
        <v>0.7594475138121547</v>
      </c>
      <c r="F26" s="88">
        <f t="shared" si="87"/>
        <v>20619</v>
      </c>
      <c r="G26" s="182">
        <f t="shared" si="88"/>
        <v>0.2405524861878453</v>
      </c>
      <c r="H26" s="169">
        <f t="shared" si="89"/>
        <v>6531</v>
      </c>
      <c r="I26" s="183">
        <f t="shared" si="90"/>
        <v>6.7544999072184073E-2</v>
      </c>
      <c r="J26" s="182">
        <f t="shared" si="91"/>
        <v>0.1940248654666914</v>
      </c>
      <c r="K26" s="182">
        <f t="shared" si="92"/>
        <v>0.21065386587127743</v>
      </c>
      <c r="L26" s="184">
        <f t="shared" si="93"/>
        <v>0.57068101688624973</v>
      </c>
      <c r="M26" s="169">
        <f t="shared" si="94"/>
        <v>1766.3017257376134</v>
      </c>
      <c r="N26" s="169">
        <f t="shared" si="95"/>
        <v>5073.7502319539799</v>
      </c>
      <c r="O26" s="169">
        <f t="shared" si="96"/>
        <v>5508.5985925339046</v>
      </c>
      <c r="P26" s="169">
        <f t="shared" si="97"/>
        <v>14923.308591575431</v>
      </c>
      <c r="Q26" s="57">
        <f t="shared" si="50"/>
        <v>45828</v>
      </c>
      <c r="R26" s="162">
        <v>27150</v>
      </c>
      <c r="S26" s="163">
        <v>0</v>
      </c>
      <c r="T26" s="163">
        <v>26150</v>
      </c>
      <c r="U26" s="163">
        <v>0</v>
      </c>
      <c r="V26" s="164">
        <v>5690</v>
      </c>
      <c r="W26" s="165">
        <v>0.70833333333333337</v>
      </c>
      <c r="X26" s="164">
        <v>1950</v>
      </c>
      <c r="Y26" s="165">
        <v>0.375</v>
      </c>
      <c r="Z26" s="164">
        <v>0</v>
      </c>
      <c r="AA26" s="165">
        <v>0</v>
      </c>
      <c r="AB26" s="57">
        <f t="shared" si="51"/>
        <v>45828</v>
      </c>
      <c r="AC26" s="77">
        <f t="shared" si="98"/>
        <v>1</v>
      </c>
      <c r="AD26" s="185">
        <f t="shared" si="99"/>
        <v>0</v>
      </c>
      <c r="AE26" s="186">
        <v>1820</v>
      </c>
      <c r="AF26" s="119">
        <f t="shared" si="37"/>
        <v>1820</v>
      </c>
      <c r="AG26" s="170">
        <v>0</v>
      </c>
      <c r="AH26" s="171">
        <v>1680</v>
      </c>
      <c r="AI26" s="172">
        <v>0.92222222222222228</v>
      </c>
      <c r="AJ26" s="171">
        <v>0</v>
      </c>
      <c r="AK26" s="188">
        <v>0</v>
      </c>
      <c r="AL26" s="57">
        <f t="shared" si="38"/>
        <v>45828</v>
      </c>
      <c r="AM26" s="78">
        <f t="shared" si="100"/>
        <v>0.2193955623565417</v>
      </c>
      <c r="AN26" s="77">
        <f t="shared" si="101"/>
        <v>0.78060443764345833</v>
      </c>
      <c r="AO26" s="173">
        <v>5228</v>
      </c>
      <c r="AP26" s="118">
        <f t="shared" si="41"/>
        <v>1147</v>
      </c>
      <c r="AQ26" s="174">
        <v>4081</v>
      </c>
      <c r="AR26" s="175">
        <v>1582</v>
      </c>
      <c r="AS26" s="176">
        <v>0.93125000000000002</v>
      </c>
      <c r="AT26" s="175">
        <v>199</v>
      </c>
      <c r="AU26" s="177">
        <v>8.5416666666666669E-2</v>
      </c>
      <c r="AV26" s="57">
        <f t="shared" si="52"/>
        <v>45828</v>
      </c>
      <c r="AW26" s="111">
        <f t="shared" si="102"/>
        <v>0.45796460176991149</v>
      </c>
      <c r="AX26" s="111">
        <f t="shared" si="103"/>
        <v>0.54203539823008851</v>
      </c>
      <c r="AY26" s="112">
        <f t="shared" si="44"/>
        <v>4520</v>
      </c>
      <c r="AZ26" s="113">
        <v>4520</v>
      </c>
      <c r="BA26" s="121">
        <f t="shared" si="104"/>
        <v>2070</v>
      </c>
      <c r="BB26" s="114">
        <v>2450</v>
      </c>
      <c r="BC26" s="113">
        <v>1490</v>
      </c>
      <c r="BD26" s="115">
        <v>0.72916666666666663</v>
      </c>
      <c r="BE26" s="116">
        <v>0</v>
      </c>
      <c r="BF26" s="115">
        <v>0</v>
      </c>
      <c r="BG26" s="116">
        <v>139</v>
      </c>
      <c r="BH26" s="115">
        <v>0.35416666666666669</v>
      </c>
      <c r="BI26" s="57">
        <f t="shared" si="53"/>
        <v>45828</v>
      </c>
      <c r="BJ26" s="79">
        <f t="shared" si="105"/>
        <v>0.61455420433114394</v>
      </c>
      <c r="BK26" s="77">
        <f t="shared" si="106"/>
        <v>0.38544579566885606</v>
      </c>
      <c r="BL26" s="80">
        <f t="shared" si="107"/>
        <v>15377</v>
      </c>
      <c r="BM26" s="178">
        <v>9450</v>
      </c>
      <c r="BN26" s="178">
        <v>5927</v>
      </c>
      <c r="BO26" s="179">
        <v>2426</v>
      </c>
      <c r="BP26" s="180">
        <v>0.4152777777777778</v>
      </c>
      <c r="BQ26" s="181">
        <v>1594</v>
      </c>
      <c r="BR26" s="180">
        <v>0.4152777777777778</v>
      </c>
    </row>
    <row r="27" spans="1:70" ht="15.75" thickBot="1" x14ac:dyDescent="0.3">
      <c r="A27" s="14"/>
      <c r="B27" s="57">
        <f t="shared" si="49"/>
        <v>45829</v>
      </c>
      <c r="C27" s="187"/>
      <c r="D27" s="88">
        <f t="shared" si="85"/>
        <v>31886</v>
      </c>
      <c r="E27" s="182">
        <f t="shared" si="86"/>
        <v>0.79643103556419748</v>
      </c>
      <c r="F27" s="88">
        <f t="shared" si="87"/>
        <v>25395</v>
      </c>
      <c r="G27" s="182">
        <f t="shared" si="88"/>
        <v>0.20356896443580255</v>
      </c>
      <c r="H27" s="169">
        <f t="shared" si="89"/>
        <v>6491</v>
      </c>
      <c r="I27" s="183">
        <f t="shared" si="90"/>
        <v>7.4252679075014094E-2</v>
      </c>
      <c r="J27" s="182">
        <f t="shared" si="91"/>
        <v>0.16579244218838127</v>
      </c>
      <c r="K27" s="182">
        <f t="shared" si="92"/>
        <v>0.16053090127164202</v>
      </c>
      <c r="L27" s="184">
        <f t="shared" si="93"/>
        <v>0.63784545967287087</v>
      </c>
      <c r="M27" s="169">
        <f t="shared" si="94"/>
        <v>2247.9998589960519</v>
      </c>
      <c r="N27" s="169">
        <f t="shared" si="95"/>
        <v>5019.366187253243</v>
      </c>
      <c r="O27" s="169">
        <f t="shared" si="96"/>
        <v>4860.073035998962</v>
      </c>
      <c r="P27" s="169">
        <f t="shared" si="97"/>
        <v>19310.771291596167</v>
      </c>
      <c r="Q27" s="57">
        <f t="shared" si="50"/>
        <v>45829</v>
      </c>
      <c r="R27" s="162">
        <v>31886</v>
      </c>
      <c r="S27" s="163">
        <v>0</v>
      </c>
      <c r="T27" s="163">
        <v>30275</v>
      </c>
      <c r="U27" s="163">
        <v>0</v>
      </c>
      <c r="V27" s="164">
        <v>6976</v>
      </c>
      <c r="W27" s="165">
        <v>0.41666666666666669</v>
      </c>
      <c r="X27" s="164">
        <v>1942</v>
      </c>
      <c r="Y27" s="165">
        <v>0.51041666666666663</v>
      </c>
      <c r="Z27" s="164">
        <v>0</v>
      </c>
      <c r="AA27" s="165">
        <v>0</v>
      </c>
      <c r="AB27" s="57">
        <f t="shared" si="51"/>
        <v>45829</v>
      </c>
      <c r="AC27" s="77">
        <f t="shared" si="98"/>
        <v>1</v>
      </c>
      <c r="AD27" s="185">
        <f t="shared" si="99"/>
        <v>0</v>
      </c>
      <c r="AE27" s="186">
        <v>2633</v>
      </c>
      <c r="AF27" s="119">
        <f t="shared" si="37"/>
        <v>2633</v>
      </c>
      <c r="AG27" s="170">
        <v>0</v>
      </c>
      <c r="AH27" s="171">
        <v>1866</v>
      </c>
      <c r="AI27" s="172">
        <v>0.94236111111111109</v>
      </c>
      <c r="AJ27" s="171">
        <v>0</v>
      </c>
      <c r="AK27" s="188">
        <v>0</v>
      </c>
      <c r="AL27" s="57">
        <f t="shared" si="38"/>
        <v>45829</v>
      </c>
      <c r="AM27" s="78">
        <f t="shared" si="100"/>
        <v>0.32046266371831944</v>
      </c>
      <c r="AN27" s="77">
        <f t="shared" si="101"/>
        <v>0.67953733628168056</v>
      </c>
      <c r="AO27" s="173">
        <v>5879</v>
      </c>
      <c r="AP27" s="118">
        <f t="shared" si="41"/>
        <v>1884</v>
      </c>
      <c r="AQ27" s="174">
        <v>3995</v>
      </c>
      <c r="AR27" s="175">
        <v>1591</v>
      </c>
      <c r="AS27" s="176">
        <v>0.77152777777777781</v>
      </c>
      <c r="AT27" s="175">
        <v>194</v>
      </c>
      <c r="AU27" s="177">
        <v>0.3125</v>
      </c>
      <c r="AV27" s="57">
        <f t="shared" si="52"/>
        <v>45829</v>
      </c>
      <c r="AW27" s="111">
        <f t="shared" si="102"/>
        <v>0.42355658198614321</v>
      </c>
      <c r="AX27" s="111">
        <f t="shared" si="103"/>
        <v>0.57644341801385679</v>
      </c>
      <c r="AY27" s="112">
        <f t="shared" si="44"/>
        <v>4330</v>
      </c>
      <c r="AZ27" s="113">
        <v>4330</v>
      </c>
      <c r="BA27" s="121">
        <f t="shared" si="104"/>
        <v>1834</v>
      </c>
      <c r="BB27" s="114">
        <v>2496</v>
      </c>
      <c r="BC27" s="113">
        <v>1468</v>
      </c>
      <c r="BD27" s="115">
        <v>0.5625</v>
      </c>
      <c r="BE27" s="116">
        <v>0</v>
      </c>
      <c r="BF27" s="115">
        <v>0</v>
      </c>
      <c r="BG27" s="116">
        <v>148</v>
      </c>
      <c r="BH27" s="115">
        <v>0.84375</v>
      </c>
      <c r="BI27" s="57">
        <f t="shared" si="53"/>
        <v>45829</v>
      </c>
      <c r="BJ27" s="79">
        <f t="shared" si="105"/>
        <v>0.60995667167742507</v>
      </c>
      <c r="BK27" s="77">
        <f t="shared" si="106"/>
        <v>0.39004332832257493</v>
      </c>
      <c r="BL27" s="80">
        <f t="shared" si="107"/>
        <v>22618</v>
      </c>
      <c r="BM27" s="178">
        <v>13796</v>
      </c>
      <c r="BN27" s="178">
        <v>8822</v>
      </c>
      <c r="BO27" s="179">
        <v>2872</v>
      </c>
      <c r="BP27" s="180">
        <v>0.73055555555555551</v>
      </c>
      <c r="BQ27" s="181">
        <v>1889</v>
      </c>
      <c r="BR27" s="180">
        <v>0.73055555555555551</v>
      </c>
    </row>
    <row r="28" spans="1:70" ht="15.75" thickBot="1" x14ac:dyDescent="0.3">
      <c r="A28" s="14"/>
      <c r="B28" s="57">
        <f t="shared" si="49"/>
        <v>45830</v>
      </c>
      <c r="C28" s="187"/>
      <c r="D28" s="88">
        <f t="shared" si="85"/>
        <v>27518</v>
      </c>
      <c r="E28" s="182">
        <f t="shared" si="86"/>
        <v>0.76920779126389993</v>
      </c>
      <c r="F28" s="88">
        <f t="shared" si="87"/>
        <v>21167.059999999998</v>
      </c>
      <c r="G28" s="182">
        <f t="shared" si="88"/>
        <v>0.23079220873610001</v>
      </c>
      <c r="H28" s="169">
        <f>U28+AG28+AQ28+BB28</f>
        <v>6350.9400000000005</v>
      </c>
      <c r="I28" s="183">
        <f t="shared" si="90"/>
        <v>5.8922965467278432E-2</v>
      </c>
      <c r="J28" s="182">
        <f t="shared" si="91"/>
        <v>0.17578629183355679</v>
      </c>
      <c r="K28" s="182">
        <f t="shared" si="92"/>
        <v>0.17282664124337627</v>
      </c>
      <c r="L28" s="184">
        <f t="shared" si="93"/>
        <v>0.63547035948338315</v>
      </c>
      <c r="M28" s="169">
        <f t="shared" si="94"/>
        <v>1537.8304757304998</v>
      </c>
      <c r="N28" s="169">
        <f t="shared" si="95"/>
        <v>4587.8464305639991</v>
      </c>
      <c r="O28" s="169">
        <f t="shared" si="96"/>
        <v>4510.6025098108776</v>
      </c>
      <c r="P28" s="169">
        <f t="shared" si="97"/>
        <v>16585.140912156818</v>
      </c>
      <c r="Q28" s="57">
        <f t="shared" si="50"/>
        <v>45830</v>
      </c>
      <c r="R28" s="162">
        <v>27518</v>
      </c>
      <c r="S28" s="163">
        <v>0</v>
      </c>
      <c r="T28" s="163">
        <v>26099</v>
      </c>
      <c r="U28" s="163">
        <v>0</v>
      </c>
      <c r="V28" s="164">
        <v>5761.97</v>
      </c>
      <c r="W28" s="165">
        <v>0.85416666666666663</v>
      </c>
      <c r="X28" s="164">
        <v>1805.97</v>
      </c>
      <c r="Y28" s="165">
        <v>0.96875</v>
      </c>
      <c r="Z28" s="164">
        <v>0</v>
      </c>
      <c r="AA28" s="165">
        <v>0</v>
      </c>
      <c r="AB28" s="57">
        <f t="shared" si="51"/>
        <v>45830</v>
      </c>
      <c r="AC28" s="77">
        <f t="shared" si="98"/>
        <v>1</v>
      </c>
      <c r="AD28" s="185">
        <f t="shared" si="99"/>
        <v>0</v>
      </c>
      <c r="AE28" s="186">
        <v>1769</v>
      </c>
      <c r="AF28" s="119">
        <f t="shared" si="37"/>
        <v>1769</v>
      </c>
      <c r="AG28" s="170">
        <v>0</v>
      </c>
      <c r="AH28" s="171">
        <v>1643.93</v>
      </c>
      <c r="AI28" s="172">
        <v>0.93055555555555558</v>
      </c>
      <c r="AJ28" s="171">
        <v>0</v>
      </c>
      <c r="AK28" s="188">
        <v>0</v>
      </c>
      <c r="AL28" s="57">
        <f t="shared" si="38"/>
        <v>45830</v>
      </c>
      <c r="AM28" s="78">
        <f t="shared" si="100"/>
        <v>0.25513974419706298</v>
      </c>
      <c r="AN28" s="77">
        <f t="shared" si="101"/>
        <v>0.74486025580293702</v>
      </c>
      <c r="AO28" s="173">
        <v>5277.5</v>
      </c>
      <c r="AP28" s="118">
        <f t="shared" si="41"/>
        <v>1346.5</v>
      </c>
      <c r="AQ28" s="174">
        <v>3931</v>
      </c>
      <c r="AR28" s="175">
        <v>1478.08</v>
      </c>
      <c r="AS28" s="176">
        <v>0.93125000000000002</v>
      </c>
      <c r="AT28" s="175">
        <v>188.54</v>
      </c>
      <c r="AU28" s="177">
        <v>9.375E-2</v>
      </c>
      <c r="AV28" s="57">
        <f t="shared" si="52"/>
        <v>45830</v>
      </c>
      <c r="AW28" s="111">
        <f t="shared" si="102"/>
        <v>0.37910455420141115</v>
      </c>
      <c r="AX28" s="111">
        <f t="shared" si="103"/>
        <v>0.62089544579858891</v>
      </c>
      <c r="AY28" s="112">
        <f t="shared" si="44"/>
        <v>3897.5</v>
      </c>
      <c r="AZ28" s="113">
        <v>3897.5</v>
      </c>
      <c r="BA28" s="121">
        <f t="shared" si="104"/>
        <v>1477.56</v>
      </c>
      <c r="BB28" s="114">
        <v>2419.94</v>
      </c>
      <c r="BC28" s="113">
        <v>1314.11</v>
      </c>
      <c r="BD28" s="115">
        <v>0.40625</v>
      </c>
      <c r="BE28" s="116">
        <v>0</v>
      </c>
      <c r="BF28" s="115">
        <v>0</v>
      </c>
      <c r="BG28" s="116">
        <v>149.76</v>
      </c>
      <c r="BH28" s="115">
        <v>0.80208333333333337</v>
      </c>
      <c r="BI28" s="57">
        <f t="shared" si="53"/>
        <v>45830</v>
      </c>
      <c r="BJ28" s="79">
        <f t="shared" si="105"/>
        <v>0.61017126832911828</v>
      </c>
      <c r="BK28" s="77">
        <f t="shared" si="106"/>
        <v>0.38982873167088178</v>
      </c>
      <c r="BL28" s="80">
        <f t="shared" si="107"/>
        <v>19078.25</v>
      </c>
      <c r="BM28" s="178">
        <v>11641</v>
      </c>
      <c r="BN28" s="178">
        <v>7437.25</v>
      </c>
      <c r="BO28" s="179">
        <v>2331.58</v>
      </c>
      <c r="BP28" s="180">
        <v>0.41111111111111109</v>
      </c>
      <c r="BQ28" s="181">
        <v>1546</v>
      </c>
      <c r="BR28" s="180">
        <v>0.41180555555555554</v>
      </c>
    </row>
    <row r="29" spans="1:70" ht="15.75" thickBot="1" x14ac:dyDescent="0.3">
      <c r="A29" s="14"/>
      <c r="B29" s="57">
        <f t="shared" si="49"/>
        <v>45831</v>
      </c>
      <c r="C29" s="187"/>
      <c r="D29" s="88">
        <f t="shared" si="85"/>
        <v>53156</v>
      </c>
      <c r="E29" s="182">
        <f t="shared" si="86"/>
        <v>0.8741064037926104</v>
      </c>
      <c r="F29" s="88">
        <f t="shared" si="87"/>
        <v>46464</v>
      </c>
      <c r="G29" s="182">
        <f t="shared" si="88"/>
        <v>0.12589359620738957</v>
      </c>
      <c r="H29" s="169">
        <f t="shared" si="89"/>
        <v>6692</v>
      </c>
      <c r="I29" s="183">
        <f t="shared" si="90"/>
        <v>0.11232034560106338</v>
      </c>
      <c r="J29" s="182">
        <f t="shared" si="91"/>
        <v>0.15337708731411481</v>
      </c>
      <c r="K29" s="182">
        <f t="shared" si="92"/>
        <v>0.16288915070790982</v>
      </c>
      <c r="L29" s="184">
        <f t="shared" si="93"/>
        <v>0.59877045775525461</v>
      </c>
      <c r="M29" s="169">
        <f t="shared" si="94"/>
        <v>5810.3314779430084</v>
      </c>
      <c r="N29" s="169">
        <f t="shared" si="95"/>
        <v>7934.196726759159</v>
      </c>
      <c r="O29" s="169">
        <f t="shared" si="96"/>
        <v>8426.2557661201754</v>
      </c>
      <c r="P29" s="169">
        <f t="shared" si="97"/>
        <v>30974.395779679322</v>
      </c>
      <c r="Q29" s="57">
        <f t="shared" si="50"/>
        <v>45831</v>
      </c>
      <c r="R29" s="162">
        <v>53156</v>
      </c>
      <c r="S29" s="163">
        <v>0</v>
      </c>
      <c r="T29" s="163">
        <v>51730</v>
      </c>
      <c r="U29" s="163">
        <v>0</v>
      </c>
      <c r="V29" s="164">
        <v>14052</v>
      </c>
      <c r="W29" s="165">
        <v>0.80208333333333337</v>
      </c>
      <c r="X29" s="164">
        <v>4534</v>
      </c>
      <c r="Y29" s="165">
        <v>0.40625</v>
      </c>
      <c r="Z29" s="164">
        <v>0</v>
      </c>
      <c r="AA29" s="165">
        <v>0</v>
      </c>
      <c r="AB29" s="57">
        <f t="shared" si="51"/>
        <v>45831</v>
      </c>
      <c r="AC29" s="77">
        <f t="shared" si="98"/>
        <v>1</v>
      </c>
      <c r="AD29" s="185">
        <f t="shared" si="99"/>
        <v>0</v>
      </c>
      <c r="AE29" s="186">
        <v>6760</v>
      </c>
      <c r="AF29" s="119">
        <f t="shared" si="37"/>
        <v>6760</v>
      </c>
      <c r="AG29" s="170">
        <v>0</v>
      </c>
      <c r="AH29" s="171">
        <v>4171</v>
      </c>
      <c r="AI29" s="172">
        <v>0.32916666666666666</v>
      </c>
      <c r="AJ29" s="171">
        <v>0</v>
      </c>
      <c r="AK29" s="188">
        <v>0</v>
      </c>
      <c r="AL29" s="57">
        <f t="shared" si="38"/>
        <v>45831</v>
      </c>
      <c r="AM29" s="78">
        <f t="shared" si="100"/>
        <v>0.54858628534286646</v>
      </c>
      <c r="AN29" s="77">
        <f t="shared" si="101"/>
        <v>0.45141371465713359</v>
      </c>
      <c r="AO29" s="173">
        <v>9231</v>
      </c>
      <c r="AP29" s="118">
        <f t="shared" si="41"/>
        <v>5064</v>
      </c>
      <c r="AQ29" s="174">
        <v>4167</v>
      </c>
      <c r="AR29" s="175">
        <v>4101</v>
      </c>
      <c r="AS29" s="176">
        <v>0.35486111111111113</v>
      </c>
      <c r="AT29" s="175">
        <v>200</v>
      </c>
      <c r="AU29" s="177">
        <v>0.28125</v>
      </c>
      <c r="AV29" s="57">
        <f t="shared" si="52"/>
        <v>45831</v>
      </c>
      <c r="AW29" s="111">
        <f t="shared" si="102"/>
        <v>0.69044992031384089</v>
      </c>
      <c r="AX29" s="111">
        <f t="shared" si="103"/>
        <v>0.30955007968615911</v>
      </c>
      <c r="AY29" s="112">
        <f t="shared" si="44"/>
        <v>8157</v>
      </c>
      <c r="AZ29" s="113">
        <v>8157</v>
      </c>
      <c r="BA29" s="121">
        <f t="shared" si="104"/>
        <v>5632</v>
      </c>
      <c r="BB29" s="205">
        <v>2525</v>
      </c>
      <c r="BC29" s="113">
        <v>3708</v>
      </c>
      <c r="BD29" s="115">
        <v>0.76041666666666663</v>
      </c>
      <c r="BE29" s="116">
        <v>0</v>
      </c>
      <c r="BF29" s="115">
        <v>0</v>
      </c>
      <c r="BG29" s="116">
        <v>152</v>
      </c>
      <c r="BH29" s="115">
        <v>0.84375</v>
      </c>
      <c r="BI29" s="57">
        <f t="shared" si="53"/>
        <v>45831</v>
      </c>
      <c r="BJ29" s="79">
        <f t="shared" si="105"/>
        <v>0.60879096484169049</v>
      </c>
      <c r="BK29" s="77">
        <f t="shared" si="106"/>
        <v>0.39120903515830951</v>
      </c>
      <c r="BL29" s="80">
        <f t="shared" si="107"/>
        <v>36037</v>
      </c>
      <c r="BM29" s="178">
        <v>21939</v>
      </c>
      <c r="BN29" s="178">
        <v>14098</v>
      </c>
      <c r="BO29" s="179">
        <v>3881</v>
      </c>
      <c r="BP29" s="180">
        <v>0.70902777777777781</v>
      </c>
      <c r="BQ29" s="181">
        <v>2582</v>
      </c>
      <c r="BR29" s="180">
        <v>0.70902777777777781</v>
      </c>
    </row>
    <row r="30" spans="1:70" ht="15.75" thickBot="1" x14ac:dyDescent="0.3">
      <c r="A30" s="14"/>
      <c r="B30" s="57">
        <f t="shared" si="49"/>
        <v>45832</v>
      </c>
      <c r="C30" s="187"/>
      <c r="D30" s="88">
        <f t="shared" si="85"/>
        <v>54868</v>
      </c>
      <c r="E30" s="182">
        <f t="shared" si="86"/>
        <v>0.87553765400597794</v>
      </c>
      <c r="F30" s="88">
        <f t="shared" si="87"/>
        <v>48039</v>
      </c>
      <c r="G30" s="182">
        <f t="shared" si="88"/>
        <v>0.12446234599402202</v>
      </c>
      <c r="H30" s="169">
        <f t="shared" si="89"/>
        <v>6829</v>
      </c>
      <c r="I30" s="183">
        <f t="shared" si="90"/>
        <v>0.11655953879795905</v>
      </c>
      <c r="J30" s="182">
        <f t="shared" si="91"/>
        <v>0.16031078126035386</v>
      </c>
      <c r="K30" s="182">
        <f t="shared" si="92"/>
        <v>0.16143542186818849</v>
      </c>
      <c r="L30" s="184">
        <f t="shared" si="93"/>
        <v>0.58816513153535221</v>
      </c>
      <c r="M30" s="169">
        <f t="shared" si="94"/>
        <v>6211.807501159632</v>
      </c>
      <c r="N30" s="169">
        <f t="shared" si="95"/>
        <v>8543.4424657080381</v>
      </c>
      <c r="O30" s="169">
        <f t="shared" si="96"/>
        <v>8603.3779376213697</v>
      </c>
      <c r="P30" s="169">
        <f t="shared" si="97"/>
        <v>31345.084354913524</v>
      </c>
      <c r="Q30" s="57">
        <f t="shared" si="50"/>
        <v>45832</v>
      </c>
      <c r="R30" s="162">
        <v>54868</v>
      </c>
      <c r="S30" s="163">
        <v>0</v>
      </c>
      <c r="T30" s="163">
        <v>53293</v>
      </c>
      <c r="U30" s="163">
        <v>0</v>
      </c>
      <c r="V30" s="164">
        <v>12732</v>
      </c>
      <c r="W30" s="165">
        <v>0.82291666666666663</v>
      </c>
      <c r="X30" s="164">
        <v>4538</v>
      </c>
      <c r="Y30" s="165">
        <v>0.80208333333333337</v>
      </c>
      <c r="Z30" s="164">
        <v>0</v>
      </c>
      <c r="AA30" s="165">
        <v>0</v>
      </c>
      <c r="AB30" s="57">
        <f t="shared" si="51"/>
        <v>45832</v>
      </c>
      <c r="AC30" s="77">
        <f t="shared" si="98"/>
        <v>1</v>
      </c>
      <c r="AD30" s="185">
        <f t="shared" si="99"/>
        <v>0</v>
      </c>
      <c r="AE30" s="186">
        <v>7036</v>
      </c>
      <c r="AF30" s="119">
        <f t="shared" si="37"/>
        <v>7036</v>
      </c>
      <c r="AG30" s="170">
        <v>0</v>
      </c>
      <c r="AH30" s="171">
        <v>4034</v>
      </c>
      <c r="AI30" s="172">
        <v>0.3611111111111111</v>
      </c>
      <c r="AJ30" s="171">
        <v>0</v>
      </c>
      <c r="AK30" s="188">
        <v>0</v>
      </c>
      <c r="AL30" s="57">
        <f t="shared" si="38"/>
        <v>45832</v>
      </c>
      <c r="AM30" s="78">
        <f t="shared" si="100"/>
        <v>0.56432778753745994</v>
      </c>
      <c r="AN30" s="77">
        <f t="shared" si="101"/>
        <v>0.43567221246254006</v>
      </c>
      <c r="AO30" s="173">
        <v>9677</v>
      </c>
      <c r="AP30" s="118">
        <f t="shared" si="41"/>
        <v>5461</v>
      </c>
      <c r="AQ30" s="174">
        <v>4216</v>
      </c>
      <c r="AR30" s="175">
        <v>4479</v>
      </c>
      <c r="AS30" s="176">
        <v>0.35069444444444442</v>
      </c>
      <c r="AT30" s="175">
        <v>197</v>
      </c>
      <c r="AU30" s="177">
        <v>0.39583333333333331</v>
      </c>
      <c r="AV30" s="57">
        <f t="shared" si="52"/>
        <v>45832</v>
      </c>
      <c r="AW30" s="111">
        <f t="shared" si="102"/>
        <v>0.67926844237142503</v>
      </c>
      <c r="AX30" s="111">
        <f t="shared" si="103"/>
        <v>0.32073155762857491</v>
      </c>
      <c r="AY30" s="112">
        <f t="shared" si="44"/>
        <v>8147</v>
      </c>
      <c r="AZ30" s="113">
        <v>8147</v>
      </c>
      <c r="BA30" s="121">
        <f t="shared" si="104"/>
        <v>5534</v>
      </c>
      <c r="BB30" s="114">
        <v>2613</v>
      </c>
      <c r="BC30" s="113">
        <v>3879</v>
      </c>
      <c r="BD30" s="115">
        <v>0.73958333333333337</v>
      </c>
      <c r="BE30" s="116">
        <v>0</v>
      </c>
      <c r="BF30" s="115">
        <v>0</v>
      </c>
      <c r="BG30" s="116">
        <v>157</v>
      </c>
      <c r="BH30" s="115">
        <v>0.29166666666666669</v>
      </c>
      <c r="BI30" s="57">
        <f t="shared" si="53"/>
        <v>45832</v>
      </c>
      <c r="BJ30" s="79">
        <f t="shared" si="105"/>
        <v>0.61049459215863</v>
      </c>
      <c r="BK30" s="77">
        <f t="shared" si="106"/>
        <v>0.38950540784137</v>
      </c>
      <c r="BL30" s="80">
        <f t="shared" si="107"/>
        <v>35504</v>
      </c>
      <c r="BM30" s="178">
        <v>21675</v>
      </c>
      <c r="BN30" s="178">
        <v>13829</v>
      </c>
      <c r="BO30" s="179">
        <v>3722</v>
      </c>
      <c r="BP30" s="180">
        <v>0.79583333333333328</v>
      </c>
      <c r="BQ30" s="181">
        <v>2437</v>
      </c>
      <c r="BR30" s="180">
        <v>0.79583333333333328</v>
      </c>
    </row>
    <row r="31" spans="1:70" ht="15.75" thickBot="1" x14ac:dyDescent="0.3">
      <c r="A31" s="14"/>
      <c r="B31" s="57">
        <f t="shared" si="49"/>
        <v>45833</v>
      </c>
      <c r="C31" s="187"/>
      <c r="D31" s="88">
        <f t="shared" si="85"/>
        <v>53916</v>
      </c>
      <c r="E31" s="182">
        <f t="shared" si="86"/>
        <v>0.87142963127828477</v>
      </c>
      <c r="F31" s="88">
        <f t="shared" si="87"/>
        <v>46984</v>
      </c>
      <c r="G31" s="182">
        <f t="shared" si="88"/>
        <v>0.12857036872171526</v>
      </c>
      <c r="H31" s="169">
        <f t="shared" si="89"/>
        <v>6932</v>
      </c>
      <c r="I31" s="183">
        <f t="shared" si="90"/>
        <v>0.11587015329125339</v>
      </c>
      <c r="J31" s="182">
        <f t="shared" si="91"/>
        <v>0.16177403733760812</v>
      </c>
      <c r="K31" s="182">
        <f t="shared" si="92"/>
        <v>0.16481418885331955</v>
      </c>
      <c r="L31" s="184">
        <f t="shared" si="93"/>
        <v>0.58394282470026382</v>
      </c>
      <c r="M31" s="169">
        <f t="shared" si="94"/>
        <v>6086.4274120829577</v>
      </c>
      <c r="N31" s="169">
        <f t="shared" si="95"/>
        <v>8497.6666332698787</v>
      </c>
      <c r="O31" s="169">
        <f t="shared" si="96"/>
        <v>8657.3597120871691</v>
      </c>
      <c r="P31" s="169">
        <f t="shared" si="97"/>
        <v>30673.348695855457</v>
      </c>
      <c r="Q31" s="57">
        <f t="shared" si="50"/>
        <v>45833</v>
      </c>
      <c r="R31" s="162">
        <v>53916</v>
      </c>
      <c r="S31" s="163">
        <v>0</v>
      </c>
      <c r="T31" s="163">
        <v>52528</v>
      </c>
      <c r="U31" s="163">
        <v>0</v>
      </c>
      <c r="V31" s="164">
        <v>13181</v>
      </c>
      <c r="W31" s="165">
        <v>0.83333333333333337</v>
      </c>
      <c r="X31" s="164">
        <v>4423</v>
      </c>
      <c r="Y31" s="165">
        <v>0.39583333333333331</v>
      </c>
      <c r="Z31" s="164">
        <v>0</v>
      </c>
      <c r="AA31" s="165">
        <v>0</v>
      </c>
      <c r="AB31" s="57">
        <f t="shared" si="51"/>
        <v>45833</v>
      </c>
      <c r="AC31" s="77">
        <f t="shared" si="98"/>
        <v>1</v>
      </c>
      <c r="AD31" s="185">
        <f t="shared" si="99"/>
        <v>0</v>
      </c>
      <c r="AE31" s="186">
        <v>6939</v>
      </c>
      <c r="AF31" s="119">
        <f t="shared" si="37"/>
        <v>6939</v>
      </c>
      <c r="AG31" s="170">
        <v>0</v>
      </c>
      <c r="AH31" s="171">
        <v>2564</v>
      </c>
      <c r="AI31" s="172">
        <v>0.35833333333333334</v>
      </c>
      <c r="AJ31" s="171">
        <v>0</v>
      </c>
      <c r="AK31" s="188">
        <v>0</v>
      </c>
      <c r="AL31" s="57">
        <f t="shared" si="38"/>
        <v>45833</v>
      </c>
      <c r="AM31" s="78">
        <f t="shared" si="100"/>
        <v>0.55666804293971928</v>
      </c>
      <c r="AN31" s="77">
        <f t="shared" si="101"/>
        <v>0.44333195706028078</v>
      </c>
      <c r="AO31" s="173">
        <v>9688</v>
      </c>
      <c r="AP31" s="118">
        <f t="shared" si="41"/>
        <v>5393</v>
      </c>
      <c r="AQ31" s="174">
        <v>4295</v>
      </c>
      <c r="AR31" s="175">
        <v>3462</v>
      </c>
      <c r="AS31" s="176">
        <v>0.35069444444444442</v>
      </c>
      <c r="AT31" s="175">
        <v>207</v>
      </c>
      <c r="AU31" s="177">
        <v>0.3125</v>
      </c>
      <c r="AV31" s="57">
        <f t="shared" si="52"/>
        <v>45833</v>
      </c>
      <c r="AW31" s="111">
        <f t="shared" si="102"/>
        <v>0.6818675352877307</v>
      </c>
      <c r="AX31" s="111">
        <f t="shared" si="103"/>
        <v>0.31813246471226925</v>
      </c>
      <c r="AY31" s="112">
        <f t="shared" si="44"/>
        <v>8289</v>
      </c>
      <c r="AZ31" s="113">
        <v>8289</v>
      </c>
      <c r="BA31" s="121">
        <f t="shared" si="104"/>
        <v>5652</v>
      </c>
      <c r="BB31" s="114">
        <v>2637</v>
      </c>
      <c r="BC31" s="113">
        <v>3759</v>
      </c>
      <c r="BD31" s="115">
        <v>0.8125</v>
      </c>
      <c r="BE31" s="116">
        <v>0</v>
      </c>
      <c r="BF31" s="115">
        <v>0</v>
      </c>
      <c r="BG31" s="116">
        <v>154</v>
      </c>
      <c r="BH31" s="115">
        <v>0.3125</v>
      </c>
      <c r="BI31" s="57">
        <f t="shared" si="53"/>
        <v>45833</v>
      </c>
      <c r="BJ31" s="79">
        <f t="shared" si="105"/>
        <v>0.61146697169002007</v>
      </c>
      <c r="BK31" s="77">
        <f t="shared" si="106"/>
        <v>0.38853302830997999</v>
      </c>
      <c r="BL31" s="80">
        <f t="shared" si="107"/>
        <v>34970</v>
      </c>
      <c r="BM31" s="178">
        <v>21383</v>
      </c>
      <c r="BN31" s="178">
        <v>13587</v>
      </c>
      <c r="BO31" s="179">
        <v>4215</v>
      </c>
      <c r="BP31" s="180">
        <v>0.81180555555555556</v>
      </c>
      <c r="BQ31" s="181">
        <v>2819</v>
      </c>
      <c r="BR31" s="180">
        <v>0.81180555555555556</v>
      </c>
    </row>
    <row r="32" spans="1:70" ht="15.75" thickBot="1" x14ac:dyDescent="0.3">
      <c r="A32" s="14"/>
      <c r="B32" s="57">
        <f t="shared" si="49"/>
        <v>45834</v>
      </c>
      <c r="C32" s="187"/>
      <c r="D32" s="88">
        <f t="shared" si="85"/>
        <v>54344</v>
      </c>
      <c r="E32" s="182">
        <f t="shared" si="86"/>
        <v>0.87352789636390404</v>
      </c>
      <c r="F32" s="88">
        <f t="shared" si="87"/>
        <v>47471</v>
      </c>
      <c r="G32" s="182">
        <f t="shared" si="88"/>
        <v>0.12647210363609598</v>
      </c>
      <c r="H32" s="169">
        <f t="shared" si="89"/>
        <v>6873</v>
      </c>
      <c r="I32" s="183">
        <f t="shared" si="90"/>
        <v>0.11684526076947283</v>
      </c>
      <c r="J32" s="182">
        <f t="shared" si="91"/>
        <v>0.16103280942049389</v>
      </c>
      <c r="K32" s="182">
        <f t="shared" si="92"/>
        <v>0.16539841501399677</v>
      </c>
      <c r="L32" s="184">
        <f t="shared" si="93"/>
        <v>0.58316633266533069</v>
      </c>
      <c r="M32" s="169">
        <f t="shared" si="94"/>
        <v>6170.5982212358595</v>
      </c>
      <c r="N32" s="169">
        <f t="shared" si="95"/>
        <v>8504.1426654962816</v>
      </c>
      <c r="O32" s="169">
        <f t="shared" si="96"/>
        <v>8734.69029688917</v>
      </c>
      <c r="P32" s="169">
        <f t="shared" si="97"/>
        <v>30797.014028056114</v>
      </c>
      <c r="Q32" s="57">
        <f t="shared" si="50"/>
        <v>45834</v>
      </c>
      <c r="R32" s="162">
        <v>54344</v>
      </c>
      <c r="S32" s="163">
        <v>0</v>
      </c>
      <c r="T32" s="163">
        <v>52810</v>
      </c>
      <c r="U32" s="163">
        <v>0</v>
      </c>
      <c r="V32" s="164">
        <v>15598</v>
      </c>
      <c r="W32" s="165">
        <v>0.42708333333333331</v>
      </c>
      <c r="X32" s="164">
        <v>4632</v>
      </c>
      <c r="Y32" s="165">
        <v>0.40625</v>
      </c>
      <c r="Z32" s="164">
        <v>0</v>
      </c>
      <c r="AA32" s="165">
        <v>0</v>
      </c>
      <c r="AB32" s="57">
        <f t="shared" si="51"/>
        <v>45834</v>
      </c>
      <c r="AC32" s="77">
        <f t="shared" si="98"/>
        <v>1</v>
      </c>
      <c r="AD32" s="185">
        <f t="shared" si="99"/>
        <v>0</v>
      </c>
      <c r="AE32" s="186">
        <v>7055</v>
      </c>
      <c r="AF32" s="119">
        <f t="shared" si="37"/>
        <v>7055</v>
      </c>
      <c r="AG32" s="170">
        <v>0</v>
      </c>
      <c r="AH32" s="171">
        <v>4782</v>
      </c>
      <c r="AI32" s="172">
        <v>0.35902777777777778</v>
      </c>
      <c r="AJ32" s="171">
        <v>0</v>
      </c>
      <c r="AK32" s="188">
        <v>0</v>
      </c>
      <c r="AL32" s="57">
        <f t="shared" si="38"/>
        <v>45834</v>
      </c>
      <c r="AM32" s="78">
        <f t="shared" si="100"/>
        <v>0.56032088861462515</v>
      </c>
      <c r="AN32" s="77">
        <f t="shared" si="101"/>
        <v>0.43967911138537491</v>
      </c>
      <c r="AO32" s="173">
        <v>9723</v>
      </c>
      <c r="AP32" s="118">
        <f t="shared" si="41"/>
        <v>5448</v>
      </c>
      <c r="AQ32" s="174">
        <v>4275</v>
      </c>
      <c r="AR32" s="175">
        <v>4134</v>
      </c>
      <c r="AS32" s="176">
        <v>0.38472222222222224</v>
      </c>
      <c r="AT32" s="175">
        <v>207</v>
      </c>
      <c r="AU32" s="177">
        <v>0.30208333333333331</v>
      </c>
      <c r="AV32" s="57">
        <f t="shared" si="52"/>
        <v>45834</v>
      </c>
      <c r="AW32" s="111">
        <f t="shared" si="102"/>
        <v>0.69034564958283673</v>
      </c>
      <c r="AX32" s="111">
        <f t="shared" si="103"/>
        <v>0.30965435041716327</v>
      </c>
      <c r="AY32" s="112">
        <f t="shared" si="44"/>
        <v>8390</v>
      </c>
      <c r="AZ32" s="113">
        <v>8390</v>
      </c>
      <c r="BA32" s="121">
        <f t="shared" si="104"/>
        <v>5792</v>
      </c>
      <c r="BB32" s="114">
        <v>2598</v>
      </c>
      <c r="BC32" s="113">
        <v>4099</v>
      </c>
      <c r="BD32" s="115">
        <v>0.38541666666666669</v>
      </c>
      <c r="BE32" s="116">
        <v>0</v>
      </c>
      <c r="BF32" s="115">
        <v>0</v>
      </c>
      <c r="BG32" s="116">
        <v>158</v>
      </c>
      <c r="BH32" s="115">
        <v>0.29166666666666669</v>
      </c>
      <c r="BI32" s="57">
        <f t="shared" si="53"/>
        <v>45834</v>
      </c>
      <c r="BJ32" s="79">
        <f t="shared" si="105"/>
        <v>0.60898582829229497</v>
      </c>
      <c r="BK32" s="77">
        <f t="shared" si="106"/>
        <v>0.39101417170770497</v>
      </c>
      <c r="BL32" s="80">
        <f t="shared" si="107"/>
        <v>35211</v>
      </c>
      <c r="BM32" s="178">
        <v>21443</v>
      </c>
      <c r="BN32" s="178">
        <v>13768</v>
      </c>
      <c r="BO32" s="179">
        <v>4871</v>
      </c>
      <c r="BP32" s="180">
        <v>0.81666666666666665</v>
      </c>
      <c r="BQ32" s="181">
        <v>3251</v>
      </c>
      <c r="BR32" s="180">
        <v>0.81666666666666665</v>
      </c>
    </row>
    <row r="33" spans="1:70" ht="15.75" thickBot="1" x14ac:dyDescent="0.3">
      <c r="A33" s="14"/>
      <c r="B33" s="57">
        <f t="shared" si="49"/>
        <v>45835</v>
      </c>
      <c r="C33" s="187"/>
      <c r="D33" s="88">
        <f t="shared" si="85"/>
        <v>54206</v>
      </c>
      <c r="E33" s="182">
        <f t="shared" si="86"/>
        <v>0.87463269748736294</v>
      </c>
      <c r="F33" s="88">
        <f t="shared" si="87"/>
        <v>47410.34</v>
      </c>
      <c r="G33" s="182">
        <f t="shared" si="88"/>
        <v>0.12536730251263697</v>
      </c>
      <c r="H33" s="169">
        <f t="shared" si="89"/>
        <v>6795.66</v>
      </c>
      <c r="I33" s="183">
        <f t="shared" si="90"/>
        <v>0.11686736981978241</v>
      </c>
      <c r="J33" s="182">
        <f t="shared" si="91"/>
        <v>0.15979569803172494</v>
      </c>
      <c r="K33" s="182">
        <f t="shared" si="92"/>
        <v>0.16414914524183399</v>
      </c>
      <c r="L33" s="184">
        <f t="shared" si="93"/>
        <v>0.58569886222074574</v>
      </c>
      <c r="M33" s="169">
        <f t="shared" si="94"/>
        <v>6174.9212191678434</v>
      </c>
      <c r="N33" s="169">
        <f t="shared" si="95"/>
        <v>8443.1252969022516</v>
      </c>
      <c r="O33" s="169">
        <f t="shared" si="96"/>
        <v>8673.1483871427827</v>
      </c>
      <c r="P33" s="169">
        <f t="shared" si="97"/>
        <v>30946.570783157542</v>
      </c>
      <c r="Q33" s="57">
        <f t="shared" si="50"/>
        <v>45835</v>
      </c>
      <c r="R33" s="162">
        <v>54206</v>
      </c>
      <c r="S33" s="163">
        <v>0</v>
      </c>
      <c r="T33" s="163">
        <v>52837</v>
      </c>
      <c r="U33" s="163">
        <v>0</v>
      </c>
      <c r="V33" s="164">
        <v>13701.59</v>
      </c>
      <c r="W33" s="165">
        <v>0.79166666666666663</v>
      </c>
      <c r="X33" s="164">
        <v>4500.8999999999996</v>
      </c>
      <c r="Y33" s="165">
        <v>0.40625</v>
      </c>
      <c r="Z33" s="164">
        <v>0</v>
      </c>
      <c r="AA33" s="165">
        <v>0</v>
      </c>
      <c r="AB33" s="57">
        <f t="shared" si="51"/>
        <v>45835</v>
      </c>
      <c r="AC33" s="77">
        <f t="shared" si="98"/>
        <v>1</v>
      </c>
      <c r="AD33" s="185">
        <f t="shared" si="99"/>
        <v>0</v>
      </c>
      <c r="AE33" s="186">
        <v>7036</v>
      </c>
      <c r="AF33" s="119">
        <f t="shared" si="37"/>
        <v>7036</v>
      </c>
      <c r="AG33" s="170">
        <v>0</v>
      </c>
      <c r="AH33" s="171">
        <v>4277.84</v>
      </c>
      <c r="AI33" s="172">
        <v>0.35486111111111113</v>
      </c>
      <c r="AJ33" s="171">
        <v>0</v>
      </c>
      <c r="AK33" s="188">
        <v>0</v>
      </c>
      <c r="AL33" s="191">
        <f t="shared" si="38"/>
        <v>45835</v>
      </c>
      <c r="AM33" s="78">
        <f t="shared" si="100"/>
        <v>0.56234395301699491</v>
      </c>
      <c r="AN33" s="77">
        <f t="shared" si="101"/>
        <v>0.43765604698300509</v>
      </c>
      <c r="AO33" s="173">
        <v>9620.5</v>
      </c>
      <c r="AP33" s="118">
        <f t="shared" si="41"/>
        <v>5410.03</v>
      </c>
      <c r="AQ33" s="174">
        <v>4210.47</v>
      </c>
      <c r="AR33" s="175">
        <v>3776.26</v>
      </c>
      <c r="AS33" s="176">
        <v>0.35138888888888886</v>
      </c>
      <c r="AT33" s="175">
        <v>203.5</v>
      </c>
      <c r="AU33" s="177">
        <v>0.32291666666666669</v>
      </c>
      <c r="AV33" s="57">
        <f t="shared" si="52"/>
        <v>45835</v>
      </c>
      <c r="AW33" s="192">
        <f t="shared" si="102"/>
        <v>0.68802389428588662</v>
      </c>
      <c r="AX33" s="192">
        <f t="shared" si="103"/>
        <v>0.31197610571411333</v>
      </c>
      <c r="AY33" s="112">
        <f t="shared" si="44"/>
        <v>8286.5</v>
      </c>
      <c r="AZ33" s="113">
        <v>8286.5</v>
      </c>
      <c r="BA33" s="193">
        <f t="shared" si="104"/>
        <v>5701.3099999999995</v>
      </c>
      <c r="BB33" s="114">
        <v>2585.19</v>
      </c>
      <c r="BC33" s="113">
        <v>3443.39</v>
      </c>
      <c r="BD33" s="115">
        <v>0.79166666666666663</v>
      </c>
      <c r="BE33" s="116">
        <v>0</v>
      </c>
      <c r="BF33" s="115">
        <v>0</v>
      </c>
      <c r="BG33" s="116">
        <v>150.54</v>
      </c>
      <c r="BH33" s="115">
        <v>0.29166666666666669</v>
      </c>
      <c r="BI33" s="57">
        <f t="shared" si="53"/>
        <v>45835</v>
      </c>
      <c r="BJ33" s="194">
        <f t="shared" si="105"/>
        <v>0.60865804548806079</v>
      </c>
      <c r="BK33" s="77">
        <f t="shared" si="106"/>
        <v>0.39134195451193921</v>
      </c>
      <c r="BL33" s="80">
        <f t="shared" si="107"/>
        <v>35262</v>
      </c>
      <c r="BM33" s="178">
        <v>21462.5</v>
      </c>
      <c r="BN33" s="178">
        <v>13799.5</v>
      </c>
      <c r="BO33" s="179">
        <v>4560.5</v>
      </c>
      <c r="BP33" s="180">
        <v>0.80138888888888893</v>
      </c>
      <c r="BQ33" s="181">
        <v>3018</v>
      </c>
      <c r="BR33" s="180">
        <v>0.80138888888888893</v>
      </c>
    </row>
    <row r="34" spans="1:70" ht="15.75" thickBot="1" x14ac:dyDescent="0.3">
      <c r="A34" s="14"/>
      <c r="B34" s="57">
        <f t="shared" si="49"/>
        <v>45836</v>
      </c>
      <c r="C34" s="187"/>
      <c r="D34" s="88">
        <f t="shared" si="85"/>
        <v>32130</v>
      </c>
      <c r="E34" s="182">
        <f t="shared" si="86"/>
        <v>0.7972377840024899</v>
      </c>
      <c r="F34" s="88">
        <f t="shared" si="87"/>
        <v>25615.25</v>
      </c>
      <c r="G34" s="182">
        <f t="shared" si="88"/>
        <v>0.20276221599751013</v>
      </c>
      <c r="H34" s="169">
        <f t="shared" si="89"/>
        <v>6514.75</v>
      </c>
      <c r="I34" s="183">
        <f t="shared" si="90"/>
        <v>7.7254844206938636E-2</v>
      </c>
      <c r="J34" s="182">
        <f t="shared" si="91"/>
        <v>0.16645978414087648</v>
      </c>
      <c r="K34" s="182">
        <f t="shared" si="92"/>
        <v>0.16115187087307409</v>
      </c>
      <c r="L34" s="184">
        <f t="shared" si="93"/>
        <v>0.63305351595099335</v>
      </c>
      <c r="M34" s="169">
        <f t="shared" si="94"/>
        <v>2365.7364667269785</v>
      </c>
      <c r="N34" s="169">
        <f t="shared" si="95"/>
        <v>5097.4147398539899</v>
      </c>
      <c r="O34" s="169">
        <f t="shared" si="96"/>
        <v>4934.8731658107108</v>
      </c>
      <c r="P34" s="169">
        <f t="shared" si="97"/>
        <v>19385.681292209294</v>
      </c>
      <c r="Q34" s="57">
        <f t="shared" si="50"/>
        <v>45836</v>
      </c>
      <c r="R34" s="162">
        <v>32130</v>
      </c>
      <c r="S34" s="163">
        <v>0</v>
      </c>
      <c r="T34" s="163">
        <v>30622.5</v>
      </c>
      <c r="U34" s="163">
        <v>0</v>
      </c>
      <c r="V34" s="164">
        <v>6437</v>
      </c>
      <c r="W34" s="165">
        <v>0.65625</v>
      </c>
      <c r="X34" s="164">
        <v>2015.81</v>
      </c>
      <c r="Y34" s="165">
        <v>0.76041666666666663</v>
      </c>
      <c r="Z34" s="164">
        <v>0</v>
      </c>
      <c r="AA34" s="165">
        <v>0</v>
      </c>
      <c r="AB34" s="57">
        <f t="shared" si="51"/>
        <v>45836</v>
      </c>
      <c r="AC34" s="77">
        <f t="shared" si="98"/>
        <v>1</v>
      </c>
      <c r="AD34" s="185">
        <f t="shared" si="99"/>
        <v>0</v>
      </c>
      <c r="AE34" s="186">
        <v>2754</v>
      </c>
      <c r="AF34" s="119">
        <f t="shared" si="37"/>
        <v>2754</v>
      </c>
      <c r="AG34" s="170">
        <v>0</v>
      </c>
      <c r="AH34" s="171">
        <v>1795.95</v>
      </c>
      <c r="AI34" s="172">
        <v>0.94166666666666665</v>
      </c>
      <c r="AJ34" s="171">
        <v>0</v>
      </c>
      <c r="AK34" s="188">
        <v>0</v>
      </c>
      <c r="AL34" s="57">
        <f t="shared" si="38"/>
        <v>45836</v>
      </c>
      <c r="AM34" s="78">
        <f t="shared" si="100"/>
        <v>0.32035726322885066</v>
      </c>
      <c r="AN34" s="77">
        <f t="shared" si="101"/>
        <v>0.67964273677114928</v>
      </c>
      <c r="AO34" s="173">
        <v>5934</v>
      </c>
      <c r="AP34" s="118">
        <f t="shared" si="41"/>
        <v>1901</v>
      </c>
      <c r="AQ34" s="174">
        <v>4033</v>
      </c>
      <c r="AR34" s="175">
        <v>1576</v>
      </c>
      <c r="AS34" s="176">
        <v>0.35138888888888886</v>
      </c>
      <c r="AT34" s="175">
        <v>199.98</v>
      </c>
      <c r="AU34" s="177">
        <v>0.30208333333333331</v>
      </c>
      <c r="AV34" s="57">
        <f t="shared" si="52"/>
        <v>45836</v>
      </c>
      <c r="AW34" s="111">
        <f t="shared" si="102"/>
        <v>0.43506715228773046</v>
      </c>
      <c r="AX34" s="111">
        <f t="shared" si="103"/>
        <v>0.56493284771226948</v>
      </c>
      <c r="AY34" s="112">
        <f t="shared" si="44"/>
        <v>4393</v>
      </c>
      <c r="AZ34" s="113">
        <v>4393</v>
      </c>
      <c r="BA34" s="121">
        <f t="shared" si="104"/>
        <v>1911.25</v>
      </c>
      <c r="BB34" s="114">
        <v>2481.75</v>
      </c>
      <c r="BC34" s="113">
        <v>1532.4</v>
      </c>
      <c r="BD34" s="115">
        <v>0.36458333333333331</v>
      </c>
      <c r="BE34" s="116">
        <v>0</v>
      </c>
      <c r="BF34" s="115">
        <v>0</v>
      </c>
      <c r="BG34" s="116">
        <v>144.69</v>
      </c>
      <c r="BH34" s="115">
        <v>0.77083333333333337</v>
      </c>
      <c r="BI34" s="57">
        <f t="shared" si="53"/>
        <v>45836</v>
      </c>
      <c r="BJ34" s="79">
        <f t="shared" si="105"/>
        <v>0.61234753902225569</v>
      </c>
      <c r="BK34" s="77">
        <f t="shared" si="106"/>
        <v>0.38765246097774431</v>
      </c>
      <c r="BL34" s="80">
        <f t="shared" si="107"/>
        <v>22567.25</v>
      </c>
      <c r="BM34" s="178">
        <v>13819</v>
      </c>
      <c r="BN34" s="178">
        <v>8748.25</v>
      </c>
      <c r="BO34" s="179">
        <v>2882.4</v>
      </c>
      <c r="BP34" s="180">
        <v>0.62222222222222223</v>
      </c>
      <c r="BQ34" s="181">
        <v>1899.96</v>
      </c>
      <c r="BR34" s="180">
        <v>0.62222222222222223</v>
      </c>
    </row>
    <row r="35" spans="1:70" ht="15.75" thickBot="1" x14ac:dyDescent="0.3">
      <c r="A35" s="14"/>
      <c r="B35" s="57">
        <f t="shared" si="49"/>
        <v>45837</v>
      </c>
      <c r="C35" s="187"/>
      <c r="D35" s="88">
        <f t="shared" si="85"/>
        <v>32694</v>
      </c>
      <c r="E35" s="182">
        <f t="shared" si="86"/>
        <v>0.80130910870496119</v>
      </c>
      <c r="F35" s="88">
        <f t="shared" si="87"/>
        <v>26198</v>
      </c>
      <c r="G35" s="182">
        <f t="shared" si="88"/>
        <v>0.19869089129503884</v>
      </c>
      <c r="H35" s="169">
        <f t="shared" si="89"/>
        <v>6496</v>
      </c>
      <c r="I35" s="183">
        <f t="shared" si="90"/>
        <v>7.329493279906503E-2</v>
      </c>
      <c r="J35" s="182">
        <f t="shared" si="91"/>
        <v>0.16425967665637087</v>
      </c>
      <c r="K35" s="182">
        <f t="shared" si="92"/>
        <v>0.16325121720805175</v>
      </c>
      <c r="L35" s="184">
        <f t="shared" si="93"/>
        <v>0.63742104237972008</v>
      </c>
      <c r="M35" s="169">
        <f t="shared" si="94"/>
        <v>2288.9274563820018</v>
      </c>
      <c r="N35" s="169">
        <f t="shared" si="95"/>
        <v>5129.6654423018063</v>
      </c>
      <c r="O35" s="169">
        <f t="shared" si="96"/>
        <v>5098.1722621902481</v>
      </c>
      <c r="P35" s="169">
        <f t="shared" si="97"/>
        <v>19906.021732476278</v>
      </c>
      <c r="Q35" s="57">
        <f t="shared" si="50"/>
        <v>45837</v>
      </c>
      <c r="R35" s="162">
        <v>32694</v>
      </c>
      <c r="S35" s="163">
        <v>0</v>
      </c>
      <c r="T35" s="163">
        <v>31229</v>
      </c>
      <c r="U35" s="163">
        <v>0</v>
      </c>
      <c r="V35" s="164">
        <v>8418</v>
      </c>
      <c r="W35" s="165">
        <v>0.58333333333333337</v>
      </c>
      <c r="X35" s="164">
        <v>2536</v>
      </c>
      <c r="Y35" s="165">
        <v>0.59375</v>
      </c>
      <c r="Z35" s="164">
        <v>0</v>
      </c>
      <c r="AA35" s="165">
        <v>0</v>
      </c>
      <c r="AB35" s="57">
        <f t="shared" si="51"/>
        <v>45837</v>
      </c>
      <c r="AC35" s="77">
        <f t="shared" si="98"/>
        <v>1</v>
      </c>
      <c r="AD35" s="185">
        <f t="shared" si="99"/>
        <v>0</v>
      </c>
      <c r="AE35" s="186">
        <v>2634</v>
      </c>
      <c r="AF35" s="119">
        <f t="shared" si="37"/>
        <v>2634</v>
      </c>
      <c r="AG35" s="170">
        <v>0</v>
      </c>
      <c r="AH35" s="171">
        <v>2192</v>
      </c>
      <c r="AI35" s="172">
        <v>0.5493055555555556</v>
      </c>
      <c r="AJ35" s="171">
        <v>0</v>
      </c>
      <c r="AK35" s="188">
        <v>0</v>
      </c>
      <c r="AL35" s="57">
        <f t="shared" si="38"/>
        <v>45837</v>
      </c>
      <c r="AM35" s="78">
        <f t="shared" si="100"/>
        <v>0.32153142469930546</v>
      </c>
      <c r="AN35" s="77">
        <f t="shared" si="101"/>
        <v>0.6784685753006946</v>
      </c>
      <c r="AO35" s="173">
        <v>5903</v>
      </c>
      <c r="AP35" s="118">
        <f t="shared" si="41"/>
        <v>1898</v>
      </c>
      <c r="AQ35" s="174">
        <v>4005</v>
      </c>
      <c r="AR35" s="175">
        <v>2639</v>
      </c>
      <c r="AS35" s="176">
        <v>0.53680555555555554</v>
      </c>
      <c r="AT35" s="175">
        <v>192</v>
      </c>
      <c r="AU35" s="177">
        <v>0.29166666666666669</v>
      </c>
      <c r="AV35" s="57">
        <f t="shared" si="52"/>
        <v>45837</v>
      </c>
      <c r="AW35" s="111">
        <f t="shared" si="102"/>
        <v>0.44558201647006457</v>
      </c>
      <c r="AX35" s="111">
        <f t="shared" si="103"/>
        <v>0.55441798352993543</v>
      </c>
      <c r="AY35" s="112">
        <f t="shared" si="44"/>
        <v>4493</v>
      </c>
      <c r="AZ35" s="113">
        <v>4493</v>
      </c>
      <c r="BA35" s="121">
        <f t="shared" si="104"/>
        <v>2002</v>
      </c>
      <c r="BB35" s="114">
        <v>2491</v>
      </c>
      <c r="BC35" s="113">
        <v>2358</v>
      </c>
      <c r="BD35" s="115">
        <v>0.55208333333333337</v>
      </c>
      <c r="BE35" s="116">
        <v>0</v>
      </c>
      <c r="BF35" s="115">
        <v>0</v>
      </c>
      <c r="BG35" s="116">
        <v>142</v>
      </c>
      <c r="BH35" s="115">
        <v>0.23958333333333334</v>
      </c>
      <c r="BI35" s="57">
        <f t="shared" si="53"/>
        <v>45837</v>
      </c>
      <c r="BJ35" s="79">
        <f t="shared" si="105"/>
        <v>0.61134151132841485</v>
      </c>
      <c r="BK35" s="77">
        <f t="shared" si="106"/>
        <v>0.38865848867158509</v>
      </c>
      <c r="BL35" s="80">
        <f t="shared" si="107"/>
        <v>22907</v>
      </c>
      <c r="BM35" s="178">
        <v>14004</v>
      </c>
      <c r="BN35" s="178">
        <v>8903</v>
      </c>
      <c r="BO35" s="179">
        <v>2810</v>
      </c>
      <c r="BP35" s="180">
        <v>0.55972222222222223</v>
      </c>
      <c r="BQ35" s="181">
        <v>1759</v>
      </c>
      <c r="BR35" s="180">
        <v>0.82916666666666672</v>
      </c>
    </row>
    <row r="36" spans="1:70" ht="15.75" thickBot="1" x14ac:dyDescent="0.3">
      <c r="A36" s="14"/>
      <c r="B36" s="57">
        <f t="shared" si="49"/>
        <v>45838</v>
      </c>
      <c r="C36" s="187"/>
      <c r="D36" s="88">
        <f t="shared" si="85"/>
        <v>53980</v>
      </c>
      <c r="E36" s="182">
        <f t="shared" si="86"/>
        <v>0.87404594294183036</v>
      </c>
      <c r="F36" s="88">
        <f t="shared" si="87"/>
        <v>47181</v>
      </c>
      <c r="G36" s="182">
        <f t="shared" si="88"/>
        <v>0.1259540570581697</v>
      </c>
      <c r="H36" s="169">
        <f t="shared" si="89"/>
        <v>6799</v>
      </c>
      <c r="I36" s="183">
        <f t="shared" si="90"/>
        <v>0.10819586699003829</v>
      </c>
      <c r="J36" s="182">
        <f t="shared" si="91"/>
        <v>0.15922711511094184</v>
      </c>
      <c r="K36" s="182">
        <f t="shared" si="92"/>
        <v>0.18650718608169439</v>
      </c>
      <c r="L36" s="184">
        <f t="shared" si="93"/>
        <v>0.57443226233188349</v>
      </c>
      <c r="M36" s="169">
        <f>(S36+T36)*I36</f>
        <v>5660.8077609188031</v>
      </c>
      <c r="N36" s="169">
        <f>(S36+T36)*J36</f>
        <v>8330.7626626044766</v>
      </c>
      <c r="O36" s="169">
        <f>(S36+T36)*K36</f>
        <v>9758.0559757942501</v>
      </c>
      <c r="P36" s="169">
        <f>(S36+T36)*L36</f>
        <v>30054.295965204143</v>
      </c>
      <c r="Q36" s="57">
        <f t="shared" si="50"/>
        <v>45838</v>
      </c>
      <c r="R36" s="162">
        <v>53980</v>
      </c>
      <c r="S36" s="163">
        <v>0</v>
      </c>
      <c r="T36" s="163">
        <v>52320</v>
      </c>
      <c r="U36" s="163">
        <v>0</v>
      </c>
      <c r="V36" s="164">
        <v>13200</v>
      </c>
      <c r="W36" s="165">
        <v>0.79166666666666663</v>
      </c>
      <c r="X36" s="164">
        <v>4520</v>
      </c>
      <c r="Y36" s="165">
        <v>0.75</v>
      </c>
      <c r="Z36" s="164">
        <v>0</v>
      </c>
      <c r="AA36" s="165">
        <v>0</v>
      </c>
      <c r="AB36" s="57">
        <f t="shared" si="51"/>
        <v>45838</v>
      </c>
      <c r="AC36" s="77">
        <f t="shared" si="98"/>
        <v>1</v>
      </c>
      <c r="AD36" s="185">
        <f t="shared" si="99"/>
        <v>0</v>
      </c>
      <c r="AE36" s="186">
        <v>5398</v>
      </c>
      <c r="AF36" s="119">
        <f t="shared" si="37"/>
        <v>5398</v>
      </c>
      <c r="AG36" s="170">
        <v>0</v>
      </c>
      <c r="AH36" s="171">
        <v>3749</v>
      </c>
      <c r="AI36" s="172">
        <v>0.76666666666666672</v>
      </c>
      <c r="AJ36" s="171">
        <v>0</v>
      </c>
      <c r="AK36" s="188">
        <v>0</v>
      </c>
      <c r="AL36" s="57">
        <f t="shared" si="38"/>
        <v>45838</v>
      </c>
      <c r="AM36" s="78">
        <f t="shared" si="100"/>
        <v>0.4607250755287009</v>
      </c>
      <c r="AN36" s="77">
        <f t="shared" si="101"/>
        <v>0.5392749244712991</v>
      </c>
      <c r="AO36" s="173">
        <v>7944</v>
      </c>
      <c r="AP36" s="118">
        <f t="shared" si="41"/>
        <v>3660</v>
      </c>
      <c r="AQ36" s="174">
        <v>4284</v>
      </c>
      <c r="AR36" s="175">
        <v>3565</v>
      </c>
      <c r="AS36" s="176">
        <v>0.35347222222222224</v>
      </c>
      <c r="AT36" s="175">
        <v>220</v>
      </c>
      <c r="AU36" s="177">
        <v>0.30416666666666664</v>
      </c>
      <c r="AV36" s="57">
        <f t="shared" si="52"/>
        <v>45838</v>
      </c>
      <c r="AW36" s="111">
        <f t="shared" si="102"/>
        <v>0.68124207858048158</v>
      </c>
      <c r="AX36" s="111">
        <f t="shared" si="103"/>
        <v>0.31875792141951836</v>
      </c>
      <c r="AY36" s="112">
        <f t="shared" si="44"/>
        <v>7890</v>
      </c>
      <c r="AZ36" s="113">
        <v>7890</v>
      </c>
      <c r="BA36" s="121">
        <f t="shared" si="104"/>
        <v>5375</v>
      </c>
      <c r="BB36" s="114">
        <v>2515</v>
      </c>
      <c r="BC36" s="113">
        <v>3750</v>
      </c>
      <c r="BD36" s="115">
        <v>0.70833333333333337</v>
      </c>
      <c r="BE36" s="116">
        <v>0</v>
      </c>
      <c r="BF36" s="115">
        <v>0</v>
      </c>
      <c r="BG36" s="116">
        <v>150</v>
      </c>
      <c r="BH36" s="115" t="s">
        <v>71</v>
      </c>
      <c r="BI36" s="57">
        <f t="shared" si="53"/>
        <v>45838</v>
      </c>
      <c r="BJ36" s="79">
        <f t="shared" si="105"/>
        <v>0.6094420600858369</v>
      </c>
      <c r="BK36" s="77">
        <f t="shared" si="106"/>
        <v>0.3905579399141631</v>
      </c>
      <c r="BL36" s="80">
        <f t="shared" si="107"/>
        <v>28659</v>
      </c>
      <c r="BM36" s="178">
        <v>17466</v>
      </c>
      <c r="BN36" s="178">
        <v>11193</v>
      </c>
      <c r="BO36" s="179">
        <v>3734</v>
      </c>
      <c r="BP36" s="180">
        <v>0.76736111111111116</v>
      </c>
      <c r="BQ36" s="181">
        <v>2460</v>
      </c>
      <c r="BR36" s="180">
        <v>0.76736111111111116</v>
      </c>
    </row>
    <row r="37" spans="1:70" ht="15.75" thickBot="1" x14ac:dyDescent="0.3">
      <c r="A37" s="14"/>
      <c r="B37" s="57">
        <f>B36+1</f>
        <v>45839</v>
      </c>
      <c r="C37" s="187"/>
      <c r="D37" s="88">
        <f t="shared" si="85"/>
        <v>0</v>
      </c>
      <c r="E37" s="182" t="e">
        <f t="shared" si="86"/>
        <v>#DIV/0!</v>
      </c>
      <c r="F37" s="88">
        <f t="shared" si="87"/>
        <v>0</v>
      </c>
      <c r="G37" s="182" t="e">
        <f t="shared" si="88"/>
        <v>#DIV/0!</v>
      </c>
      <c r="H37" s="169">
        <f t="shared" si="89"/>
        <v>0</v>
      </c>
      <c r="I37" s="183" t="e">
        <f t="shared" si="90"/>
        <v>#DIV/0!</v>
      </c>
      <c r="J37" s="182" t="e">
        <f t="shared" si="91"/>
        <v>#DIV/0!</v>
      </c>
      <c r="K37" s="182" t="e">
        <f t="shared" si="92"/>
        <v>#DIV/0!</v>
      </c>
      <c r="L37" s="184" t="e">
        <f t="shared" si="93"/>
        <v>#DIV/0!</v>
      </c>
      <c r="M37" s="169" t="e">
        <f t="shared" si="94"/>
        <v>#DIV/0!</v>
      </c>
      <c r="N37" s="169" t="e">
        <f t="shared" si="95"/>
        <v>#DIV/0!</v>
      </c>
      <c r="O37" s="169" t="e">
        <f t="shared" si="96"/>
        <v>#DIV/0!</v>
      </c>
      <c r="P37" s="169" t="e">
        <f t="shared" si="97"/>
        <v>#DIV/0!</v>
      </c>
      <c r="Q37" s="57">
        <f t="shared" si="50"/>
        <v>45839</v>
      </c>
      <c r="R37" s="162"/>
      <c r="S37" s="163"/>
      <c r="T37" s="163"/>
      <c r="U37" s="163"/>
      <c r="V37" s="164"/>
      <c r="W37" s="165"/>
      <c r="X37" s="164"/>
      <c r="Y37" s="165"/>
      <c r="Z37" s="164"/>
      <c r="AA37" s="165"/>
      <c r="AB37" s="57">
        <f t="shared" si="51"/>
        <v>45839</v>
      </c>
      <c r="AC37" s="77" t="e">
        <f t="shared" si="98"/>
        <v>#DIV/0!</v>
      </c>
      <c r="AD37" s="185" t="e">
        <f t="shared" si="99"/>
        <v>#DIV/0!</v>
      </c>
      <c r="AE37" s="186"/>
      <c r="AF37" s="119">
        <f t="shared" si="37"/>
        <v>0</v>
      </c>
      <c r="AG37" s="170"/>
      <c r="AH37" s="171"/>
      <c r="AI37" s="172"/>
      <c r="AJ37" s="171"/>
      <c r="AK37" s="188"/>
      <c r="AL37" s="57">
        <f t="shared" si="38"/>
        <v>45839</v>
      </c>
      <c r="AM37" s="78" t="e">
        <f t="shared" si="100"/>
        <v>#DIV/0!</v>
      </c>
      <c r="AN37" s="77" t="e">
        <f t="shared" si="101"/>
        <v>#DIV/0!</v>
      </c>
      <c r="AO37" s="173"/>
      <c r="AP37" s="118">
        <f t="shared" si="41"/>
        <v>0</v>
      </c>
      <c r="AQ37" s="174"/>
      <c r="AR37" s="175"/>
      <c r="AS37" s="176"/>
      <c r="AT37" s="175"/>
      <c r="AU37" s="177"/>
      <c r="AV37" s="57">
        <f t="shared" si="52"/>
        <v>45839</v>
      </c>
      <c r="AW37" s="111" t="e">
        <f t="shared" si="102"/>
        <v>#DIV/0!</v>
      </c>
      <c r="AX37" s="111" t="e">
        <f t="shared" si="103"/>
        <v>#DIV/0!</v>
      </c>
      <c r="AY37" s="112">
        <f t="shared" si="44"/>
        <v>0</v>
      </c>
      <c r="AZ37" s="113"/>
      <c r="BA37" s="121">
        <f t="shared" si="104"/>
        <v>0</v>
      </c>
      <c r="BB37" s="114"/>
      <c r="BC37" s="113"/>
      <c r="BD37" s="115"/>
      <c r="BE37" s="116"/>
      <c r="BF37" s="115"/>
      <c r="BG37" s="116"/>
      <c r="BH37" s="115"/>
      <c r="BI37" s="57">
        <f t="shared" si="53"/>
        <v>45839</v>
      </c>
      <c r="BJ37" s="79" t="e">
        <f t="shared" si="105"/>
        <v>#DIV/0!</v>
      </c>
      <c r="BK37" s="77" t="e">
        <f t="shared" si="106"/>
        <v>#DIV/0!</v>
      </c>
      <c r="BL37" s="80">
        <f t="shared" si="107"/>
        <v>0</v>
      </c>
      <c r="BM37" s="178"/>
      <c r="BN37" s="178"/>
      <c r="BO37" s="179"/>
      <c r="BP37" s="180"/>
      <c r="BQ37" s="181"/>
      <c r="BR37" s="180"/>
    </row>
    <row r="38" spans="1:70" ht="15.75" thickBot="1" x14ac:dyDescent="0.3">
      <c r="A38" s="14"/>
      <c r="B38" s="57">
        <f t="shared" ref="B38" si="108">B37+1</f>
        <v>45840</v>
      </c>
      <c r="C38" s="187"/>
      <c r="D38" s="88">
        <f t="shared" ref="D38" si="109">R38</f>
        <v>0</v>
      </c>
      <c r="E38" s="182" t="e">
        <f t="shared" ref="E38" si="110">F38/D38</f>
        <v>#DIV/0!</v>
      </c>
      <c r="F38" s="88">
        <f t="shared" ref="F38" si="111">D38-H38</f>
        <v>0</v>
      </c>
      <c r="G38" s="182" t="e">
        <f t="shared" ref="G38" si="112">H38/D38</f>
        <v>#DIV/0!</v>
      </c>
      <c r="H38" s="169">
        <f t="shared" ref="H38" si="113">U38+AG38+AQ38+BB38</f>
        <v>0</v>
      </c>
      <c r="I38" s="183" t="e">
        <f t="shared" ref="I38" si="114">AE38/(AE38+AO38+BL38+AY38)</f>
        <v>#DIV/0!</v>
      </c>
      <c r="J38" s="182" t="e">
        <f t="shared" ref="J38" si="115">AO38/(AE38+AO38+BL38+AY38)</f>
        <v>#DIV/0!</v>
      </c>
      <c r="K38" s="182" t="e">
        <f t="shared" ref="K38" si="116">AY38/(AF38+AP38+BM38+AZ38+AY38)</f>
        <v>#DIV/0!</v>
      </c>
      <c r="L38" s="184" t="e">
        <f t="shared" ref="L38" si="117">BL38/(AE38+AO38+BL38+AY38)</f>
        <v>#DIV/0!</v>
      </c>
      <c r="M38" s="169" t="e">
        <f t="shared" ref="M38" si="118">(S38+T38)*I38</f>
        <v>#DIV/0!</v>
      </c>
      <c r="N38" s="169" t="e">
        <f t="shared" ref="N38" si="119">(S38+T38)*J38</f>
        <v>#DIV/0!</v>
      </c>
      <c r="O38" s="169" t="e">
        <f t="shared" ref="O38" si="120">(S38+T38)*K38</f>
        <v>#DIV/0!</v>
      </c>
      <c r="P38" s="169" t="e">
        <f t="shared" ref="P38" si="121">(S38+T38)*L38</f>
        <v>#DIV/0!</v>
      </c>
      <c r="Q38" s="57">
        <f t="shared" ref="Q38" si="122">Q37+1</f>
        <v>45840</v>
      </c>
      <c r="R38" s="162"/>
      <c r="S38" s="163"/>
      <c r="T38" s="163"/>
      <c r="U38" s="163"/>
      <c r="V38" s="164"/>
      <c r="W38" s="165"/>
      <c r="X38" s="164"/>
      <c r="Y38" s="165"/>
      <c r="Z38" s="164"/>
      <c r="AA38" s="165"/>
      <c r="AB38" s="57">
        <f t="shared" si="51"/>
        <v>45840</v>
      </c>
      <c r="AC38" s="77" t="e">
        <f t="shared" ref="AC38" si="123">+AF38/AE38</f>
        <v>#DIV/0!</v>
      </c>
      <c r="AD38" s="185" t="e">
        <f t="shared" ref="AD38" si="124">+AG38/AE38</f>
        <v>#DIV/0!</v>
      </c>
      <c r="AE38" s="186"/>
      <c r="AF38" s="119">
        <f t="shared" si="37"/>
        <v>0</v>
      </c>
      <c r="AG38" s="170"/>
      <c r="AH38" s="171"/>
      <c r="AI38" s="172"/>
      <c r="AJ38" s="171"/>
      <c r="AK38" s="188"/>
      <c r="AL38" s="57">
        <f t="shared" si="38"/>
        <v>45840</v>
      </c>
      <c r="AM38" s="78" t="e">
        <f t="shared" ref="AM38" si="125">+AP38/AO38</f>
        <v>#DIV/0!</v>
      </c>
      <c r="AN38" s="77" t="e">
        <f t="shared" ref="AN38" si="126">+AQ38/AO38</f>
        <v>#DIV/0!</v>
      </c>
      <c r="AO38" s="173"/>
      <c r="AP38" s="118">
        <f t="shared" si="41"/>
        <v>0</v>
      </c>
      <c r="AQ38" s="174"/>
      <c r="AR38" s="175"/>
      <c r="AS38" s="176"/>
      <c r="AT38" s="175"/>
      <c r="AU38" s="177"/>
      <c r="AV38" s="57">
        <f t="shared" si="52"/>
        <v>45840</v>
      </c>
      <c r="AW38" s="111" t="e">
        <f t="shared" ref="AW38" si="127">BA38/AZ38</f>
        <v>#DIV/0!</v>
      </c>
      <c r="AX38" s="111" t="e">
        <f t="shared" ref="AX38" si="128">BB38/AZ38</f>
        <v>#DIV/0!</v>
      </c>
      <c r="AY38" s="112">
        <f t="shared" ref="AY38" si="129">BA38+BB38</f>
        <v>0</v>
      </c>
      <c r="AZ38" s="113"/>
      <c r="BA38" s="121">
        <f t="shared" ref="BA38" si="130">AZ38-BB38</f>
        <v>0</v>
      </c>
      <c r="BB38" s="114"/>
      <c r="BC38" s="113"/>
      <c r="BD38" s="115"/>
      <c r="BE38" s="116"/>
      <c r="BF38" s="115"/>
      <c r="BG38" s="116"/>
      <c r="BH38" s="115"/>
      <c r="BI38" s="57">
        <f t="shared" si="53"/>
        <v>45840</v>
      </c>
      <c r="BJ38" s="79" t="e">
        <f t="shared" ref="BJ38" si="131">+BM38/BL38</f>
        <v>#DIV/0!</v>
      </c>
      <c r="BK38" s="77" t="e">
        <f t="shared" ref="BK38" si="132">+BN38/BL38</f>
        <v>#DIV/0!</v>
      </c>
      <c r="BL38" s="80">
        <f t="shared" ref="BL38" si="133">BM38+BN38</f>
        <v>0</v>
      </c>
      <c r="BM38" s="178"/>
      <c r="BN38" s="178"/>
      <c r="BO38" s="179"/>
      <c r="BP38" s="180"/>
      <c r="BQ38" s="181"/>
      <c r="BR38" s="180"/>
    </row>
    <row r="40" spans="1:70" x14ac:dyDescent="0.25">
      <c r="R40" s="199">
        <f>R37-S41</f>
        <v>-1660</v>
      </c>
    </row>
    <row r="41" spans="1:70" x14ac:dyDescent="0.25">
      <c r="S41" s="200">
        <f>R36-T36</f>
        <v>1660</v>
      </c>
      <c r="T41" s="200"/>
      <c r="U41" s="199"/>
    </row>
    <row r="43" spans="1:70" x14ac:dyDescent="0.25">
      <c r="S43" s="200"/>
      <c r="T43" s="199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25" zoomScale="85" zoomScaleNormal="85" workbookViewId="0">
      <selection activeCell="D47" sqref="D47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43" t="s">
        <v>0</v>
      </c>
      <c r="D2" s="246" t="s">
        <v>38</v>
      </c>
      <c r="E2" s="247"/>
      <c r="F2" s="247"/>
      <c r="G2" s="247"/>
      <c r="H2" s="248"/>
      <c r="J2" s="246" t="s">
        <v>39</v>
      </c>
      <c r="K2" s="247"/>
      <c r="L2" s="248"/>
      <c r="N2" s="246" t="s">
        <v>40</v>
      </c>
      <c r="O2" s="247"/>
      <c r="P2" s="247"/>
      <c r="Q2" s="247"/>
      <c r="R2" s="247"/>
      <c r="S2" s="247"/>
      <c r="T2" s="248"/>
      <c r="V2" s="252" t="s">
        <v>41</v>
      </c>
      <c r="W2" s="253"/>
      <c r="X2" s="254"/>
    </row>
    <row r="3" spans="2:27" ht="15.75" thickBot="1" x14ac:dyDescent="0.3">
      <c r="B3" s="244"/>
      <c r="D3" s="249"/>
      <c r="E3" s="250"/>
      <c r="F3" s="250"/>
      <c r="G3" s="250"/>
      <c r="H3" s="251"/>
      <c r="J3" s="249"/>
      <c r="K3" s="250"/>
      <c r="L3" s="251"/>
      <c r="N3" s="249"/>
      <c r="O3" s="250"/>
      <c r="P3" s="250"/>
      <c r="Q3" s="250"/>
      <c r="R3" s="250"/>
      <c r="S3" s="250"/>
      <c r="T3" s="251"/>
      <c r="V3" s="255"/>
      <c r="W3" s="256"/>
      <c r="X3" s="257"/>
    </row>
    <row r="4" spans="2:27" ht="23.25" customHeight="1" x14ac:dyDescent="0.25">
      <c r="B4" s="244"/>
      <c r="D4" s="258" t="s">
        <v>42</v>
      </c>
      <c r="E4" s="259"/>
      <c r="F4" s="258" t="s">
        <v>43</v>
      </c>
      <c r="G4" s="260"/>
      <c r="H4" s="261"/>
      <c r="J4" s="258" t="s">
        <v>42</v>
      </c>
      <c r="K4" s="259"/>
      <c r="L4" s="16" t="s">
        <v>43</v>
      </c>
      <c r="N4" s="241" t="s">
        <v>42</v>
      </c>
      <c r="O4" s="262"/>
      <c r="P4" s="263"/>
      <c r="Q4" s="264"/>
      <c r="R4" s="258" t="s">
        <v>43</v>
      </c>
      <c r="S4" s="265"/>
      <c r="T4" s="261"/>
      <c r="V4" s="241" t="s">
        <v>42</v>
      </c>
      <c r="W4" s="242"/>
      <c r="X4" s="16" t="s">
        <v>43</v>
      </c>
    </row>
    <row r="5" spans="2:27" ht="23.25" thickBot="1" x14ac:dyDescent="0.3">
      <c r="B5" s="245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8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3" customFormat="1" ht="15.75" thickBot="1" x14ac:dyDescent="0.3">
      <c r="B14" s="91">
        <v>45808</v>
      </c>
      <c r="C14" s="13"/>
      <c r="D14" s="92">
        <v>75</v>
      </c>
      <c r="E14" s="90">
        <v>0.11458333333333333</v>
      </c>
      <c r="F14" s="89">
        <v>933</v>
      </c>
      <c r="G14" s="94">
        <f t="shared" ref="G14:G45" si="0">F14-H14</f>
        <v>451</v>
      </c>
      <c r="H14" s="89">
        <v>482</v>
      </c>
      <c r="I14" s="91">
        <f>B14</f>
        <v>45808</v>
      </c>
      <c r="J14" s="92">
        <v>30</v>
      </c>
      <c r="K14" s="90">
        <v>0.15625</v>
      </c>
      <c r="L14" s="89">
        <v>593</v>
      </c>
      <c r="M14" s="91">
        <f>B14</f>
        <v>45808</v>
      </c>
      <c r="N14" s="92">
        <v>18</v>
      </c>
      <c r="O14" s="90">
        <v>0.52083333333333337</v>
      </c>
      <c r="P14" s="92">
        <v>12</v>
      </c>
      <c r="Q14" s="90">
        <v>0.4375</v>
      </c>
      <c r="R14" s="93">
        <f t="shared" ref="R14" si="1">S14+T14</f>
        <v>405</v>
      </c>
      <c r="S14" s="89">
        <v>224</v>
      </c>
      <c r="T14" s="89">
        <v>181</v>
      </c>
      <c r="U14" s="91">
        <f>B14</f>
        <v>45808</v>
      </c>
      <c r="V14" s="92">
        <v>27</v>
      </c>
      <c r="W14" s="90">
        <v>0.1875</v>
      </c>
      <c r="X14" s="89">
        <v>478</v>
      </c>
    </row>
    <row r="15" spans="2:27" s="53" customFormat="1" ht="15.75" thickBot="1" x14ac:dyDescent="0.3">
      <c r="B15" s="56">
        <f t="shared" ref="B15:B16" si="2">B14+1</f>
        <v>45809</v>
      </c>
      <c r="C15" s="13"/>
      <c r="D15" s="25">
        <v>93</v>
      </c>
      <c r="E15" s="11">
        <v>0.94097222222222221</v>
      </c>
      <c r="F15" s="10">
        <v>876</v>
      </c>
      <c r="G15" s="94">
        <f t="shared" si="0"/>
        <v>393</v>
      </c>
      <c r="H15" s="10">
        <v>483</v>
      </c>
      <c r="I15" s="91">
        <f t="shared" ref="I15:I45" si="3">I14+1</f>
        <v>45809</v>
      </c>
      <c r="J15" s="25">
        <v>30</v>
      </c>
      <c r="K15" s="55">
        <v>0.8125</v>
      </c>
      <c r="L15" s="54">
        <v>576</v>
      </c>
      <c r="M15" s="91">
        <f t="shared" ref="M15:M45" si="4">B15</f>
        <v>45809</v>
      </c>
      <c r="N15" s="50">
        <v>20</v>
      </c>
      <c r="O15" s="11">
        <v>0.52430555555555558</v>
      </c>
      <c r="P15" s="52">
        <v>10</v>
      </c>
      <c r="Q15" s="11">
        <v>0.52500000000000002</v>
      </c>
      <c r="R15" s="93">
        <f t="shared" ref="R15:R25" si="5">S15+T15</f>
        <v>380</v>
      </c>
      <c r="S15" s="10">
        <v>220</v>
      </c>
      <c r="T15" s="10">
        <v>160</v>
      </c>
      <c r="U15" s="91">
        <f t="shared" ref="U15:U45" si="6">U14+1</f>
        <v>45809</v>
      </c>
      <c r="V15" s="25">
        <v>28</v>
      </c>
      <c r="W15" s="11">
        <v>0.28819444444444442</v>
      </c>
      <c r="X15" s="10">
        <v>472</v>
      </c>
    </row>
    <row r="16" spans="2:27" s="53" customFormat="1" ht="15.75" thickBot="1" x14ac:dyDescent="0.3">
      <c r="B16" s="56">
        <f t="shared" si="2"/>
        <v>45810</v>
      </c>
      <c r="C16" s="13"/>
      <c r="D16" s="50">
        <v>127</v>
      </c>
      <c r="E16" s="11">
        <v>0.52083333333333337</v>
      </c>
      <c r="F16" s="10">
        <v>1386</v>
      </c>
      <c r="G16" s="94">
        <f t="shared" si="0"/>
        <v>882</v>
      </c>
      <c r="H16" s="10">
        <v>504</v>
      </c>
      <c r="I16" s="91">
        <f t="shared" si="3"/>
        <v>45810</v>
      </c>
      <c r="J16" s="50">
        <v>32</v>
      </c>
      <c r="K16" s="55">
        <v>0.39583333333333331</v>
      </c>
      <c r="L16" s="54">
        <v>620</v>
      </c>
      <c r="M16" s="91">
        <f t="shared" si="4"/>
        <v>45810</v>
      </c>
      <c r="N16" s="50">
        <v>20</v>
      </c>
      <c r="O16" s="11">
        <v>0.37013888888888891</v>
      </c>
      <c r="P16" s="50">
        <v>16</v>
      </c>
      <c r="Q16" s="11">
        <v>0.63541666666666663</v>
      </c>
      <c r="R16" s="93">
        <f t="shared" si="5"/>
        <v>443</v>
      </c>
      <c r="S16" s="10">
        <v>230</v>
      </c>
      <c r="T16" s="10">
        <v>213</v>
      </c>
      <c r="U16" s="91">
        <f t="shared" si="6"/>
        <v>45810</v>
      </c>
      <c r="V16" s="50">
        <v>29</v>
      </c>
      <c r="W16" s="11">
        <v>0.97916666666666663</v>
      </c>
      <c r="X16" s="10">
        <v>525</v>
      </c>
    </row>
    <row r="17" spans="2:24" ht="15.75" thickBot="1" x14ac:dyDescent="0.3">
      <c r="B17" s="56">
        <f t="shared" ref="B17:B45" si="7">B16+1</f>
        <v>45811</v>
      </c>
      <c r="D17" s="50">
        <v>122</v>
      </c>
      <c r="E17" s="55">
        <v>0.5</v>
      </c>
      <c r="F17" s="54">
        <v>1418</v>
      </c>
      <c r="G17" s="94">
        <f t="shared" si="0"/>
        <v>913</v>
      </c>
      <c r="H17" s="54">
        <v>505</v>
      </c>
      <c r="I17" s="91">
        <f t="shared" si="3"/>
        <v>45811</v>
      </c>
      <c r="J17" s="50">
        <v>34</v>
      </c>
      <c r="K17" s="55">
        <v>0.375</v>
      </c>
      <c r="L17" s="54">
        <v>620</v>
      </c>
      <c r="M17" s="91">
        <f t="shared" si="4"/>
        <v>45811</v>
      </c>
      <c r="N17" s="50">
        <v>15</v>
      </c>
      <c r="O17" s="55">
        <v>0.53125</v>
      </c>
      <c r="P17" s="50">
        <v>15</v>
      </c>
      <c r="Q17" s="55">
        <v>0.48958333333333331</v>
      </c>
      <c r="R17" s="93">
        <f t="shared" si="5"/>
        <v>438</v>
      </c>
      <c r="S17" s="54">
        <v>228</v>
      </c>
      <c r="T17" s="54">
        <v>210</v>
      </c>
      <c r="U17" s="91">
        <f t="shared" si="6"/>
        <v>45811</v>
      </c>
      <c r="V17" s="50">
        <v>31</v>
      </c>
      <c r="W17" s="55">
        <v>0.125</v>
      </c>
      <c r="X17" s="54">
        <v>555</v>
      </c>
    </row>
    <row r="18" spans="2:24" ht="15.75" thickBot="1" x14ac:dyDescent="0.3">
      <c r="B18" s="56">
        <f t="shared" si="7"/>
        <v>45812</v>
      </c>
      <c r="D18" s="50">
        <v>165.43</v>
      </c>
      <c r="E18" s="55">
        <v>0.44791666666666669</v>
      </c>
      <c r="F18" s="54">
        <v>1356.95</v>
      </c>
      <c r="G18" s="94">
        <f t="shared" si="0"/>
        <v>860.75</v>
      </c>
      <c r="H18" s="54">
        <v>496.2</v>
      </c>
      <c r="I18" s="91">
        <f t="shared" si="3"/>
        <v>45812</v>
      </c>
      <c r="J18" s="50">
        <v>31.53</v>
      </c>
      <c r="K18" s="55">
        <v>0.35416666666666669</v>
      </c>
      <c r="L18" s="54">
        <v>622.97</v>
      </c>
      <c r="M18" s="91">
        <f t="shared" si="4"/>
        <v>45812</v>
      </c>
      <c r="N18" s="50">
        <v>16.43</v>
      </c>
      <c r="O18" s="55">
        <v>0.25</v>
      </c>
      <c r="P18" s="50">
        <v>15.02</v>
      </c>
      <c r="Q18" s="55">
        <v>0.63541666666666663</v>
      </c>
      <c r="R18" s="51">
        <f t="shared" si="5"/>
        <v>458.71000000000004</v>
      </c>
      <c r="S18" s="54">
        <v>235.83</v>
      </c>
      <c r="T18" s="54">
        <v>222.88</v>
      </c>
      <c r="U18" s="91">
        <f t="shared" si="6"/>
        <v>45812</v>
      </c>
      <c r="V18" s="50">
        <v>28.47</v>
      </c>
      <c r="W18" s="55">
        <v>0.66666666666666663</v>
      </c>
      <c r="X18" s="54">
        <v>547.41</v>
      </c>
    </row>
    <row r="19" spans="2:24" ht="15.75" thickBot="1" x14ac:dyDescent="0.3">
      <c r="B19" s="91">
        <f t="shared" si="7"/>
        <v>45813</v>
      </c>
      <c r="D19" s="92">
        <v>101.04</v>
      </c>
      <c r="E19" s="90">
        <v>0.5625</v>
      </c>
      <c r="F19" s="89">
        <v>1441.76</v>
      </c>
      <c r="G19" s="94">
        <f t="shared" si="0"/>
        <v>916.54</v>
      </c>
      <c r="H19" s="89">
        <v>525.22</v>
      </c>
      <c r="I19" s="91">
        <f t="shared" si="3"/>
        <v>45813</v>
      </c>
      <c r="J19" s="92">
        <v>32.299999999999997</v>
      </c>
      <c r="K19" s="90">
        <v>0.89583333333333337</v>
      </c>
      <c r="L19" s="89">
        <v>617.23</v>
      </c>
      <c r="M19" s="91">
        <f t="shared" si="4"/>
        <v>45813</v>
      </c>
      <c r="N19" s="92">
        <v>16.25</v>
      </c>
      <c r="O19" s="90">
        <v>0.69791666666666663</v>
      </c>
      <c r="P19" s="92">
        <v>15.14</v>
      </c>
      <c r="Q19" s="90">
        <v>0.6875</v>
      </c>
      <c r="R19" s="93">
        <f t="shared" si="5"/>
        <v>459.91999999999996</v>
      </c>
      <c r="S19" s="89">
        <v>227.32</v>
      </c>
      <c r="T19" s="89">
        <v>232.6</v>
      </c>
      <c r="U19" s="91">
        <f t="shared" si="6"/>
        <v>45813</v>
      </c>
      <c r="V19" s="92">
        <v>32.93</v>
      </c>
      <c r="W19" s="90">
        <v>0.28125</v>
      </c>
      <c r="X19" s="89">
        <v>564.97</v>
      </c>
    </row>
    <row r="20" spans="2:24" ht="15.75" thickBot="1" x14ac:dyDescent="0.3">
      <c r="B20" s="91">
        <f t="shared" si="7"/>
        <v>45814</v>
      </c>
      <c r="D20" s="195">
        <v>126</v>
      </c>
      <c r="E20" s="196">
        <v>0.52083333333333337</v>
      </c>
      <c r="F20" s="197">
        <v>1408</v>
      </c>
      <c r="G20" s="94">
        <f t="shared" si="0"/>
        <v>880</v>
      </c>
      <c r="H20" s="197">
        <v>528</v>
      </c>
      <c r="I20" s="91">
        <f t="shared" si="3"/>
        <v>45814</v>
      </c>
      <c r="J20" s="195">
        <v>32</v>
      </c>
      <c r="K20" s="196">
        <v>0.23958333333333334</v>
      </c>
      <c r="L20" s="197">
        <v>606</v>
      </c>
      <c r="M20" s="91">
        <f t="shared" si="4"/>
        <v>45814</v>
      </c>
      <c r="N20" s="195">
        <v>19</v>
      </c>
      <c r="O20" s="196">
        <v>0.5</v>
      </c>
      <c r="P20" s="195">
        <v>17</v>
      </c>
      <c r="Q20" s="196">
        <v>0.53125</v>
      </c>
      <c r="R20" s="93">
        <f t="shared" si="5"/>
        <v>466</v>
      </c>
      <c r="S20" s="197">
        <v>229</v>
      </c>
      <c r="T20" s="197">
        <v>237</v>
      </c>
      <c r="U20" s="198">
        <f t="shared" si="6"/>
        <v>45814</v>
      </c>
      <c r="V20" s="195">
        <v>27</v>
      </c>
      <c r="W20" s="196">
        <v>0.54166666666666663</v>
      </c>
      <c r="X20" s="197">
        <v>551</v>
      </c>
    </row>
    <row r="21" spans="2:24" ht="15.75" thickBot="1" x14ac:dyDescent="0.3">
      <c r="B21" s="91">
        <f t="shared" si="7"/>
        <v>45815</v>
      </c>
      <c r="D21" s="92">
        <v>91</v>
      </c>
      <c r="E21" s="90">
        <v>0.25</v>
      </c>
      <c r="F21" s="89">
        <v>925</v>
      </c>
      <c r="G21" s="94">
        <f t="shared" si="0"/>
        <v>436</v>
      </c>
      <c r="H21" s="89">
        <v>489</v>
      </c>
      <c r="I21" s="91">
        <f t="shared" si="3"/>
        <v>45815</v>
      </c>
      <c r="J21" s="92">
        <v>28</v>
      </c>
      <c r="K21" s="90">
        <v>0.3125</v>
      </c>
      <c r="L21" s="89">
        <v>565</v>
      </c>
      <c r="M21" s="91">
        <f t="shared" si="4"/>
        <v>45815</v>
      </c>
      <c r="N21" s="92">
        <v>15</v>
      </c>
      <c r="O21" s="90">
        <v>0.40625</v>
      </c>
      <c r="P21" s="92">
        <v>12</v>
      </c>
      <c r="Q21" s="90">
        <v>0.40625</v>
      </c>
      <c r="R21" s="93">
        <f t="shared" si="5"/>
        <v>410</v>
      </c>
      <c r="S21" s="89">
        <v>221</v>
      </c>
      <c r="T21" s="89">
        <v>189</v>
      </c>
      <c r="U21" s="91">
        <f t="shared" si="6"/>
        <v>45815</v>
      </c>
      <c r="V21" s="92">
        <v>27</v>
      </c>
      <c r="W21" s="90">
        <v>0</v>
      </c>
      <c r="X21" s="89">
        <v>469</v>
      </c>
    </row>
    <row r="22" spans="2:24" ht="15.75" thickBot="1" x14ac:dyDescent="0.3">
      <c r="B22" s="91">
        <f t="shared" si="7"/>
        <v>45816</v>
      </c>
      <c r="D22" s="92">
        <v>76</v>
      </c>
      <c r="E22" s="90">
        <v>0.97916666666666663</v>
      </c>
      <c r="F22" s="89">
        <v>879</v>
      </c>
      <c r="G22" s="94">
        <f t="shared" si="0"/>
        <v>385</v>
      </c>
      <c r="H22" s="89">
        <v>494</v>
      </c>
      <c r="I22" s="91">
        <f t="shared" si="3"/>
        <v>45816</v>
      </c>
      <c r="J22" s="92">
        <v>27</v>
      </c>
      <c r="K22" s="90">
        <v>0.59375</v>
      </c>
      <c r="L22" s="89">
        <v>573</v>
      </c>
      <c r="M22" s="91">
        <f t="shared" si="4"/>
        <v>45816</v>
      </c>
      <c r="N22" s="92">
        <v>18</v>
      </c>
      <c r="O22" s="90">
        <v>0.73958333333333337</v>
      </c>
      <c r="P22" s="92">
        <v>8</v>
      </c>
      <c r="Q22" s="90">
        <v>0.40625</v>
      </c>
      <c r="R22" s="93">
        <f t="shared" si="5"/>
        <v>384</v>
      </c>
      <c r="S22" s="89">
        <v>219</v>
      </c>
      <c r="T22" s="89">
        <v>165</v>
      </c>
      <c r="U22" s="91">
        <f t="shared" si="6"/>
        <v>45816</v>
      </c>
      <c r="V22" s="92">
        <v>28</v>
      </c>
      <c r="W22" s="90">
        <v>0.28125</v>
      </c>
      <c r="X22" s="89">
        <v>521</v>
      </c>
    </row>
    <row r="23" spans="2:24" ht="15.75" thickBot="1" x14ac:dyDescent="0.3">
      <c r="B23" s="91">
        <f t="shared" si="7"/>
        <v>45817</v>
      </c>
      <c r="D23" s="92">
        <v>103</v>
      </c>
      <c r="E23" s="90">
        <v>0.51041666666666663</v>
      </c>
      <c r="F23" s="89">
        <v>1421</v>
      </c>
      <c r="G23" s="94">
        <f t="shared" si="0"/>
        <v>912</v>
      </c>
      <c r="H23" s="89">
        <v>509</v>
      </c>
      <c r="I23" s="91">
        <f t="shared" si="3"/>
        <v>45817</v>
      </c>
      <c r="J23" s="92">
        <v>32</v>
      </c>
      <c r="K23" s="90">
        <v>3.125E-2</v>
      </c>
      <c r="L23" s="89">
        <v>638</v>
      </c>
      <c r="M23" s="91">
        <f t="shared" si="4"/>
        <v>45817</v>
      </c>
      <c r="N23" s="92">
        <v>18</v>
      </c>
      <c r="O23" s="90">
        <v>0.52083333333333337</v>
      </c>
      <c r="P23" s="92">
        <v>14</v>
      </c>
      <c r="Q23" s="90">
        <v>0.35416666666666669</v>
      </c>
      <c r="R23" s="93">
        <f t="shared" si="5"/>
        <v>457</v>
      </c>
      <c r="S23" s="89">
        <v>229</v>
      </c>
      <c r="T23" s="89">
        <v>228</v>
      </c>
      <c r="U23" s="91">
        <f t="shared" si="6"/>
        <v>45817</v>
      </c>
      <c r="V23" s="92">
        <v>28</v>
      </c>
      <c r="W23" s="90">
        <v>0.3125</v>
      </c>
      <c r="X23" s="89">
        <v>498</v>
      </c>
    </row>
    <row r="24" spans="2:24" ht="15.75" thickBot="1" x14ac:dyDescent="0.3">
      <c r="B24" s="91">
        <f t="shared" si="7"/>
        <v>45818</v>
      </c>
      <c r="D24" s="92">
        <v>115</v>
      </c>
      <c r="E24" s="90">
        <v>0.45833333333333331</v>
      </c>
      <c r="F24" s="89">
        <v>1472</v>
      </c>
      <c r="G24" s="94">
        <f t="shared" si="0"/>
        <v>971</v>
      </c>
      <c r="H24" s="89">
        <v>501</v>
      </c>
      <c r="I24" s="91">
        <f t="shared" si="3"/>
        <v>45818</v>
      </c>
      <c r="J24" s="92">
        <v>32</v>
      </c>
      <c r="K24" s="90">
        <v>0.19791666666666666</v>
      </c>
      <c r="L24" s="89">
        <v>633</v>
      </c>
      <c r="M24" s="91">
        <f t="shared" si="4"/>
        <v>45818</v>
      </c>
      <c r="N24" s="92">
        <v>17</v>
      </c>
      <c r="O24" s="90">
        <v>0.52083333333333337</v>
      </c>
      <c r="P24" s="92">
        <v>14</v>
      </c>
      <c r="Q24" s="90">
        <v>0.6875</v>
      </c>
      <c r="R24" s="93">
        <f t="shared" si="5"/>
        <v>459</v>
      </c>
      <c r="S24" s="89">
        <v>228</v>
      </c>
      <c r="T24" s="89">
        <v>231</v>
      </c>
      <c r="U24" s="91">
        <f t="shared" si="6"/>
        <v>45818</v>
      </c>
      <c r="V24" s="92">
        <v>30</v>
      </c>
      <c r="W24" s="90">
        <v>0.16666666666666666</v>
      </c>
      <c r="X24" s="89">
        <v>565</v>
      </c>
    </row>
    <row r="25" spans="2:24" ht="15.75" thickBot="1" x14ac:dyDescent="0.3">
      <c r="B25" s="91">
        <f t="shared" si="7"/>
        <v>45819</v>
      </c>
      <c r="D25" s="92">
        <v>110</v>
      </c>
      <c r="E25" s="90">
        <v>0.55208333333333337</v>
      </c>
      <c r="F25" s="89">
        <v>1439</v>
      </c>
      <c r="G25" s="94">
        <f t="shared" si="0"/>
        <v>938</v>
      </c>
      <c r="H25" s="89">
        <v>501</v>
      </c>
      <c r="I25" s="91">
        <f t="shared" si="3"/>
        <v>45819</v>
      </c>
      <c r="J25" s="92">
        <v>32</v>
      </c>
      <c r="K25" s="90">
        <v>0.8666666666666667</v>
      </c>
      <c r="L25" s="89">
        <v>629</v>
      </c>
      <c r="M25" s="91">
        <f t="shared" si="4"/>
        <v>45819</v>
      </c>
      <c r="N25" s="92">
        <v>15</v>
      </c>
      <c r="O25" s="90">
        <v>0.39583333333333331</v>
      </c>
      <c r="P25" s="92">
        <v>14</v>
      </c>
      <c r="Q25" s="90">
        <v>0.53125</v>
      </c>
      <c r="R25" s="93">
        <f t="shared" si="5"/>
        <v>448</v>
      </c>
      <c r="S25" s="89">
        <v>228</v>
      </c>
      <c r="T25" s="89">
        <v>220</v>
      </c>
      <c r="U25" s="91">
        <f t="shared" si="6"/>
        <v>45819</v>
      </c>
      <c r="V25" s="92">
        <v>29</v>
      </c>
      <c r="W25" s="90">
        <v>0.38541666666666669</v>
      </c>
      <c r="X25" s="89">
        <v>553</v>
      </c>
    </row>
    <row r="26" spans="2:24" ht="15.75" thickBot="1" x14ac:dyDescent="0.3">
      <c r="B26" s="91">
        <f t="shared" si="7"/>
        <v>45820</v>
      </c>
      <c r="D26" s="92">
        <v>86</v>
      </c>
      <c r="E26" s="90">
        <v>0.4375</v>
      </c>
      <c r="F26" s="89">
        <v>857</v>
      </c>
      <c r="G26" s="94">
        <f t="shared" si="0"/>
        <v>323</v>
      </c>
      <c r="H26" s="89">
        <v>534</v>
      </c>
      <c r="I26" s="91">
        <f t="shared" si="3"/>
        <v>45820</v>
      </c>
      <c r="J26" s="92">
        <v>33</v>
      </c>
      <c r="K26" s="90">
        <v>0.22916666666666666</v>
      </c>
      <c r="L26" s="89">
        <v>608</v>
      </c>
      <c r="M26" s="91">
        <f t="shared" si="4"/>
        <v>45820</v>
      </c>
      <c r="N26" s="92">
        <v>16</v>
      </c>
      <c r="O26" s="90">
        <v>0.71875</v>
      </c>
      <c r="P26" s="92">
        <v>17</v>
      </c>
      <c r="Q26" s="90">
        <v>0.4375</v>
      </c>
      <c r="R26" s="93">
        <f t="shared" ref="R26:R44" si="8">S26+T26</f>
        <v>449</v>
      </c>
      <c r="S26" s="89">
        <v>225</v>
      </c>
      <c r="T26" s="89">
        <v>224</v>
      </c>
      <c r="U26" s="91">
        <f t="shared" si="6"/>
        <v>45820</v>
      </c>
      <c r="V26" s="92">
        <v>30</v>
      </c>
      <c r="W26" s="90">
        <v>0.3125</v>
      </c>
      <c r="X26" s="89">
        <v>564</v>
      </c>
    </row>
    <row r="27" spans="2:24" ht="15.75" thickBot="1" x14ac:dyDescent="0.3">
      <c r="B27" s="91">
        <f t="shared" si="7"/>
        <v>45821</v>
      </c>
      <c r="D27" s="92">
        <v>22.7</v>
      </c>
      <c r="E27" s="90">
        <v>0.26527777777777778</v>
      </c>
      <c r="F27" s="89">
        <v>211.00899999999999</v>
      </c>
      <c r="G27" s="94">
        <f t="shared" si="0"/>
        <v>-316.66099999999994</v>
      </c>
      <c r="H27" s="89">
        <v>527.66999999999996</v>
      </c>
      <c r="I27" s="91">
        <f t="shared" si="3"/>
        <v>45821</v>
      </c>
      <c r="J27" s="92">
        <v>31.19</v>
      </c>
      <c r="K27" s="90">
        <v>0.58333333333333337</v>
      </c>
      <c r="L27" s="89">
        <v>603.02</v>
      </c>
      <c r="M27" s="91">
        <f t="shared" si="4"/>
        <v>45821</v>
      </c>
      <c r="N27" s="92">
        <v>15.67</v>
      </c>
      <c r="O27" s="90">
        <v>0.35416666666666669</v>
      </c>
      <c r="P27" s="92">
        <v>15.18</v>
      </c>
      <c r="Q27" s="90">
        <v>0.33333333333333331</v>
      </c>
      <c r="R27" s="93">
        <f t="shared" si="8"/>
        <v>453.47</v>
      </c>
      <c r="S27" s="89">
        <v>226.57</v>
      </c>
      <c r="T27" s="89">
        <v>226.9</v>
      </c>
      <c r="U27" s="91">
        <f t="shared" si="6"/>
        <v>45821</v>
      </c>
      <c r="V27" s="92">
        <v>29.04</v>
      </c>
      <c r="W27" s="90">
        <v>0.47916666666666669</v>
      </c>
      <c r="X27" s="89">
        <v>567.72</v>
      </c>
    </row>
    <row r="28" spans="2:24" ht="15.75" thickBot="1" x14ac:dyDescent="0.3">
      <c r="B28" s="91">
        <f t="shared" si="7"/>
        <v>45822</v>
      </c>
      <c r="D28" s="92">
        <v>19</v>
      </c>
      <c r="E28" s="90">
        <v>2.0833333333333332E-2</v>
      </c>
      <c r="F28" s="89">
        <v>167</v>
      </c>
      <c r="G28" s="94">
        <f t="shared" si="0"/>
        <v>-343</v>
      </c>
      <c r="H28" s="89">
        <v>510</v>
      </c>
      <c r="I28" s="91">
        <f t="shared" si="3"/>
        <v>45822</v>
      </c>
      <c r="J28" s="92">
        <v>31</v>
      </c>
      <c r="K28" s="90">
        <v>0.125</v>
      </c>
      <c r="L28" s="89">
        <v>591</v>
      </c>
      <c r="M28" s="91">
        <f t="shared" si="4"/>
        <v>45822</v>
      </c>
      <c r="N28" s="92">
        <v>17</v>
      </c>
      <c r="O28" s="90">
        <v>0.71875</v>
      </c>
      <c r="P28" s="92">
        <v>14</v>
      </c>
      <c r="Q28" s="90">
        <v>0.60416666666666663</v>
      </c>
      <c r="R28" s="93">
        <f t="shared" si="8"/>
        <v>419</v>
      </c>
      <c r="S28" s="89">
        <v>222</v>
      </c>
      <c r="T28" s="89">
        <v>197</v>
      </c>
      <c r="U28" s="91">
        <f t="shared" si="6"/>
        <v>45822</v>
      </c>
      <c r="V28" s="92">
        <v>31</v>
      </c>
      <c r="W28" s="90">
        <v>0.39583333333333331</v>
      </c>
      <c r="X28" s="89">
        <v>541</v>
      </c>
    </row>
    <row r="29" spans="2:24" ht="15.75" thickBot="1" x14ac:dyDescent="0.3">
      <c r="B29" s="91">
        <f t="shared" si="7"/>
        <v>45823</v>
      </c>
      <c r="D29" s="92">
        <v>15</v>
      </c>
      <c r="E29" s="90">
        <v>9.375E-2</v>
      </c>
      <c r="F29" s="89">
        <v>125</v>
      </c>
      <c r="G29" s="94">
        <f t="shared" si="0"/>
        <v>-351</v>
      </c>
      <c r="H29" s="89">
        <v>476</v>
      </c>
      <c r="I29" s="91">
        <f t="shared" si="3"/>
        <v>45823</v>
      </c>
      <c r="J29" s="92">
        <v>30</v>
      </c>
      <c r="K29" s="90">
        <v>0.25</v>
      </c>
      <c r="L29" s="89">
        <v>596</v>
      </c>
      <c r="M29" s="91">
        <f t="shared" si="4"/>
        <v>45823</v>
      </c>
      <c r="N29" s="92">
        <v>15</v>
      </c>
      <c r="O29" s="90">
        <v>0.375</v>
      </c>
      <c r="P29" s="92">
        <v>9</v>
      </c>
      <c r="Q29" s="90">
        <v>0.65625</v>
      </c>
      <c r="R29" s="93">
        <f t="shared" si="8"/>
        <v>388</v>
      </c>
      <c r="S29" s="89">
        <v>218</v>
      </c>
      <c r="T29" s="89">
        <v>170</v>
      </c>
      <c r="U29" s="91">
        <f t="shared" si="6"/>
        <v>45823</v>
      </c>
      <c r="V29" s="92">
        <v>26</v>
      </c>
      <c r="W29" s="90">
        <v>0.25</v>
      </c>
      <c r="X29" s="89">
        <v>470</v>
      </c>
    </row>
    <row r="30" spans="2:24" ht="15.75" thickBot="1" x14ac:dyDescent="0.3">
      <c r="B30" s="91">
        <f t="shared" si="7"/>
        <v>45824</v>
      </c>
      <c r="D30" s="92">
        <v>16.84</v>
      </c>
      <c r="E30" s="90">
        <v>0.11458333333333333</v>
      </c>
      <c r="F30" s="89">
        <v>249.05</v>
      </c>
      <c r="G30" s="94">
        <f t="shared" si="0"/>
        <v>-281.03000000000003</v>
      </c>
      <c r="H30" s="89">
        <v>530.08000000000004</v>
      </c>
      <c r="I30" s="91">
        <f t="shared" si="3"/>
        <v>45824</v>
      </c>
      <c r="J30" s="92">
        <v>35.65</v>
      </c>
      <c r="K30" s="90">
        <v>0.1875</v>
      </c>
      <c r="L30" s="89">
        <v>611.12</v>
      </c>
      <c r="M30" s="91">
        <f t="shared" si="4"/>
        <v>45824</v>
      </c>
      <c r="N30" s="92">
        <v>19.399999999999999</v>
      </c>
      <c r="O30" s="90">
        <v>0.53125</v>
      </c>
      <c r="P30" s="92">
        <v>13.56</v>
      </c>
      <c r="Q30" s="90">
        <v>0.33333333333333331</v>
      </c>
      <c r="R30" s="93">
        <f t="shared" si="8"/>
        <v>445.22</v>
      </c>
      <c r="S30" s="89">
        <v>227.77</v>
      </c>
      <c r="T30" s="89">
        <v>217.45</v>
      </c>
      <c r="U30" s="91">
        <f t="shared" si="6"/>
        <v>45824</v>
      </c>
      <c r="V30" s="92">
        <v>28.16</v>
      </c>
      <c r="W30" s="90">
        <v>0.59375</v>
      </c>
      <c r="X30" s="89">
        <v>546.85</v>
      </c>
    </row>
    <row r="31" spans="2:24" ht="15.75" thickBot="1" x14ac:dyDescent="0.3">
      <c r="B31" s="91">
        <f t="shared" si="7"/>
        <v>45825</v>
      </c>
      <c r="D31" s="92">
        <v>48.8</v>
      </c>
      <c r="E31" s="90">
        <v>0.96875</v>
      </c>
      <c r="F31" s="89">
        <v>210.24</v>
      </c>
      <c r="G31" s="94">
        <f t="shared" si="0"/>
        <v>-309.33000000000004</v>
      </c>
      <c r="H31" s="89">
        <v>519.57000000000005</v>
      </c>
      <c r="I31" s="91">
        <f t="shared" si="3"/>
        <v>45825</v>
      </c>
      <c r="J31" s="92">
        <v>34.200000000000003</v>
      </c>
      <c r="K31" s="90">
        <v>9.375E-2</v>
      </c>
      <c r="L31" s="89">
        <v>609.16999999999996</v>
      </c>
      <c r="M31" s="91">
        <f t="shared" si="4"/>
        <v>45825</v>
      </c>
      <c r="N31" s="92">
        <v>18.899999999999999</v>
      </c>
      <c r="O31" s="90">
        <v>0.79166666666666663</v>
      </c>
      <c r="P31" s="92">
        <v>13.66</v>
      </c>
      <c r="Q31" s="90">
        <v>0.53125</v>
      </c>
      <c r="R31" s="93">
        <f t="shared" si="8"/>
        <v>452.88</v>
      </c>
      <c r="S31" s="89">
        <v>232.05</v>
      </c>
      <c r="T31" s="89">
        <v>220.83</v>
      </c>
      <c r="U31" s="91">
        <f t="shared" si="6"/>
        <v>45825</v>
      </c>
      <c r="V31" s="92">
        <v>28.9</v>
      </c>
      <c r="W31" s="90">
        <v>0.57291666666666663</v>
      </c>
      <c r="X31" s="89">
        <v>541.37</v>
      </c>
    </row>
    <row r="32" spans="2:24" ht="15.75" thickBot="1" x14ac:dyDescent="0.3">
      <c r="B32" s="91">
        <f t="shared" si="7"/>
        <v>45826</v>
      </c>
      <c r="D32" s="92">
        <v>33</v>
      </c>
      <c r="E32" s="90">
        <v>6.9444444444444447E-4</v>
      </c>
      <c r="F32" s="89">
        <v>230</v>
      </c>
      <c r="G32" s="94">
        <f t="shared" si="0"/>
        <v>-259</v>
      </c>
      <c r="H32" s="89">
        <v>489</v>
      </c>
      <c r="I32" s="91">
        <f t="shared" si="3"/>
        <v>45826</v>
      </c>
      <c r="J32" s="92">
        <v>35</v>
      </c>
      <c r="K32" s="90">
        <v>0.80208333333333337</v>
      </c>
      <c r="L32" s="89">
        <v>622</v>
      </c>
      <c r="M32" s="91">
        <f t="shared" si="4"/>
        <v>45826</v>
      </c>
      <c r="N32" s="92">
        <v>21</v>
      </c>
      <c r="O32" s="90">
        <v>0.45069444444444445</v>
      </c>
      <c r="P32" s="92">
        <v>21</v>
      </c>
      <c r="Q32" s="90">
        <v>0.63611111111111107</v>
      </c>
      <c r="R32" s="93">
        <f t="shared" si="8"/>
        <v>457</v>
      </c>
      <c r="S32" s="89">
        <v>229</v>
      </c>
      <c r="T32" s="89">
        <v>228</v>
      </c>
      <c r="U32" s="91">
        <f t="shared" si="6"/>
        <v>45826</v>
      </c>
      <c r="V32" s="92">
        <v>30</v>
      </c>
      <c r="W32" s="90">
        <v>0.23958333333333334</v>
      </c>
      <c r="X32" s="89">
        <v>512</v>
      </c>
    </row>
    <row r="33" spans="2:24" ht="15.75" thickBot="1" x14ac:dyDescent="0.3">
      <c r="B33" s="91">
        <f t="shared" si="7"/>
        <v>45827</v>
      </c>
      <c r="D33" s="92">
        <v>32</v>
      </c>
      <c r="E33" s="90">
        <v>0.31458333333333333</v>
      </c>
      <c r="F33" s="89">
        <v>220</v>
      </c>
      <c r="G33" s="94">
        <f t="shared" si="0"/>
        <v>-276</v>
      </c>
      <c r="H33" s="89">
        <v>496</v>
      </c>
      <c r="I33" s="91">
        <f t="shared" si="3"/>
        <v>45827</v>
      </c>
      <c r="J33" s="92">
        <v>37</v>
      </c>
      <c r="K33" s="90">
        <v>0.37291666666666667</v>
      </c>
      <c r="L33" s="89">
        <v>614</v>
      </c>
      <c r="M33" s="91">
        <f t="shared" si="4"/>
        <v>45827</v>
      </c>
      <c r="N33" s="92">
        <v>24</v>
      </c>
      <c r="O33" s="90">
        <v>0.39583333333333331</v>
      </c>
      <c r="P33" s="92">
        <v>17</v>
      </c>
      <c r="Q33" s="90">
        <v>0.54166666666666663</v>
      </c>
      <c r="R33" s="93">
        <f t="shared" si="8"/>
        <v>463</v>
      </c>
      <c r="S33" s="89">
        <v>234</v>
      </c>
      <c r="T33" s="89">
        <v>229</v>
      </c>
      <c r="U33" s="91">
        <f t="shared" si="6"/>
        <v>45827</v>
      </c>
      <c r="V33" s="92">
        <v>32</v>
      </c>
      <c r="W33" s="90">
        <v>0.31944444444444442</v>
      </c>
      <c r="X33" s="89">
        <v>493</v>
      </c>
    </row>
    <row r="34" spans="2:24" ht="15.75" thickBot="1" x14ac:dyDescent="0.3">
      <c r="B34" s="91">
        <f t="shared" si="7"/>
        <v>45828</v>
      </c>
      <c r="D34" s="92">
        <v>29</v>
      </c>
      <c r="E34" s="90">
        <v>0.30208333333333331</v>
      </c>
      <c r="F34" s="89">
        <v>195</v>
      </c>
      <c r="G34" s="94">
        <f t="shared" si="0"/>
        <v>-259</v>
      </c>
      <c r="H34" s="89">
        <v>454</v>
      </c>
      <c r="I34" s="91">
        <f t="shared" si="3"/>
        <v>45828</v>
      </c>
      <c r="J34" s="92">
        <v>32</v>
      </c>
      <c r="K34" s="90">
        <v>0.83680555555555558</v>
      </c>
      <c r="L34" s="89">
        <v>569</v>
      </c>
      <c r="M34" s="91">
        <f t="shared" si="4"/>
        <v>45828</v>
      </c>
      <c r="N34" s="92">
        <v>20</v>
      </c>
      <c r="O34" s="90">
        <v>0.73055555555555551</v>
      </c>
      <c r="P34" s="92">
        <v>11</v>
      </c>
      <c r="Q34" s="90">
        <v>0.4826388888888889</v>
      </c>
      <c r="R34" s="93">
        <f t="shared" si="8"/>
        <v>412</v>
      </c>
      <c r="S34" s="89">
        <v>225</v>
      </c>
      <c r="T34" s="89">
        <v>187</v>
      </c>
      <c r="U34" s="91">
        <f t="shared" si="6"/>
        <v>45828</v>
      </c>
      <c r="V34" s="92">
        <v>30</v>
      </c>
      <c r="W34" s="90">
        <v>0.28958333333333336</v>
      </c>
      <c r="X34" s="89">
        <v>537</v>
      </c>
    </row>
    <row r="35" spans="2:24" ht="15.75" thickBot="1" x14ac:dyDescent="0.3">
      <c r="B35" s="91">
        <f t="shared" si="7"/>
        <v>45829</v>
      </c>
      <c r="D35" s="92">
        <v>27</v>
      </c>
      <c r="E35" s="90">
        <v>0.29166666666666669</v>
      </c>
      <c r="F35" s="89">
        <v>0</v>
      </c>
      <c r="G35" s="94">
        <f t="shared" si="0"/>
        <v>-468</v>
      </c>
      <c r="H35" s="89">
        <v>468</v>
      </c>
      <c r="I35" s="91">
        <f t="shared" si="3"/>
        <v>45829</v>
      </c>
      <c r="J35" s="92">
        <v>30</v>
      </c>
      <c r="K35" s="90">
        <v>0.32291666666666669</v>
      </c>
      <c r="L35" s="89">
        <v>579</v>
      </c>
      <c r="M35" s="91">
        <f t="shared" si="4"/>
        <v>45829</v>
      </c>
      <c r="N35" s="92">
        <v>15</v>
      </c>
      <c r="O35" s="90">
        <v>0.5625</v>
      </c>
      <c r="P35" s="92">
        <v>13</v>
      </c>
      <c r="Q35" s="90">
        <v>0.39583333333333331</v>
      </c>
      <c r="R35" s="93">
        <f t="shared" si="8"/>
        <v>408</v>
      </c>
      <c r="S35" s="89">
        <v>225</v>
      </c>
      <c r="T35" s="89">
        <v>183</v>
      </c>
      <c r="U35" s="91">
        <f t="shared" si="6"/>
        <v>45829</v>
      </c>
      <c r="V35" s="92">
        <v>26</v>
      </c>
      <c r="W35" s="90">
        <v>0.28125</v>
      </c>
      <c r="X35" s="89">
        <v>462</v>
      </c>
    </row>
    <row r="36" spans="2:24" ht="15.75" thickBot="1" x14ac:dyDescent="0.3">
      <c r="B36" s="91">
        <f t="shared" si="7"/>
        <v>45830</v>
      </c>
      <c r="D36" s="92">
        <v>30.04</v>
      </c>
      <c r="E36" s="90">
        <v>0.94791666666666663</v>
      </c>
      <c r="F36" s="89">
        <v>0</v>
      </c>
      <c r="G36" s="94">
        <f t="shared" si="0"/>
        <v>-483.54</v>
      </c>
      <c r="H36" s="89">
        <v>483.54</v>
      </c>
      <c r="I36" s="91">
        <f t="shared" si="3"/>
        <v>45830</v>
      </c>
      <c r="J36" s="92">
        <v>29.32</v>
      </c>
      <c r="K36" s="90">
        <v>0.80208333333333337</v>
      </c>
      <c r="L36" s="89">
        <v>576.22</v>
      </c>
      <c r="M36" s="91">
        <f t="shared" si="4"/>
        <v>45830</v>
      </c>
      <c r="N36" s="92">
        <v>18.100000000000001</v>
      </c>
      <c r="O36" s="90">
        <v>0.63541666666666663</v>
      </c>
      <c r="P36" s="92">
        <v>8.61</v>
      </c>
      <c r="Q36" s="90">
        <v>0.44791666666666669</v>
      </c>
      <c r="R36" s="93">
        <f t="shared" si="8"/>
        <v>386.32</v>
      </c>
      <c r="S36" s="89">
        <v>218.48</v>
      </c>
      <c r="T36" s="89">
        <v>167.84</v>
      </c>
      <c r="U36" s="91">
        <f t="shared" si="6"/>
        <v>45830</v>
      </c>
      <c r="V36" s="92">
        <v>0.98888888888888893</v>
      </c>
      <c r="W36" s="90">
        <v>0.83333333333333337</v>
      </c>
      <c r="X36" s="89">
        <v>425.27</v>
      </c>
    </row>
    <row r="37" spans="2:24" ht="15.75" thickBot="1" x14ac:dyDescent="0.3">
      <c r="B37" s="91">
        <f t="shared" si="7"/>
        <v>45831</v>
      </c>
      <c r="D37" s="92">
        <v>29</v>
      </c>
      <c r="E37" s="90">
        <v>0.875</v>
      </c>
      <c r="F37" s="89">
        <v>0</v>
      </c>
      <c r="G37" s="94">
        <f t="shared" si="0"/>
        <v>-523</v>
      </c>
      <c r="H37" s="89">
        <v>523</v>
      </c>
      <c r="I37" s="91">
        <f t="shared" si="3"/>
        <v>45831</v>
      </c>
      <c r="J37" s="92">
        <v>31</v>
      </c>
      <c r="K37" s="90">
        <v>0.875</v>
      </c>
      <c r="L37" s="89">
        <v>610</v>
      </c>
      <c r="M37" s="91">
        <f t="shared" si="4"/>
        <v>45831</v>
      </c>
      <c r="N37" s="92">
        <v>15</v>
      </c>
      <c r="O37" s="90">
        <v>0.52083333333333337</v>
      </c>
      <c r="P37" s="92">
        <v>15</v>
      </c>
      <c r="Q37" s="90">
        <v>0.5625</v>
      </c>
      <c r="R37" s="93">
        <f t="shared" si="8"/>
        <v>448</v>
      </c>
      <c r="S37" s="89">
        <v>232</v>
      </c>
      <c r="T37" s="89">
        <v>216</v>
      </c>
      <c r="U37" s="91">
        <f t="shared" si="6"/>
        <v>45831</v>
      </c>
      <c r="V37" s="92">
        <v>25</v>
      </c>
      <c r="W37" s="90">
        <v>0.78125</v>
      </c>
      <c r="X37" s="89">
        <v>466</v>
      </c>
    </row>
    <row r="38" spans="2:24" ht="15.75" thickBot="1" x14ac:dyDescent="0.3">
      <c r="B38" s="91">
        <f t="shared" si="7"/>
        <v>45832</v>
      </c>
      <c r="D38" s="92">
        <v>28</v>
      </c>
      <c r="E38" s="90">
        <v>0.30208333333333331</v>
      </c>
      <c r="F38" s="89">
        <v>0</v>
      </c>
      <c r="G38" s="94">
        <f t="shared" si="0"/>
        <v>-505</v>
      </c>
      <c r="H38" s="89">
        <v>505</v>
      </c>
      <c r="I38" s="91">
        <f t="shared" si="3"/>
        <v>45832</v>
      </c>
      <c r="J38" s="92">
        <v>33</v>
      </c>
      <c r="K38" s="90">
        <v>0.17708333333333334</v>
      </c>
      <c r="L38" s="89">
        <v>623</v>
      </c>
      <c r="M38" s="91">
        <f t="shared" si="4"/>
        <v>45832</v>
      </c>
      <c r="N38" s="92">
        <v>17</v>
      </c>
      <c r="O38" s="90">
        <v>0.63541666666666663</v>
      </c>
      <c r="P38" s="92">
        <v>14</v>
      </c>
      <c r="Q38" s="90">
        <v>0.42708333333333331</v>
      </c>
      <c r="R38" s="93">
        <f t="shared" si="8"/>
        <v>457</v>
      </c>
      <c r="S38" s="89">
        <v>234</v>
      </c>
      <c r="T38" s="89">
        <v>223</v>
      </c>
      <c r="U38" s="91">
        <f t="shared" si="6"/>
        <v>45832</v>
      </c>
      <c r="V38" s="92">
        <v>26</v>
      </c>
      <c r="W38" s="90">
        <v>0.39583333333333331</v>
      </c>
      <c r="X38" s="89">
        <v>479</v>
      </c>
    </row>
    <row r="39" spans="2:24" ht="15.75" thickBot="1" x14ac:dyDescent="0.3">
      <c r="B39" s="91">
        <f t="shared" si="7"/>
        <v>45833</v>
      </c>
      <c r="D39" s="92">
        <v>28</v>
      </c>
      <c r="E39" s="90">
        <v>0.30208333333333331</v>
      </c>
      <c r="F39" s="89">
        <v>0</v>
      </c>
      <c r="G39" s="94">
        <f t="shared" si="0"/>
        <v>-518</v>
      </c>
      <c r="H39" s="89">
        <v>518</v>
      </c>
      <c r="I39" s="91">
        <f t="shared" si="3"/>
        <v>45833</v>
      </c>
      <c r="J39" s="92">
        <v>34</v>
      </c>
      <c r="K39" s="90">
        <v>0.41666666666666669</v>
      </c>
      <c r="L39" s="89">
        <v>629</v>
      </c>
      <c r="M39" s="91">
        <f t="shared" si="4"/>
        <v>45833</v>
      </c>
      <c r="N39" s="92">
        <v>17</v>
      </c>
      <c r="O39" s="90">
        <v>0.3125</v>
      </c>
      <c r="P39" s="92">
        <v>16</v>
      </c>
      <c r="Q39" s="90">
        <v>0.47916666666666669</v>
      </c>
      <c r="R39" s="93">
        <f t="shared" si="8"/>
        <v>458</v>
      </c>
      <c r="S39" s="89">
        <v>233</v>
      </c>
      <c r="T39" s="89">
        <v>225</v>
      </c>
      <c r="U39" s="91">
        <f t="shared" si="6"/>
        <v>45833</v>
      </c>
      <c r="V39" s="92">
        <v>27</v>
      </c>
      <c r="W39" s="90">
        <v>0.6875</v>
      </c>
      <c r="X39" s="89">
        <v>500</v>
      </c>
    </row>
    <row r="40" spans="2:24" ht="15.75" thickBot="1" x14ac:dyDescent="0.3">
      <c r="B40" s="91">
        <f t="shared" si="7"/>
        <v>45834</v>
      </c>
      <c r="D40" s="195">
        <v>29</v>
      </c>
      <c r="E40" s="196">
        <v>0.32291666666666669</v>
      </c>
      <c r="F40" s="197">
        <v>0</v>
      </c>
      <c r="G40" s="94">
        <f t="shared" si="0"/>
        <v>-511</v>
      </c>
      <c r="H40" s="197">
        <v>511</v>
      </c>
      <c r="I40" s="198">
        <f t="shared" si="3"/>
        <v>45834</v>
      </c>
      <c r="J40" s="195">
        <v>31</v>
      </c>
      <c r="K40" s="196">
        <v>3.125E-2</v>
      </c>
      <c r="L40" s="197">
        <v>627</v>
      </c>
      <c r="M40" s="198">
        <f t="shared" si="4"/>
        <v>45834</v>
      </c>
      <c r="N40" s="195">
        <v>19</v>
      </c>
      <c r="O40" s="196">
        <v>0.6875</v>
      </c>
      <c r="P40" s="195">
        <v>15</v>
      </c>
      <c r="Q40" s="196">
        <v>0.36458333333333331</v>
      </c>
      <c r="R40" s="93">
        <f t="shared" si="8"/>
        <v>456</v>
      </c>
      <c r="S40" s="197">
        <v>236</v>
      </c>
      <c r="T40" s="197">
        <v>220</v>
      </c>
      <c r="U40" s="198">
        <f t="shared" si="6"/>
        <v>45834</v>
      </c>
      <c r="V40" s="195">
        <v>27</v>
      </c>
      <c r="W40" s="196">
        <v>0.15625</v>
      </c>
      <c r="X40" s="197">
        <v>495</v>
      </c>
    </row>
    <row r="41" spans="2:24" ht="15.75" thickBot="1" x14ac:dyDescent="0.3">
      <c r="B41" s="91">
        <f t="shared" si="7"/>
        <v>45835</v>
      </c>
      <c r="D41" s="92">
        <v>29</v>
      </c>
      <c r="E41" s="90">
        <v>0.30208333333333331</v>
      </c>
      <c r="F41" s="89">
        <v>0</v>
      </c>
      <c r="G41" s="94">
        <f t="shared" si="0"/>
        <v>-522.83000000000004</v>
      </c>
      <c r="H41" s="89">
        <v>522.83000000000004</v>
      </c>
      <c r="I41" s="91">
        <f t="shared" si="3"/>
        <v>45835</v>
      </c>
      <c r="J41" s="92">
        <v>33.14</v>
      </c>
      <c r="K41" s="90">
        <v>0.20833333333333334</v>
      </c>
      <c r="L41" s="89">
        <v>615.45000000000005</v>
      </c>
      <c r="M41" s="91">
        <f t="shared" si="4"/>
        <v>45835</v>
      </c>
      <c r="N41" s="92">
        <v>20.190000000000001</v>
      </c>
      <c r="O41" s="90">
        <v>0.76041666666666663</v>
      </c>
      <c r="P41" s="92">
        <v>12.78</v>
      </c>
      <c r="Q41" s="90">
        <v>0.35416666666666669</v>
      </c>
      <c r="R41" s="93">
        <f t="shared" si="8"/>
        <v>453.89</v>
      </c>
      <c r="S41" s="89">
        <v>233.29</v>
      </c>
      <c r="T41" s="89">
        <v>220.6</v>
      </c>
      <c r="U41" s="91">
        <f t="shared" si="6"/>
        <v>45835</v>
      </c>
      <c r="V41" s="92">
        <v>31.87</v>
      </c>
      <c r="W41" s="90">
        <v>0.1875</v>
      </c>
      <c r="X41" s="89">
        <v>497.19</v>
      </c>
    </row>
    <row r="42" spans="2:24" ht="15.75" thickBot="1" x14ac:dyDescent="0.3">
      <c r="B42" s="91">
        <f t="shared" si="7"/>
        <v>45836</v>
      </c>
      <c r="D42" s="92">
        <v>28.17</v>
      </c>
      <c r="E42" s="90">
        <v>0.96875</v>
      </c>
      <c r="F42" s="89">
        <v>0</v>
      </c>
      <c r="G42" s="94">
        <f t="shared" si="0"/>
        <v>-489.28</v>
      </c>
      <c r="H42" s="89">
        <v>489.28</v>
      </c>
      <c r="I42" s="91">
        <f t="shared" si="3"/>
        <v>45836</v>
      </c>
      <c r="J42" s="92">
        <v>28.23</v>
      </c>
      <c r="K42" s="90">
        <v>0.4375</v>
      </c>
      <c r="L42" s="89">
        <v>580.76</v>
      </c>
      <c r="M42" s="91">
        <f t="shared" si="4"/>
        <v>45836</v>
      </c>
      <c r="N42" s="92">
        <v>21.24</v>
      </c>
      <c r="O42" s="90">
        <v>0.79166666666666663</v>
      </c>
      <c r="P42" s="92">
        <v>14</v>
      </c>
      <c r="Q42" s="90">
        <v>0.40625</v>
      </c>
      <c r="R42" s="93">
        <f t="shared" si="8"/>
        <v>424.96000000000004</v>
      </c>
      <c r="S42" s="89">
        <v>230.43</v>
      </c>
      <c r="T42" s="89">
        <v>194.53</v>
      </c>
      <c r="U42" s="91">
        <f t="shared" si="6"/>
        <v>45836</v>
      </c>
      <c r="V42" s="92">
        <v>32.18</v>
      </c>
      <c r="W42" s="90">
        <v>0.30208333333333331</v>
      </c>
      <c r="X42" s="89">
        <v>486.44</v>
      </c>
    </row>
    <row r="43" spans="2:24" ht="15.75" thickBot="1" x14ac:dyDescent="0.3">
      <c r="B43" s="91">
        <f t="shared" si="7"/>
        <v>45837</v>
      </c>
      <c r="D43" s="92">
        <v>27</v>
      </c>
      <c r="E43" s="90">
        <v>0.32291666666666669</v>
      </c>
      <c r="F43" s="89">
        <v>0</v>
      </c>
      <c r="G43" s="94">
        <f t="shared" si="0"/>
        <v>-476</v>
      </c>
      <c r="H43" s="89">
        <v>476</v>
      </c>
      <c r="I43" s="91">
        <f t="shared" si="3"/>
        <v>45837</v>
      </c>
      <c r="J43" s="92">
        <v>30</v>
      </c>
      <c r="K43" s="90">
        <v>0.91666666666666663</v>
      </c>
      <c r="L43" s="89">
        <v>591</v>
      </c>
      <c r="M43" s="198">
        <f t="shared" si="4"/>
        <v>45837</v>
      </c>
      <c r="N43" s="92">
        <v>18</v>
      </c>
      <c r="O43" s="90">
        <v>0.53125</v>
      </c>
      <c r="P43" s="92">
        <v>10</v>
      </c>
      <c r="Q43" s="90">
        <v>0.44791666666666669</v>
      </c>
      <c r="R43" s="93">
        <f t="shared" si="8"/>
        <v>401</v>
      </c>
      <c r="S43" s="89">
        <v>228</v>
      </c>
      <c r="T43" s="89">
        <v>173</v>
      </c>
      <c r="U43" s="91">
        <f t="shared" si="6"/>
        <v>45837</v>
      </c>
      <c r="V43" s="92">
        <v>30</v>
      </c>
      <c r="W43" s="90">
        <v>0.29166666666666669</v>
      </c>
      <c r="X43" s="89">
        <v>454</v>
      </c>
    </row>
    <row r="44" spans="2:24" ht="15.75" thickBot="1" x14ac:dyDescent="0.3">
      <c r="B44" s="91">
        <f t="shared" si="7"/>
        <v>45838</v>
      </c>
      <c r="D44" s="195">
        <v>35</v>
      </c>
      <c r="E44" s="196">
        <v>0.3125</v>
      </c>
      <c r="F44" s="197">
        <v>0</v>
      </c>
      <c r="G44" s="94">
        <f t="shared" si="0"/>
        <v>-529</v>
      </c>
      <c r="H44" s="197">
        <v>529</v>
      </c>
      <c r="I44" s="91">
        <f t="shared" si="3"/>
        <v>45838</v>
      </c>
      <c r="J44" s="195">
        <v>41</v>
      </c>
      <c r="K44" s="196" t="s">
        <v>73</v>
      </c>
      <c r="L44" s="197">
        <v>635</v>
      </c>
      <c r="M44" s="91">
        <f t="shared" si="4"/>
        <v>45838</v>
      </c>
      <c r="N44" s="195">
        <v>21</v>
      </c>
      <c r="O44" s="196">
        <v>0.61111111111111116</v>
      </c>
      <c r="P44" s="195">
        <v>16</v>
      </c>
      <c r="Q44" s="196">
        <v>0.41319444444444442</v>
      </c>
      <c r="R44" s="93">
        <f t="shared" si="8"/>
        <v>461</v>
      </c>
      <c r="S44" s="197">
        <v>236</v>
      </c>
      <c r="T44" s="197">
        <v>225</v>
      </c>
      <c r="U44" s="91">
        <f t="shared" si="6"/>
        <v>45838</v>
      </c>
      <c r="V44" s="195">
        <v>33</v>
      </c>
      <c r="W44" s="196" t="s">
        <v>72</v>
      </c>
      <c r="X44" s="197">
        <v>519</v>
      </c>
    </row>
    <row r="45" spans="2:24" x14ac:dyDescent="0.25">
      <c r="B45" s="91">
        <f t="shared" si="7"/>
        <v>45839</v>
      </c>
      <c r="D45" s="92"/>
      <c r="E45" s="90"/>
      <c r="F45" s="89"/>
      <c r="G45" s="94">
        <f t="shared" si="0"/>
        <v>0</v>
      </c>
      <c r="H45" s="89"/>
      <c r="I45" s="91">
        <f t="shared" si="3"/>
        <v>45839</v>
      </c>
      <c r="J45" s="92"/>
      <c r="K45" s="90"/>
      <c r="L45" s="89"/>
      <c r="M45" s="91">
        <f t="shared" si="4"/>
        <v>45839</v>
      </c>
      <c r="N45" s="92"/>
      <c r="O45" s="90"/>
      <c r="P45" s="92"/>
      <c r="Q45" s="90"/>
      <c r="R45" s="93">
        <f t="shared" ref="R45" si="9">S45+T45</f>
        <v>0</v>
      </c>
      <c r="S45" s="89"/>
      <c r="T45" s="89"/>
      <c r="U45" s="91">
        <f t="shared" si="6"/>
        <v>45839</v>
      </c>
      <c r="V45" s="92"/>
      <c r="W45" s="90"/>
      <c r="X45" s="89"/>
    </row>
    <row r="48" spans="2:24" x14ac:dyDescent="0.25">
      <c r="E48" s="201" t="s">
        <v>62</v>
      </c>
      <c r="F48" s="201" t="s">
        <v>63</v>
      </c>
      <c r="G48" s="201" t="s">
        <v>64</v>
      </c>
      <c r="H48" s="201" t="s">
        <v>65</v>
      </c>
      <c r="I48" s="201" t="s">
        <v>66</v>
      </c>
      <c r="J48" s="201" t="s">
        <v>67</v>
      </c>
    </row>
    <row r="49" spans="4:10" x14ac:dyDescent="0.25">
      <c r="D49" s="204">
        <v>45658</v>
      </c>
      <c r="E49" s="202">
        <f t="shared" ref="E49:E79" si="10">F14/J49</f>
        <v>0.38729763387297633</v>
      </c>
      <c r="F49" s="202">
        <f t="shared" ref="F49:F79" si="11">L14/J49</f>
        <v>0.24616023246160232</v>
      </c>
      <c r="G49" s="202">
        <f t="shared" ref="G49:G79" si="12">S14/J49</f>
        <v>9.2984640929846415E-2</v>
      </c>
      <c r="H49" s="202">
        <f t="shared" ref="H49:H79" si="13">T14/J49</f>
        <v>7.5134910751349107E-2</v>
      </c>
      <c r="I49" s="202">
        <f t="shared" ref="I49:I79" si="14">X14/J49</f>
        <v>0.19842258198422583</v>
      </c>
      <c r="J49" s="203">
        <f>F14+L14+S14+T14+X14</f>
        <v>2409</v>
      </c>
    </row>
    <row r="50" spans="4:10" x14ac:dyDescent="0.25">
      <c r="D50" s="204">
        <v>45659</v>
      </c>
      <c r="E50" s="202">
        <f t="shared" si="10"/>
        <v>0.38020833333333331</v>
      </c>
      <c r="F50" s="202">
        <f t="shared" si="11"/>
        <v>0.25</v>
      </c>
      <c r="G50" s="202">
        <f t="shared" si="12"/>
        <v>9.5486111111111105E-2</v>
      </c>
      <c r="H50" s="202">
        <f t="shared" si="13"/>
        <v>6.9444444444444448E-2</v>
      </c>
      <c r="I50" s="202">
        <f t="shared" si="14"/>
        <v>0.2048611111111111</v>
      </c>
      <c r="J50" s="203">
        <f t="shared" ref="J50:J79" si="15">F15+L15+S15+T15+X15</f>
        <v>2304</v>
      </c>
    </row>
    <row r="51" spans="4:10" x14ac:dyDescent="0.25">
      <c r="D51" s="204">
        <v>45660</v>
      </c>
      <c r="E51" s="202">
        <f t="shared" si="10"/>
        <v>0.46603900470746468</v>
      </c>
      <c r="F51" s="202">
        <f t="shared" si="11"/>
        <v>0.20847343644922664</v>
      </c>
      <c r="G51" s="202">
        <f t="shared" si="12"/>
        <v>7.7336919973100202E-2</v>
      </c>
      <c r="H51" s="202">
        <f t="shared" si="13"/>
        <v>7.1620712844653669E-2</v>
      </c>
      <c r="I51" s="202">
        <f t="shared" si="14"/>
        <v>0.17652992602555481</v>
      </c>
      <c r="J51" s="203">
        <f t="shared" si="15"/>
        <v>2974</v>
      </c>
    </row>
    <row r="52" spans="4:10" x14ac:dyDescent="0.25">
      <c r="D52" s="204">
        <v>45661</v>
      </c>
      <c r="E52" s="202">
        <f t="shared" si="10"/>
        <v>0.46783239854833386</v>
      </c>
      <c r="F52" s="202">
        <f t="shared" si="11"/>
        <v>0.2045529528208512</v>
      </c>
      <c r="G52" s="202">
        <f t="shared" si="12"/>
        <v>7.5222698779280769E-2</v>
      </c>
      <c r="H52" s="202">
        <f t="shared" si="13"/>
        <v>6.9284064665127015E-2</v>
      </c>
      <c r="I52" s="202">
        <f t="shared" si="14"/>
        <v>0.18310788518640714</v>
      </c>
      <c r="J52" s="203">
        <f t="shared" si="15"/>
        <v>3031</v>
      </c>
    </row>
    <row r="53" spans="4:10" x14ac:dyDescent="0.25">
      <c r="D53" s="204">
        <v>45662</v>
      </c>
      <c r="E53" s="202">
        <f t="shared" si="10"/>
        <v>0.45443128692180951</v>
      </c>
      <c r="F53" s="202">
        <f t="shared" si="11"/>
        <v>0.20862747987300909</v>
      </c>
      <c r="G53" s="202">
        <f t="shared" si="12"/>
        <v>7.8977508673694935E-2</v>
      </c>
      <c r="H53" s="202">
        <f t="shared" si="13"/>
        <v>7.4640661210164633E-2</v>
      </c>
      <c r="I53" s="202">
        <f t="shared" si="14"/>
        <v>0.18332306332132187</v>
      </c>
      <c r="J53" s="203">
        <f t="shared" si="15"/>
        <v>2986.04</v>
      </c>
    </row>
    <row r="54" spans="4:10" x14ac:dyDescent="0.25">
      <c r="D54" s="204">
        <v>45663</v>
      </c>
      <c r="E54" s="202">
        <f t="shared" si="10"/>
        <v>0.46751494870098703</v>
      </c>
      <c r="F54" s="202">
        <f t="shared" si="11"/>
        <v>0.20014721714204184</v>
      </c>
      <c r="G54" s="202">
        <f t="shared" si="12"/>
        <v>7.3712336407382908E-2</v>
      </c>
      <c r="H54" s="202">
        <f t="shared" si="13"/>
        <v>7.5424465283992881E-2</v>
      </c>
      <c r="I54" s="202">
        <f t="shared" si="14"/>
        <v>0.1832010324655953</v>
      </c>
      <c r="J54" s="203">
        <f t="shared" si="15"/>
        <v>3083.88</v>
      </c>
    </row>
    <row r="55" spans="4:10" x14ac:dyDescent="0.25">
      <c r="D55" s="204">
        <v>45664</v>
      </c>
      <c r="E55" s="202">
        <f t="shared" si="10"/>
        <v>0.46453315737380402</v>
      </c>
      <c r="F55" s="202">
        <f t="shared" si="11"/>
        <v>0.19993401517650941</v>
      </c>
      <c r="G55" s="202">
        <f t="shared" si="12"/>
        <v>7.5552622896733757E-2</v>
      </c>
      <c r="H55" s="202">
        <f t="shared" si="13"/>
        <v>7.819201583635764E-2</v>
      </c>
      <c r="I55" s="202">
        <f t="shared" si="14"/>
        <v>0.18178818871659519</v>
      </c>
      <c r="J55" s="203">
        <f t="shared" si="15"/>
        <v>3031</v>
      </c>
    </row>
    <row r="56" spans="4:10" x14ac:dyDescent="0.25">
      <c r="D56" s="204">
        <v>45665</v>
      </c>
      <c r="E56" s="202">
        <f t="shared" si="10"/>
        <v>0.39046010975094975</v>
      </c>
      <c r="F56" s="202">
        <f t="shared" si="11"/>
        <v>0.23849725622625581</v>
      </c>
      <c r="G56" s="202">
        <f t="shared" si="12"/>
        <v>9.3288307302659357E-2</v>
      </c>
      <c r="H56" s="202">
        <f t="shared" si="13"/>
        <v>7.9780498100464337E-2</v>
      </c>
      <c r="I56" s="202">
        <f t="shared" si="14"/>
        <v>0.19797382861967075</v>
      </c>
      <c r="J56" s="203">
        <f t="shared" si="15"/>
        <v>2369</v>
      </c>
    </row>
    <row r="57" spans="4:10" x14ac:dyDescent="0.25">
      <c r="D57" s="204">
        <v>45666</v>
      </c>
      <c r="E57" s="202">
        <f t="shared" si="10"/>
        <v>0.37293169282986849</v>
      </c>
      <c r="F57" s="202">
        <f t="shared" si="11"/>
        <v>0.24310564276622826</v>
      </c>
      <c r="G57" s="202">
        <f t="shared" si="12"/>
        <v>9.2914722104369962E-2</v>
      </c>
      <c r="H57" s="202">
        <f t="shared" si="13"/>
        <v>7.0004242681374632E-2</v>
      </c>
      <c r="I57" s="202">
        <f t="shared" si="14"/>
        <v>0.22104369961815867</v>
      </c>
      <c r="J57" s="203">
        <f t="shared" si="15"/>
        <v>2357</v>
      </c>
    </row>
    <row r="58" spans="4:10" x14ac:dyDescent="0.25">
      <c r="D58" s="204">
        <v>45667</v>
      </c>
      <c r="E58" s="202">
        <f t="shared" si="10"/>
        <v>0.47146648971466487</v>
      </c>
      <c r="F58" s="202">
        <f t="shared" si="11"/>
        <v>0.21167883211678831</v>
      </c>
      <c r="G58" s="202">
        <f t="shared" si="12"/>
        <v>7.5978765759787653E-2</v>
      </c>
      <c r="H58" s="202">
        <f t="shared" si="13"/>
        <v>7.5646980756469806E-2</v>
      </c>
      <c r="I58" s="202">
        <f t="shared" si="14"/>
        <v>0.16522893165228933</v>
      </c>
      <c r="J58" s="203">
        <f t="shared" si="15"/>
        <v>3014</v>
      </c>
    </row>
    <row r="59" spans="4:10" x14ac:dyDescent="0.25">
      <c r="D59" s="204">
        <v>45668</v>
      </c>
      <c r="E59" s="202">
        <f t="shared" si="10"/>
        <v>0.47043783956535634</v>
      </c>
      <c r="F59" s="202">
        <f t="shared" si="11"/>
        <v>0.20230105465004794</v>
      </c>
      <c r="G59" s="202">
        <f t="shared" si="12"/>
        <v>7.2866730584851394E-2</v>
      </c>
      <c r="H59" s="202">
        <f t="shared" si="13"/>
        <v>7.3825503355704702E-2</v>
      </c>
      <c r="I59" s="202">
        <f t="shared" si="14"/>
        <v>0.18056887184403964</v>
      </c>
      <c r="J59" s="203">
        <f t="shared" si="15"/>
        <v>3129</v>
      </c>
    </row>
    <row r="60" spans="4:10" x14ac:dyDescent="0.25">
      <c r="D60" s="204">
        <v>45669</v>
      </c>
      <c r="E60" s="202">
        <f t="shared" si="10"/>
        <v>0.46888237210817857</v>
      </c>
      <c r="F60" s="202">
        <f t="shared" si="11"/>
        <v>0.20495275333985011</v>
      </c>
      <c r="G60" s="202">
        <f t="shared" si="12"/>
        <v>7.4291300097751714E-2</v>
      </c>
      <c r="H60" s="202">
        <f t="shared" si="13"/>
        <v>7.1684587813620068E-2</v>
      </c>
      <c r="I60" s="202">
        <f t="shared" si="14"/>
        <v>0.18018898664059954</v>
      </c>
      <c r="J60" s="203">
        <f t="shared" si="15"/>
        <v>3069</v>
      </c>
    </row>
    <row r="61" spans="4:10" x14ac:dyDescent="0.25">
      <c r="D61" s="204">
        <v>45670</v>
      </c>
      <c r="E61" s="202">
        <f t="shared" si="10"/>
        <v>0.34584342211460856</v>
      </c>
      <c r="F61" s="202">
        <f t="shared" si="11"/>
        <v>0.24535916061339791</v>
      </c>
      <c r="G61" s="202">
        <f t="shared" si="12"/>
        <v>9.0799031476997583E-2</v>
      </c>
      <c r="H61" s="202">
        <f t="shared" si="13"/>
        <v>9.03954802259887E-2</v>
      </c>
      <c r="I61" s="202">
        <f t="shared" si="14"/>
        <v>0.22760290556900725</v>
      </c>
      <c r="J61" s="203">
        <f t="shared" si="15"/>
        <v>2478</v>
      </c>
    </row>
    <row r="62" spans="4:10" x14ac:dyDescent="0.25">
      <c r="D62" s="204">
        <v>45671</v>
      </c>
      <c r="E62" s="202">
        <f t="shared" si="10"/>
        <v>0.11497755853661061</v>
      </c>
      <c r="F62" s="202">
        <f t="shared" si="11"/>
        <v>0.32858203843791939</v>
      </c>
      <c r="G62" s="202">
        <f t="shared" si="12"/>
        <v>0.12345665558170441</v>
      </c>
      <c r="H62" s="202">
        <f t="shared" si="13"/>
        <v>0.12363647063374998</v>
      </c>
      <c r="I62" s="202">
        <f t="shared" si="14"/>
        <v>0.30934727681001561</v>
      </c>
      <c r="J62" s="203">
        <f t="shared" si="15"/>
        <v>1835.2190000000001</v>
      </c>
    </row>
    <row r="63" spans="4:10" x14ac:dyDescent="0.25">
      <c r="D63" s="204">
        <v>45672</v>
      </c>
      <c r="E63" s="202">
        <f t="shared" si="10"/>
        <v>9.7206053550640284E-2</v>
      </c>
      <c r="F63" s="202">
        <f t="shared" si="11"/>
        <v>0.34400465657741558</v>
      </c>
      <c r="G63" s="202">
        <f t="shared" si="12"/>
        <v>0.12922002328288706</v>
      </c>
      <c r="H63" s="202">
        <f t="shared" si="13"/>
        <v>0.11466821885913853</v>
      </c>
      <c r="I63" s="202">
        <f t="shared" si="14"/>
        <v>0.3149010477299185</v>
      </c>
      <c r="J63" s="203">
        <f t="shared" si="15"/>
        <v>1718</v>
      </c>
    </row>
    <row r="64" spans="4:10" x14ac:dyDescent="0.25">
      <c r="D64" s="204">
        <v>45673</v>
      </c>
      <c r="E64" s="202">
        <f t="shared" si="10"/>
        <v>7.9164027865737813E-2</v>
      </c>
      <c r="F64" s="202">
        <f t="shared" si="11"/>
        <v>0.37745408486383786</v>
      </c>
      <c r="G64" s="202">
        <f t="shared" si="12"/>
        <v>0.13806206459784673</v>
      </c>
      <c r="H64" s="202">
        <f t="shared" si="13"/>
        <v>0.10766307789740343</v>
      </c>
      <c r="I64" s="202">
        <f t="shared" si="14"/>
        <v>0.29765674477517418</v>
      </c>
      <c r="J64" s="203">
        <f t="shared" si="15"/>
        <v>1579</v>
      </c>
    </row>
    <row r="65" spans="4:10" x14ac:dyDescent="0.25">
      <c r="D65" s="204">
        <v>45674</v>
      </c>
      <c r="E65" s="202">
        <f t="shared" si="10"/>
        <v>0.13445881743186627</v>
      </c>
      <c r="F65" s="202">
        <f t="shared" si="11"/>
        <v>0.32993564548870552</v>
      </c>
      <c r="G65" s="202">
        <f t="shared" si="12"/>
        <v>0.12297002548265883</v>
      </c>
      <c r="H65" s="202">
        <f t="shared" si="13"/>
        <v>0.11739839329676498</v>
      </c>
      <c r="I65" s="202">
        <f t="shared" si="14"/>
        <v>0.29523711830000432</v>
      </c>
      <c r="J65" s="203">
        <f t="shared" si="15"/>
        <v>1852.2400000000002</v>
      </c>
    </row>
    <row r="66" spans="4:10" x14ac:dyDescent="0.25">
      <c r="D66" s="204">
        <v>45675</v>
      </c>
      <c r="E66" s="202">
        <f t="shared" si="10"/>
        <v>0.11592029377060752</v>
      </c>
      <c r="F66" s="202">
        <f t="shared" si="11"/>
        <v>0.33587883065183111</v>
      </c>
      <c r="G66" s="202">
        <f t="shared" si="12"/>
        <v>0.12794570095828325</v>
      </c>
      <c r="H66" s="202">
        <f t="shared" si="13"/>
        <v>0.1217593154174432</v>
      </c>
      <c r="I66" s="202">
        <f t="shared" si="14"/>
        <v>0.29849585920183497</v>
      </c>
      <c r="J66" s="203">
        <f t="shared" si="15"/>
        <v>1813.6599999999999</v>
      </c>
    </row>
    <row r="67" spans="4:10" x14ac:dyDescent="0.25">
      <c r="D67" s="204">
        <v>45676</v>
      </c>
      <c r="E67" s="202">
        <f t="shared" si="10"/>
        <v>0.12630422844590883</v>
      </c>
      <c r="F67" s="202">
        <f t="shared" si="11"/>
        <v>0.34157056562328392</v>
      </c>
      <c r="G67" s="202">
        <f t="shared" si="12"/>
        <v>0.12575507962657881</v>
      </c>
      <c r="H67" s="202">
        <f t="shared" si="13"/>
        <v>0.12520593080724876</v>
      </c>
      <c r="I67" s="202">
        <f t="shared" si="14"/>
        <v>0.28116419549697969</v>
      </c>
      <c r="J67" s="203">
        <f t="shared" si="15"/>
        <v>1821</v>
      </c>
    </row>
    <row r="68" spans="4:10" x14ac:dyDescent="0.25">
      <c r="D68" s="204">
        <v>45677</v>
      </c>
      <c r="E68" s="202">
        <f t="shared" si="10"/>
        <v>0.12290502793296089</v>
      </c>
      <c r="F68" s="202">
        <f t="shared" si="11"/>
        <v>0.34301675977653634</v>
      </c>
      <c r="G68" s="202">
        <f t="shared" si="12"/>
        <v>0.13072625698324022</v>
      </c>
      <c r="H68" s="202">
        <f t="shared" si="13"/>
        <v>0.12793296089385475</v>
      </c>
      <c r="I68" s="202">
        <f t="shared" si="14"/>
        <v>0.27541899441340784</v>
      </c>
      <c r="J68" s="203">
        <f t="shared" si="15"/>
        <v>1790</v>
      </c>
    </row>
    <row r="69" spans="4:10" x14ac:dyDescent="0.25">
      <c r="D69" s="204">
        <v>45678</v>
      </c>
      <c r="E69" s="202">
        <f t="shared" si="10"/>
        <v>0.11383537653239929</v>
      </c>
      <c r="F69" s="202">
        <f t="shared" si="11"/>
        <v>0.33216579100992411</v>
      </c>
      <c r="G69" s="202">
        <f t="shared" si="12"/>
        <v>0.13134851138353765</v>
      </c>
      <c r="H69" s="202">
        <f t="shared" si="13"/>
        <v>0.1091652072387624</v>
      </c>
      <c r="I69" s="202">
        <f t="shared" si="14"/>
        <v>0.31348511383537653</v>
      </c>
      <c r="J69" s="203">
        <f t="shared" si="15"/>
        <v>1713</v>
      </c>
    </row>
    <row r="70" spans="4:10" x14ac:dyDescent="0.25">
      <c r="D70" s="204">
        <v>45679</v>
      </c>
      <c r="E70" s="202">
        <f t="shared" si="10"/>
        <v>0</v>
      </c>
      <c r="F70" s="202">
        <f t="shared" si="11"/>
        <v>0.39958592132505177</v>
      </c>
      <c r="G70" s="202">
        <f t="shared" si="12"/>
        <v>0.15527950310559005</v>
      </c>
      <c r="H70" s="202">
        <f t="shared" si="13"/>
        <v>0.12629399585921325</v>
      </c>
      <c r="I70" s="202">
        <f t="shared" si="14"/>
        <v>0.3188405797101449</v>
      </c>
      <c r="J70" s="203">
        <f t="shared" si="15"/>
        <v>1449</v>
      </c>
    </row>
    <row r="71" spans="4:10" x14ac:dyDescent="0.25">
      <c r="D71" s="204">
        <v>45680</v>
      </c>
      <c r="E71" s="202">
        <f t="shared" si="10"/>
        <v>0</v>
      </c>
      <c r="F71" s="202">
        <f t="shared" si="11"/>
        <v>0.41520092808093328</v>
      </c>
      <c r="G71" s="202">
        <f t="shared" si="12"/>
        <v>0.15742788998494031</v>
      </c>
      <c r="H71" s="202">
        <f t="shared" si="13"/>
        <v>0.12093874521728479</v>
      </c>
      <c r="I71" s="202">
        <f t="shared" si="14"/>
        <v>0.30643243671684162</v>
      </c>
      <c r="J71" s="203">
        <f t="shared" si="15"/>
        <v>1387.81</v>
      </c>
    </row>
    <row r="72" spans="4:10" x14ac:dyDescent="0.25">
      <c r="D72" s="204">
        <v>45681</v>
      </c>
      <c r="E72" s="202">
        <f t="shared" si="10"/>
        <v>0</v>
      </c>
      <c r="F72" s="202">
        <f t="shared" si="11"/>
        <v>0.40026246719160102</v>
      </c>
      <c r="G72" s="202">
        <f t="shared" si="12"/>
        <v>0.15223097112860892</v>
      </c>
      <c r="H72" s="202">
        <f t="shared" si="13"/>
        <v>0.14173228346456693</v>
      </c>
      <c r="I72" s="202">
        <f t="shared" si="14"/>
        <v>0.30577427821522307</v>
      </c>
      <c r="J72" s="203">
        <f t="shared" si="15"/>
        <v>1524</v>
      </c>
    </row>
    <row r="73" spans="4:10" x14ac:dyDescent="0.25">
      <c r="D73" s="204">
        <v>45682</v>
      </c>
      <c r="E73" s="202">
        <f t="shared" si="10"/>
        <v>0</v>
      </c>
      <c r="F73" s="202">
        <f t="shared" si="11"/>
        <v>0.39961513790891595</v>
      </c>
      <c r="G73" s="202">
        <f t="shared" si="12"/>
        <v>0.150096215522771</v>
      </c>
      <c r="H73" s="202">
        <f t="shared" si="13"/>
        <v>0.14304041051956382</v>
      </c>
      <c r="I73" s="202">
        <f t="shared" si="14"/>
        <v>0.30724823604874918</v>
      </c>
      <c r="J73" s="203">
        <f t="shared" si="15"/>
        <v>1559</v>
      </c>
    </row>
    <row r="74" spans="4:10" x14ac:dyDescent="0.25">
      <c r="D74" s="204">
        <v>45683</v>
      </c>
      <c r="E74" s="202">
        <f t="shared" si="10"/>
        <v>0</v>
      </c>
      <c r="F74" s="202">
        <f t="shared" si="11"/>
        <v>0.39634530560806552</v>
      </c>
      <c r="G74" s="202">
        <f t="shared" si="12"/>
        <v>0.14681789540012602</v>
      </c>
      <c r="H74" s="202">
        <f t="shared" si="13"/>
        <v>0.14177693761814744</v>
      </c>
      <c r="I74" s="202">
        <f t="shared" si="14"/>
        <v>0.31505986137366099</v>
      </c>
      <c r="J74" s="203">
        <f t="shared" si="15"/>
        <v>1587</v>
      </c>
    </row>
    <row r="75" spans="4:10" x14ac:dyDescent="0.25">
      <c r="D75" s="204">
        <v>45684</v>
      </c>
      <c r="E75" s="202">
        <f t="shared" si="10"/>
        <v>0</v>
      </c>
      <c r="F75" s="202">
        <f t="shared" si="11"/>
        <v>0.39733840304182511</v>
      </c>
      <c r="G75" s="202">
        <f t="shared" si="12"/>
        <v>0.14955640050697086</v>
      </c>
      <c r="H75" s="202">
        <f t="shared" si="13"/>
        <v>0.13941698352344739</v>
      </c>
      <c r="I75" s="202">
        <f t="shared" si="14"/>
        <v>0.31368821292775667</v>
      </c>
      <c r="J75" s="203">
        <f t="shared" si="15"/>
        <v>1578</v>
      </c>
    </row>
    <row r="76" spans="4:10" x14ac:dyDescent="0.25">
      <c r="D76" s="204">
        <v>45685</v>
      </c>
      <c r="E76" s="202">
        <f t="shared" si="10"/>
        <v>0</v>
      </c>
      <c r="F76" s="202">
        <f t="shared" si="11"/>
        <v>0.39287469758000171</v>
      </c>
      <c r="G76" s="202">
        <f t="shared" si="12"/>
        <v>0.14892150166291102</v>
      </c>
      <c r="H76" s="202">
        <f t="shared" si="13"/>
        <v>0.14082079500552175</v>
      </c>
      <c r="I76" s="202">
        <f t="shared" si="14"/>
        <v>0.31738300575156558</v>
      </c>
      <c r="J76" s="203">
        <f t="shared" si="15"/>
        <v>1566.53</v>
      </c>
    </row>
    <row r="77" spans="4:10" x14ac:dyDescent="0.25">
      <c r="D77" s="204">
        <v>45686</v>
      </c>
      <c r="E77" s="202">
        <f t="shared" si="10"/>
        <v>0</v>
      </c>
      <c r="F77" s="202">
        <f t="shared" si="11"/>
        <v>0.38920759167917646</v>
      </c>
      <c r="G77" s="202">
        <f t="shared" si="12"/>
        <v>0.15442713918078491</v>
      </c>
      <c r="H77" s="202">
        <f t="shared" si="13"/>
        <v>0.13036805704482093</v>
      </c>
      <c r="I77" s="202">
        <f t="shared" si="14"/>
        <v>0.32599721209521765</v>
      </c>
      <c r="J77" s="203">
        <f t="shared" si="15"/>
        <v>1492.16</v>
      </c>
    </row>
    <row r="78" spans="4:10" x14ac:dyDescent="0.25">
      <c r="D78" s="204">
        <v>45687</v>
      </c>
      <c r="E78" s="202">
        <f t="shared" si="10"/>
        <v>0</v>
      </c>
      <c r="F78" s="202">
        <f t="shared" si="11"/>
        <v>0.40871369294605808</v>
      </c>
      <c r="G78" s="202">
        <f t="shared" si="12"/>
        <v>0.15767634854771784</v>
      </c>
      <c r="H78" s="202">
        <f t="shared" si="13"/>
        <v>0.11964038727524205</v>
      </c>
      <c r="I78" s="202">
        <f t="shared" si="14"/>
        <v>0.31396957123098201</v>
      </c>
      <c r="J78" s="203">
        <f t="shared" si="15"/>
        <v>1446</v>
      </c>
    </row>
    <row r="79" spans="4:10" x14ac:dyDescent="0.25">
      <c r="D79" s="204">
        <v>45688</v>
      </c>
      <c r="E79" s="202">
        <f t="shared" si="10"/>
        <v>0</v>
      </c>
      <c r="F79" s="202">
        <f t="shared" si="11"/>
        <v>0.39318885448916407</v>
      </c>
      <c r="G79" s="202">
        <f t="shared" si="12"/>
        <v>0.14613003095975233</v>
      </c>
      <c r="H79" s="202">
        <f t="shared" si="13"/>
        <v>0.13931888544891641</v>
      </c>
      <c r="I79" s="202">
        <f t="shared" si="14"/>
        <v>0.32136222910216716</v>
      </c>
      <c r="J79" s="203">
        <f t="shared" si="15"/>
        <v>1615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5:L19 L27:L39 L21:L25 L41:L43 L45">
    <cfRule type="cellIs" dxfId="63" priority="159" operator="equal">
      <formula>MAX($L$14:$L$16)</formula>
    </cfRule>
  </conditionalFormatting>
  <conditionalFormatting sqref="T15:T19 T27:T39 T21:T25 T41:T43 T45">
    <cfRule type="cellIs" dxfId="62" priority="160" operator="equal">
      <formula>MAX($T$14:$T$16)</formula>
    </cfRule>
  </conditionalFormatting>
  <conditionalFormatting sqref="X15:X19 X27:X39 X21:X25 X41:X43 X45">
    <cfRule type="cellIs" dxfId="61" priority="161" operator="equal">
      <formula>MAX($X$14:$X$16)</formula>
    </cfRule>
  </conditionalFormatting>
  <conditionalFormatting sqref="J15:J19 J27:J39 J21:J25 J41:J43 J45">
    <cfRule type="cellIs" dxfId="60" priority="162" operator="equal">
      <formula>MAX($J$14:$J$16)</formula>
    </cfRule>
  </conditionalFormatting>
  <conditionalFormatting sqref="V15:V19 V27:V39 V21:V23 V41:V43 V45">
    <cfRule type="cellIs" dxfId="59" priority="163" operator="equal">
      <formula>MAX($V$14:$V$16)</formula>
    </cfRule>
  </conditionalFormatting>
  <conditionalFormatting sqref="D15:D19 D27:D37 D41 D21:D25 D43 D39 D45">
    <cfRule type="cellIs" dxfId="58" priority="164" operator="equal">
      <formula>MAX($D$14:$D$16)</formula>
    </cfRule>
  </conditionalFormatting>
  <conditionalFormatting sqref="S15:S19 S27:S39 S21:S25 S41:S43 S45">
    <cfRule type="cellIs" dxfId="57" priority="165" operator="equal">
      <formula>MAX($S$14:$S$16)</formula>
    </cfRule>
  </conditionalFormatting>
  <conditionalFormatting sqref="N15:N19 N27:N39 N21:N25 N41:N43 N45">
    <cfRule type="cellIs" dxfId="56" priority="166" operator="equal">
      <formula>MAX($N$14:$N$16)</formula>
    </cfRule>
  </conditionalFormatting>
  <conditionalFormatting sqref="P15:P19 P27:P39 P21:P25 P41:P43 P45">
    <cfRule type="cellIs" dxfId="55" priority="167" operator="equal">
      <formula>MAX($P$14:$P$16)</formula>
    </cfRule>
  </conditionalFormatting>
  <conditionalFormatting sqref="L26">
    <cfRule type="cellIs" dxfId="54" priority="91" operator="equal">
      <formula>MAX($L$14:$L$16)</formula>
    </cfRule>
  </conditionalFormatting>
  <conditionalFormatting sqref="T26">
    <cfRule type="cellIs" dxfId="53" priority="92" operator="equal">
      <formula>MAX($T$14:$T$16)</formula>
    </cfRule>
  </conditionalFormatting>
  <conditionalFormatting sqref="X26">
    <cfRule type="cellIs" dxfId="52" priority="93" operator="equal">
      <formula>MAX($X$14:$X$16)</formula>
    </cfRule>
  </conditionalFormatting>
  <conditionalFormatting sqref="J26">
    <cfRule type="cellIs" dxfId="51" priority="94" operator="equal">
      <formula>MAX($J$14:$J$16)</formula>
    </cfRule>
  </conditionalFormatting>
  <conditionalFormatting sqref="V26">
    <cfRule type="cellIs" dxfId="50" priority="95" operator="equal">
      <formula>MAX($V$14:$V$16)</formula>
    </cfRule>
  </conditionalFormatting>
  <conditionalFormatting sqref="D26">
    <cfRule type="cellIs" dxfId="49" priority="96" operator="equal">
      <formula>MAX($D$14:$D$16)</formula>
    </cfRule>
  </conditionalFormatting>
  <conditionalFormatting sqref="S26">
    <cfRule type="cellIs" dxfId="48" priority="97" operator="equal">
      <formula>MAX($S$14:$S$16)</formula>
    </cfRule>
  </conditionalFormatting>
  <conditionalFormatting sqref="N26">
    <cfRule type="cellIs" dxfId="47" priority="98" operator="equal">
      <formula>MAX($N$14:$N$16)</formula>
    </cfRule>
  </conditionalFormatting>
  <conditionalFormatting sqref="P26">
    <cfRule type="cellIs" dxfId="46" priority="99" operator="equal">
      <formula>MAX($P$14:$P$16)</formula>
    </cfRule>
  </conditionalFormatting>
  <conditionalFormatting sqref="L40">
    <cfRule type="cellIs" dxfId="45" priority="81" operator="equal">
      <formula>MAX($L$14:$L$16)</formula>
    </cfRule>
  </conditionalFormatting>
  <conditionalFormatting sqref="T40">
    <cfRule type="cellIs" dxfId="44" priority="82" operator="equal">
      <formula>MAX($T$14:$T$16)</formula>
    </cfRule>
  </conditionalFormatting>
  <conditionalFormatting sqref="X40">
    <cfRule type="cellIs" dxfId="43" priority="83" operator="equal">
      <formula>MAX($X$14:$X$16)</formula>
    </cfRule>
  </conditionalFormatting>
  <conditionalFormatting sqref="J40">
    <cfRule type="cellIs" dxfId="42" priority="84" operator="equal">
      <formula>MAX($J$14:$J$16)</formula>
    </cfRule>
  </conditionalFormatting>
  <conditionalFormatting sqref="V40">
    <cfRule type="cellIs" dxfId="41" priority="85" operator="equal">
      <formula>MAX($V$14:$V$16)</formula>
    </cfRule>
  </conditionalFormatting>
  <conditionalFormatting sqref="D40">
    <cfRule type="cellIs" dxfId="40" priority="86" operator="equal">
      <formula>MAX($D$14:$D$16)</formula>
    </cfRule>
  </conditionalFormatting>
  <conditionalFormatting sqref="S40">
    <cfRule type="cellIs" dxfId="39" priority="87" operator="equal">
      <formula>MAX($S$14:$S$16)</formula>
    </cfRule>
  </conditionalFormatting>
  <conditionalFormatting sqref="N40">
    <cfRule type="cellIs" dxfId="38" priority="88" operator="equal">
      <formula>MAX($N$14:$N$16)</formula>
    </cfRule>
  </conditionalFormatting>
  <conditionalFormatting sqref="P40">
    <cfRule type="cellIs" dxfId="37" priority="89" operator="equal">
      <formula>MAX($P$14:$P$16)</formula>
    </cfRule>
  </conditionalFormatting>
  <conditionalFormatting sqref="D20">
    <cfRule type="cellIs" dxfId="36" priority="77" operator="equal">
      <formula>MAX($D$14:$D$42)</formula>
    </cfRule>
  </conditionalFormatting>
  <conditionalFormatting sqref="L20">
    <cfRule type="cellIs" dxfId="35" priority="68" operator="equal">
      <formula>MAX($L$14:$L$42)</formula>
    </cfRule>
  </conditionalFormatting>
  <conditionalFormatting sqref="T20">
    <cfRule type="cellIs" dxfId="34" priority="69" operator="equal">
      <formula>MAX($T$14:$T$42)</formula>
    </cfRule>
  </conditionalFormatting>
  <conditionalFormatting sqref="X20">
    <cfRule type="cellIs" dxfId="33" priority="70" operator="equal">
      <formula>MAX($X$14:$X$42)</formula>
    </cfRule>
  </conditionalFormatting>
  <conditionalFormatting sqref="J20">
    <cfRule type="cellIs" dxfId="32" priority="71" operator="equal">
      <formula>MAX($J$14:$J$42)</formula>
    </cfRule>
  </conditionalFormatting>
  <conditionalFormatting sqref="V20">
    <cfRule type="cellIs" dxfId="31" priority="72" operator="equal">
      <formula>MAX($V$14:$V$42)</formula>
    </cfRule>
  </conditionalFormatting>
  <conditionalFormatting sqref="S20">
    <cfRule type="cellIs" dxfId="30" priority="73" operator="equal">
      <formula>MAX($S$14:$S$42)</formula>
    </cfRule>
  </conditionalFormatting>
  <conditionalFormatting sqref="N20">
    <cfRule type="cellIs" dxfId="29" priority="74" operator="equal">
      <formula>MAX($N$14:$N$42)</formula>
    </cfRule>
  </conditionalFormatting>
  <conditionalFormatting sqref="P20">
    <cfRule type="cellIs" dxfId="28" priority="75" operator="equal">
      <formula>MAX($P$14:$P$42)</formula>
    </cfRule>
  </conditionalFormatting>
  <conditionalFormatting sqref="E49:E65">
    <cfRule type="top10" dxfId="27" priority="67" rank="2"/>
  </conditionalFormatting>
  <conditionalFormatting sqref="F49:F79">
    <cfRule type="top10" dxfId="26" priority="66" rank="2"/>
  </conditionalFormatting>
  <conditionalFormatting sqref="G49:G65">
    <cfRule type="top10" dxfId="25" priority="65" rank="2"/>
  </conditionalFormatting>
  <conditionalFormatting sqref="H49:H65">
    <cfRule type="top10" dxfId="24" priority="64" rank="2"/>
  </conditionalFormatting>
  <conditionalFormatting sqref="I49:I65">
    <cfRule type="top10" dxfId="23" priority="63" rank="2"/>
  </conditionalFormatting>
  <conditionalFormatting sqref="V24">
    <cfRule type="cellIs" dxfId="22" priority="33" operator="equal">
      <formula>MAX($J$14:$J$16)</formula>
    </cfRule>
  </conditionalFormatting>
  <conditionalFormatting sqref="V25">
    <cfRule type="cellIs" dxfId="21" priority="32" operator="equal">
      <formula>MAX($J$14:$J$16)</formula>
    </cfRule>
  </conditionalFormatting>
  <conditionalFormatting sqref="D42">
    <cfRule type="cellIs" dxfId="20" priority="31" operator="equal">
      <formula>MAX($J$14:$J$16)</formula>
    </cfRule>
  </conditionalFormatting>
  <conditionalFormatting sqref="G14:G45">
    <cfRule type="cellIs" dxfId="19" priority="21" operator="equal">
      <formula>MAX($G$14:$G$16)</formula>
    </cfRule>
  </conditionalFormatting>
  <conditionalFormatting sqref="D38">
    <cfRule type="cellIs" dxfId="18" priority="20" operator="equal">
      <formula>MAX($J$14:$J$16)</formula>
    </cfRule>
  </conditionalFormatting>
  <conditionalFormatting sqref="L44">
    <cfRule type="cellIs" dxfId="17" priority="11" operator="equal">
      <formula>MAX($L$14:$L$16)</formula>
    </cfRule>
  </conditionalFormatting>
  <conditionalFormatting sqref="T44">
    <cfRule type="cellIs" dxfId="16" priority="12" operator="equal">
      <formula>MAX($T$14:$T$16)</formula>
    </cfRule>
  </conditionalFormatting>
  <conditionalFormatting sqref="X44">
    <cfRule type="cellIs" dxfId="15" priority="13" operator="equal">
      <formula>MAX($X$14:$X$16)</formula>
    </cfRule>
  </conditionalFormatting>
  <conditionalFormatting sqref="J44">
    <cfRule type="cellIs" dxfId="14" priority="14" operator="equal">
      <formula>MAX($J$14:$J$16)</formula>
    </cfRule>
  </conditionalFormatting>
  <conditionalFormatting sqref="V44">
    <cfRule type="cellIs" dxfId="13" priority="15" operator="equal">
      <formula>MAX($V$14:$V$16)</formula>
    </cfRule>
  </conditionalFormatting>
  <conditionalFormatting sqref="D44">
    <cfRule type="cellIs" dxfId="12" priority="16" operator="equal">
      <formula>MAX($D$14:$D$16)</formula>
    </cfRule>
  </conditionalFormatting>
  <conditionalFormatting sqref="S44">
    <cfRule type="cellIs" dxfId="11" priority="17" operator="equal">
      <formula>MAX($S$14:$S$16)</formula>
    </cfRule>
  </conditionalFormatting>
  <conditionalFormatting sqref="N44">
    <cfRule type="cellIs" dxfId="10" priority="18" operator="equal">
      <formula>MAX($N$14:$N$16)</formula>
    </cfRule>
  </conditionalFormatting>
  <conditionalFormatting sqref="P44">
    <cfRule type="cellIs" dxfId="9" priority="19" operator="equal">
      <formula>MAX($P$14:$P$16)</formula>
    </cfRule>
  </conditionalFormatting>
  <conditionalFormatting sqref="D14">
    <cfRule type="cellIs" dxfId="8" priority="9" operator="equal">
      <formula>MAX($D$14:$D$16)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BA81A3-87C1-4CFC-B66F-BB64F3FFDA89}"/>
</file>

<file path=customXml/itemProps2.xml><?xml version="1.0" encoding="utf-8"?>
<ds:datastoreItem xmlns:ds="http://schemas.openxmlformats.org/officeDocument/2006/customXml" ds:itemID="{C4850081-1423-4700-AF91-2ACF3920253C}"/>
</file>

<file path=customXml/itemProps3.xml><?xml version="1.0" encoding="utf-8"?>
<ds:datastoreItem xmlns:ds="http://schemas.openxmlformats.org/officeDocument/2006/customXml" ds:itemID="{614581A9-18CC-4CBA-A20B-54C866F9F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Freddy Juarez Espinoza</cp:lastModifiedBy>
  <dcterms:created xsi:type="dcterms:W3CDTF">2022-10-03T10:52:32Z</dcterms:created>
  <dcterms:modified xsi:type="dcterms:W3CDTF">2025-07-01T11:46:22Z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6893500</vt:r8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