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30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5/Febrero/28-02-2025/"/>
    </mc:Choice>
  </mc:AlternateContent>
  <xr:revisionPtr revIDLastSave="8" documentId="13_ncr:1_{31C800A3-DC0C-4835-B2F8-23C381D7C09A}" xr6:coauthVersionLast="47" xr6:coauthVersionMax="47" xr10:uidLastSave="{9740DFEB-0DFB-7F46-A54E-8D7E0E7C03A1}"/>
  <bookViews>
    <workbookView xWindow="-120" yWindow="-120" windowWidth="29040" windowHeight="15720" activeTab="1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2" l="1"/>
  <c r="H46" i="2"/>
  <c r="G27" i="2"/>
  <c r="G45" i="2"/>
  <c r="G46" i="2"/>
  <c r="H45" i="2"/>
  <c r="BB33" i="1"/>
  <c r="H33" i="1"/>
  <c r="H30" i="1"/>
  <c r="H31" i="1"/>
  <c r="H32" i="1"/>
  <c r="H34" i="1"/>
  <c r="H35" i="1"/>
  <c r="H36" i="1"/>
  <c r="H37" i="1"/>
  <c r="BC30" i="1"/>
  <c r="BB32" i="1"/>
  <c r="H28" i="1"/>
  <c r="BI25" i="1"/>
  <c r="BA20" i="1"/>
  <c r="BA6" i="1"/>
  <c r="AW6" i="1"/>
  <c r="BA7" i="1"/>
  <c r="BA8" i="1"/>
  <c r="BA9" i="1"/>
  <c r="BA10" i="1"/>
  <c r="BA11" i="1"/>
  <c r="BA12" i="1"/>
  <c r="BA13" i="1"/>
  <c r="BA14" i="1"/>
  <c r="BA15" i="1"/>
  <c r="AY15" i="1"/>
  <c r="BA16" i="1"/>
  <c r="BA17" i="1"/>
  <c r="BA18" i="1"/>
  <c r="BA19" i="1"/>
  <c r="AF15" i="1"/>
  <c r="AY35" i="1"/>
  <c r="AY36" i="1"/>
  <c r="AY37" i="1"/>
  <c r="R14" i="2"/>
  <c r="G14" i="2"/>
  <c r="H7" i="1"/>
  <c r="H8" i="1"/>
  <c r="BL6" i="1"/>
  <c r="BK6" i="1"/>
  <c r="AY6" i="1"/>
  <c r="K6" i="1"/>
  <c r="O6" i="1"/>
  <c r="AX6" i="1"/>
  <c r="AP6" i="1"/>
  <c r="AN6" i="1"/>
  <c r="AM6" i="1"/>
  <c r="AF6" i="1"/>
  <c r="AD6" i="1"/>
  <c r="AC6" i="1"/>
  <c r="H6" i="1"/>
  <c r="F6" i="1"/>
  <c r="E6" i="1"/>
  <c r="D6" i="1"/>
  <c r="G6" i="1"/>
  <c r="F50" i="2"/>
  <c r="I50" i="2"/>
  <c r="J51" i="2"/>
  <c r="I51" i="2"/>
  <c r="J52" i="2"/>
  <c r="F52" i="2"/>
  <c r="J53" i="2"/>
  <c r="G53" i="2"/>
  <c r="J54" i="2"/>
  <c r="H54" i="2"/>
  <c r="J55" i="2"/>
  <c r="G55" i="2"/>
  <c r="J56" i="2"/>
  <c r="I56" i="2"/>
  <c r="J57" i="2"/>
  <c r="I57" i="2"/>
  <c r="J58" i="2"/>
  <c r="F58" i="2"/>
  <c r="J59" i="2"/>
  <c r="I59" i="2"/>
  <c r="J60" i="2"/>
  <c r="F60" i="2"/>
  <c r="J61" i="2"/>
  <c r="G61" i="2"/>
  <c r="J62" i="2"/>
  <c r="H62" i="2"/>
  <c r="J63" i="2"/>
  <c r="E63" i="2"/>
  <c r="J64" i="2"/>
  <c r="I64" i="2"/>
  <c r="J65" i="2"/>
  <c r="I65" i="2"/>
  <c r="J66" i="2"/>
  <c r="F66" i="2"/>
  <c r="J67" i="2"/>
  <c r="H67" i="2"/>
  <c r="J68" i="2"/>
  <c r="G68" i="2"/>
  <c r="J69" i="2"/>
  <c r="E69" i="2"/>
  <c r="J70" i="2"/>
  <c r="G70" i="2"/>
  <c r="J71" i="2"/>
  <c r="G71" i="2"/>
  <c r="J72" i="2"/>
  <c r="F72" i="2"/>
  <c r="J73" i="2"/>
  <c r="E73" i="2"/>
  <c r="J74" i="2"/>
  <c r="I74" i="2"/>
  <c r="J75" i="2"/>
  <c r="H75" i="2"/>
  <c r="J76" i="2"/>
  <c r="E76" i="2"/>
  <c r="J77" i="2"/>
  <c r="F77" i="2"/>
  <c r="J78" i="2"/>
  <c r="F78" i="2"/>
  <c r="J79" i="2"/>
  <c r="F79" i="2"/>
  <c r="J80" i="2"/>
  <c r="E80" i="2"/>
  <c r="J50" i="2"/>
  <c r="H50" i="2"/>
  <c r="E50" i="2"/>
  <c r="BL15" i="1"/>
  <c r="BK15" i="1"/>
  <c r="AX15" i="1"/>
  <c r="AP15" i="1"/>
  <c r="AM15" i="1"/>
  <c r="AN15" i="1"/>
  <c r="AC15" i="1"/>
  <c r="AD15" i="1"/>
  <c r="H61" i="2"/>
  <c r="H65" i="2"/>
  <c r="I55" i="2"/>
  <c r="I54" i="2"/>
  <c r="H53" i="2"/>
  <c r="I63" i="2"/>
  <c r="F61" i="2"/>
  <c r="I62" i="2"/>
  <c r="F57" i="2"/>
  <c r="F65" i="2"/>
  <c r="I61" i="2"/>
  <c r="F53" i="2"/>
  <c r="H57" i="2"/>
  <c r="I53" i="2"/>
  <c r="E52" i="2"/>
  <c r="G52" i="2"/>
  <c r="E59" i="2"/>
  <c r="E51" i="2"/>
  <c r="G59" i="2"/>
  <c r="G51" i="2"/>
  <c r="H60" i="2"/>
  <c r="H52" i="2"/>
  <c r="F64" i="2"/>
  <c r="F56" i="2"/>
  <c r="E66" i="2"/>
  <c r="E58" i="2"/>
  <c r="G66" i="2"/>
  <c r="G58" i="2"/>
  <c r="H76" i="2"/>
  <c r="H59" i="2"/>
  <c r="H51" i="2"/>
  <c r="F63" i="2"/>
  <c r="F55" i="2"/>
  <c r="E65" i="2"/>
  <c r="E57" i="2"/>
  <c r="G65" i="2"/>
  <c r="G57" i="2"/>
  <c r="H66" i="2"/>
  <c r="H58" i="2"/>
  <c r="I60" i="2"/>
  <c r="I52" i="2"/>
  <c r="F62" i="2"/>
  <c r="F54" i="2"/>
  <c r="E60" i="2"/>
  <c r="E56" i="2"/>
  <c r="G56" i="2"/>
  <c r="G63" i="2"/>
  <c r="H56" i="2"/>
  <c r="E62" i="2"/>
  <c r="E54" i="2"/>
  <c r="G62" i="2"/>
  <c r="G54" i="2"/>
  <c r="H63" i="2"/>
  <c r="H55" i="2"/>
  <c r="F76" i="2"/>
  <c r="F59" i="2"/>
  <c r="F51" i="2"/>
  <c r="G60" i="2"/>
  <c r="E64" i="2"/>
  <c r="G64" i="2"/>
  <c r="I76" i="2"/>
  <c r="E55" i="2"/>
  <c r="H64" i="2"/>
  <c r="I66" i="2"/>
  <c r="I58" i="2"/>
  <c r="E61" i="2"/>
  <c r="E53" i="2"/>
  <c r="G50" i="2"/>
  <c r="AW15" i="1"/>
  <c r="J6" i="1"/>
  <c r="N6" i="1"/>
  <c r="L6" i="1"/>
  <c r="P6" i="1"/>
  <c r="BJ6" i="1"/>
  <c r="I6" i="1"/>
  <c r="M6" i="1"/>
  <c r="G80" i="2"/>
  <c r="F80" i="2"/>
  <c r="H80" i="2"/>
  <c r="I80" i="2"/>
  <c r="E79" i="2"/>
  <c r="I79" i="2"/>
  <c r="G79" i="2"/>
  <c r="H79" i="2"/>
  <c r="E78" i="2"/>
  <c r="G78" i="2"/>
  <c r="H78" i="2"/>
  <c r="I78" i="2"/>
  <c r="I72" i="2"/>
  <c r="H72" i="2"/>
  <c r="E72" i="2"/>
  <c r="G72" i="2"/>
  <c r="H71" i="2"/>
  <c r="G77" i="2"/>
  <c r="H77" i="2"/>
  <c r="I77" i="2"/>
  <c r="E77" i="2"/>
  <c r="G76" i="2"/>
  <c r="F75" i="2"/>
  <c r="I75" i="2"/>
  <c r="E75" i="2"/>
  <c r="G75" i="2"/>
  <c r="F74" i="2"/>
  <c r="E74" i="2"/>
  <c r="G74" i="2"/>
  <c r="H74" i="2"/>
  <c r="G73" i="2"/>
  <c r="H73" i="2"/>
  <c r="I73" i="2"/>
  <c r="F73" i="2"/>
  <c r="I71" i="2"/>
  <c r="E71" i="2"/>
  <c r="F71" i="2"/>
  <c r="E70" i="2"/>
  <c r="H70" i="2"/>
  <c r="F70" i="2"/>
  <c r="I70" i="2"/>
  <c r="F69" i="2"/>
  <c r="G69" i="2"/>
  <c r="H69" i="2"/>
  <c r="I69" i="2"/>
  <c r="F68" i="2"/>
  <c r="H68" i="2"/>
  <c r="I68" i="2"/>
  <c r="E68" i="2"/>
  <c r="G67" i="2"/>
  <c r="F67" i="2"/>
  <c r="I67" i="2"/>
  <c r="E67" i="2"/>
  <c r="BJ15" i="1"/>
  <c r="R20" i="2"/>
  <c r="G20" i="2"/>
  <c r="AY13" i="1"/>
  <c r="AP13" i="1"/>
  <c r="AF13" i="1"/>
  <c r="AY12" i="1"/>
  <c r="AY11" i="1"/>
  <c r="AP12" i="1"/>
  <c r="AP11" i="1"/>
  <c r="AF12" i="1"/>
  <c r="AF11" i="1"/>
  <c r="S41" i="1"/>
  <c r="R40" i="1"/>
  <c r="G44" i="2"/>
  <c r="R44" i="2"/>
  <c r="G43" i="2"/>
  <c r="R43" i="2"/>
  <c r="R41" i="2"/>
  <c r="R42" i="2"/>
  <c r="G42" i="2"/>
  <c r="G41" i="2"/>
  <c r="R40" i="2"/>
  <c r="G40" i="2"/>
  <c r="BL33" i="1"/>
  <c r="BJ33" i="1"/>
  <c r="BA33" i="1"/>
  <c r="AX33" i="1"/>
  <c r="AP33" i="1"/>
  <c r="AM33" i="1"/>
  <c r="AN33" i="1"/>
  <c r="AF33" i="1"/>
  <c r="AC33" i="1"/>
  <c r="AD33" i="1"/>
  <c r="G39" i="2"/>
  <c r="R39" i="2"/>
  <c r="AD31" i="1"/>
  <c r="G38" i="2"/>
  <c r="R38" i="2"/>
  <c r="R37" i="2"/>
  <c r="G37" i="2"/>
  <c r="R36" i="2"/>
  <c r="G36" i="2"/>
  <c r="R35" i="2"/>
  <c r="G35" i="2"/>
  <c r="G34" i="2"/>
  <c r="R34" i="2"/>
  <c r="R33" i="2"/>
  <c r="G33" i="2"/>
  <c r="R32" i="2"/>
  <c r="G32" i="2"/>
  <c r="G31" i="2"/>
  <c r="R31" i="2"/>
  <c r="G30" i="2"/>
  <c r="R30" i="2"/>
  <c r="AW33" i="1"/>
  <c r="AY33" i="1"/>
  <c r="BK33" i="1"/>
  <c r="R29" i="2"/>
  <c r="R25" i="2"/>
  <c r="G25" i="2"/>
  <c r="G29" i="2"/>
  <c r="R28" i="2"/>
  <c r="G28" i="2"/>
  <c r="R27" i="2"/>
  <c r="R26" i="2"/>
  <c r="G26" i="2"/>
  <c r="G24" i="2"/>
  <c r="R24" i="2"/>
  <c r="BL19" i="1"/>
  <c r="BJ19" i="1"/>
  <c r="AY19" i="1"/>
  <c r="AX19" i="1"/>
  <c r="AP19" i="1"/>
  <c r="AM19" i="1"/>
  <c r="AN19" i="1"/>
  <c r="AF19" i="1"/>
  <c r="AC19" i="1"/>
  <c r="R23" i="2"/>
  <c r="G23" i="2"/>
  <c r="G22" i="2"/>
  <c r="R22" i="2"/>
  <c r="G21" i="2"/>
  <c r="R21" i="2"/>
  <c r="R19" i="2"/>
  <c r="G19" i="2"/>
  <c r="R18" i="2"/>
  <c r="G18" i="2"/>
  <c r="BI7" i="1"/>
  <c r="AV7" i="1"/>
  <c r="AL7" i="1"/>
  <c r="AB7" i="1"/>
  <c r="Q7" i="1"/>
  <c r="D24" i="1"/>
  <c r="H24" i="1"/>
  <c r="AD24" i="1"/>
  <c r="AF24" i="1"/>
  <c r="AC24" i="1"/>
  <c r="AN24" i="1"/>
  <c r="AP24" i="1"/>
  <c r="AM24" i="1"/>
  <c r="AX24" i="1"/>
  <c r="BA24" i="1"/>
  <c r="BL24" i="1"/>
  <c r="BJ24" i="1"/>
  <c r="D25" i="1"/>
  <c r="H25" i="1"/>
  <c r="AD25" i="1"/>
  <c r="AF25" i="1"/>
  <c r="AC25" i="1"/>
  <c r="AN25" i="1"/>
  <c r="AP25" i="1"/>
  <c r="AM25" i="1"/>
  <c r="AX25" i="1"/>
  <c r="BA25" i="1"/>
  <c r="BL25" i="1"/>
  <c r="BK25" i="1"/>
  <c r="D26" i="1"/>
  <c r="H26" i="1"/>
  <c r="AD26" i="1"/>
  <c r="AF26" i="1"/>
  <c r="AC26" i="1"/>
  <c r="AN26" i="1"/>
  <c r="AP26" i="1"/>
  <c r="AX26" i="1"/>
  <c r="BA26" i="1"/>
  <c r="BL26" i="1"/>
  <c r="BJ26" i="1"/>
  <c r="D27" i="1"/>
  <c r="H27" i="1"/>
  <c r="AD27" i="1"/>
  <c r="AF27" i="1"/>
  <c r="AC27" i="1"/>
  <c r="AN27" i="1"/>
  <c r="AP27" i="1"/>
  <c r="AX27" i="1"/>
  <c r="BA27" i="1"/>
  <c r="BL27" i="1"/>
  <c r="BK27" i="1"/>
  <c r="D28" i="1"/>
  <c r="AD28" i="1"/>
  <c r="AF28" i="1"/>
  <c r="AC28" i="1"/>
  <c r="AN28" i="1"/>
  <c r="AP28" i="1"/>
  <c r="AX28" i="1"/>
  <c r="BA28" i="1"/>
  <c r="AY28" i="1"/>
  <c r="BL28" i="1"/>
  <c r="BJ28" i="1"/>
  <c r="D29" i="1"/>
  <c r="H29" i="1"/>
  <c r="AD29" i="1"/>
  <c r="AF29" i="1"/>
  <c r="AC29" i="1"/>
  <c r="AN29" i="1"/>
  <c r="AP29" i="1"/>
  <c r="AX29" i="1"/>
  <c r="BA29" i="1"/>
  <c r="BL29" i="1"/>
  <c r="BK29" i="1"/>
  <c r="D30" i="1"/>
  <c r="F30" i="1"/>
  <c r="AD30" i="1"/>
  <c r="AF30" i="1"/>
  <c r="AC30" i="1"/>
  <c r="AN30" i="1"/>
  <c r="AP30" i="1"/>
  <c r="AX30" i="1"/>
  <c r="BA30" i="1"/>
  <c r="BL30" i="1"/>
  <c r="BJ30" i="1"/>
  <c r="D31" i="1"/>
  <c r="AF31" i="1"/>
  <c r="AC31" i="1"/>
  <c r="AN31" i="1"/>
  <c r="AP31" i="1"/>
  <c r="AX31" i="1"/>
  <c r="BA31" i="1"/>
  <c r="BL31" i="1"/>
  <c r="BK31" i="1"/>
  <c r="D32" i="1"/>
  <c r="AD32" i="1"/>
  <c r="AF32" i="1"/>
  <c r="AC32" i="1"/>
  <c r="AN32" i="1"/>
  <c r="AP32" i="1"/>
  <c r="AX32" i="1"/>
  <c r="BA32" i="1"/>
  <c r="BL32" i="1"/>
  <c r="BJ32" i="1"/>
  <c r="D33" i="1"/>
  <c r="D34" i="1"/>
  <c r="AD34" i="1"/>
  <c r="AF34" i="1"/>
  <c r="AC34" i="1"/>
  <c r="AN34" i="1"/>
  <c r="AP34" i="1"/>
  <c r="AX34" i="1"/>
  <c r="BA34" i="1"/>
  <c r="BL34" i="1"/>
  <c r="BK34" i="1"/>
  <c r="D35" i="1"/>
  <c r="AD35" i="1"/>
  <c r="AF35" i="1"/>
  <c r="AC35" i="1"/>
  <c r="AN35" i="1"/>
  <c r="AP35" i="1"/>
  <c r="AX35" i="1"/>
  <c r="BA35" i="1"/>
  <c r="AW35" i="1"/>
  <c r="BL35" i="1"/>
  <c r="BK35" i="1"/>
  <c r="D36" i="1"/>
  <c r="AD36" i="1"/>
  <c r="AF36" i="1"/>
  <c r="AC36" i="1"/>
  <c r="AN36" i="1"/>
  <c r="AP36" i="1"/>
  <c r="AX36" i="1"/>
  <c r="BA36" i="1"/>
  <c r="AW36" i="1"/>
  <c r="BL36" i="1"/>
  <c r="BJ36" i="1"/>
  <c r="D37" i="1"/>
  <c r="AD37" i="1"/>
  <c r="AF37" i="1"/>
  <c r="AC37" i="1"/>
  <c r="AN37" i="1"/>
  <c r="AP37" i="1"/>
  <c r="AX37" i="1"/>
  <c r="BA37" i="1"/>
  <c r="BL37" i="1"/>
  <c r="BK37" i="1"/>
  <c r="D11" i="1"/>
  <c r="H11" i="1"/>
  <c r="AD11" i="1"/>
  <c r="AC11" i="1"/>
  <c r="AN11" i="1"/>
  <c r="AM11" i="1"/>
  <c r="AX11" i="1"/>
  <c r="AW11" i="1"/>
  <c r="BL11" i="1"/>
  <c r="D12" i="1"/>
  <c r="H12" i="1"/>
  <c r="AD12" i="1"/>
  <c r="AC12" i="1"/>
  <c r="AN12" i="1"/>
  <c r="AM12" i="1"/>
  <c r="AX12" i="1"/>
  <c r="AW12" i="1"/>
  <c r="BL12" i="1"/>
  <c r="BK12" i="1"/>
  <c r="D13" i="1"/>
  <c r="H13" i="1"/>
  <c r="AD13" i="1"/>
  <c r="AC13" i="1"/>
  <c r="AN13" i="1"/>
  <c r="AM13" i="1"/>
  <c r="AX13" i="1"/>
  <c r="AW13" i="1"/>
  <c r="BL13" i="1"/>
  <c r="BK13" i="1"/>
  <c r="D14" i="1"/>
  <c r="H14" i="1"/>
  <c r="AD14" i="1"/>
  <c r="AF14" i="1"/>
  <c r="AC14" i="1"/>
  <c r="AN14" i="1"/>
  <c r="AP14" i="1"/>
  <c r="AM14" i="1"/>
  <c r="AX14" i="1"/>
  <c r="BL14" i="1"/>
  <c r="BK14" i="1"/>
  <c r="D15" i="1"/>
  <c r="H15" i="1"/>
  <c r="D16" i="1"/>
  <c r="H16" i="1"/>
  <c r="AD16" i="1"/>
  <c r="AF16" i="1"/>
  <c r="AC16" i="1"/>
  <c r="AN16" i="1"/>
  <c r="AP16" i="1"/>
  <c r="AM16" i="1"/>
  <c r="AX16" i="1"/>
  <c r="BL16" i="1"/>
  <c r="BK16" i="1"/>
  <c r="D17" i="1"/>
  <c r="H17" i="1"/>
  <c r="AD17" i="1"/>
  <c r="AF17" i="1"/>
  <c r="AC17" i="1"/>
  <c r="AN17" i="1"/>
  <c r="AP17" i="1"/>
  <c r="AM17" i="1"/>
  <c r="AX17" i="1"/>
  <c r="BL17" i="1"/>
  <c r="D18" i="1"/>
  <c r="H18" i="1"/>
  <c r="AD18" i="1"/>
  <c r="AF18" i="1"/>
  <c r="AC18" i="1"/>
  <c r="AN18" i="1"/>
  <c r="AP18" i="1"/>
  <c r="AM18" i="1"/>
  <c r="AX18" i="1"/>
  <c r="BL18" i="1"/>
  <c r="BK18" i="1"/>
  <c r="D19" i="1"/>
  <c r="H19" i="1"/>
  <c r="AD19" i="1"/>
  <c r="D20" i="1"/>
  <c r="H20" i="1"/>
  <c r="AD20" i="1"/>
  <c r="AF20" i="1"/>
  <c r="AC20" i="1"/>
  <c r="AN20" i="1"/>
  <c r="AP20" i="1"/>
  <c r="AM20" i="1"/>
  <c r="AX20" i="1"/>
  <c r="BL20" i="1"/>
  <c r="D21" i="1"/>
  <c r="H21" i="1"/>
  <c r="AD21" i="1"/>
  <c r="AF21" i="1"/>
  <c r="AC21" i="1"/>
  <c r="AN21" i="1"/>
  <c r="AP21" i="1"/>
  <c r="AM21" i="1"/>
  <c r="AX21" i="1"/>
  <c r="BA21" i="1"/>
  <c r="BL21" i="1"/>
  <c r="D22" i="1"/>
  <c r="H22" i="1"/>
  <c r="AD22" i="1"/>
  <c r="AF22" i="1"/>
  <c r="AC22" i="1"/>
  <c r="AN22" i="1"/>
  <c r="AP22" i="1"/>
  <c r="AM22" i="1"/>
  <c r="AX22" i="1"/>
  <c r="BA22" i="1"/>
  <c r="BL22" i="1"/>
  <c r="D23" i="1"/>
  <c r="H23" i="1"/>
  <c r="AD23" i="1"/>
  <c r="AF23" i="1"/>
  <c r="AC23" i="1"/>
  <c r="AN23" i="1"/>
  <c r="AP23" i="1"/>
  <c r="AM23" i="1"/>
  <c r="AX23" i="1"/>
  <c r="BA23" i="1"/>
  <c r="BL23" i="1"/>
  <c r="BK23" i="1"/>
  <c r="H9" i="1"/>
  <c r="H10" i="1"/>
  <c r="D7" i="1"/>
  <c r="D8" i="1"/>
  <c r="D9" i="1"/>
  <c r="D10" i="1"/>
  <c r="R15" i="2"/>
  <c r="R16" i="2"/>
  <c r="R17" i="2"/>
  <c r="G15" i="2"/>
  <c r="G16" i="2"/>
  <c r="G17" i="2"/>
  <c r="AF7" i="1"/>
  <c r="AF8" i="1"/>
  <c r="AC8" i="1"/>
  <c r="AF9" i="1"/>
  <c r="AC9" i="1"/>
  <c r="AF10" i="1"/>
  <c r="AC10" i="1"/>
  <c r="AD7" i="1"/>
  <c r="AD8" i="1"/>
  <c r="AD9" i="1"/>
  <c r="AD10" i="1"/>
  <c r="AN7" i="1"/>
  <c r="AN8" i="1"/>
  <c r="AN9" i="1"/>
  <c r="AN10" i="1"/>
  <c r="BL7" i="1"/>
  <c r="BK7" i="1"/>
  <c r="BL8" i="1"/>
  <c r="BK8" i="1"/>
  <c r="BL9" i="1"/>
  <c r="BK9" i="1"/>
  <c r="BL10" i="1"/>
  <c r="BK10" i="1"/>
  <c r="AY7" i="1"/>
  <c r="AY8" i="1"/>
  <c r="AX7" i="1"/>
  <c r="AX8" i="1"/>
  <c r="AX9" i="1"/>
  <c r="AX10" i="1"/>
  <c r="AP7" i="1"/>
  <c r="AM7" i="1"/>
  <c r="AP8" i="1"/>
  <c r="AM8" i="1"/>
  <c r="AP9" i="1"/>
  <c r="AM9" i="1"/>
  <c r="AP10" i="1"/>
  <c r="AM10" i="1"/>
  <c r="AW34" i="1"/>
  <c r="AY34" i="1"/>
  <c r="AW32" i="1"/>
  <c r="AY32" i="1"/>
  <c r="AW31" i="1"/>
  <c r="AY31" i="1"/>
  <c r="K31" i="1"/>
  <c r="O31" i="1"/>
  <c r="AW30" i="1"/>
  <c r="AY30" i="1"/>
  <c r="L30" i="1"/>
  <c r="P30" i="1"/>
  <c r="AW29" i="1"/>
  <c r="AY29" i="1"/>
  <c r="AW27" i="1"/>
  <c r="AY27" i="1"/>
  <c r="AW26" i="1"/>
  <c r="AY26" i="1"/>
  <c r="I26" i="1"/>
  <c r="M26" i="1"/>
  <c r="AW25" i="1"/>
  <c r="AY25" i="1"/>
  <c r="K25" i="1"/>
  <c r="O25" i="1"/>
  <c r="AW24" i="1"/>
  <c r="AY24" i="1"/>
  <c r="K24" i="1"/>
  <c r="O24" i="1"/>
  <c r="AW23" i="1"/>
  <c r="AY23" i="1"/>
  <c r="AW22" i="1"/>
  <c r="AY22" i="1"/>
  <c r="AW21" i="1"/>
  <c r="AY21" i="1"/>
  <c r="AW20" i="1"/>
  <c r="AY20" i="1"/>
  <c r="K20" i="1"/>
  <c r="O20" i="1"/>
  <c r="AW18" i="1"/>
  <c r="AY18" i="1"/>
  <c r="I18" i="1"/>
  <c r="M18" i="1"/>
  <c r="AW17" i="1"/>
  <c r="AY17" i="1"/>
  <c r="I17" i="1"/>
  <c r="M17" i="1"/>
  <c r="AW16" i="1"/>
  <c r="AY16" i="1"/>
  <c r="I16" i="1"/>
  <c r="M16" i="1"/>
  <c r="AW14" i="1"/>
  <c r="AY14" i="1"/>
  <c r="I14" i="1"/>
  <c r="M14" i="1"/>
  <c r="AW10" i="1"/>
  <c r="AY10" i="1"/>
  <c r="J10" i="1"/>
  <c r="N10" i="1"/>
  <c r="AW9" i="1"/>
  <c r="AY9" i="1"/>
  <c r="I9" i="1"/>
  <c r="M9" i="1"/>
  <c r="AW28" i="1"/>
  <c r="L28" i="1"/>
  <c r="P28" i="1"/>
  <c r="F13" i="1"/>
  <c r="E13" i="1"/>
  <c r="BK32" i="1"/>
  <c r="G24" i="1"/>
  <c r="I19" i="1"/>
  <c r="M19" i="1"/>
  <c r="G15" i="1"/>
  <c r="BJ25" i="1"/>
  <c r="BK19" i="1"/>
  <c r="F16" i="1"/>
  <c r="E16" i="1"/>
  <c r="AW37" i="1"/>
  <c r="J37" i="1"/>
  <c r="N37" i="1"/>
  <c r="BJ37" i="1"/>
  <c r="F37" i="1"/>
  <c r="E37" i="1"/>
  <c r="F36" i="1"/>
  <c r="E36" i="1"/>
  <c r="BK36" i="1"/>
  <c r="BJ35" i="1"/>
  <c r="BJ34" i="1"/>
  <c r="F35" i="1"/>
  <c r="E35" i="1"/>
  <c r="F34" i="1"/>
  <c r="E34" i="1"/>
  <c r="F33" i="1"/>
  <c r="E33" i="1"/>
  <c r="F32" i="1"/>
  <c r="E32" i="1"/>
  <c r="BJ31" i="1"/>
  <c r="F31" i="1"/>
  <c r="E31" i="1"/>
  <c r="BK30" i="1"/>
  <c r="E30" i="1"/>
  <c r="BJ29" i="1"/>
  <c r="F29" i="1"/>
  <c r="E29" i="1"/>
  <c r="BJ27" i="1"/>
  <c r="AW19" i="1"/>
  <c r="G18" i="1"/>
  <c r="F18" i="1"/>
  <c r="E18" i="1"/>
  <c r="G19" i="1"/>
  <c r="F17" i="1"/>
  <c r="E17" i="1"/>
  <c r="F19" i="1"/>
  <c r="E19" i="1"/>
  <c r="G17" i="1"/>
  <c r="G16" i="1"/>
  <c r="F15" i="1"/>
  <c r="E15" i="1"/>
  <c r="G14" i="1"/>
  <c r="F14" i="1"/>
  <c r="E14" i="1"/>
  <c r="G13" i="1"/>
  <c r="K12" i="1"/>
  <c r="O12" i="1"/>
  <c r="L12" i="1"/>
  <c r="P12" i="1"/>
  <c r="F12" i="1"/>
  <c r="E12" i="1"/>
  <c r="G12" i="1"/>
  <c r="I11" i="1"/>
  <c r="M11" i="1"/>
  <c r="F11" i="1"/>
  <c r="E11" i="1"/>
  <c r="F10" i="1"/>
  <c r="E10" i="1"/>
  <c r="F9" i="1"/>
  <c r="E9" i="1"/>
  <c r="G8" i="1"/>
  <c r="I23" i="1"/>
  <c r="M23" i="1"/>
  <c r="I22" i="1"/>
  <c r="M22" i="1"/>
  <c r="I21" i="1"/>
  <c r="M21" i="1"/>
  <c r="I15" i="1"/>
  <c r="M15" i="1"/>
  <c r="I13" i="1"/>
  <c r="M13" i="1"/>
  <c r="G37" i="1"/>
  <c r="L36" i="1"/>
  <c r="P36" i="1"/>
  <c r="G35" i="1"/>
  <c r="I34" i="1"/>
  <c r="M34" i="1"/>
  <c r="K33" i="1"/>
  <c r="O33" i="1"/>
  <c r="G33" i="1"/>
  <c r="K32" i="1"/>
  <c r="O32" i="1"/>
  <c r="G31" i="1"/>
  <c r="G29" i="1"/>
  <c r="F27" i="1"/>
  <c r="E27" i="1"/>
  <c r="F25" i="1"/>
  <c r="E25" i="1"/>
  <c r="F8" i="1"/>
  <c r="E8" i="1"/>
  <c r="F23" i="1"/>
  <c r="E23" i="1"/>
  <c r="F22" i="1"/>
  <c r="E22" i="1"/>
  <c r="F21" i="1"/>
  <c r="E21" i="1"/>
  <c r="F20" i="1"/>
  <c r="E20" i="1"/>
  <c r="AW8" i="1"/>
  <c r="G11" i="1"/>
  <c r="G36" i="1"/>
  <c r="L35" i="1"/>
  <c r="P35" i="1"/>
  <c r="G34" i="1"/>
  <c r="G32" i="1"/>
  <c r="G30" i="1"/>
  <c r="J29" i="1"/>
  <c r="N29" i="1"/>
  <c r="BK28" i="1"/>
  <c r="F28" i="1"/>
  <c r="E28" i="1"/>
  <c r="J27" i="1"/>
  <c r="N27" i="1"/>
  <c r="BK26" i="1"/>
  <c r="F26" i="1"/>
  <c r="E26" i="1"/>
  <c r="BK24" i="1"/>
  <c r="BK22" i="1"/>
  <c r="L19" i="1"/>
  <c r="P19" i="1"/>
  <c r="BK17" i="1"/>
  <c r="BK21" i="1"/>
  <c r="BK20" i="1"/>
  <c r="BJ10" i="1"/>
  <c r="BK11" i="1"/>
  <c r="F24" i="1"/>
  <c r="E24" i="1"/>
  <c r="BJ9" i="1"/>
  <c r="L33" i="1"/>
  <c r="P33" i="1"/>
  <c r="I33" i="1"/>
  <c r="M33" i="1"/>
  <c r="J33" i="1"/>
  <c r="N33" i="1"/>
  <c r="AM37" i="1"/>
  <c r="AM36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/>
  <c r="J19" i="1"/>
  <c r="N19" i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/>
  <c r="L8" i="1"/>
  <c r="P8" i="1"/>
  <c r="K8" i="1"/>
  <c r="O8" i="1"/>
  <c r="G10" i="1"/>
  <c r="I8" i="1"/>
  <c r="M8" i="1"/>
  <c r="G9" i="1"/>
  <c r="I7" i="1"/>
  <c r="M7" i="1"/>
  <c r="J7" i="1"/>
  <c r="N7" i="1"/>
  <c r="L7" i="1"/>
  <c r="P7" i="1"/>
  <c r="AW7" i="1"/>
  <c r="K7" i="1"/>
  <c r="O7" i="1"/>
  <c r="AC7" i="1"/>
  <c r="G7" i="1"/>
  <c r="F7" i="1"/>
  <c r="E7" i="1"/>
  <c r="BJ8" i="1"/>
  <c r="BJ7" i="1"/>
  <c r="U15" i="2"/>
  <c r="U16" i="2"/>
  <c r="U17" i="2"/>
  <c r="U18" i="2"/>
  <c r="U19" i="2"/>
  <c r="I15" i="2"/>
  <c r="I16" i="2"/>
  <c r="I17" i="2"/>
  <c r="I18" i="2"/>
  <c r="I19" i="2"/>
  <c r="I20" i="2"/>
  <c r="I21" i="2"/>
  <c r="I22" i="2"/>
  <c r="I23" i="2"/>
  <c r="I24" i="2"/>
  <c r="I25" i="2"/>
  <c r="BI8" i="1"/>
  <c r="BI9" i="1"/>
  <c r="BI10" i="1"/>
  <c r="AV8" i="1"/>
  <c r="AV9" i="1"/>
  <c r="AV10" i="1"/>
  <c r="AV11" i="1"/>
  <c r="AV12" i="1"/>
  <c r="AV13" i="1"/>
  <c r="AV14" i="1"/>
  <c r="AL8" i="1"/>
  <c r="AL9" i="1"/>
  <c r="AL10" i="1"/>
  <c r="AL11" i="1"/>
  <c r="AL12" i="1"/>
  <c r="AL13" i="1"/>
  <c r="AL14" i="1"/>
  <c r="AB8" i="1"/>
  <c r="AB9" i="1"/>
  <c r="AB10" i="1"/>
  <c r="AB11" i="1"/>
  <c r="AB12" i="1"/>
  <c r="AB13" i="1"/>
  <c r="AB14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I32" i="1"/>
  <c r="M32" i="1"/>
  <c r="L34" i="1"/>
  <c r="P34" i="1"/>
  <c r="J35" i="1"/>
  <c r="N35" i="1"/>
  <c r="K34" i="1"/>
  <c r="O34" i="1"/>
  <c r="J34" i="1"/>
  <c r="N3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BI11" i="1"/>
  <c r="BI12" i="1"/>
  <c r="BI13" i="1"/>
  <c r="BI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K22" i="1"/>
  <c r="O22" i="1"/>
  <c r="L9" i="1"/>
  <c r="P9" i="1"/>
  <c r="K9" i="1"/>
  <c r="O9" i="1"/>
  <c r="J9" i="1"/>
  <c r="N9" i="1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K11" i="1"/>
  <c r="O11" i="1"/>
  <c r="K23" i="1"/>
  <c r="O23" i="1"/>
  <c r="J24" i="1"/>
  <c r="N24" i="1"/>
  <c r="K18" i="1"/>
  <c r="O18" i="1"/>
  <c r="J26" i="1"/>
  <c r="N26" i="1"/>
  <c r="L26" i="1"/>
  <c r="P26" i="1"/>
  <c r="K35" i="1"/>
  <c r="O35" i="1"/>
  <c r="K37" i="1"/>
  <c r="O37" i="1"/>
  <c r="J36" i="1"/>
  <c r="N36" i="1"/>
  <c r="I36" i="1"/>
  <c r="M36" i="1"/>
  <c r="K36" i="1"/>
  <c r="O36" i="1"/>
  <c r="I35" i="1"/>
  <c r="M35" i="1"/>
  <c r="J30" i="1"/>
  <c r="N30" i="1"/>
  <c r="L29" i="1"/>
  <c r="P29" i="1"/>
  <c r="I29" i="1"/>
  <c r="M29" i="1"/>
  <c r="K29" i="1"/>
  <c r="O29" i="1"/>
  <c r="I28" i="1"/>
  <c r="M28" i="1"/>
  <c r="K26" i="1"/>
  <c r="O26" i="1"/>
  <c r="I25" i="1"/>
  <c r="M25" i="1"/>
  <c r="L25" i="1"/>
  <c r="P25" i="1"/>
  <c r="I20" i="1"/>
  <c r="M20" i="1"/>
  <c r="J20" i="1"/>
  <c r="N20" i="1"/>
  <c r="L20" i="1"/>
  <c r="P20" i="1"/>
  <c r="L24" i="1"/>
  <c r="P24" i="1"/>
  <c r="J18" i="1"/>
  <c r="N18" i="1"/>
  <c r="L18" i="1"/>
  <c r="P18" i="1"/>
  <c r="L21" i="1"/>
  <c r="P21" i="1"/>
  <c r="K21" i="1"/>
  <c r="O21" i="1"/>
  <c r="K17" i="1"/>
  <c r="O17" i="1"/>
  <c r="J17" i="1"/>
  <c r="N17" i="1"/>
  <c r="J16" i="1"/>
  <c r="N16" i="1"/>
  <c r="K16" i="1"/>
  <c r="O16" i="1"/>
  <c r="L16" i="1"/>
  <c r="P16" i="1"/>
  <c r="L15" i="1"/>
  <c r="P15" i="1"/>
  <c r="K15" i="1"/>
  <c r="O15" i="1"/>
  <c r="J15" i="1"/>
  <c r="N15" i="1"/>
  <c r="L14" i="1"/>
  <c r="P14" i="1"/>
  <c r="J14" i="1"/>
  <c r="N14" i="1"/>
  <c r="K14" i="1"/>
  <c r="O14" i="1"/>
  <c r="K13" i="1"/>
  <c r="O13" i="1"/>
  <c r="J12" i="1"/>
  <c r="N12" i="1"/>
  <c r="I12" i="1"/>
  <c r="M12" i="1"/>
  <c r="L11" i="1"/>
  <c r="P11" i="1"/>
  <c r="J11" i="1"/>
  <c r="N11" i="1"/>
  <c r="L10" i="1"/>
  <c r="P10" i="1"/>
  <c r="I10" i="1"/>
  <c r="M10" i="1"/>
  <c r="K10" i="1"/>
  <c r="O10" i="1"/>
  <c r="L32" i="1"/>
  <c r="P32" i="1"/>
  <c r="K27" i="1"/>
  <c r="O27" i="1"/>
  <c r="J32" i="1"/>
  <c r="N32" i="1"/>
  <c r="I27" i="1"/>
  <c r="M27" i="1"/>
  <c r="L22" i="1"/>
  <c r="P22" i="1"/>
  <c r="J25" i="1"/>
  <c r="N25" i="1"/>
  <c r="L27" i="1"/>
  <c r="P27" i="1"/>
  <c r="I24" i="1"/>
  <c r="M24" i="1"/>
  <c r="K28" i="1"/>
  <c r="O28" i="1"/>
  <c r="J31" i="1"/>
  <c r="N31" i="1"/>
  <c r="J13" i="1"/>
  <c r="N13" i="1"/>
  <c r="I37" i="1"/>
  <c r="M37" i="1"/>
  <c r="L13" i="1"/>
  <c r="P13" i="1"/>
  <c r="J22" i="1"/>
  <c r="N22" i="1"/>
  <c r="L37" i="1"/>
  <c r="P37" i="1"/>
  <c r="L23" i="1"/>
  <c r="P23" i="1"/>
  <c r="J23" i="1"/>
  <c r="N23" i="1"/>
  <c r="J28" i="1"/>
  <c r="N28" i="1"/>
  <c r="I31" i="1"/>
  <c r="M31" i="1"/>
  <c r="L17" i="1"/>
  <c r="P17" i="1"/>
  <c r="I30" i="1"/>
  <c r="M30" i="1"/>
  <c r="J21" i="1"/>
  <c r="N21" i="1"/>
  <c r="L31" i="1"/>
  <c r="P31" i="1"/>
  <c r="K30" i="1"/>
  <c r="O30" i="1"/>
  <c r="BI15" i="1"/>
  <c r="BI16" i="1"/>
  <c r="BI17" i="1"/>
  <c r="BI18" i="1"/>
  <c r="BI19" i="1"/>
  <c r="BI20" i="1"/>
  <c r="BI21" i="1"/>
  <c r="BI22" i="1"/>
  <c r="BI23" i="1"/>
  <c r="BI24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I40" i="2"/>
  <c r="I41" i="2"/>
  <c r="I42" i="2"/>
  <c r="I43" i="2"/>
  <c r="I44" i="2"/>
  <c r="U40" i="2"/>
  <c r="U41" i="2"/>
  <c r="U42" i="2"/>
  <c r="U43" i="2"/>
  <c r="U44" i="2"/>
  <c r="AL33" i="1"/>
  <c r="AL34" i="1"/>
  <c r="AL35" i="1"/>
  <c r="AL36" i="1"/>
  <c r="AL37" i="1"/>
  <c r="AV33" i="1"/>
  <c r="AV34" i="1"/>
  <c r="AV35" i="1"/>
  <c r="AV36" i="1"/>
  <c r="AV37" i="1"/>
  <c r="B15" i="2"/>
  <c r="B16" i="2"/>
  <c r="M15" i="2"/>
  <c r="B17" i="2"/>
  <c r="M16" i="2"/>
  <c r="B18" i="2"/>
  <c r="M17" i="2"/>
  <c r="B19" i="2"/>
  <c r="M18" i="2"/>
  <c r="B20" i="2"/>
  <c r="M19" i="2"/>
  <c r="M20" i="2"/>
  <c r="B21" i="2"/>
  <c r="B22" i="2"/>
  <c r="M21" i="2"/>
  <c r="B23" i="2"/>
  <c r="M22" i="2"/>
  <c r="B24" i="2"/>
  <c r="M23" i="2"/>
  <c r="B25" i="2"/>
  <c r="M24" i="2"/>
  <c r="B26" i="2"/>
  <c r="M25" i="2"/>
  <c r="B27" i="2"/>
  <c r="M26" i="2"/>
  <c r="B28" i="2"/>
  <c r="M27" i="2"/>
  <c r="B29" i="2"/>
  <c r="M28" i="2"/>
  <c r="B30" i="2"/>
  <c r="M29" i="2"/>
  <c r="B31" i="2"/>
  <c r="M30" i="2"/>
  <c r="B32" i="2"/>
  <c r="M31" i="2"/>
  <c r="B33" i="2"/>
  <c r="M32" i="2"/>
  <c r="B34" i="2"/>
  <c r="M33" i="2"/>
  <c r="B35" i="2"/>
  <c r="M34" i="2"/>
  <c r="B36" i="2"/>
  <c r="M35" i="2"/>
  <c r="B37" i="2"/>
  <c r="M36" i="2"/>
  <c r="B38" i="2"/>
  <c r="M37" i="2"/>
  <c r="B39" i="2"/>
  <c r="M38" i="2"/>
  <c r="B40" i="2"/>
  <c r="M39" i="2"/>
  <c r="B41" i="2"/>
  <c r="B42" i="2"/>
  <c r="B43" i="2"/>
  <c r="B44" i="2"/>
  <c r="M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<sst xmlns="http://schemas.openxmlformats.org/spreadsheetml/2006/main" count="122" uniqueCount="69">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</sst>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9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5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20" fontId="4" fillId="5" borderId="37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5" fontId="4" fillId="5" borderId="36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8" xfId="0" applyBorder="1"/>
    <xf numFmtId="0" fontId="0" fillId="5" borderId="34" xfId="0" applyFill="1" applyBorder="1"/>
    <xf numFmtId="0" fontId="0" fillId="5" borderId="37" xfId="0" applyFill="1" applyBorder="1"/>
    <xf numFmtId="0" fontId="0" fillId="5" borderId="36" xfId="0" applyFill="1" applyBorder="1"/>
    <xf numFmtId="0" fontId="0" fillId="5" borderId="5" xfId="0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6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8" xfId="0" applyFill="1" applyBorder="1"/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6" fontId="4" fillId="5" borderId="33" xfId="2" applyNumberFormat="1" applyFont="1" applyFill="1" applyBorder="1" applyAlignment="1">
      <alignment horizontal="center"/>
    </xf>
    <xf numFmtId="0" fontId="0" fillId="0" borderId="0" xfId="0"/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164" fontId="5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9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9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3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3" xfId="2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5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9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9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9" fontId="8" fillId="3" borderId="48" xfId="2" applyFont="1" applyFill="1" applyBorder="1" applyAlignment="1">
      <alignment horizontal="center"/>
    </xf>
    <xf numFmtId="1" fontId="8" fillId="0" borderId="48" xfId="0" applyNumberFormat="1" applyFont="1" applyFill="1" applyBorder="1" applyAlignment="1">
      <alignment horizontal="center"/>
    </xf>
    <xf numFmtId="1" fontId="8" fillId="3" borderId="48" xfId="0" applyNumberFormat="1" applyFont="1" applyFill="1" applyBorder="1" applyAlignment="1">
      <alignment horizontal="center"/>
    </xf>
    <xf numFmtId="0" fontId="8" fillId="9" borderId="48" xfId="0" applyFont="1" applyFill="1" applyBorder="1" applyAlignment="1">
      <alignment horizontal="center"/>
    </xf>
    <xf numFmtId="1" fontId="8" fillId="9" borderId="48" xfId="0" applyNumberFormat="1" applyFont="1" applyFill="1" applyBorder="1"/>
    <xf numFmtId="168" fontId="8" fillId="9" borderId="48" xfId="0" applyNumberFormat="1" applyFont="1" applyFill="1" applyBorder="1"/>
    <xf numFmtId="9" fontId="8" fillId="0" borderId="48" xfId="0" applyNumberFormat="1" applyFont="1" applyFill="1" applyBorder="1" applyAlignment="1">
      <alignment horizontal="center"/>
    </xf>
    <xf numFmtId="165" fontId="8" fillId="3" borderId="48" xfId="0" applyNumberFormat="1" applyFont="1" applyFill="1" applyBorder="1" applyAlignment="1">
      <alignment horizontal="center"/>
    </xf>
    <xf numFmtId="166" fontId="8" fillId="9" borderId="48" xfId="0" applyNumberFormat="1" applyFont="1" applyFill="1" applyBorder="1" applyAlignment="1">
      <alignment horizontal="center"/>
    </xf>
    <xf numFmtId="165" fontId="8" fillId="9" borderId="48" xfId="0" applyNumberFormat="1" applyFont="1" applyFill="1" applyBorder="1" applyAlignment="1">
      <alignment horizontal="center"/>
    </xf>
    <xf numFmtId="168" fontId="8" fillId="9" borderId="48" xfId="0" applyNumberFormat="1" applyFont="1" applyFill="1" applyBorder="1" applyAlignment="1">
      <alignment horizontal="center"/>
    </xf>
    <xf numFmtId="1" fontId="8" fillId="9" borderId="48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1" xfId="1" applyNumberFormat="1" applyFont="1" applyFill="1" applyBorder="1" applyAlignment="1">
      <alignment horizontal="center"/>
    </xf>
    <xf numFmtId="166" fontId="8" fillId="0" borderId="39" xfId="1" applyNumberFormat="1" applyFont="1" applyFill="1" applyBorder="1" applyAlignment="1">
      <alignment horizontal="center"/>
    </xf>
    <xf numFmtId="165" fontId="8" fillId="0" borderId="51" xfId="0" applyNumberFormat="1" applyFont="1" applyFill="1" applyBorder="1" applyAlignment="1">
      <alignment horizontal="center"/>
    </xf>
    <xf numFmtId="166" fontId="8" fillId="0" borderId="48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/>
    </xf>
    <xf numFmtId="165" fontId="8" fillId="5" borderId="31" xfId="2" applyNumberFormat="1" applyFont="1" applyFill="1" applyBorder="1"/>
    <xf numFmtId="165" fontId="8" fillId="5" borderId="30" xfId="2" applyNumberFormat="1" applyFont="1" applyFill="1" applyBorder="1"/>
    <xf numFmtId="166" fontId="8" fillId="5" borderId="51" xfId="1" applyNumberFormat="1" applyFont="1" applyFill="1" applyBorder="1"/>
    <xf numFmtId="167" fontId="8" fillId="5" borderId="30" xfId="1" applyNumberFormat="1" applyFont="1" applyFill="1" applyBorder="1" applyAlignment="1">
      <alignment horizontal="center"/>
    </xf>
    <xf numFmtId="165" fontId="8" fillId="8" borderId="30" xfId="0" applyNumberFormat="1" applyFont="1" applyFill="1" applyBorder="1"/>
    <xf numFmtId="165" fontId="8" fillId="8" borderId="30" xfId="2" applyNumberFormat="1" applyFont="1" applyFill="1" applyBorder="1" applyAlignment="1">
      <alignment horizontal="center"/>
    </xf>
    <xf numFmtId="166" fontId="8" fillId="8" borderId="30" xfId="1" applyNumberFormat="1" applyFont="1" applyFill="1" applyBorder="1" applyAlignment="1">
      <alignment horizontal="center"/>
    </xf>
    <xf numFmtId="167" fontId="8" fillId="8" borderId="30" xfId="0" applyNumberFormat="1" applyFont="1" applyFill="1" applyBorder="1" applyAlignment="1">
      <alignment horizontal="center"/>
    </xf>
    <xf numFmtId="20" fontId="8" fillId="8" borderId="30" xfId="0" applyNumberFormat="1" applyFont="1" applyFill="1" applyBorder="1" applyAlignment="1">
      <alignment horizontal="center"/>
    </xf>
    <xf numFmtId="165" fontId="8" fillId="7" borderId="51" xfId="2" applyNumberFormat="1" applyFont="1" applyFill="1" applyBorder="1" applyAlignment="1">
      <alignment horizontal="center"/>
    </xf>
    <xf numFmtId="165" fontId="8" fillId="7" borderId="31" xfId="2" applyNumberFormat="1" applyFont="1" applyFill="1" applyBorder="1" applyAlignment="1">
      <alignment horizontal="center"/>
    </xf>
    <xf numFmtId="166" fontId="8" fillId="7" borderId="30" xfId="1" applyNumberFormat="1" applyFont="1" applyFill="1" applyBorder="1" applyAlignment="1">
      <alignment horizontal="center"/>
    </xf>
    <xf numFmtId="167" fontId="8" fillId="7" borderId="51" xfId="0" applyNumberFormat="1" applyFont="1" applyFill="1" applyBorder="1" applyAlignment="1">
      <alignment horizontal="center"/>
    </xf>
    <xf numFmtId="167" fontId="8" fillId="7" borderId="47" xfId="0" applyNumberFormat="1" applyFont="1" applyFill="1" applyBorder="1" applyAlignment="1">
      <alignment horizontal="center"/>
    </xf>
    <xf numFmtId="166" fontId="8" fillId="9" borderId="55" xfId="0" applyNumberFormat="1" applyFont="1" applyFill="1" applyBorder="1" applyAlignment="1">
      <alignment horizontal="center"/>
    </xf>
    <xf numFmtId="165" fontId="8" fillId="9" borderId="55" xfId="0" applyNumberFormat="1" applyFont="1" applyFill="1" applyBorder="1" applyAlignment="1">
      <alignment horizontal="center"/>
    </xf>
    <xf numFmtId="168" fontId="8" fillId="9" borderId="55" xfId="0" applyNumberFormat="1" applyFont="1" applyFill="1" applyBorder="1" applyAlignment="1">
      <alignment horizontal="center"/>
    </xf>
    <xf numFmtId="1" fontId="8" fillId="9" borderId="55" xfId="0" applyNumberFormat="1" applyFont="1" applyFill="1" applyBorder="1" applyAlignment="1">
      <alignment horizontal="center"/>
    </xf>
    <xf numFmtId="165" fontId="8" fillId="5" borderId="30" xfId="2" applyNumberFormat="1" applyFont="1" applyFill="1" applyBorder="1" applyAlignment="1">
      <alignment horizontal="center"/>
    </xf>
    <xf numFmtId="166" fontId="8" fillId="5" borderId="31" xfId="1" applyNumberFormat="1" applyFont="1" applyFill="1" applyBorder="1" applyAlignment="1">
      <alignment horizontal="center"/>
    </xf>
    <xf numFmtId="167" fontId="8" fillId="5" borderId="30" xfId="0" applyNumberFormat="1" applyFont="1" applyFill="1" applyBorder="1" applyAlignment="1">
      <alignment horizontal="center"/>
    </xf>
    <xf numFmtId="166" fontId="8" fillId="5" borderId="51" xfId="1" applyNumberFormat="1" applyFont="1" applyFill="1" applyBorder="1" applyAlignment="1">
      <alignment horizontal="center"/>
    </xf>
    <xf numFmtId="0" fontId="0" fillId="0" borderId="56" xfId="0" applyBorder="1"/>
    <xf numFmtId="0" fontId="4" fillId="3" borderId="58" xfId="0" applyFont="1" applyFill="1" applyBorder="1" applyAlignment="1">
      <alignment horizontal="center"/>
    </xf>
    <xf numFmtId="0" fontId="8" fillId="0" borderId="58" xfId="0" applyFont="1" applyFill="1" applyBorder="1"/>
    <xf numFmtId="0" fontId="8" fillId="0" borderId="58" xfId="0" applyFont="1" applyFill="1" applyBorder="1" applyAlignment="1">
      <alignment horizontal="center" vertical="center" wrapText="1"/>
    </xf>
    <xf numFmtId="0" fontId="8" fillId="0" borderId="58" xfId="0" applyFont="1" applyBorder="1"/>
    <xf numFmtId="0" fontId="4" fillId="0" borderId="58" xfId="0" applyFont="1" applyBorder="1"/>
    <xf numFmtId="0" fontId="0" fillId="0" borderId="58" xfId="0" applyBorder="1"/>
    <xf numFmtId="0" fontId="0" fillId="0" borderId="65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7" xfId="0" applyNumberFormat="1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165" fontId="8" fillId="5" borderId="68" xfId="2" applyNumberFormat="1" applyFont="1" applyFill="1" applyBorder="1"/>
    <xf numFmtId="165" fontId="8" fillId="5" borderId="57" xfId="2" applyNumberFormat="1" applyFont="1" applyFill="1" applyBorder="1"/>
    <xf numFmtId="166" fontId="8" fillId="5" borderId="67" xfId="1" applyNumberFormat="1" applyFont="1" applyFill="1" applyBorder="1"/>
    <xf numFmtId="167" fontId="8" fillId="5" borderId="57" xfId="1" applyNumberFormat="1" applyFont="1" applyFill="1" applyBorder="1" applyAlignment="1">
      <alignment horizontal="center"/>
    </xf>
    <xf numFmtId="9" fontId="8" fillId="3" borderId="57" xfId="2" applyFont="1" applyFill="1" applyBorder="1" applyAlignment="1">
      <alignment horizontal="center"/>
    </xf>
    <xf numFmtId="9" fontId="8" fillId="3" borderId="67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7" xfId="2" applyNumberFormat="1" applyFont="1" applyFill="1" applyBorder="1" applyAlignment="1">
      <alignment horizontal="center"/>
    </xf>
    <xf numFmtId="165" fontId="8" fillId="8" borderId="57" xfId="2" applyNumberFormat="1" applyFont="1" applyFill="1" applyBorder="1" applyAlignment="1">
      <alignment horizontal="center"/>
    </xf>
    <xf numFmtId="166" fontId="8" fillId="8" borderId="57" xfId="1" applyNumberFormat="1" applyFont="1" applyFill="1" applyBorder="1" applyAlignment="1">
      <alignment horizontal="center"/>
    </xf>
    <xf numFmtId="167" fontId="8" fillId="8" borderId="57" xfId="0" applyNumberFormat="1" applyFont="1" applyFill="1" applyBorder="1" applyAlignment="1">
      <alignment horizontal="center"/>
    </xf>
    <xf numFmtId="165" fontId="8" fillId="7" borderId="67" xfId="2" applyNumberFormat="1" applyFont="1" applyFill="1" applyBorder="1" applyAlignment="1">
      <alignment horizontal="center"/>
    </xf>
    <xf numFmtId="165" fontId="8" fillId="7" borderId="68" xfId="2" applyNumberFormat="1" applyFont="1" applyFill="1" applyBorder="1" applyAlignment="1">
      <alignment horizontal="center"/>
    </xf>
    <xf numFmtId="166" fontId="8" fillId="7" borderId="57" xfId="1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7" fontId="8" fillId="7" borderId="69" xfId="0" applyNumberFormat="1" applyFont="1" applyFill="1" applyBorder="1" applyAlignment="1">
      <alignment horizontal="center"/>
    </xf>
    <xf numFmtId="165" fontId="8" fillId="5" borderId="57" xfId="2" applyNumberFormat="1" applyFont="1" applyFill="1" applyBorder="1" applyAlignment="1">
      <alignment horizontal="center"/>
    </xf>
    <xf numFmtId="166" fontId="8" fillId="5" borderId="68" xfId="1" applyNumberFormat="1" applyFont="1" applyFill="1" applyBorder="1" applyAlignment="1">
      <alignment horizontal="center"/>
    </xf>
    <xf numFmtId="167" fontId="8" fillId="5" borderId="57" xfId="0" applyNumberFormat="1" applyFont="1" applyFill="1" applyBorder="1" applyAlignment="1">
      <alignment horizontal="center"/>
    </xf>
    <xf numFmtId="166" fontId="8" fillId="5" borderId="67" xfId="1" applyNumberFormat="1" applyFont="1" applyFill="1" applyBorder="1" applyAlignment="1">
      <alignment horizontal="center"/>
    </xf>
    <xf numFmtId="9" fontId="8" fillId="0" borderId="57" xfId="2" applyFont="1" applyFill="1" applyBorder="1" applyAlignment="1">
      <alignment horizontal="center"/>
    </xf>
    <xf numFmtId="9" fontId="8" fillId="0" borderId="68" xfId="2" applyFont="1" applyFill="1" applyBorder="1" applyAlignment="1">
      <alignment horizontal="center"/>
    </xf>
    <xf numFmtId="9" fontId="8" fillId="0" borderId="69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165" fontId="8" fillId="8" borderId="57" xfId="0" applyNumberFormat="1" applyFont="1" applyFill="1" applyBorder="1"/>
    <xf numFmtId="0" fontId="4" fillId="0" borderId="67" xfId="0" applyFont="1" applyFill="1" applyBorder="1" applyAlignment="1">
      <alignment horizontal="center"/>
    </xf>
    <xf numFmtId="20" fontId="8" fillId="8" borderId="57" xfId="0" applyNumberFormat="1" applyFont="1" applyFill="1" applyBorder="1" applyAlignment="1">
      <alignment horizontal="center"/>
    </xf>
    <xf numFmtId="0" fontId="0" fillId="0" borderId="65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8" xfId="0" applyNumberFormat="1" applyFont="1" applyBorder="1" applyAlignment="1">
      <alignment horizontal="center"/>
    </xf>
    <xf numFmtId="165" fontId="8" fillId="0" borderId="51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60" xfId="2" applyNumberFormat="1" applyFont="1" applyFill="1" applyBorder="1" applyAlignment="1">
      <alignment horizontal="center"/>
    </xf>
    <xf numFmtId="167" fontId="4" fillId="5" borderId="60" xfId="0" applyNumberFormat="1" applyFont="1" applyFill="1" applyBorder="1" applyAlignment="1">
      <alignment horizontal="center"/>
    </xf>
    <xf numFmtId="165" fontId="4" fillId="5" borderId="60" xfId="2" applyNumberFormat="1" applyFont="1" applyFill="1" applyBorder="1" applyAlignment="1">
      <alignment horizontal="center"/>
    </xf>
    <xf numFmtId="165" fontId="4" fillId="0" borderId="60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20" fontId="8" fillId="5" borderId="57" xfId="1" applyNumberFormat="1" applyFont="1" applyFill="1" applyBorder="1" applyAlignment="1">
      <alignment horizontal="center"/>
    </xf>
    <xf numFmtId="0" fontId="0" fillId="0" borderId="60" xfId="0" applyBorder="1"/>
    <xf numFmtId="9" fontId="0" fillId="0" borderId="60" xfId="2" applyFont="1" applyBorder="1"/>
    <xf numFmtId="165" fontId="0" fillId="0" borderId="60" xfId="0" applyNumberFormat="1" applyBorder="1"/>
    <xf numFmtId="14" fontId="0" fillId="0" borderId="60" xfId="0" applyNumberFormat="1" applyBorder="1"/>
    <xf numFmtId="165" fontId="0" fillId="0" borderId="0" xfId="0" applyNumberFormat="1"/>
    <xf numFmtId="9" fontId="4" fillId="0" borderId="0" xfId="2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3" xfId="0" applyFont="1" applyFill="1" applyBorder="1" applyAlignment="1">
      <alignment horizontal="center" vertical="center" wrapText="1"/>
    </xf>
    <xf numFmtId="0" fontId="8" fillId="4" borderId="58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3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32113</c:v>
                </c:pt>
                <c:pt idx="1">
                  <c:v>28628</c:v>
                </c:pt>
                <c:pt idx="2">
                  <c:v>43143</c:v>
                </c:pt>
                <c:pt idx="3">
                  <c:v>43808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55840"/>
        <c:axId val="1408458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140845584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8016"/>
        <c:crosses val="autoZero"/>
        <c:auto val="1"/>
        <c:lblOffset val="100"/>
        <c:baseTimeUnit val="days"/>
      </c:dateAx>
      <c:valAx>
        <c:axId val="14084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25552</c:v>
                </c:pt>
                <c:pt idx="1">
                  <c:v>22126</c:v>
                </c:pt>
                <c:pt idx="2">
                  <c:v>36294</c:v>
                </c:pt>
                <c:pt idx="3">
                  <c:v>36950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47680"/>
        <c:axId val="1408452576"/>
      </c:lineChart>
      <c:dateAx>
        <c:axId val="1408447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2576"/>
        <c:crosses val="autoZero"/>
        <c:auto val="1"/>
        <c:lblOffset val="100"/>
        <c:baseTimeUnit val="days"/>
      </c:dateAx>
      <c:valAx>
        <c:axId val="140845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topLeftCell="A19" zoomScale="130" zoomScaleNormal="130" zoomScaleSheetLayoutView="100" workbookViewId="0">
      <selection activeCell="Y34" sqref="Y34"/>
    </sheetView>
  </sheetViews>
  <sheetFormatPr defaultColWidth="11.43359375" defaultRowHeight="15" x14ac:dyDescent="0.2"/>
  <cols>
    <col min="1" max="1" width="2.28515625" style="158" customWidth="1"/>
    <col min="2" max="2" width="10.35546875" style="14" customWidth="1"/>
    <col min="3" max="3" width="2.28515625" style="191" customWidth="1"/>
    <col min="4" max="4" width="15.87109375" style="14" customWidth="1"/>
    <col min="5" max="5" width="9.953125" style="14" customWidth="1"/>
    <col min="6" max="6" width="13.1796875" style="14" customWidth="1"/>
    <col min="7" max="7" width="9.28125" style="14" customWidth="1"/>
    <col min="8" max="8" width="15.19921875" style="14" customWidth="1"/>
    <col min="9" max="9" width="10.35546875" style="14" customWidth="1"/>
    <col min="10" max="12" width="10.22265625" style="14" customWidth="1"/>
    <col min="13" max="13" width="11.56640625" style="14" customWidth="1"/>
    <col min="14" max="15" width="11.703125" style="14" customWidth="1"/>
    <col min="16" max="16" width="11.56640625" style="14" customWidth="1"/>
    <col min="17" max="17" width="10.22265625" style="14" customWidth="1"/>
    <col min="18" max="22" width="11.703125" style="14" customWidth="1"/>
    <col min="23" max="23" width="10.35546875" style="14" customWidth="1"/>
    <col min="24" max="27" width="11.703125" style="14" customWidth="1"/>
    <col min="28" max="28" width="11.703125" style="13" customWidth="1"/>
    <col min="29" max="29" width="9.68359375" style="14" customWidth="1"/>
    <col min="30" max="30" width="10.22265625" style="14" customWidth="1"/>
    <col min="31" max="31" width="10.625" style="14" customWidth="1"/>
    <col min="32" max="32" width="11.97265625" style="14" customWidth="1"/>
    <col min="33" max="33" width="13.44921875" style="14" customWidth="1"/>
    <col min="34" max="34" width="11.43359375" style="14" customWidth="1"/>
    <col min="35" max="35" width="9.55078125" style="14" customWidth="1"/>
    <col min="36" max="36" width="10.22265625" style="14" customWidth="1"/>
    <col min="37" max="37" width="8.609375" style="14" customWidth="1"/>
    <col min="38" max="39" width="10.22265625" style="14" customWidth="1"/>
    <col min="40" max="40" width="9.68359375" style="14" customWidth="1"/>
    <col min="41" max="41" width="11.02734375" style="14" customWidth="1"/>
    <col min="42" max="42" width="11.8359375" style="14" customWidth="1"/>
    <col min="43" max="43" width="11.296875" style="14" customWidth="1"/>
    <col min="44" max="44" width="11.97265625" style="14" customWidth="1"/>
    <col min="45" max="45" width="11.296875" style="14" customWidth="1"/>
    <col min="46" max="46" width="9.28125" style="14" customWidth="1"/>
    <col min="47" max="47" width="9.4140625" style="14" customWidth="1"/>
    <col min="48" max="52" width="10.35546875" style="14" customWidth="1"/>
    <col min="53" max="53" width="10.625" style="14" customWidth="1"/>
    <col min="54" max="61" width="10.35546875" style="14" customWidth="1"/>
    <col min="62" max="62" width="11.02734375" style="14" customWidth="1"/>
    <col min="63" max="63" width="11.296875" style="14" customWidth="1"/>
    <col min="64" max="64" width="13.85546875" style="14" customWidth="1"/>
    <col min="65" max="65" width="13.31640625" style="14" customWidth="1"/>
    <col min="66" max="66" width="12.64453125" style="14" customWidth="1"/>
    <col min="67" max="67" width="10.35546875" style="14" customWidth="1"/>
    <col min="68" max="68" width="10.22265625" style="14" customWidth="1"/>
    <col min="69" max="69" width="10.35546875" style="14" customWidth="1"/>
    <col min="70" max="70" width="9.28125" style="14" customWidth="1"/>
    <col min="71" max="71" width="2.6875" style="14" customWidth="1"/>
    <col min="72" max="72" width="6.859375" style="14" customWidth="1"/>
    <col min="73" max="73" width="6.45703125" style="14" customWidth="1"/>
    <col min="74" max="16384" width="11.43359375" style="14"/>
  </cols>
  <sheetData>
    <row r="1" spans="1:72" s="157" customFormat="1" ht="14.65" customHeight="1" x14ac:dyDescent="0.2">
      <c r="A1" s="151"/>
      <c r="B1" s="210" t="s">
        <v>0</v>
      </c>
      <c r="C1" s="152"/>
      <c r="D1" s="212" t="s">
        <v>1</v>
      </c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4"/>
      <c r="P1" s="215"/>
      <c r="Q1" s="153"/>
      <c r="R1" s="220" t="s">
        <v>2</v>
      </c>
      <c r="S1" s="221"/>
      <c r="T1" s="221"/>
      <c r="U1" s="221"/>
      <c r="V1" s="221"/>
      <c r="W1" s="221"/>
      <c r="X1" s="221"/>
      <c r="Y1" s="221"/>
      <c r="Z1" s="221"/>
      <c r="AA1" s="222"/>
      <c r="AB1" s="154"/>
      <c r="AC1" s="220" t="s">
        <v>3</v>
      </c>
      <c r="AD1" s="221"/>
      <c r="AE1" s="221"/>
      <c r="AF1" s="221"/>
      <c r="AG1" s="221"/>
      <c r="AH1" s="221"/>
      <c r="AI1" s="221"/>
      <c r="AJ1" s="221"/>
      <c r="AK1" s="222"/>
      <c r="AL1" s="155"/>
      <c r="AM1" s="220" t="s">
        <v>4</v>
      </c>
      <c r="AN1" s="221"/>
      <c r="AO1" s="221"/>
      <c r="AP1" s="221"/>
      <c r="AQ1" s="221"/>
      <c r="AR1" s="221"/>
      <c r="AS1" s="221"/>
      <c r="AT1" s="221"/>
      <c r="AU1" s="222"/>
      <c r="AV1" s="155"/>
      <c r="AW1" s="220" t="s">
        <v>58</v>
      </c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2"/>
      <c r="BI1" s="155"/>
      <c r="BJ1" s="220" t="s">
        <v>5</v>
      </c>
      <c r="BK1" s="221"/>
      <c r="BL1" s="221"/>
      <c r="BM1" s="221"/>
      <c r="BN1" s="221"/>
      <c r="BO1" s="221"/>
      <c r="BP1" s="221"/>
      <c r="BQ1" s="221"/>
      <c r="BR1" s="222"/>
      <c r="BS1" s="156"/>
    </row>
    <row r="2" spans="1:72" ht="15" customHeight="1" thickBot="1" x14ac:dyDescent="0.25">
      <c r="B2" s="210"/>
      <c r="C2" s="1"/>
      <c r="D2" s="216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8"/>
      <c r="P2" s="219"/>
      <c r="Q2" s="60"/>
      <c r="R2" s="223"/>
      <c r="S2" s="224"/>
      <c r="T2" s="224"/>
      <c r="U2" s="224"/>
      <c r="V2" s="224"/>
      <c r="W2" s="224"/>
      <c r="X2" s="224"/>
      <c r="Y2" s="224"/>
      <c r="Z2" s="224"/>
      <c r="AA2" s="225"/>
      <c r="AB2" s="62"/>
      <c r="AC2" s="223"/>
      <c r="AD2" s="224"/>
      <c r="AE2" s="224"/>
      <c r="AF2" s="224"/>
      <c r="AG2" s="224"/>
      <c r="AH2" s="224"/>
      <c r="AI2" s="224"/>
      <c r="AJ2" s="224"/>
      <c r="AK2" s="225"/>
      <c r="AL2" s="61"/>
      <c r="AM2" s="223"/>
      <c r="AN2" s="224"/>
      <c r="AO2" s="224"/>
      <c r="AP2" s="224"/>
      <c r="AQ2" s="224"/>
      <c r="AR2" s="224"/>
      <c r="AS2" s="224"/>
      <c r="AT2" s="224"/>
      <c r="AU2" s="225"/>
      <c r="AV2" s="61"/>
      <c r="AW2" s="223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5"/>
      <c r="BI2" s="61"/>
      <c r="BJ2" s="223"/>
      <c r="BK2" s="224"/>
      <c r="BL2" s="224"/>
      <c r="BM2" s="224"/>
      <c r="BN2" s="224"/>
      <c r="BO2" s="224"/>
      <c r="BP2" s="224"/>
      <c r="BQ2" s="224"/>
      <c r="BR2" s="225"/>
      <c r="BS2" s="159"/>
    </row>
    <row r="3" spans="1:72" ht="30" customHeight="1" thickBot="1" x14ac:dyDescent="0.25">
      <c r="B3" s="210"/>
      <c r="C3" s="1"/>
      <c r="D3" s="229" t="s">
        <v>6</v>
      </c>
      <c r="E3" s="229" t="s">
        <v>7</v>
      </c>
      <c r="F3" s="229" t="s">
        <v>8</v>
      </c>
      <c r="G3" s="229" t="s">
        <v>9</v>
      </c>
      <c r="H3" s="229" t="s">
        <v>10</v>
      </c>
      <c r="I3" s="231" t="s">
        <v>11</v>
      </c>
      <c r="J3" s="232"/>
      <c r="K3" s="233"/>
      <c r="L3" s="234"/>
      <c r="M3" s="231" t="s">
        <v>12</v>
      </c>
      <c r="N3" s="232"/>
      <c r="O3" s="233"/>
      <c r="P3" s="234"/>
      <c r="Q3" s="60"/>
      <c r="R3" s="235" t="s">
        <v>13</v>
      </c>
      <c r="S3" s="227"/>
      <c r="T3" s="236"/>
      <c r="U3" s="236"/>
      <c r="V3" s="235" t="s">
        <v>14</v>
      </c>
      <c r="W3" s="227"/>
      <c r="X3" s="227"/>
      <c r="Y3" s="227"/>
      <c r="Z3" s="227"/>
      <c r="AA3" s="228"/>
      <c r="AB3" s="62"/>
      <c r="AC3" s="237" t="s">
        <v>15</v>
      </c>
      <c r="AD3" s="239" t="s">
        <v>9</v>
      </c>
      <c r="AE3" s="235" t="s">
        <v>13</v>
      </c>
      <c r="AF3" s="227"/>
      <c r="AG3" s="228"/>
      <c r="AH3" s="235" t="s">
        <v>14</v>
      </c>
      <c r="AI3" s="227"/>
      <c r="AJ3" s="227"/>
      <c r="AK3" s="228"/>
      <c r="AL3" s="61"/>
      <c r="AM3" s="240" t="s">
        <v>15</v>
      </c>
      <c r="AN3" s="237" t="s">
        <v>9</v>
      </c>
      <c r="AO3" s="226" t="s">
        <v>13</v>
      </c>
      <c r="AP3" s="227"/>
      <c r="AQ3" s="228"/>
      <c r="AR3" s="235" t="s">
        <v>14</v>
      </c>
      <c r="AS3" s="227"/>
      <c r="AT3" s="227"/>
      <c r="AU3" s="228"/>
      <c r="AV3" s="61"/>
      <c r="AW3" s="237" t="s">
        <v>15</v>
      </c>
      <c r="AX3" s="237" t="s">
        <v>9</v>
      </c>
      <c r="AY3" s="226" t="s">
        <v>13</v>
      </c>
      <c r="AZ3" s="226"/>
      <c r="BA3" s="227"/>
      <c r="BB3" s="228"/>
      <c r="BC3" s="235" t="s">
        <v>14</v>
      </c>
      <c r="BD3" s="226"/>
      <c r="BE3" s="226"/>
      <c r="BF3" s="227"/>
      <c r="BG3" s="227"/>
      <c r="BH3" s="228"/>
      <c r="BI3" s="61"/>
      <c r="BJ3" s="240" t="s">
        <v>16</v>
      </c>
      <c r="BK3" s="237" t="s">
        <v>17</v>
      </c>
      <c r="BL3" s="241" t="s">
        <v>18</v>
      </c>
      <c r="BM3" s="242"/>
      <c r="BN3" s="243"/>
      <c r="BO3" s="226" t="s">
        <v>14</v>
      </c>
      <c r="BP3" s="227"/>
      <c r="BQ3" s="227"/>
      <c r="BR3" s="228"/>
      <c r="BS3" s="159"/>
    </row>
    <row r="4" spans="1:72" ht="56.25" customHeight="1" thickBot="1" x14ac:dyDescent="0.25">
      <c r="B4" s="211"/>
      <c r="C4" s="2"/>
      <c r="D4" s="230"/>
      <c r="E4" s="230"/>
      <c r="F4" s="230"/>
      <c r="G4" s="230"/>
      <c r="H4" s="230"/>
      <c r="I4" s="82" t="s">
        <v>3</v>
      </c>
      <c r="J4" s="83" t="s">
        <v>4</v>
      </c>
      <c r="K4" s="84" t="s">
        <v>58</v>
      </c>
      <c r="L4" s="84" t="s">
        <v>5</v>
      </c>
      <c r="M4" s="83" t="s">
        <v>3</v>
      </c>
      <c r="N4" s="83" t="s">
        <v>4</v>
      </c>
      <c r="O4" s="83" t="s">
        <v>58</v>
      </c>
      <c r="P4" s="83" t="s">
        <v>19</v>
      </c>
      <c r="Q4" s="62"/>
      <c r="R4" s="124" t="s">
        <v>20</v>
      </c>
      <c r="S4" s="64" t="s">
        <v>21</v>
      </c>
      <c r="T4" s="64" t="s">
        <v>60</v>
      </c>
      <c r="U4" s="64" t="s">
        <v>22</v>
      </c>
      <c r="V4" s="125" t="s">
        <v>23</v>
      </c>
      <c r="W4" s="64" t="s">
        <v>24</v>
      </c>
      <c r="X4" s="125" t="s">
        <v>25</v>
      </c>
      <c r="Y4" s="64" t="s">
        <v>24</v>
      </c>
      <c r="Z4" s="127" t="s">
        <v>26</v>
      </c>
      <c r="AA4" s="127" t="s">
        <v>24</v>
      </c>
      <c r="AB4" s="62"/>
      <c r="AC4" s="238"/>
      <c r="AD4" s="221"/>
      <c r="AE4" s="64" t="s">
        <v>27</v>
      </c>
      <c r="AF4" s="124" t="s">
        <v>28</v>
      </c>
      <c r="AG4" s="64" t="s">
        <v>29</v>
      </c>
      <c r="AH4" s="126" t="s">
        <v>30</v>
      </c>
      <c r="AI4" s="64" t="s">
        <v>24</v>
      </c>
      <c r="AJ4" s="64" t="s">
        <v>31</v>
      </c>
      <c r="AK4" s="64" t="s">
        <v>24</v>
      </c>
      <c r="AL4" s="63"/>
      <c r="AM4" s="220"/>
      <c r="AN4" s="238"/>
      <c r="AO4" s="125" t="s">
        <v>27</v>
      </c>
      <c r="AP4" s="64" t="s">
        <v>28</v>
      </c>
      <c r="AQ4" s="124" t="s">
        <v>29</v>
      </c>
      <c r="AR4" s="64" t="s">
        <v>30</v>
      </c>
      <c r="AS4" s="125" t="s">
        <v>24</v>
      </c>
      <c r="AT4" s="64" t="s">
        <v>31</v>
      </c>
      <c r="AU4" s="126" t="s">
        <v>24</v>
      </c>
      <c r="AV4" s="63"/>
      <c r="AW4" s="238"/>
      <c r="AX4" s="238"/>
      <c r="AY4" s="125" t="s">
        <v>27</v>
      </c>
      <c r="AZ4" s="64" t="s">
        <v>59</v>
      </c>
      <c r="BA4" s="125" t="s">
        <v>61</v>
      </c>
      <c r="BB4" s="64" t="s">
        <v>29</v>
      </c>
      <c r="BC4" s="125" t="s">
        <v>56</v>
      </c>
      <c r="BD4" s="64" t="s">
        <v>24</v>
      </c>
      <c r="BE4" s="125" t="s">
        <v>57</v>
      </c>
      <c r="BF4" s="64" t="s">
        <v>24</v>
      </c>
      <c r="BG4" s="125" t="s">
        <v>31</v>
      </c>
      <c r="BH4" s="64" t="s">
        <v>24</v>
      </c>
      <c r="BI4" s="63"/>
      <c r="BJ4" s="220"/>
      <c r="BK4" s="238"/>
      <c r="BL4" s="125" t="s">
        <v>32</v>
      </c>
      <c r="BM4" s="64" t="s">
        <v>33</v>
      </c>
      <c r="BN4" s="64" t="s">
        <v>34</v>
      </c>
      <c r="BO4" s="64" t="s">
        <v>35</v>
      </c>
      <c r="BP4" s="125" t="s">
        <v>24</v>
      </c>
      <c r="BQ4" s="64" t="s">
        <v>36</v>
      </c>
      <c r="BR4" s="126" t="s">
        <v>24</v>
      </c>
      <c r="BS4" s="160"/>
    </row>
    <row r="5" spans="1:72" ht="15.75" thickBot="1" x14ac:dyDescent="0.25">
      <c r="B5" s="161"/>
      <c r="C5" s="162"/>
      <c r="D5" s="85"/>
      <c r="E5" s="73"/>
      <c r="F5" s="85"/>
      <c r="G5" s="73"/>
      <c r="H5" s="86"/>
      <c r="I5" s="87"/>
      <c r="J5" s="73"/>
      <c r="K5" s="88"/>
      <c r="L5" s="88"/>
      <c r="M5" s="86"/>
      <c r="N5" s="86"/>
      <c r="O5" s="86"/>
      <c r="P5" s="86"/>
      <c r="Q5" s="65"/>
      <c r="R5" s="163"/>
      <c r="S5" s="164"/>
      <c r="T5" s="164"/>
      <c r="U5" s="164"/>
      <c r="V5" s="165"/>
      <c r="W5" s="166"/>
      <c r="X5" s="165"/>
      <c r="Y5" s="166"/>
      <c r="Z5" s="165"/>
      <c r="AA5" s="166"/>
      <c r="AB5" s="66"/>
      <c r="AC5" s="167"/>
      <c r="AD5" s="168"/>
      <c r="AE5" s="96"/>
      <c r="AF5" s="121"/>
      <c r="AG5" s="96"/>
      <c r="AH5" s="96"/>
      <c r="AI5" s="97"/>
      <c r="AJ5" s="98"/>
      <c r="AK5" s="99"/>
      <c r="AL5" s="69"/>
      <c r="AM5" s="70"/>
      <c r="AN5" s="71"/>
      <c r="AO5" s="100"/>
      <c r="AP5" s="118"/>
      <c r="AQ5" s="101"/>
      <c r="AR5" s="102"/>
      <c r="AS5" s="103"/>
      <c r="AT5" s="104"/>
      <c r="AU5" s="105"/>
      <c r="AV5" s="69"/>
      <c r="AW5" s="106"/>
      <c r="AX5" s="107"/>
      <c r="AY5" s="108"/>
      <c r="AZ5" s="109"/>
      <c r="BA5" s="123"/>
      <c r="BB5" s="110"/>
      <c r="BC5" s="110"/>
      <c r="BD5" s="111"/>
      <c r="BE5" s="110"/>
      <c r="BF5" s="111"/>
      <c r="BG5" s="110"/>
      <c r="BH5" s="111"/>
      <c r="BI5" s="69"/>
      <c r="BJ5" s="74"/>
      <c r="BK5" s="71"/>
      <c r="BL5" s="75"/>
      <c r="BM5" s="67"/>
      <c r="BN5" s="67"/>
      <c r="BO5" s="72"/>
      <c r="BP5" s="76"/>
      <c r="BQ5" s="77"/>
      <c r="BR5" s="68"/>
      <c r="BS5" s="169"/>
    </row>
    <row r="6" spans="1:72" ht="15.75" thickBot="1" x14ac:dyDescent="0.25">
      <c r="B6" s="57">
        <v>45688</v>
      </c>
      <c r="C6" s="188"/>
      <c r="D6" s="89">
        <f t="shared" ref="D6" si="0">R6</f>
        <v>50019</v>
      </c>
      <c r="E6" s="183">
        <f t="shared" ref="E6" si="1">F6/D6</f>
        <v>0.86755033087426781</v>
      </c>
      <c r="F6" s="89">
        <f t="shared" ref="F6" si="2">D6-H6</f>
        <v>43394</v>
      </c>
      <c r="G6" s="183">
        <f t="shared" ref="G6" si="3">H6/D6</f>
        <v>0.13244966912573222</v>
      </c>
      <c r="H6" s="170">
        <f t="shared" ref="H6" si="4">U6+AG6+AQ6+BB6</f>
        <v>6625</v>
      </c>
      <c r="I6" s="184">
        <f t="shared" ref="I6" si="5">AE6/(AE6+AO6+BL6+AY6)</f>
        <v>0.12267745149756755</v>
      </c>
      <c r="J6" s="183">
        <f t="shared" ref="J6" si="6">AO6/(AE6+AO6+BL6+AY6)</f>
        <v>0.17394447375105015</v>
      </c>
      <c r="K6" s="183">
        <f t="shared" ref="K6" si="7">AY6/(AF6+AP6+BM6+AZ6+AY6)</f>
        <v>0.11578169211552677</v>
      </c>
      <c r="L6" s="185">
        <f t="shared" ref="L6" si="8">BL6/(AE6+AO6+BL6+AY6)</f>
        <v>0.614637672664752</v>
      </c>
      <c r="M6" s="170">
        <f t="shared" ref="M6" si="9">(S6+T6)*I6</f>
        <v>5602.8018873454075</v>
      </c>
      <c r="N6" s="170">
        <f t="shared" ref="N6" si="10">(S6+T6)*J6</f>
        <v>7944.2180606842112</v>
      </c>
      <c r="O6" s="170">
        <f t="shared" ref="O6" si="11">(S6+T6)*K6</f>
        <v>5287.8656606082232</v>
      </c>
      <c r="P6" s="170">
        <f t="shared" ref="P6" si="12">(S6+T6)*L6</f>
        <v>28071.117148271889</v>
      </c>
      <c r="Q6" s="57">
        <v>45688</v>
      </c>
      <c r="R6" s="163">
        <v>50019</v>
      </c>
      <c r="S6" s="164">
        <v>0</v>
      </c>
      <c r="T6" s="164">
        <v>45671</v>
      </c>
      <c r="U6" s="164">
        <v>2863</v>
      </c>
      <c r="V6" s="165">
        <v>12390</v>
      </c>
      <c r="W6" s="166">
        <v>0.35416666666666669</v>
      </c>
      <c r="X6" s="165">
        <v>4143</v>
      </c>
      <c r="Y6" s="166">
        <v>0.73958333333333337</v>
      </c>
      <c r="Z6" s="165">
        <v>152</v>
      </c>
      <c r="AA6" s="166">
        <v>0.21875</v>
      </c>
      <c r="AB6" s="57">
        <v>45688</v>
      </c>
      <c r="AC6" s="78">
        <f t="shared" ref="AC6" si="13">+AF6/AE6</f>
        <v>1</v>
      </c>
      <c r="AD6" s="186">
        <f t="shared" ref="AD6" si="14">+AG6/AE6</f>
        <v>0</v>
      </c>
      <c r="AE6" s="187">
        <v>6279</v>
      </c>
      <c r="AF6" s="120">
        <f t="shared" ref="AF6" si="15">+AE6-AG6</f>
        <v>6279</v>
      </c>
      <c r="AG6" s="171">
        <v>0</v>
      </c>
      <c r="AH6" s="172">
        <v>3426</v>
      </c>
      <c r="AI6" s="173">
        <v>0.77500000000000002</v>
      </c>
      <c r="AJ6" s="172">
        <v>0</v>
      </c>
      <c r="AK6" s="189">
        <v>0</v>
      </c>
      <c r="AL6" s="57">
        <v>45688</v>
      </c>
      <c r="AM6" s="79">
        <f t="shared" ref="AM6" si="16">+AP6/AO6</f>
        <v>0.57744580478490393</v>
      </c>
      <c r="AN6" s="78">
        <f t="shared" ref="AN6" si="17">+AQ6/AO6</f>
        <v>0.42255419521509602</v>
      </c>
      <c r="AO6" s="174">
        <v>8903</v>
      </c>
      <c r="AP6" s="119">
        <f t="shared" ref="AP6" si="18">AO6-AQ6</f>
        <v>5141</v>
      </c>
      <c r="AQ6" s="175">
        <v>3762</v>
      </c>
      <c r="AR6" s="176">
        <v>3517</v>
      </c>
      <c r="AS6" s="177">
        <v>0.77986111111111112</v>
      </c>
      <c r="AT6" s="176">
        <v>185</v>
      </c>
      <c r="AU6" s="178">
        <v>0.9375</v>
      </c>
      <c r="AV6" s="57">
        <v>45688</v>
      </c>
      <c r="AW6" s="112">
        <f t="shared" ref="AW6" si="19">BA6/AZ6</f>
        <v>1</v>
      </c>
      <c r="AX6" s="112">
        <f t="shared" ref="AX6" si="20">BB6/AZ6</f>
        <v>0</v>
      </c>
      <c r="AY6" s="113">
        <f t="shared" ref="AY6:AY37" si="21">BA6+BB6</f>
        <v>4542</v>
      </c>
      <c r="AZ6" s="114">
        <v>4542</v>
      </c>
      <c r="BA6" s="122">
        <f t="shared" ref="BA6" si="22">AZ6-BB6</f>
        <v>4542</v>
      </c>
      <c r="BB6" s="115">
        <v>0</v>
      </c>
      <c r="BC6" s="114">
        <v>3834</v>
      </c>
      <c r="BD6" s="116">
        <v>0.82291666666666663</v>
      </c>
      <c r="BE6" s="117">
        <v>0</v>
      </c>
      <c r="BF6" s="116">
        <v>0</v>
      </c>
      <c r="BG6" s="117">
        <v>0</v>
      </c>
      <c r="BH6" s="116">
        <v>0</v>
      </c>
      <c r="BI6" s="57">
        <v>45688</v>
      </c>
      <c r="BJ6" s="80">
        <f t="shared" ref="BJ6" si="23">+BM6/BL6</f>
        <v>0.59521917416319658</v>
      </c>
      <c r="BK6" s="78">
        <f t="shared" ref="BK6" si="24">+BN6/BL6</f>
        <v>0.40478082583680347</v>
      </c>
      <c r="BL6" s="81">
        <f t="shared" ref="BL6" si="25">BM6+BN6</f>
        <v>31459</v>
      </c>
      <c r="BM6" s="179">
        <v>18725</v>
      </c>
      <c r="BN6" s="179">
        <v>12734</v>
      </c>
      <c r="BO6" s="180">
        <v>3802</v>
      </c>
      <c r="BP6" s="181">
        <v>0.82499999999999996</v>
      </c>
      <c r="BQ6" s="182">
        <v>2531</v>
      </c>
      <c r="BR6" s="181">
        <v>0.82499999999999996</v>
      </c>
    </row>
    <row r="7" spans="1:72" ht="15.75" thickBot="1" x14ac:dyDescent="0.25">
      <c r="A7" s="190"/>
      <c r="B7" s="57">
        <v>45689</v>
      </c>
      <c r="C7" s="128"/>
      <c r="D7" s="89">
        <f t="shared" ref="D7:D10" si="26">R7</f>
        <v>32113</v>
      </c>
      <c r="E7" s="183">
        <f t="shared" ref="E7:E10" si="27">F7/D7</f>
        <v>0.79569021891445835</v>
      </c>
      <c r="F7" s="89">
        <f t="shared" ref="F7:F10" si="28">D7-H7</f>
        <v>25552</v>
      </c>
      <c r="G7" s="183">
        <f t="shared" ref="G7:G10" si="29">H7/D7</f>
        <v>0.20430978108554168</v>
      </c>
      <c r="H7" s="170">
        <f t="shared" ref="H7:H10" si="30">U7+AG7+AQ7+BB7</f>
        <v>6561</v>
      </c>
      <c r="I7" s="184">
        <f t="shared" ref="I7:I10" si="31">AE7/(AE7+AO7+BL7+AY7)</f>
        <v>8.6511627906976737E-2</v>
      </c>
      <c r="J7" s="183">
        <f t="shared" ref="J7:J10" si="32">AO7/(AE7+AO7+BL7+AY7)</f>
        <v>0.18263565891472869</v>
      </c>
      <c r="K7" s="183">
        <f t="shared" ref="K7:K10" si="33">AY7/(AF7+AP7+BM7+AZ7+AY7)</f>
        <v>6.8574640498383993E-2</v>
      </c>
      <c r="L7" s="185">
        <f t="shared" ref="L7:L10" si="34">BL7/(AE7+AO7+BL7+AY7)</f>
        <v>0.68545736434108528</v>
      </c>
      <c r="M7" s="170">
        <f t="shared" ref="M7:M10" si="35">(S7+T7)*I7</f>
        <v>2407.7051162790694</v>
      </c>
      <c r="N7" s="170">
        <f t="shared" ref="N7:N10" si="36">(S7+T7)*J7</f>
        <v>5082.9330232558141</v>
      </c>
      <c r="O7" s="170">
        <f t="shared" ref="O7:O10" si="37">(S7+T7)*K7</f>
        <v>1908.5008197105249</v>
      </c>
      <c r="P7" s="170">
        <f t="shared" ref="P7:P10" si="38">(S7+T7)*L7</f>
        <v>19076.963906976744</v>
      </c>
      <c r="Q7" s="57">
        <f>B7</f>
        <v>45689</v>
      </c>
      <c r="R7" s="129">
        <v>32113</v>
      </c>
      <c r="S7" s="130">
        <v>0</v>
      </c>
      <c r="T7" s="130">
        <v>27831</v>
      </c>
      <c r="U7" s="130">
        <v>2797</v>
      </c>
      <c r="V7" s="131">
        <v>6340</v>
      </c>
      <c r="W7" s="132">
        <v>0.5625</v>
      </c>
      <c r="X7" s="131">
        <v>1997</v>
      </c>
      <c r="Y7" s="132">
        <v>0.64583333333333337</v>
      </c>
      <c r="Z7" s="131">
        <v>150</v>
      </c>
      <c r="AA7" s="132">
        <v>1.0416666666666666E-2</v>
      </c>
      <c r="AB7" s="57">
        <f>B7</f>
        <v>45689</v>
      </c>
      <c r="AC7" s="78">
        <f t="shared" ref="AC7:AC10" si="39">+AF7/AE7</f>
        <v>1</v>
      </c>
      <c r="AD7" s="186">
        <f t="shared" ref="AD7:AD10" si="40">+AG7/AE7</f>
        <v>0</v>
      </c>
      <c r="AE7" s="133">
        <v>2790</v>
      </c>
      <c r="AF7" s="120">
        <f t="shared" ref="AF7:AF13" si="41">+AE7-AG7</f>
        <v>2790</v>
      </c>
      <c r="AG7" s="134">
        <v>0</v>
      </c>
      <c r="AH7" s="135">
        <v>1704</v>
      </c>
      <c r="AI7" s="136">
        <v>0.56874999999999998</v>
      </c>
      <c r="AJ7" s="135">
        <v>0</v>
      </c>
      <c r="AK7" s="137">
        <v>0</v>
      </c>
      <c r="AL7" s="57">
        <f>B7</f>
        <v>45689</v>
      </c>
      <c r="AM7" s="79">
        <f t="shared" ref="AM7:AM10" si="42">+AP7/AO7</f>
        <v>0.36095076400679116</v>
      </c>
      <c r="AN7" s="78">
        <f t="shared" ref="AN7:AN10" si="43">+AQ7/AO7</f>
        <v>0.63904923599320884</v>
      </c>
      <c r="AO7" s="138">
        <v>5890</v>
      </c>
      <c r="AP7" s="119">
        <f t="shared" ref="AP7:AP13" si="44">AO7-AQ7</f>
        <v>2126</v>
      </c>
      <c r="AQ7" s="139">
        <v>3764</v>
      </c>
      <c r="AR7" s="140">
        <v>1836</v>
      </c>
      <c r="AS7" s="141">
        <v>0.35138888888888886</v>
      </c>
      <c r="AT7" s="140">
        <v>180</v>
      </c>
      <c r="AU7" s="142">
        <v>0.11458333333333333</v>
      </c>
      <c r="AV7" s="57">
        <f>B7</f>
        <v>45689</v>
      </c>
      <c r="AW7" s="112">
        <f t="shared" ref="AW7:AW10" si="45">BA7/AZ7</f>
        <v>1</v>
      </c>
      <c r="AX7" s="112">
        <f t="shared" ref="AX7:AX10" si="46">BB7/AZ7</f>
        <v>0</v>
      </c>
      <c r="AY7" s="113">
        <f t="shared" si="21"/>
        <v>1464</v>
      </c>
      <c r="AZ7" s="143">
        <v>1464</v>
      </c>
      <c r="BA7" s="122">
        <f t="shared" ref="BA7:BA13" si="47">AZ7-BB7</f>
        <v>1464</v>
      </c>
      <c r="BB7" s="144">
        <v>0</v>
      </c>
      <c r="BC7" s="143">
        <v>1646</v>
      </c>
      <c r="BD7" s="145">
        <v>0.36458333333333331</v>
      </c>
      <c r="BE7" s="146">
        <v>0</v>
      </c>
      <c r="BF7" s="145">
        <v>0</v>
      </c>
      <c r="BG7" s="146">
        <v>0</v>
      </c>
      <c r="BH7" s="145">
        <v>0</v>
      </c>
      <c r="BI7" s="57">
        <f>B7</f>
        <v>45689</v>
      </c>
      <c r="BJ7" s="80">
        <f t="shared" ref="BJ7:BJ10" si="48">+BM7/BL7</f>
        <v>0.61092011218673659</v>
      </c>
      <c r="BK7" s="78">
        <f t="shared" ref="BK7:BK10" si="49">+BN7/BL7</f>
        <v>0.38907988781326336</v>
      </c>
      <c r="BL7" s="81">
        <f t="shared" ref="BL7:BL10" si="50">BM7+BN7</f>
        <v>22106</v>
      </c>
      <c r="BM7" s="147">
        <v>13505</v>
      </c>
      <c r="BN7" s="147">
        <v>8601</v>
      </c>
      <c r="BO7" s="148">
        <v>2649</v>
      </c>
      <c r="BP7" s="149">
        <v>0.36944444444444446</v>
      </c>
      <c r="BQ7" s="150">
        <v>1737</v>
      </c>
      <c r="BR7" s="149">
        <v>0.36944444444444446</v>
      </c>
    </row>
    <row r="8" spans="1:72" ht="15.75" thickBot="1" x14ac:dyDescent="0.25">
      <c r="A8" s="190"/>
      <c r="B8" s="57">
        <v>45690</v>
      </c>
      <c r="C8" s="188"/>
      <c r="D8" s="89">
        <f t="shared" si="26"/>
        <v>28628</v>
      </c>
      <c r="E8" s="183">
        <f t="shared" si="27"/>
        <v>0.77287969819756885</v>
      </c>
      <c r="F8" s="89">
        <f t="shared" si="28"/>
        <v>22126</v>
      </c>
      <c r="G8" s="183">
        <f t="shared" si="29"/>
        <v>0.22712030180243117</v>
      </c>
      <c r="H8" s="170">
        <f t="shared" si="30"/>
        <v>6502</v>
      </c>
      <c r="I8" s="184">
        <f t="shared" si="31"/>
        <v>7.1522100718406062E-2</v>
      </c>
      <c r="J8" s="183">
        <f t="shared" si="32"/>
        <v>0.18706869094383693</v>
      </c>
      <c r="K8" s="183">
        <f t="shared" si="33"/>
        <v>6.0421286031042132E-2</v>
      </c>
      <c r="L8" s="185">
        <f t="shared" si="34"/>
        <v>0.70283469582758251</v>
      </c>
      <c r="M8" s="170">
        <f t="shared" si="35"/>
        <v>1750.2888487808332</v>
      </c>
      <c r="N8" s="170">
        <f t="shared" si="36"/>
        <v>4577.9450047775772</v>
      </c>
      <c r="O8" s="170">
        <f t="shared" si="37"/>
        <v>1478.6297117516631</v>
      </c>
      <c r="P8" s="170">
        <f t="shared" si="38"/>
        <v>17199.770676292599</v>
      </c>
      <c r="Q8" s="57">
        <f t="shared" ref="Q8:Q37" si="51">Q7+1</f>
        <v>45690</v>
      </c>
      <c r="R8" s="163">
        <v>28628</v>
      </c>
      <c r="S8" s="164">
        <v>0</v>
      </c>
      <c r="T8" s="164">
        <v>24472</v>
      </c>
      <c r="U8" s="164">
        <v>2862</v>
      </c>
      <c r="V8" s="165">
        <v>5654</v>
      </c>
      <c r="W8" s="166">
        <v>0.59375</v>
      </c>
      <c r="X8" s="165">
        <v>1924</v>
      </c>
      <c r="Y8" s="166">
        <v>0.92708333333333337</v>
      </c>
      <c r="Z8" s="165">
        <v>156</v>
      </c>
      <c r="AA8" s="166">
        <v>0.95833333333333337</v>
      </c>
      <c r="AB8" s="57">
        <f t="shared" ref="AB8:AB37" si="52">AB7+1</f>
        <v>45690</v>
      </c>
      <c r="AC8" s="78">
        <f t="shared" si="39"/>
        <v>1</v>
      </c>
      <c r="AD8" s="186">
        <f t="shared" si="40"/>
        <v>0</v>
      </c>
      <c r="AE8" s="187">
        <v>2021</v>
      </c>
      <c r="AF8" s="120">
        <f t="shared" si="41"/>
        <v>2021</v>
      </c>
      <c r="AG8" s="171">
        <v>0</v>
      </c>
      <c r="AH8" s="172">
        <v>1558</v>
      </c>
      <c r="AI8" s="173">
        <v>0.91180555555555554</v>
      </c>
      <c r="AJ8" s="172">
        <v>0</v>
      </c>
      <c r="AK8" s="189">
        <v>0</v>
      </c>
      <c r="AL8" s="57">
        <f t="shared" ref="AL8:AL37" si="53">AL7+1</f>
        <v>45690</v>
      </c>
      <c r="AM8" s="79">
        <f t="shared" si="42"/>
        <v>0.31138857359061672</v>
      </c>
      <c r="AN8" s="78">
        <f t="shared" si="43"/>
        <v>0.68861142640938333</v>
      </c>
      <c r="AO8" s="174">
        <v>5286</v>
      </c>
      <c r="AP8" s="119">
        <f t="shared" si="44"/>
        <v>1646</v>
      </c>
      <c r="AQ8" s="175">
        <v>3640</v>
      </c>
      <c r="AR8" s="176">
        <v>1548</v>
      </c>
      <c r="AS8" s="177">
        <v>0.94236111111111109</v>
      </c>
      <c r="AT8" s="176">
        <v>178</v>
      </c>
      <c r="AU8" s="178">
        <v>0.90625</v>
      </c>
      <c r="AV8" s="57">
        <f t="shared" ref="AV8:AV37" si="54">AV7+1</f>
        <v>45690</v>
      </c>
      <c r="AW8" s="112">
        <f t="shared" si="45"/>
        <v>1</v>
      </c>
      <c r="AX8" s="112">
        <f t="shared" si="46"/>
        <v>0</v>
      </c>
      <c r="AY8" s="113">
        <f t="shared" si="21"/>
        <v>1090</v>
      </c>
      <c r="AZ8" s="114">
        <v>1090</v>
      </c>
      <c r="BA8" s="122">
        <f t="shared" si="47"/>
        <v>1090</v>
      </c>
      <c r="BB8" s="115">
        <v>0</v>
      </c>
      <c r="BC8" s="114">
        <v>1440</v>
      </c>
      <c r="BD8" s="116">
        <v>0.91666666666666663</v>
      </c>
      <c r="BE8" s="117">
        <v>0</v>
      </c>
      <c r="BF8" s="116">
        <v>0</v>
      </c>
      <c r="BG8" s="117">
        <v>0</v>
      </c>
      <c r="BH8" s="116">
        <v>0</v>
      </c>
      <c r="BI8" s="57">
        <f t="shared" ref="BI8:BI37" si="55">BI7+1</f>
        <v>45690</v>
      </c>
      <c r="BJ8" s="80">
        <f t="shared" si="48"/>
        <v>0.61394763343403824</v>
      </c>
      <c r="BK8" s="78">
        <f t="shared" si="49"/>
        <v>0.38605236656596176</v>
      </c>
      <c r="BL8" s="81">
        <f t="shared" si="50"/>
        <v>19860</v>
      </c>
      <c r="BM8" s="179">
        <v>12193</v>
      </c>
      <c r="BN8" s="179">
        <v>7667</v>
      </c>
      <c r="BO8" s="180">
        <v>2556</v>
      </c>
      <c r="BP8" s="181">
        <v>0.41875000000000001</v>
      </c>
      <c r="BQ8" s="182">
        <v>1688</v>
      </c>
      <c r="BR8" s="181">
        <v>0.41875000000000001</v>
      </c>
    </row>
    <row r="9" spans="1:72" ht="15.75" thickBot="1" x14ac:dyDescent="0.25">
      <c r="A9" s="190"/>
      <c r="B9" s="57">
        <v>45691</v>
      </c>
      <c r="C9" s="188"/>
      <c r="D9" s="89">
        <f t="shared" si="26"/>
        <v>43143</v>
      </c>
      <c r="E9" s="183">
        <f t="shared" si="27"/>
        <v>0.84124887003685422</v>
      </c>
      <c r="F9" s="89">
        <f t="shared" si="28"/>
        <v>36294</v>
      </c>
      <c r="G9" s="183">
        <f t="shared" si="29"/>
        <v>0.1587511299631458</v>
      </c>
      <c r="H9" s="170">
        <f t="shared" si="30"/>
        <v>6849</v>
      </c>
      <c r="I9" s="184">
        <f t="shared" si="31"/>
        <v>0.10416757108747558</v>
      </c>
      <c r="J9" s="183">
        <f t="shared" si="32"/>
        <v>0.16622530931191665</v>
      </c>
      <c r="K9" s="183">
        <f t="shared" si="33"/>
        <v>0.11043176987800972</v>
      </c>
      <c r="L9" s="185">
        <f t="shared" si="34"/>
        <v>0.64727588452355111</v>
      </c>
      <c r="M9" s="170">
        <f t="shared" si="35"/>
        <v>4134.3067288908187</v>
      </c>
      <c r="N9" s="170">
        <f t="shared" si="36"/>
        <v>6597.3163012806599</v>
      </c>
      <c r="O9" s="170">
        <f t="shared" si="37"/>
        <v>4382.9265146883281</v>
      </c>
      <c r="P9" s="170">
        <f t="shared" si="38"/>
        <v>25689.73258085522</v>
      </c>
      <c r="Q9" s="57">
        <f t="shared" si="51"/>
        <v>45691</v>
      </c>
      <c r="R9" s="163">
        <v>43143</v>
      </c>
      <c r="S9" s="164">
        <v>0</v>
      </c>
      <c r="T9" s="164">
        <v>39689</v>
      </c>
      <c r="U9" s="164">
        <v>2954</v>
      </c>
      <c r="V9" s="165">
        <v>9990</v>
      </c>
      <c r="W9" s="166">
        <v>0.77083333333333337</v>
      </c>
      <c r="X9" s="165">
        <v>3391</v>
      </c>
      <c r="Y9" s="166">
        <v>0.78125</v>
      </c>
      <c r="Z9" s="165">
        <v>149</v>
      </c>
      <c r="AA9" s="166">
        <v>0.17708333333333334</v>
      </c>
      <c r="AB9" s="57">
        <f t="shared" si="52"/>
        <v>45691</v>
      </c>
      <c r="AC9" s="78">
        <f t="shared" si="39"/>
        <v>1</v>
      </c>
      <c r="AD9" s="186">
        <f t="shared" si="40"/>
        <v>0</v>
      </c>
      <c r="AE9" s="187">
        <v>4799</v>
      </c>
      <c r="AF9" s="120">
        <f t="shared" si="41"/>
        <v>4799</v>
      </c>
      <c r="AG9" s="171">
        <v>0</v>
      </c>
      <c r="AH9" s="172">
        <v>2734</v>
      </c>
      <c r="AI9" s="173">
        <v>0.72013888888888888</v>
      </c>
      <c r="AJ9" s="172">
        <v>0</v>
      </c>
      <c r="AK9" s="189">
        <v>0</v>
      </c>
      <c r="AL9" s="57">
        <f t="shared" si="53"/>
        <v>45691</v>
      </c>
      <c r="AM9" s="79">
        <f t="shared" si="42"/>
        <v>0.49138156176547404</v>
      </c>
      <c r="AN9" s="78">
        <f t="shared" si="43"/>
        <v>0.50861843823452602</v>
      </c>
      <c r="AO9" s="174">
        <v>7658</v>
      </c>
      <c r="AP9" s="119">
        <f t="shared" si="44"/>
        <v>3763</v>
      </c>
      <c r="AQ9" s="175">
        <v>3895</v>
      </c>
      <c r="AR9" s="176">
        <v>2557</v>
      </c>
      <c r="AS9" s="177">
        <v>0.66874999999999996</v>
      </c>
      <c r="AT9" s="176">
        <v>162</v>
      </c>
      <c r="AU9" s="178">
        <v>0.64583333333333337</v>
      </c>
      <c r="AV9" s="57">
        <f t="shared" si="54"/>
        <v>45691</v>
      </c>
      <c r="AW9" s="112">
        <f t="shared" si="45"/>
        <v>1</v>
      </c>
      <c r="AX9" s="112">
        <f t="shared" si="46"/>
        <v>0</v>
      </c>
      <c r="AY9" s="113">
        <f t="shared" si="21"/>
        <v>3793</v>
      </c>
      <c r="AZ9" s="114">
        <v>3793</v>
      </c>
      <c r="BA9" s="122">
        <f t="shared" si="47"/>
        <v>3793</v>
      </c>
      <c r="BB9" s="115">
        <v>0</v>
      </c>
      <c r="BC9" s="114">
        <v>2539</v>
      </c>
      <c r="BD9" s="116">
        <v>0.85416666666666663</v>
      </c>
      <c r="BE9" s="117">
        <v>0</v>
      </c>
      <c r="BF9" s="116">
        <v>0</v>
      </c>
      <c r="BG9" s="117">
        <v>0</v>
      </c>
      <c r="BH9" s="116">
        <v>0</v>
      </c>
      <c r="BI9" s="57">
        <f t="shared" si="55"/>
        <v>45691</v>
      </c>
      <c r="BJ9" s="80">
        <f t="shared" si="48"/>
        <v>0.61029510395707576</v>
      </c>
      <c r="BK9" s="78">
        <f t="shared" si="49"/>
        <v>0.38970489604292419</v>
      </c>
      <c r="BL9" s="81">
        <f t="shared" si="50"/>
        <v>29820</v>
      </c>
      <c r="BM9" s="179">
        <v>18199</v>
      </c>
      <c r="BN9" s="179">
        <v>11621</v>
      </c>
      <c r="BO9" s="180">
        <v>3826</v>
      </c>
      <c r="BP9" s="181">
        <v>0.67847222222222225</v>
      </c>
      <c r="BQ9" s="182">
        <v>2584</v>
      </c>
      <c r="BR9" s="181">
        <v>0.67847222222222225</v>
      </c>
    </row>
    <row r="10" spans="1:72" ht="15.75" thickBot="1" x14ac:dyDescent="0.25">
      <c r="B10" s="57">
        <v>45692</v>
      </c>
      <c r="C10" s="188"/>
      <c r="D10" s="89">
        <f t="shared" si="26"/>
        <v>43808</v>
      </c>
      <c r="E10" s="183">
        <f t="shared" si="27"/>
        <v>0.84345325054784515</v>
      </c>
      <c r="F10" s="89">
        <f t="shared" si="28"/>
        <v>36950</v>
      </c>
      <c r="G10" s="183">
        <f t="shared" si="29"/>
        <v>0.15654674945215485</v>
      </c>
      <c r="H10" s="170">
        <f t="shared" si="30"/>
        <v>6858</v>
      </c>
      <c r="I10" s="184">
        <f t="shared" si="31"/>
        <v>0.10650811367734181</v>
      </c>
      <c r="J10" s="183">
        <f t="shared" si="32"/>
        <v>0.16611573795827253</v>
      </c>
      <c r="K10" s="183">
        <f t="shared" si="33"/>
        <v>9.894428152492668E-2</v>
      </c>
      <c r="L10" s="185">
        <f t="shared" si="34"/>
        <v>0.65495406542457291</v>
      </c>
      <c r="M10" s="170">
        <f t="shared" si="35"/>
        <v>4160.4199364643255</v>
      </c>
      <c r="N10" s="170">
        <f t="shared" si="36"/>
        <v>6488.8129561260412</v>
      </c>
      <c r="O10" s="170">
        <f t="shared" si="37"/>
        <v>3864.9615249266858</v>
      </c>
      <c r="P10" s="170">
        <f t="shared" si="38"/>
        <v>25583.815703614666</v>
      </c>
      <c r="Q10" s="57">
        <f t="shared" si="51"/>
        <v>45692</v>
      </c>
      <c r="R10" s="163">
        <v>43808</v>
      </c>
      <c r="S10" s="164">
        <v>0</v>
      </c>
      <c r="T10" s="164">
        <v>39062</v>
      </c>
      <c r="U10" s="164">
        <v>2887</v>
      </c>
      <c r="V10" s="165">
        <v>8430</v>
      </c>
      <c r="W10" s="166">
        <v>0.83333333333333337</v>
      </c>
      <c r="X10" s="165">
        <v>3194</v>
      </c>
      <c r="Y10" s="166">
        <v>0.8125</v>
      </c>
      <c r="Z10" s="165">
        <v>153</v>
      </c>
      <c r="AA10" s="166">
        <v>9.375E-2</v>
      </c>
      <c r="AB10" s="57">
        <f t="shared" si="52"/>
        <v>45692</v>
      </c>
      <c r="AC10" s="78">
        <f t="shared" si="39"/>
        <v>1</v>
      </c>
      <c r="AD10" s="186">
        <f t="shared" si="40"/>
        <v>0</v>
      </c>
      <c r="AE10" s="187">
        <v>4962</v>
      </c>
      <c r="AF10" s="120">
        <f t="shared" si="41"/>
        <v>4962</v>
      </c>
      <c r="AG10" s="171">
        <v>0</v>
      </c>
      <c r="AH10" s="172">
        <v>2578</v>
      </c>
      <c r="AI10" s="173">
        <v>0.9458333333333333</v>
      </c>
      <c r="AJ10" s="172">
        <v>0</v>
      </c>
      <c r="AK10" s="189">
        <v>0</v>
      </c>
      <c r="AL10" s="57">
        <f t="shared" si="53"/>
        <v>45692</v>
      </c>
      <c r="AM10" s="79">
        <f t="shared" si="42"/>
        <v>0.48688461041478226</v>
      </c>
      <c r="AN10" s="78">
        <f t="shared" si="43"/>
        <v>0.51311538958521774</v>
      </c>
      <c r="AO10" s="174">
        <v>7739</v>
      </c>
      <c r="AP10" s="119">
        <f t="shared" si="44"/>
        <v>3768</v>
      </c>
      <c r="AQ10" s="175">
        <v>3971</v>
      </c>
      <c r="AR10" s="176">
        <v>2507</v>
      </c>
      <c r="AS10" s="177">
        <v>0.78888888888888886</v>
      </c>
      <c r="AT10" s="176">
        <v>179</v>
      </c>
      <c r="AU10" s="178">
        <v>0.84375</v>
      </c>
      <c r="AV10" s="57">
        <f t="shared" si="54"/>
        <v>45692</v>
      </c>
      <c r="AW10" s="112">
        <f t="shared" si="45"/>
        <v>1</v>
      </c>
      <c r="AX10" s="112">
        <f t="shared" si="46"/>
        <v>0</v>
      </c>
      <c r="AY10" s="113">
        <f t="shared" si="21"/>
        <v>3374</v>
      </c>
      <c r="AZ10" s="114">
        <v>3374</v>
      </c>
      <c r="BA10" s="122">
        <f t="shared" si="47"/>
        <v>3374</v>
      </c>
      <c r="BB10" s="115">
        <v>0</v>
      </c>
      <c r="BC10" s="114">
        <v>2261</v>
      </c>
      <c r="BD10" s="116">
        <v>0.66666666666666663</v>
      </c>
      <c r="BE10" s="117">
        <v>0</v>
      </c>
      <c r="BF10" s="116">
        <v>0</v>
      </c>
      <c r="BG10" s="117">
        <v>0</v>
      </c>
      <c r="BH10" s="116">
        <v>0</v>
      </c>
      <c r="BI10" s="57">
        <f t="shared" si="55"/>
        <v>45692</v>
      </c>
      <c r="BJ10" s="80">
        <f t="shared" si="48"/>
        <v>0.61029725035230886</v>
      </c>
      <c r="BK10" s="78">
        <f t="shared" si="49"/>
        <v>0.38970274964769114</v>
      </c>
      <c r="BL10" s="81">
        <f t="shared" si="50"/>
        <v>30513</v>
      </c>
      <c r="BM10" s="179">
        <v>18622</v>
      </c>
      <c r="BN10" s="179">
        <v>11891</v>
      </c>
      <c r="BO10" s="180">
        <v>3033</v>
      </c>
      <c r="BP10" s="181">
        <v>0.83263888888888893</v>
      </c>
      <c r="BQ10" s="182">
        <v>1989</v>
      </c>
      <c r="BR10" s="181">
        <v>0.83263888888888893</v>
      </c>
    </row>
    <row r="11" spans="1:72" ht="15.75" thickBot="1" x14ac:dyDescent="0.25">
      <c r="B11" s="57">
        <v>45693</v>
      </c>
      <c r="C11" s="188"/>
      <c r="D11" s="89">
        <f t="shared" ref="D11:D24" si="56">R11</f>
        <v>45494</v>
      </c>
      <c r="E11" s="183">
        <f t="shared" ref="E11:E24" si="57">F11/D11</f>
        <v>0.84600167054996267</v>
      </c>
      <c r="F11" s="89">
        <f t="shared" ref="F11:F24" si="58">D11-H11</f>
        <v>38488</v>
      </c>
      <c r="G11" s="183">
        <f t="shared" ref="G11:G24" si="59">H11/D11</f>
        <v>0.15399832945003736</v>
      </c>
      <c r="H11" s="170">
        <f t="shared" ref="H11:H24" si="60">U11+AG11+AQ11+BB11</f>
        <v>7006</v>
      </c>
      <c r="I11" s="184">
        <f t="shared" ref="I11:I24" si="61">AE11/(AE11+AO11+BL11+AY11)</f>
        <v>8.7574882558289879E-2</v>
      </c>
      <c r="J11" s="183">
        <f t="shared" ref="J11:J24" si="62">AO11/(AE11+AO11+BL11+AY11)</f>
        <v>0.16849114338663104</v>
      </c>
      <c r="K11" s="183">
        <f t="shared" ref="K11:K24" si="63">AY11/(AF11+AP11+BM11+AZ11+AY11)</f>
        <v>9.7102795338107076E-2</v>
      </c>
      <c r="L11" s="185">
        <f t="shared" ref="L11:L24" si="64">BL11/(AE11+AO11+BL11+AY11)</f>
        <v>0.67409386717234843</v>
      </c>
      <c r="M11" s="170">
        <f t="shared" ref="M11:M24" si="65">(S11+T11)*I11</f>
        <v>3541.265526009568</v>
      </c>
      <c r="N11" s="170">
        <f t="shared" ref="N11:N24" si="66">(S11+T11)*J11</f>
        <v>6813.2763651251998</v>
      </c>
      <c r="O11" s="170">
        <f t="shared" ref="O11:O24" si="67">(S11+T11)*K11</f>
        <v>3926.5457350870356</v>
      </c>
      <c r="P11" s="170">
        <f t="shared" ref="P11:P24" si="68">(S11+T11)*L11</f>
        <v>27258.333706848254</v>
      </c>
      <c r="Q11" s="57">
        <f t="shared" si="51"/>
        <v>45693</v>
      </c>
      <c r="R11" s="163">
        <v>45494</v>
      </c>
      <c r="S11" s="164">
        <v>0</v>
      </c>
      <c r="T11" s="164">
        <v>40437</v>
      </c>
      <c r="U11" s="164">
        <v>2964</v>
      </c>
      <c r="V11" s="165">
        <v>9444</v>
      </c>
      <c r="W11" s="166">
        <v>0.80208333333333337</v>
      </c>
      <c r="X11" s="165">
        <v>3502</v>
      </c>
      <c r="Y11" s="166">
        <v>0.79166666666666663</v>
      </c>
      <c r="Z11" s="165">
        <v>158</v>
      </c>
      <c r="AA11" s="166">
        <v>0.14583333333333334</v>
      </c>
      <c r="AB11" s="57">
        <f t="shared" si="52"/>
        <v>45693</v>
      </c>
      <c r="AC11" s="78">
        <f t="shared" ref="AC11:AC24" si="69">+AF11/AE11</f>
        <v>1</v>
      </c>
      <c r="AD11" s="186">
        <f t="shared" ref="AD11:AD24" si="70">+AG11/AE11</f>
        <v>0</v>
      </c>
      <c r="AE11" s="187">
        <v>4064</v>
      </c>
      <c r="AF11" s="120">
        <f t="shared" si="41"/>
        <v>4064</v>
      </c>
      <c r="AG11" s="171">
        <v>0</v>
      </c>
      <c r="AH11" s="172">
        <v>2227</v>
      </c>
      <c r="AI11" s="173">
        <v>0.72916666666666663</v>
      </c>
      <c r="AJ11" s="172">
        <v>0</v>
      </c>
      <c r="AK11" s="189">
        <v>0</v>
      </c>
      <c r="AL11" s="57">
        <f t="shared" si="53"/>
        <v>45693</v>
      </c>
      <c r="AM11" s="79">
        <f t="shared" ref="AM11:AM24" si="71">+AP11/AO11</f>
        <v>0.48305409898964063</v>
      </c>
      <c r="AN11" s="78">
        <f t="shared" ref="AN11:AN24" si="72">+AQ11/AO11</f>
        <v>0.51694590101035942</v>
      </c>
      <c r="AO11" s="174">
        <v>7819</v>
      </c>
      <c r="AP11" s="119">
        <f t="shared" si="44"/>
        <v>3777</v>
      </c>
      <c r="AQ11" s="175">
        <v>4042</v>
      </c>
      <c r="AR11" s="176">
        <v>2374</v>
      </c>
      <c r="AS11" s="177">
        <v>0.37847222222222221</v>
      </c>
      <c r="AT11" s="176">
        <v>194</v>
      </c>
      <c r="AU11" s="178">
        <v>0.61458333333333337</v>
      </c>
      <c r="AV11" s="57">
        <f t="shared" si="54"/>
        <v>45693</v>
      </c>
      <c r="AW11" s="112">
        <f t="shared" ref="AW11:AW24" si="73">BA11/AZ11</f>
        <v>1</v>
      </c>
      <c r="AX11" s="112">
        <f t="shared" ref="AX11:AX24" si="74">BB11/AZ11</f>
        <v>0</v>
      </c>
      <c r="AY11" s="113">
        <f t="shared" si="21"/>
        <v>3241</v>
      </c>
      <c r="AZ11" s="114">
        <v>3241</v>
      </c>
      <c r="BA11" s="194">
        <f t="shared" si="47"/>
        <v>3241</v>
      </c>
      <c r="BB11" s="115">
        <v>0</v>
      </c>
      <c r="BC11" s="114">
        <v>2453</v>
      </c>
      <c r="BD11" s="116">
        <v>0.71875</v>
      </c>
      <c r="BE11" s="117">
        <v>0</v>
      </c>
      <c r="BF11" s="116">
        <v>0</v>
      </c>
      <c r="BG11" s="117">
        <v>0</v>
      </c>
      <c r="BH11" s="116">
        <v>0</v>
      </c>
      <c r="BI11" s="57">
        <f t="shared" si="55"/>
        <v>45693</v>
      </c>
      <c r="BJ11" s="80">
        <f t="shared" ref="BJ11:BJ24" si="75">+BM11/BL11</f>
        <v>0.60910427722012661</v>
      </c>
      <c r="BK11" s="78">
        <f t="shared" ref="BK11:BK24" si="76">+BN11/BL11</f>
        <v>0.39089572277987339</v>
      </c>
      <c r="BL11" s="81">
        <f t="shared" ref="BL11:BL24" si="77">BM11+BN11</f>
        <v>31282</v>
      </c>
      <c r="BM11" s="179">
        <v>19054</v>
      </c>
      <c r="BN11" s="179">
        <v>12228</v>
      </c>
      <c r="BO11" s="180">
        <v>3324</v>
      </c>
      <c r="BP11" s="181">
        <v>0.35416666666666669</v>
      </c>
      <c r="BQ11" s="182">
        <v>2133</v>
      </c>
      <c r="BR11" s="181">
        <v>0.74305555555555558</v>
      </c>
    </row>
    <row r="12" spans="1:72" ht="15.75" thickBot="1" x14ac:dyDescent="0.25">
      <c r="B12" s="57">
        <v>45694</v>
      </c>
      <c r="C12" s="188"/>
      <c r="D12" s="89">
        <f t="shared" si="56"/>
        <v>43943</v>
      </c>
      <c r="E12" s="183">
        <f t="shared" si="57"/>
        <v>0.84361559292720112</v>
      </c>
      <c r="F12" s="89">
        <f t="shared" si="58"/>
        <v>37071</v>
      </c>
      <c r="G12" s="183">
        <f t="shared" si="59"/>
        <v>0.15638440707279885</v>
      </c>
      <c r="H12" s="170">
        <f t="shared" si="60"/>
        <v>6872</v>
      </c>
      <c r="I12" s="184">
        <f t="shared" si="61"/>
        <v>0.10454923960205111</v>
      </c>
      <c r="J12" s="183">
        <f t="shared" si="62"/>
        <v>0.16645483630626287</v>
      </c>
      <c r="K12" s="183">
        <f t="shared" si="63"/>
        <v>9.4037323623122435E-2</v>
      </c>
      <c r="L12" s="185">
        <f t="shared" si="64"/>
        <v>0.66108603234430463</v>
      </c>
      <c r="M12" s="170">
        <f t="shared" si="65"/>
        <v>4126.0357408949467</v>
      </c>
      <c r="N12" s="170">
        <f t="shared" si="66"/>
        <v>6569.1401148266641</v>
      </c>
      <c r="O12" s="170">
        <f t="shared" si="67"/>
        <v>3711.182976786527</v>
      </c>
      <c r="P12" s="170">
        <f t="shared" si="68"/>
        <v>26089.760266467983</v>
      </c>
      <c r="Q12" s="57">
        <f t="shared" si="51"/>
        <v>45694</v>
      </c>
      <c r="R12" s="163">
        <v>43943</v>
      </c>
      <c r="S12" s="164">
        <v>0</v>
      </c>
      <c r="T12" s="164">
        <v>39465</v>
      </c>
      <c r="U12" s="164">
        <v>2875</v>
      </c>
      <c r="V12" s="165">
        <v>10494</v>
      </c>
      <c r="W12" s="166">
        <v>0.71875</v>
      </c>
      <c r="X12" s="165">
        <v>3260</v>
      </c>
      <c r="Y12" s="166">
        <v>0.75</v>
      </c>
      <c r="Z12" s="165">
        <v>148</v>
      </c>
      <c r="AA12" s="166">
        <v>0.97916666666666663</v>
      </c>
      <c r="AB12" s="57">
        <f t="shared" si="52"/>
        <v>45694</v>
      </c>
      <c r="AC12" s="78">
        <f t="shared" si="69"/>
        <v>1</v>
      </c>
      <c r="AD12" s="186">
        <f t="shared" si="70"/>
        <v>0</v>
      </c>
      <c r="AE12" s="187">
        <v>4771</v>
      </c>
      <c r="AF12" s="120">
        <f t="shared" si="41"/>
        <v>4771</v>
      </c>
      <c r="AG12" s="171">
        <v>0</v>
      </c>
      <c r="AH12" s="172">
        <v>2723</v>
      </c>
      <c r="AI12" s="173">
        <v>0.36458333333333331</v>
      </c>
      <c r="AJ12" s="172">
        <v>0</v>
      </c>
      <c r="AK12" s="189">
        <v>0</v>
      </c>
      <c r="AL12" s="57">
        <f t="shared" si="53"/>
        <v>45694</v>
      </c>
      <c r="AM12" s="79">
        <f t="shared" si="71"/>
        <v>0.47380200105318587</v>
      </c>
      <c r="AN12" s="78">
        <f t="shared" si="72"/>
        <v>0.52619799894681407</v>
      </c>
      <c r="AO12" s="174">
        <v>7596</v>
      </c>
      <c r="AP12" s="119">
        <f t="shared" si="44"/>
        <v>3599</v>
      </c>
      <c r="AQ12" s="175">
        <v>3997</v>
      </c>
      <c r="AR12" s="176">
        <v>2413</v>
      </c>
      <c r="AS12" s="177">
        <v>0.34583333333333333</v>
      </c>
      <c r="AT12" s="176">
        <v>186</v>
      </c>
      <c r="AU12" s="178">
        <v>0.97916666666666663</v>
      </c>
      <c r="AV12" s="57">
        <f t="shared" si="54"/>
        <v>45694</v>
      </c>
      <c r="AW12" s="112">
        <f t="shared" si="73"/>
        <v>1</v>
      </c>
      <c r="AX12" s="112">
        <f t="shared" si="74"/>
        <v>0</v>
      </c>
      <c r="AY12" s="113">
        <f t="shared" si="21"/>
        <v>3099</v>
      </c>
      <c r="AZ12" s="114">
        <v>3099</v>
      </c>
      <c r="BA12" s="194">
        <f t="shared" si="47"/>
        <v>3099</v>
      </c>
      <c r="BB12" s="115">
        <v>0</v>
      </c>
      <c r="BC12" s="114">
        <v>2722</v>
      </c>
      <c r="BD12" s="116">
        <v>0.36458333333333331</v>
      </c>
      <c r="BE12" s="117">
        <v>0</v>
      </c>
      <c r="BF12" s="116">
        <v>0</v>
      </c>
      <c r="BG12" s="117">
        <v>0</v>
      </c>
      <c r="BH12" s="116">
        <v>0</v>
      </c>
      <c r="BI12" s="57">
        <f t="shared" si="55"/>
        <v>45694</v>
      </c>
      <c r="BJ12" s="80">
        <f t="shared" si="75"/>
        <v>0.60948687350835318</v>
      </c>
      <c r="BK12" s="78">
        <f t="shared" si="76"/>
        <v>0.39051312649164677</v>
      </c>
      <c r="BL12" s="81">
        <f t="shared" si="77"/>
        <v>30168</v>
      </c>
      <c r="BM12" s="179">
        <v>18387</v>
      </c>
      <c r="BN12" s="179">
        <v>11781</v>
      </c>
      <c r="BO12" s="180">
        <v>3742</v>
      </c>
      <c r="BP12" s="181">
        <v>0.68055555555555558</v>
      </c>
      <c r="BQ12" s="182">
        <v>2479</v>
      </c>
      <c r="BR12" s="181">
        <v>0.68055555555555558</v>
      </c>
      <c r="BT12" s="14" t="s">
        <v>37</v>
      </c>
    </row>
    <row r="13" spans="1:72" ht="15.75" thickBot="1" x14ac:dyDescent="0.25">
      <c r="B13" s="57">
        <v>45695</v>
      </c>
      <c r="C13" s="188"/>
      <c r="D13" s="89">
        <f t="shared" si="56"/>
        <v>43562</v>
      </c>
      <c r="E13" s="183">
        <f t="shared" si="57"/>
        <v>0.84348468848996827</v>
      </c>
      <c r="F13" s="89">
        <f t="shared" si="58"/>
        <v>36743.879999999997</v>
      </c>
      <c r="G13" s="183">
        <f t="shared" si="59"/>
        <v>0.15651531151003167</v>
      </c>
      <c r="H13" s="170">
        <f t="shared" si="60"/>
        <v>6818.12</v>
      </c>
      <c r="I13" s="184">
        <f t="shared" si="61"/>
        <v>0.10792812967225533</v>
      </c>
      <c r="J13" s="183">
        <f t="shared" si="62"/>
        <v>0.1692932019113827</v>
      </c>
      <c r="K13" s="183">
        <f t="shared" si="63"/>
        <v>9.3005314326876434E-2</v>
      </c>
      <c r="L13" s="185">
        <f t="shared" si="64"/>
        <v>0.65555464056645496</v>
      </c>
      <c r="M13" s="170">
        <f t="shared" si="65"/>
        <v>4215.6727449982936</v>
      </c>
      <c r="N13" s="170">
        <f t="shared" si="66"/>
        <v>6612.5924666586079</v>
      </c>
      <c r="O13" s="170">
        <f t="shared" si="67"/>
        <v>3632.7875776077935</v>
      </c>
      <c r="P13" s="170">
        <f t="shared" si="68"/>
        <v>25605.964260525732</v>
      </c>
      <c r="Q13" s="57">
        <f t="shared" si="51"/>
        <v>45695</v>
      </c>
      <c r="R13" s="163">
        <v>43562</v>
      </c>
      <c r="S13" s="164">
        <v>0</v>
      </c>
      <c r="T13" s="164">
        <v>39060</v>
      </c>
      <c r="U13" s="164">
        <v>2805.4</v>
      </c>
      <c r="V13" s="165">
        <v>8891</v>
      </c>
      <c r="W13" s="203">
        <v>0.71875</v>
      </c>
      <c r="X13" s="165">
        <v>3392.15</v>
      </c>
      <c r="Y13" s="166">
        <v>0.82291666666666663</v>
      </c>
      <c r="Z13" s="165">
        <v>147.72</v>
      </c>
      <c r="AA13" s="166">
        <v>9.375E-2</v>
      </c>
      <c r="AB13" s="57">
        <f t="shared" si="52"/>
        <v>45695</v>
      </c>
      <c r="AC13" s="78">
        <f t="shared" si="69"/>
        <v>1</v>
      </c>
      <c r="AD13" s="186">
        <f t="shared" si="70"/>
        <v>0</v>
      </c>
      <c r="AE13" s="187">
        <v>4875.5</v>
      </c>
      <c r="AF13" s="120">
        <f t="shared" si="41"/>
        <v>4875.5</v>
      </c>
      <c r="AG13" s="171">
        <v>0</v>
      </c>
      <c r="AH13" s="172">
        <v>2627.9</v>
      </c>
      <c r="AI13" s="173">
        <v>0.76111111111111107</v>
      </c>
      <c r="AJ13" s="172">
        <v>0</v>
      </c>
      <c r="AK13" s="189">
        <v>0</v>
      </c>
      <c r="AL13" s="57">
        <f t="shared" si="53"/>
        <v>45695</v>
      </c>
      <c r="AM13" s="79">
        <f t="shared" si="71"/>
        <v>0.47529545294066883</v>
      </c>
      <c r="AN13" s="78">
        <f t="shared" si="72"/>
        <v>0.52470454705933112</v>
      </c>
      <c r="AO13" s="174">
        <v>7647.58</v>
      </c>
      <c r="AP13" s="119">
        <f t="shared" si="44"/>
        <v>3634.86</v>
      </c>
      <c r="AQ13" s="175">
        <v>4012.72</v>
      </c>
      <c r="AR13" s="176">
        <v>2569.6799999999998</v>
      </c>
      <c r="AS13" s="177">
        <v>0.75763888888888886</v>
      </c>
      <c r="AT13" s="176">
        <v>188.56</v>
      </c>
      <c r="AU13" s="178">
        <v>0.90625</v>
      </c>
      <c r="AV13" s="57">
        <f t="shared" si="54"/>
        <v>45695</v>
      </c>
      <c r="AW13" s="112">
        <f t="shared" si="73"/>
        <v>1</v>
      </c>
      <c r="AX13" s="112">
        <f t="shared" si="74"/>
        <v>0</v>
      </c>
      <c r="AY13" s="113">
        <f t="shared" si="21"/>
        <v>3036.75</v>
      </c>
      <c r="AZ13" s="114">
        <v>3036.75</v>
      </c>
      <c r="BA13" s="194">
        <f t="shared" si="47"/>
        <v>3036.75</v>
      </c>
      <c r="BB13" s="115">
        <v>0</v>
      </c>
      <c r="BC13" s="114">
        <v>2522.23</v>
      </c>
      <c r="BD13" s="116">
        <v>0.84375</v>
      </c>
      <c r="BE13" s="117">
        <v>0</v>
      </c>
      <c r="BF13" s="116">
        <v>0</v>
      </c>
      <c r="BG13" s="117">
        <v>0</v>
      </c>
      <c r="BH13" s="116">
        <v>0</v>
      </c>
      <c r="BI13" s="57">
        <f t="shared" si="55"/>
        <v>45695</v>
      </c>
      <c r="BJ13" s="80">
        <f t="shared" si="75"/>
        <v>0.61010510320374822</v>
      </c>
      <c r="BK13" s="78">
        <f t="shared" si="76"/>
        <v>0.38989489679625172</v>
      </c>
      <c r="BL13" s="81">
        <f t="shared" si="77"/>
        <v>29613.75</v>
      </c>
      <c r="BM13" s="179">
        <v>18067.5</v>
      </c>
      <c r="BN13" s="179">
        <v>11546.25</v>
      </c>
      <c r="BO13" s="180">
        <v>3404.72</v>
      </c>
      <c r="BP13" s="181">
        <v>0.77500000000000002</v>
      </c>
      <c r="BQ13" s="182">
        <v>2259.52</v>
      </c>
      <c r="BR13" s="181">
        <v>0.77500000000000002</v>
      </c>
    </row>
    <row r="14" spans="1:72" ht="15.75" thickBot="1" x14ac:dyDescent="0.25">
      <c r="B14" s="57">
        <v>45696</v>
      </c>
      <c r="C14" s="188"/>
      <c r="D14" s="89">
        <f t="shared" si="56"/>
        <v>32275</v>
      </c>
      <c r="E14" s="183">
        <f t="shared" si="57"/>
        <v>0.82481797056545314</v>
      </c>
      <c r="F14" s="89">
        <f t="shared" si="58"/>
        <v>26621</v>
      </c>
      <c r="G14" s="183">
        <f t="shared" si="59"/>
        <v>0.17518202943454686</v>
      </c>
      <c r="H14" s="170">
        <f t="shared" si="60"/>
        <v>5654</v>
      </c>
      <c r="I14" s="184">
        <f t="shared" si="61"/>
        <v>8.8282453547961146E-2</v>
      </c>
      <c r="J14" s="183">
        <f t="shared" si="62"/>
        <v>0.15241927877511241</v>
      </c>
      <c r="K14" s="183">
        <f t="shared" si="63"/>
        <v>6.672845227062095E-2</v>
      </c>
      <c r="L14" s="185">
        <f t="shared" si="64"/>
        <v>0.71402521457540791</v>
      </c>
      <c r="M14" s="170">
        <f t="shared" si="65"/>
        <v>2402.5186908542146</v>
      </c>
      <c r="N14" s="170">
        <f t="shared" si="66"/>
        <v>4147.9382525859091</v>
      </c>
      <c r="O14" s="170">
        <f t="shared" si="67"/>
        <v>1815.9481000926785</v>
      </c>
      <c r="P14" s="170">
        <f t="shared" si="68"/>
        <v>19431.48218945515</v>
      </c>
      <c r="Q14" s="57">
        <f t="shared" si="51"/>
        <v>45696</v>
      </c>
      <c r="R14" s="163">
        <v>32275</v>
      </c>
      <c r="S14" s="164">
        <v>0</v>
      </c>
      <c r="T14" s="164">
        <v>27214</v>
      </c>
      <c r="U14" s="164">
        <v>2775</v>
      </c>
      <c r="V14" s="165">
        <v>6608</v>
      </c>
      <c r="W14" s="166">
        <v>0.47916666666666669</v>
      </c>
      <c r="X14" s="165">
        <v>2246</v>
      </c>
      <c r="Y14" s="166">
        <v>0.51041666666666663</v>
      </c>
      <c r="Z14" s="165">
        <v>148</v>
      </c>
      <c r="AA14" s="166">
        <v>0.22916666666666666</v>
      </c>
      <c r="AB14" s="57">
        <f t="shared" si="52"/>
        <v>45696</v>
      </c>
      <c r="AC14" s="78">
        <f t="shared" si="69"/>
        <v>1</v>
      </c>
      <c r="AD14" s="186">
        <f t="shared" si="70"/>
        <v>0</v>
      </c>
      <c r="AE14" s="187">
        <v>2808</v>
      </c>
      <c r="AF14" s="120">
        <f t="shared" ref="AF14:AF24" si="78">+AE14-AG14</f>
        <v>2808</v>
      </c>
      <c r="AG14" s="171">
        <v>0</v>
      </c>
      <c r="AH14" s="172">
        <v>2031</v>
      </c>
      <c r="AI14" s="173">
        <v>0.90625</v>
      </c>
      <c r="AJ14" s="172">
        <v>0</v>
      </c>
      <c r="AK14" s="189">
        <v>0</v>
      </c>
      <c r="AL14" s="57">
        <f t="shared" si="53"/>
        <v>45696</v>
      </c>
      <c r="AM14" s="79">
        <f t="shared" si="71"/>
        <v>0.40614686468646866</v>
      </c>
      <c r="AN14" s="78">
        <f t="shared" si="72"/>
        <v>0.59385313531353134</v>
      </c>
      <c r="AO14" s="174">
        <v>4848</v>
      </c>
      <c r="AP14" s="119">
        <f t="shared" ref="AP14:AP24" si="79">AO14-AQ14</f>
        <v>1969</v>
      </c>
      <c r="AQ14" s="175">
        <v>2879</v>
      </c>
      <c r="AR14" s="176">
        <v>1919</v>
      </c>
      <c r="AS14" s="177">
        <v>0.90555555555555556</v>
      </c>
      <c r="AT14" s="176">
        <v>180</v>
      </c>
      <c r="AU14" s="178">
        <v>0.86458333333333337</v>
      </c>
      <c r="AV14" s="57">
        <f t="shared" si="54"/>
        <v>45696</v>
      </c>
      <c r="AW14" s="112">
        <f t="shared" si="73"/>
        <v>1</v>
      </c>
      <c r="AX14" s="112">
        <f t="shared" si="74"/>
        <v>0</v>
      </c>
      <c r="AY14" s="113">
        <f t="shared" si="21"/>
        <v>1440</v>
      </c>
      <c r="AZ14" s="114">
        <v>1440</v>
      </c>
      <c r="BA14" s="122">
        <f t="shared" ref="BA14:BA24" si="80">AZ14-BB14</f>
        <v>1440</v>
      </c>
      <c r="BB14" s="115">
        <v>0</v>
      </c>
      <c r="BC14" s="114">
        <v>1549</v>
      </c>
      <c r="BD14" s="116">
        <v>0.89583333333333337</v>
      </c>
      <c r="BE14" s="117">
        <v>0</v>
      </c>
      <c r="BF14" s="116">
        <v>0</v>
      </c>
      <c r="BG14" s="117">
        <v>0</v>
      </c>
      <c r="BH14" s="116">
        <v>0</v>
      </c>
      <c r="BI14" s="57">
        <f t="shared" si="55"/>
        <v>45696</v>
      </c>
      <c r="BJ14" s="80">
        <f t="shared" si="75"/>
        <v>0.61305094447624497</v>
      </c>
      <c r="BK14" s="78">
        <f t="shared" si="76"/>
        <v>0.38694905552375503</v>
      </c>
      <c r="BL14" s="81">
        <f t="shared" si="77"/>
        <v>22711</v>
      </c>
      <c r="BM14" s="179">
        <v>13923</v>
      </c>
      <c r="BN14" s="179">
        <v>8788</v>
      </c>
      <c r="BO14" s="180">
        <v>2973</v>
      </c>
      <c r="BP14" s="181">
        <v>0.73541666666666672</v>
      </c>
      <c r="BQ14" s="182">
        <v>2873</v>
      </c>
      <c r="BR14" s="181">
        <v>0.73541666666666672</v>
      </c>
    </row>
    <row r="15" spans="1:72" ht="15.75" thickBot="1" x14ac:dyDescent="0.25">
      <c r="B15" s="57">
        <v>45697</v>
      </c>
      <c r="C15" s="188"/>
      <c r="D15" s="89">
        <f t="shared" si="56"/>
        <v>26846</v>
      </c>
      <c r="E15" s="183">
        <f t="shared" si="57"/>
        <v>0.78529389853236986</v>
      </c>
      <c r="F15" s="89">
        <f t="shared" si="58"/>
        <v>21082</v>
      </c>
      <c r="G15" s="183">
        <f t="shared" si="59"/>
        <v>0.21470610146763019</v>
      </c>
      <c r="H15" s="170">
        <f t="shared" si="60"/>
        <v>5764</v>
      </c>
      <c r="I15" s="184">
        <f t="shared" si="61"/>
        <v>0.10311269019850158</v>
      </c>
      <c r="J15" s="183">
        <f t="shared" si="62"/>
        <v>0.16405344867536881</v>
      </c>
      <c r="K15" s="183">
        <f t="shared" si="63"/>
        <v>7.1663683085984864E-2</v>
      </c>
      <c r="L15" s="185">
        <f t="shared" si="64"/>
        <v>0.68490770062562756</v>
      </c>
      <c r="M15" s="170">
        <f t="shared" si="65"/>
        <v>2296.3196107206304</v>
      </c>
      <c r="N15" s="170">
        <f t="shared" si="66"/>
        <v>3653.4703020004631</v>
      </c>
      <c r="O15" s="170">
        <f t="shared" si="67"/>
        <v>1595.9502223248828</v>
      </c>
      <c r="P15" s="170">
        <f t="shared" si="68"/>
        <v>15252.894492932726</v>
      </c>
      <c r="Q15" s="57">
        <f t="shared" si="51"/>
        <v>45697</v>
      </c>
      <c r="R15" s="163">
        <v>26846</v>
      </c>
      <c r="S15" s="164">
        <v>0</v>
      </c>
      <c r="T15" s="164">
        <v>22270</v>
      </c>
      <c r="U15" s="164">
        <v>2796</v>
      </c>
      <c r="V15" s="165">
        <v>6646</v>
      </c>
      <c r="W15" s="166">
        <v>0.8125</v>
      </c>
      <c r="X15" s="165">
        <v>2090</v>
      </c>
      <c r="Y15" s="166">
        <v>0.54166666666666663</v>
      </c>
      <c r="Z15" s="165">
        <v>148</v>
      </c>
      <c r="AA15" s="166">
        <v>0.14583333333333334</v>
      </c>
      <c r="AB15" s="192">
        <f t="shared" si="52"/>
        <v>45697</v>
      </c>
      <c r="AC15" s="78">
        <f t="shared" si="69"/>
        <v>1</v>
      </c>
      <c r="AD15" s="186">
        <f t="shared" si="70"/>
        <v>0</v>
      </c>
      <c r="AE15" s="187">
        <v>2670</v>
      </c>
      <c r="AF15" s="120">
        <f t="shared" si="78"/>
        <v>2670</v>
      </c>
      <c r="AG15" s="171">
        <v>0</v>
      </c>
      <c r="AH15" s="172">
        <v>2912</v>
      </c>
      <c r="AI15" s="173">
        <v>0.72638888888888886</v>
      </c>
      <c r="AJ15" s="172">
        <v>0</v>
      </c>
      <c r="AK15" s="189">
        <v>0</v>
      </c>
      <c r="AL15" s="192">
        <f t="shared" si="53"/>
        <v>45697</v>
      </c>
      <c r="AM15" s="79">
        <f t="shared" si="71"/>
        <v>0.30131826741996232</v>
      </c>
      <c r="AN15" s="78">
        <f t="shared" si="72"/>
        <v>0.69868173258003763</v>
      </c>
      <c r="AO15" s="174">
        <v>4248</v>
      </c>
      <c r="AP15" s="119">
        <f t="shared" si="79"/>
        <v>1280</v>
      </c>
      <c r="AQ15" s="175">
        <v>2968</v>
      </c>
      <c r="AR15" s="176">
        <v>2709</v>
      </c>
      <c r="AS15" s="177">
        <v>0.66180555555555554</v>
      </c>
      <c r="AT15" s="176">
        <v>184</v>
      </c>
      <c r="AU15" s="178">
        <v>0.90625</v>
      </c>
      <c r="AV15" s="192">
        <f t="shared" si="54"/>
        <v>45697</v>
      </c>
      <c r="AW15" s="193">
        <f t="shared" si="73"/>
        <v>1</v>
      </c>
      <c r="AX15" s="193">
        <f t="shared" si="74"/>
        <v>0</v>
      </c>
      <c r="AY15" s="113">
        <f t="shared" si="21"/>
        <v>1241</v>
      </c>
      <c r="AZ15" s="114">
        <v>1241</v>
      </c>
      <c r="BA15" s="194">
        <f t="shared" si="80"/>
        <v>1241</v>
      </c>
      <c r="BB15" s="115">
        <v>0</v>
      </c>
      <c r="BC15" s="114">
        <v>2169</v>
      </c>
      <c r="BD15" s="116">
        <v>0.51041666666666663</v>
      </c>
      <c r="BE15" s="117">
        <v>0</v>
      </c>
      <c r="BF15" s="116">
        <v>0</v>
      </c>
      <c r="BG15" s="117">
        <v>0</v>
      </c>
      <c r="BH15" s="116">
        <v>0</v>
      </c>
      <c r="BI15" s="192">
        <f t="shared" si="55"/>
        <v>45697</v>
      </c>
      <c r="BJ15" s="195">
        <f t="shared" si="75"/>
        <v>0.61375810544121789</v>
      </c>
      <c r="BK15" s="78">
        <f t="shared" si="76"/>
        <v>0.38624189455878205</v>
      </c>
      <c r="BL15" s="81">
        <f t="shared" si="77"/>
        <v>17735</v>
      </c>
      <c r="BM15" s="179">
        <v>10885</v>
      </c>
      <c r="BN15" s="179">
        <v>6850</v>
      </c>
      <c r="BO15" s="180">
        <v>3047</v>
      </c>
      <c r="BP15" s="181">
        <v>0.73263888888888884</v>
      </c>
      <c r="BQ15" s="182">
        <v>2004</v>
      </c>
      <c r="BR15" s="181">
        <v>0.73263888888888884</v>
      </c>
    </row>
    <row r="16" spans="1:72" ht="15.75" thickBot="1" x14ac:dyDescent="0.25">
      <c r="B16" s="57">
        <v>45698</v>
      </c>
      <c r="C16" s="188"/>
      <c r="D16" s="89">
        <f t="shared" si="56"/>
        <v>43820</v>
      </c>
      <c r="E16" s="183">
        <f t="shared" si="57"/>
        <v>0.84318416248288452</v>
      </c>
      <c r="F16" s="89">
        <f t="shared" si="58"/>
        <v>36948.33</v>
      </c>
      <c r="G16" s="183">
        <f t="shared" si="59"/>
        <v>0.15681583751711548</v>
      </c>
      <c r="H16" s="170">
        <f t="shared" si="60"/>
        <v>6871.67</v>
      </c>
      <c r="I16" s="184">
        <f t="shared" si="61"/>
        <v>0.10802881352221225</v>
      </c>
      <c r="J16" s="183">
        <f t="shared" si="62"/>
        <v>0.16849123114312614</v>
      </c>
      <c r="K16" s="183">
        <f t="shared" si="63"/>
        <v>9.3347883857538352E-2</v>
      </c>
      <c r="L16" s="185">
        <f t="shared" si="64"/>
        <v>0.65590720994898521</v>
      </c>
      <c r="M16" s="170">
        <f t="shared" si="65"/>
        <v>4262.4928951459287</v>
      </c>
      <c r="N16" s="170">
        <f t="shared" si="66"/>
        <v>6648.158507214328</v>
      </c>
      <c r="O16" s="170">
        <f t="shared" si="67"/>
        <v>3683.2274533668906</v>
      </c>
      <c r="P16" s="170">
        <f t="shared" si="68"/>
        <v>25880.130782957109</v>
      </c>
      <c r="Q16" s="57">
        <f t="shared" si="51"/>
        <v>45698</v>
      </c>
      <c r="R16" s="163">
        <v>43820</v>
      </c>
      <c r="S16" s="164">
        <v>0</v>
      </c>
      <c r="T16" s="164">
        <v>39457</v>
      </c>
      <c r="U16" s="164">
        <v>2850.98</v>
      </c>
      <c r="V16" s="165">
        <v>9447.35</v>
      </c>
      <c r="W16" s="166">
        <v>0.44791666666666669</v>
      </c>
      <c r="X16" s="165">
        <v>3437.05</v>
      </c>
      <c r="Y16" s="166">
        <v>0.80208333333333337</v>
      </c>
      <c r="Z16" s="165">
        <v>149.59</v>
      </c>
      <c r="AA16" s="166">
        <v>0.91666666666666663</v>
      </c>
      <c r="AB16" s="57">
        <f t="shared" si="52"/>
        <v>45698</v>
      </c>
      <c r="AC16" s="78">
        <f t="shared" si="69"/>
        <v>1</v>
      </c>
      <c r="AD16" s="186">
        <f t="shared" si="70"/>
        <v>0</v>
      </c>
      <c r="AE16" s="187">
        <v>4934</v>
      </c>
      <c r="AF16" s="120">
        <f t="shared" si="78"/>
        <v>4934</v>
      </c>
      <c r="AG16" s="171">
        <v>0</v>
      </c>
      <c r="AH16" s="172">
        <v>2475.4</v>
      </c>
      <c r="AI16" s="173">
        <v>0.75138888888888888</v>
      </c>
      <c r="AJ16" s="172">
        <v>0</v>
      </c>
      <c r="AK16" s="189">
        <v>0</v>
      </c>
      <c r="AL16" s="57">
        <f t="shared" si="53"/>
        <v>45698</v>
      </c>
      <c r="AM16" s="79">
        <f t="shared" si="71"/>
        <v>0.47752712624260929</v>
      </c>
      <c r="AN16" s="78">
        <f t="shared" si="72"/>
        <v>0.52247287375739071</v>
      </c>
      <c r="AO16" s="174">
        <v>7695.5</v>
      </c>
      <c r="AP16" s="119">
        <f t="shared" si="79"/>
        <v>3674.81</v>
      </c>
      <c r="AQ16" s="175">
        <v>4020.69</v>
      </c>
      <c r="AR16" s="176">
        <v>2378.42</v>
      </c>
      <c r="AS16" s="177">
        <v>0.81736111111111109</v>
      </c>
      <c r="AT16" s="176">
        <v>189.47</v>
      </c>
      <c r="AU16" s="178">
        <v>0.29166666666666669</v>
      </c>
      <c r="AV16" s="57">
        <f t="shared" si="54"/>
        <v>45698</v>
      </c>
      <c r="AW16" s="112">
        <f t="shared" si="73"/>
        <v>1</v>
      </c>
      <c r="AX16" s="112">
        <f t="shared" si="74"/>
        <v>0</v>
      </c>
      <c r="AY16" s="113">
        <f t="shared" si="21"/>
        <v>3086.25</v>
      </c>
      <c r="AZ16" s="114">
        <v>3086.25</v>
      </c>
      <c r="BA16" s="122">
        <f t="shared" si="80"/>
        <v>3086.25</v>
      </c>
      <c r="BB16" s="115">
        <v>0</v>
      </c>
      <c r="BC16" s="114">
        <v>2868.89</v>
      </c>
      <c r="BD16" s="116">
        <v>0.34375</v>
      </c>
      <c r="BE16" s="117">
        <v>0</v>
      </c>
      <c r="BF16" s="116">
        <v>0</v>
      </c>
      <c r="BG16" s="117">
        <v>0</v>
      </c>
      <c r="BH16" s="116">
        <v>0</v>
      </c>
      <c r="BI16" s="57">
        <f t="shared" si="55"/>
        <v>45698</v>
      </c>
      <c r="BJ16" s="80">
        <f t="shared" si="75"/>
        <v>0.61021956287709989</v>
      </c>
      <c r="BK16" s="78">
        <f t="shared" si="76"/>
        <v>0.38978043712290011</v>
      </c>
      <c r="BL16" s="81">
        <f t="shared" si="77"/>
        <v>29957.25</v>
      </c>
      <c r="BM16" s="179">
        <v>18280.5</v>
      </c>
      <c r="BN16" s="179">
        <v>11676.75</v>
      </c>
      <c r="BO16" s="180">
        <v>3421.95</v>
      </c>
      <c r="BP16" s="181">
        <v>0.8305555555555556</v>
      </c>
      <c r="BQ16" s="182">
        <v>2258.67</v>
      </c>
      <c r="BR16" s="181">
        <v>0.8305555555555556</v>
      </c>
    </row>
    <row r="17" spans="1:70" ht="15.75" thickBot="1" x14ac:dyDescent="0.25">
      <c r="B17" s="57">
        <v>45699</v>
      </c>
      <c r="C17" s="188"/>
      <c r="D17" s="89">
        <f t="shared" si="56"/>
        <v>43338</v>
      </c>
      <c r="E17" s="183">
        <f t="shared" si="57"/>
        <v>0.83808274493516088</v>
      </c>
      <c r="F17" s="89">
        <f t="shared" si="58"/>
        <v>36320.83</v>
      </c>
      <c r="G17" s="183">
        <f t="shared" si="59"/>
        <v>0.16191725506483917</v>
      </c>
      <c r="H17" s="170">
        <f t="shared" si="60"/>
        <v>7017.17</v>
      </c>
      <c r="I17" s="184">
        <f t="shared" si="61"/>
        <v>0.10603056496168241</v>
      </c>
      <c r="J17" s="183">
        <f t="shared" si="62"/>
        <v>0.17098110853680271</v>
      </c>
      <c r="K17" s="183">
        <f t="shared" si="63"/>
        <v>9.2192518669256041E-2</v>
      </c>
      <c r="L17" s="185">
        <f t="shared" si="64"/>
        <v>0.656678845125646</v>
      </c>
      <c r="M17" s="170">
        <f t="shared" si="65"/>
        <v>4134.1317278559973</v>
      </c>
      <c r="N17" s="170">
        <f t="shared" si="66"/>
        <v>6666.5534218499379</v>
      </c>
      <c r="O17" s="170">
        <f t="shared" si="67"/>
        <v>3594.5863029142929</v>
      </c>
      <c r="P17" s="170">
        <f t="shared" si="68"/>
        <v>25603.908171448937</v>
      </c>
      <c r="Q17" s="57">
        <f t="shared" si="51"/>
        <v>45699</v>
      </c>
      <c r="R17" s="163">
        <v>43338</v>
      </c>
      <c r="S17" s="164">
        <v>0</v>
      </c>
      <c r="T17" s="164">
        <v>38990</v>
      </c>
      <c r="U17" s="164">
        <v>2890.87</v>
      </c>
      <c r="V17" s="165">
        <v>8961.06</v>
      </c>
      <c r="W17" s="166">
        <v>0.88541666666666663</v>
      </c>
      <c r="X17" s="165">
        <v>3116.27</v>
      </c>
      <c r="Y17" s="166">
        <v>0.8125</v>
      </c>
      <c r="Z17" s="165">
        <v>152.81</v>
      </c>
      <c r="AA17" s="166">
        <v>0.875</v>
      </c>
      <c r="AB17" s="57">
        <f t="shared" si="52"/>
        <v>45699</v>
      </c>
      <c r="AC17" s="78">
        <f t="shared" si="69"/>
        <v>1</v>
      </c>
      <c r="AD17" s="186">
        <f t="shared" si="70"/>
        <v>0</v>
      </c>
      <c r="AE17" s="187">
        <v>4759.5</v>
      </c>
      <c r="AF17" s="120">
        <f t="shared" si="78"/>
        <v>4759.5</v>
      </c>
      <c r="AG17" s="171">
        <v>0</v>
      </c>
      <c r="AH17" s="172">
        <v>2340</v>
      </c>
      <c r="AI17" s="173">
        <v>0.76249999999999996</v>
      </c>
      <c r="AJ17" s="172">
        <v>0</v>
      </c>
      <c r="AK17" s="189">
        <v>0</v>
      </c>
      <c r="AL17" s="57">
        <f t="shared" si="53"/>
        <v>45699</v>
      </c>
      <c r="AM17" s="79">
        <f t="shared" si="71"/>
        <v>0.46237133550488596</v>
      </c>
      <c r="AN17" s="78">
        <f t="shared" si="72"/>
        <v>0.53762866449511404</v>
      </c>
      <c r="AO17" s="174">
        <v>7675</v>
      </c>
      <c r="AP17" s="119">
        <f t="shared" si="79"/>
        <v>3548.7</v>
      </c>
      <c r="AQ17" s="175">
        <v>4126.3</v>
      </c>
      <c r="AR17" s="176">
        <v>2351.35</v>
      </c>
      <c r="AS17" s="177">
        <v>0.38472222222222224</v>
      </c>
      <c r="AT17" s="176">
        <v>192.43</v>
      </c>
      <c r="AU17" s="178">
        <v>0.29166666666666669</v>
      </c>
      <c r="AV17" s="57">
        <f t="shared" si="54"/>
        <v>45699</v>
      </c>
      <c r="AW17" s="112">
        <f t="shared" si="73"/>
        <v>1</v>
      </c>
      <c r="AX17" s="112">
        <f t="shared" si="74"/>
        <v>0</v>
      </c>
      <c r="AY17" s="113">
        <f t="shared" si="21"/>
        <v>2976.5</v>
      </c>
      <c r="AZ17" s="114">
        <v>2976.5</v>
      </c>
      <c r="BA17" s="122">
        <f t="shared" si="80"/>
        <v>2976.5</v>
      </c>
      <c r="BB17" s="115">
        <v>0</v>
      </c>
      <c r="BC17" s="114">
        <v>2679.82</v>
      </c>
      <c r="BD17" s="116">
        <v>0.84375</v>
      </c>
      <c r="BE17" s="117">
        <v>0</v>
      </c>
      <c r="BF17" s="116">
        <v>0</v>
      </c>
      <c r="BG17" s="117">
        <v>0</v>
      </c>
      <c r="BH17" s="116">
        <v>0</v>
      </c>
      <c r="BI17" s="57">
        <f t="shared" si="55"/>
        <v>45699</v>
      </c>
      <c r="BJ17" s="80">
        <f t="shared" si="75"/>
        <v>0.61147674458052037</v>
      </c>
      <c r="BK17" s="78">
        <f t="shared" si="76"/>
        <v>0.38852325541947957</v>
      </c>
      <c r="BL17" s="81">
        <f t="shared" si="77"/>
        <v>29477</v>
      </c>
      <c r="BM17" s="179">
        <v>18024.5</v>
      </c>
      <c r="BN17" s="179">
        <v>11452.5</v>
      </c>
      <c r="BO17" s="180">
        <v>3369.36</v>
      </c>
      <c r="BP17" s="181">
        <v>0.83194444444444449</v>
      </c>
      <c r="BQ17" s="182">
        <v>2232.46</v>
      </c>
      <c r="BR17" s="181">
        <v>0.83263888888888893</v>
      </c>
    </row>
    <row r="18" spans="1:70" ht="15.75" thickBot="1" x14ac:dyDescent="0.25">
      <c r="B18" s="57">
        <v>45700</v>
      </c>
      <c r="C18" s="188"/>
      <c r="D18" s="89">
        <f t="shared" si="56"/>
        <v>43610</v>
      </c>
      <c r="E18" s="183">
        <f t="shared" si="57"/>
        <v>0.84446227929373996</v>
      </c>
      <c r="F18" s="89">
        <f t="shared" si="58"/>
        <v>36827</v>
      </c>
      <c r="G18" s="183">
        <f t="shared" si="59"/>
        <v>0.15553772070626004</v>
      </c>
      <c r="H18" s="170">
        <f t="shared" si="60"/>
        <v>6783</v>
      </c>
      <c r="I18" s="184">
        <f t="shared" si="61"/>
        <v>0.10631251241968603</v>
      </c>
      <c r="J18" s="183">
        <f t="shared" si="62"/>
        <v>0.16594908480713608</v>
      </c>
      <c r="K18" s="183">
        <f t="shared" si="63"/>
        <v>9.4063481415983169E-2</v>
      </c>
      <c r="L18" s="185">
        <f t="shared" si="64"/>
        <v>0.65962332472235097</v>
      </c>
      <c r="M18" s="170">
        <f t="shared" si="65"/>
        <v>4053.483473537789</v>
      </c>
      <c r="N18" s="170">
        <f t="shared" si="66"/>
        <v>6327.3067055264846</v>
      </c>
      <c r="O18" s="170">
        <f t="shared" si="67"/>
        <v>3586.4524194286064</v>
      </c>
      <c r="P18" s="170">
        <f t="shared" si="68"/>
        <v>25150.118125013796</v>
      </c>
      <c r="Q18" s="57">
        <f t="shared" si="51"/>
        <v>45700</v>
      </c>
      <c r="R18" s="163">
        <v>43610</v>
      </c>
      <c r="S18" s="164">
        <v>0</v>
      </c>
      <c r="T18" s="164">
        <v>38128</v>
      </c>
      <c r="U18" s="164">
        <v>2855</v>
      </c>
      <c r="V18" s="165">
        <v>10619</v>
      </c>
      <c r="W18" s="166">
        <v>0.75</v>
      </c>
      <c r="X18" s="165">
        <v>3296</v>
      </c>
      <c r="Y18" s="166">
        <v>0.79166666666666663</v>
      </c>
      <c r="Z18" s="165">
        <v>157</v>
      </c>
      <c r="AA18" s="166">
        <v>0.96875</v>
      </c>
      <c r="AB18" s="57">
        <f t="shared" si="52"/>
        <v>45700</v>
      </c>
      <c r="AC18" s="78">
        <f t="shared" si="69"/>
        <v>1</v>
      </c>
      <c r="AD18" s="186">
        <f t="shared" si="70"/>
        <v>0</v>
      </c>
      <c r="AE18" s="187">
        <v>4815</v>
      </c>
      <c r="AF18" s="120">
        <f t="shared" si="78"/>
        <v>4815</v>
      </c>
      <c r="AG18" s="171">
        <v>0</v>
      </c>
      <c r="AH18" s="172">
        <v>2372</v>
      </c>
      <c r="AI18" s="173">
        <v>0.71250000000000002</v>
      </c>
      <c r="AJ18" s="172">
        <v>0</v>
      </c>
      <c r="AK18" s="189">
        <v>0</v>
      </c>
      <c r="AL18" s="57">
        <f t="shared" si="53"/>
        <v>45700</v>
      </c>
      <c r="AM18" s="79">
        <f t="shared" si="71"/>
        <v>0.47738158594997337</v>
      </c>
      <c r="AN18" s="78">
        <f t="shared" si="72"/>
        <v>0.52261841405002663</v>
      </c>
      <c r="AO18" s="174">
        <v>7516</v>
      </c>
      <c r="AP18" s="119">
        <f t="shared" si="79"/>
        <v>3588</v>
      </c>
      <c r="AQ18" s="175">
        <v>3928</v>
      </c>
      <c r="AR18" s="176">
        <v>2798</v>
      </c>
      <c r="AS18" s="177">
        <v>0.70902777777777781</v>
      </c>
      <c r="AT18" s="176">
        <v>263</v>
      </c>
      <c r="AU18" s="178">
        <v>0.70833333333333337</v>
      </c>
      <c r="AV18" s="57">
        <f t="shared" si="54"/>
        <v>45700</v>
      </c>
      <c r="AW18" s="112">
        <f t="shared" si="73"/>
        <v>1</v>
      </c>
      <c r="AX18" s="112">
        <f t="shared" si="74"/>
        <v>0</v>
      </c>
      <c r="AY18" s="113">
        <f t="shared" si="21"/>
        <v>3085</v>
      </c>
      <c r="AZ18" s="114">
        <v>3085</v>
      </c>
      <c r="BA18" s="122">
        <f t="shared" si="80"/>
        <v>3085</v>
      </c>
      <c r="BB18" s="115">
        <v>0</v>
      </c>
      <c r="BC18" s="114">
        <v>2356</v>
      </c>
      <c r="BD18" s="116">
        <v>0.84375</v>
      </c>
      <c r="BE18" s="117">
        <v>0</v>
      </c>
      <c r="BF18" s="116">
        <v>0</v>
      </c>
      <c r="BG18" s="117">
        <v>0</v>
      </c>
      <c r="BH18" s="116">
        <v>0</v>
      </c>
      <c r="BI18" s="57">
        <f t="shared" si="55"/>
        <v>45700</v>
      </c>
      <c r="BJ18" s="80">
        <f t="shared" si="75"/>
        <v>0.61000836820083681</v>
      </c>
      <c r="BK18" s="78">
        <f t="shared" si="76"/>
        <v>0.38999163179916319</v>
      </c>
      <c r="BL18" s="81">
        <f t="shared" si="77"/>
        <v>29875</v>
      </c>
      <c r="BM18" s="179">
        <v>18224</v>
      </c>
      <c r="BN18" s="179">
        <v>11651</v>
      </c>
      <c r="BO18" s="180">
        <v>3337</v>
      </c>
      <c r="BP18" s="181">
        <v>0.39444444444444443</v>
      </c>
      <c r="BQ18" s="182">
        <v>2200</v>
      </c>
      <c r="BR18" s="181">
        <v>0.39444444444444443</v>
      </c>
    </row>
    <row r="19" spans="1:70" ht="15.75" thickBot="1" x14ac:dyDescent="0.25">
      <c r="B19" s="57">
        <v>45701</v>
      </c>
      <c r="C19" s="188"/>
      <c r="D19" s="89">
        <f t="shared" si="56"/>
        <v>44314</v>
      </c>
      <c r="E19" s="183">
        <f t="shared" si="57"/>
        <v>0.84661732183959926</v>
      </c>
      <c r="F19" s="89">
        <f t="shared" si="58"/>
        <v>37517</v>
      </c>
      <c r="G19" s="183">
        <f t="shared" si="59"/>
        <v>0.15338267816040077</v>
      </c>
      <c r="H19" s="170">
        <f t="shared" si="60"/>
        <v>6797</v>
      </c>
      <c r="I19" s="184">
        <f t="shared" si="61"/>
        <v>0.10195352233901046</v>
      </c>
      <c r="J19" s="183">
        <f t="shared" si="62"/>
        <v>0.17448684176208237</v>
      </c>
      <c r="K19" s="183">
        <f t="shared" si="63"/>
        <v>0.11056370711506194</v>
      </c>
      <c r="L19" s="185">
        <f t="shared" si="64"/>
        <v>0.64278448658094467</v>
      </c>
      <c r="M19" s="170">
        <f t="shared" si="65"/>
        <v>4001.6757518061609</v>
      </c>
      <c r="N19" s="170">
        <f t="shared" si="66"/>
        <v>6848.6085391617335</v>
      </c>
      <c r="O19" s="170">
        <f t="shared" si="67"/>
        <v>4339.6255042661815</v>
      </c>
      <c r="P19" s="170">
        <f t="shared" si="68"/>
        <v>25229.291098302077</v>
      </c>
      <c r="Q19" s="57">
        <f t="shared" si="51"/>
        <v>45701</v>
      </c>
      <c r="R19" s="163">
        <v>44314</v>
      </c>
      <c r="S19" s="164">
        <v>0</v>
      </c>
      <c r="T19" s="164">
        <v>39250</v>
      </c>
      <c r="U19" s="164">
        <v>2930</v>
      </c>
      <c r="V19" s="165">
        <v>10820</v>
      </c>
      <c r="W19" s="166">
        <v>0.8125</v>
      </c>
      <c r="X19" s="165">
        <v>3310</v>
      </c>
      <c r="Y19" s="166">
        <v>0.82291666666666663</v>
      </c>
      <c r="Z19" s="165">
        <v>159</v>
      </c>
      <c r="AA19" s="166">
        <v>0.9375</v>
      </c>
      <c r="AB19" s="57">
        <f t="shared" si="52"/>
        <v>45701</v>
      </c>
      <c r="AC19" s="78">
        <f t="shared" si="69"/>
        <v>1</v>
      </c>
      <c r="AD19" s="186">
        <f t="shared" si="70"/>
        <v>0</v>
      </c>
      <c r="AE19" s="187">
        <v>3909</v>
      </c>
      <c r="AF19" s="120">
        <f t="shared" ref="AF19" si="81">+AE19-AG19</f>
        <v>3909</v>
      </c>
      <c r="AG19" s="171">
        <v>0</v>
      </c>
      <c r="AH19" s="172">
        <v>2484</v>
      </c>
      <c r="AI19" s="173">
        <v>0.33541666666666664</v>
      </c>
      <c r="AJ19" s="172">
        <v>0</v>
      </c>
      <c r="AK19" s="189">
        <v>0</v>
      </c>
      <c r="AL19" s="57">
        <f t="shared" si="53"/>
        <v>45701</v>
      </c>
      <c r="AM19" s="79">
        <f t="shared" ref="AM19" si="82">+AP19/AO19</f>
        <v>0.42197309417040357</v>
      </c>
      <c r="AN19" s="78">
        <f t="shared" ref="AN19" si="83">+AQ19/AO19</f>
        <v>0.57802690582959637</v>
      </c>
      <c r="AO19" s="174">
        <v>6690</v>
      </c>
      <c r="AP19" s="119">
        <f t="shared" ref="AP19" si="84">AO19-AQ19</f>
        <v>2823</v>
      </c>
      <c r="AQ19" s="175">
        <v>3867</v>
      </c>
      <c r="AR19" s="176">
        <v>2395</v>
      </c>
      <c r="AS19" s="177">
        <v>1.0562499999999999</v>
      </c>
      <c r="AT19" s="176">
        <v>189</v>
      </c>
      <c r="AU19" s="178">
        <v>0.65347222222222223</v>
      </c>
      <c r="AV19" s="57">
        <f t="shared" si="54"/>
        <v>45701</v>
      </c>
      <c r="AW19" s="112">
        <f t="shared" ref="AW19" si="85">BA19/AZ19</f>
        <v>1</v>
      </c>
      <c r="AX19" s="112">
        <f t="shared" ref="AX19" si="86">BB19/AZ19</f>
        <v>0</v>
      </c>
      <c r="AY19" s="113">
        <f t="shared" si="21"/>
        <v>3097</v>
      </c>
      <c r="AZ19" s="114">
        <v>3097</v>
      </c>
      <c r="BA19" s="122">
        <f t="shared" ref="BA19:BA20" si="87">AZ19-BB19</f>
        <v>3097</v>
      </c>
      <c r="BB19" s="115">
        <v>0</v>
      </c>
      <c r="BC19" s="114">
        <v>2420</v>
      </c>
      <c r="BD19" s="116">
        <v>0.875</v>
      </c>
      <c r="BE19" s="117">
        <v>0</v>
      </c>
      <c r="BF19" s="116">
        <v>0</v>
      </c>
      <c r="BG19" s="117">
        <v>0</v>
      </c>
      <c r="BH19" s="116">
        <v>0</v>
      </c>
      <c r="BI19" s="57">
        <f t="shared" si="55"/>
        <v>45701</v>
      </c>
      <c r="BJ19" s="80">
        <f t="shared" ref="BJ19" si="88">+BM19/BL19</f>
        <v>0.61209170217082576</v>
      </c>
      <c r="BK19" s="78">
        <f t="shared" ref="BK19" si="89">+BN19/BL19</f>
        <v>0.3879082978291743</v>
      </c>
      <c r="BL19" s="81">
        <f t="shared" ref="BL19" si="90">BM19+BN19</f>
        <v>24645</v>
      </c>
      <c r="BM19" s="179">
        <v>15085</v>
      </c>
      <c r="BN19" s="179">
        <v>9560</v>
      </c>
      <c r="BO19" s="180">
        <v>3972</v>
      </c>
      <c r="BP19" s="181">
        <v>0.83263888888888893</v>
      </c>
      <c r="BQ19" s="182">
        <v>1949</v>
      </c>
      <c r="BR19" s="181">
        <v>0.83263888888888893</v>
      </c>
    </row>
    <row r="20" spans="1:70" ht="15.75" thickBot="1" x14ac:dyDescent="0.25">
      <c r="B20" s="57">
        <v>45702</v>
      </c>
      <c r="C20" s="188"/>
      <c r="D20" s="89">
        <f t="shared" si="56"/>
        <v>44490</v>
      </c>
      <c r="E20" s="183">
        <f t="shared" si="57"/>
        <v>0.84724657226343003</v>
      </c>
      <c r="F20" s="89">
        <f t="shared" si="58"/>
        <v>37694</v>
      </c>
      <c r="G20" s="183">
        <f t="shared" si="59"/>
        <v>0.15275342773657002</v>
      </c>
      <c r="H20" s="170">
        <f t="shared" si="60"/>
        <v>6796</v>
      </c>
      <c r="I20" s="184">
        <f t="shared" si="61"/>
        <v>0.10489837240090336</v>
      </c>
      <c r="J20" s="183">
        <f t="shared" si="62"/>
        <v>0.17558341769851776</v>
      </c>
      <c r="K20" s="183">
        <f t="shared" si="63"/>
        <v>0.10922800465099891</v>
      </c>
      <c r="L20" s="185">
        <f t="shared" si="64"/>
        <v>0.63904680320847285</v>
      </c>
      <c r="M20" s="170">
        <f t="shared" si="65"/>
        <v>4138.2407912156377</v>
      </c>
      <c r="N20" s="170">
        <f t="shared" si="66"/>
        <v>6926.7658282065258</v>
      </c>
      <c r="O20" s="170">
        <f t="shared" si="67"/>
        <v>4309.044783481907</v>
      </c>
      <c r="P20" s="170">
        <f t="shared" si="68"/>
        <v>25210.396386574255</v>
      </c>
      <c r="Q20" s="57">
        <f t="shared" si="51"/>
        <v>45702</v>
      </c>
      <c r="R20" s="163">
        <v>44490</v>
      </c>
      <c r="S20" s="164">
        <v>0</v>
      </c>
      <c r="T20" s="164">
        <v>39450</v>
      </c>
      <c r="U20" s="164">
        <v>2950</v>
      </c>
      <c r="V20" s="165">
        <v>10830</v>
      </c>
      <c r="W20" s="166">
        <v>0.85416666666666663</v>
      </c>
      <c r="X20" s="165">
        <v>3340</v>
      </c>
      <c r="Y20" s="166">
        <v>0.82291666666666663</v>
      </c>
      <c r="Z20" s="165">
        <v>158</v>
      </c>
      <c r="AA20" s="166">
        <v>0.89583333333333337</v>
      </c>
      <c r="AB20" s="57">
        <f t="shared" si="52"/>
        <v>45702</v>
      </c>
      <c r="AC20" s="78">
        <f t="shared" si="69"/>
        <v>1</v>
      </c>
      <c r="AD20" s="186">
        <f t="shared" si="70"/>
        <v>0</v>
      </c>
      <c r="AE20" s="187">
        <v>4041</v>
      </c>
      <c r="AF20" s="120">
        <f t="shared" si="78"/>
        <v>4041</v>
      </c>
      <c r="AG20" s="171">
        <v>0</v>
      </c>
      <c r="AH20" s="172">
        <v>2727</v>
      </c>
      <c r="AI20" s="173">
        <v>0.82916666666666672</v>
      </c>
      <c r="AJ20" s="172">
        <v>0</v>
      </c>
      <c r="AK20" s="189">
        <v>0</v>
      </c>
      <c r="AL20" s="57">
        <f t="shared" si="53"/>
        <v>45702</v>
      </c>
      <c r="AM20" s="79">
        <f t="shared" si="71"/>
        <v>0.43140153755174454</v>
      </c>
      <c r="AN20" s="78">
        <f t="shared" si="72"/>
        <v>0.56859846244825551</v>
      </c>
      <c r="AO20" s="174">
        <v>6764</v>
      </c>
      <c r="AP20" s="119">
        <f t="shared" si="79"/>
        <v>2918</v>
      </c>
      <c r="AQ20" s="175">
        <v>3846</v>
      </c>
      <c r="AR20" s="176">
        <v>2511</v>
      </c>
      <c r="AS20" s="177">
        <v>0.7006944444444444</v>
      </c>
      <c r="AT20" s="176">
        <v>199</v>
      </c>
      <c r="AU20" s="178">
        <v>0.87291666666666667</v>
      </c>
      <c r="AV20" s="57">
        <f t="shared" si="54"/>
        <v>45702</v>
      </c>
      <c r="AW20" s="112">
        <f t="shared" si="73"/>
        <v>1</v>
      </c>
      <c r="AX20" s="112">
        <f t="shared" si="74"/>
        <v>0</v>
      </c>
      <c r="AY20" s="113">
        <f t="shared" si="21"/>
        <v>3100</v>
      </c>
      <c r="AZ20" s="114">
        <v>3100</v>
      </c>
      <c r="BA20" s="122">
        <f t="shared" si="87"/>
        <v>3100</v>
      </c>
      <c r="BB20" s="115">
        <v>0</v>
      </c>
      <c r="BC20" s="114">
        <v>2480</v>
      </c>
      <c r="BD20" s="116">
        <v>0.85416666666666663</v>
      </c>
      <c r="BE20" s="117">
        <v>0</v>
      </c>
      <c r="BF20" s="116">
        <v>0</v>
      </c>
      <c r="BG20" s="117">
        <v>0</v>
      </c>
      <c r="BH20" s="116">
        <v>0</v>
      </c>
      <c r="BI20" s="57">
        <f t="shared" si="55"/>
        <v>45702</v>
      </c>
      <c r="BJ20" s="80">
        <f t="shared" si="75"/>
        <v>0.61832805264440649</v>
      </c>
      <c r="BK20" s="78">
        <f t="shared" si="76"/>
        <v>0.38167194735559345</v>
      </c>
      <c r="BL20" s="81">
        <f t="shared" si="77"/>
        <v>24618</v>
      </c>
      <c r="BM20" s="179">
        <v>15222</v>
      </c>
      <c r="BN20" s="179">
        <v>9396</v>
      </c>
      <c r="BO20" s="180">
        <v>3046</v>
      </c>
      <c r="BP20" s="181">
        <v>0.83402777777777781</v>
      </c>
      <c r="BQ20" s="182">
        <v>2046</v>
      </c>
      <c r="BR20" s="181">
        <v>0.83333333333333337</v>
      </c>
    </row>
    <row r="21" spans="1:70" ht="15.75" thickBot="1" x14ac:dyDescent="0.25">
      <c r="A21" s="14"/>
      <c r="B21" s="57">
        <v>45703</v>
      </c>
      <c r="C21" s="188"/>
      <c r="D21" s="89">
        <f t="shared" si="56"/>
        <v>31683</v>
      </c>
      <c r="E21" s="183">
        <f t="shared" si="57"/>
        <v>0.81015055392481772</v>
      </c>
      <c r="F21" s="89">
        <f t="shared" si="58"/>
        <v>25668</v>
      </c>
      <c r="G21" s="183">
        <f t="shared" si="59"/>
        <v>0.18984944607518228</v>
      </c>
      <c r="H21" s="170">
        <f t="shared" si="60"/>
        <v>6015</v>
      </c>
      <c r="I21" s="184">
        <f t="shared" si="61"/>
        <v>7.9537906137184117E-2</v>
      </c>
      <c r="J21" s="183">
        <f t="shared" si="62"/>
        <v>0.16542960288808664</v>
      </c>
      <c r="K21" s="183">
        <f t="shared" si="63"/>
        <v>0.1584388343696157</v>
      </c>
      <c r="L21" s="185">
        <f t="shared" si="64"/>
        <v>0.63286642599277976</v>
      </c>
      <c r="M21" s="170">
        <f t="shared" si="65"/>
        <v>2379.1378483754511</v>
      </c>
      <c r="N21" s="170">
        <f t="shared" si="66"/>
        <v>4948.3302815884472</v>
      </c>
      <c r="O21" s="170">
        <f t="shared" si="67"/>
        <v>4739.2224136639452</v>
      </c>
      <c r="P21" s="170">
        <f t="shared" si="68"/>
        <v>18930.300534296028</v>
      </c>
      <c r="Q21" s="57">
        <f t="shared" si="51"/>
        <v>45703</v>
      </c>
      <c r="R21" s="163">
        <v>31683</v>
      </c>
      <c r="S21" s="164">
        <v>0</v>
      </c>
      <c r="T21" s="164">
        <v>29912</v>
      </c>
      <c r="U21" s="164">
        <v>0</v>
      </c>
      <c r="V21" s="165">
        <v>6603</v>
      </c>
      <c r="W21" s="166">
        <v>0.77083333333333337</v>
      </c>
      <c r="X21" s="165">
        <v>2042</v>
      </c>
      <c r="Y21" s="166">
        <v>0.63541666666666663</v>
      </c>
      <c r="Z21" s="165">
        <v>0</v>
      </c>
      <c r="AA21" s="166">
        <v>0</v>
      </c>
      <c r="AB21" s="57">
        <f t="shared" si="52"/>
        <v>45703</v>
      </c>
      <c r="AC21" s="78">
        <f t="shared" si="69"/>
        <v>1</v>
      </c>
      <c r="AD21" s="186">
        <f t="shared" si="70"/>
        <v>0</v>
      </c>
      <c r="AE21" s="187">
        <v>2754</v>
      </c>
      <c r="AF21" s="120">
        <f t="shared" si="78"/>
        <v>2754</v>
      </c>
      <c r="AG21" s="171">
        <v>0</v>
      </c>
      <c r="AH21" s="172">
        <v>1631</v>
      </c>
      <c r="AI21" s="173">
        <v>0.75208333333333333</v>
      </c>
      <c r="AJ21" s="172">
        <v>0</v>
      </c>
      <c r="AK21" s="189">
        <v>0</v>
      </c>
      <c r="AL21" s="57">
        <f t="shared" si="53"/>
        <v>45703</v>
      </c>
      <c r="AM21" s="79">
        <f t="shared" si="71"/>
        <v>0.35771648044692739</v>
      </c>
      <c r="AN21" s="78">
        <f t="shared" si="72"/>
        <v>0.64228351955307261</v>
      </c>
      <c r="AO21" s="174">
        <v>5728</v>
      </c>
      <c r="AP21" s="119">
        <f t="shared" si="79"/>
        <v>2049</v>
      </c>
      <c r="AQ21" s="175">
        <v>3679</v>
      </c>
      <c r="AR21" s="176">
        <v>1620</v>
      </c>
      <c r="AS21" s="177">
        <v>0.35069444444444442</v>
      </c>
      <c r="AT21" s="176">
        <v>178</v>
      </c>
      <c r="AU21" s="178">
        <v>0.86458333333333337</v>
      </c>
      <c r="AV21" s="57">
        <f t="shared" si="54"/>
        <v>45703</v>
      </c>
      <c r="AW21" s="112">
        <f t="shared" si="73"/>
        <v>0.44775413711583922</v>
      </c>
      <c r="AX21" s="112">
        <f t="shared" si="74"/>
        <v>0.55224586288416078</v>
      </c>
      <c r="AY21" s="113">
        <f t="shared" si="21"/>
        <v>4230</v>
      </c>
      <c r="AZ21" s="114">
        <v>4230</v>
      </c>
      <c r="BA21" s="122">
        <f t="shared" si="80"/>
        <v>1894</v>
      </c>
      <c r="BB21" s="115">
        <v>2336</v>
      </c>
      <c r="BC21" s="114">
        <v>1626</v>
      </c>
      <c r="BD21" s="116">
        <v>0.36458333333333331</v>
      </c>
      <c r="BE21" s="117">
        <v>0</v>
      </c>
      <c r="BF21" s="116">
        <v>0</v>
      </c>
      <c r="BG21" s="117">
        <v>142</v>
      </c>
      <c r="BH21" s="116">
        <v>7.2916666666666671E-2</v>
      </c>
      <c r="BI21" s="57">
        <f t="shared" si="55"/>
        <v>45703</v>
      </c>
      <c r="BJ21" s="80">
        <f t="shared" si="75"/>
        <v>0.61310637521106193</v>
      </c>
      <c r="BK21" s="78">
        <f t="shared" si="76"/>
        <v>0.38689362478893807</v>
      </c>
      <c r="BL21" s="81">
        <f t="shared" si="77"/>
        <v>21913</v>
      </c>
      <c r="BM21" s="179">
        <v>13435</v>
      </c>
      <c r="BN21" s="179">
        <v>8478</v>
      </c>
      <c r="BO21" s="180">
        <v>2593</v>
      </c>
      <c r="BP21" s="181">
        <v>0.72222222222222221</v>
      </c>
      <c r="BQ21" s="182">
        <v>1692</v>
      </c>
      <c r="BR21" s="181">
        <v>0.72222222222222221</v>
      </c>
    </row>
    <row r="22" spans="1:70" ht="15.75" thickBot="1" x14ac:dyDescent="0.25">
      <c r="A22" s="14"/>
      <c r="B22" s="57">
        <v>45704</v>
      </c>
      <c r="C22" s="188"/>
      <c r="D22" s="89">
        <f t="shared" si="56"/>
        <v>27834</v>
      </c>
      <c r="E22" s="183">
        <f t="shared" si="57"/>
        <v>0.78694510311130283</v>
      </c>
      <c r="F22" s="89">
        <f t="shared" si="58"/>
        <v>21903.83</v>
      </c>
      <c r="G22" s="183">
        <f t="shared" si="59"/>
        <v>0.21305489688869728</v>
      </c>
      <c r="H22" s="170">
        <f t="shared" si="60"/>
        <v>5930.17</v>
      </c>
      <c r="I22" s="184">
        <f t="shared" si="61"/>
        <v>6.4418470301353073E-2</v>
      </c>
      <c r="J22" s="183">
        <f t="shared" si="62"/>
        <v>0.1692531383589968</v>
      </c>
      <c r="K22" s="183">
        <f t="shared" si="63"/>
        <v>0.16597130394798029</v>
      </c>
      <c r="L22" s="185">
        <f t="shared" si="64"/>
        <v>0.63985868517695532</v>
      </c>
      <c r="M22" s="170">
        <f t="shared" si="65"/>
        <v>1691.9511224650385</v>
      </c>
      <c r="N22" s="170">
        <f t="shared" si="66"/>
        <v>4445.4336789990512</v>
      </c>
      <c r="O22" s="170">
        <f t="shared" si="67"/>
        <v>4359.2362981937022</v>
      </c>
      <c r="P22" s="170">
        <f t="shared" si="68"/>
        <v>16805.88836617273</v>
      </c>
      <c r="Q22" s="57">
        <f t="shared" si="51"/>
        <v>45704</v>
      </c>
      <c r="R22" s="163">
        <v>27834</v>
      </c>
      <c r="S22" s="164">
        <v>0</v>
      </c>
      <c r="T22" s="164">
        <v>26265</v>
      </c>
      <c r="U22" s="164">
        <v>0</v>
      </c>
      <c r="V22" s="165">
        <v>6316.9</v>
      </c>
      <c r="W22" s="166">
        <v>0.44791666666666669</v>
      </c>
      <c r="X22" s="165">
        <v>2141.5</v>
      </c>
      <c r="Y22" s="166">
        <v>0.44791666666666669</v>
      </c>
      <c r="Z22" s="165">
        <v>0</v>
      </c>
      <c r="AA22" s="166">
        <v>0</v>
      </c>
      <c r="AB22" s="57">
        <f t="shared" si="52"/>
        <v>45704</v>
      </c>
      <c r="AC22" s="78">
        <f t="shared" si="69"/>
        <v>1</v>
      </c>
      <c r="AD22" s="186">
        <f t="shared" si="70"/>
        <v>0</v>
      </c>
      <c r="AE22" s="187">
        <v>1952.5</v>
      </c>
      <c r="AF22" s="120">
        <f t="shared" si="78"/>
        <v>1952.5</v>
      </c>
      <c r="AG22" s="171">
        <v>0</v>
      </c>
      <c r="AH22" s="172">
        <v>1424.72</v>
      </c>
      <c r="AI22" s="173">
        <v>0.72013888888888888</v>
      </c>
      <c r="AJ22" s="172">
        <v>0</v>
      </c>
      <c r="AK22" s="189">
        <v>0</v>
      </c>
      <c r="AL22" s="57">
        <f t="shared" si="53"/>
        <v>45704</v>
      </c>
      <c r="AM22" s="79">
        <f t="shared" si="71"/>
        <v>0.29899805068226121</v>
      </c>
      <c r="AN22" s="78">
        <f t="shared" si="72"/>
        <v>0.70100194931773874</v>
      </c>
      <c r="AO22" s="174">
        <v>5130</v>
      </c>
      <c r="AP22" s="119">
        <f t="shared" si="79"/>
        <v>1533.8600000000001</v>
      </c>
      <c r="AQ22" s="175">
        <v>3596.14</v>
      </c>
      <c r="AR22" s="176">
        <v>1587.34</v>
      </c>
      <c r="AS22" s="177">
        <v>0.76736111111111116</v>
      </c>
      <c r="AT22" s="176">
        <v>174</v>
      </c>
      <c r="AU22" s="178">
        <v>0.97916666666666663</v>
      </c>
      <c r="AV22" s="57">
        <f t="shared" si="54"/>
        <v>45704</v>
      </c>
      <c r="AW22" s="112">
        <f t="shared" si="73"/>
        <v>0.39110937194286827</v>
      </c>
      <c r="AX22" s="112">
        <f t="shared" si="74"/>
        <v>0.60889062805713168</v>
      </c>
      <c r="AY22" s="113">
        <f t="shared" si="21"/>
        <v>3833.25</v>
      </c>
      <c r="AZ22" s="114">
        <v>3833.25</v>
      </c>
      <c r="BA22" s="122">
        <f t="shared" si="80"/>
        <v>1499.2199999999998</v>
      </c>
      <c r="BB22" s="115">
        <v>2334.0300000000002</v>
      </c>
      <c r="BC22" s="114">
        <v>1441.06</v>
      </c>
      <c r="BD22" s="116">
        <v>0.40625</v>
      </c>
      <c r="BE22" s="117">
        <v>0</v>
      </c>
      <c r="BF22" s="116">
        <v>0</v>
      </c>
      <c r="BG22" s="117">
        <v>147.5</v>
      </c>
      <c r="BH22" s="116">
        <v>0.91666666666666663</v>
      </c>
      <c r="BI22" s="57">
        <f t="shared" si="55"/>
        <v>45704</v>
      </c>
      <c r="BJ22" s="80">
        <f t="shared" si="75"/>
        <v>0.61581282342677168</v>
      </c>
      <c r="BK22" s="78">
        <f t="shared" si="76"/>
        <v>0.38418717657322826</v>
      </c>
      <c r="BL22" s="81">
        <f t="shared" si="77"/>
        <v>19393.88</v>
      </c>
      <c r="BM22" s="179">
        <v>11943</v>
      </c>
      <c r="BN22" s="179">
        <v>7450.88</v>
      </c>
      <c r="BO22" s="180">
        <v>2700.9</v>
      </c>
      <c r="BP22" s="181">
        <v>0.40069444444444446</v>
      </c>
      <c r="BQ22" s="182">
        <v>1761</v>
      </c>
      <c r="BR22" s="181">
        <v>0.40069444444444446</v>
      </c>
    </row>
    <row r="23" spans="1:70" ht="15.75" thickBot="1" x14ac:dyDescent="0.25">
      <c r="A23" s="14"/>
      <c r="B23" s="57">
        <v>45705</v>
      </c>
      <c r="C23" s="188"/>
      <c r="D23" s="89">
        <f t="shared" si="56"/>
        <v>44269</v>
      </c>
      <c r="E23" s="183">
        <f t="shared" si="57"/>
        <v>0.85956312543766522</v>
      </c>
      <c r="F23" s="89">
        <f t="shared" si="58"/>
        <v>38052</v>
      </c>
      <c r="G23" s="183">
        <f t="shared" si="59"/>
        <v>0.14043687456233481</v>
      </c>
      <c r="H23" s="170">
        <f t="shared" si="60"/>
        <v>6217</v>
      </c>
      <c r="I23" s="184">
        <f t="shared" si="61"/>
        <v>9.9344489230894506E-2</v>
      </c>
      <c r="J23" s="183">
        <f t="shared" si="62"/>
        <v>0.15042139978013924</v>
      </c>
      <c r="K23" s="183">
        <f t="shared" si="63"/>
        <v>0.15318792372343396</v>
      </c>
      <c r="L23" s="185">
        <f t="shared" si="64"/>
        <v>0.62741745042954278</v>
      </c>
      <c r="M23" s="170">
        <f t="shared" si="65"/>
        <v>4216.2794674483939</v>
      </c>
      <c r="N23" s="170">
        <f t="shared" si="66"/>
        <v>6384.03462806889</v>
      </c>
      <c r="O23" s="170">
        <f t="shared" si="67"/>
        <v>6501.4486707462602</v>
      </c>
      <c r="P23" s="170">
        <f t="shared" si="68"/>
        <v>26628.224013680225</v>
      </c>
      <c r="Q23" s="57">
        <f t="shared" si="51"/>
        <v>45705</v>
      </c>
      <c r="R23" s="163">
        <v>44269</v>
      </c>
      <c r="S23" s="164">
        <v>0</v>
      </c>
      <c r="T23" s="164">
        <v>42441</v>
      </c>
      <c r="U23" s="164">
        <v>0</v>
      </c>
      <c r="V23" s="165">
        <v>9692</v>
      </c>
      <c r="W23" s="166">
        <v>0.41666666666666669</v>
      </c>
      <c r="X23" s="165">
        <v>3213</v>
      </c>
      <c r="Y23" s="166">
        <v>0.375</v>
      </c>
      <c r="Z23" s="165">
        <v>0</v>
      </c>
      <c r="AA23" s="166">
        <v>0</v>
      </c>
      <c r="AB23" s="57">
        <f t="shared" si="52"/>
        <v>45705</v>
      </c>
      <c r="AC23" s="78">
        <f t="shared" si="69"/>
        <v>1</v>
      </c>
      <c r="AD23" s="186">
        <f t="shared" si="70"/>
        <v>0</v>
      </c>
      <c r="AE23" s="187">
        <v>4880</v>
      </c>
      <c r="AF23" s="120">
        <f t="shared" si="78"/>
        <v>4880</v>
      </c>
      <c r="AG23" s="171">
        <v>0</v>
      </c>
      <c r="AH23" s="172">
        <v>2354</v>
      </c>
      <c r="AI23" s="173">
        <v>0.8</v>
      </c>
      <c r="AJ23" s="172">
        <v>0</v>
      </c>
      <c r="AK23" s="189">
        <v>0</v>
      </c>
      <c r="AL23" s="57">
        <f t="shared" si="53"/>
        <v>45705</v>
      </c>
      <c r="AM23" s="79">
        <f t="shared" si="71"/>
        <v>0.48694004601434565</v>
      </c>
      <c r="AN23" s="78">
        <f t="shared" si="72"/>
        <v>0.5130599539856544</v>
      </c>
      <c r="AO23" s="174">
        <v>7389</v>
      </c>
      <c r="AP23" s="119">
        <f t="shared" si="79"/>
        <v>3598</v>
      </c>
      <c r="AQ23" s="175">
        <v>3791</v>
      </c>
      <c r="AR23" s="176">
        <v>2204</v>
      </c>
      <c r="AS23" s="177">
        <v>0.80902777777777779</v>
      </c>
      <c r="AT23" s="176">
        <v>180</v>
      </c>
      <c r="AU23" s="178">
        <v>0.29166666666666669</v>
      </c>
      <c r="AV23" s="57">
        <f t="shared" si="54"/>
        <v>45705</v>
      </c>
      <c r="AW23" s="112">
        <f t="shared" si="73"/>
        <v>0.59787833581965855</v>
      </c>
      <c r="AX23" s="112">
        <f t="shared" si="74"/>
        <v>0.40212166418034145</v>
      </c>
      <c r="AY23" s="113">
        <f t="shared" si="21"/>
        <v>6033</v>
      </c>
      <c r="AZ23" s="114">
        <v>6033</v>
      </c>
      <c r="BA23" s="122">
        <f t="shared" si="80"/>
        <v>3607</v>
      </c>
      <c r="BB23" s="115">
        <v>2426</v>
      </c>
      <c r="BC23" s="114">
        <v>2366</v>
      </c>
      <c r="BD23" s="116">
        <v>0.375</v>
      </c>
      <c r="BE23" s="117">
        <v>0</v>
      </c>
      <c r="BF23" s="116">
        <v>0</v>
      </c>
      <c r="BG23" s="117">
        <v>144</v>
      </c>
      <c r="BH23" s="116">
        <v>0.91666666666666663</v>
      </c>
      <c r="BI23" s="57">
        <f t="shared" si="55"/>
        <v>45705</v>
      </c>
      <c r="BJ23" s="80">
        <f t="shared" si="75"/>
        <v>0.61125892277741722</v>
      </c>
      <c r="BK23" s="78">
        <f t="shared" si="76"/>
        <v>0.38874107722258272</v>
      </c>
      <c r="BL23" s="81">
        <f t="shared" si="77"/>
        <v>30820</v>
      </c>
      <c r="BM23" s="179">
        <v>18839</v>
      </c>
      <c r="BN23" s="179">
        <v>11981</v>
      </c>
      <c r="BO23" s="180">
        <v>3441</v>
      </c>
      <c r="BP23" s="181">
        <v>0.41041666666666665</v>
      </c>
      <c r="BQ23" s="182">
        <v>2290</v>
      </c>
      <c r="BR23" s="181">
        <v>0.41041666666666665</v>
      </c>
    </row>
    <row r="24" spans="1:70" ht="15.75" thickBot="1" x14ac:dyDescent="0.25">
      <c r="A24" s="14"/>
      <c r="B24" s="57">
        <v>45706</v>
      </c>
      <c r="C24" s="188"/>
      <c r="D24" s="89">
        <f t="shared" si="56"/>
        <v>43494</v>
      </c>
      <c r="E24" s="183">
        <f t="shared" si="57"/>
        <v>0.85747459419690075</v>
      </c>
      <c r="F24" s="89">
        <f t="shared" si="58"/>
        <v>37295</v>
      </c>
      <c r="G24" s="183">
        <f t="shared" si="59"/>
        <v>0.14252540580309928</v>
      </c>
      <c r="H24" s="170">
        <f t="shared" si="60"/>
        <v>6199</v>
      </c>
      <c r="I24" s="184">
        <f t="shared" si="61"/>
        <v>0.10065731996505388</v>
      </c>
      <c r="J24" s="183">
        <f t="shared" si="62"/>
        <v>0.15501102467029995</v>
      </c>
      <c r="K24" s="183">
        <f t="shared" si="63"/>
        <v>0.15249396307740243</v>
      </c>
      <c r="L24" s="185">
        <f t="shared" si="64"/>
        <v>0.62216582768232309</v>
      </c>
      <c r="M24" s="170">
        <f t="shared" si="65"/>
        <v>4212.2068685776094</v>
      </c>
      <c r="N24" s="170">
        <f t="shared" si="66"/>
        <v>6486.7463493780424</v>
      </c>
      <c r="O24" s="170">
        <f t="shared" si="67"/>
        <v>6381.414872900059</v>
      </c>
      <c r="P24" s="170">
        <f t="shared" si="68"/>
        <v>26035.773391022176</v>
      </c>
      <c r="Q24" s="57">
        <f t="shared" si="51"/>
        <v>45706</v>
      </c>
      <c r="R24" s="163">
        <v>43494</v>
      </c>
      <c r="S24" s="164">
        <v>0</v>
      </c>
      <c r="T24" s="164">
        <v>41847</v>
      </c>
      <c r="U24" s="164">
        <v>0</v>
      </c>
      <c r="V24" s="165">
        <v>8413</v>
      </c>
      <c r="W24" s="166">
        <v>0.78125</v>
      </c>
      <c r="X24" s="165">
        <v>3156</v>
      </c>
      <c r="Y24" s="166">
        <v>0.38541666666666669</v>
      </c>
      <c r="Z24" s="165">
        <v>0</v>
      </c>
      <c r="AA24" s="166">
        <v>0</v>
      </c>
      <c r="AB24" s="57">
        <f t="shared" si="52"/>
        <v>45706</v>
      </c>
      <c r="AC24" s="78">
        <f t="shared" si="69"/>
        <v>1</v>
      </c>
      <c r="AD24" s="186">
        <f t="shared" si="70"/>
        <v>0</v>
      </c>
      <c r="AE24" s="187">
        <v>4839</v>
      </c>
      <c r="AF24" s="120">
        <f t="shared" si="78"/>
        <v>4839</v>
      </c>
      <c r="AG24" s="171">
        <v>0</v>
      </c>
      <c r="AH24" s="172">
        <v>2623</v>
      </c>
      <c r="AI24" s="173">
        <v>0.76666666666666672</v>
      </c>
      <c r="AJ24" s="172">
        <v>0</v>
      </c>
      <c r="AK24" s="189">
        <v>0</v>
      </c>
      <c r="AL24" s="57">
        <f t="shared" si="53"/>
        <v>45706</v>
      </c>
      <c r="AM24" s="79">
        <f t="shared" si="71"/>
        <v>0.48738593666129898</v>
      </c>
      <c r="AN24" s="78">
        <f t="shared" si="72"/>
        <v>0.51261406333870096</v>
      </c>
      <c r="AO24" s="174">
        <v>7452</v>
      </c>
      <c r="AP24" s="119">
        <f t="shared" si="79"/>
        <v>3632</v>
      </c>
      <c r="AQ24" s="175">
        <v>3820</v>
      </c>
      <c r="AR24" s="176">
        <v>2367</v>
      </c>
      <c r="AS24" s="177">
        <v>0.70972222222222225</v>
      </c>
      <c r="AT24" s="176">
        <v>179</v>
      </c>
      <c r="AU24" s="178">
        <v>0.95833333333333337</v>
      </c>
      <c r="AV24" s="57">
        <f t="shared" si="54"/>
        <v>45706</v>
      </c>
      <c r="AW24" s="112">
        <f t="shared" si="73"/>
        <v>0.59492593223224932</v>
      </c>
      <c r="AX24" s="112">
        <f t="shared" si="74"/>
        <v>0.40507406776775073</v>
      </c>
      <c r="AY24" s="113">
        <f t="shared" si="21"/>
        <v>5873</v>
      </c>
      <c r="AZ24" s="114">
        <v>5873</v>
      </c>
      <c r="BA24" s="122">
        <f t="shared" si="80"/>
        <v>3494</v>
      </c>
      <c r="BB24" s="115">
        <v>2379</v>
      </c>
      <c r="BC24" s="114">
        <v>2322</v>
      </c>
      <c r="BD24" s="116">
        <v>0.71875</v>
      </c>
      <c r="BE24" s="117">
        <v>0</v>
      </c>
      <c r="BF24" s="116">
        <v>0</v>
      </c>
      <c r="BG24" s="117">
        <v>141</v>
      </c>
      <c r="BH24" s="116">
        <v>0.30208333333333331</v>
      </c>
      <c r="BI24" s="57">
        <f t="shared" si="55"/>
        <v>45706</v>
      </c>
      <c r="BJ24" s="80">
        <f t="shared" si="75"/>
        <v>0.61170177198261455</v>
      </c>
      <c r="BK24" s="78">
        <f t="shared" si="76"/>
        <v>0.3882982280173855</v>
      </c>
      <c r="BL24" s="81">
        <f t="shared" si="77"/>
        <v>29910</v>
      </c>
      <c r="BM24" s="179">
        <v>18296</v>
      </c>
      <c r="BN24" s="179">
        <v>11614</v>
      </c>
      <c r="BO24" s="180">
        <v>3362</v>
      </c>
      <c r="BP24" s="181">
        <v>0.3347222222222222</v>
      </c>
      <c r="BQ24" s="182">
        <v>2218</v>
      </c>
      <c r="BR24" s="181">
        <v>0.3347222222222222</v>
      </c>
    </row>
    <row r="25" spans="1:70" ht="15.75" thickBot="1" x14ac:dyDescent="0.25">
      <c r="A25" s="14"/>
      <c r="B25" s="57">
        <v>45707</v>
      </c>
      <c r="C25" s="188"/>
      <c r="D25" s="89">
        <f t="shared" ref="D25:D37" si="91">R25</f>
        <v>42441</v>
      </c>
      <c r="E25" s="183">
        <f t="shared" ref="E25:E37" si="92">F25/D25</f>
        <v>0.8514643858533022</v>
      </c>
      <c r="F25" s="89">
        <f t="shared" ref="F25:F37" si="93">D25-H25</f>
        <v>36137</v>
      </c>
      <c r="G25" s="183">
        <f t="shared" ref="G25:G37" si="94">H25/D25</f>
        <v>0.14853561414669778</v>
      </c>
      <c r="H25" s="170">
        <f t="shared" ref="H25:H37" si="95">U25+AG25+AQ25+BB25</f>
        <v>6304</v>
      </c>
      <c r="I25" s="184">
        <f t="shared" ref="I25:I37" si="96">AE25/(AE25+AO25+BL25+AY25)</f>
        <v>9.9238578680203041E-2</v>
      </c>
      <c r="J25" s="183">
        <f t="shared" ref="J25:J37" si="97">AO25/(AE25+AO25+BL25+AY25)</f>
        <v>0.15552030456852792</v>
      </c>
      <c r="K25" s="183">
        <f t="shared" ref="K25:K37" si="98">AY25/(AF25+AP25+BM25+AZ25+AY25)</f>
        <v>0.15294117647058825</v>
      </c>
      <c r="L25" s="185">
        <f t="shared" ref="L25:L37" si="99">BL25/(AE25+AO25+BL25+AY25)</f>
        <v>0.6239847715736041</v>
      </c>
      <c r="M25" s="170">
        <f t="shared" ref="M25:M37" si="100">(S25+T25)*I25</f>
        <v>4060.1479695431472</v>
      </c>
      <c r="N25" s="170">
        <f t="shared" ref="N25:N37" si="101">(S25+T25)*J25</f>
        <v>6362.8022208121829</v>
      </c>
      <c r="O25" s="170">
        <f t="shared" ref="O25:O37" si="102">(S25+T25)*K25</f>
        <v>6257.2823529411771</v>
      </c>
      <c r="P25" s="170">
        <f t="shared" ref="P25:P37" si="103">(S25+T25)*L25</f>
        <v>25529.088959390865</v>
      </c>
      <c r="Q25" s="57">
        <f t="shared" si="51"/>
        <v>45707</v>
      </c>
      <c r="R25" s="163">
        <v>42441</v>
      </c>
      <c r="S25" s="164">
        <v>0</v>
      </c>
      <c r="T25" s="164">
        <v>40913</v>
      </c>
      <c r="U25" s="164">
        <v>0</v>
      </c>
      <c r="V25" s="165">
        <v>9424</v>
      </c>
      <c r="W25" s="166">
        <v>0.75</v>
      </c>
      <c r="X25" s="165">
        <v>3171</v>
      </c>
      <c r="Y25" s="166">
        <v>0.39583333333333331</v>
      </c>
      <c r="Z25" s="165">
        <v>0</v>
      </c>
      <c r="AA25" s="166">
        <v>0</v>
      </c>
      <c r="AB25" s="57">
        <f t="shared" si="52"/>
        <v>45707</v>
      </c>
      <c r="AC25" s="78">
        <f t="shared" ref="AC25:AC37" si="104">+AF25/AE25</f>
        <v>1</v>
      </c>
      <c r="AD25" s="186">
        <f t="shared" ref="AD25:AD37" si="105">+AG25/AE25</f>
        <v>0</v>
      </c>
      <c r="AE25" s="187">
        <v>4692</v>
      </c>
      <c r="AF25" s="120">
        <f t="shared" ref="AF25:AF37" si="106">+AE25-AG25</f>
        <v>4692</v>
      </c>
      <c r="AG25" s="171">
        <v>0</v>
      </c>
      <c r="AH25" s="172">
        <v>2171</v>
      </c>
      <c r="AI25" s="173">
        <v>0.41249999999999998</v>
      </c>
      <c r="AJ25" s="172">
        <v>0</v>
      </c>
      <c r="AK25" s="189">
        <v>0</v>
      </c>
      <c r="AL25" s="57">
        <f t="shared" si="53"/>
        <v>45707</v>
      </c>
      <c r="AM25" s="79">
        <f t="shared" ref="AM25:AM37" si="107">+AP25/AO25</f>
        <v>0.46770025839793283</v>
      </c>
      <c r="AN25" s="78">
        <f t="shared" ref="AN25:AN37" si="108">+AQ25/AO25</f>
        <v>0.53229974160206717</v>
      </c>
      <c r="AO25" s="174">
        <v>7353</v>
      </c>
      <c r="AP25" s="119">
        <f t="shared" ref="AP25:AP37" si="109">AO25-AQ25</f>
        <v>3439</v>
      </c>
      <c r="AQ25" s="175">
        <v>3914</v>
      </c>
      <c r="AR25" s="176">
        <v>2165</v>
      </c>
      <c r="AS25" s="177">
        <v>0.73263888888888884</v>
      </c>
      <c r="AT25" s="176">
        <v>185</v>
      </c>
      <c r="AU25" s="178">
        <v>0.32291666666666669</v>
      </c>
      <c r="AV25" s="57">
        <f t="shared" si="54"/>
        <v>45707</v>
      </c>
      <c r="AW25" s="112">
        <f t="shared" ref="AW25:AW37" si="110">BA25/AZ25</f>
        <v>0.58311529740101165</v>
      </c>
      <c r="AX25" s="112">
        <f t="shared" ref="AX25:AX37" si="111">BB25/AZ25</f>
        <v>0.4168847025989883</v>
      </c>
      <c r="AY25" s="113">
        <f t="shared" si="21"/>
        <v>5733</v>
      </c>
      <c r="AZ25" s="114">
        <v>5733</v>
      </c>
      <c r="BA25" s="122">
        <f t="shared" ref="BA25:BA37" si="112">AZ25-BB25</f>
        <v>3343</v>
      </c>
      <c r="BB25" s="115">
        <v>2390</v>
      </c>
      <c r="BC25" s="114">
        <v>2293</v>
      </c>
      <c r="BD25" s="116">
        <v>0.75</v>
      </c>
      <c r="BE25" s="117">
        <v>0</v>
      </c>
      <c r="BF25" s="116">
        <v>0</v>
      </c>
      <c r="BG25" s="117">
        <v>146</v>
      </c>
      <c r="BH25" s="116">
        <v>0.16666666666666666</v>
      </c>
      <c r="BI25" s="57">
        <f t="shared" si="55"/>
        <v>45707</v>
      </c>
      <c r="BJ25" s="80">
        <f t="shared" ref="BJ25:BJ37" si="113">+BM25/BL25</f>
        <v>0.606331774117009</v>
      </c>
      <c r="BK25" s="78">
        <f t="shared" ref="BK25:BK37" si="114">+BN25/BL25</f>
        <v>0.393668225882991</v>
      </c>
      <c r="BL25" s="81">
        <f t="shared" ref="BL25:BL37" si="115">BM25+BN25</f>
        <v>29502</v>
      </c>
      <c r="BM25" s="179">
        <v>17888</v>
      </c>
      <c r="BN25" s="179">
        <v>11614</v>
      </c>
      <c r="BO25" s="180">
        <v>3312</v>
      </c>
      <c r="BP25" s="181">
        <v>0.35138888888888886</v>
      </c>
      <c r="BQ25" s="182">
        <v>2198</v>
      </c>
      <c r="BR25" s="181">
        <v>0.35138888888888886</v>
      </c>
    </row>
    <row r="26" spans="1:70" ht="15.75" thickBot="1" x14ac:dyDescent="0.25">
      <c r="A26" s="14" t="s">
        <v>68</v>
      </c>
      <c r="B26" s="57">
        <v>45708</v>
      </c>
      <c r="C26" s="188"/>
      <c r="D26" s="89">
        <f t="shared" si="91"/>
        <v>44347</v>
      </c>
      <c r="E26" s="183">
        <f t="shared" si="92"/>
        <v>0.85820912350328094</v>
      </c>
      <c r="F26" s="89">
        <f t="shared" si="93"/>
        <v>38059</v>
      </c>
      <c r="G26" s="183">
        <f t="shared" si="94"/>
        <v>0.14179087649671906</v>
      </c>
      <c r="H26" s="170">
        <f t="shared" si="95"/>
        <v>6288</v>
      </c>
      <c r="I26" s="184">
        <f t="shared" si="96"/>
        <v>0.10168593154343261</v>
      </c>
      <c r="J26" s="183">
        <f t="shared" si="97"/>
        <v>0.15146881944019733</v>
      </c>
      <c r="K26" s="183">
        <f t="shared" si="98"/>
        <v>0.15470300170003298</v>
      </c>
      <c r="L26" s="185">
        <f t="shared" si="99"/>
        <v>0.62255111817829689</v>
      </c>
      <c r="M26" s="170">
        <f t="shared" si="100"/>
        <v>4365.9871567488226</v>
      </c>
      <c r="N26" s="170">
        <f t="shared" si="101"/>
        <v>6503.4652314843124</v>
      </c>
      <c r="O26" s="170">
        <f t="shared" si="102"/>
        <v>6642.3280809926164</v>
      </c>
      <c r="P26" s="170">
        <f t="shared" si="103"/>
        <v>26729.854810103356</v>
      </c>
      <c r="Q26" s="57">
        <f t="shared" si="51"/>
        <v>45708</v>
      </c>
      <c r="R26" s="163">
        <v>44347</v>
      </c>
      <c r="S26" s="164">
        <v>0</v>
      </c>
      <c r="T26" s="164">
        <v>42936</v>
      </c>
      <c r="U26" s="164">
        <v>0</v>
      </c>
      <c r="V26" s="165">
        <v>9501</v>
      </c>
      <c r="W26" s="166">
        <v>0.39583333333333331</v>
      </c>
      <c r="X26" s="165">
        <v>3465</v>
      </c>
      <c r="Y26" s="166">
        <v>0.41666666666666669</v>
      </c>
      <c r="Z26" s="165">
        <v>0</v>
      </c>
      <c r="AA26" s="166">
        <v>0</v>
      </c>
      <c r="AB26" s="57">
        <f t="shared" si="52"/>
        <v>45708</v>
      </c>
      <c r="AC26" s="78">
        <f t="shared" si="104"/>
        <v>1</v>
      </c>
      <c r="AD26" s="186">
        <f t="shared" si="105"/>
        <v>0</v>
      </c>
      <c r="AE26" s="187">
        <v>4988</v>
      </c>
      <c r="AF26" s="120">
        <f t="shared" si="106"/>
        <v>4988</v>
      </c>
      <c r="AG26" s="171">
        <v>0</v>
      </c>
      <c r="AH26" s="172">
        <v>2448</v>
      </c>
      <c r="AI26" s="173">
        <v>0.76666666666666672</v>
      </c>
      <c r="AJ26" s="172">
        <v>0</v>
      </c>
      <c r="AK26" s="189">
        <v>0</v>
      </c>
      <c r="AL26" s="57">
        <f t="shared" si="53"/>
        <v>45708</v>
      </c>
      <c r="AM26" s="79">
        <f t="shared" si="107"/>
        <v>0.48008075370121128</v>
      </c>
      <c r="AN26" s="78">
        <f t="shared" si="108"/>
        <v>0.51991924629878872</v>
      </c>
      <c r="AO26" s="174">
        <v>7430</v>
      </c>
      <c r="AP26" s="119">
        <f t="shared" si="109"/>
        <v>3567</v>
      </c>
      <c r="AQ26" s="175">
        <v>3863</v>
      </c>
      <c r="AR26" s="176">
        <v>2398</v>
      </c>
      <c r="AS26" s="177">
        <v>0.75486111111111109</v>
      </c>
      <c r="AT26" s="176">
        <v>181</v>
      </c>
      <c r="AU26" s="178">
        <v>0.66666666666666663</v>
      </c>
      <c r="AV26" s="57">
        <f t="shared" si="54"/>
        <v>45708</v>
      </c>
      <c r="AW26" s="112">
        <f t="shared" si="110"/>
        <v>0.60226340823355751</v>
      </c>
      <c r="AX26" s="112">
        <f t="shared" si="111"/>
        <v>0.39773659176644249</v>
      </c>
      <c r="AY26" s="113">
        <f t="shared" si="21"/>
        <v>6097</v>
      </c>
      <c r="AZ26" s="114">
        <v>6097</v>
      </c>
      <c r="BA26" s="122">
        <f t="shared" si="112"/>
        <v>3672</v>
      </c>
      <c r="BB26" s="115">
        <v>2425</v>
      </c>
      <c r="BC26" s="114">
        <v>2468</v>
      </c>
      <c r="BD26" s="116">
        <v>0.84375</v>
      </c>
      <c r="BE26" s="117">
        <v>0</v>
      </c>
      <c r="BF26" s="116">
        <v>0</v>
      </c>
      <c r="BG26" s="117">
        <v>141</v>
      </c>
      <c r="BH26" s="116">
        <v>0.89583333333333337</v>
      </c>
      <c r="BI26" s="57">
        <f t="shared" si="55"/>
        <v>45708</v>
      </c>
      <c r="BJ26" s="80">
        <f t="shared" si="113"/>
        <v>0.61110747265701748</v>
      </c>
      <c r="BK26" s="78">
        <f t="shared" si="114"/>
        <v>0.38889252734298252</v>
      </c>
      <c r="BL26" s="81">
        <f t="shared" si="115"/>
        <v>30538</v>
      </c>
      <c r="BM26" s="179">
        <v>18662</v>
      </c>
      <c r="BN26" s="179">
        <v>11876</v>
      </c>
      <c r="BO26" s="180">
        <v>3253</v>
      </c>
      <c r="BP26" s="181">
        <v>0.36736111111111114</v>
      </c>
      <c r="BQ26" s="182">
        <v>2156</v>
      </c>
      <c r="BR26" s="181">
        <v>0.36736111111111114</v>
      </c>
    </row>
    <row r="27" spans="1:70" ht="15.75" thickBot="1" x14ac:dyDescent="0.25">
      <c r="A27" s="14"/>
      <c r="B27" s="57">
        <v>45709</v>
      </c>
      <c r="C27" s="188"/>
      <c r="D27" s="89">
        <f t="shared" si="91"/>
        <v>43426</v>
      </c>
      <c r="E27" s="183">
        <f t="shared" si="92"/>
        <v>0.85637705522037488</v>
      </c>
      <c r="F27" s="89">
        <f t="shared" si="93"/>
        <v>37189.03</v>
      </c>
      <c r="G27" s="183">
        <f t="shared" si="94"/>
        <v>0.14362294477962509</v>
      </c>
      <c r="H27" s="170">
        <f t="shared" si="95"/>
        <v>6236.9699999999993</v>
      </c>
      <c r="I27" s="184">
        <f t="shared" si="96"/>
        <v>0.10105260964900858</v>
      </c>
      <c r="J27" s="183">
        <f t="shared" si="97"/>
        <v>0.15541747613268819</v>
      </c>
      <c r="K27" s="183">
        <f t="shared" si="98"/>
        <v>0.15293424061497959</v>
      </c>
      <c r="L27" s="185">
        <f t="shared" si="99"/>
        <v>0.62090427554310179</v>
      </c>
      <c r="M27" s="170">
        <f t="shared" si="100"/>
        <v>4245.8264470127451</v>
      </c>
      <c r="N27" s="170">
        <f t="shared" si="101"/>
        <v>6530.0206771910271</v>
      </c>
      <c r="O27" s="170">
        <f t="shared" si="102"/>
        <v>6425.6850536789825</v>
      </c>
      <c r="P27" s="170">
        <f t="shared" si="103"/>
        <v>26087.914041218966</v>
      </c>
      <c r="Q27" s="57">
        <f t="shared" si="51"/>
        <v>45709</v>
      </c>
      <c r="R27" s="163">
        <v>43426</v>
      </c>
      <c r="S27" s="164">
        <v>0</v>
      </c>
      <c r="T27" s="164">
        <v>42016</v>
      </c>
      <c r="U27" s="164">
        <v>5.66</v>
      </c>
      <c r="V27" s="165">
        <v>10134.14</v>
      </c>
      <c r="W27" s="166">
        <v>0.8125</v>
      </c>
      <c r="X27" s="165">
        <v>3275.3</v>
      </c>
      <c r="Y27" s="166">
        <v>0.77083333333333337</v>
      </c>
      <c r="Z27" s="165">
        <v>0</v>
      </c>
      <c r="AA27" s="166">
        <v>0</v>
      </c>
      <c r="AB27" s="57">
        <f t="shared" si="52"/>
        <v>45709</v>
      </c>
      <c r="AC27" s="78">
        <f t="shared" si="104"/>
        <v>1</v>
      </c>
      <c r="AD27" s="186">
        <f t="shared" si="105"/>
        <v>0</v>
      </c>
      <c r="AE27" s="187">
        <v>4850.5</v>
      </c>
      <c r="AF27" s="120">
        <f t="shared" si="106"/>
        <v>4850.5</v>
      </c>
      <c r="AG27" s="171">
        <v>0</v>
      </c>
      <c r="AH27" s="172">
        <v>2454.9</v>
      </c>
      <c r="AI27" s="173">
        <v>0.8208333333333333</v>
      </c>
      <c r="AJ27" s="172">
        <v>0</v>
      </c>
      <c r="AK27" s="189">
        <v>0</v>
      </c>
      <c r="AL27" s="57">
        <f t="shared" si="53"/>
        <v>45709</v>
      </c>
      <c r="AM27" s="79">
        <f t="shared" si="107"/>
        <v>0.48755093833780161</v>
      </c>
      <c r="AN27" s="78">
        <f t="shared" si="108"/>
        <v>0.51244906166219839</v>
      </c>
      <c r="AO27" s="174">
        <v>7460</v>
      </c>
      <c r="AP27" s="119">
        <f t="shared" si="109"/>
        <v>3637.13</v>
      </c>
      <c r="AQ27" s="175">
        <v>3822.87</v>
      </c>
      <c r="AR27" s="176">
        <v>2291.7800000000002</v>
      </c>
      <c r="AS27" s="177">
        <v>0.34652777777777777</v>
      </c>
      <c r="AT27" s="176">
        <v>182</v>
      </c>
      <c r="AU27" s="178">
        <v>0.28125</v>
      </c>
      <c r="AV27" s="57">
        <f t="shared" si="54"/>
        <v>45709</v>
      </c>
      <c r="AW27" s="112">
        <f t="shared" si="110"/>
        <v>0.59081889228678219</v>
      </c>
      <c r="AX27" s="112">
        <f t="shared" si="111"/>
        <v>0.40918110771321781</v>
      </c>
      <c r="AY27" s="113">
        <f t="shared" si="21"/>
        <v>5886</v>
      </c>
      <c r="AZ27" s="114">
        <v>5886</v>
      </c>
      <c r="BA27" s="122">
        <f t="shared" si="112"/>
        <v>3477.56</v>
      </c>
      <c r="BB27" s="115">
        <v>2408.44</v>
      </c>
      <c r="BC27" s="114">
        <v>2502.39</v>
      </c>
      <c r="BD27" s="116">
        <v>0.83333333333333337</v>
      </c>
      <c r="BE27" s="117">
        <v>0</v>
      </c>
      <c r="BF27" s="116">
        <v>0</v>
      </c>
      <c r="BG27" s="117">
        <v>144.6</v>
      </c>
      <c r="BH27" s="116">
        <v>0.88541666666666663</v>
      </c>
      <c r="BI27" s="57">
        <f t="shared" si="55"/>
        <v>45709</v>
      </c>
      <c r="BJ27" s="80">
        <f t="shared" si="113"/>
        <v>0.6115943730968938</v>
      </c>
      <c r="BK27" s="78">
        <f t="shared" si="114"/>
        <v>0.3884056269031062</v>
      </c>
      <c r="BL27" s="81">
        <f t="shared" si="115"/>
        <v>29803.25</v>
      </c>
      <c r="BM27" s="179">
        <v>18227.5</v>
      </c>
      <c r="BN27" s="179">
        <v>11575.75</v>
      </c>
      <c r="BO27" s="180">
        <v>3164.95</v>
      </c>
      <c r="BP27" s="181">
        <v>0.72569444444444442</v>
      </c>
      <c r="BQ27" s="182">
        <v>2084.6999999999998</v>
      </c>
      <c r="BR27" s="181">
        <v>0.72569444444444442</v>
      </c>
    </row>
    <row r="28" spans="1:70" ht="15.75" thickBot="1" x14ac:dyDescent="0.25">
      <c r="A28" s="14"/>
      <c r="B28" s="57">
        <v>45710</v>
      </c>
      <c r="C28" s="188"/>
      <c r="D28" s="89">
        <f t="shared" si="91"/>
        <v>30574</v>
      </c>
      <c r="E28" s="183">
        <f t="shared" si="92"/>
        <v>0.77297474978740111</v>
      </c>
      <c r="F28" s="89">
        <f t="shared" si="93"/>
        <v>23632.93</v>
      </c>
      <c r="G28" s="183">
        <f t="shared" si="94"/>
        <v>0.22702525021259892</v>
      </c>
      <c r="H28" s="170">
        <f>U28+AG28+AQ28+BB28</f>
        <v>6941.07</v>
      </c>
      <c r="I28" s="184">
        <f t="shared" si="96"/>
        <v>8.3857346473677388E-2</v>
      </c>
      <c r="J28" s="183">
        <f t="shared" si="97"/>
        <v>0.14364438753344155</v>
      </c>
      <c r="K28" s="183">
        <f t="shared" si="98"/>
        <v>0.15158850226928897</v>
      </c>
      <c r="L28" s="185">
        <f t="shared" si="99"/>
        <v>0.66557671933475104</v>
      </c>
      <c r="M28" s="170">
        <f t="shared" si="100"/>
        <v>2360.2488738481238</v>
      </c>
      <c r="N28" s="170">
        <f t="shared" si="101"/>
        <v>4043.0149315162462</v>
      </c>
      <c r="O28" s="170">
        <f t="shared" si="102"/>
        <v>4266.6099848714075</v>
      </c>
      <c r="P28" s="170">
        <f t="shared" si="103"/>
        <v>18733.322342395903</v>
      </c>
      <c r="Q28" s="57">
        <f t="shared" si="51"/>
        <v>45710</v>
      </c>
      <c r="R28" s="163">
        <v>30574</v>
      </c>
      <c r="S28" s="164">
        <v>0</v>
      </c>
      <c r="T28" s="164">
        <v>28146</v>
      </c>
      <c r="U28" s="164">
        <v>724.41</v>
      </c>
      <c r="V28" s="165">
        <v>6688.88</v>
      </c>
      <c r="W28" s="166">
        <v>0.79166666666666663</v>
      </c>
      <c r="X28" s="165">
        <v>1994.99</v>
      </c>
      <c r="Y28" s="166">
        <v>0.67708333333333337</v>
      </c>
      <c r="Z28" s="165">
        <v>147.53</v>
      </c>
      <c r="AA28" s="166">
        <v>7.2916666666666671E-2</v>
      </c>
      <c r="AB28" s="57">
        <f t="shared" si="52"/>
        <v>45710</v>
      </c>
      <c r="AC28" s="78">
        <f t="shared" si="104"/>
        <v>1</v>
      </c>
      <c r="AD28" s="186">
        <f t="shared" si="105"/>
        <v>0</v>
      </c>
      <c r="AE28" s="187">
        <v>2750.5</v>
      </c>
      <c r="AF28" s="120">
        <f t="shared" si="106"/>
        <v>2750.5</v>
      </c>
      <c r="AG28" s="171">
        <v>0</v>
      </c>
      <c r="AH28" s="172">
        <v>1505.48</v>
      </c>
      <c r="AI28" s="173">
        <v>0.7895833333333333</v>
      </c>
      <c r="AJ28" s="172">
        <v>0</v>
      </c>
      <c r="AK28" s="189">
        <v>0</v>
      </c>
      <c r="AL28" s="57">
        <f t="shared" si="53"/>
        <v>45710</v>
      </c>
      <c r="AM28" s="79">
        <f t="shared" si="107"/>
        <v>1.8996073437334181E-2</v>
      </c>
      <c r="AN28" s="78">
        <f t="shared" si="108"/>
        <v>0.98100392656266577</v>
      </c>
      <c r="AO28" s="174">
        <v>4711.5</v>
      </c>
      <c r="AP28" s="119">
        <f t="shared" si="109"/>
        <v>89.5</v>
      </c>
      <c r="AQ28" s="175">
        <v>4622</v>
      </c>
      <c r="AR28" s="176">
        <v>1687.84</v>
      </c>
      <c r="AS28" s="177">
        <v>0.9506944444444444</v>
      </c>
      <c r="AT28" s="176">
        <v>180</v>
      </c>
      <c r="AU28" s="178">
        <v>0.32291666666666669</v>
      </c>
      <c r="AV28" s="57">
        <f t="shared" si="54"/>
        <v>45710</v>
      </c>
      <c r="AW28" s="112">
        <f t="shared" si="110"/>
        <v>0.54529227259766178</v>
      </c>
      <c r="AX28" s="112">
        <f t="shared" si="111"/>
        <v>0.45470772740233822</v>
      </c>
      <c r="AY28" s="113">
        <f t="shared" si="21"/>
        <v>3507</v>
      </c>
      <c r="AZ28" s="114">
        <v>3507</v>
      </c>
      <c r="BA28" s="122">
        <f t="shared" si="112"/>
        <v>1912.34</v>
      </c>
      <c r="BB28" s="115">
        <v>1594.66</v>
      </c>
      <c r="BC28" s="114">
        <v>1732.46</v>
      </c>
      <c r="BD28" s="116">
        <v>0.36458333333333331</v>
      </c>
      <c r="BE28" s="117">
        <v>0</v>
      </c>
      <c r="BF28" s="116">
        <v>0</v>
      </c>
      <c r="BG28" s="117">
        <v>167.24</v>
      </c>
      <c r="BH28" s="116">
        <v>0.21875</v>
      </c>
      <c r="BI28" s="57">
        <f t="shared" si="55"/>
        <v>45710</v>
      </c>
      <c r="BJ28" s="80">
        <f t="shared" si="113"/>
        <v>0.60836205810611177</v>
      </c>
      <c r="BK28" s="78">
        <f t="shared" si="114"/>
        <v>0.39163794189388823</v>
      </c>
      <c r="BL28" s="81">
        <f t="shared" si="115"/>
        <v>21830.75</v>
      </c>
      <c r="BM28" s="179">
        <v>13281</v>
      </c>
      <c r="BN28" s="179">
        <v>8549.75</v>
      </c>
      <c r="BO28" s="180">
        <v>2408.7399999999998</v>
      </c>
      <c r="BP28" s="181">
        <v>0.48888888888888887</v>
      </c>
      <c r="BQ28" s="182">
        <v>1652.42</v>
      </c>
      <c r="BR28" s="181">
        <v>0.48888888888888887</v>
      </c>
    </row>
    <row r="29" spans="1:70" ht="15.75" thickBot="1" x14ac:dyDescent="0.25">
      <c r="A29" s="14"/>
      <c r="B29" s="57">
        <v>45711</v>
      </c>
      <c r="C29" s="188"/>
      <c r="D29" s="89">
        <f t="shared" si="91"/>
        <v>32174</v>
      </c>
      <c r="E29" s="183">
        <f t="shared" si="92"/>
        <v>0.79477901411077267</v>
      </c>
      <c r="F29" s="89">
        <f t="shared" si="93"/>
        <v>25571.22</v>
      </c>
      <c r="G29" s="183">
        <f t="shared" si="94"/>
        <v>0.20522098588922735</v>
      </c>
      <c r="H29" s="170">
        <f t="shared" si="95"/>
        <v>6602.7800000000007</v>
      </c>
      <c r="I29" s="184">
        <f t="shared" si="96"/>
        <v>8.4007807683936939E-2</v>
      </c>
      <c r="J29" s="183">
        <f t="shared" si="97"/>
        <v>0.16928328150620389</v>
      </c>
      <c r="K29" s="183">
        <f t="shared" si="98"/>
        <v>0.16937203260772193</v>
      </c>
      <c r="L29" s="185">
        <f t="shared" si="99"/>
        <v>0.61205855307162627</v>
      </c>
      <c r="M29" s="170">
        <f t="shared" si="100"/>
        <v>2556.6096112452528</v>
      </c>
      <c r="N29" s="170">
        <f t="shared" si="101"/>
        <v>5151.7981060783031</v>
      </c>
      <c r="O29" s="170">
        <f t="shared" si="102"/>
        <v>5154.4990683508013</v>
      </c>
      <c r="P29" s="170">
        <f t="shared" si="103"/>
        <v>18626.777945628801</v>
      </c>
      <c r="Q29" s="57">
        <f t="shared" si="51"/>
        <v>45711</v>
      </c>
      <c r="R29" s="163">
        <v>32174</v>
      </c>
      <c r="S29" s="164">
        <v>0</v>
      </c>
      <c r="T29" s="164">
        <v>30433</v>
      </c>
      <c r="U29" s="164">
        <v>833</v>
      </c>
      <c r="V29" s="165">
        <v>9193.17</v>
      </c>
      <c r="W29" s="166">
        <v>0.76041666666666663</v>
      </c>
      <c r="X29" s="165">
        <v>2901.39</v>
      </c>
      <c r="Y29" s="166">
        <v>0.80208333333333337</v>
      </c>
      <c r="Z29" s="165">
        <v>0</v>
      </c>
      <c r="AA29" s="166">
        <v>0</v>
      </c>
      <c r="AB29" s="57">
        <f t="shared" si="52"/>
        <v>45711</v>
      </c>
      <c r="AC29" s="78">
        <f t="shared" si="104"/>
        <v>1</v>
      </c>
      <c r="AD29" s="186">
        <f t="shared" si="105"/>
        <v>0</v>
      </c>
      <c r="AE29" s="187">
        <v>2949</v>
      </c>
      <c r="AF29" s="120">
        <f t="shared" si="106"/>
        <v>2949</v>
      </c>
      <c r="AG29" s="171">
        <v>0</v>
      </c>
      <c r="AH29" s="172">
        <v>2447.0500000000002</v>
      </c>
      <c r="AI29" s="173">
        <v>0.71111111111111114</v>
      </c>
      <c r="AJ29" s="172">
        <v>0</v>
      </c>
      <c r="AK29" s="189">
        <v>0</v>
      </c>
      <c r="AL29" s="57">
        <f t="shared" si="53"/>
        <v>45711</v>
      </c>
      <c r="AM29" s="79">
        <f t="shared" si="107"/>
        <v>0.38998737904922171</v>
      </c>
      <c r="AN29" s="78">
        <f t="shared" si="108"/>
        <v>0.61001262095077824</v>
      </c>
      <c r="AO29" s="174">
        <v>5942.5</v>
      </c>
      <c r="AP29" s="119">
        <f t="shared" si="109"/>
        <v>2317.5</v>
      </c>
      <c r="AQ29" s="175">
        <v>3625</v>
      </c>
      <c r="AR29" s="176">
        <v>3004.92</v>
      </c>
      <c r="AS29" s="177">
        <v>0.70277777777777772</v>
      </c>
      <c r="AT29" s="176">
        <v>179.85</v>
      </c>
      <c r="AU29" s="178">
        <v>0.75</v>
      </c>
      <c r="AV29" s="57">
        <f t="shared" si="54"/>
        <v>45711</v>
      </c>
      <c r="AW29" s="112">
        <f t="shared" si="110"/>
        <v>0.54624636378061031</v>
      </c>
      <c r="AX29" s="112">
        <f t="shared" si="111"/>
        <v>0.45375363621938969</v>
      </c>
      <c r="AY29" s="113">
        <f t="shared" si="21"/>
        <v>4726.75</v>
      </c>
      <c r="AZ29" s="114">
        <v>4726.75</v>
      </c>
      <c r="BA29" s="122">
        <f t="shared" si="112"/>
        <v>2581.9699999999998</v>
      </c>
      <c r="BB29" s="115">
        <v>2144.7800000000002</v>
      </c>
      <c r="BC29" s="114">
        <v>3000.96</v>
      </c>
      <c r="BD29" s="116">
        <v>0.72916666666666663</v>
      </c>
      <c r="BE29" s="117">
        <v>0</v>
      </c>
      <c r="BF29" s="116">
        <v>0</v>
      </c>
      <c r="BG29" s="117">
        <v>129.69</v>
      </c>
      <c r="BH29" s="116">
        <v>0.875</v>
      </c>
      <c r="BI29" s="57">
        <f t="shared" si="55"/>
        <v>45711</v>
      </c>
      <c r="BJ29" s="80">
        <f t="shared" si="113"/>
        <v>0.61378232800248356</v>
      </c>
      <c r="BK29" s="78">
        <f t="shared" si="114"/>
        <v>0.3862176719975165</v>
      </c>
      <c r="BL29" s="81">
        <f t="shared" si="115"/>
        <v>21485.629999999997</v>
      </c>
      <c r="BM29" s="179">
        <v>13187.5</v>
      </c>
      <c r="BN29" s="179">
        <v>8298.1299999999992</v>
      </c>
      <c r="BO29" s="180">
        <v>3194.4</v>
      </c>
      <c r="BP29" s="181">
        <v>0.66180555555555554</v>
      </c>
      <c r="BQ29" s="182">
        <v>2112.6799999999998</v>
      </c>
      <c r="BR29" s="181">
        <v>0.66180555555555554</v>
      </c>
    </row>
    <row r="30" spans="1:70" ht="15.75" thickBot="1" x14ac:dyDescent="0.25">
      <c r="A30" s="14"/>
      <c r="B30" s="57">
        <v>45712</v>
      </c>
      <c r="C30" s="188"/>
      <c r="D30" s="89">
        <f t="shared" si="91"/>
        <v>49052</v>
      </c>
      <c r="E30" s="183">
        <f t="shared" si="92"/>
        <v>0.87182989480551254</v>
      </c>
      <c r="F30" s="89">
        <f t="shared" si="93"/>
        <v>42765</v>
      </c>
      <c r="G30" s="183">
        <f t="shared" si="94"/>
        <v>0.12817010519448749</v>
      </c>
      <c r="H30" s="170">
        <f t="shared" si="95"/>
        <v>6287</v>
      </c>
      <c r="I30" s="184">
        <f t="shared" si="96"/>
        <v>0.10564219090725843</v>
      </c>
      <c r="J30" s="183">
        <f t="shared" si="97"/>
        <v>0.15544886478166059</v>
      </c>
      <c r="K30" s="183">
        <f t="shared" si="98"/>
        <v>0.16199597443100131</v>
      </c>
      <c r="L30" s="185">
        <f t="shared" si="99"/>
        <v>0.60469846621832113</v>
      </c>
      <c r="M30" s="170">
        <f t="shared" si="100"/>
        <v>4990.325814077074</v>
      </c>
      <c r="N30" s="170">
        <f t="shared" si="101"/>
        <v>7343.0934745560826</v>
      </c>
      <c r="O30" s="170">
        <f t="shared" si="102"/>
        <v>7652.3658401716393</v>
      </c>
      <c r="P30" s="170">
        <f t="shared" si="103"/>
        <v>28564.746147221053</v>
      </c>
      <c r="Q30" s="57">
        <f t="shared" si="51"/>
        <v>45712</v>
      </c>
      <c r="R30" s="163">
        <v>49052</v>
      </c>
      <c r="S30" s="164">
        <v>0</v>
      </c>
      <c r="T30" s="164">
        <v>47238</v>
      </c>
      <c r="U30" s="164">
        <v>0</v>
      </c>
      <c r="V30" s="165">
        <v>10450</v>
      </c>
      <c r="W30" s="166">
        <v>0.47916666666666669</v>
      </c>
      <c r="X30" s="165">
        <v>3320</v>
      </c>
      <c r="Y30" s="166">
        <v>0.77083333333333337</v>
      </c>
      <c r="Z30" s="165">
        <v>0</v>
      </c>
      <c r="AA30" s="166">
        <v>0</v>
      </c>
      <c r="AB30" s="57">
        <f t="shared" si="52"/>
        <v>45712</v>
      </c>
      <c r="AC30" s="78">
        <f t="shared" si="104"/>
        <v>1</v>
      </c>
      <c r="AD30" s="186">
        <f t="shared" si="105"/>
        <v>0</v>
      </c>
      <c r="AE30" s="187">
        <v>5765</v>
      </c>
      <c r="AF30" s="120">
        <f t="shared" si="106"/>
        <v>5765</v>
      </c>
      <c r="AG30" s="171">
        <v>0</v>
      </c>
      <c r="AH30" s="172">
        <v>3429</v>
      </c>
      <c r="AI30" s="173">
        <v>0.68541666666666667</v>
      </c>
      <c r="AJ30" s="172">
        <v>0</v>
      </c>
      <c r="AK30" s="189">
        <v>0</v>
      </c>
      <c r="AL30" s="57">
        <f t="shared" si="53"/>
        <v>45712</v>
      </c>
      <c r="AM30" s="79">
        <f t="shared" si="107"/>
        <v>0.54296828952021692</v>
      </c>
      <c r="AN30" s="78">
        <f t="shared" si="108"/>
        <v>0.45703171047978308</v>
      </c>
      <c r="AO30" s="174">
        <v>8483</v>
      </c>
      <c r="AP30" s="119">
        <f t="shared" si="109"/>
        <v>4606</v>
      </c>
      <c r="AQ30" s="175">
        <v>3877</v>
      </c>
      <c r="AR30" s="176">
        <v>3561</v>
      </c>
      <c r="AS30" s="177">
        <v>0.6743055555555556</v>
      </c>
      <c r="AT30" s="176">
        <v>186</v>
      </c>
      <c r="AU30" s="178">
        <v>0.23472222222222222</v>
      </c>
      <c r="AV30" s="57">
        <f t="shared" si="54"/>
        <v>45712</v>
      </c>
      <c r="AW30" s="112">
        <f t="shared" si="110"/>
        <v>0.67094483888585477</v>
      </c>
      <c r="AX30" s="112">
        <f t="shared" si="111"/>
        <v>0.32905516111414529</v>
      </c>
      <c r="AY30" s="113">
        <f t="shared" si="21"/>
        <v>7324</v>
      </c>
      <c r="AZ30" s="114">
        <v>7324</v>
      </c>
      <c r="BA30" s="122">
        <f t="shared" si="112"/>
        <v>4914</v>
      </c>
      <c r="BB30" s="115">
        <v>2410</v>
      </c>
      <c r="BC30" s="114">
        <f>1593+1090</f>
        <v>2683</v>
      </c>
      <c r="BD30" s="116">
        <v>0.77083333333333337</v>
      </c>
      <c r="BE30" s="117">
        <v>0</v>
      </c>
      <c r="BF30" s="116">
        <v>0</v>
      </c>
      <c r="BG30" s="117">
        <v>150</v>
      </c>
      <c r="BH30" s="116">
        <v>0.89583333333333337</v>
      </c>
      <c r="BI30" s="57">
        <f t="shared" si="55"/>
        <v>45712</v>
      </c>
      <c r="BJ30" s="80">
        <f t="shared" si="113"/>
        <v>0.61189733022212789</v>
      </c>
      <c r="BK30" s="78">
        <f t="shared" si="114"/>
        <v>0.38810266977787206</v>
      </c>
      <c r="BL30" s="81">
        <f t="shared" si="115"/>
        <v>32999</v>
      </c>
      <c r="BM30" s="179">
        <v>20192</v>
      </c>
      <c r="BN30" s="179">
        <v>12807</v>
      </c>
      <c r="BO30" s="180">
        <v>4521</v>
      </c>
      <c r="BP30" s="181">
        <v>0.71736111111111112</v>
      </c>
      <c r="BQ30" s="182">
        <v>2992</v>
      </c>
      <c r="BR30" s="181">
        <v>0.71736111111111112</v>
      </c>
    </row>
    <row r="31" spans="1:70" ht="15.75" thickBot="1" x14ac:dyDescent="0.25">
      <c r="A31" s="14"/>
      <c r="B31" s="57">
        <v>45713</v>
      </c>
      <c r="C31" s="188"/>
      <c r="D31" s="89">
        <f t="shared" si="91"/>
        <v>27690</v>
      </c>
      <c r="E31" s="183">
        <f t="shared" si="92"/>
        <v>0.8447453954496208</v>
      </c>
      <c r="F31" s="89">
        <f t="shared" si="93"/>
        <v>23391</v>
      </c>
      <c r="G31" s="183">
        <f t="shared" si="94"/>
        <v>0.1552546045503792</v>
      </c>
      <c r="H31" s="170">
        <f t="shared" si="95"/>
        <v>4299</v>
      </c>
      <c r="I31" s="184">
        <f t="shared" si="96"/>
        <v>8.1267078230948281E-2</v>
      </c>
      <c r="J31" s="183">
        <f t="shared" si="97"/>
        <v>0.16604257328880342</v>
      </c>
      <c r="K31" s="183">
        <f t="shared" si="98"/>
        <v>0.1663373828239943</v>
      </c>
      <c r="L31" s="185">
        <f t="shared" si="99"/>
        <v>0.61920183517187866</v>
      </c>
      <c r="M31" s="170">
        <f t="shared" si="100"/>
        <v>2222.6545896164353</v>
      </c>
      <c r="N31" s="170">
        <f t="shared" si="101"/>
        <v>4541.264379448774</v>
      </c>
      <c r="O31" s="170">
        <f t="shared" si="102"/>
        <v>4549.3274202362436</v>
      </c>
      <c r="P31" s="170">
        <f t="shared" si="103"/>
        <v>16935.170191950881</v>
      </c>
      <c r="Q31" s="57">
        <f t="shared" si="51"/>
        <v>45713</v>
      </c>
      <c r="R31" s="163">
        <v>27690</v>
      </c>
      <c r="S31" s="164">
        <v>0</v>
      </c>
      <c r="T31" s="164">
        <v>27350</v>
      </c>
      <c r="U31" s="164">
        <v>0</v>
      </c>
      <c r="V31" s="165">
        <v>8472</v>
      </c>
      <c r="W31" s="166">
        <v>0.38541666666666669</v>
      </c>
      <c r="X31" s="165">
        <v>2986</v>
      </c>
      <c r="Y31" s="166">
        <v>0.38541666666666669</v>
      </c>
      <c r="Z31" s="165">
        <v>0</v>
      </c>
      <c r="AA31" s="166">
        <v>0</v>
      </c>
      <c r="AB31" s="57">
        <f t="shared" si="52"/>
        <v>45713</v>
      </c>
      <c r="AC31" s="78">
        <f t="shared" si="104"/>
        <v>1</v>
      </c>
      <c r="AD31" s="186">
        <f t="shared" si="105"/>
        <v>0</v>
      </c>
      <c r="AE31" s="187">
        <v>2409</v>
      </c>
      <c r="AF31" s="120">
        <f t="shared" si="106"/>
        <v>2409</v>
      </c>
      <c r="AG31" s="171">
        <v>0</v>
      </c>
      <c r="AH31" s="172">
        <v>2716</v>
      </c>
      <c r="AI31" s="173">
        <v>0.375</v>
      </c>
      <c r="AJ31" s="172">
        <v>0</v>
      </c>
      <c r="AK31" s="189">
        <v>0</v>
      </c>
      <c r="AL31" s="57">
        <f t="shared" si="53"/>
        <v>45713</v>
      </c>
      <c r="AM31" s="79">
        <f t="shared" si="107"/>
        <v>0.47724502234863875</v>
      </c>
      <c r="AN31" s="78">
        <f t="shared" si="108"/>
        <v>0.52275497765136125</v>
      </c>
      <c r="AO31" s="174">
        <v>4922</v>
      </c>
      <c r="AP31" s="119">
        <f t="shared" si="109"/>
        <v>2349</v>
      </c>
      <c r="AQ31" s="175">
        <v>2573</v>
      </c>
      <c r="AR31" s="176">
        <v>2372</v>
      </c>
      <c r="AS31" s="177">
        <v>0.37222222222222223</v>
      </c>
      <c r="AT31" s="176">
        <v>180</v>
      </c>
      <c r="AU31" s="178">
        <v>0.92708333333333337</v>
      </c>
      <c r="AV31" s="57">
        <f t="shared" si="54"/>
        <v>45713</v>
      </c>
      <c r="AW31" s="112">
        <f t="shared" si="110"/>
        <v>0.56381096790497853</v>
      </c>
      <c r="AX31" s="112">
        <f t="shared" si="111"/>
        <v>0.43618903209502147</v>
      </c>
      <c r="AY31" s="113">
        <f t="shared" si="21"/>
        <v>3957</v>
      </c>
      <c r="AZ31" s="114">
        <v>3957</v>
      </c>
      <c r="BA31" s="122">
        <f t="shared" si="112"/>
        <v>2231</v>
      </c>
      <c r="BB31" s="115">
        <v>1726</v>
      </c>
      <c r="BC31" s="114">
        <v>1937</v>
      </c>
      <c r="BD31" s="116">
        <v>0.36458333333333331</v>
      </c>
      <c r="BE31" s="117">
        <v>0</v>
      </c>
      <c r="BF31" s="116">
        <v>0</v>
      </c>
      <c r="BG31" s="117">
        <v>163</v>
      </c>
      <c r="BH31" s="116">
        <v>0.91666666666666663</v>
      </c>
      <c r="BI31" s="57">
        <f t="shared" si="55"/>
        <v>45713</v>
      </c>
      <c r="BJ31" s="80">
        <f t="shared" si="113"/>
        <v>0.60566603105420869</v>
      </c>
      <c r="BK31" s="78">
        <f t="shared" si="114"/>
        <v>0.39433396894579131</v>
      </c>
      <c r="BL31" s="81">
        <f t="shared" si="115"/>
        <v>18355</v>
      </c>
      <c r="BM31" s="179">
        <v>11117</v>
      </c>
      <c r="BN31" s="179">
        <v>7238</v>
      </c>
      <c r="BO31" s="180">
        <v>3138</v>
      </c>
      <c r="BP31" s="181">
        <v>0.3263888888888889</v>
      </c>
      <c r="BQ31" s="182">
        <v>2076</v>
      </c>
      <c r="BR31" s="181">
        <v>0.3263888888888889</v>
      </c>
    </row>
    <row r="32" spans="1:70" ht="15.75" thickBot="1" x14ac:dyDescent="0.25">
      <c r="A32" s="14"/>
      <c r="B32" s="57">
        <v>45714</v>
      </c>
      <c r="C32" s="188"/>
      <c r="D32" s="89">
        <f t="shared" si="91"/>
        <v>46554</v>
      </c>
      <c r="E32" s="183">
        <f t="shared" si="92"/>
        <v>0.86106457017656912</v>
      </c>
      <c r="F32" s="89">
        <f t="shared" si="93"/>
        <v>40086</v>
      </c>
      <c r="G32" s="183">
        <f t="shared" si="94"/>
        <v>0.13893542982343085</v>
      </c>
      <c r="H32" s="170">
        <f t="shared" si="95"/>
        <v>6468</v>
      </c>
      <c r="I32" s="184">
        <f t="shared" si="96"/>
        <v>0.10648388149684158</v>
      </c>
      <c r="J32" s="183">
        <f t="shared" si="97"/>
        <v>0.15711460553347542</v>
      </c>
      <c r="K32" s="183">
        <f t="shared" si="98"/>
        <v>0.16050943484571803</v>
      </c>
      <c r="L32" s="185">
        <f t="shared" si="99"/>
        <v>0.60476547049901119</v>
      </c>
      <c r="M32" s="170">
        <f t="shared" si="100"/>
        <v>4637.7989747134379</v>
      </c>
      <c r="N32" s="170">
        <f t="shared" si="101"/>
        <v>6842.9695294049889</v>
      </c>
      <c r="O32" s="170">
        <f t="shared" si="102"/>
        <v>6990.8279252704033</v>
      </c>
      <c r="P32" s="170">
        <f t="shared" si="103"/>
        <v>26339.955302113933</v>
      </c>
      <c r="Q32" s="57">
        <f t="shared" si="51"/>
        <v>45714</v>
      </c>
      <c r="R32" s="163">
        <v>46554</v>
      </c>
      <c r="S32" s="164">
        <v>0</v>
      </c>
      <c r="T32" s="164">
        <v>43554</v>
      </c>
      <c r="U32" s="164">
        <v>0</v>
      </c>
      <c r="V32" s="165">
        <v>11874</v>
      </c>
      <c r="W32" s="166">
        <v>0.8125</v>
      </c>
      <c r="X32" s="165">
        <v>4052</v>
      </c>
      <c r="Y32" s="166">
        <v>0.79166666666666663</v>
      </c>
      <c r="Z32" s="165">
        <v>0</v>
      </c>
      <c r="AA32" s="166">
        <v>0</v>
      </c>
      <c r="AB32" s="57">
        <f t="shared" si="52"/>
        <v>45714</v>
      </c>
      <c r="AC32" s="78">
        <f t="shared" si="104"/>
        <v>1</v>
      </c>
      <c r="AD32" s="186">
        <f t="shared" si="105"/>
        <v>0</v>
      </c>
      <c r="AE32" s="187">
        <v>5546</v>
      </c>
      <c r="AF32" s="120">
        <f t="shared" si="106"/>
        <v>5546</v>
      </c>
      <c r="AG32" s="171">
        <v>0</v>
      </c>
      <c r="AH32" s="172">
        <v>2961</v>
      </c>
      <c r="AI32" s="173">
        <v>0.70138888888888884</v>
      </c>
      <c r="AJ32" s="172">
        <v>0</v>
      </c>
      <c r="AK32" s="189">
        <v>0</v>
      </c>
      <c r="AL32" s="57">
        <f t="shared" si="53"/>
        <v>45714</v>
      </c>
      <c r="AM32" s="79">
        <f t="shared" si="107"/>
        <v>0.53061224489795922</v>
      </c>
      <c r="AN32" s="78">
        <f t="shared" si="108"/>
        <v>0.46938775510204084</v>
      </c>
      <c r="AO32" s="174">
        <v>8183</v>
      </c>
      <c r="AP32" s="119">
        <f t="shared" si="109"/>
        <v>4342</v>
      </c>
      <c r="AQ32" s="175">
        <v>3841</v>
      </c>
      <c r="AR32" s="176">
        <v>2924</v>
      </c>
      <c r="AS32" s="177">
        <v>0.79513888888888884</v>
      </c>
      <c r="AT32" s="176">
        <v>180</v>
      </c>
      <c r="AU32" s="178">
        <v>0.84375</v>
      </c>
      <c r="AV32" s="57">
        <f t="shared" si="54"/>
        <v>45714</v>
      </c>
      <c r="AW32" s="112">
        <f t="shared" si="110"/>
        <v>0.61683197199533257</v>
      </c>
      <c r="AX32" s="112">
        <f t="shared" si="111"/>
        <v>0.38316802800466743</v>
      </c>
      <c r="AY32" s="113">
        <f t="shared" si="21"/>
        <v>6856</v>
      </c>
      <c r="AZ32" s="114">
        <v>6856</v>
      </c>
      <c r="BA32" s="122">
        <f t="shared" si="112"/>
        <v>4229</v>
      </c>
      <c r="BB32" s="115">
        <f>1556+1071</f>
        <v>2627</v>
      </c>
      <c r="BC32" s="114">
        <v>3226</v>
      </c>
      <c r="BD32" s="116">
        <v>0.75</v>
      </c>
      <c r="BE32" s="117">
        <v>0</v>
      </c>
      <c r="BF32" s="116">
        <v>0</v>
      </c>
      <c r="BG32" s="117">
        <v>129</v>
      </c>
      <c r="BH32" s="116">
        <v>0.86458333333333337</v>
      </c>
      <c r="BI32" s="57">
        <f t="shared" si="55"/>
        <v>45714</v>
      </c>
      <c r="BJ32" s="80">
        <f t="shared" si="113"/>
        <v>0.60683217982094106</v>
      </c>
      <c r="BK32" s="78">
        <f t="shared" si="114"/>
        <v>0.39316782017905899</v>
      </c>
      <c r="BL32" s="81">
        <f t="shared" si="115"/>
        <v>31498</v>
      </c>
      <c r="BM32" s="179">
        <v>19114</v>
      </c>
      <c r="BN32" s="179">
        <v>12384</v>
      </c>
      <c r="BO32" s="180">
        <v>3973</v>
      </c>
      <c r="BP32" s="181">
        <v>0.83263888888888893</v>
      </c>
      <c r="BQ32" s="182">
        <v>2656</v>
      </c>
      <c r="BR32" s="181">
        <v>0.83263888888888893</v>
      </c>
    </row>
    <row r="33" spans="1:70" ht="15.75" thickBot="1" x14ac:dyDescent="0.25">
      <c r="A33" s="14"/>
      <c r="B33" s="57">
        <v>45715</v>
      </c>
      <c r="C33" s="188"/>
      <c r="D33" s="89">
        <f t="shared" si="91"/>
        <v>50258</v>
      </c>
      <c r="E33" s="183">
        <f t="shared" si="92"/>
        <v>0.87130407099367269</v>
      </c>
      <c r="F33" s="89">
        <f t="shared" si="93"/>
        <v>43790</v>
      </c>
      <c r="G33" s="183">
        <f t="shared" si="94"/>
        <v>0.12869592900632734</v>
      </c>
      <c r="H33" s="170">
        <f t="shared" si="95"/>
        <v>6468</v>
      </c>
      <c r="I33" s="184">
        <f t="shared" si="96"/>
        <v>0.10378275266340339</v>
      </c>
      <c r="J33" s="183">
        <f t="shared" si="97"/>
        <v>0.15091419522027066</v>
      </c>
      <c r="K33" s="183">
        <f t="shared" si="98"/>
        <v>0.15610472765546882</v>
      </c>
      <c r="L33" s="185">
        <f t="shared" si="99"/>
        <v>0.61718974949611283</v>
      </c>
      <c r="M33" s="170">
        <f t="shared" si="100"/>
        <v>5040.001817592859</v>
      </c>
      <c r="N33" s="170">
        <f t="shared" si="101"/>
        <v>7328.8460624820045</v>
      </c>
      <c r="O33" s="170">
        <f t="shared" si="102"/>
        <v>7580.9138891325319</v>
      </c>
      <c r="P33" s="170">
        <f t="shared" si="103"/>
        <v>29972.585804779726</v>
      </c>
      <c r="Q33" s="57">
        <f t="shared" si="51"/>
        <v>45715</v>
      </c>
      <c r="R33" s="163">
        <v>50258</v>
      </c>
      <c r="S33" s="164">
        <v>0</v>
      </c>
      <c r="T33" s="164">
        <v>48563</v>
      </c>
      <c r="U33" s="164">
        <v>0</v>
      </c>
      <c r="V33" s="165">
        <v>15715</v>
      </c>
      <c r="W33" s="166">
        <v>0.73958333333333337</v>
      </c>
      <c r="X33" s="165">
        <v>4240</v>
      </c>
      <c r="Y33" s="166">
        <v>0.76041666666666663</v>
      </c>
      <c r="Z33" s="165">
        <v>0</v>
      </c>
      <c r="AA33" s="166">
        <v>0</v>
      </c>
      <c r="AB33" s="192">
        <f t="shared" si="52"/>
        <v>45715</v>
      </c>
      <c r="AC33" s="78">
        <f t="shared" si="104"/>
        <v>1</v>
      </c>
      <c r="AD33" s="186">
        <f t="shared" si="105"/>
        <v>0</v>
      </c>
      <c r="AE33" s="187">
        <v>5767</v>
      </c>
      <c r="AF33" s="120">
        <f t="shared" si="106"/>
        <v>5767</v>
      </c>
      <c r="AG33" s="171">
        <v>0</v>
      </c>
      <c r="AH33" s="172">
        <v>3751</v>
      </c>
      <c r="AI33" s="173">
        <v>0.6958333333333333</v>
      </c>
      <c r="AJ33" s="172">
        <v>0</v>
      </c>
      <c r="AK33" s="189">
        <v>0</v>
      </c>
      <c r="AL33" s="192">
        <f t="shared" si="53"/>
        <v>45715</v>
      </c>
      <c r="AM33" s="79">
        <f t="shared" si="107"/>
        <v>0.53958979251132844</v>
      </c>
      <c r="AN33" s="78">
        <f t="shared" si="108"/>
        <v>0.46041020748867162</v>
      </c>
      <c r="AO33" s="174">
        <v>8386</v>
      </c>
      <c r="AP33" s="119">
        <f t="shared" si="109"/>
        <v>4525</v>
      </c>
      <c r="AQ33" s="175">
        <v>3861</v>
      </c>
      <c r="AR33" s="176">
        <v>4439</v>
      </c>
      <c r="AS33" s="177">
        <v>0.69305555555555554</v>
      </c>
      <c r="AT33" s="176">
        <v>176</v>
      </c>
      <c r="AU33" s="178">
        <v>0.33333333333333331</v>
      </c>
      <c r="AV33" s="192">
        <f t="shared" si="54"/>
        <v>45715</v>
      </c>
      <c r="AW33" s="193">
        <f t="shared" si="110"/>
        <v>0.63379688158449221</v>
      </c>
      <c r="AX33" s="193">
        <f t="shared" si="111"/>
        <v>0.36620311841550779</v>
      </c>
      <c r="AY33" s="113">
        <f t="shared" si="21"/>
        <v>7119</v>
      </c>
      <c r="AZ33" s="114">
        <v>7119</v>
      </c>
      <c r="BA33" s="194">
        <f t="shared" si="112"/>
        <v>4512</v>
      </c>
      <c r="BB33" s="115">
        <f>1541+1066</f>
        <v>2607</v>
      </c>
      <c r="BC33" s="114">
        <v>4185</v>
      </c>
      <c r="BD33" s="116">
        <v>0.75</v>
      </c>
      <c r="BE33" s="117">
        <v>0</v>
      </c>
      <c r="BF33" s="116">
        <v>0</v>
      </c>
      <c r="BG33" s="117">
        <v>131</v>
      </c>
      <c r="BH33" s="116">
        <v>0.90625</v>
      </c>
      <c r="BI33" s="192">
        <f t="shared" si="55"/>
        <v>45715</v>
      </c>
      <c r="BJ33" s="195">
        <f t="shared" si="113"/>
        <v>0.61447399113599255</v>
      </c>
      <c r="BK33" s="78">
        <f t="shared" si="114"/>
        <v>0.38552600886400745</v>
      </c>
      <c r="BL33" s="81">
        <f t="shared" si="115"/>
        <v>34296</v>
      </c>
      <c r="BM33" s="179">
        <v>21074</v>
      </c>
      <c r="BN33" s="179">
        <v>13222</v>
      </c>
      <c r="BO33" s="180">
        <v>4549</v>
      </c>
      <c r="BP33" s="181">
        <v>0.73055555555555551</v>
      </c>
      <c r="BQ33" s="182">
        <v>3012</v>
      </c>
      <c r="BR33" s="181">
        <v>0.73055555555555551</v>
      </c>
    </row>
    <row r="34" spans="1:70" ht="15.75" thickBot="1" x14ac:dyDescent="0.25">
      <c r="A34" s="14"/>
      <c r="B34" s="57">
        <v>45716</v>
      </c>
      <c r="C34" s="188"/>
      <c r="D34" s="89">
        <f t="shared" si="91"/>
        <v>49480</v>
      </c>
      <c r="E34" s="183">
        <f t="shared" si="92"/>
        <v>0.87014955537590943</v>
      </c>
      <c r="F34" s="89">
        <f t="shared" si="93"/>
        <v>43055</v>
      </c>
      <c r="G34" s="183">
        <f t="shared" si="94"/>
        <v>0.12985044462409054</v>
      </c>
      <c r="H34" s="170">
        <f t="shared" si="95"/>
        <v>6425</v>
      </c>
      <c r="I34" s="184">
        <f t="shared" si="96"/>
        <v>0.10837240699859517</v>
      </c>
      <c r="J34" s="183">
        <f t="shared" si="97"/>
        <v>0.15644669865537938</v>
      </c>
      <c r="K34" s="183">
        <f t="shared" si="98"/>
        <v>0.15741619402820384</v>
      </c>
      <c r="L34" s="185">
        <f t="shared" si="99"/>
        <v>0.60504278338289763</v>
      </c>
      <c r="M34" s="170">
        <f t="shared" si="100"/>
        <v>5177.9252339858785</v>
      </c>
      <c r="N34" s="170">
        <f t="shared" si="101"/>
        <v>7474.8668150553713</v>
      </c>
      <c r="O34" s="170">
        <f t="shared" si="102"/>
        <v>7521.1883344735515</v>
      </c>
      <c r="P34" s="170">
        <f t="shared" si="103"/>
        <v>28908.339147251467</v>
      </c>
      <c r="Q34" s="57">
        <f t="shared" si="51"/>
        <v>45716</v>
      </c>
      <c r="R34" s="163">
        <v>49480</v>
      </c>
      <c r="S34" s="164">
        <v>0</v>
      </c>
      <c r="T34" s="164">
        <v>47779</v>
      </c>
      <c r="U34" s="164">
        <v>0</v>
      </c>
      <c r="V34" s="165">
        <v>12876</v>
      </c>
      <c r="W34" s="166">
        <v>0.73958333333333337</v>
      </c>
      <c r="X34" s="165">
        <v>4211</v>
      </c>
      <c r="Y34" s="166">
        <v>0.80208333333333337</v>
      </c>
      <c r="Z34" s="165">
        <v>0</v>
      </c>
      <c r="AA34" s="166">
        <v>0</v>
      </c>
      <c r="AB34" s="57">
        <f t="shared" si="52"/>
        <v>45716</v>
      </c>
      <c r="AC34" s="78">
        <f t="shared" si="104"/>
        <v>1</v>
      </c>
      <c r="AD34" s="186">
        <f t="shared" si="105"/>
        <v>0</v>
      </c>
      <c r="AE34" s="187">
        <v>5940</v>
      </c>
      <c r="AF34" s="120">
        <f t="shared" si="106"/>
        <v>5940</v>
      </c>
      <c r="AG34" s="171">
        <v>0</v>
      </c>
      <c r="AH34" s="172">
        <v>3764</v>
      </c>
      <c r="AI34" s="173">
        <v>0.70138888888888884</v>
      </c>
      <c r="AJ34" s="172">
        <v>0</v>
      </c>
      <c r="AK34" s="189">
        <v>0</v>
      </c>
      <c r="AL34" s="57">
        <f t="shared" si="53"/>
        <v>45716</v>
      </c>
      <c r="AM34" s="79">
        <f t="shared" si="107"/>
        <v>0.54903790087463555</v>
      </c>
      <c r="AN34" s="78">
        <f t="shared" si="108"/>
        <v>0.45096209912536445</v>
      </c>
      <c r="AO34" s="174">
        <v>8575</v>
      </c>
      <c r="AP34" s="119">
        <f t="shared" si="109"/>
        <v>4708</v>
      </c>
      <c r="AQ34" s="175">
        <v>3867</v>
      </c>
      <c r="AR34" s="176">
        <v>3348</v>
      </c>
      <c r="AS34" s="177">
        <v>0.69652777777777775</v>
      </c>
      <c r="AT34" s="176">
        <v>185</v>
      </c>
      <c r="AU34" s="178">
        <v>0.3125</v>
      </c>
      <c r="AV34" s="57">
        <f t="shared" si="54"/>
        <v>45716</v>
      </c>
      <c r="AW34" s="112">
        <f t="shared" si="110"/>
        <v>0.64138511145380628</v>
      </c>
      <c r="AX34" s="112">
        <f t="shared" si="111"/>
        <v>0.35861488854619372</v>
      </c>
      <c r="AY34" s="113">
        <f t="shared" si="21"/>
        <v>7133</v>
      </c>
      <c r="AZ34" s="114">
        <v>7133</v>
      </c>
      <c r="BA34" s="122">
        <f t="shared" si="112"/>
        <v>4575</v>
      </c>
      <c r="BB34" s="115">
        <v>2558</v>
      </c>
      <c r="BC34" s="114">
        <v>3627</v>
      </c>
      <c r="BD34" s="116">
        <v>0.75</v>
      </c>
      <c r="BE34" s="117">
        <v>0</v>
      </c>
      <c r="BF34" s="116">
        <v>0</v>
      </c>
      <c r="BG34" s="117">
        <v>141</v>
      </c>
      <c r="BH34" s="116">
        <v>0.89583333333333337</v>
      </c>
      <c r="BI34" s="57">
        <f t="shared" si="55"/>
        <v>45716</v>
      </c>
      <c r="BJ34" s="80">
        <f t="shared" si="113"/>
        <v>0.61511322859813644</v>
      </c>
      <c r="BK34" s="78">
        <f t="shared" si="114"/>
        <v>0.3848867714018635</v>
      </c>
      <c r="BL34" s="81">
        <f t="shared" si="115"/>
        <v>33163</v>
      </c>
      <c r="BM34" s="179">
        <v>20399</v>
      </c>
      <c r="BN34" s="179">
        <v>12764</v>
      </c>
      <c r="BO34" s="180">
        <v>3718</v>
      </c>
      <c r="BP34" s="181">
        <v>0.81736111111111109</v>
      </c>
      <c r="BQ34" s="182">
        <v>2541</v>
      </c>
      <c r="BR34" s="181">
        <v>0.73402777777777772</v>
      </c>
    </row>
    <row r="35" spans="1:70" ht="15.75" thickBot="1" x14ac:dyDescent="0.25">
      <c r="A35" s="14"/>
      <c r="B35" s="57">
        <v>45717</v>
      </c>
      <c r="C35" s="188"/>
      <c r="D35" s="89">
        <f t="shared" si="91"/>
        <v>0</v>
      </c>
      <c r="E35" s="183" t="e">
        <f t="shared" si="92"/>
        <v>#DIV/0!</v>
      </c>
      <c r="F35" s="89">
        <f t="shared" si="93"/>
        <v>0</v>
      </c>
      <c r="G35" s="183" t="e">
        <f t="shared" si="94"/>
        <v>#DIV/0!</v>
      </c>
      <c r="H35" s="170">
        <f t="shared" si="95"/>
        <v>0</v>
      </c>
      <c r="I35" s="184" t="e">
        <f t="shared" si="96"/>
        <v>#DIV/0!</v>
      </c>
      <c r="J35" s="183" t="e">
        <f t="shared" si="97"/>
        <v>#DIV/0!</v>
      </c>
      <c r="K35" s="183" t="e">
        <f t="shared" si="98"/>
        <v>#DIV/0!</v>
      </c>
      <c r="L35" s="185" t="e">
        <f t="shared" si="99"/>
        <v>#DIV/0!</v>
      </c>
      <c r="M35" s="170" t="e">
        <f t="shared" si="100"/>
        <v>#DIV/0!</v>
      </c>
      <c r="N35" s="170" t="e">
        <f t="shared" si="101"/>
        <v>#DIV/0!</v>
      </c>
      <c r="O35" s="170" t="e">
        <f t="shared" si="102"/>
        <v>#DIV/0!</v>
      </c>
      <c r="P35" s="170" t="e">
        <f t="shared" si="103"/>
        <v>#DIV/0!</v>
      </c>
      <c r="Q35" s="57">
        <f t="shared" si="51"/>
        <v>45717</v>
      </c>
      <c r="R35" s="163"/>
      <c r="S35" s="164"/>
      <c r="T35" s="164"/>
      <c r="U35" s="164"/>
      <c r="V35" s="165"/>
      <c r="W35" s="166"/>
      <c r="X35" s="165"/>
      <c r="Y35" s="166"/>
      <c r="Z35" s="165"/>
      <c r="AA35" s="166"/>
      <c r="AB35" s="57">
        <f t="shared" si="52"/>
        <v>45717</v>
      </c>
      <c r="AC35" s="78" t="e">
        <f t="shared" si="104"/>
        <v>#DIV/0!</v>
      </c>
      <c r="AD35" s="186" t="e">
        <f t="shared" si="105"/>
        <v>#DIV/0!</v>
      </c>
      <c r="AE35" s="187"/>
      <c r="AF35" s="120">
        <f t="shared" si="106"/>
        <v>0</v>
      </c>
      <c r="AG35" s="171"/>
      <c r="AH35" s="172"/>
      <c r="AI35" s="173"/>
      <c r="AJ35" s="172"/>
      <c r="AK35" s="189"/>
      <c r="AL35" s="57">
        <f t="shared" si="53"/>
        <v>45717</v>
      </c>
      <c r="AM35" s="79" t="e">
        <f t="shared" si="107"/>
        <v>#DIV/0!</v>
      </c>
      <c r="AN35" s="78" t="e">
        <f t="shared" si="108"/>
        <v>#DIV/0!</v>
      </c>
      <c r="AO35" s="174"/>
      <c r="AP35" s="119">
        <f t="shared" si="109"/>
        <v>0</v>
      </c>
      <c r="AQ35" s="175"/>
      <c r="AR35" s="176"/>
      <c r="AS35" s="177"/>
      <c r="AT35" s="176"/>
      <c r="AU35" s="178"/>
      <c r="AV35" s="57">
        <f t="shared" si="54"/>
        <v>45717</v>
      </c>
      <c r="AW35" s="112" t="e">
        <f t="shared" si="110"/>
        <v>#DIV/0!</v>
      </c>
      <c r="AX35" s="112" t="e">
        <f t="shared" si="111"/>
        <v>#DIV/0!</v>
      </c>
      <c r="AY35" s="113">
        <f t="shared" si="21"/>
        <v>0</v>
      </c>
      <c r="AZ35" s="114"/>
      <c r="BA35" s="122">
        <f t="shared" si="112"/>
        <v>0</v>
      </c>
      <c r="BB35" s="115"/>
      <c r="BC35" s="114"/>
      <c r="BD35" s="116"/>
      <c r="BE35" s="117"/>
      <c r="BF35" s="116"/>
      <c r="BG35" s="117"/>
      <c r="BH35" s="116"/>
      <c r="BI35" s="57">
        <f t="shared" si="55"/>
        <v>45717</v>
      </c>
      <c r="BJ35" s="80" t="e">
        <f t="shared" si="113"/>
        <v>#DIV/0!</v>
      </c>
      <c r="BK35" s="78" t="e">
        <f t="shared" si="114"/>
        <v>#DIV/0!</v>
      </c>
      <c r="BL35" s="81">
        <f t="shared" si="115"/>
        <v>0</v>
      </c>
      <c r="BM35" s="179"/>
      <c r="BN35" s="179"/>
      <c r="BO35" s="180"/>
      <c r="BP35" s="181"/>
      <c r="BQ35" s="182"/>
      <c r="BR35" s="181"/>
    </row>
    <row r="36" spans="1:70" ht="15.75" thickBot="1" x14ac:dyDescent="0.25">
      <c r="A36" s="14"/>
      <c r="B36" s="57">
        <v>45718</v>
      </c>
      <c r="C36" s="188"/>
      <c r="D36" s="89">
        <f t="shared" si="91"/>
        <v>0</v>
      </c>
      <c r="E36" s="183" t="e">
        <f t="shared" si="92"/>
        <v>#DIV/0!</v>
      </c>
      <c r="F36" s="89">
        <f t="shared" si="93"/>
        <v>0</v>
      </c>
      <c r="G36" s="183" t="e">
        <f t="shared" si="94"/>
        <v>#DIV/0!</v>
      </c>
      <c r="H36" s="170">
        <f t="shared" si="95"/>
        <v>0</v>
      </c>
      <c r="I36" s="184" t="e">
        <f t="shared" si="96"/>
        <v>#DIV/0!</v>
      </c>
      <c r="J36" s="183" t="e">
        <f t="shared" si="97"/>
        <v>#DIV/0!</v>
      </c>
      <c r="K36" s="183" t="e">
        <f t="shared" si="98"/>
        <v>#DIV/0!</v>
      </c>
      <c r="L36" s="185" t="e">
        <f t="shared" si="99"/>
        <v>#DIV/0!</v>
      </c>
      <c r="M36" s="170" t="e">
        <f>(S36+T36)*I36</f>
        <v>#DIV/0!</v>
      </c>
      <c r="N36" s="170" t="e">
        <f>(S36+T36)*J36</f>
        <v>#DIV/0!</v>
      </c>
      <c r="O36" s="170" t="e">
        <f>(S36+T36)*K36</f>
        <v>#DIV/0!</v>
      </c>
      <c r="P36" s="170" t="e">
        <f>(S36+T36)*L36</f>
        <v>#DIV/0!</v>
      </c>
      <c r="Q36" s="57">
        <f t="shared" si="51"/>
        <v>45718</v>
      </c>
      <c r="R36" s="163"/>
      <c r="S36" s="164"/>
      <c r="T36" s="164"/>
      <c r="U36" s="164"/>
      <c r="V36" s="165"/>
      <c r="W36" s="166"/>
      <c r="X36" s="165"/>
      <c r="Y36" s="166"/>
      <c r="Z36" s="165"/>
      <c r="AA36" s="166"/>
      <c r="AB36" s="57">
        <f t="shared" si="52"/>
        <v>45718</v>
      </c>
      <c r="AC36" s="78" t="e">
        <f t="shared" si="104"/>
        <v>#DIV/0!</v>
      </c>
      <c r="AD36" s="186" t="e">
        <f t="shared" si="105"/>
        <v>#DIV/0!</v>
      </c>
      <c r="AE36" s="187"/>
      <c r="AF36" s="120">
        <f t="shared" si="106"/>
        <v>0</v>
      </c>
      <c r="AG36" s="171"/>
      <c r="AH36" s="172"/>
      <c r="AI36" s="173"/>
      <c r="AJ36" s="172"/>
      <c r="AK36" s="189"/>
      <c r="AL36" s="57">
        <f t="shared" si="53"/>
        <v>45718</v>
      </c>
      <c r="AM36" s="79" t="e">
        <f t="shared" si="107"/>
        <v>#DIV/0!</v>
      </c>
      <c r="AN36" s="78" t="e">
        <f t="shared" si="108"/>
        <v>#DIV/0!</v>
      </c>
      <c r="AO36" s="174"/>
      <c r="AP36" s="119">
        <f t="shared" si="109"/>
        <v>0</v>
      </c>
      <c r="AQ36" s="175"/>
      <c r="AR36" s="176"/>
      <c r="AS36" s="177"/>
      <c r="AT36" s="176"/>
      <c r="AU36" s="178"/>
      <c r="AV36" s="57">
        <f t="shared" si="54"/>
        <v>45718</v>
      </c>
      <c r="AW36" s="112" t="e">
        <f t="shared" si="110"/>
        <v>#DIV/0!</v>
      </c>
      <c r="AX36" s="112" t="e">
        <f t="shared" si="111"/>
        <v>#DIV/0!</v>
      </c>
      <c r="AY36" s="113">
        <f t="shared" si="21"/>
        <v>0</v>
      </c>
      <c r="AZ36" s="114"/>
      <c r="BA36" s="122">
        <f t="shared" si="112"/>
        <v>0</v>
      </c>
      <c r="BB36" s="115"/>
      <c r="BC36" s="114"/>
      <c r="BD36" s="116"/>
      <c r="BE36" s="117"/>
      <c r="BF36" s="116"/>
      <c r="BG36" s="117"/>
      <c r="BH36" s="116"/>
      <c r="BI36" s="57">
        <f t="shared" si="55"/>
        <v>45718</v>
      </c>
      <c r="BJ36" s="80" t="e">
        <f t="shared" si="113"/>
        <v>#DIV/0!</v>
      </c>
      <c r="BK36" s="78" t="e">
        <f t="shared" si="114"/>
        <v>#DIV/0!</v>
      </c>
      <c r="BL36" s="81">
        <f t="shared" si="115"/>
        <v>0</v>
      </c>
      <c r="BM36" s="179"/>
      <c r="BN36" s="179"/>
      <c r="BO36" s="180"/>
      <c r="BP36" s="181"/>
      <c r="BQ36" s="182"/>
      <c r="BR36" s="181"/>
    </row>
    <row r="37" spans="1:70" ht="15.75" thickBot="1" x14ac:dyDescent="0.25">
      <c r="A37" s="14"/>
      <c r="B37" s="57">
        <v>45719</v>
      </c>
      <c r="C37" s="188"/>
      <c r="D37" s="89">
        <f t="shared" si="91"/>
        <v>0</v>
      </c>
      <c r="E37" s="183" t="e">
        <f t="shared" si="92"/>
        <v>#DIV/0!</v>
      </c>
      <c r="F37" s="89">
        <f t="shared" si="93"/>
        <v>0</v>
      </c>
      <c r="G37" s="183" t="e">
        <f t="shared" si="94"/>
        <v>#DIV/0!</v>
      </c>
      <c r="H37" s="170">
        <f t="shared" si="95"/>
        <v>0</v>
      </c>
      <c r="I37" s="184" t="e">
        <f t="shared" si="96"/>
        <v>#DIV/0!</v>
      </c>
      <c r="J37" s="183" t="e">
        <f t="shared" si="97"/>
        <v>#DIV/0!</v>
      </c>
      <c r="K37" s="183" t="e">
        <f t="shared" si="98"/>
        <v>#DIV/0!</v>
      </c>
      <c r="L37" s="185" t="e">
        <f t="shared" si="99"/>
        <v>#DIV/0!</v>
      </c>
      <c r="M37" s="170" t="e">
        <f t="shared" si="100"/>
        <v>#DIV/0!</v>
      </c>
      <c r="N37" s="170" t="e">
        <f t="shared" si="101"/>
        <v>#DIV/0!</v>
      </c>
      <c r="O37" s="170" t="e">
        <f t="shared" si="102"/>
        <v>#DIV/0!</v>
      </c>
      <c r="P37" s="170" t="e">
        <f t="shared" si="103"/>
        <v>#DIV/0!</v>
      </c>
      <c r="Q37" s="57">
        <f t="shared" si="51"/>
        <v>45719</v>
      </c>
      <c r="R37" s="163"/>
      <c r="S37" s="164"/>
      <c r="T37" s="164"/>
      <c r="U37" s="164"/>
      <c r="V37" s="165"/>
      <c r="W37" s="166"/>
      <c r="X37" s="165"/>
      <c r="Y37" s="166"/>
      <c r="Z37" s="165"/>
      <c r="AA37" s="166"/>
      <c r="AB37" s="57">
        <f t="shared" si="52"/>
        <v>45719</v>
      </c>
      <c r="AC37" s="78" t="e">
        <f t="shared" si="104"/>
        <v>#DIV/0!</v>
      </c>
      <c r="AD37" s="186" t="e">
        <f t="shared" si="105"/>
        <v>#DIV/0!</v>
      </c>
      <c r="AE37" s="187"/>
      <c r="AF37" s="120">
        <f t="shared" si="106"/>
        <v>0</v>
      </c>
      <c r="AG37" s="171"/>
      <c r="AH37" s="172"/>
      <c r="AI37" s="173"/>
      <c r="AJ37" s="172"/>
      <c r="AK37" s="189"/>
      <c r="AL37" s="57">
        <f t="shared" si="53"/>
        <v>45719</v>
      </c>
      <c r="AM37" s="79" t="e">
        <f t="shared" si="107"/>
        <v>#DIV/0!</v>
      </c>
      <c r="AN37" s="78" t="e">
        <f t="shared" si="108"/>
        <v>#DIV/0!</v>
      </c>
      <c r="AO37" s="174"/>
      <c r="AP37" s="119">
        <f t="shared" si="109"/>
        <v>0</v>
      </c>
      <c r="AQ37" s="175"/>
      <c r="AR37" s="176"/>
      <c r="AS37" s="177"/>
      <c r="AT37" s="176"/>
      <c r="AU37" s="178"/>
      <c r="AV37" s="57">
        <f t="shared" si="54"/>
        <v>45719</v>
      </c>
      <c r="AW37" s="112" t="e">
        <f t="shared" si="110"/>
        <v>#DIV/0!</v>
      </c>
      <c r="AX37" s="112" t="e">
        <f t="shared" si="111"/>
        <v>#DIV/0!</v>
      </c>
      <c r="AY37" s="113">
        <f t="shared" si="21"/>
        <v>0</v>
      </c>
      <c r="AZ37" s="114"/>
      <c r="BA37" s="122">
        <f t="shared" si="112"/>
        <v>0</v>
      </c>
      <c r="BB37" s="115"/>
      <c r="BC37" s="114"/>
      <c r="BD37" s="116"/>
      <c r="BE37" s="117"/>
      <c r="BF37" s="116"/>
      <c r="BG37" s="117"/>
      <c r="BH37" s="116"/>
      <c r="BI37" s="57">
        <f t="shared" si="55"/>
        <v>45719</v>
      </c>
      <c r="BJ37" s="80" t="e">
        <f t="shared" si="113"/>
        <v>#DIV/0!</v>
      </c>
      <c r="BK37" s="78" t="e">
        <f t="shared" si="114"/>
        <v>#DIV/0!</v>
      </c>
      <c r="BL37" s="81">
        <f t="shared" si="115"/>
        <v>0</v>
      </c>
      <c r="BM37" s="179"/>
      <c r="BN37" s="179"/>
      <c r="BO37" s="180"/>
      <c r="BP37" s="181"/>
      <c r="BQ37" s="182"/>
      <c r="BR37" s="181"/>
    </row>
    <row r="38" spans="1:70" x14ac:dyDescent="0.2">
      <c r="A38" s="14"/>
      <c r="AL38" s="59"/>
    </row>
    <row r="40" spans="1:70" x14ac:dyDescent="0.2">
      <c r="R40" s="201">
        <f>R37-S41</f>
        <v>0</v>
      </c>
    </row>
    <row r="41" spans="1:70" x14ac:dyDescent="0.2">
      <c r="S41" s="202">
        <f>R36-T36</f>
        <v>0</v>
      </c>
      <c r="T41" s="202"/>
      <c r="U41" s="201"/>
    </row>
    <row r="43" spans="1:70" x14ac:dyDescent="0.2">
      <c r="S43" s="202"/>
      <c r="T43" s="201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0"/>
  <sheetViews>
    <sheetView tabSelected="1" topLeftCell="A22" zoomScaleNormal="100" workbookViewId="0">
      <selection activeCell="F27" sqref="F27:F29"/>
    </sheetView>
  </sheetViews>
  <sheetFormatPr defaultColWidth="10.76171875" defaultRowHeight="15" x14ac:dyDescent="0.2"/>
  <cols>
    <col min="1" max="1" width="2.5546875" customWidth="1"/>
    <col min="3" max="3" width="1.74609375" style="13" customWidth="1"/>
    <col min="8" max="8" width="12.5078125" customWidth="1"/>
    <col min="9" max="9" width="9.68359375" customWidth="1"/>
    <col min="13" max="13" width="9.28125" customWidth="1"/>
    <col min="16" max="16" width="11.8359375" bestFit="1" customWidth="1"/>
    <col min="20" max="20" width="10.76171875" customWidth="1"/>
    <col min="21" max="21" width="11.02734375" customWidth="1"/>
    <col min="27" max="27" width="21.65625" customWidth="1"/>
  </cols>
  <sheetData>
    <row r="1" spans="2:27" ht="19.5" thickBot="1" x14ac:dyDescent="0.25">
      <c r="C1" s="15"/>
    </row>
    <row r="2" spans="2:27" ht="15" customHeight="1" x14ac:dyDescent="0.2">
      <c r="B2" s="246" t="s">
        <v>0</v>
      </c>
      <c r="D2" s="249" t="s">
        <v>38</v>
      </c>
      <c r="E2" s="250"/>
      <c r="F2" s="250"/>
      <c r="G2" s="250"/>
      <c r="H2" s="251"/>
      <c r="J2" s="249" t="s">
        <v>39</v>
      </c>
      <c r="K2" s="250"/>
      <c r="L2" s="251"/>
      <c r="N2" s="249" t="s">
        <v>40</v>
      </c>
      <c r="O2" s="250"/>
      <c r="P2" s="250"/>
      <c r="Q2" s="250"/>
      <c r="R2" s="250"/>
      <c r="S2" s="250"/>
      <c r="T2" s="251"/>
      <c r="V2" s="255" t="s">
        <v>41</v>
      </c>
      <c r="W2" s="256"/>
      <c r="X2" s="257"/>
    </row>
    <row r="3" spans="2:27" ht="15.75" thickBot="1" x14ac:dyDescent="0.25">
      <c r="B3" s="247"/>
      <c r="D3" s="252"/>
      <c r="E3" s="253"/>
      <c r="F3" s="253"/>
      <c r="G3" s="253"/>
      <c r="H3" s="254"/>
      <c r="J3" s="252"/>
      <c r="K3" s="253"/>
      <c r="L3" s="254"/>
      <c r="N3" s="252"/>
      <c r="O3" s="253"/>
      <c r="P3" s="253"/>
      <c r="Q3" s="253"/>
      <c r="R3" s="253"/>
      <c r="S3" s="253"/>
      <c r="T3" s="254"/>
      <c r="V3" s="258"/>
      <c r="W3" s="259"/>
      <c r="X3" s="260"/>
    </row>
    <row r="4" spans="2:27" ht="23.25" customHeight="1" x14ac:dyDescent="0.2">
      <c r="B4" s="247"/>
      <c r="D4" s="261" t="s">
        <v>42</v>
      </c>
      <c r="E4" s="262"/>
      <c r="F4" s="261" t="s">
        <v>43</v>
      </c>
      <c r="G4" s="263"/>
      <c r="H4" s="264"/>
      <c r="J4" s="261" t="s">
        <v>42</v>
      </c>
      <c r="K4" s="262"/>
      <c r="L4" s="16" t="s">
        <v>43</v>
      </c>
      <c r="N4" s="244" t="s">
        <v>42</v>
      </c>
      <c r="O4" s="265"/>
      <c r="P4" s="266"/>
      <c r="Q4" s="267"/>
      <c r="R4" s="261" t="s">
        <v>43</v>
      </c>
      <c r="S4" s="268"/>
      <c r="T4" s="264"/>
      <c r="V4" s="244" t="s">
        <v>42</v>
      </c>
      <c r="W4" s="245"/>
      <c r="X4" s="16" t="s">
        <v>43</v>
      </c>
    </row>
    <row r="5" spans="2:27" ht="15.75" thickBot="1" x14ac:dyDescent="0.25">
      <c r="B5" s="248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25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25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25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8"/>
      <c r="AA8" s="38" t="s">
        <v>55</v>
      </c>
    </row>
    <row r="9" spans="2:27" ht="15.75" thickBot="1" x14ac:dyDescent="0.25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25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25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25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25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3" customFormat="1" ht="15.75" thickBot="1" x14ac:dyDescent="0.25">
      <c r="B14" s="92">
        <v>45688</v>
      </c>
      <c r="C14" s="13"/>
      <c r="D14" s="93">
        <v>104</v>
      </c>
      <c r="E14" s="91">
        <v>0.53125</v>
      </c>
      <c r="F14" s="90">
        <v>1189</v>
      </c>
      <c r="G14" s="95">
        <f t="shared" ref="G14" si="0">F14-H14</f>
        <v>634</v>
      </c>
      <c r="H14" s="90">
        <v>555</v>
      </c>
      <c r="I14" s="92">
        <v>45688</v>
      </c>
      <c r="J14" s="93">
        <v>34</v>
      </c>
      <c r="K14" s="91">
        <v>0.70833333333333337</v>
      </c>
      <c r="L14" s="90">
        <v>602</v>
      </c>
      <c r="M14" s="92">
        <v>45688</v>
      </c>
      <c r="N14" s="93">
        <v>2</v>
      </c>
      <c r="O14" s="91">
        <v>0.35416666666666669</v>
      </c>
      <c r="P14" s="93">
        <v>31</v>
      </c>
      <c r="Q14" s="91">
        <v>0.51041666666666663</v>
      </c>
      <c r="R14" s="94">
        <f t="shared" ref="R14" si="1">S14+T14</f>
        <v>529</v>
      </c>
      <c r="S14" s="90">
        <v>43</v>
      </c>
      <c r="T14" s="90">
        <v>486</v>
      </c>
      <c r="U14" s="92">
        <v>45688</v>
      </c>
      <c r="V14" s="93">
        <v>29</v>
      </c>
      <c r="W14" s="91">
        <v>0.29166666666666669</v>
      </c>
      <c r="X14" s="90">
        <v>553</v>
      </c>
    </row>
    <row r="15" spans="2:27" s="53" customFormat="1" ht="15.75" thickBot="1" x14ac:dyDescent="0.25">
      <c r="B15" s="56">
        <f t="shared" ref="B15:B16" si="2">B14+1</f>
        <v>45689</v>
      </c>
      <c r="C15" s="13"/>
      <c r="D15" s="25">
        <v>72</v>
      </c>
      <c r="E15" s="11">
        <v>0.65625</v>
      </c>
      <c r="F15" s="10">
        <v>890</v>
      </c>
      <c r="G15" s="95">
        <f t="shared" ref="G15:G25" si="3">F15-H15</f>
        <v>372</v>
      </c>
      <c r="H15" s="10">
        <v>518</v>
      </c>
      <c r="I15" s="92">
        <f t="shared" ref="I15:I44" si="4">I14+1</f>
        <v>45689</v>
      </c>
      <c r="J15" s="25">
        <v>30</v>
      </c>
      <c r="K15" s="55">
        <v>0.875</v>
      </c>
      <c r="L15" s="54">
        <v>559</v>
      </c>
      <c r="M15" s="92">
        <f t="shared" ref="M15:M40" si="5">B15</f>
        <v>45689</v>
      </c>
      <c r="N15" s="50">
        <v>4</v>
      </c>
      <c r="O15" s="11">
        <v>0.6875</v>
      </c>
      <c r="P15" s="52">
        <v>30</v>
      </c>
      <c r="Q15" s="11">
        <v>0.72916666666666663</v>
      </c>
      <c r="R15" s="94">
        <f t="shared" ref="R15:R25" si="6">S15+T15</f>
        <v>492</v>
      </c>
      <c r="S15" s="10">
        <v>43</v>
      </c>
      <c r="T15" s="10">
        <v>449</v>
      </c>
      <c r="U15" s="92">
        <f t="shared" ref="U15:U44" si="7">U14+1</f>
        <v>45689</v>
      </c>
      <c r="V15" s="25">
        <v>30</v>
      </c>
      <c r="W15" s="11">
        <v>0.28125</v>
      </c>
      <c r="X15" s="10">
        <v>572</v>
      </c>
    </row>
    <row r="16" spans="2:27" s="53" customFormat="1" ht="15.75" thickBot="1" x14ac:dyDescent="0.25">
      <c r="B16" s="56">
        <f t="shared" si="2"/>
        <v>45690</v>
      </c>
      <c r="C16" s="13"/>
      <c r="D16" s="50">
        <v>72</v>
      </c>
      <c r="E16" s="11">
        <v>0.59375</v>
      </c>
      <c r="F16" s="10">
        <v>900</v>
      </c>
      <c r="G16" s="95">
        <f t="shared" si="3"/>
        <v>375</v>
      </c>
      <c r="H16" s="10">
        <v>525</v>
      </c>
      <c r="I16" s="92">
        <f t="shared" si="4"/>
        <v>45690</v>
      </c>
      <c r="J16" s="50">
        <v>33</v>
      </c>
      <c r="K16" s="55">
        <v>0.95833333333333337</v>
      </c>
      <c r="L16" s="54">
        <v>574</v>
      </c>
      <c r="M16" s="92">
        <f t="shared" si="5"/>
        <v>45690</v>
      </c>
      <c r="N16" s="50">
        <v>2</v>
      </c>
      <c r="O16" s="11">
        <v>0.85416666666666663</v>
      </c>
      <c r="P16" s="50">
        <v>26</v>
      </c>
      <c r="Q16" s="11">
        <v>0.40625</v>
      </c>
      <c r="R16" s="94">
        <f t="shared" si="6"/>
        <v>464</v>
      </c>
      <c r="S16" s="10">
        <v>39</v>
      </c>
      <c r="T16" s="10">
        <v>425</v>
      </c>
      <c r="U16" s="92">
        <f t="shared" si="7"/>
        <v>45690</v>
      </c>
      <c r="V16" s="50">
        <v>26</v>
      </c>
      <c r="W16" s="11">
        <v>0.90625</v>
      </c>
      <c r="X16" s="10">
        <v>466</v>
      </c>
    </row>
    <row r="17" spans="1:24" ht="15.75" thickBot="1" x14ac:dyDescent="0.25">
      <c r="A17">
        <v>0</v>
      </c>
      <c r="B17" s="56">
        <f t="shared" ref="B17:B44" si="8">B16+1</f>
        <v>45691</v>
      </c>
      <c r="D17" s="50">
        <v>137</v>
      </c>
      <c r="E17" s="55">
        <v>0.54166666666666663</v>
      </c>
      <c r="F17" s="54">
        <v>1348</v>
      </c>
      <c r="G17" s="95">
        <f t="shared" si="3"/>
        <v>762</v>
      </c>
      <c r="H17" s="54">
        <v>586</v>
      </c>
      <c r="I17" s="92">
        <f t="shared" si="4"/>
        <v>45691</v>
      </c>
      <c r="J17" s="50">
        <v>31</v>
      </c>
      <c r="K17" s="55">
        <v>0.52083333333333337</v>
      </c>
      <c r="L17" s="54">
        <v>608</v>
      </c>
      <c r="M17" s="92">
        <f t="shared" si="5"/>
        <v>45691</v>
      </c>
      <c r="N17" s="50">
        <v>2</v>
      </c>
      <c r="O17" s="55">
        <v>0.40625</v>
      </c>
      <c r="P17" s="50">
        <v>31</v>
      </c>
      <c r="Q17" s="55">
        <v>0.45833333333333331</v>
      </c>
      <c r="R17" s="94">
        <f t="shared" si="6"/>
        <v>520</v>
      </c>
      <c r="S17" s="54">
        <v>43</v>
      </c>
      <c r="T17" s="54">
        <v>477</v>
      </c>
      <c r="U17" s="92">
        <f t="shared" si="7"/>
        <v>45691</v>
      </c>
      <c r="V17" s="50">
        <v>26</v>
      </c>
      <c r="W17" s="55">
        <v>0.27083333333333331</v>
      </c>
      <c r="X17" s="54">
        <v>528</v>
      </c>
    </row>
    <row r="18" spans="1:24" ht="15.75" thickBot="1" x14ac:dyDescent="0.25">
      <c r="B18" s="56">
        <f t="shared" si="8"/>
        <v>45692</v>
      </c>
      <c r="D18" s="50">
        <v>103</v>
      </c>
      <c r="E18" s="55">
        <v>0.55208333333333337</v>
      </c>
      <c r="F18" s="54">
        <v>1256</v>
      </c>
      <c r="G18" s="95">
        <f t="shared" si="3"/>
        <v>690</v>
      </c>
      <c r="H18" s="54">
        <v>566</v>
      </c>
      <c r="I18" s="92">
        <f t="shared" si="4"/>
        <v>45692</v>
      </c>
      <c r="J18" s="50">
        <v>33</v>
      </c>
      <c r="K18" s="55">
        <v>0.67708333333333337</v>
      </c>
      <c r="L18" s="54">
        <v>611</v>
      </c>
      <c r="M18" s="92">
        <f t="shared" si="5"/>
        <v>45692</v>
      </c>
      <c r="N18" s="50">
        <v>2</v>
      </c>
      <c r="O18" s="55">
        <v>0.73958333333333337</v>
      </c>
      <c r="P18" s="50">
        <v>34</v>
      </c>
      <c r="Q18" s="55">
        <v>0.75</v>
      </c>
      <c r="R18" s="51">
        <f t="shared" si="6"/>
        <v>527</v>
      </c>
      <c r="S18" s="54">
        <v>43</v>
      </c>
      <c r="T18" s="54">
        <v>484</v>
      </c>
      <c r="U18" s="92">
        <f t="shared" si="7"/>
        <v>45692</v>
      </c>
      <c r="V18" s="50">
        <v>30</v>
      </c>
      <c r="W18" s="55">
        <v>0.39583333333333331</v>
      </c>
      <c r="X18" s="54">
        <v>575</v>
      </c>
    </row>
    <row r="19" spans="1:24" ht="15.75" thickBot="1" x14ac:dyDescent="0.25">
      <c r="B19" s="92">
        <f t="shared" si="8"/>
        <v>45693</v>
      </c>
      <c r="D19" s="93">
        <v>131</v>
      </c>
      <c r="E19" s="91">
        <v>0.5625</v>
      </c>
      <c r="F19" s="90">
        <v>1420</v>
      </c>
      <c r="G19" s="95">
        <f t="shared" si="3"/>
        <v>808</v>
      </c>
      <c r="H19" s="90">
        <v>612</v>
      </c>
      <c r="I19" s="92">
        <f t="shared" si="4"/>
        <v>45693</v>
      </c>
      <c r="J19" s="93">
        <v>38</v>
      </c>
      <c r="K19" s="91">
        <v>0.61458333333333337</v>
      </c>
      <c r="L19" s="90">
        <v>657</v>
      </c>
      <c r="M19" s="92">
        <f t="shared" si="5"/>
        <v>45693</v>
      </c>
      <c r="N19" s="93">
        <v>2</v>
      </c>
      <c r="O19" s="91">
        <v>0.78125</v>
      </c>
      <c r="P19" s="93">
        <v>37</v>
      </c>
      <c r="Q19" s="91">
        <v>0.4375</v>
      </c>
      <c r="R19" s="94">
        <f t="shared" si="6"/>
        <v>534</v>
      </c>
      <c r="S19" s="90">
        <v>44</v>
      </c>
      <c r="T19" s="90">
        <v>490</v>
      </c>
      <c r="U19" s="92">
        <f t="shared" si="7"/>
        <v>45693</v>
      </c>
      <c r="V19" s="93">
        <v>30</v>
      </c>
      <c r="W19" s="91">
        <v>0.625</v>
      </c>
      <c r="X19" s="90">
        <v>581</v>
      </c>
    </row>
    <row r="20" spans="1:24" ht="15.75" thickBot="1" x14ac:dyDescent="0.25">
      <c r="B20" s="92">
        <f t="shared" si="8"/>
        <v>45694</v>
      </c>
      <c r="D20" s="196">
        <v>117</v>
      </c>
      <c r="E20" s="197">
        <v>0.53125</v>
      </c>
      <c r="F20" s="198">
        <v>1235</v>
      </c>
      <c r="G20" s="199">
        <f t="shared" si="3"/>
        <v>667</v>
      </c>
      <c r="H20" s="198">
        <v>568</v>
      </c>
      <c r="I20" s="92">
        <f t="shared" si="4"/>
        <v>45694</v>
      </c>
      <c r="J20" s="196">
        <v>33</v>
      </c>
      <c r="K20" s="197">
        <v>0.61458333333333337</v>
      </c>
      <c r="L20" s="198">
        <v>616</v>
      </c>
      <c r="M20" s="200">
        <f t="shared" ref="M20" si="9">M19+1</f>
        <v>45694</v>
      </c>
      <c r="N20" s="196">
        <v>2</v>
      </c>
      <c r="O20" s="197">
        <v>0.9375</v>
      </c>
      <c r="P20" s="196">
        <v>33</v>
      </c>
      <c r="Q20" s="197">
        <v>0.30208333333333331</v>
      </c>
      <c r="R20" s="94">
        <f t="shared" si="6"/>
        <v>520</v>
      </c>
      <c r="S20" s="198">
        <v>33</v>
      </c>
      <c r="T20" s="198">
        <v>487</v>
      </c>
      <c r="U20" s="200">
        <f t="shared" si="7"/>
        <v>45694</v>
      </c>
      <c r="V20" s="196">
        <v>30</v>
      </c>
      <c r="W20" s="197">
        <v>0.27083333333333331</v>
      </c>
      <c r="X20" s="198">
        <v>518</v>
      </c>
    </row>
    <row r="21" spans="1:24" ht="15.75" thickBot="1" x14ac:dyDescent="0.25">
      <c r="B21" s="92">
        <f t="shared" si="8"/>
        <v>45695</v>
      </c>
      <c r="D21" s="93">
        <v>87.65</v>
      </c>
      <c r="E21" s="91">
        <v>0.55208333333333337</v>
      </c>
      <c r="F21" s="90">
        <v>1161.56</v>
      </c>
      <c r="G21" s="95">
        <f t="shared" si="3"/>
        <v>629.2299999999999</v>
      </c>
      <c r="H21" s="90">
        <v>532.33000000000004</v>
      </c>
      <c r="I21" s="92">
        <f t="shared" si="4"/>
        <v>45695</v>
      </c>
      <c r="J21" s="93">
        <v>28.7</v>
      </c>
      <c r="K21" s="91">
        <v>0.30208333333333331</v>
      </c>
      <c r="L21" s="90">
        <v>585.59</v>
      </c>
      <c r="M21" s="92">
        <f t="shared" si="5"/>
        <v>45695</v>
      </c>
      <c r="N21" s="93">
        <v>2.16</v>
      </c>
      <c r="O21" s="91">
        <v>0.72916666666666663</v>
      </c>
      <c r="P21" s="93">
        <v>33.11</v>
      </c>
      <c r="Q21" s="91">
        <v>0.71875</v>
      </c>
      <c r="R21" s="94">
        <f t="shared" si="6"/>
        <v>529.79</v>
      </c>
      <c r="S21" s="90">
        <v>43.91</v>
      </c>
      <c r="T21" s="90">
        <v>485.88</v>
      </c>
      <c r="U21" s="92">
        <f t="shared" si="7"/>
        <v>45695</v>
      </c>
      <c r="V21" s="93">
        <v>29.4</v>
      </c>
      <c r="W21" s="91">
        <v>0.28125</v>
      </c>
      <c r="X21" s="90">
        <v>520.85</v>
      </c>
    </row>
    <row r="22" spans="1:24" ht="15.75" thickBot="1" x14ac:dyDescent="0.25">
      <c r="B22" s="92">
        <f t="shared" si="8"/>
        <v>45696</v>
      </c>
      <c r="D22" s="93">
        <v>67</v>
      </c>
      <c r="E22" s="91">
        <v>0.63541666666666663</v>
      </c>
      <c r="F22" s="90">
        <v>805</v>
      </c>
      <c r="G22" s="95">
        <f t="shared" si="3"/>
        <v>285</v>
      </c>
      <c r="H22" s="90">
        <v>520</v>
      </c>
      <c r="I22" s="92">
        <f t="shared" si="4"/>
        <v>45696</v>
      </c>
      <c r="J22" s="93">
        <v>29</v>
      </c>
      <c r="K22" s="91">
        <v>0.6875</v>
      </c>
      <c r="L22" s="90">
        <v>564</v>
      </c>
      <c r="M22" s="92">
        <f t="shared" si="5"/>
        <v>45696</v>
      </c>
      <c r="N22" s="93">
        <v>1</v>
      </c>
      <c r="O22" s="91">
        <v>0</v>
      </c>
      <c r="P22" s="93">
        <v>30</v>
      </c>
      <c r="Q22" s="91">
        <v>0.48958333333333331</v>
      </c>
      <c r="R22" s="94">
        <f t="shared" si="6"/>
        <v>477</v>
      </c>
      <c r="S22" s="90">
        <v>28</v>
      </c>
      <c r="T22" s="90">
        <v>449</v>
      </c>
      <c r="U22" s="92">
        <f t="shared" si="7"/>
        <v>45696</v>
      </c>
      <c r="V22" s="93">
        <v>26</v>
      </c>
      <c r="W22" s="91">
        <v>1.0416666666666666E-2</v>
      </c>
      <c r="X22" s="90">
        <v>473</v>
      </c>
    </row>
    <row r="23" spans="1:24" ht="15.75" thickBot="1" x14ac:dyDescent="0.25">
      <c r="B23" s="92">
        <f t="shared" si="8"/>
        <v>45697</v>
      </c>
      <c r="D23" s="93">
        <v>88</v>
      </c>
      <c r="E23" s="91">
        <v>0.94791666666666663</v>
      </c>
      <c r="F23" s="90">
        <v>815</v>
      </c>
      <c r="G23" s="95">
        <f t="shared" si="3"/>
        <v>309</v>
      </c>
      <c r="H23" s="90">
        <v>506</v>
      </c>
      <c r="I23" s="92">
        <f t="shared" si="4"/>
        <v>45697</v>
      </c>
      <c r="J23" s="93">
        <v>28</v>
      </c>
      <c r="K23" s="91">
        <v>0.60416666666666663</v>
      </c>
      <c r="L23" s="90">
        <v>564</v>
      </c>
      <c r="M23" s="92">
        <f t="shared" si="5"/>
        <v>45697</v>
      </c>
      <c r="N23" s="93">
        <v>2</v>
      </c>
      <c r="O23" s="91">
        <v>0.70833333333333337</v>
      </c>
      <c r="P23" s="93">
        <v>35</v>
      </c>
      <c r="Q23" s="91">
        <v>0.79166666666666663</v>
      </c>
      <c r="R23" s="94">
        <f t="shared" si="6"/>
        <v>564</v>
      </c>
      <c r="S23" s="90">
        <v>43</v>
      </c>
      <c r="T23" s="90">
        <v>521</v>
      </c>
      <c r="U23" s="92">
        <f t="shared" si="7"/>
        <v>45697</v>
      </c>
      <c r="V23" s="93">
        <v>28</v>
      </c>
      <c r="W23" s="91">
        <v>0.75</v>
      </c>
      <c r="X23" s="90">
        <v>536</v>
      </c>
    </row>
    <row r="24" spans="1:24" ht="15.75" thickBot="1" x14ac:dyDescent="0.25">
      <c r="B24" s="92">
        <f t="shared" si="8"/>
        <v>45698</v>
      </c>
      <c r="D24" s="93">
        <v>114.06</v>
      </c>
      <c r="E24" s="91">
        <v>0.55208333333333337</v>
      </c>
      <c r="F24" s="90">
        <v>1192.81</v>
      </c>
      <c r="G24" s="95">
        <f t="shared" si="3"/>
        <v>647.13</v>
      </c>
      <c r="H24" s="90">
        <v>545.67999999999995</v>
      </c>
      <c r="I24" s="92">
        <f t="shared" si="4"/>
        <v>45698</v>
      </c>
      <c r="J24" s="93">
        <v>32.15</v>
      </c>
      <c r="K24" s="91">
        <v>0.63541666666666663</v>
      </c>
      <c r="L24" s="90">
        <v>609.71</v>
      </c>
      <c r="M24" s="92">
        <f t="shared" si="5"/>
        <v>45698</v>
      </c>
      <c r="N24" s="93">
        <v>2.17</v>
      </c>
      <c r="O24" s="91">
        <v>0.80208333333333337</v>
      </c>
      <c r="P24" s="93">
        <v>35.15</v>
      </c>
      <c r="Q24" s="91">
        <v>0.29166666666666669</v>
      </c>
      <c r="R24" s="94">
        <f t="shared" si="6"/>
        <v>516.91</v>
      </c>
      <c r="S24" s="90">
        <v>39.54</v>
      </c>
      <c r="T24" s="90">
        <v>477.37</v>
      </c>
      <c r="U24" s="92">
        <f t="shared" si="7"/>
        <v>45698</v>
      </c>
      <c r="V24" s="93">
        <v>28.9</v>
      </c>
      <c r="W24" s="91">
        <v>0.30208333333333331</v>
      </c>
      <c r="X24" s="90">
        <v>524.53</v>
      </c>
    </row>
    <row r="25" spans="1:24" ht="15.75" thickBot="1" x14ac:dyDescent="0.25">
      <c r="B25" s="92">
        <f t="shared" si="8"/>
        <v>45699</v>
      </c>
      <c r="D25" s="93">
        <v>118.1</v>
      </c>
      <c r="E25" s="91">
        <v>0.53125</v>
      </c>
      <c r="F25" s="90">
        <v>1275.46</v>
      </c>
      <c r="G25" s="95">
        <f t="shared" si="3"/>
        <v>705.14</v>
      </c>
      <c r="H25" s="90">
        <v>570.32000000000005</v>
      </c>
      <c r="I25" s="92">
        <f t="shared" si="4"/>
        <v>45699</v>
      </c>
      <c r="J25" s="93">
        <v>32.69</v>
      </c>
      <c r="K25" s="91">
        <v>0.64583333333333337</v>
      </c>
      <c r="L25" s="90">
        <v>613.59</v>
      </c>
      <c r="M25" s="92">
        <f t="shared" si="5"/>
        <v>45699</v>
      </c>
      <c r="N25" s="93">
        <v>2.2000000000000002</v>
      </c>
      <c r="O25" s="91">
        <v>0.53125</v>
      </c>
      <c r="P25" s="93">
        <v>36.49</v>
      </c>
      <c r="Q25" s="91">
        <v>0.79166666666666663</v>
      </c>
      <c r="R25" s="94">
        <f t="shared" si="6"/>
        <v>527.89</v>
      </c>
      <c r="S25" s="90">
        <v>44.71</v>
      </c>
      <c r="T25" s="90">
        <v>483.18</v>
      </c>
      <c r="U25" s="92">
        <f t="shared" si="7"/>
        <v>45699</v>
      </c>
      <c r="V25" s="93">
        <v>34.72</v>
      </c>
      <c r="W25" s="91">
        <v>0.40625</v>
      </c>
      <c r="X25" s="90">
        <v>562.04999999999995</v>
      </c>
    </row>
    <row r="26" spans="1:24" ht="15.75" thickBot="1" x14ac:dyDescent="0.25">
      <c r="B26" s="92">
        <f t="shared" si="8"/>
        <v>45700</v>
      </c>
      <c r="D26" s="93">
        <v>117</v>
      </c>
      <c r="E26" s="91">
        <v>0.55208333333333337</v>
      </c>
      <c r="F26" s="90">
        <v>1216</v>
      </c>
      <c r="G26" s="95">
        <f t="shared" ref="G26:G44" si="10">F26-H26</f>
        <v>665</v>
      </c>
      <c r="H26" s="90">
        <v>551</v>
      </c>
      <c r="I26" s="92">
        <f t="shared" si="4"/>
        <v>45700</v>
      </c>
      <c r="J26" s="93">
        <v>36</v>
      </c>
      <c r="K26" s="91">
        <v>0.61458333333333337</v>
      </c>
      <c r="L26" s="90">
        <v>607</v>
      </c>
      <c r="M26" s="92">
        <f t="shared" si="5"/>
        <v>45700</v>
      </c>
      <c r="N26" s="93">
        <v>16</v>
      </c>
      <c r="O26" s="91">
        <v>0.70833333333333337</v>
      </c>
      <c r="P26" s="93">
        <v>32</v>
      </c>
      <c r="Q26" s="91">
        <v>0.35416666666666669</v>
      </c>
      <c r="R26" s="94">
        <f t="shared" ref="R26:R44" si="11">S26+T26</f>
        <v>517</v>
      </c>
      <c r="S26" s="90">
        <v>38</v>
      </c>
      <c r="T26" s="90">
        <v>479</v>
      </c>
      <c r="U26" s="92">
        <f t="shared" si="7"/>
        <v>45700</v>
      </c>
      <c r="V26" s="93">
        <v>32</v>
      </c>
      <c r="W26" s="91">
        <v>0.98958333333333337</v>
      </c>
      <c r="X26" s="90">
        <v>517</v>
      </c>
    </row>
    <row r="27" spans="1:24" ht="15.75" thickBot="1" x14ac:dyDescent="0.25">
      <c r="B27" s="92">
        <f t="shared" si="8"/>
        <v>45701</v>
      </c>
      <c r="D27" s="93">
        <v>124</v>
      </c>
      <c r="E27" s="91">
        <v>0.68472222222222223</v>
      </c>
      <c r="F27" s="90"/>
      <c r="G27" s="95">
        <f t="shared" si="10"/>
        <v>-529</v>
      </c>
      <c r="H27" s="90">
        <v>529</v>
      </c>
      <c r="I27" s="92">
        <f t="shared" si="4"/>
        <v>45701</v>
      </c>
      <c r="J27" s="93">
        <v>34</v>
      </c>
      <c r="K27" s="91">
        <v>0.48541666666666666</v>
      </c>
      <c r="L27" s="90">
        <v>606</v>
      </c>
      <c r="M27" s="92">
        <f t="shared" si="5"/>
        <v>45701</v>
      </c>
      <c r="N27" s="93">
        <v>3</v>
      </c>
      <c r="O27" s="91">
        <v>0.73611111111111116</v>
      </c>
      <c r="P27" s="93">
        <v>38</v>
      </c>
      <c r="Q27" s="91">
        <v>0.52916666666666667</v>
      </c>
      <c r="R27" s="94">
        <f t="shared" si="11"/>
        <v>521</v>
      </c>
      <c r="S27" s="90">
        <v>44</v>
      </c>
      <c r="T27" s="90">
        <v>477</v>
      </c>
      <c r="U27" s="92">
        <f t="shared" si="7"/>
        <v>45701</v>
      </c>
      <c r="V27" s="93">
        <v>30</v>
      </c>
      <c r="W27" s="91">
        <v>0.875</v>
      </c>
      <c r="X27" s="90">
        <v>527</v>
      </c>
    </row>
    <row r="28" spans="1:24" ht="15.75" thickBot="1" x14ac:dyDescent="0.25">
      <c r="B28" s="92">
        <f t="shared" si="8"/>
        <v>45702</v>
      </c>
      <c r="D28" s="93">
        <v>124</v>
      </c>
      <c r="E28" s="91">
        <v>0.62430555555555556</v>
      </c>
      <c r="F28" s="90">
        <v>1095</v>
      </c>
      <c r="G28" s="95">
        <f t="shared" si="10"/>
        <v>593</v>
      </c>
      <c r="H28" s="90">
        <v>502</v>
      </c>
      <c r="I28" s="92">
        <f t="shared" si="4"/>
        <v>45702</v>
      </c>
      <c r="J28" s="93">
        <v>31</v>
      </c>
      <c r="K28" s="91">
        <v>0.59305555555555556</v>
      </c>
      <c r="L28" s="90">
        <v>569</v>
      </c>
      <c r="M28" s="92">
        <f t="shared" si="5"/>
        <v>45702</v>
      </c>
      <c r="N28" s="93">
        <v>2</v>
      </c>
      <c r="O28" s="91">
        <v>0.55208333333333337</v>
      </c>
      <c r="P28" s="93">
        <v>36</v>
      </c>
      <c r="Q28" s="91">
        <v>0.62222222222222223</v>
      </c>
      <c r="R28" s="94">
        <f t="shared" si="11"/>
        <v>524</v>
      </c>
      <c r="S28" s="90">
        <v>44</v>
      </c>
      <c r="T28" s="90">
        <v>480</v>
      </c>
      <c r="U28" s="92">
        <f t="shared" si="7"/>
        <v>45702</v>
      </c>
      <c r="V28" s="93">
        <v>32</v>
      </c>
      <c r="W28" s="91">
        <v>0.31597222222222221</v>
      </c>
      <c r="X28" s="90">
        <v>520</v>
      </c>
    </row>
    <row r="29" spans="1:24" ht="15.75" thickBot="1" x14ac:dyDescent="0.25">
      <c r="B29" s="92">
        <f t="shared" si="8"/>
        <v>45703</v>
      </c>
      <c r="D29" s="93">
        <v>59</v>
      </c>
      <c r="E29" s="91">
        <v>0.1875</v>
      </c>
      <c r="F29" s="90">
        <v>795</v>
      </c>
      <c r="G29" s="95">
        <f t="shared" si="10"/>
        <v>305</v>
      </c>
      <c r="H29" s="90">
        <v>490</v>
      </c>
      <c r="I29" s="92">
        <f t="shared" si="4"/>
        <v>45703</v>
      </c>
      <c r="J29" s="93">
        <v>28</v>
      </c>
      <c r="K29" s="91">
        <v>0.90625</v>
      </c>
      <c r="L29" s="90">
        <v>550</v>
      </c>
      <c r="M29" s="92">
        <f t="shared" si="5"/>
        <v>45703</v>
      </c>
      <c r="N29" s="93">
        <v>2</v>
      </c>
      <c r="O29" s="91">
        <v>0.34375</v>
      </c>
      <c r="P29" s="93">
        <v>31</v>
      </c>
      <c r="Q29" s="91">
        <v>0.36458333333333331</v>
      </c>
      <c r="R29" s="94">
        <f t="shared" si="11"/>
        <v>490</v>
      </c>
      <c r="S29" s="90">
        <v>43</v>
      </c>
      <c r="T29" s="90">
        <v>447</v>
      </c>
      <c r="U29" s="92">
        <f t="shared" si="7"/>
        <v>45703</v>
      </c>
      <c r="V29" s="93">
        <v>27</v>
      </c>
      <c r="W29" s="91">
        <v>0.32291666666666669</v>
      </c>
      <c r="X29" s="90">
        <v>494</v>
      </c>
    </row>
    <row r="30" spans="1:24" ht="15.75" thickBot="1" x14ac:dyDescent="0.25">
      <c r="B30" s="92">
        <f t="shared" si="8"/>
        <v>45704</v>
      </c>
      <c r="D30" s="93">
        <v>67.400000000000006</v>
      </c>
      <c r="E30" s="91">
        <v>0.15625</v>
      </c>
      <c r="F30" s="90">
        <v>738.44</v>
      </c>
      <c r="G30" s="95">
        <f t="shared" si="10"/>
        <v>251.79000000000008</v>
      </c>
      <c r="H30" s="90">
        <v>486.65</v>
      </c>
      <c r="I30" s="92">
        <f t="shared" si="4"/>
        <v>45704</v>
      </c>
      <c r="J30" s="93">
        <v>28.79</v>
      </c>
      <c r="K30" s="91">
        <v>0.66666666666666663</v>
      </c>
      <c r="L30" s="90">
        <v>549.63</v>
      </c>
      <c r="M30" s="92">
        <f t="shared" si="5"/>
        <v>45704</v>
      </c>
      <c r="N30" s="93">
        <v>2.06</v>
      </c>
      <c r="O30" s="91">
        <v>0.625</v>
      </c>
      <c r="P30" s="93">
        <v>25.28</v>
      </c>
      <c r="Q30" s="91">
        <v>0.97916666666666663</v>
      </c>
      <c r="R30" s="94">
        <f t="shared" si="11"/>
        <v>455.75</v>
      </c>
      <c r="S30" s="90">
        <v>42.94</v>
      </c>
      <c r="T30" s="90">
        <v>412.81</v>
      </c>
      <c r="U30" s="92">
        <f t="shared" si="7"/>
        <v>45704</v>
      </c>
      <c r="V30" s="93">
        <v>27.09</v>
      </c>
      <c r="W30" s="91">
        <v>0.85416666666666663</v>
      </c>
      <c r="X30" s="90">
        <v>468.27</v>
      </c>
    </row>
    <row r="31" spans="1:24" ht="15.75" thickBot="1" x14ac:dyDescent="0.25">
      <c r="B31" s="92">
        <f t="shared" si="8"/>
        <v>45705</v>
      </c>
      <c r="D31" s="93">
        <v>85</v>
      </c>
      <c r="E31" s="91">
        <v>0.125</v>
      </c>
      <c r="F31" s="90">
        <v>1153</v>
      </c>
      <c r="G31" s="95">
        <f t="shared" si="10"/>
        <v>620</v>
      </c>
      <c r="H31" s="90">
        <v>533</v>
      </c>
      <c r="I31" s="92">
        <f t="shared" si="4"/>
        <v>45705</v>
      </c>
      <c r="J31" s="93">
        <v>33</v>
      </c>
      <c r="K31" s="91">
        <v>0.6875</v>
      </c>
      <c r="L31" s="90">
        <v>589</v>
      </c>
      <c r="M31" s="92">
        <f t="shared" si="5"/>
        <v>45705</v>
      </c>
      <c r="N31" s="93">
        <v>2</v>
      </c>
      <c r="O31" s="91">
        <v>0.72916666666666663</v>
      </c>
      <c r="P31" s="93">
        <v>31</v>
      </c>
      <c r="Q31" s="91">
        <v>0.78125</v>
      </c>
      <c r="R31" s="94">
        <f t="shared" si="11"/>
        <v>510</v>
      </c>
      <c r="S31" s="90">
        <v>45</v>
      </c>
      <c r="T31" s="90">
        <v>465</v>
      </c>
      <c r="U31" s="92">
        <f t="shared" si="7"/>
        <v>45705</v>
      </c>
      <c r="V31" s="93">
        <v>27</v>
      </c>
      <c r="W31" s="91">
        <v>0.3125</v>
      </c>
      <c r="X31" s="90">
        <v>472</v>
      </c>
    </row>
    <row r="32" spans="1:24" ht="15.75" thickBot="1" x14ac:dyDescent="0.25">
      <c r="B32" s="92">
        <f t="shared" si="8"/>
        <v>45706</v>
      </c>
      <c r="D32" s="93">
        <v>74</v>
      </c>
      <c r="E32" s="91">
        <v>0.64583333333333337</v>
      </c>
      <c r="F32" s="90">
        <v>1128</v>
      </c>
      <c r="G32" s="95">
        <f t="shared" si="10"/>
        <v>632</v>
      </c>
      <c r="H32" s="90">
        <v>496</v>
      </c>
      <c r="I32" s="92">
        <f t="shared" si="4"/>
        <v>45706</v>
      </c>
      <c r="J32" s="93">
        <v>31</v>
      </c>
      <c r="K32" s="91">
        <v>0.59375</v>
      </c>
      <c r="L32" s="90">
        <v>572</v>
      </c>
      <c r="M32" s="92">
        <f t="shared" si="5"/>
        <v>45706</v>
      </c>
      <c r="N32" s="93">
        <v>2</v>
      </c>
      <c r="O32" s="91">
        <v>0.5625</v>
      </c>
      <c r="P32" s="93">
        <v>29</v>
      </c>
      <c r="Q32" s="91">
        <v>0.64583333333333337</v>
      </c>
      <c r="R32" s="94">
        <f t="shared" si="11"/>
        <v>504</v>
      </c>
      <c r="S32" s="90">
        <v>40</v>
      </c>
      <c r="T32" s="90">
        <v>464</v>
      </c>
      <c r="U32" s="92">
        <f t="shared" si="7"/>
        <v>45706</v>
      </c>
      <c r="V32" s="93">
        <v>30</v>
      </c>
      <c r="W32" s="91">
        <v>0.60416666666666663</v>
      </c>
      <c r="X32" s="90">
        <v>536</v>
      </c>
    </row>
    <row r="33" spans="2:24" ht="15.75" thickBot="1" x14ac:dyDescent="0.25">
      <c r="B33" s="92">
        <f t="shared" si="8"/>
        <v>45707</v>
      </c>
      <c r="D33" s="93">
        <v>95</v>
      </c>
      <c r="E33" s="91">
        <v>0.64583333333333337</v>
      </c>
      <c r="F33" s="90">
        <v>1168</v>
      </c>
      <c r="G33" s="95">
        <f t="shared" si="10"/>
        <v>677</v>
      </c>
      <c r="H33" s="90">
        <v>491</v>
      </c>
      <c r="I33" s="92">
        <f t="shared" si="4"/>
        <v>45707</v>
      </c>
      <c r="J33" s="93">
        <v>32</v>
      </c>
      <c r="K33" s="91">
        <v>0.73958333333333337</v>
      </c>
      <c r="L33" s="90">
        <v>582</v>
      </c>
      <c r="M33" s="92">
        <f t="shared" si="5"/>
        <v>45707</v>
      </c>
      <c r="N33" s="93">
        <v>4</v>
      </c>
      <c r="O33" s="91">
        <v>0.25</v>
      </c>
      <c r="P33" s="93">
        <v>30</v>
      </c>
      <c r="Q33" s="91">
        <v>0.32291666666666669</v>
      </c>
      <c r="R33" s="94">
        <f t="shared" si="11"/>
        <v>525</v>
      </c>
      <c r="S33" s="90">
        <v>44</v>
      </c>
      <c r="T33" s="90">
        <v>481</v>
      </c>
      <c r="U33" s="92">
        <f t="shared" si="7"/>
        <v>45707</v>
      </c>
      <c r="V33" s="93">
        <v>28</v>
      </c>
      <c r="W33" s="91">
        <v>0.48958333333333331</v>
      </c>
      <c r="X33" s="90">
        <v>548</v>
      </c>
    </row>
    <row r="34" spans="2:24" ht="15.75" thickBot="1" x14ac:dyDescent="0.25">
      <c r="B34" s="92">
        <f t="shared" si="8"/>
        <v>45708</v>
      </c>
      <c r="D34" s="93">
        <v>93</v>
      </c>
      <c r="E34" s="91">
        <v>0.70833333333333337</v>
      </c>
      <c r="F34" s="90">
        <v>1173</v>
      </c>
      <c r="G34" s="95">
        <f t="shared" si="10"/>
        <v>658</v>
      </c>
      <c r="H34" s="90">
        <v>515</v>
      </c>
      <c r="I34" s="92">
        <f t="shared" si="4"/>
        <v>45708</v>
      </c>
      <c r="J34" s="93">
        <v>29</v>
      </c>
      <c r="K34" s="91">
        <v>0.63541666666666663</v>
      </c>
      <c r="L34" s="90">
        <v>579</v>
      </c>
      <c r="M34" s="92">
        <f t="shared" si="5"/>
        <v>45708</v>
      </c>
      <c r="N34" s="93">
        <v>2</v>
      </c>
      <c r="O34" s="91">
        <v>0.34375</v>
      </c>
      <c r="P34" s="93">
        <v>32</v>
      </c>
      <c r="Q34" s="91">
        <v>0.66666666666666663</v>
      </c>
      <c r="R34" s="94">
        <f t="shared" si="11"/>
        <v>524</v>
      </c>
      <c r="S34" s="90">
        <v>44</v>
      </c>
      <c r="T34" s="90">
        <v>480</v>
      </c>
      <c r="U34" s="92">
        <f t="shared" si="7"/>
        <v>45708</v>
      </c>
      <c r="V34" s="93">
        <v>29</v>
      </c>
      <c r="W34" s="91">
        <v>0.32291666666666669</v>
      </c>
      <c r="X34" s="90">
        <v>513</v>
      </c>
    </row>
    <row r="35" spans="2:24" ht="15.75" thickBot="1" x14ac:dyDescent="0.25">
      <c r="B35" s="92">
        <f t="shared" si="8"/>
        <v>45709</v>
      </c>
      <c r="D35" s="93">
        <v>110.21</v>
      </c>
      <c r="E35" s="91">
        <v>0.52083333333333337</v>
      </c>
      <c r="F35" s="90">
        <v>1147.81</v>
      </c>
      <c r="G35" s="95">
        <f t="shared" si="10"/>
        <v>632.58999999999992</v>
      </c>
      <c r="H35" s="90">
        <v>515.22</v>
      </c>
      <c r="I35" s="92">
        <f t="shared" si="4"/>
        <v>45709</v>
      </c>
      <c r="J35" s="93">
        <v>31.36</v>
      </c>
      <c r="K35" s="91">
        <v>4.1666666666666664E-2</v>
      </c>
      <c r="L35" s="90">
        <v>564.63</v>
      </c>
      <c r="M35" s="92">
        <f t="shared" si="5"/>
        <v>45709</v>
      </c>
      <c r="N35" s="93">
        <v>2.15</v>
      </c>
      <c r="O35" s="91">
        <v>0.59375</v>
      </c>
      <c r="P35" s="93">
        <v>35.39</v>
      </c>
      <c r="Q35" s="91">
        <v>0.59375</v>
      </c>
      <c r="R35" s="94">
        <f t="shared" si="11"/>
        <v>526.49</v>
      </c>
      <c r="S35" s="90">
        <v>43.67</v>
      </c>
      <c r="T35" s="90">
        <v>482.82</v>
      </c>
      <c r="U35" s="92">
        <f t="shared" si="7"/>
        <v>45709</v>
      </c>
      <c r="V35" s="93">
        <v>27.31</v>
      </c>
      <c r="W35" s="91">
        <v>0.25</v>
      </c>
      <c r="X35" s="90">
        <v>487.38</v>
      </c>
    </row>
    <row r="36" spans="2:24" ht="15.75" thickBot="1" x14ac:dyDescent="0.25">
      <c r="B36" s="92">
        <f t="shared" si="8"/>
        <v>45710</v>
      </c>
      <c r="D36" s="93">
        <v>70.09</v>
      </c>
      <c r="E36" s="91">
        <v>0.73958333333333337</v>
      </c>
      <c r="F36" s="90">
        <v>879.32</v>
      </c>
      <c r="G36" s="95">
        <f t="shared" si="10"/>
        <v>373.63000000000005</v>
      </c>
      <c r="H36" s="90">
        <v>505.69</v>
      </c>
      <c r="I36" s="92">
        <f t="shared" si="4"/>
        <v>45710</v>
      </c>
      <c r="J36" s="93">
        <v>28.02</v>
      </c>
      <c r="K36" s="91">
        <v>7.2916666666666671E-2</v>
      </c>
      <c r="L36" s="90">
        <v>531.22</v>
      </c>
      <c r="M36" s="92">
        <f t="shared" si="5"/>
        <v>45710</v>
      </c>
      <c r="N36" s="93">
        <v>13.23</v>
      </c>
      <c r="O36" s="91">
        <v>0.14583333333333334</v>
      </c>
      <c r="P36" s="93">
        <v>32.1</v>
      </c>
      <c r="Q36" s="91">
        <v>0.44791666666666669</v>
      </c>
      <c r="R36" s="94">
        <f t="shared" si="11"/>
        <v>486.4</v>
      </c>
      <c r="S36" s="90">
        <v>56.81</v>
      </c>
      <c r="T36" s="90">
        <v>429.59</v>
      </c>
      <c r="U36" s="92">
        <f t="shared" si="7"/>
        <v>45710</v>
      </c>
      <c r="V36" s="93">
        <v>26.31</v>
      </c>
      <c r="W36" s="91">
        <v>0.82291666666666663</v>
      </c>
      <c r="X36" s="90">
        <v>442.71</v>
      </c>
    </row>
    <row r="37" spans="2:24" ht="15.75" thickBot="1" x14ac:dyDescent="0.25">
      <c r="B37" s="92">
        <f t="shared" si="8"/>
        <v>45711</v>
      </c>
      <c r="D37" s="93">
        <v>88.68</v>
      </c>
      <c r="E37" s="91">
        <v>0.79166666666666663</v>
      </c>
      <c r="F37" s="90">
        <v>901.22</v>
      </c>
      <c r="G37" s="95">
        <f t="shared" si="10"/>
        <v>364.24</v>
      </c>
      <c r="H37" s="90">
        <v>536.98</v>
      </c>
      <c r="I37" s="92">
        <f t="shared" si="4"/>
        <v>45711</v>
      </c>
      <c r="J37" s="93">
        <v>27.03</v>
      </c>
      <c r="K37" s="91">
        <v>0.98958333333333337</v>
      </c>
      <c r="L37" s="90">
        <v>540.4</v>
      </c>
      <c r="M37" s="92">
        <f t="shared" si="5"/>
        <v>45711</v>
      </c>
      <c r="N37" s="93">
        <v>2.0299999999999998</v>
      </c>
      <c r="O37" s="91">
        <v>0.36458333333333331</v>
      </c>
      <c r="P37" s="93">
        <v>25.66</v>
      </c>
      <c r="Q37" s="91">
        <v>0.85416666666666663</v>
      </c>
      <c r="R37" s="94">
        <f t="shared" si="11"/>
        <v>465.13</v>
      </c>
      <c r="S37" s="90">
        <v>42.39</v>
      </c>
      <c r="T37" s="90">
        <v>422.74</v>
      </c>
      <c r="U37" s="92">
        <f t="shared" si="7"/>
        <v>45711</v>
      </c>
      <c r="V37" s="93">
        <v>24.12</v>
      </c>
      <c r="W37" s="91">
        <v>0.52083333333333337</v>
      </c>
      <c r="X37" s="90">
        <v>494.14</v>
      </c>
    </row>
    <row r="38" spans="2:24" ht="15.75" thickBot="1" x14ac:dyDescent="0.25">
      <c r="B38" s="92">
        <f t="shared" si="8"/>
        <v>45712</v>
      </c>
      <c r="D38" s="93">
        <v>128</v>
      </c>
      <c r="E38" s="91">
        <v>0.66874999999999996</v>
      </c>
      <c r="F38" s="90">
        <v>1307</v>
      </c>
      <c r="G38" s="95">
        <f t="shared" si="10"/>
        <v>743</v>
      </c>
      <c r="H38" s="90">
        <v>564</v>
      </c>
      <c r="I38" s="92">
        <f t="shared" si="4"/>
        <v>45712</v>
      </c>
      <c r="J38" s="93">
        <v>34</v>
      </c>
      <c r="K38" s="91">
        <v>0.33333333333333331</v>
      </c>
      <c r="L38" s="90">
        <v>604</v>
      </c>
      <c r="M38" s="92">
        <f t="shared" si="5"/>
        <v>45712</v>
      </c>
      <c r="N38" s="93">
        <v>2</v>
      </c>
      <c r="O38" s="91">
        <v>0.30902777777777779</v>
      </c>
      <c r="P38" s="93">
        <v>37</v>
      </c>
      <c r="Q38" s="91">
        <v>0.66111111111111109</v>
      </c>
      <c r="R38" s="94">
        <f t="shared" si="11"/>
        <v>523</v>
      </c>
      <c r="S38" s="90">
        <v>43</v>
      </c>
      <c r="T38" s="90">
        <v>480</v>
      </c>
      <c r="U38" s="92">
        <f t="shared" si="7"/>
        <v>45712</v>
      </c>
      <c r="V38" s="93">
        <v>30</v>
      </c>
      <c r="W38" s="91">
        <v>0.43402777777777779</v>
      </c>
      <c r="X38" s="90">
        <v>549</v>
      </c>
    </row>
    <row r="39" spans="2:24" ht="15.75" thickBot="1" x14ac:dyDescent="0.25">
      <c r="B39" s="92">
        <f t="shared" si="8"/>
        <v>45713</v>
      </c>
      <c r="D39" s="93">
        <v>87</v>
      </c>
      <c r="E39" s="91">
        <v>0.55208333333333337</v>
      </c>
      <c r="F39" s="90">
        <v>743</v>
      </c>
      <c r="G39" s="95">
        <f t="shared" si="10"/>
        <v>395</v>
      </c>
      <c r="H39" s="90">
        <v>348</v>
      </c>
      <c r="I39" s="92">
        <f t="shared" si="4"/>
        <v>45713</v>
      </c>
      <c r="J39" s="93">
        <v>35</v>
      </c>
      <c r="K39" s="91">
        <v>0.60416666666666663</v>
      </c>
      <c r="L39" s="90">
        <v>571</v>
      </c>
      <c r="M39" s="92">
        <f t="shared" si="5"/>
        <v>45713</v>
      </c>
      <c r="N39" s="93">
        <v>16</v>
      </c>
      <c r="O39" s="91">
        <v>0.8125</v>
      </c>
      <c r="P39" s="93">
        <v>32</v>
      </c>
      <c r="Q39" s="91">
        <v>0.85416666666666663</v>
      </c>
      <c r="R39" s="94">
        <f t="shared" si="11"/>
        <v>508</v>
      </c>
      <c r="S39" s="90">
        <v>60</v>
      </c>
      <c r="T39" s="90">
        <v>448</v>
      </c>
      <c r="U39" s="92">
        <f t="shared" si="7"/>
        <v>45713</v>
      </c>
      <c r="V39" s="93">
        <v>32</v>
      </c>
      <c r="W39" s="91">
        <v>0.67708333333333337</v>
      </c>
      <c r="X39" s="90">
        <v>528</v>
      </c>
    </row>
    <row r="40" spans="2:24" ht="15.75" thickBot="1" x14ac:dyDescent="0.25">
      <c r="B40" s="92">
        <f t="shared" si="8"/>
        <v>45714</v>
      </c>
      <c r="D40" s="196">
        <v>110</v>
      </c>
      <c r="E40" s="197">
        <v>0.69791666666666663</v>
      </c>
      <c r="F40" s="198">
        <v>1262</v>
      </c>
      <c r="G40" s="199">
        <f t="shared" si="10"/>
        <v>690</v>
      </c>
      <c r="H40" s="198">
        <v>572</v>
      </c>
      <c r="I40" s="200">
        <f t="shared" si="4"/>
        <v>45714</v>
      </c>
      <c r="J40" s="196">
        <v>32</v>
      </c>
      <c r="K40" s="197">
        <v>0.55208333333333337</v>
      </c>
      <c r="L40" s="198">
        <v>583</v>
      </c>
      <c r="M40" s="200">
        <f t="shared" si="5"/>
        <v>45714</v>
      </c>
      <c r="N40" s="196">
        <v>2</v>
      </c>
      <c r="O40" s="197">
        <v>0.34375</v>
      </c>
      <c r="P40" s="196">
        <v>33</v>
      </c>
      <c r="Q40" s="197">
        <v>0.65625</v>
      </c>
      <c r="R40" s="94">
        <f t="shared" si="11"/>
        <v>520</v>
      </c>
      <c r="S40" s="198">
        <v>44</v>
      </c>
      <c r="T40" s="198">
        <v>476</v>
      </c>
      <c r="U40" s="200">
        <f t="shared" si="7"/>
        <v>45714</v>
      </c>
      <c r="V40" s="196">
        <v>31</v>
      </c>
      <c r="W40" s="197">
        <v>0.23958333333333334</v>
      </c>
      <c r="X40" s="198">
        <v>543</v>
      </c>
    </row>
    <row r="41" spans="2:24" ht="15.75" thickBot="1" x14ac:dyDescent="0.25">
      <c r="B41" s="92">
        <f t="shared" si="8"/>
        <v>45715</v>
      </c>
      <c r="D41" s="93">
        <v>118</v>
      </c>
      <c r="E41" s="91">
        <v>0.70833333333333337</v>
      </c>
      <c r="F41" s="90">
        <v>1169</v>
      </c>
      <c r="G41" s="95">
        <f t="shared" si="10"/>
        <v>667</v>
      </c>
      <c r="H41" s="90">
        <v>502</v>
      </c>
      <c r="I41" s="92">
        <f t="shared" si="4"/>
        <v>45715</v>
      </c>
      <c r="J41" s="93">
        <v>32</v>
      </c>
      <c r="K41" s="91">
        <v>0.58333333333333337</v>
      </c>
      <c r="L41" s="90">
        <v>574</v>
      </c>
      <c r="M41" s="92">
        <v>45650</v>
      </c>
      <c r="N41" s="93">
        <v>2</v>
      </c>
      <c r="O41" s="91">
        <v>0.72916666666666663</v>
      </c>
      <c r="P41" s="93">
        <v>32</v>
      </c>
      <c r="Q41" s="91">
        <v>0.79166666666666663</v>
      </c>
      <c r="R41" s="94">
        <f t="shared" si="11"/>
        <v>529</v>
      </c>
      <c r="S41" s="90">
        <v>44</v>
      </c>
      <c r="T41" s="90">
        <v>485</v>
      </c>
      <c r="U41" s="92">
        <f t="shared" si="7"/>
        <v>45715</v>
      </c>
      <c r="V41" s="93">
        <v>28</v>
      </c>
      <c r="W41" s="91">
        <v>0.85416666666666663</v>
      </c>
      <c r="X41" s="90">
        <v>557</v>
      </c>
    </row>
    <row r="42" spans="2:24" ht="15.75" thickBot="1" x14ac:dyDescent="0.25">
      <c r="B42" s="92">
        <f t="shared" si="8"/>
        <v>45716</v>
      </c>
      <c r="D42" s="93">
        <v>116</v>
      </c>
      <c r="E42" s="91">
        <v>0.6875</v>
      </c>
      <c r="F42" s="90">
        <v>1225</v>
      </c>
      <c r="G42" s="95">
        <f t="shared" si="10"/>
        <v>701</v>
      </c>
      <c r="H42" s="90">
        <v>524</v>
      </c>
      <c r="I42" s="92">
        <f t="shared" si="4"/>
        <v>45716</v>
      </c>
      <c r="J42" s="93">
        <v>31</v>
      </c>
      <c r="K42" s="91"/>
      <c r="L42" s="90">
        <v>589</v>
      </c>
      <c r="M42" s="92">
        <v>45651</v>
      </c>
      <c r="N42" s="93">
        <v>2</v>
      </c>
      <c r="O42" s="91">
        <v>0.70833333333333337</v>
      </c>
      <c r="P42" s="93">
        <v>29</v>
      </c>
      <c r="Q42" s="91">
        <v>0.75</v>
      </c>
      <c r="R42" s="94">
        <f t="shared" si="11"/>
        <v>523</v>
      </c>
      <c r="S42" s="90">
        <v>38</v>
      </c>
      <c r="T42" s="90">
        <v>485</v>
      </c>
      <c r="U42" s="92">
        <f t="shared" si="7"/>
        <v>45716</v>
      </c>
      <c r="V42" s="93">
        <v>28</v>
      </c>
      <c r="W42" s="91">
        <v>0.89583333333333337</v>
      </c>
      <c r="X42" s="90">
        <v>518</v>
      </c>
    </row>
    <row r="43" spans="2:24" ht="15.75" thickBot="1" x14ac:dyDescent="0.25">
      <c r="B43" s="92">
        <f t="shared" si="8"/>
        <v>45717</v>
      </c>
      <c r="D43" s="93"/>
      <c r="E43" s="91"/>
      <c r="F43" s="90"/>
      <c r="G43" s="95">
        <f t="shared" si="10"/>
        <v>0</v>
      </c>
      <c r="H43" s="90"/>
      <c r="I43" s="92">
        <f t="shared" si="4"/>
        <v>45717</v>
      </c>
      <c r="J43" s="93"/>
      <c r="K43" s="91"/>
      <c r="L43" s="90"/>
      <c r="M43" s="92">
        <v>45652</v>
      </c>
      <c r="N43" s="93"/>
      <c r="O43" s="91"/>
      <c r="P43" s="93"/>
      <c r="Q43" s="91"/>
      <c r="R43" s="94">
        <f t="shared" si="11"/>
        <v>0</v>
      </c>
      <c r="S43" s="90"/>
      <c r="T43" s="90"/>
      <c r="U43" s="92">
        <f t="shared" si="7"/>
        <v>45717</v>
      </c>
      <c r="V43" s="93"/>
      <c r="W43" s="91"/>
      <c r="X43" s="90"/>
    </row>
    <row r="44" spans="2:24" x14ac:dyDescent="0.2">
      <c r="B44" s="92">
        <f t="shared" si="8"/>
        <v>45718</v>
      </c>
      <c r="D44" s="93"/>
      <c r="E44" s="91"/>
      <c r="F44" s="90"/>
      <c r="G44" s="95">
        <f t="shared" si="10"/>
        <v>0</v>
      </c>
      <c r="H44" s="90"/>
      <c r="I44" s="92">
        <f t="shared" si="4"/>
        <v>45718</v>
      </c>
      <c r="J44" s="93"/>
      <c r="K44" s="91"/>
      <c r="L44" s="90"/>
      <c r="M44" s="92">
        <v>45653</v>
      </c>
      <c r="N44" s="93"/>
      <c r="O44" s="91"/>
      <c r="P44" s="93"/>
      <c r="Q44" s="91"/>
      <c r="R44" s="94">
        <f t="shared" si="11"/>
        <v>0</v>
      </c>
      <c r="S44" s="90"/>
      <c r="T44" s="90"/>
      <c r="U44" s="92">
        <f t="shared" si="7"/>
        <v>45718</v>
      </c>
      <c r="V44" s="93"/>
      <c r="W44" s="91"/>
      <c r="X44" s="90"/>
    </row>
    <row r="45" spans="2:24" x14ac:dyDescent="0.2">
      <c r="F45" s="208">
        <f>SUM(F15:F42)</f>
        <v>29399.62</v>
      </c>
      <c r="G45" s="208">
        <f t="shared" ref="G45:H45" si="12">SUM(G15:G42)</f>
        <v>14688.75</v>
      </c>
      <c r="H45" s="208">
        <f t="shared" si="12"/>
        <v>14710.869999999999</v>
      </c>
    </row>
    <row r="46" spans="2:24" x14ac:dyDescent="0.2">
      <c r="G46" s="209">
        <f>G45/F45</f>
        <v>0.49962380466142081</v>
      </c>
      <c r="H46" s="209">
        <f>H45/F45</f>
        <v>0.50037619533857924</v>
      </c>
    </row>
    <row r="49" spans="4:10" x14ac:dyDescent="0.2">
      <c r="E49" s="204" t="s">
        <v>62</v>
      </c>
      <c r="F49" s="204" t="s">
        <v>63</v>
      </c>
      <c r="G49" s="204" t="s">
        <v>64</v>
      </c>
      <c r="H49" s="204" t="s">
        <v>65</v>
      </c>
      <c r="I49" s="204" t="s">
        <v>66</v>
      </c>
      <c r="J49" s="204" t="s">
        <v>67</v>
      </c>
    </row>
    <row r="50" spans="4:10" x14ac:dyDescent="0.2">
      <c r="D50" s="207">
        <v>45658</v>
      </c>
      <c r="E50" s="205">
        <f>F14/J50</f>
        <v>0.41385311521058127</v>
      </c>
      <c r="F50" s="205">
        <f>L14/J50</f>
        <v>0.20953706926557605</v>
      </c>
      <c r="G50" s="205">
        <f>S14/J50</f>
        <v>1.4966933518969718E-2</v>
      </c>
      <c r="H50" s="205">
        <f>T14/J50</f>
        <v>0.16916115558649494</v>
      </c>
      <c r="I50" s="205">
        <f>X14/J50</f>
        <v>0.19248172641837799</v>
      </c>
      <c r="J50" s="206">
        <f>F14+L14+S14+T14+X14</f>
        <v>2873</v>
      </c>
    </row>
    <row r="51" spans="4:10" x14ac:dyDescent="0.2">
      <c r="D51" s="207">
        <v>45659</v>
      </c>
      <c r="E51" s="205">
        <f t="shared" ref="E51:E80" si="13">F15/J51</f>
        <v>0.35415837644249898</v>
      </c>
      <c r="F51" s="205">
        <f t="shared" ref="F51:F80" si="14">L15/J51</f>
        <v>0.2224432948666932</v>
      </c>
      <c r="G51" s="205">
        <f t="shared" ref="G51:G80" si="15">S15/J51</f>
        <v>1.7111022682053324E-2</v>
      </c>
      <c r="H51" s="205">
        <f t="shared" ref="H51:H80" si="16">T15/J51</f>
        <v>0.1786709112614405</v>
      </c>
      <c r="I51" s="205">
        <f t="shared" ref="I51:I80" si="17">X15/J51</f>
        <v>0.22761639474731396</v>
      </c>
      <c r="J51" s="206">
        <f t="shared" ref="J51:J80" si="18">F15+L15+S15+T15+X15</f>
        <v>2513</v>
      </c>
    </row>
    <row r="52" spans="4:10" x14ac:dyDescent="0.2">
      <c r="D52" s="207">
        <v>45660</v>
      </c>
      <c r="E52" s="205">
        <f t="shared" si="13"/>
        <v>0.37437603993344426</v>
      </c>
      <c r="F52" s="205">
        <f t="shared" si="14"/>
        <v>0.23876871880199668</v>
      </c>
      <c r="G52" s="205">
        <f t="shared" si="15"/>
        <v>1.6222961730449251E-2</v>
      </c>
      <c r="H52" s="205">
        <f t="shared" si="16"/>
        <v>0.17678868552412647</v>
      </c>
      <c r="I52" s="205">
        <f t="shared" si="17"/>
        <v>0.19384359400998336</v>
      </c>
      <c r="J52" s="206">
        <f t="shared" si="18"/>
        <v>2404</v>
      </c>
    </row>
    <row r="53" spans="4:10" x14ac:dyDescent="0.2">
      <c r="D53" s="207">
        <v>45661</v>
      </c>
      <c r="E53" s="205">
        <f t="shared" si="13"/>
        <v>0.44873501997336884</v>
      </c>
      <c r="F53" s="205">
        <f t="shared" si="14"/>
        <v>0.20239680426098536</v>
      </c>
      <c r="G53" s="205">
        <f t="shared" si="15"/>
        <v>1.4314247669773635E-2</v>
      </c>
      <c r="H53" s="205">
        <f t="shared" si="16"/>
        <v>0.15878828229027964</v>
      </c>
      <c r="I53" s="205">
        <f t="shared" si="17"/>
        <v>0.17576564580559254</v>
      </c>
      <c r="J53" s="206">
        <f t="shared" si="18"/>
        <v>3004</v>
      </c>
    </row>
    <row r="54" spans="4:10" x14ac:dyDescent="0.2">
      <c r="D54" s="207">
        <v>45662</v>
      </c>
      <c r="E54" s="205">
        <f t="shared" si="13"/>
        <v>0.4230380599528461</v>
      </c>
      <c r="F54" s="205">
        <f t="shared" si="14"/>
        <v>0.20579319636241158</v>
      </c>
      <c r="G54" s="205">
        <f t="shared" si="15"/>
        <v>1.4482990906028967E-2</v>
      </c>
      <c r="H54" s="205">
        <f t="shared" si="16"/>
        <v>0.16301785112832604</v>
      </c>
      <c r="I54" s="205">
        <f t="shared" si="17"/>
        <v>0.19366790165038733</v>
      </c>
      <c r="J54" s="206">
        <f t="shared" si="18"/>
        <v>2969</v>
      </c>
    </row>
    <row r="55" spans="4:10" x14ac:dyDescent="0.2">
      <c r="D55" s="207">
        <v>45663</v>
      </c>
      <c r="E55" s="205">
        <f t="shared" si="13"/>
        <v>0.44486215538847118</v>
      </c>
      <c r="F55" s="205">
        <f t="shared" si="14"/>
        <v>0.20582706766917294</v>
      </c>
      <c r="G55" s="205">
        <f t="shared" si="15"/>
        <v>1.3784461152882205E-2</v>
      </c>
      <c r="H55" s="205">
        <f t="shared" si="16"/>
        <v>0.15350877192982457</v>
      </c>
      <c r="I55" s="205">
        <f t="shared" si="17"/>
        <v>0.18201754385964913</v>
      </c>
      <c r="J55" s="206">
        <f t="shared" si="18"/>
        <v>3192</v>
      </c>
    </row>
    <row r="56" spans="4:10" x14ac:dyDescent="0.2">
      <c r="D56" s="207">
        <v>45664</v>
      </c>
      <c r="E56" s="205">
        <f t="shared" si="13"/>
        <v>0.42748355832467982</v>
      </c>
      <c r="F56" s="205">
        <f t="shared" si="14"/>
        <v>0.21322256836275527</v>
      </c>
      <c r="G56" s="205">
        <f t="shared" si="15"/>
        <v>1.142263759086189E-2</v>
      </c>
      <c r="H56" s="205">
        <f t="shared" si="16"/>
        <v>0.16857043959847698</v>
      </c>
      <c r="I56" s="205">
        <f t="shared" si="17"/>
        <v>0.17930079612322603</v>
      </c>
      <c r="J56" s="206">
        <f t="shared" si="18"/>
        <v>2889</v>
      </c>
    </row>
    <row r="57" spans="4:10" x14ac:dyDescent="0.2">
      <c r="D57" s="207">
        <v>45665</v>
      </c>
      <c r="E57" s="205">
        <f t="shared" si="13"/>
        <v>0.41517054532327302</v>
      </c>
      <c r="F57" s="205">
        <f t="shared" si="14"/>
        <v>0.20930448675561783</v>
      </c>
      <c r="G57" s="205">
        <f t="shared" si="15"/>
        <v>1.5694530325721372E-2</v>
      </c>
      <c r="H57" s="205">
        <f t="shared" si="16"/>
        <v>0.17366564323984288</v>
      </c>
      <c r="I57" s="205">
        <f t="shared" si="17"/>
        <v>0.18616479435554492</v>
      </c>
      <c r="J57" s="206">
        <f t="shared" si="18"/>
        <v>2797.79</v>
      </c>
    </row>
    <row r="58" spans="4:10" x14ac:dyDescent="0.2">
      <c r="D58" s="207">
        <v>45666</v>
      </c>
      <c r="E58" s="205">
        <f t="shared" si="13"/>
        <v>0.34713238464855539</v>
      </c>
      <c r="F58" s="205">
        <f t="shared" si="14"/>
        <v>0.24320827943078913</v>
      </c>
      <c r="G58" s="205">
        <f t="shared" si="15"/>
        <v>1.2074169900819319E-2</v>
      </c>
      <c r="H58" s="205">
        <f t="shared" si="16"/>
        <v>0.1936179387667098</v>
      </c>
      <c r="I58" s="205">
        <f t="shared" si="17"/>
        <v>0.20396722725312635</v>
      </c>
      <c r="J58" s="206">
        <f t="shared" si="18"/>
        <v>2319</v>
      </c>
    </row>
    <row r="59" spans="4:10" x14ac:dyDescent="0.2">
      <c r="D59" s="207">
        <v>45667</v>
      </c>
      <c r="E59" s="205">
        <f t="shared" si="13"/>
        <v>0.32876159741831384</v>
      </c>
      <c r="F59" s="205">
        <f t="shared" si="14"/>
        <v>0.22751109318273496</v>
      </c>
      <c r="G59" s="205">
        <f t="shared" si="15"/>
        <v>1.7345703912868091E-2</v>
      </c>
      <c r="H59" s="205">
        <f t="shared" si="16"/>
        <v>0.21016538926986689</v>
      </c>
      <c r="I59" s="205">
        <f t="shared" si="17"/>
        <v>0.21621621621621623</v>
      </c>
      <c r="J59" s="206">
        <f t="shared" si="18"/>
        <v>2479</v>
      </c>
    </row>
    <row r="60" spans="4:10" x14ac:dyDescent="0.2">
      <c r="D60" s="207">
        <v>45668</v>
      </c>
      <c r="E60" s="205">
        <f t="shared" si="13"/>
        <v>0.41941869787198127</v>
      </c>
      <c r="F60" s="205">
        <f t="shared" si="14"/>
        <v>0.21438768477756368</v>
      </c>
      <c r="G60" s="205">
        <f t="shared" si="15"/>
        <v>1.3903149130086218E-2</v>
      </c>
      <c r="H60" s="205">
        <f t="shared" si="16"/>
        <v>0.16785397825567167</v>
      </c>
      <c r="I60" s="205">
        <f t="shared" si="17"/>
        <v>0.18443648996469711</v>
      </c>
      <c r="J60" s="206">
        <f t="shared" si="18"/>
        <v>2843.96</v>
      </c>
    </row>
    <row r="61" spans="4:10" x14ac:dyDescent="0.2">
      <c r="D61" s="207">
        <v>45669</v>
      </c>
      <c r="E61" s="205">
        <f t="shared" si="13"/>
        <v>0.42815182326896034</v>
      </c>
      <c r="F61" s="205">
        <f t="shared" si="14"/>
        <v>0.20597249403321263</v>
      </c>
      <c r="G61" s="205">
        <f t="shared" si="15"/>
        <v>1.5008442458685663E-2</v>
      </c>
      <c r="H61" s="205">
        <f t="shared" si="16"/>
        <v>0.16219591203730124</v>
      </c>
      <c r="I61" s="205">
        <f t="shared" si="17"/>
        <v>0.18867132820184021</v>
      </c>
      <c r="J61" s="206">
        <f t="shared" si="18"/>
        <v>2978.99</v>
      </c>
    </row>
    <row r="62" spans="4:10" x14ac:dyDescent="0.2">
      <c r="D62" s="207">
        <v>45670</v>
      </c>
      <c r="E62" s="205">
        <f t="shared" si="13"/>
        <v>0.42562128106405323</v>
      </c>
      <c r="F62" s="205">
        <f t="shared" si="14"/>
        <v>0.21246062303115157</v>
      </c>
      <c r="G62" s="205">
        <f t="shared" si="15"/>
        <v>1.3300665033251663E-2</v>
      </c>
      <c r="H62" s="205">
        <f t="shared" si="16"/>
        <v>0.16765838291914595</v>
      </c>
      <c r="I62" s="205">
        <f t="shared" si="17"/>
        <v>0.18095904795239762</v>
      </c>
      <c r="J62" s="206">
        <f t="shared" si="18"/>
        <v>2857</v>
      </c>
    </row>
    <row r="63" spans="4:10" x14ac:dyDescent="0.2">
      <c r="D63" s="207">
        <v>45671</v>
      </c>
      <c r="E63" s="205">
        <f t="shared" si="13"/>
        <v>0</v>
      </c>
      <c r="F63" s="205">
        <f t="shared" si="14"/>
        <v>0.36638452237001207</v>
      </c>
      <c r="G63" s="205">
        <f t="shared" si="15"/>
        <v>2.6602176541717048E-2</v>
      </c>
      <c r="H63" s="205">
        <f t="shared" si="16"/>
        <v>0.28839177750906891</v>
      </c>
      <c r="I63" s="205">
        <f t="shared" si="17"/>
        <v>0.31862152357920193</v>
      </c>
      <c r="J63" s="206">
        <f t="shared" si="18"/>
        <v>1654</v>
      </c>
    </row>
    <row r="64" spans="4:10" x14ac:dyDescent="0.2">
      <c r="D64" s="207">
        <v>45672</v>
      </c>
      <c r="E64" s="205">
        <f t="shared" si="13"/>
        <v>0.40435745937961598</v>
      </c>
      <c r="F64" s="205">
        <f t="shared" si="14"/>
        <v>0.2101181683899557</v>
      </c>
      <c r="G64" s="205">
        <f t="shared" si="15"/>
        <v>1.6248153618906941E-2</v>
      </c>
      <c r="H64" s="205">
        <f t="shared" si="16"/>
        <v>0.17725258493353027</v>
      </c>
      <c r="I64" s="205">
        <f t="shared" si="17"/>
        <v>0.19202363367799113</v>
      </c>
      <c r="J64" s="206">
        <f t="shared" si="18"/>
        <v>2708</v>
      </c>
    </row>
    <row r="65" spans="4:10" x14ac:dyDescent="0.2">
      <c r="D65" s="207">
        <v>45673</v>
      </c>
      <c r="E65" s="205">
        <f t="shared" si="13"/>
        <v>0.34134821811936455</v>
      </c>
      <c r="F65" s="205">
        <f t="shared" si="14"/>
        <v>0.23615285530270502</v>
      </c>
      <c r="G65" s="205">
        <f t="shared" si="15"/>
        <v>1.8462859596393301E-2</v>
      </c>
      <c r="H65" s="205">
        <f t="shared" si="16"/>
        <v>0.19192786603692572</v>
      </c>
      <c r="I65" s="205">
        <f t="shared" si="17"/>
        <v>0.21210820094461141</v>
      </c>
      <c r="J65" s="206">
        <f t="shared" si="18"/>
        <v>2329</v>
      </c>
    </row>
    <row r="66" spans="4:10" x14ac:dyDescent="0.2">
      <c r="D66" s="207">
        <v>45674</v>
      </c>
      <c r="E66" s="205">
        <f t="shared" si="13"/>
        <v>0.3338200525295083</v>
      </c>
      <c r="F66" s="205">
        <f t="shared" si="14"/>
        <v>0.24846638247087593</v>
      </c>
      <c r="G66" s="205">
        <f t="shared" si="15"/>
        <v>1.9411506765095451E-2</v>
      </c>
      <c r="H66" s="205">
        <f t="shared" si="16"/>
        <v>0.18661537279224624</v>
      </c>
      <c r="I66" s="205">
        <f t="shared" si="17"/>
        <v>0.21168668544227404</v>
      </c>
      <c r="J66" s="206">
        <f t="shared" si="18"/>
        <v>2212.09</v>
      </c>
    </row>
    <row r="67" spans="4:10" x14ac:dyDescent="0.2">
      <c r="D67" s="207">
        <v>45675</v>
      </c>
      <c r="E67" s="205">
        <f t="shared" si="13"/>
        <v>0.42327459618208518</v>
      </c>
      <c r="F67" s="205">
        <f t="shared" si="14"/>
        <v>0.21622613803230542</v>
      </c>
      <c r="G67" s="205">
        <f t="shared" si="15"/>
        <v>1.6519823788546256E-2</v>
      </c>
      <c r="H67" s="205">
        <f t="shared" si="16"/>
        <v>0.17070484581497797</v>
      </c>
      <c r="I67" s="205">
        <f t="shared" si="17"/>
        <v>0.17327459618208516</v>
      </c>
      <c r="J67" s="206">
        <f t="shared" si="18"/>
        <v>2724</v>
      </c>
    </row>
    <row r="68" spans="4:10" x14ac:dyDescent="0.2">
      <c r="D68" s="207">
        <v>45676</v>
      </c>
      <c r="E68" s="205">
        <f t="shared" si="13"/>
        <v>0.4116788321167883</v>
      </c>
      <c r="F68" s="205">
        <f t="shared" si="14"/>
        <v>0.20875912408759123</v>
      </c>
      <c r="G68" s="205">
        <f t="shared" si="15"/>
        <v>1.4598540145985401E-2</v>
      </c>
      <c r="H68" s="205">
        <f t="shared" si="16"/>
        <v>0.16934306569343066</v>
      </c>
      <c r="I68" s="205">
        <f t="shared" si="17"/>
        <v>0.19562043795620437</v>
      </c>
      <c r="J68" s="206">
        <f t="shared" si="18"/>
        <v>2740</v>
      </c>
    </row>
    <row r="69" spans="4:10" x14ac:dyDescent="0.2">
      <c r="D69" s="207">
        <v>45677</v>
      </c>
      <c r="E69" s="205">
        <f t="shared" si="13"/>
        <v>0.41374424371236274</v>
      </c>
      <c r="F69" s="205">
        <f t="shared" si="14"/>
        <v>0.20616365568544101</v>
      </c>
      <c r="G69" s="205">
        <f t="shared" si="15"/>
        <v>1.5586255756287637E-2</v>
      </c>
      <c r="H69" s="205">
        <f t="shared" si="16"/>
        <v>0.17038611406305348</v>
      </c>
      <c r="I69" s="205">
        <f t="shared" si="17"/>
        <v>0.19411973078285513</v>
      </c>
      <c r="J69" s="206">
        <f t="shared" si="18"/>
        <v>2823</v>
      </c>
    </row>
    <row r="70" spans="4:10" x14ac:dyDescent="0.2">
      <c r="D70" s="207">
        <v>45678</v>
      </c>
      <c r="E70" s="205">
        <f t="shared" si="13"/>
        <v>0.4205808533524561</v>
      </c>
      <c r="F70" s="205">
        <f t="shared" si="14"/>
        <v>0.20760129078522768</v>
      </c>
      <c r="G70" s="205">
        <f t="shared" si="15"/>
        <v>1.5776263893868769E-2</v>
      </c>
      <c r="H70" s="205">
        <f t="shared" si="16"/>
        <v>0.17210469702402295</v>
      </c>
      <c r="I70" s="205">
        <f t="shared" si="17"/>
        <v>0.18393689494442453</v>
      </c>
      <c r="J70" s="206">
        <f t="shared" si="18"/>
        <v>2789</v>
      </c>
    </row>
    <row r="71" spans="4:10" x14ac:dyDescent="0.2">
      <c r="D71" s="207">
        <v>45679</v>
      </c>
      <c r="E71" s="205">
        <f t="shared" si="13"/>
        <v>0.42101228400291962</v>
      </c>
      <c r="F71" s="205">
        <f t="shared" si="14"/>
        <v>0.20710410775003574</v>
      </c>
      <c r="G71" s="205">
        <f t="shared" si="15"/>
        <v>1.6017987682985426E-2</v>
      </c>
      <c r="H71" s="205">
        <f t="shared" si="16"/>
        <v>0.1770965150698196</v>
      </c>
      <c r="I71" s="205">
        <f t="shared" si="17"/>
        <v>0.17876910549423944</v>
      </c>
      <c r="J71" s="206">
        <f t="shared" si="18"/>
        <v>2726.3100000000004</v>
      </c>
    </row>
    <row r="72" spans="4:10" x14ac:dyDescent="0.2">
      <c r="D72" s="207">
        <v>45680</v>
      </c>
      <c r="E72" s="205">
        <f t="shared" si="13"/>
        <v>0.37583399226380021</v>
      </c>
      <c r="F72" s="205">
        <f t="shared" si="14"/>
        <v>0.22705105464492556</v>
      </c>
      <c r="G72" s="205">
        <f t="shared" si="15"/>
        <v>2.428140961254889E-2</v>
      </c>
      <c r="H72" s="205">
        <f t="shared" si="16"/>
        <v>0.18361293355843825</v>
      </c>
      <c r="I72" s="205">
        <f t="shared" si="17"/>
        <v>0.18922060992028725</v>
      </c>
      <c r="J72" s="206">
        <f t="shared" si="18"/>
        <v>2339.6499999999996</v>
      </c>
    </row>
    <row r="73" spans="4:10" x14ac:dyDescent="0.2">
      <c r="D73" s="207">
        <v>45681</v>
      </c>
      <c r="E73" s="205">
        <f t="shared" si="13"/>
        <v>0.37536913394616167</v>
      </c>
      <c r="F73" s="205">
        <f t="shared" si="14"/>
        <v>0.22508319831395857</v>
      </c>
      <c r="G73" s="205">
        <f t="shared" si="15"/>
        <v>1.7655952584250009E-2</v>
      </c>
      <c r="H73" s="205">
        <f t="shared" si="16"/>
        <v>0.17607637167883577</v>
      </c>
      <c r="I73" s="205">
        <f t="shared" si="17"/>
        <v>0.20581534347679403</v>
      </c>
      <c r="J73" s="206">
        <f t="shared" si="18"/>
        <v>2400.89</v>
      </c>
    </row>
    <row r="74" spans="4:10" x14ac:dyDescent="0.2">
      <c r="D74" s="207">
        <v>45682</v>
      </c>
      <c r="E74" s="205">
        <f t="shared" si="13"/>
        <v>0.43814951391216894</v>
      </c>
      <c r="F74" s="205">
        <f t="shared" si="14"/>
        <v>0.20248072410325177</v>
      </c>
      <c r="G74" s="205">
        <f t="shared" si="15"/>
        <v>1.4415018437814281E-2</v>
      </c>
      <c r="H74" s="205">
        <f t="shared" si="16"/>
        <v>0.16091183372443849</v>
      </c>
      <c r="I74" s="205">
        <f t="shared" si="17"/>
        <v>0.18404290982232652</v>
      </c>
      <c r="J74" s="206">
        <f t="shared" si="18"/>
        <v>2983</v>
      </c>
    </row>
    <row r="75" spans="4:10" x14ac:dyDescent="0.2">
      <c r="D75" s="207">
        <v>45683</v>
      </c>
      <c r="E75" s="205">
        <f t="shared" si="13"/>
        <v>0.31617021276595747</v>
      </c>
      <c r="F75" s="205">
        <f t="shared" si="14"/>
        <v>0.24297872340425533</v>
      </c>
      <c r="G75" s="205">
        <f t="shared" si="15"/>
        <v>2.553191489361702E-2</v>
      </c>
      <c r="H75" s="205">
        <f t="shared" si="16"/>
        <v>0.19063829787234043</v>
      </c>
      <c r="I75" s="205">
        <f t="shared" si="17"/>
        <v>0.22468085106382979</v>
      </c>
      <c r="J75" s="206">
        <f t="shared" si="18"/>
        <v>2350</v>
      </c>
    </row>
    <row r="76" spans="4:10" x14ac:dyDescent="0.2">
      <c r="D76" s="207">
        <v>45684</v>
      </c>
      <c r="E76" s="205">
        <f t="shared" si="13"/>
        <v>0.43397524071526822</v>
      </c>
      <c r="F76" s="205">
        <f t="shared" si="14"/>
        <v>0.20048143053645118</v>
      </c>
      <c r="G76" s="205">
        <f t="shared" si="15"/>
        <v>1.5130674002751032E-2</v>
      </c>
      <c r="H76" s="205">
        <f t="shared" si="16"/>
        <v>0.16368638239339753</v>
      </c>
      <c r="I76" s="205">
        <f t="shared" si="17"/>
        <v>0.18672627235213204</v>
      </c>
      <c r="J76" s="206">
        <f t="shared" si="18"/>
        <v>2908</v>
      </c>
    </row>
    <row r="77" spans="4:10" x14ac:dyDescent="0.2">
      <c r="D77" s="207">
        <v>45685</v>
      </c>
      <c r="E77" s="205">
        <f t="shared" si="13"/>
        <v>0.41322021915871332</v>
      </c>
      <c r="F77" s="205">
        <f t="shared" si="14"/>
        <v>0.20289855072463769</v>
      </c>
      <c r="G77" s="205">
        <f t="shared" si="15"/>
        <v>1.5553199010250972E-2</v>
      </c>
      <c r="H77" s="205">
        <f t="shared" si="16"/>
        <v>0.17143867090844822</v>
      </c>
      <c r="I77" s="205">
        <f t="shared" si="17"/>
        <v>0.19688936019794981</v>
      </c>
      <c r="J77" s="206">
        <f t="shared" si="18"/>
        <v>2829</v>
      </c>
    </row>
    <row r="78" spans="4:10" x14ac:dyDescent="0.2">
      <c r="D78" s="207">
        <v>45686</v>
      </c>
      <c r="E78" s="205">
        <f t="shared" si="13"/>
        <v>0.42907180385288968</v>
      </c>
      <c r="F78" s="205">
        <f t="shared" si="14"/>
        <v>0.2063047285464098</v>
      </c>
      <c r="G78" s="205">
        <f t="shared" si="15"/>
        <v>1.3309982486865149E-2</v>
      </c>
      <c r="H78" s="205">
        <f t="shared" si="16"/>
        <v>0.16987740805604204</v>
      </c>
      <c r="I78" s="205">
        <f t="shared" si="17"/>
        <v>0.18143607705779335</v>
      </c>
      <c r="J78" s="206">
        <f t="shared" si="18"/>
        <v>2855</v>
      </c>
    </row>
    <row r="79" spans="4:10" x14ac:dyDescent="0.2">
      <c r="D79" s="207">
        <v>45687</v>
      </c>
      <c r="E79" s="205" t="e">
        <f t="shared" si="13"/>
        <v>#DIV/0!</v>
      </c>
      <c r="F79" s="205" t="e">
        <f t="shared" si="14"/>
        <v>#DIV/0!</v>
      </c>
      <c r="G79" s="205" t="e">
        <f t="shared" si="15"/>
        <v>#DIV/0!</v>
      </c>
      <c r="H79" s="205" t="e">
        <f t="shared" si="16"/>
        <v>#DIV/0!</v>
      </c>
      <c r="I79" s="205" t="e">
        <f t="shared" si="17"/>
        <v>#DIV/0!</v>
      </c>
      <c r="J79" s="206">
        <f t="shared" si="18"/>
        <v>0</v>
      </c>
    </row>
    <row r="80" spans="4:10" x14ac:dyDescent="0.2">
      <c r="D80" s="207">
        <v>45688</v>
      </c>
      <c r="E80" s="205" t="e">
        <f t="shared" si="13"/>
        <v>#DIV/0!</v>
      </c>
      <c r="F80" s="205" t="e">
        <f t="shared" si="14"/>
        <v>#DIV/0!</v>
      </c>
      <c r="G80" s="205" t="e">
        <f t="shared" si="15"/>
        <v>#DIV/0!</v>
      </c>
      <c r="H80" s="205" t="e">
        <f t="shared" si="16"/>
        <v>#DIV/0!</v>
      </c>
      <c r="I80" s="205" t="e">
        <f t="shared" si="17"/>
        <v>#DIV/0!</v>
      </c>
      <c r="J80" s="206">
        <f t="shared" si="18"/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D14:D19">
    <cfRule type="cellIs" dxfId="35" priority="8" operator="equal">
      <formula>MAX($D$14:$D$16)</formula>
    </cfRule>
  </conditionalFormatting>
  <conditionalFormatting sqref="D20">
    <cfRule type="cellIs" dxfId="34" priority="36" operator="equal">
      <formula>MAX($D$14:$D$42)</formula>
    </cfRule>
  </conditionalFormatting>
  <conditionalFormatting sqref="D21:D44">
    <cfRule type="cellIs" dxfId="33" priority="45" operator="equal">
      <formula>MAX($D$14:$D$16)</formula>
    </cfRule>
  </conditionalFormatting>
  <conditionalFormatting sqref="E50:E66">
    <cfRule type="top10" dxfId="32" priority="26" rank="2"/>
  </conditionalFormatting>
  <conditionalFormatting sqref="F50:F80">
    <cfRule type="top10" dxfId="31" priority="25" rank="2"/>
  </conditionalFormatting>
  <conditionalFormatting sqref="G14:G19">
    <cfRule type="cellIs" dxfId="30" priority="2" operator="equal">
      <formula>MAX($G$14:$G$16)</formula>
    </cfRule>
  </conditionalFormatting>
  <conditionalFormatting sqref="G20">
    <cfRule type="cellIs" dxfId="29" priority="35" operator="equal">
      <formula>MAX($G$14:$G$42)</formula>
    </cfRule>
  </conditionalFormatting>
  <conditionalFormatting sqref="G21:G44">
    <cfRule type="cellIs" dxfId="28" priority="39" operator="equal">
      <formula>MAX($G$14:$G$16)</formula>
    </cfRule>
  </conditionalFormatting>
  <conditionalFormatting sqref="G50:G66">
    <cfRule type="top10" dxfId="27" priority="24" rank="2"/>
  </conditionalFormatting>
  <conditionalFormatting sqref="G46:H46">
    <cfRule type="cellIs" dxfId="26" priority="1" operator="equal">
      <formula>MAX($G$14:$G$16)</formula>
    </cfRule>
  </conditionalFormatting>
  <conditionalFormatting sqref="H50:H66">
    <cfRule type="top10" dxfId="25" priority="23" rank="2"/>
  </conditionalFormatting>
  <conditionalFormatting sqref="I50:I66">
    <cfRule type="top10" dxfId="24" priority="22" rank="2"/>
  </conditionalFormatting>
  <conditionalFormatting sqref="J14:J19">
    <cfRule type="cellIs" dxfId="23" priority="6" operator="equal">
      <formula>MAX($J$14:$J$16)</formula>
    </cfRule>
  </conditionalFormatting>
  <conditionalFormatting sqref="J20">
    <cfRule type="cellIs" dxfId="22" priority="30" operator="equal">
      <formula>MAX($J$14:$J$42)</formula>
    </cfRule>
  </conditionalFormatting>
  <conditionalFormatting sqref="J21:J44">
    <cfRule type="cellIs" dxfId="21" priority="43" operator="equal">
      <formula>MAX($J$14:$J$16)</formula>
    </cfRule>
  </conditionalFormatting>
  <conditionalFormatting sqref="L14:L19">
    <cfRule type="cellIs" dxfId="20" priority="3" operator="equal">
      <formula>MAX($L$14:$L$16)</formula>
    </cfRule>
  </conditionalFormatting>
  <conditionalFormatting sqref="L20">
    <cfRule type="cellIs" dxfId="19" priority="27" operator="equal">
      <formula>MAX($L$14:$L$42)</formula>
    </cfRule>
  </conditionalFormatting>
  <conditionalFormatting sqref="L21:L44">
    <cfRule type="cellIs" dxfId="18" priority="40" operator="equal">
      <formula>MAX($L$14:$L$16)</formula>
    </cfRule>
  </conditionalFormatting>
  <conditionalFormatting sqref="N14:N19">
    <cfRule type="cellIs" dxfId="17" priority="10" operator="equal">
      <formula>MAX($N$14:$N$16)</formula>
    </cfRule>
  </conditionalFormatting>
  <conditionalFormatting sqref="N20">
    <cfRule type="cellIs" dxfId="16" priority="33" operator="equal">
      <formula>MAX($N$14:$N$42)</formula>
    </cfRule>
  </conditionalFormatting>
  <conditionalFormatting sqref="N21:N44">
    <cfRule type="cellIs" dxfId="15" priority="47" operator="equal">
      <formula>MAX($N$14:$N$16)</formula>
    </cfRule>
  </conditionalFormatting>
  <conditionalFormatting sqref="P14:P19">
    <cfRule type="cellIs" dxfId="14" priority="11" operator="equal">
      <formula>MAX($P$14:$P$16)</formula>
    </cfRule>
  </conditionalFormatting>
  <conditionalFormatting sqref="P20">
    <cfRule type="cellIs" dxfId="13" priority="34" operator="equal">
      <formula>MAX($P$14:$P$42)</formula>
    </cfRule>
  </conditionalFormatting>
  <conditionalFormatting sqref="P21:P44">
    <cfRule type="cellIs" dxfId="12" priority="48" operator="equal">
      <formula>MAX($P$14:$P$16)</formula>
    </cfRule>
  </conditionalFormatting>
  <conditionalFormatting sqref="S14:S19">
    <cfRule type="cellIs" dxfId="11" priority="9" operator="equal">
      <formula>MAX($S$14:$S$16)</formula>
    </cfRule>
  </conditionalFormatting>
  <conditionalFormatting sqref="S20">
    <cfRule type="cellIs" dxfId="10" priority="32" operator="equal">
      <formula>MAX($S$14:$S$42)</formula>
    </cfRule>
  </conditionalFormatting>
  <conditionalFormatting sqref="S21:S44">
    <cfRule type="cellIs" dxfId="9" priority="46" operator="equal">
      <formula>MAX($S$14:$S$16)</formula>
    </cfRule>
  </conditionalFormatting>
  <conditionalFormatting sqref="T14:T19">
    <cfRule type="cellIs" dxfId="8" priority="4" operator="equal">
      <formula>MAX($T$14:$T$16)</formula>
    </cfRule>
  </conditionalFormatting>
  <conditionalFormatting sqref="T20">
    <cfRule type="cellIs" dxfId="7" priority="28" operator="equal">
      <formula>MAX($T$14:$T$42)</formula>
    </cfRule>
  </conditionalFormatting>
  <conditionalFormatting sqref="T21:T44">
    <cfRule type="cellIs" dxfId="6" priority="41" operator="equal">
      <formula>MAX($T$14:$T$16)</formula>
    </cfRule>
  </conditionalFormatting>
  <conditionalFormatting sqref="V14:V19">
    <cfRule type="cellIs" dxfId="5" priority="7" operator="equal">
      <formula>MAX($V$14:$V$16)</formula>
    </cfRule>
  </conditionalFormatting>
  <conditionalFormatting sqref="V20">
    <cfRule type="cellIs" dxfId="4" priority="31" operator="equal">
      <formula>MAX($V$14:$V$42)</formula>
    </cfRule>
  </conditionalFormatting>
  <conditionalFormatting sqref="V21:V44">
    <cfRule type="cellIs" dxfId="3" priority="44" operator="equal">
      <formula>MAX($V$14:$V$16)</formula>
    </cfRule>
  </conditionalFormatting>
  <conditionalFormatting sqref="X14:X19">
    <cfRule type="cellIs" dxfId="2" priority="5" operator="equal">
      <formula>MAX($X$14:$X$16)</formula>
    </cfRule>
  </conditionalFormatting>
  <conditionalFormatting sqref="X20">
    <cfRule type="cellIs" dxfId="1" priority="29" operator="equal">
      <formula>MAX($X$14:$X$42)</formula>
    </cfRule>
  </conditionalFormatting>
  <conditionalFormatting sqref="X21:X44">
    <cfRule type="cellIs" dxfId="0" priority="42" operator="equal">
      <formula>MAX($X$14:$X$16)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8" workbookViewId="0"/>
  </sheetViews>
  <sheetFormatPr defaultColWidth="10.76171875" defaultRowHeight="15" x14ac:dyDescent="0.2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defaultColWidth="10.76171875" defaultRowHeight="1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ADB82FA5-5C89-4C0F-A6E4-822BA34D9B85}"/>
</file>

<file path=customXml/itemProps2.xml><?xml version="1.0" encoding="utf-8"?>
<ds:datastoreItem xmlns:ds="http://schemas.openxmlformats.org/officeDocument/2006/customXml" ds:itemID="{1F7C131D-7277-45F1-B727-D938E0773A8F}"/>
</file>

<file path=customXml/itemProps3.xml><?xml version="1.0" encoding="utf-8"?>
<ds:datastoreItem xmlns:ds="http://schemas.openxmlformats.org/officeDocument/2006/customXml" ds:itemID="{F1FCF192-52F8-4F4A-A845-4436982F1EF7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2026-02-03T13:05:56Z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