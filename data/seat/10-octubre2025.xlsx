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10.30.76\Carpetas Red\PCD\CONSUMO ENERGETICO\CONSUMO ENERGETICO DIARIO\Energia 2025\OCTUBRE 2025\"/>
    </mc:Choice>
  </mc:AlternateContent>
  <xr:revisionPtr revIDLastSave="0" documentId="13_ncr:1_{FD6FD248-CF65-41E9-BE50-957A851D3A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2" l="1"/>
  <c r="M45" i="2"/>
  <c r="R45" i="2"/>
  <c r="U45" i="2"/>
  <c r="G45" i="2"/>
  <c r="B45" i="2"/>
  <c r="D37" i="1"/>
  <c r="H37" i="1"/>
  <c r="AD37" i="1"/>
  <c r="AF37" i="1"/>
  <c r="AC37" i="1" s="1"/>
  <c r="AN37" i="1"/>
  <c r="AP37" i="1"/>
  <c r="AM37" i="1" s="1"/>
  <c r="AX37" i="1"/>
  <c r="BA37" i="1"/>
  <c r="AY37" i="1" s="1"/>
  <c r="I37" i="1" s="1"/>
  <c r="M37" i="1" s="1"/>
  <c r="BL37" i="1"/>
  <c r="BK37" i="1" s="1"/>
  <c r="BI37" i="1"/>
  <c r="AV37" i="1"/>
  <c r="AL37" i="1"/>
  <c r="AB37" i="1"/>
  <c r="B37" i="1"/>
  <c r="Q37" i="1"/>
  <c r="BB24" i="1"/>
  <c r="H24" i="1" s="1"/>
  <c r="BB23" i="1"/>
  <c r="BB18" i="1"/>
  <c r="BB13" i="1"/>
  <c r="AY13" i="1" s="1"/>
  <c r="BB12" i="1"/>
  <c r="H12" i="1" s="1"/>
  <c r="BB10" i="1"/>
  <c r="H10" i="1" s="1"/>
  <c r="R14" i="2"/>
  <c r="M14" i="2"/>
  <c r="G14" i="2"/>
  <c r="BL6" i="1"/>
  <c r="L6" i="1" s="1"/>
  <c r="P6" i="1" s="1"/>
  <c r="BK6" i="1"/>
  <c r="BJ6" i="1"/>
  <c r="BA6" i="1"/>
  <c r="AY6" i="1"/>
  <c r="K6" i="1" s="1"/>
  <c r="O6" i="1" s="1"/>
  <c r="AX6" i="1"/>
  <c r="AW6" i="1"/>
  <c r="AP6" i="1"/>
  <c r="AM6" i="1" s="1"/>
  <c r="AN6" i="1"/>
  <c r="AF6" i="1"/>
  <c r="AC6" i="1" s="1"/>
  <c r="AD6" i="1"/>
  <c r="I6" i="1"/>
  <c r="M6" i="1" s="1"/>
  <c r="H6" i="1"/>
  <c r="G6" i="1" s="1"/>
  <c r="D6" i="1"/>
  <c r="F6" i="1" s="1"/>
  <c r="E6" i="1" s="1"/>
  <c r="AF36" i="1"/>
  <c r="H30" i="1"/>
  <c r="H11" i="1"/>
  <c r="H9" i="1"/>
  <c r="H13" i="1"/>
  <c r="H14" i="1"/>
  <c r="H15" i="1"/>
  <c r="H16" i="1"/>
  <c r="H17" i="1"/>
  <c r="H18" i="1"/>
  <c r="H19" i="1"/>
  <c r="H20" i="1"/>
  <c r="H21" i="1"/>
  <c r="H22" i="1"/>
  <c r="H23" i="1"/>
  <c r="H25" i="1"/>
  <c r="H26" i="1"/>
  <c r="H27" i="1"/>
  <c r="H28" i="1"/>
  <c r="H29" i="1"/>
  <c r="H31" i="1"/>
  <c r="H32" i="1"/>
  <c r="H33" i="1"/>
  <c r="H34" i="1"/>
  <c r="H35" i="1"/>
  <c r="H36" i="1"/>
  <c r="H8" i="1"/>
  <c r="G37" i="1" l="1"/>
  <c r="AW37" i="1"/>
  <c r="J37" i="1"/>
  <c r="N37" i="1" s="1"/>
  <c r="L37" i="1"/>
  <c r="P37" i="1" s="1"/>
  <c r="K37" i="1"/>
  <c r="O37" i="1" s="1"/>
  <c r="F37" i="1"/>
  <c r="E37" i="1" s="1"/>
  <c r="BJ37" i="1"/>
  <c r="J6" i="1"/>
  <c r="N6" i="1" s="1"/>
  <c r="D18" i="1"/>
  <c r="BL26" i="1"/>
  <c r="BA19" i="1"/>
  <c r="AP27" i="1" l="1"/>
  <c r="AF22" i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D13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3" i="1"/>
  <c r="AW13" i="1"/>
  <c r="AX14" i="1"/>
  <c r="BA14" i="1"/>
  <c r="AY14" i="1" s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5" i="1"/>
  <c r="BA25" i="1"/>
  <c r="AW25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2" i="1"/>
  <c r="BA32" i="1"/>
  <c r="AY32" i="1" s="1"/>
  <c r="AX33" i="1"/>
  <c r="BA33" i="1"/>
  <c r="AW33" i="1" s="1"/>
  <c r="AX34" i="1"/>
  <c r="BA34" i="1"/>
  <c r="AY34" i="1" s="1"/>
  <c r="AX35" i="1"/>
  <c r="BA35" i="1"/>
  <c r="AW35" i="1" s="1"/>
  <c r="AX36" i="1"/>
  <c r="BA36" i="1"/>
  <c r="AY36" i="1" s="1"/>
  <c r="AW32" i="1" l="1"/>
  <c r="AY29" i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D36" i="1"/>
  <c r="F36" i="1" l="1"/>
  <c r="E36" i="1" s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BI21" i="1" l="1"/>
  <c r="BI22" i="1" s="1"/>
  <c r="BI23" i="1" s="1"/>
  <c r="BI24" i="1" s="1"/>
  <c r="BI25" i="1" s="1"/>
  <c r="BI26" i="1" s="1"/>
  <c r="BI27" i="1" s="1"/>
  <c r="BI28" i="1" s="1"/>
  <c r="AB36" i="1"/>
  <c r="Q36" i="1"/>
  <c r="AV36" i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BI29" i="1" l="1"/>
  <c r="BI30" i="1" s="1"/>
  <c r="BI31" i="1" s="1"/>
  <c r="BI32" i="1" s="1"/>
  <c r="BI33" i="1" s="1"/>
  <c r="BI34" i="1" s="1"/>
  <c r="BI35" i="1" s="1"/>
  <c r="BI36" i="1" s="1"/>
  <c r="R20" i="2"/>
  <c r="S39" i="1" l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D24" i="1"/>
  <c r="AD24" i="1"/>
  <c r="AC24" i="1"/>
  <c r="AN24" i="1"/>
  <c r="AM24" i="1"/>
  <c r="BL24" i="1"/>
  <c r="BJ24" i="1" s="1"/>
  <c r="D25" i="1"/>
  <c r="AD25" i="1"/>
  <c r="AC25" i="1"/>
  <c r="AN25" i="1"/>
  <c r="AM25" i="1"/>
  <c r="BL25" i="1"/>
  <c r="BK25" i="1" s="1"/>
  <c r="D26" i="1"/>
  <c r="AD26" i="1"/>
  <c r="AC26" i="1"/>
  <c r="AN26" i="1"/>
  <c r="BJ26" i="1"/>
  <c r="D27" i="1"/>
  <c r="AD27" i="1"/>
  <c r="AC27" i="1"/>
  <c r="AN27" i="1"/>
  <c r="BL27" i="1"/>
  <c r="BK27" i="1" s="1"/>
  <c r="D28" i="1"/>
  <c r="AD28" i="1"/>
  <c r="AC28" i="1"/>
  <c r="AN28" i="1"/>
  <c r="BL28" i="1"/>
  <c r="BJ28" i="1" s="1"/>
  <c r="D29" i="1"/>
  <c r="AD29" i="1"/>
  <c r="AC29" i="1"/>
  <c r="AN29" i="1"/>
  <c r="BL29" i="1"/>
  <c r="BK29" i="1" s="1"/>
  <c r="D30" i="1"/>
  <c r="F30" i="1" s="1"/>
  <c r="AD30" i="1"/>
  <c r="AC30" i="1"/>
  <c r="AN30" i="1"/>
  <c r="BL30" i="1"/>
  <c r="BJ30" i="1" s="1"/>
  <c r="D31" i="1"/>
  <c r="AC31" i="1"/>
  <c r="AN31" i="1"/>
  <c r="BL31" i="1"/>
  <c r="BK31" i="1" s="1"/>
  <c r="D32" i="1"/>
  <c r="AD32" i="1"/>
  <c r="AC32" i="1"/>
  <c r="AN32" i="1"/>
  <c r="BL32" i="1"/>
  <c r="BJ32" i="1" s="1"/>
  <c r="D33" i="1"/>
  <c r="D34" i="1"/>
  <c r="AD34" i="1"/>
  <c r="AC34" i="1"/>
  <c r="AN34" i="1"/>
  <c r="BL34" i="1"/>
  <c r="BK34" i="1" s="1"/>
  <c r="D35" i="1"/>
  <c r="AD35" i="1"/>
  <c r="AC35" i="1"/>
  <c r="AN35" i="1"/>
  <c r="BL35" i="1"/>
  <c r="BK35" i="1" s="1"/>
  <c r="D11" i="1"/>
  <c r="AC11" i="1"/>
  <c r="AN11" i="1"/>
  <c r="AM11" i="1"/>
  <c r="BL11" i="1"/>
  <c r="D12" i="1"/>
  <c r="AD12" i="1"/>
  <c r="AC12" i="1"/>
  <c r="AN12" i="1"/>
  <c r="AM12" i="1"/>
  <c r="BL12" i="1"/>
  <c r="BK12" i="1" s="1"/>
  <c r="AD13" i="1"/>
  <c r="AC13" i="1"/>
  <c r="AN13" i="1"/>
  <c r="AM13" i="1"/>
  <c r="BL13" i="1"/>
  <c r="BK13" i="1" s="1"/>
  <c r="D14" i="1"/>
  <c r="AD14" i="1"/>
  <c r="AC14" i="1"/>
  <c r="AN14" i="1"/>
  <c r="AM14" i="1"/>
  <c r="BL14" i="1"/>
  <c r="BK14" i="1" s="1"/>
  <c r="D15" i="1"/>
  <c r="D16" i="1"/>
  <c r="AD16" i="1"/>
  <c r="AC16" i="1"/>
  <c r="AN16" i="1"/>
  <c r="AM16" i="1"/>
  <c r="BL16" i="1"/>
  <c r="BK16" i="1" s="1"/>
  <c r="D17" i="1"/>
  <c r="AD17" i="1"/>
  <c r="AC17" i="1"/>
  <c r="AN17" i="1"/>
  <c r="AM17" i="1"/>
  <c r="BL17" i="1"/>
  <c r="AD18" i="1"/>
  <c r="AC18" i="1"/>
  <c r="AN18" i="1"/>
  <c r="AM18" i="1"/>
  <c r="BL18" i="1"/>
  <c r="BK18" i="1" s="1"/>
  <c r="D19" i="1"/>
  <c r="AD19" i="1"/>
  <c r="D20" i="1"/>
  <c r="AD20" i="1"/>
  <c r="AC20" i="1"/>
  <c r="AN20" i="1"/>
  <c r="AM20" i="1"/>
  <c r="BL20" i="1"/>
  <c r="D21" i="1"/>
  <c r="AD21" i="1"/>
  <c r="AC21" i="1"/>
  <c r="AN21" i="1"/>
  <c r="AM21" i="1"/>
  <c r="BL21" i="1"/>
  <c r="D22" i="1"/>
  <c r="AD22" i="1"/>
  <c r="AC22" i="1"/>
  <c r="AN22" i="1"/>
  <c r="AM22" i="1"/>
  <c r="BL22" i="1"/>
  <c r="D23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G11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I40" i="2"/>
  <c r="I41" i="2" s="1"/>
  <c r="I42" i="2" s="1"/>
  <c r="I43" i="2" s="1"/>
  <c r="U40" i="2"/>
  <c r="U41" i="2" s="1"/>
  <c r="U42" i="2" s="1"/>
  <c r="U43" i="2" s="1"/>
  <c r="B15" i="2"/>
  <c r="U44" i="2" l="1"/>
  <c r="I44" i="2"/>
  <c r="AL36" i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AQ10" authorId="2" shapeId="0" xr:uid="{060FE930-5967-4DBB-9A95-9996FD469260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USO DE GENERADOR 12KV POR 5 HRS
FAENAS VALENCIA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Ricardo Arancibia Leon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H26" authorId="1" shapeId="0" xr:uid="{DC59EBD4-0617-4C06-B216-7088E8AC4AC5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VALOR APROXIMADO DEBIDO A FALLA DE COMUNICACION</t>
        </r>
      </text>
    </comment>
  </commentList>
</comments>
</file>

<file path=xl/sharedStrings.xml><?xml version="1.0" encoding="utf-8"?>
<sst xmlns="http://schemas.openxmlformats.org/spreadsheetml/2006/main" count="124" uniqueCount="71">
  <si>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</si>
  <si>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</si>
  <si>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</si>
  <si>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</si>
  <si>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</si>
  <si>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</si>
  <si>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</si>
  <si>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</si>
  <si>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</si>
  <si>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</si>
  <si>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</si>
  <si>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</si>
  <si>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</si>
  <si>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</si>
  <si>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</si>
  <si>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</si>
  <si>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</si>
  <si>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</si>
  <si>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</si>
  <si>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</si>
  <si>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</si>
  <si>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</si>
  <si>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</si>
  <si>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</si>
  <si>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</si>
  <si>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</si>
  <si>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</si>
  <si>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</si>
  <si>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</si>
  <si>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</si>
  <si>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</si>
  <si>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</si>
  <si>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</si>
  <si>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</si>
  <si>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</si>
  <si>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</si>
  <si>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</si>
  <si>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</si>
  <si>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</si>
  <si>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</si>
  <si>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</si>
  <si>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</si>
  <si>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</si>
  <si>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</si>
  <si>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</si>
  <si>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</si>
  <si>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</si>
  <si>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</si>
  <si>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</si>
  <si>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</si>
  <si>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</si>
  <si>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</si>
  <si>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</si>
  <si>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</si>
  <si>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</si>
  <si>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</si>
  <si>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</si>
  <si>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</si>
  <si>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</si>
  <si>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</si>
  <si>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</si>
  <si>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</si>
  <si>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</si>
  <si>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</si>
  <si>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</si>
  <si>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</si>
  <si>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</si>
  <si>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</si>
  <si>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</si>
  <si>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</si>
  <si>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21.15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</si>
</sst>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7" fontId="8" fillId="9" borderId="65" xfId="0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7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53228</c:v>
                </c:pt>
                <c:pt idx="1">
                  <c:v>52198</c:v>
                </c:pt>
                <c:pt idx="2">
                  <c:v>51590</c:v>
                </c:pt>
                <c:pt idx="3">
                  <c:v>32744</c:v>
                </c:pt>
                <c:pt idx="4">
                  <c:v>27250</c:v>
                </c:pt>
                <c:pt idx="5">
                  <c:v>56102</c:v>
                </c:pt>
                <c:pt idx="6">
                  <c:v>53356</c:v>
                </c:pt>
                <c:pt idx="7">
                  <c:v>52690</c:v>
                </c:pt>
                <c:pt idx="8">
                  <c:v>52390</c:v>
                </c:pt>
                <c:pt idx="9">
                  <c:v>51300</c:v>
                </c:pt>
                <c:pt idx="10">
                  <c:v>33200</c:v>
                </c:pt>
                <c:pt idx="11">
                  <c:v>29468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46889</c:v>
                </c:pt>
                <c:pt idx="1">
                  <c:v>45826</c:v>
                </c:pt>
                <c:pt idx="2">
                  <c:v>45519</c:v>
                </c:pt>
                <c:pt idx="3">
                  <c:v>26988</c:v>
                </c:pt>
                <c:pt idx="4">
                  <c:v>21560</c:v>
                </c:pt>
                <c:pt idx="5">
                  <c:v>49819</c:v>
                </c:pt>
                <c:pt idx="6">
                  <c:v>47042</c:v>
                </c:pt>
                <c:pt idx="7">
                  <c:v>46374</c:v>
                </c:pt>
                <c:pt idx="8">
                  <c:v>46041</c:v>
                </c:pt>
                <c:pt idx="9">
                  <c:v>44920</c:v>
                </c:pt>
                <c:pt idx="10">
                  <c:v>27030</c:v>
                </c:pt>
                <c:pt idx="11">
                  <c:v>23299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6339</c:v>
                </c:pt>
                <c:pt idx="1">
                  <c:v>6372</c:v>
                </c:pt>
                <c:pt idx="2">
                  <c:v>6071</c:v>
                </c:pt>
                <c:pt idx="3">
                  <c:v>5756</c:v>
                </c:pt>
                <c:pt idx="4">
                  <c:v>5690</c:v>
                </c:pt>
                <c:pt idx="5">
                  <c:v>6283</c:v>
                </c:pt>
                <c:pt idx="6">
                  <c:v>6314</c:v>
                </c:pt>
                <c:pt idx="7">
                  <c:v>6316</c:v>
                </c:pt>
                <c:pt idx="8">
                  <c:v>6349</c:v>
                </c:pt>
                <c:pt idx="9">
                  <c:v>6380</c:v>
                </c:pt>
                <c:pt idx="10">
                  <c:v>6170</c:v>
                </c:pt>
                <c:pt idx="11">
                  <c:v>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3065.21</c:v>
                </c:pt>
                <c:pt idx="1">
                  <c:v>2909</c:v>
                </c:pt>
                <c:pt idx="2">
                  <c:v>3001</c:v>
                </c:pt>
                <c:pt idx="3">
                  <c:v>2957</c:v>
                </c:pt>
                <c:pt idx="4">
                  <c:v>2483</c:v>
                </c:pt>
                <c:pt idx="5">
                  <c:v>2351</c:v>
                </c:pt>
                <c:pt idx="6">
                  <c:v>2965</c:v>
                </c:pt>
                <c:pt idx="7">
                  <c:v>3048</c:v>
                </c:pt>
                <c:pt idx="8">
                  <c:v>2838</c:v>
                </c:pt>
                <c:pt idx="9">
                  <c:v>2880</c:v>
                </c:pt>
                <c:pt idx="10">
                  <c:v>2846</c:v>
                </c:pt>
                <c:pt idx="11">
                  <c:v>2469</c:v>
                </c:pt>
                <c:pt idx="12">
                  <c:v>2356</c:v>
                </c:pt>
                <c:pt idx="13">
                  <c:v>2780</c:v>
                </c:pt>
                <c:pt idx="14">
                  <c:v>2851</c:v>
                </c:pt>
                <c:pt idx="15">
                  <c:v>2966</c:v>
                </c:pt>
                <c:pt idx="16">
                  <c:v>2979</c:v>
                </c:pt>
                <c:pt idx="17">
                  <c:v>2879</c:v>
                </c:pt>
                <c:pt idx="18">
                  <c:v>2346</c:v>
                </c:pt>
                <c:pt idx="19">
                  <c:v>2312</c:v>
                </c:pt>
                <c:pt idx="20">
                  <c:v>2855.8</c:v>
                </c:pt>
                <c:pt idx="21">
                  <c:v>3097.55</c:v>
                </c:pt>
                <c:pt idx="22">
                  <c:v>2835</c:v>
                </c:pt>
                <c:pt idx="23">
                  <c:v>2820</c:v>
                </c:pt>
                <c:pt idx="24">
                  <c:v>2850</c:v>
                </c:pt>
                <c:pt idx="25">
                  <c:v>2442</c:v>
                </c:pt>
                <c:pt idx="26">
                  <c:v>2384.36</c:v>
                </c:pt>
                <c:pt idx="27">
                  <c:v>2829</c:v>
                </c:pt>
                <c:pt idx="28">
                  <c:v>2847</c:v>
                </c:pt>
                <c:pt idx="29">
                  <c:v>2867</c:v>
                </c:pt>
                <c:pt idx="30">
                  <c:v>2821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tabSelected="1" topLeftCell="A25" zoomScale="85" zoomScaleNormal="85" zoomScaleSheetLayoutView="120" workbookViewId="0">
      <selection activeCell="A37" sqref="A37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33" customFormat="1" ht="14.65" customHeight="1" x14ac:dyDescent="0.25">
      <c r="A1" s="127">
        <v>1.1111111E+55</v>
      </c>
      <c r="B1" s="204" t="s">
        <v>0</v>
      </c>
      <c r="C1" s="128"/>
      <c r="D1" s="206" t="s">
        <v>1</v>
      </c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209"/>
      <c r="Q1" s="129"/>
      <c r="R1" s="186" t="s">
        <v>2</v>
      </c>
      <c r="S1" s="187"/>
      <c r="T1" s="187"/>
      <c r="U1" s="187"/>
      <c r="V1" s="187"/>
      <c r="W1" s="187"/>
      <c r="X1" s="187"/>
      <c r="Y1" s="187"/>
      <c r="Z1" s="187"/>
      <c r="AA1" s="188"/>
      <c r="AB1" s="130"/>
      <c r="AC1" s="186" t="s">
        <v>3</v>
      </c>
      <c r="AD1" s="187"/>
      <c r="AE1" s="187"/>
      <c r="AF1" s="187"/>
      <c r="AG1" s="187"/>
      <c r="AH1" s="187"/>
      <c r="AI1" s="187"/>
      <c r="AJ1" s="187"/>
      <c r="AK1" s="188"/>
      <c r="AL1" s="131"/>
      <c r="AM1" s="186" t="s">
        <v>4</v>
      </c>
      <c r="AN1" s="187"/>
      <c r="AO1" s="187"/>
      <c r="AP1" s="187"/>
      <c r="AQ1" s="187"/>
      <c r="AR1" s="187"/>
      <c r="AS1" s="187"/>
      <c r="AT1" s="187"/>
      <c r="AU1" s="188"/>
      <c r="AV1" s="131"/>
      <c r="AW1" s="186" t="s">
        <v>58</v>
      </c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8"/>
      <c r="BI1" s="131"/>
      <c r="BJ1" s="186" t="s">
        <v>5</v>
      </c>
      <c r="BK1" s="187"/>
      <c r="BL1" s="187"/>
      <c r="BM1" s="187"/>
      <c r="BN1" s="187"/>
      <c r="BO1" s="187"/>
      <c r="BP1" s="187"/>
      <c r="BQ1" s="187"/>
      <c r="BR1" s="188"/>
      <c r="BS1" s="132"/>
    </row>
    <row r="2" spans="1:72" ht="15" customHeight="1" thickBot="1" x14ac:dyDescent="0.3">
      <c r="B2" s="204"/>
      <c r="C2" s="1"/>
      <c r="D2" s="210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2"/>
      <c r="P2" s="213"/>
      <c r="Q2" s="58"/>
      <c r="R2" s="189"/>
      <c r="S2" s="190"/>
      <c r="T2" s="190"/>
      <c r="U2" s="190"/>
      <c r="V2" s="190"/>
      <c r="W2" s="190"/>
      <c r="X2" s="190"/>
      <c r="Y2" s="190"/>
      <c r="Z2" s="190"/>
      <c r="AA2" s="191"/>
      <c r="AB2" s="60"/>
      <c r="AC2" s="189"/>
      <c r="AD2" s="190"/>
      <c r="AE2" s="190"/>
      <c r="AF2" s="190"/>
      <c r="AG2" s="190"/>
      <c r="AH2" s="190"/>
      <c r="AI2" s="190"/>
      <c r="AJ2" s="190"/>
      <c r="AK2" s="191"/>
      <c r="AL2" s="59"/>
      <c r="AM2" s="189"/>
      <c r="AN2" s="190"/>
      <c r="AO2" s="190"/>
      <c r="AP2" s="190"/>
      <c r="AQ2" s="190"/>
      <c r="AR2" s="190"/>
      <c r="AS2" s="190"/>
      <c r="AT2" s="190"/>
      <c r="AU2" s="191"/>
      <c r="AV2" s="59"/>
      <c r="AW2" s="189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1"/>
      <c r="BI2" s="59"/>
      <c r="BJ2" s="189"/>
      <c r="BK2" s="190"/>
      <c r="BL2" s="190"/>
      <c r="BM2" s="190"/>
      <c r="BN2" s="190"/>
      <c r="BO2" s="190"/>
      <c r="BP2" s="190"/>
      <c r="BQ2" s="190"/>
      <c r="BR2" s="191"/>
      <c r="BS2" s="135"/>
    </row>
    <row r="3" spans="1:72" ht="30" customHeight="1" thickBot="1" x14ac:dyDescent="0.3">
      <c r="B3" s="204"/>
      <c r="C3" s="1"/>
      <c r="D3" s="192" t="s">
        <v>6</v>
      </c>
      <c r="E3" s="192" t="s">
        <v>7</v>
      </c>
      <c r="F3" s="192" t="s">
        <v>8</v>
      </c>
      <c r="G3" s="192" t="s">
        <v>9</v>
      </c>
      <c r="H3" s="192" t="s">
        <v>10</v>
      </c>
      <c r="I3" s="214" t="s">
        <v>11</v>
      </c>
      <c r="J3" s="215"/>
      <c r="K3" s="216"/>
      <c r="L3" s="217"/>
      <c r="M3" s="214" t="s">
        <v>12</v>
      </c>
      <c r="N3" s="215"/>
      <c r="O3" s="216"/>
      <c r="P3" s="217"/>
      <c r="Q3" s="58"/>
      <c r="R3" s="196" t="s">
        <v>13</v>
      </c>
      <c r="S3" s="197"/>
      <c r="T3" s="218"/>
      <c r="U3" s="218"/>
      <c r="V3" s="196" t="s">
        <v>14</v>
      </c>
      <c r="W3" s="197"/>
      <c r="X3" s="197"/>
      <c r="Y3" s="197"/>
      <c r="Z3" s="197"/>
      <c r="AA3" s="198"/>
      <c r="AB3" s="60"/>
      <c r="AC3" s="194" t="s">
        <v>15</v>
      </c>
      <c r="AD3" s="219" t="s">
        <v>9</v>
      </c>
      <c r="AE3" s="196" t="s">
        <v>13</v>
      </c>
      <c r="AF3" s="197"/>
      <c r="AG3" s="198"/>
      <c r="AH3" s="196" t="s">
        <v>14</v>
      </c>
      <c r="AI3" s="197"/>
      <c r="AJ3" s="197"/>
      <c r="AK3" s="198"/>
      <c r="AL3" s="59"/>
      <c r="AM3" s="199" t="s">
        <v>15</v>
      </c>
      <c r="AN3" s="194" t="s">
        <v>9</v>
      </c>
      <c r="AO3" s="203" t="s">
        <v>13</v>
      </c>
      <c r="AP3" s="197"/>
      <c r="AQ3" s="198"/>
      <c r="AR3" s="196" t="s">
        <v>14</v>
      </c>
      <c r="AS3" s="197"/>
      <c r="AT3" s="197"/>
      <c r="AU3" s="198"/>
      <c r="AV3" s="59"/>
      <c r="AW3" s="194" t="s">
        <v>15</v>
      </c>
      <c r="AX3" s="194" t="s">
        <v>9</v>
      </c>
      <c r="AY3" s="203" t="s">
        <v>13</v>
      </c>
      <c r="AZ3" s="203"/>
      <c r="BA3" s="197"/>
      <c r="BB3" s="198"/>
      <c r="BC3" s="196" t="s">
        <v>14</v>
      </c>
      <c r="BD3" s="203"/>
      <c r="BE3" s="203"/>
      <c r="BF3" s="197"/>
      <c r="BG3" s="197"/>
      <c r="BH3" s="198"/>
      <c r="BI3" s="59"/>
      <c r="BJ3" s="199" t="s">
        <v>16</v>
      </c>
      <c r="BK3" s="194" t="s">
        <v>17</v>
      </c>
      <c r="BL3" s="200" t="s">
        <v>18</v>
      </c>
      <c r="BM3" s="201"/>
      <c r="BN3" s="202"/>
      <c r="BO3" s="203" t="s">
        <v>14</v>
      </c>
      <c r="BP3" s="197"/>
      <c r="BQ3" s="197"/>
      <c r="BR3" s="198"/>
      <c r="BS3" s="135"/>
    </row>
    <row r="4" spans="1:72" ht="56.25" customHeight="1" thickBot="1" x14ac:dyDescent="0.3">
      <c r="B4" s="205"/>
      <c r="C4" s="2"/>
      <c r="D4" s="193"/>
      <c r="E4" s="193"/>
      <c r="F4" s="193"/>
      <c r="G4" s="193"/>
      <c r="H4" s="193"/>
      <c r="I4" s="80" t="s">
        <v>3</v>
      </c>
      <c r="J4" s="81" t="s">
        <v>4</v>
      </c>
      <c r="K4" s="82" t="s">
        <v>58</v>
      </c>
      <c r="L4" s="82" t="s">
        <v>5</v>
      </c>
      <c r="M4" s="81" t="s">
        <v>3</v>
      </c>
      <c r="N4" s="81" t="s">
        <v>4</v>
      </c>
      <c r="O4" s="81" t="s">
        <v>58</v>
      </c>
      <c r="P4" s="81" t="s">
        <v>19</v>
      </c>
      <c r="Q4" s="60"/>
      <c r="R4" s="122" t="s">
        <v>20</v>
      </c>
      <c r="S4" s="62" t="s">
        <v>21</v>
      </c>
      <c r="T4" s="62" t="s">
        <v>60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5"/>
      <c r="AD4" s="187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6"/>
      <c r="AN4" s="195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5"/>
      <c r="AX4" s="195"/>
      <c r="AY4" s="123" t="s">
        <v>27</v>
      </c>
      <c r="AZ4" s="62" t="s">
        <v>59</v>
      </c>
      <c r="BA4" s="123" t="s">
        <v>61</v>
      </c>
      <c r="BB4" s="62" t="s">
        <v>29</v>
      </c>
      <c r="BC4" s="123" t="s">
        <v>56</v>
      </c>
      <c r="BD4" s="62" t="s">
        <v>24</v>
      </c>
      <c r="BE4" s="123" t="s">
        <v>57</v>
      </c>
      <c r="BF4" s="62" t="s">
        <v>24</v>
      </c>
      <c r="BG4" s="123" t="s">
        <v>31</v>
      </c>
      <c r="BH4" s="62" t="s">
        <v>24</v>
      </c>
      <c r="BI4" s="61"/>
      <c r="BJ4" s="186"/>
      <c r="BK4" s="195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2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2" ht="15.75" thickBot="1" x14ac:dyDescent="0.3">
      <c r="B6" s="168">
        <v>45930</v>
      </c>
      <c r="C6" s="183"/>
      <c r="D6" s="87">
        <f t="shared" ref="D6" si="0">R6</f>
        <v>53750</v>
      </c>
      <c r="E6" s="159">
        <f t="shared" ref="E6" si="1">F6/D6</f>
        <v>0.88269562790697675</v>
      </c>
      <c r="F6" s="87">
        <f t="shared" ref="F6" si="2">D6-H6</f>
        <v>47444.89</v>
      </c>
      <c r="G6" s="159">
        <f t="shared" ref="G6" si="3">H6/D6</f>
        <v>0.11730437209302326</v>
      </c>
      <c r="H6" s="146">
        <f t="shared" ref="H6" si="4">U6+AG6+AQ6+BB6</f>
        <v>6305.1100000000006</v>
      </c>
      <c r="I6" s="160">
        <f t="shared" ref="I6" si="5">AE6/(AE6+AO6+BL6+AY6)</f>
        <v>0.11608159710591545</v>
      </c>
      <c r="J6" s="159">
        <f t="shared" ref="J6" si="6">AO6/(AE6+AO6+BL6+AY6)</f>
        <v>0.16015441816841963</v>
      </c>
      <c r="K6" s="159">
        <f t="shared" ref="K6" si="7">AY6/(AF6+AP6+BM6+AZ6+AY6)</f>
        <v>0.16670145761960234</v>
      </c>
      <c r="L6" s="161">
        <f t="shared" ref="L6" si="8">BL6/(AE6+AO6+BL6+AY6)</f>
        <v>0.58185670261941447</v>
      </c>
      <c r="M6" s="146">
        <f>(S6+T6)*I6</f>
        <v>6093.123032089502</v>
      </c>
      <c r="N6" s="146">
        <f>(S6+T6)*J6</f>
        <v>8406.5054096603471</v>
      </c>
      <c r="O6" s="146">
        <f>(S6+T6)*K6</f>
        <v>8750.159510452926</v>
      </c>
      <c r="P6" s="146">
        <f>(S6+T6)*L6</f>
        <v>30541.658320493065</v>
      </c>
      <c r="Q6" s="56">
        <v>45199</v>
      </c>
      <c r="R6" s="139">
        <v>53750</v>
      </c>
      <c r="S6" s="140">
        <v>0</v>
      </c>
      <c r="T6" s="140">
        <v>52490</v>
      </c>
      <c r="U6" s="140">
        <v>0</v>
      </c>
      <c r="V6" s="141">
        <v>13858.11</v>
      </c>
      <c r="W6" s="142">
        <v>0.36458333333333331</v>
      </c>
      <c r="X6" s="141">
        <v>4670.5200000000004</v>
      </c>
      <c r="Y6" s="142">
        <v>0.80208333333333337</v>
      </c>
      <c r="Z6" s="141">
        <v>0</v>
      </c>
      <c r="AA6" s="142">
        <v>0</v>
      </c>
      <c r="AB6" s="56">
        <v>45930</v>
      </c>
      <c r="AC6" s="76">
        <f t="shared" ref="AC6" si="9">+AF6/AE6</f>
        <v>1</v>
      </c>
      <c r="AD6" s="162">
        <f t="shared" ref="AD6" si="10">+AG6/AE6</f>
        <v>0</v>
      </c>
      <c r="AE6" s="163">
        <v>6931</v>
      </c>
      <c r="AF6" s="118">
        <f t="shared" ref="AF6" si="11">+AE6-AG6</f>
        <v>6931</v>
      </c>
      <c r="AG6" s="147">
        <v>0</v>
      </c>
      <c r="AH6" s="148">
        <v>3558.88</v>
      </c>
      <c r="AI6" s="149">
        <v>0.35902777777777778</v>
      </c>
      <c r="AJ6" s="148">
        <v>0</v>
      </c>
      <c r="AK6" s="165">
        <v>0</v>
      </c>
      <c r="AL6" s="56">
        <v>45930</v>
      </c>
      <c r="AM6" s="77">
        <f t="shared" ref="AM6" si="12">+AP6/AO6</f>
        <v>0.6012433986928104</v>
      </c>
      <c r="AN6" s="76">
        <f t="shared" ref="AN6" si="13">+AQ6/AO6</f>
        <v>0.39875660130718954</v>
      </c>
      <c r="AO6" s="150">
        <v>9562.5</v>
      </c>
      <c r="AP6" s="117">
        <f t="shared" ref="AP6" si="14">AO6-AQ6</f>
        <v>5749.3899999999994</v>
      </c>
      <c r="AQ6" s="151">
        <v>3813.11</v>
      </c>
      <c r="AR6" s="152">
        <v>3534.51</v>
      </c>
      <c r="AS6" s="153">
        <v>0.72291666666666665</v>
      </c>
      <c r="AT6" s="152">
        <v>185.17</v>
      </c>
      <c r="AU6" s="154">
        <v>0.28125</v>
      </c>
      <c r="AV6" s="56">
        <v>45930</v>
      </c>
      <c r="AW6" s="110">
        <f t="shared" ref="AW6" si="15">BA6/AZ6</f>
        <v>0.70588929540894607</v>
      </c>
      <c r="AX6" s="110">
        <f t="shared" ref="AX6" si="16">BB6/AZ6</f>
        <v>0.29411070459105393</v>
      </c>
      <c r="AY6" s="111">
        <f t="shared" ref="AY6" si="17">BA6+BB6</f>
        <v>8473</v>
      </c>
      <c r="AZ6" s="112">
        <v>8473</v>
      </c>
      <c r="BA6" s="120">
        <f t="shared" ref="BA6" si="18">AZ6-BB6</f>
        <v>5981</v>
      </c>
      <c r="BB6" s="113">
        <v>2492</v>
      </c>
      <c r="BC6" s="112">
        <v>4046.64</v>
      </c>
      <c r="BD6" s="114">
        <v>0.3125</v>
      </c>
      <c r="BE6" s="115">
        <v>0</v>
      </c>
      <c r="BF6" s="114">
        <v>0</v>
      </c>
      <c r="BG6" s="115">
        <v>150.80000000000001</v>
      </c>
      <c r="BH6" s="114">
        <v>0.89583333333333337</v>
      </c>
      <c r="BI6" s="56">
        <v>45930</v>
      </c>
      <c r="BJ6" s="78">
        <f t="shared" ref="BJ6" si="19">+BM6/BL6</f>
        <v>0.61024998920599283</v>
      </c>
      <c r="BK6" s="76">
        <f t="shared" ref="BK6" si="20">+BN6/BL6</f>
        <v>0.38975001079400717</v>
      </c>
      <c r="BL6" s="79">
        <f t="shared" ref="BL6" si="21">BM6+BN6</f>
        <v>34741.5</v>
      </c>
      <c r="BM6" s="155">
        <v>21201</v>
      </c>
      <c r="BN6" s="155">
        <v>13540.5</v>
      </c>
      <c r="BO6" s="156">
        <v>4773.7</v>
      </c>
      <c r="BP6" s="157">
        <v>0.29305555555555557</v>
      </c>
      <c r="BQ6" s="158">
        <v>3130.6</v>
      </c>
      <c r="BR6" s="157">
        <v>0.29305555555555557</v>
      </c>
    </row>
    <row r="7" spans="1:72" ht="15.75" thickBot="1" x14ac:dyDescent="0.3">
      <c r="A7" s="166"/>
      <c r="B7" s="56">
        <f>B6+1</f>
        <v>45931</v>
      </c>
      <c r="C7" s="126"/>
      <c r="D7" s="87">
        <f t="shared" ref="D7:D10" si="22">R7</f>
        <v>53228</v>
      </c>
      <c r="E7" s="159">
        <f t="shared" ref="E7:E10" si="23">F7/D7</f>
        <v>0.88090854437514088</v>
      </c>
      <c r="F7" s="87">
        <f t="shared" ref="F7:F10" si="24">D7-H7</f>
        <v>46889</v>
      </c>
      <c r="G7" s="159">
        <f t="shared" ref="G7:G10" si="25">H7/D7</f>
        <v>0.11909145562485909</v>
      </c>
      <c r="H7" s="146">
        <f t="shared" ref="H7:H36" si="26">U7+AG7+AQ7+BB7</f>
        <v>6339</v>
      </c>
      <c r="I7" s="160">
        <f t="shared" ref="I7:I10" si="27">AE7/(AE7+AO7+BL7+AY7)</f>
        <v>0.11904116091408422</v>
      </c>
      <c r="J7" s="159">
        <f t="shared" ref="J7:J10" si="28">AO7/(AE7+AO7+BL7+AY7)</f>
        <v>0.16235505526547772</v>
      </c>
      <c r="K7" s="159">
        <f t="shared" ref="K7:K10" si="29">AY7/(AF7+AP7+BM7+AZ7+AY7)</f>
        <v>0.16638839196978733</v>
      </c>
      <c r="L7" s="161">
        <f t="shared" ref="L7:L10" si="30">BL7/(AE7+AO7+BL7+AY7)</f>
        <v>0.57669356479283918</v>
      </c>
      <c r="M7" s="146">
        <f t="shared" ref="M7:M10" si="31">(S7+T7)*I7</f>
        <v>6193.7116023598019</v>
      </c>
      <c r="N7" s="146">
        <f t="shared" ref="N7:N10" si="32">(S7+T7)*J7</f>
        <v>8447.3335254628055</v>
      </c>
      <c r="O7" s="146">
        <f t="shared" ref="O7:O10" si="33">(S7+T7)*K7</f>
        <v>8657.1880341880351</v>
      </c>
      <c r="P7" s="146">
        <f t="shared" ref="P7:P10" si="34">(S7+T7)*L7</f>
        <v>30005.366176171421</v>
      </c>
      <c r="Q7" s="56">
        <f>Q6+1</f>
        <v>45200</v>
      </c>
      <c r="R7" s="139">
        <v>53228</v>
      </c>
      <c r="S7" s="140">
        <v>0</v>
      </c>
      <c r="T7" s="140">
        <v>52030</v>
      </c>
      <c r="U7" s="140">
        <v>0</v>
      </c>
      <c r="V7" s="141">
        <v>14689</v>
      </c>
      <c r="W7" s="142">
        <v>0.77083333333333337</v>
      </c>
      <c r="X7" s="141">
        <v>4337</v>
      </c>
      <c r="Y7" s="142">
        <v>0.78125</v>
      </c>
      <c r="Z7" s="141">
        <v>0</v>
      </c>
      <c r="AA7" s="142">
        <v>0</v>
      </c>
      <c r="AB7" s="56">
        <f>AB6+1</f>
        <v>45931</v>
      </c>
      <c r="AC7" s="76">
        <f t="shared" ref="AC7:AC10" si="35">+AF7/AE7</f>
        <v>1</v>
      </c>
      <c r="AD7" s="162">
        <f t="shared" ref="AD7:AD10" si="36">+AG7/AE7</f>
        <v>0</v>
      </c>
      <c r="AE7" s="163">
        <v>7022</v>
      </c>
      <c r="AF7" s="118">
        <f t="shared" ref="AF7:AF36" si="37">+AE7-AG7</f>
        <v>7022</v>
      </c>
      <c r="AG7" s="147">
        <v>0</v>
      </c>
      <c r="AH7" s="148">
        <v>4535</v>
      </c>
      <c r="AI7" s="149">
        <v>0.33750000000000002</v>
      </c>
      <c r="AJ7" s="148">
        <v>0</v>
      </c>
      <c r="AK7" s="165">
        <v>0</v>
      </c>
      <c r="AL7" s="56">
        <f t="shared" ref="AL7:AL37" si="38">AL6+1</f>
        <v>45931</v>
      </c>
      <c r="AM7" s="77">
        <f t="shared" ref="AM7:AM10" si="39">+AP7/AO7</f>
        <v>0.60144095228150773</v>
      </c>
      <c r="AN7" s="76">
        <f t="shared" ref="AN7:AN10" si="40">+AQ7/AO7</f>
        <v>0.39855904771849221</v>
      </c>
      <c r="AO7" s="150">
        <v>9577</v>
      </c>
      <c r="AP7" s="117">
        <f t="shared" ref="AP7:AP36" si="41">AO7-AQ7</f>
        <v>5760</v>
      </c>
      <c r="AQ7" s="151">
        <v>3817</v>
      </c>
      <c r="AR7" s="152">
        <v>3721</v>
      </c>
      <c r="AS7" s="153">
        <v>0.72638888888888886</v>
      </c>
      <c r="AT7" s="152">
        <v>184</v>
      </c>
      <c r="AU7" s="154">
        <v>0.84375</v>
      </c>
      <c r="AV7" s="56">
        <f>AV6+1</f>
        <v>45931</v>
      </c>
      <c r="AW7" s="110">
        <f t="shared" ref="AW7:AW10" si="42">BA7/AZ7</f>
        <v>0.69872177756540432</v>
      </c>
      <c r="AX7" s="110">
        <f t="shared" ref="AX7:AX10" si="43">BB7/AZ7</f>
        <v>0.30127822243459562</v>
      </c>
      <c r="AY7" s="111">
        <f t="shared" ref="AY7:AY36" si="44">BA7+BB7</f>
        <v>8371</v>
      </c>
      <c r="AZ7" s="112">
        <v>8371</v>
      </c>
      <c r="BA7" s="120">
        <f t="shared" ref="BA7:BA12" si="45">AZ7-BB7</f>
        <v>5849</v>
      </c>
      <c r="BB7" s="113">
        <v>2522</v>
      </c>
      <c r="BC7" s="112">
        <v>4280</v>
      </c>
      <c r="BD7" s="114">
        <v>0.72916666666666663</v>
      </c>
      <c r="BE7" s="115">
        <v>0</v>
      </c>
      <c r="BF7" s="114">
        <v>0</v>
      </c>
      <c r="BG7" s="115">
        <v>146</v>
      </c>
      <c r="BH7" s="114">
        <v>0.25</v>
      </c>
      <c r="BI7" s="56">
        <f>BI6+1</f>
        <v>45931</v>
      </c>
      <c r="BJ7" s="78">
        <f t="shared" ref="BJ7:BJ10" si="46">+BM7/BL7</f>
        <v>0.61102945499441474</v>
      </c>
      <c r="BK7" s="76">
        <f t="shared" ref="BK7:BK10" si="47">+BN7/BL7</f>
        <v>0.38897054500558526</v>
      </c>
      <c r="BL7" s="79">
        <f t="shared" ref="BL7:BL10" si="48">BM7+BN7</f>
        <v>34018</v>
      </c>
      <c r="BM7" s="155">
        <v>20786</v>
      </c>
      <c r="BN7" s="155">
        <v>13232</v>
      </c>
      <c r="BO7" s="156">
        <v>3987</v>
      </c>
      <c r="BP7" s="157">
        <v>0.82638888888888884</v>
      </c>
      <c r="BQ7" s="158">
        <v>2590</v>
      </c>
      <c r="BR7" s="157">
        <v>0.82638888888888884</v>
      </c>
    </row>
    <row r="8" spans="1:72" ht="15.75" thickBot="1" x14ac:dyDescent="0.3">
      <c r="A8" s="166"/>
      <c r="B8" s="56">
        <f t="shared" ref="B8:B37" si="49">B7+1</f>
        <v>45932</v>
      </c>
      <c r="C8" s="164"/>
      <c r="D8" s="87">
        <f t="shared" si="22"/>
        <v>52198</v>
      </c>
      <c r="E8" s="159">
        <f t="shared" si="23"/>
        <v>0.87792635733169855</v>
      </c>
      <c r="F8" s="87">
        <f t="shared" si="24"/>
        <v>45826</v>
      </c>
      <c r="G8" s="159">
        <f t="shared" si="25"/>
        <v>0.12207364266830147</v>
      </c>
      <c r="H8" s="146">
        <f t="shared" si="26"/>
        <v>6372</v>
      </c>
      <c r="I8" s="160">
        <f t="shared" si="27"/>
        <v>0.116991162662248</v>
      </c>
      <c r="J8" s="159">
        <f t="shared" si="28"/>
        <v>0.1611260701463684</v>
      </c>
      <c r="K8" s="159">
        <f t="shared" si="29"/>
        <v>0.16701791359325605</v>
      </c>
      <c r="L8" s="161">
        <f t="shared" si="30"/>
        <v>0.57962234189450423</v>
      </c>
      <c r="M8" s="146">
        <f t="shared" si="31"/>
        <v>5956.8390292736813</v>
      </c>
      <c r="N8" s="146">
        <f t="shared" si="32"/>
        <v>8204.0561136426404</v>
      </c>
      <c r="O8" s="146">
        <f t="shared" si="33"/>
        <v>8504.051106427818</v>
      </c>
      <c r="P8" s="146">
        <f t="shared" si="34"/>
        <v>29512.630782242471</v>
      </c>
      <c r="Q8" s="56">
        <f t="shared" ref="Q8:Q37" si="50">Q7+1</f>
        <v>45201</v>
      </c>
      <c r="R8" s="139">
        <v>52198</v>
      </c>
      <c r="S8" s="140">
        <v>0</v>
      </c>
      <c r="T8" s="140">
        <v>50917</v>
      </c>
      <c r="U8" s="140">
        <v>0</v>
      </c>
      <c r="V8" s="141">
        <v>15314</v>
      </c>
      <c r="W8" s="142">
        <v>0.8125</v>
      </c>
      <c r="X8" s="141">
        <v>4505</v>
      </c>
      <c r="Y8" s="142">
        <v>0.8125</v>
      </c>
      <c r="Z8" s="141">
        <v>0</v>
      </c>
      <c r="AA8" s="142">
        <v>0</v>
      </c>
      <c r="AB8" s="56">
        <f t="shared" ref="AB8:AB37" si="51">AB7+1</f>
        <v>45932</v>
      </c>
      <c r="AC8" s="76">
        <f t="shared" si="35"/>
        <v>1</v>
      </c>
      <c r="AD8" s="162">
        <f t="shared" si="36"/>
        <v>0</v>
      </c>
      <c r="AE8" s="163">
        <v>6778</v>
      </c>
      <c r="AF8" s="118">
        <f t="shared" si="37"/>
        <v>6778</v>
      </c>
      <c r="AG8" s="147">
        <v>0</v>
      </c>
      <c r="AH8" s="148">
        <v>3692</v>
      </c>
      <c r="AI8" s="149">
        <v>0.37152777777777779</v>
      </c>
      <c r="AJ8" s="148">
        <v>0</v>
      </c>
      <c r="AK8" s="165">
        <v>0</v>
      </c>
      <c r="AL8" s="56">
        <f t="shared" si="38"/>
        <v>45932</v>
      </c>
      <c r="AM8" s="77">
        <f t="shared" si="39"/>
        <v>0.59400107123727908</v>
      </c>
      <c r="AN8" s="76">
        <f t="shared" si="40"/>
        <v>0.40599892876272092</v>
      </c>
      <c r="AO8" s="150">
        <v>9335</v>
      </c>
      <c r="AP8" s="117">
        <f t="shared" si="41"/>
        <v>5545</v>
      </c>
      <c r="AQ8" s="151">
        <v>3790</v>
      </c>
      <c r="AR8" s="152">
        <v>4434</v>
      </c>
      <c r="AS8" s="153">
        <v>0.34722222222222221</v>
      </c>
      <c r="AT8" s="152">
        <v>178</v>
      </c>
      <c r="AU8" s="154">
        <v>0.72916666666666663</v>
      </c>
      <c r="AV8" s="56">
        <f t="shared" ref="AV8:AV37" si="52">AV7+1</f>
        <v>45932</v>
      </c>
      <c r="AW8" s="110">
        <f t="shared" si="42"/>
        <v>0.68672652268866785</v>
      </c>
      <c r="AX8" s="110">
        <f t="shared" si="43"/>
        <v>0.3132734773113322</v>
      </c>
      <c r="AY8" s="111">
        <f t="shared" si="44"/>
        <v>8242</v>
      </c>
      <c r="AZ8" s="112">
        <v>8242</v>
      </c>
      <c r="BA8" s="120">
        <f t="shared" si="45"/>
        <v>5660</v>
      </c>
      <c r="BB8" s="113">
        <v>2582</v>
      </c>
      <c r="BC8" s="112">
        <v>4213</v>
      </c>
      <c r="BD8" s="114">
        <v>0.30208333333333331</v>
      </c>
      <c r="BE8" s="115">
        <v>0</v>
      </c>
      <c r="BF8" s="114">
        <v>0</v>
      </c>
      <c r="BG8" s="115">
        <v>147</v>
      </c>
      <c r="BH8" s="114">
        <v>0.85416666666666663</v>
      </c>
      <c r="BI8" s="56">
        <f t="shared" ref="BI8:BI37" si="53">BI7+1</f>
        <v>45932</v>
      </c>
      <c r="BJ8" s="78">
        <f t="shared" si="46"/>
        <v>0.61168517911914477</v>
      </c>
      <c r="BK8" s="76">
        <f t="shared" si="47"/>
        <v>0.38831482088085523</v>
      </c>
      <c r="BL8" s="79">
        <f t="shared" si="48"/>
        <v>33581</v>
      </c>
      <c r="BM8" s="155">
        <v>20541</v>
      </c>
      <c r="BN8" s="155">
        <v>13040</v>
      </c>
      <c r="BO8" s="156">
        <v>4499</v>
      </c>
      <c r="BP8" s="157">
        <v>0.76666666666666672</v>
      </c>
      <c r="BQ8" s="158">
        <v>3004</v>
      </c>
      <c r="BR8" s="157">
        <v>0.76666666666666672</v>
      </c>
    </row>
    <row r="9" spans="1:72" ht="15.75" thickBot="1" x14ac:dyDescent="0.3">
      <c r="A9" s="166" t="s">
        <v>68</v>
      </c>
      <c r="B9" s="56">
        <f t="shared" si="49"/>
        <v>45933</v>
      </c>
      <c r="C9" s="164"/>
      <c r="D9" s="87">
        <f t="shared" si="22"/>
        <v>51590</v>
      </c>
      <c r="E9" s="159">
        <f t="shared" si="23"/>
        <v>0.88232215545648385</v>
      </c>
      <c r="F9" s="87">
        <f t="shared" si="24"/>
        <v>45519</v>
      </c>
      <c r="G9" s="159">
        <f t="shared" si="25"/>
        <v>0.11767784454351618</v>
      </c>
      <c r="H9" s="146">
        <f t="shared" si="26"/>
        <v>6071</v>
      </c>
      <c r="I9" s="160">
        <f t="shared" si="27"/>
        <v>0.11729798198886016</v>
      </c>
      <c r="J9" s="159">
        <f t="shared" si="28"/>
        <v>0.16102444864742935</v>
      </c>
      <c r="K9" s="159">
        <f t="shared" si="29"/>
        <v>0.16660224984234831</v>
      </c>
      <c r="L9" s="161">
        <f t="shared" si="30"/>
        <v>0.57956655272336066</v>
      </c>
      <c r="M9" s="146">
        <f t="shared" si="31"/>
        <v>5929.4129895368806</v>
      </c>
      <c r="N9" s="146">
        <f t="shared" si="32"/>
        <v>8139.7858791275539</v>
      </c>
      <c r="O9" s="146">
        <f t="shared" si="33"/>
        <v>8421.7437295307063</v>
      </c>
      <c r="P9" s="146">
        <f t="shared" si="34"/>
        <v>29297.089240165882</v>
      </c>
      <c r="Q9" s="56">
        <f t="shared" si="50"/>
        <v>45202</v>
      </c>
      <c r="R9" s="139">
        <v>51590</v>
      </c>
      <c r="S9" s="140">
        <v>0</v>
      </c>
      <c r="T9" s="140">
        <v>50550</v>
      </c>
      <c r="U9" s="140">
        <v>0</v>
      </c>
      <c r="V9" s="141">
        <v>14860</v>
      </c>
      <c r="W9" s="142">
        <v>0.75</v>
      </c>
      <c r="X9" s="141">
        <v>4490</v>
      </c>
      <c r="Y9" s="142">
        <v>0.77083333333333337</v>
      </c>
      <c r="Z9" s="141">
        <v>0</v>
      </c>
      <c r="AA9" s="142">
        <v>0</v>
      </c>
      <c r="AB9" s="56">
        <f t="shared" si="51"/>
        <v>45933</v>
      </c>
      <c r="AC9" s="76">
        <f t="shared" si="35"/>
        <v>1</v>
      </c>
      <c r="AD9" s="162">
        <f t="shared" si="36"/>
        <v>0</v>
      </c>
      <c r="AE9" s="163">
        <v>6760</v>
      </c>
      <c r="AF9" s="118">
        <f t="shared" si="37"/>
        <v>6760</v>
      </c>
      <c r="AG9" s="147">
        <v>0</v>
      </c>
      <c r="AH9" s="148">
        <v>3265</v>
      </c>
      <c r="AI9" s="149">
        <v>0.70486111111111116</v>
      </c>
      <c r="AJ9" s="148">
        <v>0</v>
      </c>
      <c r="AK9" s="165">
        <v>0</v>
      </c>
      <c r="AL9" s="56">
        <f t="shared" si="38"/>
        <v>45933</v>
      </c>
      <c r="AM9" s="77">
        <f t="shared" si="39"/>
        <v>0.60765086206896557</v>
      </c>
      <c r="AN9" s="76">
        <f t="shared" si="40"/>
        <v>0.39234913793103449</v>
      </c>
      <c r="AO9" s="150">
        <v>9280</v>
      </c>
      <c r="AP9" s="117">
        <f t="shared" si="41"/>
        <v>5639</v>
      </c>
      <c r="AQ9" s="151">
        <v>3641</v>
      </c>
      <c r="AR9" s="152">
        <v>4045</v>
      </c>
      <c r="AS9" s="153">
        <v>0.71250000000000002</v>
      </c>
      <c r="AT9" s="152">
        <v>184</v>
      </c>
      <c r="AU9" s="154">
        <v>0.80208333333333337</v>
      </c>
      <c r="AV9" s="56">
        <f t="shared" si="52"/>
        <v>45933</v>
      </c>
      <c r="AW9" s="110">
        <f t="shared" si="42"/>
        <v>0.70329670329670335</v>
      </c>
      <c r="AX9" s="110">
        <f t="shared" si="43"/>
        <v>0.2967032967032967</v>
      </c>
      <c r="AY9" s="111">
        <f t="shared" si="44"/>
        <v>8190</v>
      </c>
      <c r="AZ9" s="112">
        <v>8190</v>
      </c>
      <c r="BA9" s="120">
        <f t="shared" si="45"/>
        <v>5760</v>
      </c>
      <c r="BB9" s="113">
        <v>2430</v>
      </c>
      <c r="BC9" s="112">
        <v>4152</v>
      </c>
      <c r="BD9" s="114">
        <v>0.33333333333333331</v>
      </c>
      <c r="BE9" s="115">
        <v>0</v>
      </c>
      <c r="BF9" s="114">
        <v>0</v>
      </c>
      <c r="BG9" s="115">
        <v>146</v>
      </c>
      <c r="BH9" s="114">
        <v>0.875</v>
      </c>
      <c r="BI9" s="56">
        <f t="shared" si="53"/>
        <v>45933</v>
      </c>
      <c r="BJ9" s="78">
        <f t="shared" si="46"/>
        <v>0.61016137241399959</v>
      </c>
      <c r="BK9" s="76">
        <f t="shared" si="47"/>
        <v>0.38983862758600041</v>
      </c>
      <c r="BL9" s="79">
        <f t="shared" si="48"/>
        <v>33401</v>
      </c>
      <c r="BM9" s="155">
        <v>20380</v>
      </c>
      <c r="BN9" s="155">
        <v>13021</v>
      </c>
      <c r="BO9" s="156">
        <v>4145</v>
      </c>
      <c r="BP9" s="157">
        <v>0.66736111111111107</v>
      </c>
      <c r="BQ9" s="158">
        <v>2760</v>
      </c>
      <c r="BR9" s="157">
        <v>0.66736111111111107</v>
      </c>
    </row>
    <row r="10" spans="1:72" ht="15.75" thickBot="1" x14ac:dyDescent="0.3">
      <c r="B10" s="56">
        <f t="shared" si="49"/>
        <v>45934</v>
      </c>
      <c r="C10" s="164"/>
      <c r="D10" s="87">
        <f t="shared" si="22"/>
        <v>32744</v>
      </c>
      <c r="E10" s="159">
        <f t="shared" si="23"/>
        <v>0.82421206938675784</v>
      </c>
      <c r="F10" s="87">
        <f t="shared" si="24"/>
        <v>26988</v>
      </c>
      <c r="G10" s="159">
        <f t="shared" si="25"/>
        <v>0.17578793061324213</v>
      </c>
      <c r="H10" s="146">
        <f t="shared" si="26"/>
        <v>5756</v>
      </c>
      <c r="I10" s="160">
        <f t="shared" si="27"/>
        <v>8.8513068306611029E-2</v>
      </c>
      <c r="J10" s="159">
        <f t="shared" si="28"/>
        <v>0.14306501207994729</v>
      </c>
      <c r="K10" s="159">
        <f t="shared" si="29"/>
        <v>0.16231484671029969</v>
      </c>
      <c r="L10" s="161">
        <f t="shared" si="30"/>
        <v>0.63905666593454868</v>
      </c>
      <c r="M10" s="146">
        <f t="shared" si="31"/>
        <v>2754.9692510432683</v>
      </c>
      <c r="N10" s="146">
        <f t="shared" si="32"/>
        <v>4452.898500988359</v>
      </c>
      <c r="O10" s="146">
        <f t="shared" si="33"/>
        <v>5052.0496038580777</v>
      </c>
      <c r="P10" s="146">
        <f t="shared" si="34"/>
        <v>19890.638727212827</v>
      </c>
      <c r="Q10" s="56">
        <f t="shared" si="50"/>
        <v>45203</v>
      </c>
      <c r="R10" s="139">
        <v>32744</v>
      </c>
      <c r="S10" s="140">
        <v>0</v>
      </c>
      <c r="T10" s="140">
        <v>31125</v>
      </c>
      <c r="U10" s="140">
        <v>0</v>
      </c>
      <c r="V10" s="141">
        <v>7927</v>
      </c>
      <c r="W10" s="142">
        <v>0.76041666666666663</v>
      </c>
      <c r="X10" s="141">
        <v>2650</v>
      </c>
      <c r="Y10" s="142">
        <v>0.76041666666666663</v>
      </c>
      <c r="Z10" s="141">
        <v>0</v>
      </c>
      <c r="AA10" s="142">
        <v>0</v>
      </c>
      <c r="AB10" s="56">
        <f t="shared" si="51"/>
        <v>45934</v>
      </c>
      <c r="AC10" s="76">
        <f t="shared" si="35"/>
        <v>1</v>
      </c>
      <c r="AD10" s="162">
        <f t="shared" si="36"/>
        <v>0</v>
      </c>
      <c r="AE10" s="163">
        <v>3224</v>
      </c>
      <c r="AF10" s="118">
        <f t="shared" si="37"/>
        <v>3224</v>
      </c>
      <c r="AG10" s="147">
        <v>0</v>
      </c>
      <c r="AH10" s="148">
        <v>2632</v>
      </c>
      <c r="AI10" s="149">
        <v>0.69444444444444442</v>
      </c>
      <c r="AJ10" s="148">
        <v>0</v>
      </c>
      <c r="AK10" s="165">
        <v>0</v>
      </c>
      <c r="AL10" s="56">
        <f t="shared" si="38"/>
        <v>45934</v>
      </c>
      <c r="AM10" s="77">
        <f t="shared" si="39"/>
        <v>0.39550949913644212</v>
      </c>
      <c r="AN10" s="76">
        <f t="shared" si="40"/>
        <v>0.60449050086355782</v>
      </c>
      <c r="AO10" s="150">
        <v>5211</v>
      </c>
      <c r="AP10" s="117">
        <f t="shared" si="41"/>
        <v>2061</v>
      </c>
      <c r="AQ10" s="151">
        <v>3150</v>
      </c>
      <c r="AR10" s="152">
        <v>2461</v>
      </c>
      <c r="AS10" s="153">
        <v>0.67500000000000004</v>
      </c>
      <c r="AT10" s="152">
        <v>174</v>
      </c>
      <c r="AU10" s="154">
        <v>0.23958333333333334</v>
      </c>
      <c r="AV10" s="56">
        <f t="shared" si="52"/>
        <v>45934</v>
      </c>
      <c r="AW10" s="110">
        <f t="shared" si="42"/>
        <v>0.44694397283531412</v>
      </c>
      <c r="AX10" s="110">
        <f t="shared" si="43"/>
        <v>0.55305602716468594</v>
      </c>
      <c r="AY10" s="111">
        <f t="shared" si="44"/>
        <v>4712</v>
      </c>
      <c r="AZ10" s="112">
        <v>4712</v>
      </c>
      <c r="BA10" s="120">
        <f t="shared" si="45"/>
        <v>2106</v>
      </c>
      <c r="BB10" s="113">
        <f>1511+1095</f>
        <v>2606</v>
      </c>
      <c r="BC10" s="112">
        <v>2225</v>
      </c>
      <c r="BD10" s="114">
        <v>0.82291666666666663</v>
      </c>
      <c r="BE10" s="115">
        <v>0</v>
      </c>
      <c r="BF10" s="114">
        <v>0</v>
      </c>
      <c r="BG10" s="115">
        <v>148</v>
      </c>
      <c r="BH10" s="114">
        <v>4.1666666666666664E-2</v>
      </c>
      <c r="BI10" s="56">
        <f t="shared" si="53"/>
        <v>45934</v>
      </c>
      <c r="BJ10" s="78">
        <f t="shared" si="46"/>
        <v>0.61524251406968256</v>
      </c>
      <c r="BK10" s="76">
        <f t="shared" si="47"/>
        <v>0.3847574859303175</v>
      </c>
      <c r="BL10" s="79">
        <f t="shared" si="48"/>
        <v>23277</v>
      </c>
      <c r="BM10" s="155">
        <v>14321</v>
      </c>
      <c r="BN10" s="155">
        <v>8956</v>
      </c>
      <c r="BO10" s="156">
        <v>3781</v>
      </c>
      <c r="BP10" s="157">
        <v>0.73055555555555551</v>
      </c>
      <c r="BQ10" s="158">
        <v>2480</v>
      </c>
      <c r="BR10" s="157">
        <v>0.73055555555555551</v>
      </c>
      <c r="BS10" s="14" t="s">
        <v>69</v>
      </c>
    </row>
    <row r="11" spans="1:72" ht="15.75" thickBot="1" x14ac:dyDescent="0.3">
      <c r="B11" s="56">
        <f t="shared" si="49"/>
        <v>45935</v>
      </c>
      <c r="C11" s="164"/>
      <c r="D11" s="87">
        <f t="shared" ref="D11:D24" si="54">R11</f>
        <v>27250</v>
      </c>
      <c r="E11" s="159">
        <f t="shared" ref="E11:E24" si="55">F11/D11</f>
        <v>0.79119266055045867</v>
      </c>
      <c r="F11" s="87">
        <f t="shared" ref="F11:F24" si="56">D11-H11</f>
        <v>21560</v>
      </c>
      <c r="G11" s="159">
        <f t="shared" ref="G11:G24" si="57">H11/D11</f>
        <v>0.20880733944954127</v>
      </c>
      <c r="H11" s="146">
        <f t="shared" si="26"/>
        <v>5690</v>
      </c>
      <c r="I11" s="160">
        <f t="shared" ref="I11:I24" si="58">AE11/(AE11+AO11+BL11+AY11)</f>
        <v>8.8105726872246701E-2</v>
      </c>
      <c r="J11" s="159">
        <f t="shared" ref="J11:J24" si="59">AO11/(AE11+AO11+BL11+AY11)</f>
        <v>0.14454845814977973</v>
      </c>
      <c r="K11" s="159">
        <f t="shared" ref="K11:K24" si="60">AY11/(AF11+AP11+BM11+AZ11+AY11)</f>
        <v>0.16166839021027232</v>
      </c>
      <c r="L11" s="161">
        <f t="shared" ref="L11:L24" si="61">BL11/(AE11+AO11+BL11+AY11)</f>
        <v>0.638215859030837</v>
      </c>
      <c r="M11" s="146">
        <f t="shared" ref="M11:M24" si="62">(S11+T11)*I11</f>
        <v>2740.0881057268725</v>
      </c>
      <c r="N11" s="146">
        <f t="shared" ref="N11:N24" si="63">(S11+T11)*J11</f>
        <v>4495.45704845815</v>
      </c>
      <c r="O11" s="146">
        <f t="shared" ref="O11:O24" si="64">(S11+T11)*K11</f>
        <v>5027.8869355394691</v>
      </c>
      <c r="P11" s="146">
        <f t="shared" ref="P11:P24" si="65">(S11+T11)*L11</f>
        <v>19848.513215859031</v>
      </c>
      <c r="Q11" s="56">
        <f t="shared" si="50"/>
        <v>45204</v>
      </c>
      <c r="R11" s="139">
        <v>27250</v>
      </c>
      <c r="S11" s="140">
        <v>0</v>
      </c>
      <c r="T11" s="140">
        <v>31100</v>
      </c>
      <c r="U11" s="140">
        <v>0</v>
      </c>
      <c r="V11" s="141">
        <v>7910</v>
      </c>
      <c r="W11" s="142">
        <v>0.79166666666666663</v>
      </c>
      <c r="X11" s="141">
        <v>2600</v>
      </c>
      <c r="Y11" s="142">
        <v>0.8125</v>
      </c>
      <c r="Z11" s="141">
        <v>0</v>
      </c>
      <c r="AA11" s="142">
        <v>0</v>
      </c>
      <c r="AB11" s="56">
        <f t="shared" si="51"/>
        <v>45935</v>
      </c>
      <c r="AC11" s="76">
        <f t="shared" ref="AC11:AC24" si="66">+AF11/AE11</f>
        <v>1</v>
      </c>
      <c r="AD11" s="162">
        <f t="shared" ref="AD11:AD24" si="67">+AG11/AE11</f>
        <v>0</v>
      </c>
      <c r="AE11" s="163">
        <v>3200</v>
      </c>
      <c r="AF11" s="118">
        <f t="shared" si="37"/>
        <v>3200</v>
      </c>
      <c r="AG11" s="147">
        <v>0</v>
      </c>
      <c r="AH11" s="148">
        <v>2615</v>
      </c>
      <c r="AI11" s="149">
        <v>0.70833333333333337</v>
      </c>
      <c r="AJ11" s="148">
        <v>0</v>
      </c>
      <c r="AK11" s="165">
        <v>0</v>
      </c>
      <c r="AL11" s="56">
        <f t="shared" si="38"/>
        <v>45935</v>
      </c>
      <c r="AM11" s="77">
        <f t="shared" ref="AM11:AM24" si="68">+AP11/AO11</f>
        <v>0.40952380952380951</v>
      </c>
      <c r="AN11" s="76">
        <f t="shared" ref="AN11:AN24" si="69">+AQ11/AO11</f>
        <v>0.59047619047619049</v>
      </c>
      <c r="AO11" s="150">
        <v>5250</v>
      </c>
      <c r="AP11" s="117">
        <f t="shared" si="41"/>
        <v>2150</v>
      </c>
      <c r="AQ11" s="151">
        <v>3100</v>
      </c>
      <c r="AR11" s="152">
        <v>2205</v>
      </c>
      <c r="AS11" s="153">
        <v>0.85972222222222228</v>
      </c>
      <c r="AT11" s="152">
        <v>174</v>
      </c>
      <c r="AU11" s="154">
        <v>0.80625000000000002</v>
      </c>
      <c r="AV11" s="56">
        <f t="shared" si="52"/>
        <v>45935</v>
      </c>
      <c r="AW11" s="110">
        <f t="shared" ref="AW11:AW24" si="70">BA11/AZ11</f>
        <v>0.44776119402985076</v>
      </c>
      <c r="AX11" s="110">
        <f t="shared" ref="AX11:AX24" si="71">BB11/AZ11</f>
        <v>0.55223880597014929</v>
      </c>
      <c r="AY11" s="111">
        <f t="shared" si="44"/>
        <v>4690</v>
      </c>
      <c r="AZ11" s="112">
        <v>4690</v>
      </c>
      <c r="BA11" s="170">
        <f t="shared" si="45"/>
        <v>2100</v>
      </c>
      <c r="BB11" s="113">
        <v>2590</v>
      </c>
      <c r="BC11" s="112">
        <v>2320</v>
      </c>
      <c r="BD11" s="114">
        <v>0.70833333333333337</v>
      </c>
      <c r="BE11" s="115">
        <v>0</v>
      </c>
      <c r="BF11" s="114">
        <v>0</v>
      </c>
      <c r="BG11" s="115">
        <v>149</v>
      </c>
      <c r="BH11" s="114">
        <v>0.85416666666666663</v>
      </c>
      <c r="BI11" s="56">
        <f t="shared" si="53"/>
        <v>45935</v>
      </c>
      <c r="BJ11" s="78">
        <f t="shared" ref="BJ11:BJ24" si="72">+BM11/BL11</f>
        <v>0.61604831751509925</v>
      </c>
      <c r="BK11" s="76">
        <f t="shared" ref="BK11:BK24" si="73">+BN11/BL11</f>
        <v>0.3839516824849008</v>
      </c>
      <c r="BL11" s="79">
        <f t="shared" ref="BL11:BL24" si="74">BM11+BN11</f>
        <v>23180</v>
      </c>
      <c r="BM11" s="155">
        <v>14280</v>
      </c>
      <c r="BN11" s="155">
        <v>8900</v>
      </c>
      <c r="BO11" s="156">
        <v>3400</v>
      </c>
      <c r="BP11" s="157">
        <v>0.78125</v>
      </c>
      <c r="BQ11" s="158">
        <v>2150</v>
      </c>
      <c r="BR11" s="157">
        <v>0.37569444444444444</v>
      </c>
    </row>
    <row r="12" spans="1:72" ht="15.75" thickBot="1" x14ac:dyDescent="0.3">
      <c r="B12" s="56">
        <f t="shared" si="49"/>
        <v>45936</v>
      </c>
      <c r="C12" s="164"/>
      <c r="D12" s="87">
        <f t="shared" si="54"/>
        <v>56102</v>
      </c>
      <c r="E12" s="159">
        <f t="shared" si="55"/>
        <v>0.88800755766282846</v>
      </c>
      <c r="F12" s="87">
        <f t="shared" si="56"/>
        <v>49819</v>
      </c>
      <c r="G12" s="159">
        <f>H12/D12</f>
        <v>0.11199244233717158</v>
      </c>
      <c r="H12" s="146">
        <f t="shared" si="26"/>
        <v>6283</v>
      </c>
      <c r="I12" s="160">
        <f t="shared" si="58"/>
        <v>0.12148892077156066</v>
      </c>
      <c r="J12" s="159">
        <f t="shared" si="59"/>
        <v>0.15805834528933524</v>
      </c>
      <c r="K12" s="159">
        <f t="shared" si="60"/>
        <v>0.16035618078419636</v>
      </c>
      <c r="L12" s="161">
        <f t="shared" si="61"/>
        <v>0.58380360274190979</v>
      </c>
      <c r="M12" s="146">
        <f t="shared" si="62"/>
        <v>6595.5120197672568</v>
      </c>
      <c r="N12" s="146">
        <f t="shared" si="63"/>
        <v>8580.82950741272</v>
      </c>
      <c r="O12" s="146">
        <f t="shared" si="64"/>
        <v>8705.5766985932369</v>
      </c>
      <c r="P12" s="146">
        <f t="shared" si="65"/>
        <v>31694.113789255542</v>
      </c>
      <c r="Q12" s="56">
        <f t="shared" si="50"/>
        <v>45205</v>
      </c>
      <c r="R12" s="139">
        <v>56102</v>
      </c>
      <c r="S12" s="140">
        <v>0</v>
      </c>
      <c r="T12" s="140">
        <v>54289</v>
      </c>
      <c r="U12" s="140">
        <v>0</v>
      </c>
      <c r="V12" s="141">
        <v>12785</v>
      </c>
      <c r="W12" s="142">
        <v>0.41666666666666669</v>
      </c>
      <c r="X12" s="141">
        <v>4358</v>
      </c>
      <c r="Y12" s="142">
        <v>0.42708333333333331</v>
      </c>
      <c r="Z12" s="141">
        <v>0</v>
      </c>
      <c r="AA12" s="142">
        <v>0</v>
      </c>
      <c r="AB12" s="56">
        <f t="shared" si="51"/>
        <v>45936</v>
      </c>
      <c r="AC12" s="76">
        <f t="shared" si="66"/>
        <v>1</v>
      </c>
      <c r="AD12" s="162">
        <f t="shared" si="67"/>
        <v>0</v>
      </c>
      <c r="AE12" s="163">
        <v>7621</v>
      </c>
      <c r="AF12" s="118">
        <f t="shared" si="37"/>
        <v>7621</v>
      </c>
      <c r="AG12" s="147">
        <v>0</v>
      </c>
      <c r="AH12" s="148">
        <v>3636</v>
      </c>
      <c r="AI12" s="149">
        <v>0.35</v>
      </c>
      <c r="AJ12" s="148">
        <v>0</v>
      </c>
      <c r="AK12" s="165">
        <v>0</v>
      </c>
      <c r="AL12" s="56">
        <f t="shared" si="38"/>
        <v>45936</v>
      </c>
      <c r="AM12" s="77">
        <f t="shared" si="68"/>
        <v>0.62561775088250127</v>
      </c>
      <c r="AN12" s="76">
        <f t="shared" si="69"/>
        <v>0.37438224911749873</v>
      </c>
      <c r="AO12" s="150">
        <v>9915</v>
      </c>
      <c r="AP12" s="117">
        <f t="shared" si="41"/>
        <v>6203</v>
      </c>
      <c r="AQ12" s="151">
        <v>3712</v>
      </c>
      <c r="AR12" s="152">
        <v>3772</v>
      </c>
      <c r="AS12" s="153">
        <v>0.75624999999999998</v>
      </c>
      <c r="AT12" s="152">
        <v>175</v>
      </c>
      <c r="AU12" s="154">
        <v>0.83333333333333337</v>
      </c>
      <c r="AV12" s="56">
        <f t="shared" si="52"/>
        <v>45936</v>
      </c>
      <c r="AW12" s="110">
        <f t="shared" si="70"/>
        <v>0.70006999533364445</v>
      </c>
      <c r="AX12" s="110">
        <f t="shared" si="71"/>
        <v>0.29993000466635555</v>
      </c>
      <c r="AY12" s="111">
        <f t="shared" si="44"/>
        <v>8572</v>
      </c>
      <c r="AZ12" s="112">
        <v>8572</v>
      </c>
      <c r="BA12" s="170">
        <f t="shared" si="45"/>
        <v>6001</v>
      </c>
      <c r="BB12" s="113">
        <f>1494+1077</f>
        <v>2571</v>
      </c>
      <c r="BC12" s="112">
        <v>3731</v>
      </c>
      <c r="BD12" s="114">
        <v>0.38541666666666669</v>
      </c>
      <c r="BE12" s="115">
        <v>0</v>
      </c>
      <c r="BF12" s="114">
        <v>0</v>
      </c>
      <c r="BG12" s="115">
        <v>151</v>
      </c>
      <c r="BH12" s="114">
        <v>0.29166666666666669</v>
      </c>
      <c r="BI12" s="56">
        <f t="shared" si="53"/>
        <v>45936</v>
      </c>
      <c r="BJ12" s="78">
        <f t="shared" si="72"/>
        <v>0.61405712413303482</v>
      </c>
      <c r="BK12" s="76">
        <f t="shared" si="73"/>
        <v>0.38594287586696518</v>
      </c>
      <c r="BL12" s="79">
        <f t="shared" si="74"/>
        <v>36622</v>
      </c>
      <c r="BM12" s="155">
        <v>22488</v>
      </c>
      <c r="BN12" s="155">
        <v>14134</v>
      </c>
      <c r="BO12" s="156">
        <v>4092</v>
      </c>
      <c r="BP12" s="157">
        <v>0.62222222222222223</v>
      </c>
      <c r="BQ12" s="158">
        <v>2717</v>
      </c>
      <c r="BR12" s="157">
        <v>0.62222222222222223</v>
      </c>
      <c r="BT12" s="14" t="s">
        <v>37</v>
      </c>
    </row>
    <row r="13" spans="1:72" ht="15.75" thickBot="1" x14ac:dyDescent="0.3">
      <c r="B13" s="56">
        <f t="shared" si="49"/>
        <v>45937</v>
      </c>
      <c r="C13" s="164"/>
      <c r="D13" s="87">
        <f t="shared" si="54"/>
        <v>53356</v>
      </c>
      <c r="E13" s="159">
        <f t="shared" si="55"/>
        <v>0.88166279331284203</v>
      </c>
      <c r="F13" s="87">
        <f t="shared" si="56"/>
        <v>47042</v>
      </c>
      <c r="G13" s="159">
        <f t="shared" si="57"/>
        <v>0.11833720668715796</v>
      </c>
      <c r="H13" s="146">
        <f t="shared" si="26"/>
        <v>6314</v>
      </c>
      <c r="I13" s="160">
        <f t="shared" si="58"/>
        <v>0.1351621316660809</v>
      </c>
      <c r="J13" s="159">
        <f t="shared" si="59"/>
        <v>0.17733671223247813</v>
      </c>
      <c r="K13" s="159">
        <f t="shared" si="60"/>
        <v>5.6772820012419054E-2</v>
      </c>
      <c r="L13" s="161">
        <f t="shared" si="61"/>
        <v>0.64014724107952126</v>
      </c>
      <c r="M13" s="146">
        <f t="shared" si="62"/>
        <v>6968.9595087031312</v>
      </c>
      <c r="N13" s="146">
        <f t="shared" si="63"/>
        <v>9143.4808827065717</v>
      </c>
      <c r="O13" s="146">
        <f t="shared" si="64"/>
        <v>2927.2065998403264</v>
      </c>
      <c r="P13" s="146">
        <f t="shared" si="65"/>
        <v>33005.991750060115</v>
      </c>
      <c r="Q13" s="56">
        <f t="shared" si="50"/>
        <v>45206</v>
      </c>
      <c r="R13" s="139">
        <v>53356</v>
      </c>
      <c r="S13" s="140">
        <v>0</v>
      </c>
      <c r="T13" s="140">
        <v>51560</v>
      </c>
      <c r="U13" s="140">
        <v>0</v>
      </c>
      <c r="V13" s="141">
        <v>13728</v>
      </c>
      <c r="W13" s="142">
        <v>0.80208333333333337</v>
      </c>
      <c r="X13" s="141">
        <v>4481</v>
      </c>
      <c r="Y13" s="142">
        <v>0.8125</v>
      </c>
      <c r="Z13" s="141">
        <v>0</v>
      </c>
      <c r="AA13" s="142">
        <v>0</v>
      </c>
      <c r="AB13" s="56">
        <f t="shared" si="51"/>
        <v>45937</v>
      </c>
      <c r="AC13" s="76">
        <f t="shared" si="66"/>
        <v>1</v>
      </c>
      <c r="AD13" s="162">
        <f t="shared" si="67"/>
        <v>0</v>
      </c>
      <c r="AE13" s="163">
        <v>7307</v>
      </c>
      <c r="AF13" s="118">
        <f t="shared" si="37"/>
        <v>7307</v>
      </c>
      <c r="AG13" s="147">
        <v>0</v>
      </c>
      <c r="AH13" s="148">
        <v>4707</v>
      </c>
      <c r="AI13" s="149">
        <v>0.34652777777777777</v>
      </c>
      <c r="AJ13" s="148">
        <v>0</v>
      </c>
      <c r="AK13" s="165">
        <v>0</v>
      </c>
      <c r="AL13" s="56">
        <f t="shared" si="38"/>
        <v>45937</v>
      </c>
      <c r="AM13" s="77">
        <f t="shared" si="68"/>
        <v>0.60842807969124857</v>
      </c>
      <c r="AN13" s="76">
        <f t="shared" si="69"/>
        <v>0.39157192030875143</v>
      </c>
      <c r="AO13" s="150">
        <v>9587</v>
      </c>
      <c r="AP13" s="117">
        <f t="shared" si="41"/>
        <v>5833</v>
      </c>
      <c r="AQ13" s="151">
        <v>3754</v>
      </c>
      <c r="AR13" s="152">
        <v>3841</v>
      </c>
      <c r="AS13" s="153">
        <v>0.41666666666666669</v>
      </c>
      <c r="AT13" s="152">
        <v>183</v>
      </c>
      <c r="AU13" s="154">
        <v>0.64583333333333337</v>
      </c>
      <c r="AV13" s="56">
        <f t="shared" si="52"/>
        <v>45937</v>
      </c>
      <c r="AW13" s="110">
        <f t="shared" si="70"/>
        <v>0</v>
      </c>
      <c r="AX13" s="110">
        <f t="shared" si="71"/>
        <v>0.31438044946579885</v>
      </c>
      <c r="AY13" s="111">
        <f t="shared" si="44"/>
        <v>2560</v>
      </c>
      <c r="AZ13" s="112">
        <v>8143</v>
      </c>
      <c r="BA13" s="170">
        <v>0</v>
      </c>
      <c r="BB13" s="113">
        <f>1497+1063</f>
        <v>2560</v>
      </c>
      <c r="BC13" s="112">
        <v>4392</v>
      </c>
      <c r="BD13" s="114">
        <v>0.30208333333333331</v>
      </c>
      <c r="BE13" s="115">
        <v>0</v>
      </c>
      <c r="BF13" s="114">
        <v>0</v>
      </c>
      <c r="BG13" s="115">
        <v>158</v>
      </c>
      <c r="BH13" s="114">
        <v>4.1666666666666664E-2</v>
      </c>
      <c r="BI13" s="56">
        <f t="shared" si="53"/>
        <v>45937</v>
      </c>
      <c r="BJ13" s="78">
        <f t="shared" si="72"/>
        <v>0.61400872655821082</v>
      </c>
      <c r="BK13" s="76">
        <f t="shared" si="73"/>
        <v>0.38599127344178924</v>
      </c>
      <c r="BL13" s="79">
        <f t="shared" si="74"/>
        <v>34607</v>
      </c>
      <c r="BM13" s="155">
        <v>21249</v>
      </c>
      <c r="BN13" s="155">
        <v>13358</v>
      </c>
      <c r="BO13" s="156">
        <v>4438</v>
      </c>
      <c r="BP13" s="157">
        <v>0.29791666666666666</v>
      </c>
      <c r="BQ13" s="158">
        <v>2931</v>
      </c>
      <c r="BR13" s="157">
        <v>0.29791666666666666</v>
      </c>
    </row>
    <row r="14" spans="1:72" ht="15.75" thickBot="1" x14ac:dyDescent="0.3">
      <c r="B14" s="56">
        <f t="shared" si="49"/>
        <v>45938</v>
      </c>
      <c r="C14" s="164"/>
      <c r="D14" s="87">
        <f t="shared" si="54"/>
        <v>52690</v>
      </c>
      <c r="E14" s="159">
        <f t="shared" si="55"/>
        <v>0.88012905674701081</v>
      </c>
      <c r="F14" s="87">
        <f t="shared" si="56"/>
        <v>46374</v>
      </c>
      <c r="G14" s="159">
        <f t="shared" si="57"/>
        <v>0.11987094325298918</v>
      </c>
      <c r="H14" s="146">
        <f t="shared" si="26"/>
        <v>6316</v>
      </c>
      <c r="I14" s="160">
        <f t="shared" si="58"/>
        <v>0.1223215792137675</v>
      </c>
      <c r="J14" s="159">
        <f t="shared" si="59"/>
        <v>0.15657162139362241</v>
      </c>
      <c r="K14" s="159">
        <f t="shared" si="60"/>
        <v>0.16304994644344825</v>
      </c>
      <c r="L14" s="161">
        <f t="shared" si="61"/>
        <v>0.58241943647713856</v>
      </c>
      <c r="M14" s="146">
        <f t="shared" si="62"/>
        <v>6268.9809347055843</v>
      </c>
      <c r="N14" s="146">
        <f t="shared" si="63"/>
        <v>8024.2955964231487</v>
      </c>
      <c r="O14" s="146">
        <f t="shared" si="64"/>
        <v>8356.3097552267227</v>
      </c>
      <c r="P14" s="146">
        <f t="shared" si="65"/>
        <v>29848.99611945335</v>
      </c>
      <c r="Q14" s="56">
        <f t="shared" si="50"/>
        <v>45207</v>
      </c>
      <c r="R14" s="139">
        <v>52690</v>
      </c>
      <c r="S14" s="140">
        <v>0</v>
      </c>
      <c r="T14" s="140">
        <v>51250</v>
      </c>
      <c r="U14" s="140">
        <v>0</v>
      </c>
      <c r="V14" s="141">
        <v>13690</v>
      </c>
      <c r="W14" s="142">
        <v>0.77083333333333337</v>
      </c>
      <c r="X14" s="141">
        <v>4460</v>
      </c>
      <c r="Y14" s="142">
        <v>0.77083333333333337</v>
      </c>
      <c r="Z14" s="141">
        <v>0</v>
      </c>
      <c r="AA14" s="142">
        <v>0</v>
      </c>
      <c r="AB14" s="56">
        <f t="shared" si="51"/>
        <v>45938</v>
      </c>
      <c r="AC14" s="76">
        <f t="shared" si="66"/>
        <v>1</v>
      </c>
      <c r="AD14" s="162">
        <f t="shared" si="67"/>
        <v>0</v>
      </c>
      <c r="AE14" s="163">
        <v>7250</v>
      </c>
      <c r="AF14" s="118">
        <f t="shared" si="37"/>
        <v>7250</v>
      </c>
      <c r="AG14" s="147">
        <v>0</v>
      </c>
      <c r="AH14" s="148">
        <v>3850</v>
      </c>
      <c r="AI14" s="149">
        <v>0.6875</v>
      </c>
      <c r="AJ14" s="148">
        <v>0</v>
      </c>
      <c r="AK14" s="165">
        <v>0</v>
      </c>
      <c r="AL14" s="56">
        <f t="shared" si="38"/>
        <v>45938</v>
      </c>
      <c r="AM14" s="77">
        <f t="shared" si="68"/>
        <v>0.59418103448275861</v>
      </c>
      <c r="AN14" s="76">
        <f t="shared" si="69"/>
        <v>0.40581896551724139</v>
      </c>
      <c r="AO14" s="150">
        <v>9280</v>
      </c>
      <c r="AP14" s="117">
        <f t="shared" si="41"/>
        <v>5514</v>
      </c>
      <c r="AQ14" s="151">
        <v>3766</v>
      </c>
      <c r="AR14" s="152">
        <v>3665</v>
      </c>
      <c r="AS14" s="153">
        <v>0.72083333333333333</v>
      </c>
      <c r="AT14" s="152">
        <v>185</v>
      </c>
      <c r="AU14" s="154">
        <v>0.6875</v>
      </c>
      <c r="AV14" s="56">
        <f t="shared" si="52"/>
        <v>45938</v>
      </c>
      <c r="AW14" s="110">
        <f t="shared" si="70"/>
        <v>0.68978102189781021</v>
      </c>
      <c r="AX14" s="110">
        <f t="shared" si="71"/>
        <v>0.31021897810218979</v>
      </c>
      <c r="AY14" s="111">
        <f t="shared" si="44"/>
        <v>8220</v>
      </c>
      <c r="AZ14" s="112">
        <v>8220</v>
      </c>
      <c r="BA14" s="120">
        <f t="shared" ref="BA14:BA24" si="75">AZ14-BB14</f>
        <v>5670</v>
      </c>
      <c r="BB14" s="113">
        <v>2550</v>
      </c>
      <c r="BC14" s="112">
        <v>4290</v>
      </c>
      <c r="BD14" s="114">
        <v>0.35416666666666669</v>
      </c>
      <c r="BE14" s="115">
        <v>0</v>
      </c>
      <c r="BF14" s="114">
        <v>0</v>
      </c>
      <c r="BG14" s="115">
        <v>157</v>
      </c>
      <c r="BH14" s="114">
        <v>0.90625</v>
      </c>
      <c r="BI14" s="56">
        <f t="shared" si="53"/>
        <v>45938</v>
      </c>
      <c r="BJ14" s="78">
        <f t="shared" si="72"/>
        <v>0.61442641946697563</v>
      </c>
      <c r="BK14" s="76">
        <f t="shared" si="73"/>
        <v>0.38557358053302432</v>
      </c>
      <c r="BL14" s="79">
        <f t="shared" si="74"/>
        <v>34520</v>
      </c>
      <c r="BM14" s="155">
        <v>21210</v>
      </c>
      <c r="BN14" s="155">
        <v>13310</v>
      </c>
      <c r="BO14" s="156">
        <v>4253</v>
      </c>
      <c r="BP14" s="157">
        <v>0.66805555555555551</v>
      </c>
      <c r="BQ14" s="158">
        <v>2792</v>
      </c>
      <c r="BR14" s="157">
        <v>0.66805555555555551</v>
      </c>
    </row>
    <row r="15" spans="1:72" ht="15.75" thickBot="1" x14ac:dyDescent="0.3">
      <c r="B15" s="56">
        <f t="shared" si="49"/>
        <v>45939</v>
      </c>
      <c r="C15" s="164"/>
      <c r="D15" s="87">
        <f t="shared" si="54"/>
        <v>52390</v>
      </c>
      <c r="E15" s="159">
        <f t="shared" si="55"/>
        <v>0.87881275052490937</v>
      </c>
      <c r="F15" s="87">
        <f t="shared" si="56"/>
        <v>46041</v>
      </c>
      <c r="G15" s="159">
        <f t="shared" si="57"/>
        <v>0.12118724947509067</v>
      </c>
      <c r="H15" s="146">
        <f t="shared" si="26"/>
        <v>6349</v>
      </c>
      <c r="I15" s="160">
        <f t="shared" si="58"/>
        <v>0.12211806435267292</v>
      </c>
      <c r="J15" s="159">
        <f t="shared" si="59"/>
        <v>0.15657461363060551</v>
      </c>
      <c r="K15" s="159">
        <f t="shared" si="60"/>
        <v>0.16291698991466252</v>
      </c>
      <c r="L15" s="161">
        <f t="shared" si="61"/>
        <v>0.58297441094502156</v>
      </c>
      <c r="M15" s="146">
        <f t="shared" si="62"/>
        <v>6254.8872561439066</v>
      </c>
      <c r="N15" s="146">
        <f t="shared" si="63"/>
        <v>8019.751710159614</v>
      </c>
      <c r="O15" s="146">
        <f t="shared" si="64"/>
        <v>8344.6082234290152</v>
      </c>
      <c r="P15" s="146">
        <f t="shared" si="65"/>
        <v>29859.949328604005</v>
      </c>
      <c r="Q15" s="56">
        <f t="shared" si="50"/>
        <v>45208</v>
      </c>
      <c r="R15" s="139">
        <v>52390</v>
      </c>
      <c r="S15" s="140">
        <v>0</v>
      </c>
      <c r="T15" s="140">
        <v>51220</v>
      </c>
      <c r="U15" s="140">
        <v>0</v>
      </c>
      <c r="V15" s="141">
        <v>13580</v>
      </c>
      <c r="W15" s="142">
        <v>0.79166666666666663</v>
      </c>
      <c r="X15" s="141">
        <v>4350</v>
      </c>
      <c r="Y15" s="142">
        <v>0.73958333333333337</v>
      </c>
      <c r="Z15" s="141">
        <v>0</v>
      </c>
      <c r="AA15" s="142">
        <v>0</v>
      </c>
      <c r="AB15" s="56">
        <f t="shared" si="51"/>
        <v>45939</v>
      </c>
      <c r="AC15" s="76">
        <f t="shared" si="66"/>
        <v>1</v>
      </c>
      <c r="AD15" s="162">
        <f t="shared" si="67"/>
        <v>0</v>
      </c>
      <c r="AE15" s="163">
        <v>7230</v>
      </c>
      <c r="AF15" s="118">
        <f t="shared" si="37"/>
        <v>7230</v>
      </c>
      <c r="AG15" s="147">
        <v>0</v>
      </c>
      <c r="AH15" s="148">
        <v>3598</v>
      </c>
      <c r="AI15" s="149">
        <v>0.67569444444444449</v>
      </c>
      <c r="AJ15" s="148">
        <v>0</v>
      </c>
      <c r="AK15" s="165">
        <v>0</v>
      </c>
      <c r="AL15" s="168">
        <f t="shared" si="38"/>
        <v>45939</v>
      </c>
      <c r="AM15" s="77">
        <f t="shared" si="68"/>
        <v>0.58640776699029129</v>
      </c>
      <c r="AN15" s="76">
        <f t="shared" si="69"/>
        <v>0.41359223300970877</v>
      </c>
      <c r="AO15" s="150">
        <v>9270</v>
      </c>
      <c r="AP15" s="117">
        <f t="shared" si="41"/>
        <v>5436</v>
      </c>
      <c r="AQ15" s="151">
        <v>3834</v>
      </c>
      <c r="AR15" s="152">
        <v>3680</v>
      </c>
      <c r="AS15" s="153">
        <v>0.31944444444444442</v>
      </c>
      <c r="AT15" s="152">
        <v>187</v>
      </c>
      <c r="AU15" s="154">
        <v>0.79513888888888884</v>
      </c>
      <c r="AV15" s="56">
        <f t="shared" si="52"/>
        <v>45939</v>
      </c>
      <c r="AW15" s="169">
        <f t="shared" si="70"/>
        <v>0.6929181929181929</v>
      </c>
      <c r="AX15" s="169">
        <f t="shared" si="71"/>
        <v>0.3070818070818071</v>
      </c>
      <c r="AY15" s="111">
        <f t="shared" si="44"/>
        <v>8190</v>
      </c>
      <c r="AZ15" s="112">
        <v>8190</v>
      </c>
      <c r="BA15" s="170">
        <f t="shared" si="75"/>
        <v>5675</v>
      </c>
      <c r="BB15" s="113">
        <v>2515</v>
      </c>
      <c r="BC15" s="112">
        <v>4280</v>
      </c>
      <c r="BD15" s="114">
        <v>0.32291666666666669</v>
      </c>
      <c r="BE15" s="115">
        <v>0</v>
      </c>
      <c r="BF15" s="114">
        <v>0</v>
      </c>
      <c r="BG15" s="115">
        <v>157</v>
      </c>
      <c r="BH15" s="114">
        <v>0.85416666666666663</v>
      </c>
      <c r="BI15" s="56">
        <f t="shared" si="53"/>
        <v>45939</v>
      </c>
      <c r="BJ15" s="171">
        <f t="shared" si="72"/>
        <v>0.61495002172968272</v>
      </c>
      <c r="BK15" s="76">
        <f t="shared" si="73"/>
        <v>0.38504997827031723</v>
      </c>
      <c r="BL15" s="79">
        <f t="shared" si="74"/>
        <v>34515</v>
      </c>
      <c r="BM15" s="155">
        <v>21225</v>
      </c>
      <c r="BN15" s="155">
        <v>13290</v>
      </c>
      <c r="BO15" s="156">
        <v>4520</v>
      </c>
      <c r="BP15" s="157">
        <v>0.34444444444444444</v>
      </c>
      <c r="BQ15" s="158">
        <v>2930</v>
      </c>
      <c r="BR15" s="157">
        <v>0.34444444444444444</v>
      </c>
    </row>
    <row r="16" spans="1:72" ht="15.75" thickBot="1" x14ac:dyDescent="0.3">
      <c r="B16" s="56">
        <f t="shared" si="49"/>
        <v>45940</v>
      </c>
      <c r="C16" s="164"/>
      <c r="D16" s="87">
        <f t="shared" si="54"/>
        <v>51300</v>
      </c>
      <c r="E16" s="159">
        <f t="shared" si="55"/>
        <v>0.87563352826510721</v>
      </c>
      <c r="F16" s="87">
        <f t="shared" si="56"/>
        <v>44920</v>
      </c>
      <c r="G16" s="159">
        <f t="shared" si="57"/>
        <v>0.12436647173489279</v>
      </c>
      <c r="H16" s="146">
        <f t="shared" si="26"/>
        <v>6380</v>
      </c>
      <c r="I16" s="160">
        <f t="shared" si="58"/>
        <v>0.1228717462681515</v>
      </c>
      <c r="J16" s="159">
        <f t="shared" si="59"/>
        <v>0.15716074873912603</v>
      </c>
      <c r="K16" s="159">
        <f t="shared" si="60"/>
        <v>0.1630672552996858</v>
      </c>
      <c r="L16" s="161">
        <f t="shared" si="61"/>
        <v>0.58118674474494803</v>
      </c>
      <c r="M16" s="146">
        <f t="shared" si="62"/>
        <v>6214.852926243103</v>
      </c>
      <c r="N16" s="146">
        <f t="shared" si="63"/>
        <v>7949.1906712249947</v>
      </c>
      <c r="O16" s="146">
        <f t="shared" si="64"/>
        <v>8247.9417730581081</v>
      </c>
      <c r="P16" s="146">
        <f t="shared" si="65"/>
        <v>29396.42554919947</v>
      </c>
      <c r="Q16" s="56">
        <f t="shared" si="50"/>
        <v>45209</v>
      </c>
      <c r="R16" s="139">
        <v>51300</v>
      </c>
      <c r="S16" s="140">
        <v>0</v>
      </c>
      <c r="T16" s="140">
        <v>50580</v>
      </c>
      <c r="U16" s="140">
        <v>0</v>
      </c>
      <c r="V16" s="141">
        <v>13695</v>
      </c>
      <c r="W16" s="142">
        <v>0.77083333333333337</v>
      </c>
      <c r="X16" s="141">
        <v>4390</v>
      </c>
      <c r="Y16" s="142">
        <v>0.79166666666666663</v>
      </c>
      <c r="Z16" s="141">
        <v>0</v>
      </c>
      <c r="AA16" s="142">
        <v>0</v>
      </c>
      <c r="AB16" s="56">
        <f t="shared" si="51"/>
        <v>45940</v>
      </c>
      <c r="AC16" s="76">
        <f t="shared" si="66"/>
        <v>1</v>
      </c>
      <c r="AD16" s="162">
        <f t="shared" si="67"/>
        <v>0</v>
      </c>
      <c r="AE16" s="163">
        <v>7260</v>
      </c>
      <c r="AF16" s="118">
        <f t="shared" si="37"/>
        <v>7260</v>
      </c>
      <c r="AG16" s="147">
        <v>0</v>
      </c>
      <c r="AH16" s="148">
        <v>3505</v>
      </c>
      <c r="AI16" s="149">
        <v>0.72152777777777777</v>
      </c>
      <c r="AJ16" s="148">
        <v>0</v>
      </c>
      <c r="AK16" s="165">
        <v>0</v>
      </c>
      <c r="AL16" s="56">
        <f t="shared" si="38"/>
        <v>45940</v>
      </c>
      <c r="AM16" s="77">
        <f t="shared" si="68"/>
        <v>0.58539737238854184</v>
      </c>
      <c r="AN16" s="76">
        <f t="shared" si="69"/>
        <v>0.41460262761145811</v>
      </c>
      <c r="AO16" s="150">
        <v>9286</v>
      </c>
      <c r="AP16" s="117">
        <f t="shared" si="41"/>
        <v>5436</v>
      </c>
      <c r="AQ16" s="151">
        <v>3850</v>
      </c>
      <c r="AR16" s="152">
        <v>4364</v>
      </c>
      <c r="AS16" s="153">
        <v>0.32222222222222224</v>
      </c>
      <c r="AT16" s="152">
        <v>186</v>
      </c>
      <c r="AU16" s="154">
        <v>0.75</v>
      </c>
      <c r="AV16" s="56">
        <f t="shared" si="52"/>
        <v>45940</v>
      </c>
      <c r="AW16" s="110">
        <f t="shared" si="70"/>
        <v>0.69146341463414629</v>
      </c>
      <c r="AX16" s="110">
        <f t="shared" si="71"/>
        <v>0.30853658536585366</v>
      </c>
      <c r="AY16" s="111">
        <f t="shared" si="44"/>
        <v>8200</v>
      </c>
      <c r="AZ16" s="112">
        <v>8200</v>
      </c>
      <c r="BA16" s="120">
        <f t="shared" si="75"/>
        <v>5670</v>
      </c>
      <c r="BB16" s="113">
        <v>2530</v>
      </c>
      <c r="BC16" s="112">
        <v>4275</v>
      </c>
      <c r="BD16" s="114">
        <v>0.33333333333333331</v>
      </c>
      <c r="BE16" s="115">
        <v>0</v>
      </c>
      <c r="BF16" s="114">
        <v>0</v>
      </c>
      <c r="BG16" s="115">
        <v>155</v>
      </c>
      <c r="BH16" s="114">
        <v>0.875</v>
      </c>
      <c r="BI16" s="56">
        <f t="shared" si="53"/>
        <v>45940</v>
      </c>
      <c r="BJ16" s="78">
        <f t="shared" si="72"/>
        <v>0.6170646476412347</v>
      </c>
      <c r="BK16" s="76">
        <f t="shared" si="73"/>
        <v>0.3829353523587653</v>
      </c>
      <c r="BL16" s="79">
        <f t="shared" si="74"/>
        <v>34340</v>
      </c>
      <c r="BM16" s="155">
        <v>21190</v>
      </c>
      <c r="BN16" s="155">
        <v>13150</v>
      </c>
      <c r="BO16" s="156">
        <v>4030</v>
      </c>
      <c r="BP16" s="157">
        <v>0.55486111111111114</v>
      </c>
      <c r="BQ16" s="158">
        <v>2710</v>
      </c>
      <c r="BR16" s="157">
        <v>0.57638888888888884</v>
      </c>
    </row>
    <row r="17" spans="1:70" ht="15.75" thickBot="1" x14ac:dyDescent="0.3">
      <c r="B17" s="56">
        <f t="shared" si="49"/>
        <v>45941</v>
      </c>
      <c r="C17" s="164"/>
      <c r="D17" s="87">
        <f t="shared" si="54"/>
        <v>33200</v>
      </c>
      <c r="E17" s="159">
        <f t="shared" si="55"/>
        <v>0.81415662650602405</v>
      </c>
      <c r="F17" s="87">
        <f t="shared" si="56"/>
        <v>27030</v>
      </c>
      <c r="G17" s="159">
        <f t="shared" si="57"/>
        <v>0.18584337349397589</v>
      </c>
      <c r="H17" s="146">
        <f t="shared" si="26"/>
        <v>6170</v>
      </c>
      <c r="I17" s="160">
        <f t="shared" si="58"/>
        <v>9.0803133385737131E-2</v>
      </c>
      <c r="J17" s="159">
        <f t="shared" si="59"/>
        <v>0.15390453473558668</v>
      </c>
      <c r="K17" s="159">
        <f t="shared" si="60"/>
        <v>0.16156814110513987</v>
      </c>
      <c r="L17" s="161">
        <f t="shared" si="61"/>
        <v>0.62816794513864416</v>
      </c>
      <c r="M17" s="146">
        <f t="shared" si="62"/>
        <v>2833.0577616349983</v>
      </c>
      <c r="N17" s="146">
        <f t="shared" si="63"/>
        <v>4801.8214837503047</v>
      </c>
      <c r="O17" s="146">
        <f t="shared" si="64"/>
        <v>5040.9260024803634</v>
      </c>
      <c r="P17" s="146">
        <f t="shared" si="65"/>
        <v>19598.839888325696</v>
      </c>
      <c r="Q17" s="56">
        <f t="shared" si="50"/>
        <v>45210</v>
      </c>
      <c r="R17" s="139">
        <v>33200</v>
      </c>
      <c r="S17" s="140">
        <v>0</v>
      </c>
      <c r="T17" s="140">
        <v>31200</v>
      </c>
      <c r="U17" s="140">
        <v>0</v>
      </c>
      <c r="V17" s="141">
        <v>8020</v>
      </c>
      <c r="W17" s="142">
        <v>0.77083333333333337</v>
      </c>
      <c r="X17" s="141">
        <v>2720</v>
      </c>
      <c r="Y17" s="142">
        <v>0.78125</v>
      </c>
      <c r="Z17" s="141">
        <v>0</v>
      </c>
      <c r="AA17" s="142">
        <v>0</v>
      </c>
      <c r="AB17" s="56">
        <f t="shared" si="51"/>
        <v>45941</v>
      </c>
      <c r="AC17" s="76">
        <f t="shared" si="66"/>
        <v>1</v>
      </c>
      <c r="AD17" s="162">
        <f t="shared" si="67"/>
        <v>0</v>
      </c>
      <c r="AE17" s="163">
        <v>3350</v>
      </c>
      <c r="AF17" s="118">
        <f t="shared" si="37"/>
        <v>3350</v>
      </c>
      <c r="AG17" s="147">
        <v>0</v>
      </c>
      <c r="AH17" s="148">
        <v>2610</v>
      </c>
      <c r="AI17" s="149">
        <v>0.89097222222222228</v>
      </c>
      <c r="AJ17" s="148">
        <v>0</v>
      </c>
      <c r="AK17" s="165">
        <v>0</v>
      </c>
      <c r="AL17" s="56">
        <f t="shared" si="38"/>
        <v>45941</v>
      </c>
      <c r="AM17" s="77">
        <f t="shared" si="68"/>
        <v>0.36949630151461782</v>
      </c>
      <c r="AN17" s="76">
        <f t="shared" si="69"/>
        <v>0.63050369848538212</v>
      </c>
      <c r="AO17" s="150">
        <v>5678</v>
      </c>
      <c r="AP17" s="117">
        <f t="shared" si="41"/>
        <v>2098</v>
      </c>
      <c r="AQ17" s="151">
        <v>3580</v>
      </c>
      <c r="AR17" s="152">
        <v>2050</v>
      </c>
      <c r="AS17" s="153">
        <v>0.64861111111111114</v>
      </c>
      <c r="AT17" s="152">
        <v>180</v>
      </c>
      <c r="AU17" s="154">
        <v>0.80069444444444449</v>
      </c>
      <c r="AV17" s="56">
        <f t="shared" si="52"/>
        <v>45941</v>
      </c>
      <c r="AW17" s="110">
        <f t="shared" si="70"/>
        <v>0.44776119402985076</v>
      </c>
      <c r="AX17" s="110">
        <f t="shared" si="71"/>
        <v>0.55223880597014929</v>
      </c>
      <c r="AY17" s="111">
        <f t="shared" si="44"/>
        <v>4690</v>
      </c>
      <c r="AZ17" s="112">
        <v>4690</v>
      </c>
      <c r="BA17" s="120">
        <f t="shared" si="75"/>
        <v>2100</v>
      </c>
      <c r="BB17" s="113">
        <v>2590</v>
      </c>
      <c r="BC17" s="112">
        <v>2360</v>
      </c>
      <c r="BD17" s="114">
        <v>0.75</v>
      </c>
      <c r="BE17" s="115">
        <v>0</v>
      </c>
      <c r="BF17" s="114">
        <v>0</v>
      </c>
      <c r="BG17" s="115">
        <v>148</v>
      </c>
      <c r="BH17" s="114">
        <v>0.86458333333333337</v>
      </c>
      <c r="BI17" s="56">
        <f t="shared" si="53"/>
        <v>45941</v>
      </c>
      <c r="BJ17" s="78">
        <f t="shared" si="72"/>
        <v>0.61272923408845736</v>
      </c>
      <c r="BK17" s="76">
        <f t="shared" si="73"/>
        <v>0.38727076591154264</v>
      </c>
      <c r="BL17" s="79">
        <f t="shared" si="74"/>
        <v>23175</v>
      </c>
      <c r="BM17" s="155">
        <v>14200</v>
      </c>
      <c r="BN17" s="155">
        <v>8975</v>
      </c>
      <c r="BO17" s="156">
        <v>3420</v>
      </c>
      <c r="BP17" s="157">
        <v>0.33402777777777776</v>
      </c>
      <c r="BQ17" s="158">
        <v>2315</v>
      </c>
      <c r="BR17" s="157">
        <v>0.70833333333333337</v>
      </c>
    </row>
    <row r="18" spans="1:70" ht="15.75" thickBot="1" x14ac:dyDescent="0.3">
      <c r="B18" s="56">
        <f t="shared" si="49"/>
        <v>45942</v>
      </c>
      <c r="C18" s="164"/>
      <c r="D18" s="87">
        <f t="shared" si="54"/>
        <v>29468</v>
      </c>
      <c r="E18" s="159">
        <f t="shared" si="55"/>
        <v>0.79065426903760005</v>
      </c>
      <c r="F18" s="87">
        <f t="shared" si="56"/>
        <v>23299</v>
      </c>
      <c r="G18" s="159">
        <f t="shared" si="57"/>
        <v>0.20934573096239989</v>
      </c>
      <c r="H18" s="146">
        <f t="shared" si="26"/>
        <v>6169</v>
      </c>
      <c r="I18" s="160">
        <f t="shared" si="58"/>
        <v>6.2604083143156727E-2</v>
      </c>
      <c r="J18" s="159">
        <f t="shared" si="59"/>
        <v>0.16073521248380929</v>
      </c>
      <c r="K18" s="159">
        <f t="shared" si="60"/>
        <v>0.16182823918924374</v>
      </c>
      <c r="L18" s="161">
        <f t="shared" si="61"/>
        <v>0.65305618947757971</v>
      </c>
      <c r="M18" s="146">
        <f t="shared" si="62"/>
        <v>1755.3558872509716</v>
      </c>
      <c r="N18" s="146">
        <f t="shared" si="63"/>
        <v>4506.854622833529</v>
      </c>
      <c r="O18" s="146">
        <f t="shared" si="64"/>
        <v>4537.5019986272055</v>
      </c>
      <c r="P18" s="146">
        <f t="shared" si="65"/>
        <v>18311.042496761856</v>
      </c>
      <c r="Q18" s="56">
        <f t="shared" si="50"/>
        <v>45211</v>
      </c>
      <c r="R18" s="139">
        <v>29468</v>
      </c>
      <c r="S18" s="140">
        <v>0</v>
      </c>
      <c r="T18" s="140">
        <v>28039</v>
      </c>
      <c r="U18" s="140">
        <v>0</v>
      </c>
      <c r="V18" s="141">
        <v>6389</v>
      </c>
      <c r="W18" s="142">
        <v>0.85416666666666663</v>
      </c>
      <c r="X18" s="141">
        <v>1975</v>
      </c>
      <c r="Y18" s="142">
        <v>0.44791666666666669</v>
      </c>
      <c r="Z18" s="141">
        <v>0</v>
      </c>
      <c r="AA18" s="142">
        <v>0</v>
      </c>
      <c r="AB18" s="56">
        <f t="shared" si="51"/>
        <v>45942</v>
      </c>
      <c r="AC18" s="76">
        <f t="shared" si="66"/>
        <v>1</v>
      </c>
      <c r="AD18" s="162">
        <f t="shared" si="67"/>
        <v>0</v>
      </c>
      <c r="AE18" s="163">
        <v>2030</v>
      </c>
      <c r="AF18" s="118">
        <f t="shared" si="37"/>
        <v>2030</v>
      </c>
      <c r="AG18" s="147">
        <v>0</v>
      </c>
      <c r="AH18" s="148">
        <v>1358</v>
      </c>
      <c r="AI18" s="149">
        <v>0.5708333333333333</v>
      </c>
      <c r="AJ18" s="148">
        <v>0</v>
      </c>
      <c r="AK18" s="165">
        <v>0</v>
      </c>
      <c r="AL18" s="56">
        <f t="shared" si="38"/>
        <v>45942</v>
      </c>
      <c r="AM18" s="77">
        <f t="shared" si="68"/>
        <v>0.32214121258633921</v>
      </c>
      <c r="AN18" s="76">
        <f t="shared" si="69"/>
        <v>0.67785878741366079</v>
      </c>
      <c r="AO18" s="150">
        <v>5212</v>
      </c>
      <c r="AP18" s="117">
        <f t="shared" si="41"/>
        <v>1679</v>
      </c>
      <c r="AQ18" s="151">
        <v>3533</v>
      </c>
      <c r="AR18" s="152">
        <v>1672</v>
      </c>
      <c r="AS18" s="153">
        <v>0.39305555555555555</v>
      </c>
      <c r="AT18" s="152">
        <v>175</v>
      </c>
      <c r="AU18" s="154">
        <v>0.19791666666666666</v>
      </c>
      <c r="AV18" s="56">
        <f t="shared" si="52"/>
        <v>45942</v>
      </c>
      <c r="AW18" s="110">
        <f t="shared" si="70"/>
        <v>0.34231536926147704</v>
      </c>
      <c r="AX18" s="110">
        <f t="shared" si="71"/>
        <v>0.6576846307385229</v>
      </c>
      <c r="AY18" s="111">
        <f t="shared" si="44"/>
        <v>4008</v>
      </c>
      <c r="AZ18" s="112">
        <v>4008</v>
      </c>
      <c r="BA18" s="120">
        <f t="shared" si="75"/>
        <v>1372</v>
      </c>
      <c r="BB18" s="113">
        <f>1032+1604</f>
        <v>2636</v>
      </c>
      <c r="BC18" s="112">
        <v>1681</v>
      </c>
      <c r="BD18" s="114">
        <v>0.40625</v>
      </c>
      <c r="BE18" s="115">
        <v>0</v>
      </c>
      <c r="BF18" s="114">
        <v>0</v>
      </c>
      <c r="BG18" s="115">
        <v>150</v>
      </c>
      <c r="BH18" s="114">
        <v>0.89583333333333337</v>
      </c>
      <c r="BI18" s="56">
        <f t="shared" si="53"/>
        <v>45942</v>
      </c>
      <c r="BJ18" s="78">
        <f t="shared" si="72"/>
        <v>0.6158859085757461</v>
      </c>
      <c r="BK18" s="76">
        <f t="shared" si="73"/>
        <v>0.38411409142425385</v>
      </c>
      <c r="BL18" s="79">
        <f t="shared" si="74"/>
        <v>21176</v>
      </c>
      <c r="BM18" s="155">
        <v>13042</v>
      </c>
      <c r="BN18" s="155">
        <v>8134</v>
      </c>
      <c r="BO18" s="156">
        <v>2341</v>
      </c>
      <c r="BP18" s="157">
        <v>0.40972222222222221</v>
      </c>
      <c r="BQ18" s="158">
        <v>1537</v>
      </c>
      <c r="BR18" s="157">
        <v>0.40972222222222221</v>
      </c>
    </row>
    <row r="19" spans="1:70" ht="15.75" thickBot="1" x14ac:dyDescent="0.3">
      <c r="B19" s="56">
        <f t="shared" si="49"/>
        <v>45943</v>
      </c>
      <c r="C19" s="164"/>
      <c r="D19" s="87">
        <f t="shared" si="54"/>
        <v>54006</v>
      </c>
      <c r="E19" s="159">
        <f t="shared" si="55"/>
        <v>0.88493871051364659</v>
      </c>
      <c r="F19" s="87">
        <f t="shared" si="56"/>
        <v>47792</v>
      </c>
      <c r="G19" s="159">
        <f t="shared" si="57"/>
        <v>0.11506128948635337</v>
      </c>
      <c r="H19" s="146">
        <f t="shared" si="26"/>
        <v>6214</v>
      </c>
      <c r="I19" s="160">
        <f t="shared" si="58"/>
        <v>0.11889288808904885</v>
      </c>
      <c r="J19" s="159">
        <f t="shared" si="59"/>
        <v>0.16001799640071987</v>
      </c>
      <c r="K19" s="159">
        <f t="shared" si="60"/>
        <v>0.16487644538357693</v>
      </c>
      <c r="L19" s="161">
        <f t="shared" si="61"/>
        <v>0.58066719989335469</v>
      </c>
      <c r="M19" s="146">
        <f t="shared" si="62"/>
        <v>6205.9709724721724</v>
      </c>
      <c r="N19" s="146">
        <f t="shared" si="63"/>
        <v>8352.619376124776</v>
      </c>
      <c r="O19" s="146">
        <f t="shared" si="64"/>
        <v>8606.220696131948</v>
      </c>
      <c r="P19" s="146">
        <f t="shared" si="65"/>
        <v>30309.666500033327</v>
      </c>
      <c r="Q19" s="56">
        <f t="shared" si="50"/>
        <v>45212</v>
      </c>
      <c r="R19" s="139">
        <v>54006</v>
      </c>
      <c r="S19" s="140">
        <v>0</v>
      </c>
      <c r="T19" s="140">
        <v>52198</v>
      </c>
      <c r="U19" s="140">
        <v>0</v>
      </c>
      <c r="V19" s="141">
        <v>13980</v>
      </c>
      <c r="W19" s="142">
        <v>0.875</v>
      </c>
      <c r="X19" s="141">
        <v>4474</v>
      </c>
      <c r="Y19" s="142">
        <v>0.78125</v>
      </c>
      <c r="Z19" s="141">
        <v>0</v>
      </c>
      <c r="AA19" s="142">
        <v>0</v>
      </c>
      <c r="AB19" s="56">
        <f t="shared" si="51"/>
        <v>45943</v>
      </c>
      <c r="AC19" s="76">
        <f t="shared" si="66"/>
        <v>1</v>
      </c>
      <c r="AD19" s="162">
        <f t="shared" si="67"/>
        <v>0</v>
      </c>
      <c r="AE19" s="163">
        <v>7135</v>
      </c>
      <c r="AF19" s="118">
        <f t="shared" si="37"/>
        <v>7135</v>
      </c>
      <c r="AG19" s="147">
        <v>0</v>
      </c>
      <c r="AH19" s="148">
        <v>3550</v>
      </c>
      <c r="AI19" s="149">
        <v>0.60416666666666663</v>
      </c>
      <c r="AJ19" s="148">
        <v>0</v>
      </c>
      <c r="AK19" s="165">
        <v>0</v>
      </c>
      <c r="AL19" s="56">
        <f t="shared" si="38"/>
        <v>45943</v>
      </c>
      <c r="AM19" s="77">
        <f t="shared" ref="AM19" si="76">+AP19/AO19</f>
        <v>0.60678954493387482</v>
      </c>
      <c r="AN19" s="76">
        <f t="shared" ref="AN19" si="77">+AQ19/AO19</f>
        <v>0.39321045506612518</v>
      </c>
      <c r="AO19" s="150">
        <v>9603</v>
      </c>
      <c r="AP19" s="117">
        <f t="shared" si="41"/>
        <v>5827</v>
      </c>
      <c r="AQ19" s="151">
        <v>3776</v>
      </c>
      <c r="AR19" s="152">
        <v>4146</v>
      </c>
      <c r="AS19" s="153">
        <v>0.34027777777777779</v>
      </c>
      <c r="AT19" s="152">
        <v>178</v>
      </c>
      <c r="AU19" s="154">
        <v>0.29166666666666669</v>
      </c>
      <c r="AV19" s="56">
        <f t="shared" si="52"/>
        <v>45943</v>
      </c>
      <c r="AW19" s="110">
        <f t="shared" ref="AW19" si="78">BA19/AZ19</f>
        <v>0.71069182389937102</v>
      </c>
      <c r="AX19" s="110">
        <f t="shared" ref="AX19" si="79">BB19/AZ19</f>
        <v>0.28930817610062892</v>
      </c>
      <c r="AY19" s="111">
        <f t="shared" si="44"/>
        <v>8427</v>
      </c>
      <c r="AZ19" s="112">
        <v>8427</v>
      </c>
      <c r="BA19" s="120">
        <f t="shared" si="75"/>
        <v>5989</v>
      </c>
      <c r="BB19" s="113">
        <v>2438</v>
      </c>
      <c r="BC19" s="184">
        <v>3788</v>
      </c>
      <c r="BD19" s="185">
        <v>0.35416666666666669</v>
      </c>
      <c r="BE19" s="115">
        <v>0</v>
      </c>
      <c r="BF19" s="114">
        <v>0</v>
      </c>
      <c r="BG19" s="115">
        <v>149</v>
      </c>
      <c r="BH19" s="114" t="s">
        <v>70</v>
      </c>
      <c r="BI19" s="56">
        <f t="shared" si="53"/>
        <v>45943</v>
      </c>
      <c r="BJ19" s="78">
        <f t="shared" ref="BJ19" si="80">+BM19/BL19</f>
        <v>0.61109995121531269</v>
      </c>
      <c r="BK19" s="76">
        <f t="shared" ref="BK19" si="81">+BN19/BL19</f>
        <v>0.38890004878468737</v>
      </c>
      <c r="BL19" s="79">
        <f t="shared" ref="BL19" si="82">BM19+BN19</f>
        <v>34847</v>
      </c>
      <c r="BM19" s="155">
        <v>21295</v>
      </c>
      <c r="BN19" s="155">
        <v>13552</v>
      </c>
      <c r="BO19" s="156">
        <v>4087</v>
      </c>
      <c r="BP19" s="157">
        <v>0.41875000000000001</v>
      </c>
      <c r="BQ19" s="158">
        <v>2677</v>
      </c>
      <c r="BR19" s="157">
        <v>0.4375</v>
      </c>
    </row>
    <row r="20" spans="1:70" ht="15.75" thickBot="1" x14ac:dyDescent="0.3">
      <c r="B20" s="56">
        <f t="shared" si="49"/>
        <v>45944</v>
      </c>
      <c r="C20" s="164"/>
      <c r="D20" s="87">
        <f t="shared" si="54"/>
        <v>53000</v>
      </c>
      <c r="E20" s="159">
        <f t="shared" si="55"/>
        <v>0.88169811320754721</v>
      </c>
      <c r="F20" s="87">
        <f t="shared" si="56"/>
        <v>46730</v>
      </c>
      <c r="G20" s="159">
        <f t="shared" si="57"/>
        <v>0.11830188679245283</v>
      </c>
      <c r="H20" s="146">
        <f t="shared" si="26"/>
        <v>6270</v>
      </c>
      <c r="I20" s="160">
        <f t="shared" si="58"/>
        <v>0.12224865154611544</v>
      </c>
      <c r="J20" s="159">
        <f t="shared" si="59"/>
        <v>0.16013936815303695</v>
      </c>
      <c r="K20" s="159">
        <f t="shared" si="60"/>
        <v>0.16165235882491927</v>
      </c>
      <c r="L20" s="161">
        <f t="shared" si="61"/>
        <v>0.58008643505645086</v>
      </c>
      <c r="M20" s="146">
        <f t="shared" si="62"/>
        <v>6338.5925826660859</v>
      </c>
      <c r="N20" s="146">
        <f t="shared" si="63"/>
        <v>8303.2262387349656</v>
      </c>
      <c r="O20" s="146">
        <f t="shared" si="64"/>
        <v>8381.6748050720635</v>
      </c>
      <c r="P20" s="146">
        <f t="shared" si="65"/>
        <v>30077.481657676977</v>
      </c>
      <c r="Q20" s="56">
        <f t="shared" si="50"/>
        <v>45213</v>
      </c>
      <c r="R20" s="139">
        <v>53000</v>
      </c>
      <c r="S20" s="140">
        <v>0</v>
      </c>
      <c r="T20" s="140">
        <v>51850</v>
      </c>
      <c r="U20" s="140">
        <v>0</v>
      </c>
      <c r="V20" s="141">
        <v>13520</v>
      </c>
      <c r="W20" s="142">
        <v>0.85416666666666663</v>
      </c>
      <c r="X20" s="141">
        <v>4470</v>
      </c>
      <c r="Y20" s="142">
        <v>0.8125</v>
      </c>
      <c r="Z20" s="141">
        <v>0</v>
      </c>
      <c r="AA20" s="142">
        <v>0</v>
      </c>
      <c r="AB20" s="56">
        <f t="shared" si="51"/>
        <v>45944</v>
      </c>
      <c r="AC20" s="76">
        <f t="shared" si="66"/>
        <v>1</v>
      </c>
      <c r="AD20" s="162">
        <f t="shared" si="67"/>
        <v>0</v>
      </c>
      <c r="AE20" s="163">
        <v>7298</v>
      </c>
      <c r="AF20" s="118">
        <f t="shared" si="37"/>
        <v>7298</v>
      </c>
      <c r="AG20" s="147">
        <v>0</v>
      </c>
      <c r="AH20" s="148">
        <v>4150</v>
      </c>
      <c r="AI20" s="149">
        <v>0.70833333333333337</v>
      </c>
      <c r="AJ20" s="148">
        <v>0</v>
      </c>
      <c r="AK20" s="165">
        <v>0</v>
      </c>
      <c r="AL20" s="56">
        <f t="shared" si="38"/>
        <v>45944</v>
      </c>
      <c r="AM20" s="77">
        <f t="shared" si="68"/>
        <v>0.60983263598326365</v>
      </c>
      <c r="AN20" s="76">
        <f t="shared" si="69"/>
        <v>0.39016736401673641</v>
      </c>
      <c r="AO20" s="150">
        <v>9560</v>
      </c>
      <c r="AP20" s="117">
        <f t="shared" si="41"/>
        <v>5830</v>
      </c>
      <c r="AQ20" s="151">
        <v>3730</v>
      </c>
      <c r="AR20" s="152">
        <v>3845</v>
      </c>
      <c r="AS20" s="153">
        <v>0.39583333333333331</v>
      </c>
      <c r="AT20" s="152">
        <v>179</v>
      </c>
      <c r="AU20" s="154">
        <v>0.35416666666666669</v>
      </c>
      <c r="AV20" s="56">
        <f t="shared" si="52"/>
        <v>45944</v>
      </c>
      <c r="AW20" s="110">
        <f t="shared" si="70"/>
        <v>0.69062119366626062</v>
      </c>
      <c r="AX20" s="110">
        <f t="shared" si="71"/>
        <v>0.30937880633373932</v>
      </c>
      <c r="AY20" s="111">
        <f t="shared" si="44"/>
        <v>8210</v>
      </c>
      <c r="AZ20" s="112">
        <v>8210</v>
      </c>
      <c r="BA20" s="120">
        <f t="shared" ref="BA20" si="83">AZ20-BB20</f>
        <v>5670</v>
      </c>
      <c r="BB20" s="113">
        <v>2540</v>
      </c>
      <c r="BC20" s="112">
        <v>4160</v>
      </c>
      <c r="BD20" s="114">
        <v>0.3125</v>
      </c>
      <c r="BE20" s="115">
        <v>0</v>
      </c>
      <c r="BF20" s="114">
        <v>0</v>
      </c>
      <c r="BG20" s="115">
        <v>148</v>
      </c>
      <c r="BH20" s="114">
        <v>0.86458333333333337</v>
      </c>
      <c r="BI20" s="56">
        <f t="shared" si="53"/>
        <v>45944</v>
      </c>
      <c r="BJ20" s="78">
        <f t="shared" si="72"/>
        <v>0.6133410337857349</v>
      </c>
      <c r="BK20" s="76">
        <f t="shared" si="73"/>
        <v>0.3866589662142651</v>
      </c>
      <c r="BL20" s="79">
        <f t="shared" si="74"/>
        <v>34630</v>
      </c>
      <c r="BM20" s="155">
        <v>21240</v>
      </c>
      <c r="BN20" s="155">
        <v>13390</v>
      </c>
      <c r="BO20" s="156">
        <v>4398</v>
      </c>
      <c r="BP20" s="157">
        <v>0.39583333333333331</v>
      </c>
      <c r="BQ20" s="158">
        <v>2790</v>
      </c>
      <c r="BR20" s="157">
        <v>0.39583333333333331</v>
      </c>
    </row>
    <row r="21" spans="1:70" ht="15.75" thickBot="1" x14ac:dyDescent="0.3">
      <c r="A21" s="14"/>
      <c r="B21" s="56">
        <f t="shared" si="49"/>
        <v>45945</v>
      </c>
      <c r="C21" s="164"/>
      <c r="D21" s="87">
        <f t="shared" si="54"/>
        <v>52664</v>
      </c>
      <c r="E21" s="159">
        <f t="shared" si="55"/>
        <v>0.88269026279811635</v>
      </c>
      <c r="F21" s="87">
        <f t="shared" si="56"/>
        <v>46486</v>
      </c>
      <c r="G21" s="159">
        <f t="shared" si="57"/>
        <v>0.11730973720188365</v>
      </c>
      <c r="H21" s="146">
        <f t="shared" si="26"/>
        <v>6178</v>
      </c>
      <c r="I21" s="160">
        <f t="shared" si="58"/>
        <v>0.11878702680992068</v>
      </c>
      <c r="J21" s="159">
        <f t="shared" si="59"/>
        <v>0.15960437794959334</v>
      </c>
      <c r="K21" s="159">
        <f t="shared" si="60"/>
        <v>0.16711664123332159</v>
      </c>
      <c r="L21" s="161">
        <f t="shared" si="61"/>
        <v>0.57865582220437128</v>
      </c>
      <c r="M21" s="146">
        <f t="shared" si="62"/>
        <v>6212.323928105232</v>
      </c>
      <c r="N21" s="146">
        <f t="shared" si="63"/>
        <v>8346.9897580078323</v>
      </c>
      <c r="O21" s="146">
        <f t="shared" si="64"/>
        <v>8739.8661032202526</v>
      </c>
      <c r="P21" s="146">
        <f t="shared" si="65"/>
        <v>30262.542189644209</v>
      </c>
      <c r="Q21" s="56">
        <f t="shared" si="50"/>
        <v>45214</v>
      </c>
      <c r="R21" s="139">
        <v>52664</v>
      </c>
      <c r="S21" s="140">
        <v>0</v>
      </c>
      <c r="T21" s="140">
        <v>52298</v>
      </c>
      <c r="U21" s="140">
        <v>0</v>
      </c>
      <c r="V21" s="141">
        <v>13420</v>
      </c>
      <c r="W21" s="142">
        <v>0.88888888888888884</v>
      </c>
      <c r="X21" s="141">
        <v>4752</v>
      </c>
      <c r="Y21" s="142">
        <v>0.8125</v>
      </c>
      <c r="Z21" s="141">
        <v>0</v>
      </c>
      <c r="AA21" s="142">
        <v>0</v>
      </c>
      <c r="AB21" s="56">
        <f t="shared" si="51"/>
        <v>45945</v>
      </c>
      <c r="AC21" s="76">
        <f t="shared" si="66"/>
        <v>1</v>
      </c>
      <c r="AD21" s="162">
        <f t="shared" si="67"/>
        <v>0</v>
      </c>
      <c r="AE21" s="163">
        <v>7098</v>
      </c>
      <c r="AF21" s="118">
        <f t="shared" si="37"/>
        <v>7098</v>
      </c>
      <c r="AG21" s="147">
        <v>0</v>
      </c>
      <c r="AH21" s="148">
        <v>3994</v>
      </c>
      <c r="AI21" s="149">
        <v>0.35972222222222222</v>
      </c>
      <c r="AJ21" s="148">
        <v>0</v>
      </c>
      <c r="AK21" s="165">
        <v>0</v>
      </c>
      <c r="AL21" s="56">
        <f t="shared" si="38"/>
        <v>45945</v>
      </c>
      <c r="AM21" s="77">
        <f t="shared" si="68"/>
        <v>0.60522176785152559</v>
      </c>
      <c r="AN21" s="76">
        <f t="shared" si="69"/>
        <v>0.39477823214847435</v>
      </c>
      <c r="AO21" s="150">
        <v>9537</v>
      </c>
      <c r="AP21" s="117">
        <f t="shared" si="41"/>
        <v>5772</v>
      </c>
      <c r="AQ21" s="151">
        <v>3765</v>
      </c>
      <c r="AR21" s="152">
        <v>4155</v>
      </c>
      <c r="AS21" s="153">
        <v>0.36249999999999999</v>
      </c>
      <c r="AT21" s="152">
        <v>182</v>
      </c>
      <c r="AU21" s="154">
        <v>0.83333333333333337</v>
      </c>
      <c r="AV21" s="56">
        <f t="shared" si="52"/>
        <v>45945</v>
      </c>
      <c r="AW21" s="110">
        <f t="shared" si="70"/>
        <v>0.71751346288925311</v>
      </c>
      <c r="AX21" s="110">
        <f t="shared" si="71"/>
        <v>0.28248653711074689</v>
      </c>
      <c r="AY21" s="111">
        <f t="shared" si="44"/>
        <v>8542</v>
      </c>
      <c r="AZ21" s="112">
        <v>8542</v>
      </c>
      <c r="BA21" s="120">
        <f t="shared" si="75"/>
        <v>6129</v>
      </c>
      <c r="BB21" s="113">
        <v>2413</v>
      </c>
      <c r="BC21" s="112">
        <v>4306</v>
      </c>
      <c r="BD21" s="114">
        <v>0.73958333333333337</v>
      </c>
      <c r="BE21" s="115">
        <v>0</v>
      </c>
      <c r="BF21" s="114">
        <v>0</v>
      </c>
      <c r="BG21" s="115">
        <v>191</v>
      </c>
      <c r="BH21" s="114">
        <v>5.2083333333333336E-2</v>
      </c>
      <c r="BI21" s="56">
        <f>BI20+1</f>
        <v>45945</v>
      </c>
      <c r="BJ21" s="78">
        <f t="shared" si="72"/>
        <v>0.61196749284206264</v>
      </c>
      <c r="BK21" s="76">
        <f t="shared" si="73"/>
        <v>0.38803250715793736</v>
      </c>
      <c r="BL21" s="79">
        <f t="shared" si="74"/>
        <v>34577</v>
      </c>
      <c r="BM21" s="155">
        <v>21160</v>
      </c>
      <c r="BN21" s="155">
        <v>13417</v>
      </c>
      <c r="BO21" s="156">
        <v>3963</v>
      </c>
      <c r="BP21" s="157">
        <v>0.69236111111111109</v>
      </c>
      <c r="BQ21" s="158">
        <v>2586</v>
      </c>
      <c r="BR21" s="157">
        <v>0.42222222222222222</v>
      </c>
    </row>
    <row r="22" spans="1:70" ht="15.75" thickBot="1" x14ac:dyDescent="0.3">
      <c r="A22" s="14"/>
      <c r="B22" s="56">
        <f t="shared" si="49"/>
        <v>45946</v>
      </c>
      <c r="C22" s="164"/>
      <c r="D22" s="87">
        <f t="shared" si="54"/>
        <v>52192</v>
      </c>
      <c r="E22" s="159">
        <f t="shared" si="55"/>
        <v>0.87957924586143466</v>
      </c>
      <c r="F22" s="87">
        <f t="shared" si="56"/>
        <v>45907</v>
      </c>
      <c r="G22" s="159">
        <f t="shared" si="57"/>
        <v>0.1204207541385653</v>
      </c>
      <c r="H22" s="146">
        <f t="shared" si="26"/>
        <v>6285</v>
      </c>
      <c r="I22" s="160">
        <f t="shared" si="58"/>
        <v>0.11321210031888304</v>
      </c>
      <c r="J22" s="159">
        <f t="shared" si="59"/>
        <v>0.15882099457036974</v>
      </c>
      <c r="K22" s="159">
        <f t="shared" si="60"/>
        <v>0.16670056543139569</v>
      </c>
      <c r="L22" s="161">
        <f t="shared" si="61"/>
        <v>0.58669309661294489</v>
      </c>
      <c r="M22" s="146">
        <f t="shared" si="62"/>
        <v>5761.5902094285957</v>
      </c>
      <c r="N22" s="146">
        <f t="shared" si="63"/>
        <v>8082.7180556752573</v>
      </c>
      <c r="O22" s="146">
        <f t="shared" si="64"/>
        <v>8483.7251759345891</v>
      </c>
      <c r="P22" s="146">
        <f t="shared" si="65"/>
        <v>29857.985072825992</v>
      </c>
      <c r="Q22" s="56">
        <f t="shared" si="50"/>
        <v>45215</v>
      </c>
      <c r="R22" s="139">
        <v>52192</v>
      </c>
      <c r="S22" s="140">
        <v>0</v>
      </c>
      <c r="T22" s="140">
        <v>50892</v>
      </c>
      <c r="U22" s="140">
        <v>0</v>
      </c>
      <c r="V22" s="141">
        <v>13171</v>
      </c>
      <c r="W22" s="142">
        <v>0.38541666666666669</v>
      </c>
      <c r="X22" s="141">
        <v>4387</v>
      </c>
      <c r="Y22" s="142">
        <v>0.83333333333333337</v>
      </c>
      <c r="Z22" s="141">
        <v>0</v>
      </c>
      <c r="AA22" s="142">
        <v>0</v>
      </c>
      <c r="AB22" s="56">
        <f t="shared" si="51"/>
        <v>45946</v>
      </c>
      <c r="AC22" s="76">
        <f t="shared" si="66"/>
        <v>1</v>
      </c>
      <c r="AD22" s="162">
        <f t="shared" si="67"/>
        <v>0</v>
      </c>
      <c r="AE22" s="163">
        <v>6568</v>
      </c>
      <c r="AF22" s="118">
        <f t="shared" si="37"/>
        <v>6568</v>
      </c>
      <c r="AG22" s="147">
        <v>0</v>
      </c>
      <c r="AH22" s="148">
        <v>3706</v>
      </c>
      <c r="AI22" s="149">
        <v>0.3527777777777778</v>
      </c>
      <c r="AJ22" s="148">
        <v>0</v>
      </c>
      <c r="AK22" s="165">
        <v>0</v>
      </c>
      <c r="AL22" s="56">
        <f t="shared" si="38"/>
        <v>45946</v>
      </c>
      <c r="AM22" s="77">
        <f t="shared" si="68"/>
        <v>0.58063815932276974</v>
      </c>
      <c r="AN22" s="76">
        <f t="shared" si="69"/>
        <v>0.41936184067723031</v>
      </c>
      <c r="AO22" s="150">
        <v>9214</v>
      </c>
      <c r="AP22" s="117">
        <f t="shared" si="41"/>
        <v>5350</v>
      </c>
      <c r="AQ22" s="151">
        <v>3864</v>
      </c>
      <c r="AR22" s="152">
        <v>3964</v>
      </c>
      <c r="AS22" s="153">
        <v>0.36319444444444443</v>
      </c>
      <c r="AT22" s="152">
        <v>172</v>
      </c>
      <c r="AU22" s="154">
        <v>0.83333333333333337</v>
      </c>
      <c r="AV22" s="56">
        <f t="shared" si="52"/>
        <v>45946</v>
      </c>
      <c r="AW22" s="110">
        <f t="shared" si="70"/>
        <v>0.7046120058565154</v>
      </c>
      <c r="AX22" s="110">
        <f t="shared" si="71"/>
        <v>0.2953879941434846</v>
      </c>
      <c r="AY22" s="111">
        <f t="shared" si="44"/>
        <v>8196</v>
      </c>
      <c r="AZ22" s="112">
        <v>8196</v>
      </c>
      <c r="BA22" s="120">
        <f t="shared" si="75"/>
        <v>5775</v>
      </c>
      <c r="BB22" s="113">
        <v>2421</v>
      </c>
      <c r="BC22" s="112">
        <v>3673</v>
      </c>
      <c r="BD22" s="114">
        <v>0.79166666666666663</v>
      </c>
      <c r="BE22" s="115">
        <v>0</v>
      </c>
      <c r="BF22" s="114">
        <v>0</v>
      </c>
      <c r="BG22" s="115">
        <v>146</v>
      </c>
      <c r="BH22" s="114">
        <v>0.90625</v>
      </c>
      <c r="BI22" s="56">
        <f t="shared" si="53"/>
        <v>45946</v>
      </c>
      <c r="BJ22" s="78">
        <f t="shared" si="72"/>
        <v>0.61274495402062457</v>
      </c>
      <c r="BK22" s="76">
        <f t="shared" si="73"/>
        <v>0.38725504597937538</v>
      </c>
      <c r="BL22" s="79">
        <f t="shared" si="74"/>
        <v>34037</v>
      </c>
      <c r="BM22" s="155">
        <v>20856</v>
      </c>
      <c r="BN22" s="155">
        <v>13181</v>
      </c>
      <c r="BO22" s="156">
        <v>4114</v>
      </c>
      <c r="BP22" s="157">
        <v>0.80138888888888893</v>
      </c>
      <c r="BQ22" s="158">
        <v>2693</v>
      </c>
      <c r="BR22" s="157">
        <v>0.80138888888888893</v>
      </c>
    </row>
    <row r="23" spans="1:70" ht="15.75" thickBot="1" x14ac:dyDescent="0.3">
      <c r="A23" s="14"/>
      <c r="B23" s="56">
        <f t="shared" si="49"/>
        <v>45947</v>
      </c>
      <c r="C23" s="164"/>
      <c r="D23" s="87">
        <f t="shared" si="54"/>
        <v>53202</v>
      </c>
      <c r="E23" s="159">
        <f t="shared" si="55"/>
        <v>0.87434682906657646</v>
      </c>
      <c r="F23" s="87">
        <f t="shared" si="56"/>
        <v>46517</v>
      </c>
      <c r="G23" s="159">
        <f t="shared" si="57"/>
        <v>0.12565317093342357</v>
      </c>
      <c r="H23" s="146">
        <f t="shared" si="26"/>
        <v>6685</v>
      </c>
      <c r="I23" s="160">
        <f t="shared" si="58"/>
        <v>0.11806480997284122</v>
      </c>
      <c r="J23" s="159">
        <f t="shared" si="59"/>
        <v>0.15956208565982355</v>
      </c>
      <c r="K23" s="159">
        <f t="shared" si="60"/>
        <v>0.16707835194150775</v>
      </c>
      <c r="L23" s="161">
        <f t="shared" si="61"/>
        <v>0.57974730520740203</v>
      </c>
      <c r="M23" s="146">
        <f t="shared" si="62"/>
        <v>6103.5964811659724</v>
      </c>
      <c r="N23" s="146">
        <f t="shared" si="63"/>
        <v>8248.8811423558982</v>
      </c>
      <c r="O23" s="146">
        <f t="shared" si="64"/>
        <v>8637.4495603201267</v>
      </c>
      <c r="P23" s="146">
        <f t="shared" si="65"/>
        <v>29971.196437307062</v>
      </c>
      <c r="Q23" s="56">
        <f t="shared" si="50"/>
        <v>45216</v>
      </c>
      <c r="R23" s="139">
        <v>53202</v>
      </c>
      <c r="S23" s="140">
        <v>0</v>
      </c>
      <c r="T23" s="140">
        <v>51697</v>
      </c>
      <c r="U23" s="140">
        <v>0</v>
      </c>
      <c r="V23" s="141">
        <v>13878</v>
      </c>
      <c r="W23" s="142">
        <v>0.36458333333333331</v>
      </c>
      <c r="X23" s="141">
        <v>4427</v>
      </c>
      <c r="Y23" s="142">
        <v>0.40625</v>
      </c>
      <c r="Z23" s="141">
        <v>0</v>
      </c>
      <c r="AA23" s="142">
        <v>0</v>
      </c>
      <c r="AB23" s="56">
        <f t="shared" si="51"/>
        <v>45947</v>
      </c>
      <c r="AC23" s="76">
        <f t="shared" si="66"/>
        <v>1</v>
      </c>
      <c r="AD23" s="162">
        <f t="shared" si="67"/>
        <v>0</v>
      </c>
      <c r="AE23" s="163">
        <v>6999</v>
      </c>
      <c r="AF23" s="118">
        <f t="shared" si="37"/>
        <v>6999</v>
      </c>
      <c r="AG23" s="147">
        <v>0</v>
      </c>
      <c r="AH23" s="148">
        <v>3555</v>
      </c>
      <c r="AI23" s="149">
        <v>0.34166666666666667</v>
      </c>
      <c r="AJ23" s="148">
        <v>0</v>
      </c>
      <c r="AK23" s="165">
        <v>0</v>
      </c>
      <c r="AL23" s="56">
        <f t="shared" si="38"/>
        <v>45947</v>
      </c>
      <c r="AM23" s="77">
        <f t="shared" si="68"/>
        <v>0.60143778412094306</v>
      </c>
      <c r="AN23" s="76">
        <f t="shared" si="69"/>
        <v>0.39856221587905699</v>
      </c>
      <c r="AO23" s="150">
        <v>9459</v>
      </c>
      <c r="AP23" s="117">
        <f t="shared" si="41"/>
        <v>5689</v>
      </c>
      <c r="AQ23" s="151">
        <v>3770</v>
      </c>
      <c r="AR23" s="152">
        <v>3711</v>
      </c>
      <c r="AS23" s="153">
        <v>0.35555555555555557</v>
      </c>
      <c r="AT23" s="152">
        <v>181</v>
      </c>
      <c r="AU23" s="154">
        <v>0.875</v>
      </c>
      <c r="AV23" s="56">
        <f t="shared" si="52"/>
        <v>45947</v>
      </c>
      <c r="AW23" s="110">
        <f t="shared" si="70"/>
        <v>0.65523358959195743</v>
      </c>
      <c r="AX23" s="110">
        <f t="shared" si="71"/>
        <v>0.34476641040804257</v>
      </c>
      <c r="AY23" s="111">
        <f t="shared" si="44"/>
        <v>8455</v>
      </c>
      <c r="AZ23" s="112">
        <v>8455</v>
      </c>
      <c r="BA23" s="120">
        <f t="shared" si="75"/>
        <v>5540</v>
      </c>
      <c r="BB23" s="113">
        <f>1820+1095</f>
        <v>2915</v>
      </c>
      <c r="BC23" s="112">
        <v>3660</v>
      </c>
      <c r="BD23" s="114">
        <v>0.375</v>
      </c>
      <c r="BE23" s="115">
        <v>0</v>
      </c>
      <c r="BF23" s="114">
        <v>0</v>
      </c>
      <c r="BG23" s="115">
        <v>155</v>
      </c>
      <c r="BH23" s="114">
        <v>0.29166666666666669</v>
      </c>
      <c r="BI23" s="56">
        <f t="shared" si="53"/>
        <v>45947</v>
      </c>
      <c r="BJ23" s="78">
        <f t="shared" si="72"/>
        <v>0.6112371973929237</v>
      </c>
      <c r="BK23" s="76">
        <f t="shared" si="73"/>
        <v>0.38876280260707635</v>
      </c>
      <c r="BL23" s="79">
        <f t="shared" si="74"/>
        <v>34368</v>
      </c>
      <c r="BM23" s="155">
        <v>21007</v>
      </c>
      <c r="BN23" s="155">
        <v>13361</v>
      </c>
      <c r="BO23" s="156">
        <v>4173</v>
      </c>
      <c r="BP23" s="157">
        <v>0.78125</v>
      </c>
      <c r="BQ23" s="158">
        <v>2735</v>
      </c>
      <c r="BR23" s="157">
        <v>0.78125</v>
      </c>
    </row>
    <row r="24" spans="1:70" ht="15.75" thickBot="1" x14ac:dyDescent="0.3">
      <c r="A24" s="14"/>
      <c r="B24" s="56">
        <f t="shared" si="49"/>
        <v>45948</v>
      </c>
      <c r="C24" s="164"/>
      <c r="D24" s="87">
        <f t="shared" si="54"/>
        <v>32668</v>
      </c>
      <c r="E24" s="159">
        <f t="shared" si="55"/>
        <v>0.80604873270478761</v>
      </c>
      <c r="F24" s="87">
        <f t="shared" si="56"/>
        <v>26332</v>
      </c>
      <c r="G24" s="159">
        <f t="shared" si="57"/>
        <v>0.19395126729521245</v>
      </c>
      <c r="H24" s="146">
        <f t="shared" si="26"/>
        <v>6336</v>
      </c>
      <c r="I24" s="160">
        <f t="shared" si="58"/>
        <v>7.8881469115191991E-2</v>
      </c>
      <c r="J24" s="159">
        <f t="shared" si="59"/>
        <v>0.16018363939899832</v>
      </c>
      <c r="K24" s="159">
        <f t="shared" si="60"/>
        <v>0.15972991318638133</v>
      </c>
      <c r="L24" s="161">
        <f t="shared" si="61"/>
        <v>0.63653311074012242</v>
      </c>
      <c r="M24" s="146">
        <f t="shared" si="62"/>
        <v>2447.6131051752923</v>
      </c>
      <c r="N24" s="146">
        <f t="shared" si="63"/>
        <v>4970.3381469115193</v>
      </c>
      <c r="O24" s="146">
        <f t="shared" si="64"/>
        <v>4956.2594762602266</v>
      </c>
      <c r="P24" s="146">
        <f t="shared" si="65"/>
        <v>19750.985893155259</v>
      </c>
      <c r="Q24" s="56">
        <f t="shared" si="50"/>
        <v>45217</v>
      </c>
      <c r="R24" s="139">
        <v>32668</v>
      </c>
      <c r="S24" s="140">
        <v>0</v>
      </c>
      <c r="T24" s="140">
        <v>31029</v>
      </c>
      <c r="U24" s="140">
        <v>0</v>
      </c>
      <c r="V24" s="141">
        <v>7508</v>
      </c>
      <c r="W24" s="142">
        <v>0.92708333333333337</v>
      </c>
      <c r="X24" s="141">
        <v>2211</v>
      </c>
      <c r="Y24" s="142">
        <v>0.41666666666666669</v>
      </c>
      <c r="Z24" s="141">
        <v>0</v>
      </c>
      <c r="AA24" s="142">
        <v>0</v>
      </c>
      <c r="AB24" s="56">
        <f t="shared" si="51"/>
        <v>45948</v>
      </c>
      <c r="AC24" s="76">
        <f t="shared" si="66"/>
        <v>1</v>
      </c>
      <c r="AD24" s="162">
        <f t="shared" si="67"/>
        <v>0</v>
      </c>
      <c r="AE24" s="163">
        <v>2835</v>
      </c>
      <c r="AF24" s="118">
        <f t="shared" si="37"/>
        <v>2835</v>
      </c>
      <c r="AG24" s="147">
        <v>0</v>
      </c>
      <c r="AH24" s="148">
        <v>1850</v>
      </c>
      <c r="AI24" s="149">
        <v>0.51041666666666663</v>
      </c>
      <c r="AJ24" s="148">
        <v>0</v>
      </c>
      <c r="AK24" s="165">
        <v>0</v>
      </c>
      <c r="AL24" s="56">
        <f t="shared" si="38"/>
        <v>45948</v>
      </c>
      <c r="AM24" s="77">
        <f t="shared" si="68"/>
        <v>0.37797463956922006</v>
      </c>
      <c r="AN24" s="76">
        <f t="shared" si="69"/>
        <v>0.62202536043077994</v>
      </c>
      <c r="AO24" s="150">
        <v>5757</v>
      </c>
      <c r="AP24" s="117">
        <f t="shared" si="41"/>
        <v>2176</v>
      </c>
      <c r="AQ24" s="151">
        <v>3581</v>
      </c>
      <c r="AR24" s="152">
        <v>1683</v>
      </c>
      <c r="AS24" s="153">
        <v>0.40902777777777777</v>
      </c>
      <c r="AT24" s="152">
        <v>179</v>
      </c>
      <c r="AU24" s="154">
        <v>0.89583333333333337</v>
      </c>
      <c r="AV24" s="56">
        <f t="shared" si="52"/>
        <v>45948</v>
      </c>
      <c r="AW24" s="110">
        <f t="shared" si="70"/>
        <v>0.38380675464101993</v>
      </c>
      <c r="AX24" s="110">
        <f t="shared" si="71"/>
        <v>0.61619324535898012</v>
      </c>
      <c r="AY24" s="111">
        <f t="shared" si="44"/>
        <v>4471</v>
      </c>
      <c r="AZ24" s="112">
        <v>4471</v>
      </c>
      <c r="BA24" s="120">
        <f t="shared" si="75"/>
        <v>1716</v>
      </c>
      <c r="BB24" s="113">
        <f>1035+1720</f>
        <v>2755</v>
      </c>
      <c r="BC24" s="112">
        <v>1754</v>
      </c>
      <c r="BD24" s="114">
        <v>0.88541666666666663</v>
      </c>
      <c r="BE24" s="115">
        <v>0</v>
      </c>
      <c r="BF24" s="114">
        <v>0</v>
      </c>
      <c r="BG24" s="115">
        <v>152</v>
      </c>
      <c r="BH24" s="114">
        <v>0.89583333333333337</v>
      </c>
      <c r="BI24" s="56">
        <f t="shared" si="53"/>
        <v>45948</v>
      </c>
      <c r="BJ24" s="78">
        <f t="shared" si="72"/>
        <v>0.6136294094505399</v>
      </c>
      <c r="BK24" s="76">
        <f t="shared" si="73"/>
        <v>0.38637059054946016</v>
      </c>
      <c r="BL24" s="79">
        <f t="shared" si="74"/>
        <v>22877</v>
      </c>
      <c r="BM24" s="155">
        <v>14038</v>
      </c>
      <c r="BN24" s="155">
        <v>8839</v>
      </c>
      <c r="BO24" s="156">
        <v>2695</v>
      </c>
      <c r="BP24" s="157">
        <v>0.37638888888888888</v>
      </c>
      <c r="BQ24" s="158">
        <v>1766</v>
      </c>
      <c r="BR24" s="157">
        <v>0.37638888888888888</v>
      </c>
    </row>
    <row r="25" spans="1:70" ht="15.75" thickBot="1" x14ac:dyDescent="0.3">
      <c r="A25" s="14"/>
      <c r="B25" s="56">
        <f t="shared" si="49"/>
        <v>45949</v>
      </c>
      <c r="C25" s="164"/>
      <c r="D25" s="87">
        <f t="shared" ref="D25:D36" si="84">R25</f>
        <v>27334</v>
      </c>
      <c r="E25" s="159">
        <f t="shared" ref="E25:E36" si="85">F25/D25</f>
        <v>0.78166386185702785</v>
      </c>
      <c r="F25" s="87">
        <f t="shared" ref="F25:F36" si="86">D25-H25</f>
        <v>21366</v>
      </c>
      <c r="G25" s="159">
        <f t="shared" ref="G25:G36" si="87">H25/D25</f>
        <v>0.21833613814297212</v>
      </c>
      <c r="H25" s="146">
        <f t="shared" si="26"/>
        <v>5968</v>
      </c>
      <c r="I25" s="160">
        <f t="shared" ref="I25:I36" si="88">AE25/(AE25+AO25+BL25+AY25)</f>
        <v>6.4830636244848722E-2</v>
      </c>
      <c r="J25" s="159">
        <f t="shared" ref="J25:J36" si="89">AO25/(AE25+AO25+BL25+AY25)</f>
        <v>0.17877843669380508</v>
      </c>
      <c r="K25" s="159">
        <f t="shared" ref="K25:K36" si="90">AY25/(AF25+AP25+BM25+AZ25+AY25)</f>
        <v>0.17355694227769111</v>
      </c>
      <c r="L25" s="161">
        <f t="shared" ref="L25:L36" si="91">BL25/(AE25+AO25+BL25+AY25)</f>
        <v>0.62220658692665931</v>
      </c>
      <c r="M25" s="146">
        <f t="shared" ref="M25:M35" si="92">(S25+T25)*I25</f>
        <v>1666.2770127651017</v>
      </c>
      <c r="N25" s="146">
        <f t="shared" ref="N25:N35" si="93">(S25+T25)*J25</f>
        <v>4594.9633799041785</v>
      </c>
      <c r="O25" s="146">
        <f t="shared" ref="O25:O35" si="94">(S25+T25)*K25</f>
        <v>4460.7605304212166</v>
      </c>
      <c r="P25" s="146">
        <f t="shared" ref="P25:P35" si="95">(S25+T25)*L25</f>
        <v>15991.953697188997</v>
      </c>
      <c r="Q25" s="56">
        <f t="shared" si="50"/>
        <v>45218</v>
      </c>
      <c r="R25" s="139">
        <v>27334</v>
      </c>
      <c r="S25" s="140">
        <v>0</v>
      </c>
      <c r="T25" s="140">
        <v>25702</v>
      </c>
      <c r="U25" s="140">
        <v>0</v>
      </c>
      <c r="V25" s="141">
        <v>6804</v>
      </c>
      <c r="W25" s="142">
        <v>0.70833333333333337</v>
      </c>
      <c r="X25" s="141">
        <v>1991</v>
      </c>
      <c r="Y25" s="142">
        <v>0.44791666666666669</v>
      </c>
      <c r="Z25" s="141">
        <v>0</v>
      </c>
      <c r="AA25" s="142">
        <v>0</v>
      </c>
      <c r="AB25" s="56">
        <f t="shared" si="51"/>
        <v>45949</v>
      </c>
      <c r="AC25" s="76">
        <f t="shared" ref="AC25:AC36" si="96">+AF25/AE25</f>
        <v>1</v>
      </c>
      <c r="AD25" s="162">
        <f t="shared" ref="AD25:AD36" si="97">+AG25/AE25</f>
        <v>0</v>
      </c>
      <c r="AE25" s="163">
        <v>1935</v>
      </c>
      <c r="AF25" s="118">
        <f t="shared" si="37"/>
        <v>1935</v>
      </c>
      <c r="AG25" s="147">
        <v>0</v>
      </c>
      <c r="AH25" s="148">
        <v>1503</v>
      </c>
      <c r="AI25" s="149">
        <v>0.92500000000000004</v>
      </c>
      <c r="AJ25" s="148">
        <v>0</v>
      </c>
      <c r="AK25" s="165">
        <v>0</v>
      </c>
      <c r="AL25" s="56">
        <f t="shared" si="38"/>
        <v>45949</v>
      </c>
      <c r="AM25" s="77">
        <f t="shared" ref="AM25:AM36" si="98">+AP25/AO25</f>
        <v>0.31559220389805098</v>
      </c>
      <c r="AN25" s="76">
        <f t="shared" ref="AN25:AN36" si="99">+AQ25/AO25</f>
        <v>0.68440779610194902</v>
      </c>
      <c r="AO25" s="150">
        <v>5336</v>
      </c>
      <c r="AP25" s="117">
        <f t="shared" si="41"/>
        <v>1684</v>
      </c>
      <c r="AQ25" s="151">
        <v>3652</v>
      </c>
      <c r="AR25" s="152">
        <v>1926</v>
      </c>
      <c r="AS25" s="153">
        <v>0.39374999999999999</v>
      </c>
      <c r="AT25" s="152">
        <v>177</v>
      </c>
      <c r="AU25" s="154">
        <v>0.875</v>
      </c>
      <c r="AV25" s="56">
        <f t="shared" si="52"/>
        <v>45949</v>
      </c>
      <c r="AW25" s="110">
        <f t="shared" ref="AW25:AW36" si="100">BA25/AZ25</f>
        <v>0.42172284644194757</v>
      </c>
      <c r="AX25" s="110">
        <f t="shared" ref="AX25:AX36" si="101">BB25/AZ25</f>
        <v>0.57827715355805243</v>
      </c>
      <c r="AY25" s="111">
        <f t="shared" si="44"/>
        <v>4005</v>
      </c>
      <c r="AZ25" s="112">
        <v>4005</v>
      </c>
      <c r="BA25" s="120">
        <f t="shared" ref="BA25:BA36" si="102">AZ25-BB25</f>
        <v>1689</v>
      </c>
      <c r="BB25" s="113">
        <v>2316</v>
      </c>
      <c r="BC25" s="112">
        <v>1574</v>
      </c>
      <c r="BD25" s="114">
        <v>0.5</v>
      </c>
      <c r="BE25" s="115">
        <v>0</v>
      </c>
      <c r="BF25" s="114">
        <v>0</v>
      </c>
      <c r="BG25" s="115">
        <v>142</v>
      </c>
      <c r="BH25" s="114">
        <v>0.91666666666666663</v>
      </c>
      <c r="BI25" s="56">
        <f t="shared" si="53"/>
        <v>45949</v>
      </c>
      <c r="BJ25" s="78">
        <f t="shared" ref="BJ25:BJ36" si="103">+BM25/BL25</f>
        <v>0.61639114748801893</v>
      </c>
      <c r="BK25" s="76">
        <f t="shared" ref="BK25:BK36" si="104">+BN25/BL25</f>
        <v>0.38360885251198107</v>
      </c>
      <c r="BL25" s="79">
        <f t="shared" ref="BL25:BL36" si="105">BM25+BN25</f>
        <v>18571</v>
      </c>
      <c r="BM25" s="155">
        <v>11447</v>
      </c>
      <c r="BN25" s="155">
        <v>7124</v>
      </c>
      <c r="BO25" s="156">
        <v>2595</v>
      </c>
      <c r="BP25" s="157">
        <v>0.41736111111111113</v>
      </c>
      <c r="BQ25" s="158">
        <v>1677</v>
      </c>
      <c r="BR25" s="157">
        <v>0.41736111111111113</v>
      </c>
    </row>
    <row r="26" spans="1:70" ht="15.75" thickBot="1" x14ac:dyDescent="0.3">
      <c r="A26" s="14"/>
      <c r="B26" s="56">
        <f t="shared" si="49"/>
        <v>45950</v>
      </c>
      <c r="C26" s="164"/>
      <c r="D26" s="87">
        <f t="shared" si="84"/>
        <v>53632</v>
      </c>
      <c r="E26" s="159">
        <f t="shared" si="85"/>
        <v>0.88533617989260138</v>
      </c>
      <c r="F26" s="87">
        <f t="shared" si="86"/>
        <v>47482.35</v>
      </c>
      <c r="G26" s="159">
        <f t="shared" si="87"/>
        <v>0.11466382010739856</v>
      </c>
      <c r="H26" s="146">
        <f t="shared" si="26"/>
        <v>6149.65</v>
      </c>
      <c r="I26" s="160">
        <f t="shared" si="88"/>
        <v>0.11859486501635531</v>
      </c>
      <c r="J26" s="159">
        <f t="shared" si="89"/>
        <v>0.16058326989199634</v>
      </c>
      <c r="K26" s="159">
        <f t="shared" si="90"/>
        <v>0.16583170138398859</v>
      </c>
      <c r="L26" s="161">
        <f t="shared" si="91"/>
        <v>0.57946341177750083</v>
      </c>
      <c r="M26" s="146">
        <f t="shared" si="92"/>
        <v>6186.757298486611</v>
      </c>
      <c r="N26" s="146">
        <f t="shared" si="93"/>
        <v>8377.173133778957</v>
      </c>
      <c r="O26" s="146">
        <f t="shared" si="94"/>
        <v>8650.9688991707553</v>
      </c>
      <c r="P26" s="146">
        <f t="shared" si="95"/>
        <v>30228.960516342773</v>
      </c>
      <c r="Q26" s="56">
        <f t="shared" si="50"/>
        <v>45219</v>
      </c>
      <c r="R26" s="139">
        <v>53632</v>
      </c>
      <c r="S26" s="140">
        <v>0</v>
      </c>
      <c r="T26" s="140">
        <v>52167.16</v>
      </c>
      <c r="U26" s="140">
        <v>0</v>
      </c>
      <c r="V26" s="141">
        <v>14127.36</v>
      </c>
      <c r="W26" s="142">
        <v>0.38541666666666669</v>
      </c>
      <c r="X26" s="141">
        <v>4346.9399999999996</v>
      </c>
      <c r="Y26" s="142">
        <v>0.39583333333333331</v>
      </c>
      <c r="Z26" s="141">
        <v>0</v>
      </c>
      <c r="AA26" s="142">
        <v>0</v>
      </c>
      <c r="AB26" s="56">
        <f t="shared" si="51"/>
        <v>45950</v>
      </c>
      <c r="AC26" s="76">
        <f t="shared" si="96"/>
        <v>1</v>
      </c>
      <c r="AD26" s="162">
        <f t="shared" si="97"/>
        <v>0</v>
      </c>
      <c r="AE26" s="163">
        <v>7088</v>
      </c>
      <c r="AF26" s="118">
        <f t="shared" si="37"/>
        <v>7088</v>
      </c>
      <c r="AG26" s="147">
        <v>0</v>
      </c>
      <c r="AH26" s="148">
        <v>4908.26</v>
      </c>
      <c r="AI26" s="149">
        <v>0.34236111111111112</v>
      </c>
      <c r="AJ26" s="148">
        <v>0</v>
      </c>
      <c r="AK26" s="165">
        <v>0</v>
      </c>
      <c r="AL26" s="56">
        <f t="shared" si="38"/>
        <v>45950</v>
      </c>
      <c r="AM26" s="77">
        <f t="shared" si="98"/>
        <v>0.60601510810106796</v>
      </c>
      <c r="AN26" s="76">
        <f t="shared" si="99"/>
        <v>0.39398489189893199</v>
      </c>
      <c r="AO26" s="150">
        <v>9597.5</v>
      </c>
      <c r="AP26" s="117">
        <f t="shared" si="41"/>
        <v>5816.23</v>
      </c>
      <c r="AQ26" s="151">
        <v>3781.27</v>
      </c>
      <c r="AR26" s="152">
        <v>3975.97</v>
      </c>
      <c r="AS26" s="153">
        <v>0.33888888888888891</v>
      </c>
      <c r="AT26" s="152">
        <v>186.8</v>
      </c>
      <c r="AU26" s="154">
        <v>0.75</v>
      </c>
      <c r="AV26" s="56">
        <f t="shared" si="52"/>
        <v>45950</v>
      </c>
      <c r="AW26" s="110">
        <f t="shared" si="100"/>
        <v>0.71966858022134106</v>
      </c>
      <c r="AX26" s="110">
        <f t="shared" si="101"/>
        <v>0.28033141977865894</v>
      </c>
      <c r="AY26" s="111">
        <f t="shared" si="44"/>
        <v>8448.5</v>
      </c>
      <c r="AZ26" s="112">
        <v>8448.5</v>
      </c>
      <c r="BA26" s="120">
        <f t="shared" si="102"/>
        <v>6080.12</v>
      </c>
      <c r="BB26" s="113">
        <v>2368.38</v>
      </c>
      <c r="BC26" s="112">
        <v>4102.3100000000004</v>
      </c>
      <c r="BD26" s="114">
        <v>0.35416666666666669</v>
      </c>
      <c r="BE26" s="115">
        <v>0</v>
      </c>
      <c r="BF26" s="114">
        <v>0</v>
      </c>
      <c r="BG26" s="115">
        <v>148.15</v>
      </c>
      <c r="BH26" s="114">
        <v>1.0416666666666666E-2</v>
      </c>
      <c r="BI26" s="56">
        <f t="shared" si="53"/>
        <v>45950</v>
      </c>
      <c r="BJ26" s="78">
        <f t="shared" si="103"/>
        <v>0.61055367068505018</v>
      </c>
      <c r="BK26" s="76">
        <f t="shared" si="104"/>
        <v>0.38944632931494982</v>
      </c>
      <c r="BL26" s="79">
        <f t="shared" si="105"/>
        <v>34632.5</v>
      </c>
      <c r="BM26" s="155">
        <v>21145</v>
      </c>
      <c r="BN26" s="155">
        <v>13487.5</v>
      </c>
      <c r="BO26" s="156">
        <v>3970.64</v>
      </c>
      <c r="BP26" s="157">
        <v>0.76736111111111116</v>
      </c>
      <c r="BQ26" s="158">
        <v>2600</v>
      </c>
      <c r="BR26" s="157">
        <v>0.76736111111111116</v>
      </c>
    </row>
    <row r="27" spans="1:70" ht="15.75" thickBot="1" x14ac:dyDescent="0.3">
      <c r="A27" s="14"/>
      <c r="B27" s="56">
        <f t="shared" si="49"/>
        <v>45951</v>
      </c>
      <c r="C27" s="164"/>
      <c r="D27" s="87">
        <f t="shared" si="84"/>
        <v>53976</v>
      </c>
      <c r="E27" s="159">
        <f t="shared" si="85"/>
        <v>0.88376333926189421</v>
      </c>
      <c r="F27" s="87">
        <f t="shared" si="86"/>
        <v>47702.01</v>
      </c>
      <c r="G27" s="159">
        <f t="shared" si="87"/>
        <v>0.11623666073810582</v>
      </c>
      <c r="H27" s="146">
        <f t="shared" si="26"/>
        <v>6273.99</v>
      </c>
      <c r="I27" s="160">
        <f t="shared" si="88"/>
        <v>0.11861942169480194</v>
      </c>
      <c r="J27" s="159">
        <f t="shared" si="89"/>
        <v>0.16291993982951697</v>
      </c>
      <c r="K27" s="159">
        <f t="shared" si="90"/>
        <v>0.16780247955742353</v>
      </c>
      <c r="L27" s="161">
        <f t="shared" si="91"/>
        <v>0.57519638977101784</v>
      </c>
      <c r="M27" s="146">
        <f t="shared" si="92"/>
        <v>6239.5108763162289</v>
      </c>
      <c r="N27" s="146">
        <f t="shared" si="93"/>
        <v>8569.7664177670067</v>
      </c>
      <c r="O27" s="146">
        <f t="shared" si="94"/>
        <v>8826.5933294231945</v>
      </c>
      <c r="P27" s="146">
        <f t="shared" si="95"/>
        <v>30255.957066020386</v>
      </c>
      <c r="Q27" s="56">
        <f t="shared" si="50"/>
        <v>45220</v>
      </c>
      <c r="R27" s="139">
        <v>53976</v>
      </c>
      <c r="S27" s="140">
        <v>0</v>
      </c>
      <c r="T27" s="140">
        <v>52601.09</v>
      </c>
      <c r="U27" s="140">
        <v>0</v>
      </c>
      <c r="V27" s="141">
        <v>13229.73</v>
      </c>
      <c r="W27" s="142">
        <v>0.42708333333333331</v>
      </c>
      <c r="X27" s="141">
        <v>4446.8900000000003</v>
      </c>
      <c r="Y27" s="142">
        <v>0.80208333333333337</v>
      </c>
      <c r="Z27" s="141">
        <v>0</v>
      </c>
      <c r="AA27" s="142">
        <v>0</v>
      </c>
      <c r="AB27" s="56">
        <f t="shared" si="51"/>
        <v>45951</v>
      </c>
      <c r="AC27" s="76">
        <f t="shared" si="96"/>
        <v>1</v>
      </c>
      <c r="AD27" s="162">
        <f t="shared" si="97"/>
        <v>0</v>
      </c>
      <c r="AE27" s="163">
        <v>7097</v>
      </c>
      <c r="AF27" s="118">
        <f t="shared" si="37"/>
        <v>7097</v>
      </c>
      <c r="AG27" s="147">
        <v>0</v>
      </c>
      <c r="AH27" s="148">
        <v>3637.13</v>
      </c>
      <c r="AI27" s="149">
        <v>0.7416666666666667</v>
      </c>
      <c r="AJ27" s="148">
        <v>0</v>
      </c>
      <c r="AK27" s="165">
        <v>0</v>
      </c>
      <c r="AL27" s="56">
        <f t="shared" si="38"/>
        <v>45951</v>
      </c>
      <c r="AM27" s="77">
        <f t="shared" si="98"/>
        <v>0.59921928699666571</v>
      </c>
      <c r="AN27" s="76">
        <f t="shared" si="99"/>
        <v>0.40078071300333418</v>
      </c>
      <c r="AO27" s="150">
        <v>9747.5</v>
      </c>
      <c r="AP27" s="117">
        <f t="shared" si="41"/>
        <v>5840.8899999999994</v>
      </c>
      <c r="AQ27" s="151">
        <v>3906.61</v>
      </c>
      <c r="AR27" s="152">
        <v>3571.03</v>
      </c>
      <c r="AS27" s="153">
        <v>0.34513888888888888</v>
      </c>
      <c r="AT27" s="152">
        <v>178.62</v>
      </c>
      <c r="AU27" s="154">
        <v>0.83333333333333337</v>
      </c>
      <c r="AV27" s="56">
        <f t="shared" si="52"/>
        <v>45951</v>
      </c>
      <c r="AW27" s="110">
        <f t="shared" si="100"/>
        <v>0.72380796826693106</v>
      </c>
      <c r="AX27" s="110">
        <f t="shared" si="101"/>
        <v>0.27619203173306889</v>
      </c>
      <c r="AY27" s="111">
        <f t="shared" si="44"/>
        <v>8571.5</v>
      </c>
      <c r="AZ27" s="112">
        <v>8571.5</v>
      </c>
      <c r="BA27" s="120">
        <f t="shared" si="102"/>
        <v>6204.12</v>
      </c>
      <c r="BB27" s="113">
        <v>2367.38</v>
      </c>
      <c r="BC27" s="112">
        <v>4031.83</v>
      </c>
      <c r="BD27" s="114">
        <v>0.36458333333333331</v>
      </c>
      <c r="BE27" s="115">
        <v>0</v>
      </c>
      <c r="BF27" s="114">
        <v>0</v>
      </c>
      <c r="BG27" s="115">
        <v>143.80000000000001</v>
      </c>
      <c r="BH27" s="114">
        <v>0.84375</v>
      </c>
      <c r="BI27" s="56">
        <f t="shared" si="53"/>
        <v>45951</v>
      </c>
      <c r="BJ27" s="78">
        <f t="shared" si="103"/>
        <v>0.61021677224385429</v>
      </c>
      <c r="BK27" s="76">
        <f t="shared" si="104"/>
        <v>0.38978322775614577</v>
      </c>
      <c r="BL27" s="79">
        <f t="shared" si="105"/>
        <v>34414</v>
      </c>
      <c r="BM27" s="155">
        <v>21000</v>
      </c>
      <c r="BN27" s="155">
        <v>13414</v>
      </c>
      <c r="BO27" s="156">
        <v>4096.84</v>
      </c>
      <c r="BP27" s="157">
        <v>0.78541666666666665</v>
      </c>
      <c r="BQ27" s="158">
        <v>2694.22</v>
      </c>
      <c r="BR27" s="157">
        <v>0.69305555555555554</v>
      </c>
    </row>
    <row r="28" spans="1:70" ht="15.75" thickBot="1" x14ac:dyDescent="0.3">
      <c r="A28" s="14"/>
      <c r="B28" s="56">
        <f t="shared" si="49"/>
        <v>45952</v>
      </c>
      <c r="C28" s="164"/>
      <c r="D28" s="87">
        <f t="shared" si="84"/>
        <v>54052</v>
      </c>
      <c r="E28" s="159">
        <f t="shared" si="85"/>
        <v>0.88494412787685928</v>
      </c>
      <c r="F28" s="87">
        <f t="shared" si="86"/>
        <v>47833</v>
      </c>
      <c r="G28" s="159">
        <f t="shared" si="87"/>
        <v>0.11505587212314068</v>
      </c>
      <c r="H28" s="146">
        <f t="shared" si="26"/>
        <v>6219</v>
      </c>
      <c r="I28" s="160">
        <f t="shared" si="88"/>
        <v>0.11872511287715966</v>
      </c>
      <c r="J28" s="159">
        <f t="shared" si="89"/>
        <v>0.1618100331550624</v>
      </c>
      <c r="K28" s="159">
        <f t="shared" si="90"/>
        <v>0.16567421452636527</v>
      </c>
      <c r="L28" s="161">
        <f t="shared" si="91"/>
        <v>0.57854750837206981</v>
      </c>
      <c r="M28" s="146">
        <f t="shared" si="92"/>
        <v>6264.4118558504524</v>
      </c>
      <c r="N28" s="146">
        <f t="shared" si="93"/>
        <v>8537.7445893937129</v>
      </c>
      <c r="O28" s="146">
        <f t="shared" si="94"/>
        <v>8741.6342552691367</v>
      </c>
      <c r="P28" s="146">
        <f t="shared" si="95"/>
        <v>30526.48073174389</v>
      </c>
      <c r="Q28" s="56">
        <f t="shared" si="50"/>
        <v>45221</v>
      </c>
      <c r="R28" s="139">
        <v>54052</v>
      </c>
      <c r="S28" s="140">
        <v>0</v>
      </c>
      <c r="T28" s="140">
        <v>52764</v>
      </c>
      <c r="U28" s="140">
        <v>0</v>
      </c>
      <c r="V28" s="141">
        <v>14200</v>
      </c>
      <c r="W28" s="142">
        <v>0.82291666666666663</v>
      </c>
      <c r="X28" s="141">
        <v>4553</v>
      </c>
      <c r="Y28" s="142">
        <v>0.80208333333333337</v>
      </c>
      <c r="Z28" s="141">
        <v>0</v>
      </c>
      <c r="AA28" s="142">
        <v>0</v>
      </c>
      <c r="AB28" s="56">
        <f t="shared" si="51"/>
        <v>45952</v>
      </c>
      <c r="AC28" s="76">
        <f t="shared" si="96"/>
        <v>1</v>
      </c>
      <c r="AD28" s="162">
        <f t="shared" si="97"/>
        <v>0</v>
      </c>
      <c r="AE28" s="163">
        <v>7126</v>
      </c>
      <c r="AF28" s="118">
        <f t="shared" si="37"/>
        <v>7126</v>
      </c>
      <c r="AG28" s="147">
        <v>0</v>
      </c>
      <c r="AH28" s="148">
        <v>4286</v>
      </c>
      <c r="AI28" s="149">
        <v>0.35486111111111113</v>
      </c>
      <c r="AJ28" s="148">
        <v>0</v>
      </c>
      <c r="AK28" s="165">
        <v>0</v>
      </c>
      <c r="AL28" s="56">
        <f t="shared" si="38"/>
        <v>45952</v>
      </c>
      <c r="AM28" s="77">
        <f t="shared" si="98"/>
        <v>0.60615733113673809</v>
      </c>
      <c r="AN28" s="76">
        <f t="shared" si="99"/>
        <v>0.39384266886326197</v>
      </c>
      <c r="AO28" s="150">
        <v>9712</v>
      </c>
      <c r="AP28" s="117">
        <f t="shared" si="41"/>
        <v>5887</v>
      </c>
      <c r="AQ28" s="151">
        <v>3825</v>
      </c>
      <c r="AR28" s="152">
        <v>4512</v>
      </c>
      <c r="AS28" s="153">
        <v>0.77222222222222225</v>
      </c>
      <c r="AT28" s="152">
        <v>184</v>
      </c>
      <c r="AU28" s="154">
        <v>0.875</v>
      </c>
      <c r="AV28" s="56">
        <f t="shared" si="52"/>
        <v>45952</v>
      </c>
      <c r="AW28" s="110">
        <f t="shared" si="100"/>
        <v>0.71695436273350677</v>
      </c>
      <c r="AX28" s="110">
        <f t="shared" si="101"/>
        <v>0.28304563726649329</v>
      </c>
      <c r="AY28" s="111">
        <f t="shared" si="44"/>
        <v>8458</v>
      </c>
      <c r="AZ28" s="112">
        <v>8458</v>
      </c>
      <c r="BA28" s="120">
        <f t="shared" si="102"/>
        <v>6064</v>
      </c>
      <c r="BB28" s="113">
        <v>2394</v>
      </c>
      <c r="BC28" s="112">
        <v>4097</v>
      </c>
      <c r="BD28" s="114">
        <v>0.30208333333333331</v>
      </c>
      <c r="BE28" s="115">
        <v>0</v>
      </c>
      <c r="BF28" s="114">
        <v>0</v>
      </c>
      <c r="BG28" s="115">
        <v>150</v>
      </c>
      <c r="BH28" s="114">
        <v>0.91666666666666663</v>
      </c>
      <c r="BI28" s="56">
        <f t="shared" si="53"/>
        <v>45952</v>
      </c>
      <c r="BJ28" s="78">
        <f t="shared" si="103"/>
        <v>0.60829373650107987</v>
      </c>
      <c r="BK28" s="76">
        <f t="shared" si="104"/>
        <v>0.39170626349892007</v>
      </c>
      <c r="BL28" s="79">
        <f t="shared" si="105"/>
        <v>34725</v>
      </c>
      <c r="BM28" s="155">
        <v>21123</v>
      </c>
      <c r="BN28" s="155">
        <v>13602</v>
      </c>
      <c r="BO28" s="156">
        <v>3996</v>
      </c>
      <c r="BP28" s="157">
        <v>0.29791666666666666</v>
      </c>
      <c r="BQ28" s="158">
        <v>2640</v>
      </c>
      <c r="BR28" s="157">
        <v>0.8041666666666667</v>
      </c>
    </row>
    <row r="29" spans="1:70" ht="15.75" thickBot="1" x14ac:dyDescent="0.3">
      <c r="A29" s="14"/>
      <c r="B29" s="56">
        <f t="shared" si="49"/>
        <v>45953</v>
      </c>
      <c r="C29" s="164"/>
      <c r="D29" s="87">
        <f t="shared" si="84"/>
        <v>52850</v>
      </c>
      <c r="E29" s="159">
        <f t="shared" si="85"/>
        <v>0.88410596026490063</v>
      </c>
      <c r="F29" s="87">
        <f t="shared" si="86"/>
        <v>46725</v>
      </c>
      <c r="G29" s="159">
        <f t="shared" si="87"/>
        <v>0.11589403973509933</v>
      </c>
      <c r="H29" s="146">
        <f t="shared" si="26"/>
        <v>6125</v>
      </c>
      <c r="I29" s="160">
        <f t="shared" si="88"/>
        <v>0.11858704793944491</v>
      </c>
      <c r="J29" s="159">
        <f t="shared" si="89"/>
        <v>0.16013456686291</v>
      </c>
      <c r="K29" s="159">
        <f t="shared" si="90"/>
        <v>0.16640378548895898</v>
      </c>
      <c r="L29" s="161">
        <f t="shared" si="91"/>
        <v>0.57931034482758625</v>
      </c>
      <c r="M29" s="146">
        <f t="shared" si="92"/>
        <v>6202.1026072329687</v>
      </c>
      <c r="N29" s="146">
        <f t="shared" si="93"/>
        <v>8375.0378469301922</v>
      </c>
      <c r="O29" s="146">
        <f t="shared" si="94"/>
        <v>8702.9179810725545</v>
      </c>
      <c r="P29" s="146">
        <f t="shared" si="95"/>
        <v>30297.931034482761</v>
      </c>
      <c r="Q29" s="56">
        <f t="shared" si="50"/>
        <v>45222</v>
      </c>
      <c r="R29" s="139">
        <v>52850</v>
      </c>
      <c r="S29" s="140">
        <v>0</v>
      </c>
      <c r="T29" s="140">
        <v>52300</v>
      </c>
      <c r="U29" s="140">
        <v>0</v>
      </c>
      <c r="V29" s="141">
        <v>13550</v>
      </c>
      <c r="W29" s="142">
        <v>0.75</v>
      </c>
      <c r="X29" s="141">
        <v>4760</v>
      </c>
      <c r="Y29" s="142">
        <v>0.77083333333333337</v>
      </c>
      <c r="Z29" s="141">
        <v>0</v>
      </c>
      <c r="AA29" s="142">
        <v>0</v>
      </c>
      <c r="AB29" s="56">
        <f t="shared" si="51"/>
        <v>45953</v>
      </c>
      <c r="AC29" s="76">
        <f t="shared" si="96"/>
        <v>1</v>
      </c>
      <c r="AD29" s="162">
        <f t="shared" si="97"/>
        <v>0</v>
      </c>
      <c r="AE29" s="163">
        <v>7050</v>
      </c>
      <c r="AF29" s="118">
        <f t="shared" si="37"/>
        <v>7050</v>
      </c>
      <c r="AG29" s="147">
        <v>0</v>
      </c>
      <c r="AH29" s="148">
        <v>3580</v>
      </c>
      <c r="AI29" s="149">
        <v>0.36458333333333331</v>
      </c>
      <c r="AJ29" s="148">
        <v>0</v>
      </c>
      <c r="AK29" s="165">
        <v>0</v>
      </c>
      <c r="AL29" s="56">
        <f t="shared" si="38"/>
        <v>45953</v>
      </c>
      <c r="AM29" s="77">
        <f t="shared" si="98"/>
        <v>0.60609243697478987</v>
      </c>
      <c r="AN29" s="76">
        <f t="shared" si="99"/>
        <v>0.39390756302521007</v>
      </c>
      <c r="AO29" s="150">
        <v>9520</v>
      </c>
      <c r="AP29" s="117">
        <f t="shared" si="41"/>
        <v>5770</v>
      </c>
      <c r="AQ29" s="151">
        <v>3750</v>
      </c>
      <c r="AR29" s="152">
        <v>3810</v>
      </c>
      <c r="AS29" s="153">
        <v>0.72916666666666663</v>
      </c>
      <c r="AT29" s="152">
        <v>182</v>
      </c>
      <c r="AU29" s="154">
        <v>0.85416666666666663</v>
      </c>
      <c r="AV29" s="56">
        <f t="shared" si="52"/>
        <v>45953</v>
      </c>
      <c r="AW29" s="110">
        <f t="shared" si="100"/>
        <v>0.71860189573459721</v>
      </c>
      <c r="AX29" s="110">
        <f t="shared" si="101"/>
        <v>0.28139810426540285</v>
      </c>
      <c r="AY29" s="111">
        <f t="shared" si="44"/>
        <v>8440</v>
      </c>
      <c r="AZ29" s="112">
        <v>8440</v>
      </c>
      <c r="BA29" s="120">
        <f t="shared" si="102"/>
        <v>6065</v>
      </c>
      <c r="BB29" s="182">
        <v>2375</v>
      </c>
      <c r="BC29" s="112">
        <v>3750</v>
      </c>
      <c r="BD29" s="114">
        <v>0.35416666666666669</v>
      </c>
      <c r="BE29" s="115">
        <v>0</v>
      </c>
      <c r="BF29" s="114">
        <v>0</v>
      </c>
      <c r="BG29" s="115">
        <v>149</v>
      </c>
      <c r="BH29" s="114">
        <v>0.875</v>
      </c>
      <c r="BI29" s="56">
        <f t="shared" si="53"/>
        <v>45953</v>
      </c>
      <c r="BJ29" s="78">
        <f t="shared" si="103"/>
        <v>0.61033681765389081</v>
      </c>
      <c r="BK29" s="76">
        <f t="shared" si="104"/>
        <v>0.38966318234610919</v>
      </c>
      <c r="BL29" s="79">
        <f t="shared" si="105"/>
        <v>34440</v>
      </c>
      <c r="BM29" s="155">
        <v>21020</v>
      </c>
      <c r="BN29" s="155">
        <v>13420</v>
      </c>
      <c r="BO29" s="156">
        <v>4050</v>
      </c>
      <c r="BP29" s="157">
        <v>0.72916666666666663</v>
      </c>
      <c r="BQ29" s="158">
        <v>2610</v>
      </c>
      <c r="BR29" s="157">
        <v>0.78125</v>
      </c>
    </row>
    <row r="30" spans="1:70" ht="15.75" thickBot="1" x14ac:dyDescent="0.3">
      <c r="A30" s="14"/>
      <c r="B30" s="56">
        <f t="shared" si="49"/>
        <v>45954</v>
      </c>
      <c r="C30" s="164"/>
      <c r="D30" s="87">
        <f t="shared" si="84"/>
        <v>52730</v>
      </c>
      <c r="E30" s="159">
        <f t="shared" si="85"/>
        <v>0.88346292433150009</v>
      </c>
      <c r="F30" s="87">
        <f t="shared" si="86"/>
        <v>46585</v>
      </c>
      <c r="G30" s="159">
        <f t="shared" si="87"/>
        <v>0.11653707566849991</v>
      </c>
      <c r="H30" s="146">
        <f t="shared" si="26"/>
        <v>6145</v>
      </c>
      <c r="I30" s="160">
        <f t="shared" si="88"/>
        <v>0.11864720637004865</v>
      </c>
      <c r="J30" s="159">
        <f t="shared" si="89"/>
        <v>0.15975624126727606</v>
      </c>
      <c r="K30" s="159">
        <f t="shared" si="90"/>
        <v>0.16667324076995899</v>
      </c>
      <c r="L30" s="161">
        <f t="shared" si="91"/>
        <v>0.5793310102183391</v>
      </c>
      <c r="M30" s="146">
        <f t="shared" si="92"/>
        <v>6207.6218372809453</v>
      </c>
      <c r="N30" s="146">
        <f t="shared" si="93"/>
        <v>8358.4465431038825</v>
      </c>
      <c r="O30" s="146">
        <f t="shared" si="94"/>
        <v>8720.3439570842547</v>
      </c>
      <c r="P30" s="146">
        <f t="shared" si="95"/>
        <v>30310.598454623501</v>
      </c>
      <c r="Q30" s="56">
        <f t="shared" si="50"/>
        <v>45223</v>
      </c>
      <c r="R30" s="139">
        <v>52730</v>
      </c>
      <c r="S30" s="140">
        <v>0</v>
      </c>
      <c r="T30" s="140">
        <v>52320</v>
      </c>
      <c r="U30" s="140">
        <v>0</v>
      </c>
      <c r="V30" s="141">
        <v>13490</v>
      </c>
      <c r="W30" s="142">
        <v>0.85416666666666663</v>
      </c>
      <c r="X30" s="141">
        <v>4550</v>
      </c>
      <c r="Y30" s="142">
        <v>0.73958333333333337</v>
      </c>
      <c r="Z30" s="141">
        <v>0</v>
      </c>
      <c r="AA30" s="142">
        <v>0</v>
      </c>
      <c r="AB30" s="56">
        <f t="shared" si="51"/>
        <v>45954</v>
      </c>
      <c r="AC30" s="76">
        <f t="shared" si="96"/>
        <v>1</v>
      </c>
      <c r="AD30" s="162">
        <f t="shared" si="97"/>
        <v>0</v>
      </c>
      <c r="AE30" s="163">
        <v>7048</v>
      </c>
      <c r="AF30" s="118">
        <f t="shared" si="37"/>
        <v>7048</v>
      </c>
      <c r="AG30" s="147">
        <v>0</v>
      </c>
      <c r="AH30" s="148">
        <v>3495</v>
      </c>
      <c r="AI30" s="149">
        <v>0.35416666666666669</v>
      </c>
      <c r="AJ30" s="148">
        <v>0</v>
      </c>
      <c r="AK30" s="165">
        <v>0</v>
      </c>
      <c r="AL30" s="56">
        <f t="shared" si="38"/>
        <v>45954</v>
      </c>
      <c r="AM30" s="77">
        <f t="shared" si="98"/>
        <v>0.60432033719704947</v>
      </c>
      <c r="AN30" s="76">
        <f t="shared" si="99"/>
        <v>0.39567966280295047</v>
      </c>
      <c r="AO30" s="150">
        <v>9490</v>
      </c>
      <c r="AP30" s="117">
        <f t="shared" si="41"/>
        <v>5735</v>
      </c>
      <c r="AQ30" s="151">
        <v>3755</v>
      </c>
      <c r="AR30" s="152">
        <v>3790</v>
      </c>
      <c r="AS30" s="153">
        <v>0.36458333333333331</v>
      </c>
      <c r="AT30" s="152">
        <v>182</v>
      </c>
      <c r="AU30" s="154">
        <v>0.89583333333333337</v>
      </c>
      <c r="AV30" s="56">
        <f t="shared" si="52"/>
        <v>45954</v>
      </c>
      <c r="AW30" s="110">
        <f t="shared" si="100"/>
        <v>0.71719323157022841</v>
      </c>
      <c r="AX30" s="110">
        <f t="shared" si="101"/>
        <v>0.28280676842977165</v>
      </c>
      <c r="AY30" s="111">
        <f t="shared" si="44"/>
        <v>8451</v>
      </c>
      <c r="AZ30" s="112">
        <v>8451</v>
      </c>
      <c r="BA30" s="120">
        <f t="shared" si="102"/>
        <v>6061</v>
      </c>
      <c r="BB30" s="113">
        <v>2390</v>
      </c>
      <c r="BC30" s="112">
        <v>3695</v>
      </c>
      <c r="BD30" s="114">
        <v>0.32291666666666669</v>
      </c>
      <c r="BE30" s="115">
        <v>0</v>
      </c>
      <c r="BF30" s="114">
        <v>0</v>
      </c>
      <c r="BG30" s="115">
        <v>148</v>
      </c>
      <c r="BH30" s="114">
        <v>0.85416666666666663</v>
      </c>
      <c r="BI30" s="56">
        <f t="shared" si="53"/>
        <v>45954</v>
      </c>
      <c r="BJ30" s="78">
        <f t="shared" si="103"/>
        <v>0.6107688731330273</v>
      </c>
      <c r="BK30" s="76">
        <f t="shared" si="104"/>
        <v>0.38923112686697275</v>
      </c>
      <c r="BL30" s="79">
        <f t="shared" si="105"/>
        <v>34414</v>
      </c>
      <c r="BM30" s="155">
        <v>21019</v>
      </c>
      <c r="BN30" s="155">
        <v>13395</v>
      </c>
      <c r="BO30" s="156">
        <v>4060</v>
      </c>
      <c r="BP30" s="157">
        <v>0.79166666666666663</v>
      </c>
      <c r="BQ30" s="158">
        <v>2630</v>
      </c>
      <c r="BR30" s="157">
        <v>0.72916666666666663</v>
      </c>
    </row>
    <row r="31" spans="1:70" ht="15.75" thickBot="1" x14ac:dyDescent="0.3">
      <c r="A31" s="14"/>
      <c r="B31" s="56">
        <f t="shared" si="49"/>
        <v>45955</v>
      </c>
      <c r="C31" s="164"/>
      <c r="D31" s="87">
        <f t="shared" si="84"/>
        <v>32634</v>
      </c>
      <c r="E31" s="159">
        <f t="shared" si="85"/>
        <v>0.81791996077710361</v>
      </c>
      <c r="F31" s="87">
        <f t="shared" si="86"/>
        <v>26692</v>
      </c>
      <c r="G31" s="159">
        <f t="shared" si="87"/>
        <v>0.18208003922289637</v>
      </c>
      <c r="H31" s="146">
        <f t="shared" si="26"/>
        <v>5942</v>
      </c>
      <c r="I31" s="160">
        <f t="shared" si="88"/>
        <v>7.9767022604354462E-2</v>
      </c>
      <c r="J31" s="159">
        <f t="shared" si="89"/>
        <v>0.16147552350575509</v>
      </c>
      <c r="K31" s="159">
        <f t="shared" si="90"/>
        <v>0.15960144280561409</v>
      </c>
      <c r="L31" s="161">
        <f t="shared" si="91"/>
        <v>0.63480793232561361</v>
      </c>
      <c r="M31" s="146">
        <f t="shared" si="92"/>
        <v>2510.3479683816395</v>
      </c>
      <c r="N31" s="146">
        <f t="shared" si="93"/>
        <v>5081.7962002496188</v>
      </c>
      <c r="O31" s="146">
        <f t="shared" si="94"/>
        <v>5022.8170065354807</v>
      </c>
      <c r="P31" s="146">
        <f t="shared" si="95"/>
        <v>19978.040438219385</v>
      </c>
      <c r="Q31" s="56">
        <f t="shared" si="50"/>
        <v>45224</v>
      </c>
      <c r="R31" s="139">
        <v>32634</v>
      </c>
      <c r="S31" s="140">
        <v>0</v>
      </c>
      <c r="T31" s="140">
        <v>31471</v>
      </c>
      <c r="U31" s="140">
        <v>0</v>
      </c>
      <c r="V31" s="141">
        <v>6917</v>
      </c>
      <c r="W31" s="142">
        <v>0.41666666666666669</v>
      </c>
      <c r="X31" s="141">
        <v>2049</v>
      </c>
      <c r="Y31" s="142">
        <v>0.55208333333333337</v>
      </c>
      <c r="Z31" s="141">
        <v>0</v>
      </c>
      <c r="AA31" s="142">
        <v>0</v>
      </c>
      <c r="AB31" s="56">
        <f t="shared" si="51"/>
        <v>45955</v>
      </c>
      <c r="AC31" s="76">
        <f t="shared" si="96"/>
        <v>1</v>
      </c>
      <c r="AD31" s="162">
        <f t="shared" si="97"/>
        <v>0</v>
      </c>
      <c r="AE31" s="163">
        <v>2876</v>
      </c>
      <c r="AF31" s="118">
        <f t="shared" si="37"/>
        <v>2876</v>
      </c>
      <c r="AG31" s="147">
        <v>0</v>
      </c>
      <c r="AH31" s="148">
        <v>1915</v>
      </c>
      <c r="AI31" s="149">
        <v>0.94374999999999998</v>
      </c>
      <c r="AJ31" s="148">
        <v>0</v>
      </c>
      <c r="AK31" s="165">
        <v>0</v>
      </c>
      <c r="AL31" s="56">
        <f t="shared" si="38"/>
        <v>45955</v>
      </c>
      <c r="AM31" s="77">
        <f t="shared" si="98"/>
        <v>0.37993816557883886</v>
      </c>
      <c r="AN31" s="76">
        <f t="shared" si="99"/>
        <v>0.62006183442116114</v>
      </c>
      <c r="AO31" s="150">
        <v>5822</v>
      </c>
      <c r="AP31" s="117">
        <f t="shared" si="41"/>
        <v>2212</v>
      </c>
      <c r="AQ31" s="151">
        <v>3610</v>
      </c>
      <c r="AR31" s="152">
        <v>1863</v>
      </c>
      <c r="AS31" s="153">
        <v>0.87986111111111109</v>
      </c>
      <c r="AT31" s="152">
        <v>176</v>
      </c>
      <c r="AU31" s="154">
        <v>0.86458333333333337</v>
      </c>
      <c r="AV31" s="56">
        <f t="shared" si="52"/>
        <v>45955</v>
      </c>
      <c r="AW31" s="110">
        <f t="shared" si="100"/>
        <v>0.47818303871112106</v>
      </c>
      <c r="AX31" s="110">
        <f t="shared" si="101"/>
        <v>0.52181696128887889</v>
      </c>
      <c r="AY31" s="111">
        <f t="shared" si="44"/>
        <v>4469</v>
      </c>
      <c r="AZ31" s="112">
        <v>4469</v>
      </c>
      <c r="BA31" s="120">
        <f t="shared" si="102"/>
        <v>2137</v>
      </c>
      <c r="BB31" s="113">
        <v>2332</v>
      </c>
      <c r="BC31" s="112">
        <v>1716</v>
      </c>
      <c r="BD31" s="114">
        <v>0.36458333333333331</v>
      </c>
      <c r="BE31" s="115">
        <v>0</v>
      </c>
      <c r="BF31" s="114">
        <v>0</v>
      </c>
      <c r="BG31" s="115">
        <v>144</v>
      </c>
      <c r="BH31" s="114">
        <v>0.86458333333333337</v>
      </c>
      <c r="BI31" s="56">
        <f t="shared" si="53"/>
        <v>45955</v>
      </c>
      <c r="BJ31" s="78">
        <f t="shared" si="103"/>
        <v>0.61058196434813006</v>
      </c>
      <c r="BK31" s="76">
        <f t="shared" si="104"/>
        <v>0.38941803565187</v>
      </c>
      <c r="BL31" s="79">
        <f t="shared" si="105"/>
        <v>22888</v>
      </c>
      <c r="BM31" s="155">
        <v>13975</v>
      </c>
      <c r="BN31" s="155">
        <v>8913</v>
      </c>
      <c r="BO31" s="156">
        <v>3215</v>
      </c>
      <c r="BP31" s="157">
        <v>0.37638888888888888</v>
      </c>
      <c r="BQ31" s="158">
        <v>2124</v>
      </c>
      <c r="BR31" s="157">
        <v>0.37708333333333333</v>
      </c>
    </row>
    <row r="32" spans="1:70" ht="15.75" thickBot="1" x14ac:dyDescent="0.3">
      <c r="A32" s="14"/>
      <c r="B32" s="56">
        <f t="shared" si="49"/>
        <v>45956</v>
      </c>
      <c r="C32" s="164"/>
      <c r="D32" s="87">
        <f t="shared" si="84"/>
        <v>29410</v>
      </c>
      <c r="E32" s="159">
        <f t="shared" si="85"/>
        <v>0.79690955457327439</v>
      </c>
      <c r="F32" s="87">
        <f t="shared" si="86"/>
        <v>23437.11</v>
      </c>
      <c r="G32" s="159">
        <f t="shared" si="87"/>
        <v>0.20309044542672558</v>
      </c>
      <c r="H32" s="146">
        <f t="shared" si="26"/>
        <v>5972.8899999999994</v>
      </c>
      <c r="I32" s="160">
        <f t="shared" si="88"/>
        <v>6.5031569476117337E-2</v>
      </c>
      <c r="J32" s="159">
        <f t="shared" si="89"/>
        <v>0.16563503513752501</v>
      </c>
      <c r="K32" s="159">
        <f t="shared" si="90"/>
        <v>0.16746283792799765</v>
      </c>
      <c r="L32" s="161">
        <f t="shared" si="91"/>
        <v>0.64083709529793209</v>
      </c>
      <c r="M32" s="146">
        <f t="shared" si="92"/>
        <v>1830.9742436511999</v>
      </c>
      <c r="N32" s="146">
        <f t="shared" si="93"/>
        <v>4663.4809159026381</v>
      </c>
      <c r="O32" s="146">
        <f t="shared" si="94"/>
        <v>4714.9429959168428</v>
      </c>
      <c r="P32" s="146">
        <f t="shared" si="95"/>
        <v>18042.870952048524</v>
      </c>
      <c r="Q32" s="56">
        <f t="shared" si="50"/>
        <v>45225</v>
      </c>
      <c r="R32" s="139">
        <v>29410</v>
      </c>
      <c r="S32" s="140">
        <v>0</v>
      </c>
      <c r="T32" s="140">
        <v>28155.16</v>
      </c>
      <c r="U32" s="140">
        <v>0</v>
      </c>
      <c r="V32" s="141">
        <v>6105.29</v>
      </c>
      <c r="W32" s="142">
        <v>0.69791666666666663</v>
      </c>
      <c r="X32" s="141">
        <v>1916.19</v>
      </c>
      <c r="Y32" s="142">
        <v>0.67708333333333337</v>
      </c>
      <c r="Z32" s="141">
        <v>0</v>
      </c>
      <c r="AA32" s="142">
        <v>0</v>
      </c>
      <c r="AB32" s="56">
        <f t="shared" si="51"/>
        <v>45956</v>
      </c>
      <c r="AC32" s="76">
        <f t="shared" si="96"/>
        <v>1</v>
      </c>
      <c r="AD32" s="162">
        <f t="shared" si="97"/>
        <v>0</v>
      </c>
      <c r="AE32" s="163">
        <v>2096</v>
      </c>
      <c r="AF32" s="118">
        <f t="shared" si="37"/>
        <v>2096</v>
      </c>
      <c r="AG32" s="147">
        <v>0</v>
      </c>
      <c r="AH32" s="148">
        <v>1588.94</v>
      </c>
      <c r="AI32" s="149">
        <v>0.93888888888888888</v>
      </c>
      <c r="AJ32" s="148">
        <v>0</v>
      </c>
      <c r="AK32" s="165">
        <v>0</v>
      </c>
      <c r="AL32" s="56">
        <f t="shared" si="38"/>
        <v>45956</v>
      </c>
      <c r="AM32" s="77">
        <f t="shared" si="98"/>
        <v>0.32778121195092258</v>
      </c>
      <c r="AN32" s="76">
        <f t="shared" si="99"/>
        <v>0.67221878804907742</v>
      </c>
      <c r="AO32" s="150">
        <v>5338.5</v>
      </c>
      <c r="AP32" s="117">
        <f t="shared" si="41"/>
        <v>1749.8600000000001</v>
      </c>
      <c r="AQ32" s="151">
        <v>3588.64</v>
      </c>
      <c r="AR32" s="152">
        <v>2178.48</v>
      </c>
      <c r="AS32" s="153">
        <v>0.93541666666666667</v>
      </c>
      <c r="AT32" s="152">
        <v>191.47</v>
      </c>
      <c r="AU32" s="154">
        <v>0.84375</v>
      </c>
      <c r="AV32" s="56">
        <f t="shared" si="52"/>
        <v>45956</v>
      </c>
      <c r="AW32" s="110">
        <f t="shared" si="100"/>
        <v>0.42430278884462153</v>
      </c>
      <c r="AX32" s="110">
        <f t="shared" si="101"/>
        <v>0.57569721115537853</v>
      </c>
      <c r="AY32" s="111">
        <f t="shared" si="44"/>
        <v>4141.5</v>
      </c>
      <c r="AZ32" s="112">
        <v>4141.5</v>
      </c>
      <c r="BA32" s="120">
        <f t="shared" si="102"/>
        <v>1757.25</v>
      </c>
      <c r="BB32" s="113">
        <v>2384.25</v>
      </c>
      <c r="BC32" s="112">
        <v>1414.54</v>
      </c>
      <c r="BD32" s="114">
        <v>0.75</v>
      </c>
      <c r="BE32" s="115">
        <v>0</v>
      </c>
      <c r="BF32" s="114">
        <v>0</v>
      </c>
      <c r="BG32" s="115">
        <v>146</v>
      </c>
      <c r="BH32" s="114">
        <v>0.89583333333333337</v>
      </c>
      <c r="BI32" s="56">
        <f t="shared" si="53"/>
        <v>45956</v>
      </c>
      <c r="BJ32" s="78">
        <f t="shared" si="103"/>
        <v>0.61013338497663949</v>
      </c>
      <c r="BK32" s="76">
        <f t="shared" si="104"/>
        <v>0.38986661502336051</v>
      </c>
      <c r="BL32" s="79">
        <f t="shared" si="105"/>
        <v>20654.5</v>
      </c>
      <c r="BM32" s="155">
        <v>12602</v>
      </c>
      <c r="BN32" s="155">
        <v>8052.5</v>
      </c>
      <c r="BO32" s="156">
        <v>2629.33</v>
      </c>
      <c r="BP32" s="157">
        <v>0.41805555555555557</v>
      </c>
      <c r="BQ32" s="158">
        <v>1746.54</v>
      </c>
      <c r="BR32" s="157">
        <v>0.41875000000000001</v>
      </c>
    </row>
    <row r="33" spans="1:70" ht="15.75" thickBot="1" x14ac:dyDescent="0.3">
      <c r="A33" s="14"/>
      <c r="B33" s="56">
        <f t="shared" si="49"/>
        <v>45957</v>
      </c>
      <c r="C33" s="164"/>
      <c r="D33" s="87">
        <f t="shared" si="84"/>
        <v>52548</v>
      </c>
      <c r="E33" s="159">
        <f t="shared" si="85"/>
        <v>0.88022379538707463</v>
      </c>
      <c r="F33" s="87">
        <f t="shared" si="86"/>
        <v>46254</v>
      </c>
      <c r="G33" s="159">
        <f t="shared" si="87"/>
        <v>0.11977620461292532</v>
      </c>
      <c r="H33" s="146">
        <f t="shared" si="26"/>
        <v>6294</v>
      </c>
      <c r="I33" s="160">
        <f t="shared" si="88"/>
        <v>0.11723937795530974</v>
      </c>
      <c r="J33" s="159">
        <f t="shared" si="89"/>
        <v>0.16239053618067292</v>
      </c>
      <c r="K33" s="159">
        <f t="shared" si="90"/>
        <v>0.16599810518252736</v>
      </c>
      <c r="L33" s="161">
        <f t="shared" si="91"/>
        <v>0.57979549683344433</v>
      </c>
      <c r="M33" s="146">
        <f t="shared" si="92"/>
        <v>6009.221556477356</v>
      </c>
      <c r="N33" s="146">
        <f t="shared" si="93"/>
        <v>8323.489322476571</v>
      </c>
      <c r="O33" s="146">
        <f t="shared" si="94"/>
        <v>8508.3988792356231</v>
      </c>
      <c r="P33" s="146">
        <f t="shared" si="95"/>
        <v>29717.997985695023</v>
      </c>
      <c r="Q33" s="56">
        <f t="shared" si="50"/>
        <v>45226</v>
      </c>
      <c r="R33" s="139">
        <v>52548</v>
      </c>
      <c r="S33" s="140">
        <v>0</v>
      </c>
      <c r="T33" s="140">
        <v>51256</v>
      </c>
      <c r="U33" s="140">
        <v>0</v>
      </c>
      <c r="V33" s="141">
        <v>13125</v>
      </c>
      <c r="W33" s="142">
        <v>0.79166666666666663</v>
      </c>
      <c r="X33" s="141">
        <v>4412</v>
      </c>
      <c r="Y33" s="142">
        <v>0.79166666666666663</v>
      </c>
      <c r="Z33" s="141">
        <v>0</v>
      </c>
      <c r="AA33" s="142">
        <v>0</v>
      </c>
      <c r="AB33" s="56">
        <f t="shared" si="51"/>
        <v>45957</v>
      </c>
      <c r="AC33" s="76">
        <f t="shared" si="96"/>
        <v>1</v>
      </c>
      <c r="AD33" s="162">
        <f t="shared" si="97"/>
        <v>0</v>
      </c>
      <c r="AE33" s="163">
        <v>6868</v>
      </c>
      <c r="AF33" s="118">
        <f t="shared" si="37"/>
        <v>6868</v>
      </c>
      <c r="AG33" s="147">
        <v>0</v>
      </c>
      <c r="AH33" s="148">
        <v>3698</v>
      </c>
      <c r="AI33" s="149">
        <v>0.76041666666666663</v>
      </c>
      <c r="AJ33" s="148">
        <v>0</v>
      </c>
      <c r="AK33" s="165">
        <v>0</v>
      </c>
      <c r="AL33" s="168">
        <f t="shared" si="38"/>
        <v>45957</v>
      </c>
      <c r="AM33" s="77">
        <f t="shared" si="98"/>
        <v>0.59707768317039844</v>
      </c>
      <c r="AN33" s="76">
        <f t="shared" si="99"/>
        <v>0.40292231682960161</v>
      </c>
      <c r="AO33" s="150">
        <v>9513</v>
      </c>
      <c r="AP33" s="117">
        <f t="shared" si="41"/>
        <v>5680</v>
      </c>
      <c r="AQ33" s="151">
        <v>3833</v>
      </c>
      <c r="AR33" s="152">
        <v>3615</v>
      </c>
      <c r="AS33" s="153">
        <v>0.7631944444444444</v>
      </c>
      <c r="AT33" s="152">
        <v>179</v>
      </c>
      <c r="AU33" s="154">
        <v>0.92708333333333337</v>
      </c>
      <c r="AV33" s="56">
        <f t="shared" si="52"/>
        <v>45957</v>
      </c>
      <c r="AW33" s="169">
        <f t="shared" si="100"/>
        <v>0.70115361262902243</v>
      </c>
      <c r="AX33" s="169">
        <f t="shared" si="101"/>
        <v>0.29884638737097752</v>
      </c>
      <c r="AY33" s="111">
        <f t="shared" si="44"/>
        <v>8235</v>
      </c>
      <c r="AZ33" s="112">
        <v>8235</v>
      </c>
      <c r="BA33" s="170">
        <f t="shared" si="102"/>
        <v>5774</v>
      </c>
      <c r="BB33" s="113">
        <v>2461</v>
      </c>
      <c r="BC33" s="112">
        <v>4031</v>
      </c>
      <c r="BD33" s="114">
        <v>0.69791666666666663</v>
      </c>
      <c r="BE33" s="115">
        <v>0</v>
      </c>
      <c r="BF33" s="114">
        <v>0</v>
      </c>
      <c r="BG33" s="115">
        <v>150</v>
      </c>
      <c r="BH33" s="114">
        <v>0.89583333333333337</v>
      </c>
      <c r="BI33" s="56">
        <f t="shared" si="53"/>
        <v>45957</v>
      </c>
      <c r="BJ33" s="171">
        <f t="shared" si="103"/>
        <v>0.60624171941704696</v>
      </c>
      <c r="BK33" s="76">
        <f t="shared" si="104"/>
        <v>0.39375828058295304</v>
      </c>
      <c r="BL33" s="79">
        <f t="shared" si="105"/>
        <v>33965</v>
      </c>
      <c r="BM33" s="155">
        <v>20591</v>
      </c>
      <c r="BN33" s="155">
        <v>13374</v>
      </c>
      <c r="BO33" s="156">
        <v>3805</v>
      </c>
      <c r="BP33" s="157">
        <v>0.74375000000000002</v>
      </c>
      <c r="BQ33" s="158">
        <v>2537</v>
      </c>
      <c r="BR33" s="157">
        <v>0.74375000000000002</v>
      </c>
    </row>
    <row r="34" spans="1:70" ht="15.75" thickBot="1" x14ac:dyDescent="0.3">
      <c r="A34" s="14"/>
      <c r="B34" s="56">
        <f t="shared" si="49"/>
        <v>45958</v>
      </c>
      <c r="C34" s="164"/>
      <c r="D34" s="87">
        <f t="shared" si="84"/>
        <v>53808</v>
      </c>
      <c r="E34" s="159">
        <f t="shared" si="85"/>
        <v>0.8824338388343741</v>
      </c>
      <c r="F34" s="87">
        <f t="shared" si="86"/>
        <v>47482</v>
      </c>
      <c r="G34" s="159">
        <f t="shared" si="87"/>
        <v>0.11756616116562593</v>
      </c>
      <c r="H34" s="146">
        <f t="shared" si="26"/>
        <v>6326</v>
      </c>
      <c r="I34" s="160">
        <f t="shared" si="88"/>
        <v>0.11680897371505106</v>
      </c>
      <c r="J34" s="159">
        <f t="shared" si="89"/>
        <v>0.16042189854344552</v>
      </c>
      <c r="K34" s="159">
        <f t="shared" si="90"/>
        <v>0.16626567799952671</v>
      </c>
      <c r="L34" s="161">
        <f t="shared" si="91"/>
        <v>0.58161727774987448</v>
      </c>
      <c r="M34" s="146">
        <f t="shared" si="92"/>
        <v>6142.8671187008204</v>
      </c>
      <c r="N34" s="146">
        <f t="shared" si="93"/>
        <v>8436.4272225012555</v>
      </c>
      <c r="O34" s="146">
        <f t="shared" si="94"/>
        <v>8743.7457403171102</v>
      </c>
      <c r="P34" s="146">
        <f t="shared" si="95"/>
        <v>30586.67101958815</v>
      </c>
      <c r="Q34" s="56">
        <f t="shared" si="50"/>
        <v>45227</v>
      </c>
      <c r="R34" s="139">
        <v>53808</v>
      </c>
      <c r="S34" s="140">
        <v>0</v>
      </c>
      <c r="T34" s="140">
        <v>52589</v>
      </c>
      <c r="U34" s="140">
        <v>0</v>
      </c>
      <c r="V34" s="141">
        <v>13554</v>
      </c>
      <c r="W34" s="142">
        <v>0.84375</v>
      </c>
      <c r="X34" s="141">
        <v>4532</v>
      </c>
      <c r="Y34" s="142">
        <v>0.79166666666666663</v>
      </c>
      <c r="Z34" s="141">
        <v>0</v>
      </c>
      <c r="AA34" s="142">
        <v>0</v>
      </c>
      <c r="AB34" s="56">
        <f t="shared" si="51"/>
        <v>45958</v>
      </c>
      <c r="AC34" s="76">
        <f t="shared" si="96"/>
        <v>1</v>
      </c>
      <c r="AD34" s="162">
        <f t="shared" si="97"/>
        <v>0</v>
      </c>
      <c r="AE34" s="163">
        <v>6977</v>
      </c>
      <c r="AF34" s="118">
        <f t="shared" si="37"/>
        <v>6977</v>
      </c>
      <c r="AG34" s="147">
        <v>0</v>
      </c>
      <c r="AH34" s="148">
        <v>3827</v>
      </c>
      <c r="AI34" s="149">
        <v>0.7270833333333333</v>
      </c>
      <c r="AJ34" s="148">
        <v>0</v>
      </c>
      <c r="AK34" s="165">
        <v>0</v>
      </c>
      <c r="AL34" s="56">
        <f t="shared" si="38"/>
        <v>45958</v>
      </c>
      <c r="AM34" s="77">
        <f t="shared" si="98"/>
        <v>0.59977040283865579</v>
      </c>
      <c r="AN34" s="76">
        <f t="shared" si="99"/>
        <v>0.40022959716134421</v>
      </c>
      <c r="AO34" s="150">
        <v>9582</v>
      </c>
      <c r="AP34" s="117">
        <f t="shared" si="41"/>
        <v>5747</v>
      </c>
      <c r="AQ34" s="151">
        <v>3835</v>
      </c>
      <c r="AR34" s="152">
        <v>3417</v>
      </c>
      <c r="AS34" s="153">
        <v>0.34027777777777779</v>
      </c>
      <c r="AT34" s="152">
        <v>175</v>
      </c>
      <c r="AU34" s="154">
        <v>0.85416666666666663</v>
      </c>
      <c r="AV34" s="56">
        <f t="shared" si="52"/>
        <v>45958</v>
      </c>
      <c r="AW34" s="110">
        <f t="shared" si="100"/>
        <v>0.70454275886608941</v>
      </c>
      <c r="AX34" s="110">
        <f t="shared" si="101"/>
        <v>0.29545724113391059</v>
      </c>
      <c r="AY34" s="111">
        <f t="shared" si="44"/>
        <v>8431</v>
      </c>
      <c r="AZ34" s="112">
        <v>8431</v>
      </c>
      <c r="BA34" s="120">
        <f t="shared" si="102"/>
        <v>5940</v>
      </c>
      <c r="BB34" s="113">
        <v>2491</v>
      </c>
      <c r="BC34" s="112">
        <v>3877</v>
      </c>
      <c r="BD34" s="114">
        <v>0.36458333333333331</v>
      </c>
      <c r="BE34" s="115">
        <v>0</v>
      </c>
      <c r="BF34" s="114">
        <v>0</v>
      </c>
      <c r="BG34" s="115">
        <v>152</v>
      </c>
      <c r="BH34" s="114">
        <v>0.90625</v>
      </c>
      <c r="BI34" s="56">
        <f t="shared" si="53"/>
        <v>45958</v>
      </c>
      <c r="BJ34" s="78">
        <f t="shared" si="103"/>
        <v>0.60800230282095569</v>
      </c>
      <c r="BK34" s="76">
        <f t="shared" si="104"/>
        <v>0.39199769717904431</v>
      </c>
      <c r="BL34" s="79">
        <f t="shared" si="105"/>
        <v>34740</v>
      </c>
      <c r="BM34" s="155">
        <v>21122</v>
      </c>
      <c r="BN34" s="155">
        <v>13618</v>
      </c>
      <c r="BO34" s="156">
        <v>4240</v>
      </c>
      <c r="BP34" s="157">
        <v>0.78055555555555556</v>
      </c>
      <c r="BQ34" s="158">
        <v>2815</v>
      </c>
      <c r="BR34" s="157">
        <v>0.78055555555555556</v>
      </c>
    </row>
    <row r="35" spans="1:70" ht="15.75" thickBot="1" x14ac:dyDescent="0.3">
      <c r="A35" s="14"/>
      <c r="B35" s="56">
        <f t="shared" si="49"/>
        <v>45959</v>
      </c>
      <c r="C35" s="164"/>
      <c r="D35" s="87">
        <f t="shared" si="84"/>
        <v>54020</v>
      </c>
      <c r="E35" s="159">
        <f t="shared" si="85"/>
        <v>0.88317289892632356</v>
      </c>
      <c r="F35" s="87">
        <f t="shared" si="86"/>
        <v>47709</v>
      </c>
      <c r="G35" s="159">
        <f t="shared" si="87"/>
        <v>0.11682710107367641</v>
      </c>
      <c r="H35" s="146">
        <f t="shared" si="26"/>
        <v>6311</v>
      </c>
      <c r="I35" s="160">
        <f t="shared" si="88"/>
        <v>0.11668079870982759</v>
      </c>
      <c r="J35" s="159">
        <f t="shared" si="89"/>
        <v>0.15812925000415648</v>
      </c>
      <c r="K35" s="159">
        <f t="shared" si="90"/>
        <v>0.16533286257894944</v>
      </c>
      <c r="L35" s="161">
        <f t="shared" si="91"/>
        <v>0.58504996092905714</v>
      </c>
      <c r="M35" s="146">
        <f t="shared" si="92"/>
        <v>6147.677922423396</v>
      </c>
      <c r="N35" s="146">
        <f t="shared" si="93"/>
        <v>8331.5139242189962</v>
      </c>
      <c r="O35" s="146">
        <f t="shared" si="94"/>
        <v>8711.0578635596885</v>
      </c>
      <c r="P35" s="146">
        <f t="shared" si="95"/>
        <v>30825.112341430162</v>
      </c>
      <c r="Q35" s="56">
        <f t="shared" si="50"/>
        <v>45228</v>
      </c>
      <c r="R35" s="139">
        <v>54020</v>
      </c>
      <c r="S35" s="140">
        <v>0</v>
      </c>
      <c r="T35" s="140">
        <v>52688</v>
      </c>
      <c r="U35" s="140">
        <v>0</v>
      </c>
      <c r="V35" s="141">
        <v>13352</v>
      </c>
      <c r="W35" s="142">
        <v>0.79166666666666663</v>
      </c>
      <c r="X35" s="141">
        <v>4487</v>
      </c>
      <c r="Y35" s="142">
        <v>0.80208333333333337</v>
      </c>
      <c r="Z35" s="141">
        <v>0</v>
      </c>
      <c r="AA35" s="142">
        <v>0</v>
      </c>
      <c r="AB35" s="56">
        <f t="shared" si="51"/>
        <v>45959</v>
      </c>
      <c r="AC35" s="76">
        <f t="shared" si="96"/>
        <v>1</v>
      </c>
      <c r="AD35" s="162">
        <f t="shared" si="97"/>
        <v>0</v>
      </c>
      <c r="AE35" s="163">
        <v>7018</v>
      </c>
      <c r="AF35" s="118">
        <f t="shared" si="37"/>
        <v>7018</v>
      </c>
      <c r="AG35" s="147">
        <v>0</v>
      </c>
      <c r="AH35" s="148">
        <v>4047</v>
      </c>
      <c r="AI35" s="149">
        <v>0.33819444444444446</v>
      </c>
      <c r="AJ35" s="148">
        <v>0</v>
      </c>
      <c r="AK35" s="165">
        <v>0</v>
      </c>
      <c r="AL35" s="56">
        <f t="shared" si="38"/>
        <v>45959</v>
      </c>
      <c r="AM35" s="77">
        <f t="shared" si="98"/>
        <v>0.59657238986436756</v>
      </c>
      <c r="AN35" s="76">
        <f t="shared" si="99"/>
        <v>0.40342761013563244</v>
      </c>
      <c r="AO35" s="150">
        <v>9511</v>
      </c>
      <c r="AP35" s="117">
        <f t="shared" si="41"/>
        <v>5674</v>
      </c>
      <c r="AQ35" s="151">
        <v>3837</v>
      </c>
      <c r="AR35" s="152">
        <v>3713</v>
      </c>
      <c r="AS35" s="153">
        <v>0.68194444444444446</v>
      </c>
      <c r="AT35" s="152">
        <v>174</v>
      </c>
      <c r="AU35" s="154">
        <v>0.98958333333333337</v>
      </c>
      <c r="AV35" s="56">
        <f t="shared" si="52"/>
        <v>45959</v>
      </c>
      <c r="AW35" s="110">
        <f t="shared" si="100"/>
        <v>0.70648950053387116</v>
      </c>
      <c r="AX35" s="110">
        <f t="shared" si="101"/>
        <v>0.29351049946612884</v>
      </c>
      <c r="AY35" s="111">
        <f t="shared" si="44"/>
        <v>8429</v>
      </c>
      <c r="AZ35" s="112">
        <v>8429</v>
      </c>
      <c r="BA35" s="120">
        <f t="shared" si="102"/>
        <v>5955</v>
      </c>
      <c r="BB35" s="113">
        <v>2474</v>
      </c>
      <c r="BC35" s="112">
        <v>3486</v>
      </c>
      <c r="BD35" s="114">
        <v>0.76041666666666663</v>
      </c>
      <c r="BE35" s="115">
        <v>0</v>
      </c>
      <c r="BF35" s="114">
        <v>0</v>
      </c>
      <c r="BG35" s="115">
        <v>154</v>
      </c>
      <c r="BH35" s="114">
        <v>0.91666666666666663</v>
      </c>
      <c r="BI35" s="56">
        <f t="shared" si="53"/>
        <v>45959</v>
      </c>
      <c r="BJ35" s="78">
        <f t="shared" si="103"/>
        <v>0.60905396572792636</v>
      </c>
      <c r="BK35" s="76">
        <f t="shared" si="104"/>
        <v>0.39094603427207364</v>
      </c>
      <c r="BL35" s="79">
        <f t="shared" si="105"/>
        <v>35189</v>
      </c>
      <c r="BM35" s="155">
        <v>21432</v>
      </c>
      <c r="BN35" s="155">
        <v>13757</v>
      </c>
      <c r="BO35" s="156">
        <v>4770</v>
      </c>
      <c r="BP35" s="157">
        <v>0.74722222222222223</v>
      </c>
      <c r="BQ35" s="158">
        <v>3203</v>
      </c>
      <c r="BR35" s="157">
        <v>0.74722222222222223</v>
      </c>
    </row>
    <row r="36" spans="1:70" ht="15.75" thickBot="1" x14ac:dyDescent="0.3">
      <c r="A36" s="14"/>
      <c r="B36" s="56">
        <f t="shared" si="49"/>
        <v>45960</v>
      </c>
      <c r="C36" s="164"/>
      <c r="D36" s="87">
        <f t="shared" si="84"/>
        <v>53256</v>
      </c>
      <c r="E36" s="159">
        <f t="shared" si="85"/>
        <v>0.88266110860748082</v>
      </c>
      <c r="F36" s="87">
        <f t="shared" si="86"/>
        <v>47007</v>
      </c>
      <c r="G36" s="159">
        <f t="shared" si="87"/>
        <v>0.11733889139251916</v>
      </c>
      <c r="H36" s="146">
        <f t="shared" si="26"/>
        <v>6249</v>
      </c>
      <c r="I36" s="160">
        <f t="shared" si="88"/>
        <v>0.11801137132800867</v>
      </c>
      <c r="J36" s="159">
        <f t="shared" si="89"/>
        <v>0.15816637335860295</v>
      </c>
      <c r="K36" s="159">
        <f t="shared" si="90"/>
        <v>0.16566144751557757</v>
      </c>
      <c r="L36" s="161">
        <f t="shared" si="91"/>
        <v>0.58345742520644372</v>
      </c>
      <c r="M36" s="146">
        <f>(S36+T36)*I36</f>
        <v>6134.2310816298905</v>
      </c>
      <c r="N36" s="146">
        <f>(S36+T36)*J36</f>
        <v>8221.4880871801815</v>
      </c>
      <c r="O36" s="146">
        <f>(S36+T36)*K36</f>
        <v>8611.0820418597214</v>
      </c>
      <c r="P36" s="146">
        <f>(S36+T36)*L36</f>
        <v>30328.116962230946</v>
      </c>
      <c r="Q36" s="56">
        <f t="shared" si="50"/>
        <v>45229</v>
      </c>
      <c r="R36" s="139">
        <v>53256</v>
      </c>
      <c r="S36" s="140">
        <v>0</v>
      </c>
      <c r="T36" s="140">
        <v>51980</v>
      </c>
      <c r="U36" s="140">
        <v>0</v>
      </c>
      <c r="V36" s="141">
        <v>14857</v>
      </c>
      <c r="W36" s="142">
        <v>0.76041666666666663</v>
      </c>
      <c r="X36" s="141">
        <v>4481</v>
      </c>
      <c r="Y36" s="142">
        <v>0.80208333333333337</v>
      </c>
      <c r="Z36" s="141">
        <v>0</v>
      </c>
      <c r="AA36" s="142">
        <v>0</v>
      </c>
      <c r="AB36" s="56">
        <f t="shared" si="51"/>
        <v>45960</v>
      </c>
      <c r="AC36" s="76">
        <f t="shared" si="96"/>
        <v>1</v>
      </c>
      <c r="AD36" s="162">
        <f t="shared" si="97"/>
        <v>0</v>
      </c>
      <c r="AE36" s="163">
        <v>6974</v>
      </c>
      <c r="AF36" s="118">
        <f t="shared" si="37"/>
        <v>6974</v>
      </c>
      <c r="AG36" s="147">
        <v>0</v>
      </c>
      <c r="AH36" s="148">
        <v>3388</v>
      </c>
      <c r="AI36" s="149">
        <v>0.72152777777777777</v>
      </c>
      <c r="AJ36" s="148">
        <v>0</v>
      </c>
      <c r="AK36" s="165">
        <v>0</v>
      </c>
      <c r="AL36" s="56">
        <f t="shared" si="38"/>
        <v>45960</v>
      </c>
      <c r="AM36" s="77">
        <f t="shared" si="98"/>
        <v>0.59398737562854387</v>
      </c>
      <c r="AN36" s="76">
        <f t="shared" si="99"/>
        <v>0.40601262437145608</v>
      </c>
      <c r="AO36" s="150">
        <v>9347</v>
      </c>
      <c r="AP36" s="117">
        <f t="shared" si="41"/>
        <v>5552</v>
      </c>
      <c r="AQ36" s="151">
        <v>3795</v>
      </c>
      <c r="AR36" s="152">
        <v>4369</v>
      </c>
      <c r="AS36" s="153">
        <v>0.71805555555555556</v>
      </c>
      <c r="AT36" s="152">
        <v>178</v>
      </c>
      <c r="AU36" s="154">
        <v>0.84375</v>
      </c>
      <c r="AV36" s="56">
        <f t="shared" si="52"/>
        <v>45960</v>
      </c>
      <c r="AW36" s="110">
        <f t="shared" si="100"/>
        <v>0.70415913200723323</v>
      </c>
      <c r="AX36" s="110">
        <f t="shared" si="101"/>
        <v>0.29584086799276671</v>
      </c>
      <c r="AY36" s="111">
        <f t="shared" si="44"/>
        <v>8295</v>
      </c>
      <c r="AZ36" s="112">
        <v>8295</v>
      </c>
      <c r="BA36" s="120">
        <f t="shared" si="102"/>
        <v>5841</v>
      </c>
      <c r="BB36" s="113">
        <v>2454</v>
      </c>
      <c r="BC36" s="112">
        <v>4133</v>
      </c>
      <c r="BD36" s="114">
        <v>0.35416666666666669</v>
      </c>
      <c r="BE36" s="115">
        <v>0</v>
      </c>
      <c r="BF36" s="114">
        <v>0</v>
      </c>
      <c r="BG36" s="115">
        <v>155</v>
      </c>
      <c r="BH36" s="114">
        <v>0.89583333333333337</v>
      </c>
      <c r="BI36" s="56">
        <f t="shared" si="53"/>
        <v>45960</v>
      </c>
      <c r="BJ36" s="78">
        <f t="shared" si="103"/>
        <v>0.60777262180974478</v>
      </c>
      <c r="BK36" s="76">
        <f t="shared" si="104"/>
        <v>0.39222737819025522</v>
      </c>
      <c r="BL36" s="79">
        <f t="shared" si="105"/>
        <v>34480</v>
      </c>
      <c r="BM36" s="155">
        <v>20956</v>
      </c>
      <c r="BN36" s="155">
        <v>13524</v>
      </c>
      <c r="BO36" s="156">
        <v>3951</v>
      </c>
      <c r="BP36" s="157">
        <v>0.80208333333333337</v>
      </c>
      <c r="BQ36" s="158">
        <v>2632</v>
      </c>
      <c r="BR36" s="157">
        <v>0.80208333333333337</v>
      </c>
    </row>
    <row r="37" spans="1:70" ht="15.75" thickBot="1" x14ac:dyDescent="0.3">
      <c r="B37" s="56">
        <f t="shared" si="49"/>
        <v>45961</v>
      </c>
      <c r="D37" s="87">
        <f t="shared" ref="D37" si="106">R37</f>
        <v>27964</v>
      </c>
      <c r="E37" s="159">
        <f t="shared" ref="E37" si="107">F37/D37</f>
        <v>0.78440065798884273</v>
      </c>
      <c r="F37" s="87">
        <f t="shared" ref="F37" si="108">D37-H37</f>
        <v>21934.98</v>
      </c>
      <c r="G37" s="159">
        <f t="shared" ref="G37" si="109">H37/D37</f>
        <v>0.21559934201115721</v>
      </c>
      <c r="H37" s="146">
        <f t="shared" ref="H37" si="110">U37+AG37+AQ37+BB37</f>
        <v>6029.02</v>
      </c>
      <c r="I37" s="160">
        <f t="shared" ref="I37" si="111">AE37/(AE37+AO37+BL37+AY37)</f>
        <v>6.6489447920381237E-2</v>
      </c>
      <c r="J37" s="159">
        <f t="shared" ref="J37" si="112">AO37/(AE37+AO37+BL37+AY37)</f>
        <v>0.17209128926637923</v>
      </c>
      <c r="K37" s="159">
        <f t="shared" ref="K37" si="113">AY37/(AF37+AP37+BM37+AZ37+AY37)</f>
        <v>0.17446122392354807</v>
      </c>
      <c r="L37" s="161">
        <f t="shared" ref="L37" si="114">BL37/(AE37+AO37+BL37+AY37)</f>
        <v>0.62647907414011084</v>
      </c>
      <c r="M37" s="146">
        <f>(S37+T37)*I37</f>
        <v>1769.8161247447078</v>
      </c>
      <c r="N37" s="146">
        <f>(S37+T37)*J37</f>
        <v>4580.7259376924821</v>
      </c>
      <c r="O37" s="146">
        <f>(S37+T37)*K37</f>
        <v>4643.808858397003</v>
      </c>
      <c r="P37" s="146">
        <f>(S37+T37)*L37</f>
        <v>16675.619995461471</v>
      </c>
      <c r="Q37" s="56">
        <f t="shared" si="50"/>
        <v>45230</v>
      </c>
      <c r="R37" s="139">
        <v>27964</v>
      </c>
      <c r="S37" s="140">
        <v>0</v>
      </c>
      <c r="T37" s="140">
        <v>26618</v>
      </c>
      <c r="U37" s="140">
        <v>0</v>
      </c>
      <c r="V37" s="141">
        <v>6799.33</v>
      </c>
      <c r="W37" s="142">
        <v>0.69791666666666663</v>
      </c>
      <c r="X37" s="141">
        <v>1958.7</v>
      </c>
      <c r="Y37" s="142">
        <v>0.73958333333333337</v>
      </c>
      <c r="Z37" s="141">
        <v>0</v>
      </c>
      <c r="AA37" s="142">
        <v>0</v>
      </c>
      <c r="AB37" s="56">
        <f t="shared" si="51"/>
        <v>45961</v>
      </c>
      <c r="AC37" s="76">
        <f t="shared" ref="AC37" si="115">+AF37/AE37</f>
        <v>1</v>
      </c>
      <c r="AD37" s="162">
        <f t="shared" ref="AD37" si="116">+AG37/AE37</f>
        <v>0</v>
      </c>
      <c r="AE37" s="163">
        <v>2051</v>
      </c>
      <c r="AF37" s="118">
        <f t="shared" ref="AF37" si="117">+AE37-AG37</f>
        <v>2051</v>
      </c>
      <c r="AG37" s="147">
        <v>0</v>
      </c>
      <c r="AH37" s="148">
        <v>1620.48</v>
      </c>
      <c r="AI37" s="149">
        <v>0.6</v>
      </c>
      <c r="AJ37" s="148">
        <v>0</v>
      </c>
      <c r="AK37" s="165">
        <v>0</v>
      </c>
      <c r="AL37" s="56">
        <f t="shared" si="38"/>
        <v>45961</v>
      </c>
      <c r="AM37" s="77">
        <f t="shared" ref="AM37" si="118">+AP37/AO37</f>
        <v>0.30991240463407743</v>
      </c>
      <c r="AN37" s="76">
        <f t="shared" ref="AN37" si="119">+AQ37/AO37</f>
        <v>0.69008759536592257</v>
      </c>
      <c r="AO37" s="150">
        <v>5308.5</v>
      </c>
      <c r="AP37" s="117">
        <f t="shared" ref="AP37" si="120">AO37-AQ37</f>
        <v>1645.17</v>
      </c>
      <c r="AQ37" s="151">
        <v>3663.33</v>
      </c>
      <c r="AR37" s="152">
        <v>1739</v>
      </c>
      <c r="AS37" s="153">
        <v>0.94374999999999998</v>
      </c>
      <c r="AT37" s="152">
        <v>176.88</v>
      </c>
      <c r="AU37" s="154">
        <v>0.90625</v>
      </c>
      <c r="AV37" s="56">
        <f t="shared" si="52"/>
        <v>45961</v>
      </c>
      <c r="AW37" s="110">
        <f t="shared" ref="AW37" si="121">BA37/AZ37</f>
        <v>0.43166606606606606</v>
      </c>
      <c r="AX37" s="110">
        <f t="shared" ref="AX37" si="122">BB37/AZ37</f>
        <v>0.56833393393393394</v>
      </c>
      <c r="AY37" s="111">
        <f t="shared" ref="AY37" si="123">BA37+BB37</f>
        <v>4162.5</v>
      </c>
      <c r="AZ37" s="112">
        <v>4162.5</v>
      </c>
      <c r="BA37" s="120">
        <f t="shared" ref="BA37" si="124">AZ37-BB37</f>
        <v>1796.81</v>
      </c>
      <c r="BB37" s="113">
        <v>2365.69</v>
      </c>
      <c r="BC37" s="112">
        <v>1987</v>
      </c>
      <c r="BD37" s="114">
        <v>0.89583333333333337</v>
      </c>
      <c r="BE37" s="115">
        <v>0</v>
      </c>
      <c r="BF37" s="114">
        <v>0</v>
      </c>
      <c r="BG37" s="115">
        <v>148</v>
      </c>
      <c r="BH37" s="114">
        <v>0.875</v>
      </c>
      <c r="BI37" s="56">
        <f t="shared" si="53"/>
        <v>45961</v>
      </c>
      <c r="BJ37" s="78">
        <f t="shared" ref="BJ37" si="125">+BM37/BL37</f>
        <v>0.61257438551099608</v>
      </c>
      <c r="BK37" s="76">
        <f t="shared" ref="BK37" si="126">+BN37/BL37</f>
        <v>0.38742561448900387</v>
      </c>
      <c r="BL37" s="79">
        <f t="shared" ref="BL37" si="127">BM37+BN37</f>
        <v>19325</v>
      </c>
      <c r="BM37" s="155">
        <v>11838</v>
      </c>
      <c r="BN37" s="155">
        <v>7487</v>
      </c>
      <c r="BO37" s="156">
        <v>2641.3</v>
      </c>
      <c r="BP37" s="157">
        <v>0.69027777777777777</v>
      </c>
      <c r="BQ37" s="158">
        <v>1747</v>
      </c>
      <c r="BR37" s="157">
        <v>0.69097222222222221</v>
      </c>
    </row>
    <row r="38" spans="1:70" x14ac:dyDescent="0.25">
      <c r="R38" s="176" t="e">
        <f>#REF!-S39</f>
        <v>#REF!</v>
      </c>
    </row>
    <row r="39" spans="1:70" x14ac:dyDescent="0.25">
      <c r="S39" s="177">
        <f>R36-T36</f>
        <v>1276</v>
      </c>
      <c r="T39" s="177"/>
      <c r="U39" s="176"/>
    </row>
    <row r="41" spans="1:70" x14ac:dyDescent="0.25">
      <c r="S41" s="177"/>
      <c r="T41" s="176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8"/>
  <sheetViews>
    <sheetView topLeftCell="A25" zoomScale="85" zoomScaleNormal="85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2" t="s">
        <v>0</v>
      </c>
      <c r="D2" s="225" t="s">
        <v>38</v>
      </c>
      <c r="E2" s="226"/>
      <c r="F2" s="226"/>
      <c r="G2" s="226"/>
      <c r="H2" s="227"/>
      <c r="J2" s="225" t="s">
        <v>39</v>
      </c>
      <c r="K2" s="226"/>
      <c r="L2" s="227"/>
      <c r="N2" s="225" t="s">
        <v>40</v>
      </c>
      <c r="O2" s="226"/>
      <c r="P2" s="226"/>
      <c r="Q2" s="226"/>
      <c r="R2" s="226"/>
      <c r="S2" s="226"/>
      <c r="T2" s="227"/>
      <c r="V2" s="231" t="s">
        <v>41</v>
      </c>
      <c r="W2" s="232"/>
      <c r="X2" s="233"/>
    </row>
    <row r="3" spans="2:27" ht="15.75" thickBot="1" x14ac:dyDescent="0.3">
      <c r="B3" s="223"/>
      <c r="D3" s="228"/>
      <c r="E3" s="229"/>
      <c r="F3" s="229"/>
      <c r="G3" s="229"/>
      <c r="H3" s="230"/>
      <c r="J3" s="228"/>
      <c r="K3" s="229"/>
      <c r="L3" s="230"/>
      <c r="N3" s="228"/>
      <c r="O3" s="229"/>
      <c r="P3" s="229"/>
      <c r="Q3" s="229"/>
      <c r="R3" s="229"/>
      <c r="S3" s="229"/>
      <c r="T3" s="230"/>
      <c r="V3" s="234"/>
      <c r="W3" s="235"/>
      <c r="X3" s="236"/>
    </row>
    <row r="4" spans="2:27" ht="23.25" customHeight="1" x14ac:dyDescent="0.25">
      <c r="B4" s="223"/>
      <c r="D4" s="237" t="s">
        <v>42</v>
      </c>
      <c r="E4" s="238"/>
      <c r="F4" s="237" t="s">
        <v>43</v>
      </c>
      <c r="G4" s="239"/>
      <c r="H4" s="240"/>
      <c r="J4" s="237" t="s">
        <v>42</v>
      </c>
      <c r="K4" s="238"/>
      <c r="L4" s="16" t="s">
        <v>43</v>
      </c>
      <c r="N4" s="220" t="s">
        <v>42</v>
      </c>
      <c r="O4" s="241"/>
      <c r="P4" s="242"/>
      <c r="Q4" s="243"/>
      <c r="R4" s="237" t="s">
        <v>43</v>
      </c>
      <c r="S4" s="244"/>
      <c r="T4" s="240"/>
      <c r="V4" s="220" t="s">
        <v>42</v>
      </c>
      <c r="W4" s="221"/>
      <c r="X4" s="16" t="s">
        <v>43</v>
      </c>
    </row>
    <row r="5" spans="2:27" ht="23.25" thickBot="1" x14ac:dyDescent="0.3">
      <c r="B5" s="224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45930</v>
      </c>
      <c r="C14" s="13"/>
      <c r="D14" s="172">
        <v>114.62</v>
      </c>
      <c r="E14" s="173">
        <v>0.51041666666666663</v>
      </c>
      <c r="F14" s="174">
        <v>1405.06</v>
      </c>
      <c r="G14" s="93">
        <f t="shared" ref="G14" si="0">F14-H14</f>
        <v>927.93</v>
      </c>
      <c r="H14" s="174">
        <v>477.13</v>
      </c>
      <c r="I14" s="90">
        <v>45930</v>
      </c>
      <c r="J14" s="172">
        <v>31.39</v>
      </c>
      <c r="K14" s="173">
        <v>0.54166666666666663</v>
      </c>
      <c r="L14" s="174">
        <v>605.98</v>
      </c>
      <c r="M14" s="90">
        <f t="shared" ref="M14" si="1">B14</f>
        <v>45930</v>
      </c>
      <c r="N14" s="172">
        <v>23.93</v>
      </c>
      <c r="O14" s="173">
        <v>0.71875</v>
      </c>
      <c r="P14" s="172">
        <v>14.66</v>
      </c>
      <c r="Q14" s="173">
        <v>0.3125</v>
      </c>
      <c r="R14" s="92">
        <f t="shared" ref="R14" si="2">S14+T14</f>
        <v>599.17000000000007</v>
      </c>
      <c r="S14" s="174">
        <v>368.85</v>
      </c>
      <c r="T14" s="174">
        <v>230.32</v>
      </c>
      <c r="U14" s="90">
        <v>45930</v>
      </c>
      <c r="V14" s="172">
        <v>26.75</v>
      </c>
      <c r="W14" s="173">
        <v>0.21875</v>
      </c>
      <c r="X14" s="174">
        <v>455</v>
      </c>
    </row>
    <row r="15" spans="2:27" s="52" customFormat="1" ht="15.75" thickBot="1" x14ac:dyDescent="0.3">
      <c r="B15" s="55">
        <f t="shared" ref="B15:B16" si="3">B14+1</f>
        <v>45931</v>
      </c>
      <c r="C15" s="13"/>
      <c r="D15" s="172">
        <v>84</v>
      </c>
      <c r="E15" s="173">
        <v>0.74375000000000002</v>
      </c>
      <c r="F15" s="174">
        <v>1269</v>
      </c>
      <c r="G15" s="93">
        <f t="shared" ref="G15:G44" si="4">F15-H15</f>
        <v>787</v>
      </c>
      <c r="H15" s="174">
        <v>482</v>
      </c>
      <c r="I15" s="90">
        <f t="shared" ref="I15:I45" si="5">I14+1</f>
        <v>45931</v>
      </c>
      <c r="J15" s="172">
        <v>31</v>
      </c>
      <c r="K15" s="173">
        <v>0.59375</v>
      </c>
      <c r="L15" s="174">
        <v>601</v>
      </c>
      <c r="M15" s="90">
        <f t="shared" ref="M15:M44" si="6">B15</f>
        <v>45931</v>
      </c>
      <c r="N15" s="172">
        <v>31</v>
      </c>
      <c r="O15" s="173">
        <v>0.83333333333333337</v>
      </c>
      <c r="P15" s="172">
        <v>15</v>
      </c>
      <c r="Q15" s="173">
        <v>0.54166666666666663</v>
      </c>
      <c r="R15" s="92">
        <f t="shared" ref="R15:R25" si="7">S15+T15</f>
        <v>591</v>
      </c>
      <c r="S15" s="174">
        <v>363</v>
      </c>
      <c r="T15" s="174">
        <v>228</v>
      </c>
      <c r="U15" s="90">
        <f t="shared" ref="U15:U45" si="8">U14+1</f>
        <v>45931</v>
      </c>
      <c r="V15" s="172">
        <v>26</v>
      </c>
      <c r="W15" s="173">
        <v>0.23958333333333334</v>
      </c>
      <c r="X15" s="174">
        <v>448</v>
      </c>
    </row>
    <row r="16" spans="2:27" s="52" customFormat="1" ht="15.75" thickBot="1" x14ac:dyDescent="0.3">
      <c r="B16" s="55">
        <f t="shared" si="3"/>
        <v>45932</v>
      </c>
      <c r="C16" s="13"/>
      <c r="D16" s="50">
        <v>124</v>
      </c>
      <c r="E16" s="11">
        <v>0.54166666666666663</v>
      </c>
      <c r="F16" s="10">
        <v>1343</v>
      </c>
      <c r="G16" s="93">
        <f t="shared" si="4"/>
        <v>846</v>
      </c>
      <c r="H16" s="10">
        <v>497</v>
      </c>
      <c r="I16" s="90">
        <f t="shared" si="5"/>
        <v>45932</v>
      </c>
      <c r="J16" s="50">
        <v>31</v>
      </c>
      <c r="K16" s="54">
        <v>1.0416666666666666E-2</v>
      </c>
      <c r="L16" s="53">
        <v>612</v>
      </c>
      <c r="M16" s="90">
        <f t="shared" si="6"/>
        <v>45932</v>
      </c>
      <c r="N16" s="50">
        <v>24</v>
      </c>
      <c r="O16" s="11">
        <v>0.71875</v>
      </c>
      <c r="P16" s="50">
        <v>15</v>
      </c>
      <c r="Q16" s="11">
        <v>0.45833333333333331</v>
      </c>
      <c r="R16" s="92">
        <f t="shared" si="7"/>
        <v>602</v>
      </c>
      <c r="S16" s="10">
        <v>366</v>
      </c>
      <c r="T16" s="10">
        <v>236</v>
      </c>
      <c r="U16" s="90">
        <f t="shared" si="8"/>
        <v>45932</v>
      </c>
      <c r="V16" s="50">
        <v>25</v>
      </c>
      <c r="W16" s="11">
        <v>0.22916666666666666</v>
      </c>
      <c r="X16" s="10">
        <v>444</v>
      </c>
    </row>
    <row r="17" spans="2:24" ht="15.75" thickBot="1" x14ac:dyDescent="0.3">
      <c r="B17" s="55">
        <f t="shared" ref="B17:B45" si="9">B16+1</f>
        <v>45933</v>
      </c>
      <c r="D17" s="50">
        <v>123</v>
      </c>
      <c r="E17" s="54">
        <v>0.3527777777777778</v>
      </c>
      <c r="F17" s="53">
        <v>1249</v>
      </c>
      <c r="G17" s="93">
        <f t="shared" si="4"/>
        <v>771</v>
      </c>
      <c r="H17" s="53">
        <v>478</v>
      </c>
      <c r="I17" s="90">
        <f t="shared" si="5"/>
        <v>45933</v>
      </c>
      <c r="J17" s="50">
        <v>33</v>
      </c>
      <c r="K17" s="54">
        <v>0.97916666666666663</v>
      </c>
      <c r="L17" s="53">
        <v>602</v>
      </c>
      <c r="M17" s="90">
        <f t="shared" si="6"/>
        <v>45933</v>
      </c>
      <c r="N17" s="50">
        <v>23</v>
      </c>
      <c r="O17" s="54">
        <v>0.43611111111111112</v>
      </c>
      <c r="P17" s="50">
        <v>16</v>
      </c>
      <c r="Q17" s="54">
        <v>0.40277777777777779</v>
      </c>
      <c r="R17" s="92">
        <f t="shared" si="7"/>
        <v>596</v>
      </c>
      <c r="S17" s="53">
        <v>362</v>
      </c>
      <c r="T17" s="53">
        <v>234</v>
      </c>
      <c r="U17" s="90">
        <f t="shared" si="8"/>
        <v>45933</v>
      </c>
      <c r="V17" s="50">
        <v>24</v>
      </c>
      <c r="W17" s="54">
        <v>0.73124999999999996</v>
      </c>
      <c r="X17" s="53">
        <v>510</v>
      </c>
    </row>
    <row r="18" spans="2:24" ht="15.75" thickBot="1" x14ac:dyDescent="0.3">
      <c r="B18" s="55">
        <f t="shared" si="9"/>
        <v>45934</v>
      </c>
      <c r="D18" s="50">
        <v>84</v>
      </c>
      <c r="E18" s="54">
        <v>0.20833333333333334</v>
      </c>
      <c r="F18" s="53">
        <v>858</v>
      </c>
      <c r="G18" s="93">
        <f t="shared" si="4"/>
        <v>417</v>
      </c>
      <c r="H18" s="53">
        <v>441</v>
      </c>
      <c r="I18" s="90">
        <f t="shared" si="5"/>
        <v>45934</v>
      </c>
      <c r="J18" s="50">
        <v>34</v>
      </c>
      <c r="K18" s="54">
        <v>4.1666666666666664E-2</v>
      </c>
      <c r="L18" s="53">
        <v>594</v>
      </c>
      <c r="M18" s="90">
        <f t="shared" si="6"/>
        <v>45934</v>
      </c>
      <c r="N18" s="50">
        <v>24</v>
      </c>
      <c r="O18" s="54">
        <v>0.51041666666666663</v>
      </c>
      <c r="P18" s="50">
        <v>11</v>
      </c>
      <c r="Q18" s="54">
        <v>0.34375</v>
      </c>
      <c r="R18" s="51">
        <f t="shared" si="7"/>
        <v>534</v>
      </c>
      <c r="S18" s="53">
        <v>351</v>
      </c>
      <c r="T18" s="53">
        <v>183</v>
      </c>
      <c r="U18" s="90">
        <f t="shared" si="8"/>
        <v>45934</v>
      </c>
      <c r="V18" s="50">
        <v>26</v>
      </c>
      <c r="W18" s="54">
        <v>0.375</v>
      </c>
      <c r="X18" s="53">
        <v>497</v>
      </c>
    </row>
    <row r="19" spans="2:24" ht="15.75" thickBot="1" x14ac:dyDescent="0.3">
      <c r="B19" s="90">
        <f t="shared" si="9"/>
        <v>45935</v>
      </c>
      <c r="D19" s="91">
        <v>92</v>
      </c>
      <c r="E19" s="89">
        <v>0.91111111111111109</v>
      </c>
      <c r="F19" s="88">
        <v>810</v>
      </c>
      <c r="G19" s="93">
        <f t="shared" si="4"/>
        <v>375</v>
      </c>
      <c r="H19" s="88">
        <v>435</v>
      </c>
      <c r="I19" s="90">
        <f t="shared" si="5"/>
        <v>45935</v>
      </c>
      <c r="J19" s="91">
        <v>32</v>
      </c>
      <c r="K19" s="89">
        <v>0.24305555555555555</v>
      </c>
      <c r="L19" s="88">
        <v>585</v>
      </c>
      <c r="M19" s="90">
        <f t="shared" si="6"/>
        <v>45935</v>
      </c>
      <c r="N19" s="91">
        <v>31</v>
      </c>
      <c r="O19" s="89">
        <v>0.5444444444444444</v>
      </c>
      <c r="P19" s="91">
        <v>11</v>
      </c>
      <c r="Q19" s="89">
        <v>0.71319444444444446</v>
      </c>
      <c r="R19" s="92">
        <f t="shared" si="7"/>
        <v>517</v>
      </c>
      <c r="S19" s="88">
        <v>347</v>
      </c>
      <c r="T19" s="88">
        <v>170</v>
      </c>
      <c r="U19" s="90">
        <f t="shared" si="8"/>
        <v>45935</v>
      </c>
      <c r="V19" s="91">
        <v>26</v>
      </c>
      <c r="W19" s="89">
        <v>0.89583333333333337</v>
      </c>
      <c r="X19" s="88">
        <v>439</v>
      </c>
    </row>
    <row r="20" spans="2:24" ht="15.75" thickBot="1" x14ac:dyDescent="0.3">
      <c r="B20" s="90">
        <f t="shared" si="9"/>
        <v>45936</v>
      </c>
      <c r="D20" s="172">
        <v>114</v>
      </c>
      <c r="E20" s="173">
        <v>0.53125</v>
      </c>
      <c r="F20" s="174">
        <v>1340</v>
      </c>
      <c r="G20" s="93">
        <f t="shared" si="4"/>
        <v>798</v>
      </c>
      <c r="H20" s="174">
        <v>542</v>
      </c>
      <c r="I20" s="90">
        <f t="shared" si="5"/>
        <v>45936</v>
      </c>
      <c r="J20" s="172">
        <v>29</v>
      </c>
      <c r="K20" s="173">
        <v>0.9375</v>
      </c>
      <c r="L20" s="174">
        <v>581</v>
      </c>
      <c r="M20" s="90">
        <f t="shared" si="6"/>
        <v>45936</v>
      </c>
      <c r="N20" s="172">
        <v>25</v>
      </c>
      <c r="O20" s="173">
        <v>0.5625</v>
      </c>
      <c r="P20" s="172">
        <v>15</v>
      </c>
      <c r="Q20" s="173">
        <v>0.6875</v>
      </c>
      <c r="R20" s="92">
        <f t="shared" si="7"/>
        <v>583</v>
      </c>
      <c r="S20" s="174">
        <v>359</v>
      </c>
      <c r="T20" s="174">
        <v>224</v>
      </c>
      <c r="U20" s="175">
        <f t="shared" si="8"/>
        <v>45936</v>
      </c>
      <c r="V20" s="172">
        <v>26</v>
      </c>
      <c r="W20" s="173">
        <v>0.86458333333333337</v>
      </c>
      <c r="X20" s="174">
        <v>461</v>
      </c>
    </row>
    <row r="21" spans="2:24" ht="15.75" thickBot="1" x14ac:dyDescent="0.3">
      <c r="B21" s="90">
        <f t="shared" si="9"/>
        <v>45937</v>
      </c>
      <c r="D21" s="172">
        <v>137</v>
      </c>
      <c r="E21" s="173">
        <v>0.63541666666666663</v>
      </c>
      <c r="F21" s="88">
        <v>1415</v>
      </c>
      <c r="G21" s="93">
        <f t="shared" si="4"/>
        <v>892</v>
      </c>
      <c r="H21" s="88">
        <v>523</v>
      </c>
      <c r="I21" s="90">
        <f t="shared" si="5"/>
        <v>45937</v>
      </c>
      <c r="J21" s="91">
        <v>32</v>
      </c>
      <c r="K21" s="89">
        <v>5.2083333333333336E-2</v>
      </c>
      <c r="L21" s="88">
        <v>573</v>
      </c>
      <c r="M21" s="90">
        <f t="shared" si="6"/>
        <v>45937</v>
      </c>
      <c r="N21" s="91">
        <v>29</v>
      </c>
      <c r="O21" s="89">
        <v>0.55208333333333337</v>
      </c>
      <c r="P21" s="91">
        <v>15</v>
      </c>
      <c r="Q21" s="89">
        <v>0.51041666666666663</v>
      </c>
      <c r="R21" s="92">
        <f t="shared" si="7"/>
        <v>582</v>
      </c>
      <c r="S21" s="88">
        <v>361</v>
      </c>
      <c r="T21" s="88">
        <v>221</v>
      </c>
      <c r="U21" s="90">
        <f t="shared" si="8"/>
        <v>45937</v>
      </c>
      <c r="V21" s="91">
        <v>29</v>
      </c>
      <c r="W21" s="89">
        <v>0.88541666666666663</v>
      </c>
      <c r="X21" s="88">
        <v>478</v>
      </c>
    </row>
    <row r="22" spans="2:24" ht="15.75" thickBot="1" x14ac:dyDescent="0.3">
      <c r="B22" s="90">
        <f t="shared" si="9"/>
        <v>45938</v>
      </c>
      <c r="D22" s="172">
        <v>115</v>
      </c>
      <c r="E22" s="89">
        <v>0.66180555555555554</v>
      </c>
      <c r="F22" s="88">
        <v>1220</v>
      </c>
      <c r="G22" s="93">
        <f t="shared" si="4"/>
        <v>722</v>
      </c>
      <c r="H22" s="88">
        <v>498</v>
      </c>
      <c r="I22" s="90">
        <f t="shared" si="5"/>
        <v>45938</v>
      </c>
      <c r="J22" s="91">
        <v>31</v>
      </c>
      <c r="K22" s="89">
        <v>0.34722222222222221</v>
      </c>
      <c r="L22" s="88">
        <v>568</v>
      </c>
      <c r="M22" s="90">
        <f t="shared" si="6"/>
        <v>45938</v>
      </c>
      <c r="N22" s="91">
        <v>32</v>
      </c>
      <c r="O22" s="89">
        <v>0.55555555555555558</v>
      </c>
      <c r="P22" s="91">
        <v>18</v>
      </c>
      <c r="Q22" s="89">
        <v>0.47916666666666669</v>
      </c>
      <c r="R22" s="92">
        <f t="shared" si="7"/>
        <v>590</v>
      </c>
      <c r="S22" s="88">
        <v>355</v>
      </c>
      <c r="T22" s="88">
        <v>235</v>
      </c>
      <c r="U22" s="90">
        <f t="shared" si="8"/>
        <v>45938</v>
      </c>
      <c r="V22" s="91">
        <v>28</v>
      </c>
      <c r="W22" s="89">
        <v>0.90972222222222221</v>
      </c>
      <c r="X22" s="88">
        <v>460</v>
      </c>
    </row>
    <row r="23" spans="2:24" ht="15.75" thickBot="1" x14ac:dyDescent="0.3">
      <c r="B23" s="90">
        <f t="shared" si="9"/>
        <v>45939</v>
      </c>
      <c r="D23" s="172">
        <v>120</v>
      </c>
      <c r="E23" s="89">
        <v>0.47569444444444442</v>
      </c>
      <c r="F23" s="88">
        <v>1230</v>
      </c>
      <c r="G23" s="93">
        <f t="shared" si="4"/>
        <v>741</v>
      </c>
      <c r="H23" s="88">
        <v>489</v>
      </c>
      <c r="I23" s="90">
        <f t="shared" si="5"/>
        <v>45939</v>
      </c>
      <c r="J23" s="91">
        <v>31</v>
      </c>
      <c r="K23" s="89">
        <v>0.56041666666666667</v>
      </c>
      <c r="L23" s="88">
        <v>574</v>
      </c>
      <c r="M23" s="90">
        <f t="shared" si="6"/>
        <v>45939</v>
      </c>
      <c r="N23" s="91">
        <v>30</v>
      </c>
      <c r="O23" s="89">
        <v>0.34583333333333333</v>
      </c>
      <c r="P23" s="91">
        <v>17</v>
      </c>
      <c r="Q23" s="89">
        <v>0.42083333333333334</v>
      </c>
      <c r="R23" s="92">
        <f t="shared" si="7"/>
        <v>586</v>
      </c>
      <c r="S23" s="88">
        <v>356</v>
      </c>
      <c r="T23" s="88">
        <v>230</v>
      </c>
      <c r="U23" s="90">
        <f t="shared" si="8"/>
        <v>45939</v>
      </c>
      <c r="V23" s="91">
        <v>30</v>
      </c>
      <c r="W23" s="89">
        <v>0.81458333333333333</v>
      </c>
      <c r="X23" s="88">
        <v>490</v>
      </c>
    </row>
    <row r="24" spans="2:24" ht="15.75" thickBot="1" x14ac:dyDescent="0.3">
      <c r="B24" s="90">
        <f t="shared" si="9"/>
        <v>45940</v>
      </c>
      <c r="D24" s="172">
        <v>110</v>
      </c>
      <c r="E24" s="89">
        <v>0.42916666666666664</v>
      </c>
      <c r="F24" s="88">
        <v>1184</v>
      </c>
      <c r="G24" s="93">
        <f t="shared" si="4"/>
        <v>706</v>
      </c>
      <c r="H24" s="88">
        <v>478</v>
      </c>
      <c r="I24" s="90">
        <f t="shared" si="5"/>
        <v>45940</v>
      </c>
      <c r="J24" s="91">
        <v>32</v>
      </c>
      <c r="K24" s="89">
        <v>0.25138888888888888</v>
      </c>
      <c r="L24" s="88">
        <v>580</v>
      </c>
      <c r="M24" s="90">
        <f t="shared" si="6"/>
        <v>45940</v>
      </c>
      <c r="N24" s="91">
        <v>32</v>
      </c>
      <c r="O24" s="89">
        <v>0.65625</v>
      </c>
      <c r="P24" s="91">
        <v>16</v>
      </c>
      <c r="Q24" s="89">
        <v>0.68472222222222223</v>
      </c>
      <c r="R24" s="92">
        <f t="shared" si="7"/>
        <v>572</v>
      </c>
      <c r="S24" s="88">
        <v>344</v>
      </c>
      <c r="T24" s="88">
        <v>228</v>
      </c>
      <c r="U24" s="90">
        <f t="shared" si="8"/>
        <v>45940</v>
      </c>
      <c r="V24" s="91">
        <v>29</v>
      </c>
      <c r="W24" s="89">
        <v>0.77083333333333337</v>
      </c>
      <c r="X24" s="88">
        <v>510</v>
      </c>
    </row>
    <row r="25" spans="2:24" ht="15.75" thickBot="1" x14ac:dyDescent="0.3">
      <c r="B25" s="90">
        <f t="shared" si="9"/>
        <v>45941</v>
      </c>
      <c r="D25" s="172">
        <v>93</v>
      </c>
      <c r="E25" s="89">
        <v>0.83611111111111114</v>
      </c>
      <c r="F25" s="88">
        <v>890</v>
      </c>
      <c r="G25" s="93">
        <f t="shared" si="4"/>
        <v>408</v>
      </c>
      <c r="H25" s="88">
        <v>482</v>
      </c>
      <c r="I25" s="90">
        <f t="shared" si="5"/>
        <v>45941</v>
      </c>
      <c r="J25" s="91">
        <v>29</v>
      </c>
      <c r="K25" s="89">
        <v>0.79583333333333328</v>
      </c>
      <c r="L25" s="88">
        <v>575</v>
      </c>
      <c r="M25" s="90">
        <f t="shared" si="6"/>
        <v>45941</v>
      </c>
      <c r="N25" s="91">
        <v>29</v>
      </c>
      <c r="O25" s="89">
        <v>0.66111111111111109</v>
      </c>
      <c r="P25" s="91">
        <v>14</v>
      </c>
      <c r="Q25" s="89">
        <v>0.36319444444444443</v>
      </c>
      <c r="R25" s="92">
        <f t="shared" si="7"/>
        <v>534</v>
      </c>
      <c r="S25" s="88">
        <v>336</v>
      </c>
      <c r="T25" s="88">
        <v>198</v>
      </c>
      <c r="U25" s="90">
        <f t="shared" si="8"/>
        <v>45941</v>
      </c>
      <c r="V25" s="91">
        <v>29</v>
      </c>
      <c r="W25" s="89">
        <v>0.83750000000000002</v>
      </c>
      <c r="X25" s="88">
        <v>470</v>
      </c>
    </row>
    <row r="26" spans="2:24" ht="15.75" thickBot="1" x14ac:dyDescent="0.3">
      <c r="B26" s="90">
        <f t="shared" si="9"/>
        <v>45942</v>
      </c>
      <c r="D26" s="172">
        <v>84</v>
      </c>
      <c r="E26" s="89">
        <v>0.58333333333333337</v>
      </c>
      <c r="F26" s="88">
        <v>837</v>
      </c>
      <c r="G26" s="93">
        <f t="shared" si="4"/>
        <v>357</v>
      </c>
      <c r="H26" s="88">
        <v>480</v>
      </c>
      <c r="I26" s="90">
        <f t="shared" si="5"/>
        <v>45942</v>
      </c>
      <c r="J26" s="91">
        <v>28</v>
      </c>
      <c r="K26" s="89">
        <v>0.77083333333333337</v>
      </c>
      <c r="L26" s="88">
        <v>563</v>
      </c>
      <c r="M26" s="90">
        <f t="shared" si="6"/>
        <v>45942</v>
      </c>
      <c r="N26" s="91">
        <v>25</v>
      </c>
      <c r="O26" s="89">
        <v>0.875</v>
      </c>
      <c r="P26" s="91">
        <v>9</v>
      </c>
      <c r="Q26" s="89">
        <v>0.11458333333333333</v>
      </c>
      <c r="R26" s="92">
        <f t="shared" ref="R26:R44" si="10">S26+T26</f>
        <v>512</v>
      </c>
      <c r="S26" s="88">
        <v>338</v>
      </c>
      <c r="T26" s="88">
        <v>174</v>
      </c>
      <c r="U26" s="90">
        <f t="shared" si="8"/>
        <v>45942</v>
      </c>
      <c r="V26" s="91">
        <v>28</v>
      </c>
      <c r="W26" s="89">
        <v>0.19791666666666666</v>
      </c>
      <c r="X26" s="88">
        <v>444</v>
      </c>
    </row>
    <row r="27" spans="2:24" ht="15.75" thickBot="1" x14ac:dyDescent="0.3">
      <c r="B27" s="90">
        <f t="shared" si="9"/>
        <v>45943</v>
      </c>
      <c r="D27" s="172">
        <v>91</v>
      </c>
      <c r="E27" s="89">
        <v>0.55208333333333337</v>
      </c>
      <c r="F27" s="88">
        <v>1160</v>
      </c>
      <c r="G27" s="93">
        <f t="shared" si="4"/>
        <v>647</v>
      </c>
      <c r="H27" s="88">
        <v>513</v>
      </c>
      <c r="I27" s="90">
        <f t="shared" si="5"/>
        <v>45943</v>
      </c>
      <c r="J27" s="91">
        <v>28</v>
      </c>
      <c r="K27" s="89">
        <v>0.86458333333333337</v>
      </c>
      <c r="L27" s="88">
        <v>593</v>
      </c>
      <c r="M27" s="90">
        <f t="shared" si="6"/>
        <v>45943</v>
      </c>
      <c r="N27" s="91">
        <v>28</v>
      </c>
      <c r="O27" s="89">
        <v>0.52083333333333337</v>
      </c>
      <c r="P27" s="91">
        <v>15</v>
      </c>
      <c r="Q27" s="89">
        <v>0.42708333333333331</v>
      </c>
      <c r="R27" s="92">
        <f t="shared" si="10"/>
        <v>574</v>
      </c>
      <c r="S27" s="88">
        <v>349</v>
      </c>
      <c r="T27" s="88">
        <v>225</v>
      </c>
      <c r="U27" s="90">
        <f t="shared" si="8"/>
        <v>45943</v>
      </c>
      <c r="V27" s="91">
        <v>28</v>
      </c>
      <c r="W27" s="89">
        <v>0.125</v>
      </c>
      <c r="X27" s="88">
        <v>453</v>
      </c>
    </row>
    <row r="28" spans="2:24" ht="15.75" thickBot="1" x14ac:dyDescent="0.3">
      <c r="B28" s="90">
        <f t="shared" si="9"/>
        <v>45944</v>
      </c>
      <c r="D28" s="172">
        <v>109</v>
      </c>
      <c r="E28" s="89">
        <v>0.60416666666666663</v>
      </c>
      <c r="F28" s="88">
        <v>1210</v>
      </c>
      <c r="G28" s="93">
        <f t="shared" si="4"/>
        <v>690</v>
      </c>
      <c r="H28" s="88">
        <v>520</v>
      </c>
      <c r="I28" s="90">
        <f t="shared" si="5"/>
        <v>45944</v>
      </c>
      <c r="J28" s="91">
        <v>30</v>
      </c>
      <c r="K28" s="89">
        <v>0.875</v>
      </c>
      <c r="L28" s="88">
        <v>580</v>
      </c>
      <c r="M28" s="90">
        <f t="shared" si="6"/>
        <v>45944</v>
      </c>
      <c r="N28" s="91">
        <v>29</v>
      </c>
      <c r="O28" s="89">
        <v>0.60416666666666663</v>
      </c>
      <c r="P28" s="91">
        <v>14</v>
      </c>
      <c r="Q28" s="89">
        <v>0.39583333333333331</v>
      </c>
      <c r="R28" s="92">
        <f t="shared" si="10"/>
        <v>581</v>
      </c>
      <c r="S28" s="88">
        <v>358</v>
      </c>
      <c r="T28" s="88">
        <v>223</v>
      </c>
      <c r="U28" s="90">
        <f t="shared" si="8"/>
        <v>45944</v>
      </c>
      <c r="V28" s="91">
        <v>29</v>
      </c>
      <c r="W28" s="89">
        <v>0.85416666666666663</v>
      </c>
      <c r="X28" s="88">
        <v>480</v>
      </c>
    </row>
    <row r="29" spans="2:24" ht="15.75" thickBot="1" x14ac:dyDescent="0.3">
      <c r="B29" s="90">
        <f t="shared" si="9"/>
        <v>45945</v>
      </c>
      <c r="D29" s="172">
        <v>109</v>
      </c>
      <c r="E29" s="89">
        <v>0.65625</v>
      </c>
      <c r="F29" s="88">
        <v>1319</v>
      </c>
      <c r="G29" s="93">
        <f t="shared" si="4"/>
        <v>819</v>
      </c>
      <c r="H29" s="88">
        <v>500</v>
      </c>
      <c r="I29" s="90">
        <f t="shared" si="5"/>
        <v>45945</v>
      </c>
      <c r="J29" s="91">
        <v>35</v>
      </c>
      <c r="K29" s="89">
        <v>0.27083333333333331</v>
      </c>
      <c r="L29" s="88">
        <v>607</v>
      </c>
      <c r="M29" s="90">
        <f t="shared" si="6"/>
        <v>45945</v>
      </c>
      <c r="N29" s="91">
        <v>27</v>
      </c>
      <c r="O29" s="89">
        <v>0.44791666666666669</v>
      </c>
      <c r="P29" s="91">
        <v>15</v>
      </c>
      <c r="Q29" s="89">
        <v>0.4375</v>
      </c>
      <c r="R29" s="92">
        <f t="shared" si="10"/>
        <v>573</v>
      </c>
      <c r="S29" s="88">
        <v>347</v>
      </c>
      <c r="T29" s="88">
        <v>226</v>
      </c>
      <c r="U29" s="90">
        <f t="shared" si="8"/>
        <v>45945</v>
      </c>
      <c r="V29" s="91">
        <v>24</v>
      </c>
      <c r="W29" s="89">
        <v>0.47916666666666669</v>
      </c>
      <c r="X29" s="88">
        <v>467</v>
      </c>
    </row>
    <row r="30" spans="2:24" ht="15.75" thickBot="1" x14ac:dyDescent="0.3">
      <c r="B30" s="90">
        <f t="shared" si="9"/>
        <v>45946</v>
      </c>
      <c r="D30" s="172">
        <v>110</v>
      </c>
      <c r="E30" s="89">
        <v>0.52083333333333337</v>
      </c>
      <c r="F30" s="88">
        <v>1346</v>
      </c>
      <c r="G30" s="93">
        <f t="shared" si="4"/>
        <v>826</v>
      </c>
      <c r="H30" s="88">
        <v>520</v>
      </c>
      <c r="I30" s="90">
        <f t="shared" si="5"/>
        <v>45946</v>
      </c>
      <c r="J30" s="91">
        <v>30</v>
      </c>
      <c r="K30" s="89">
        <v>0.86458333333333337</v>
      </c>
      <c r="L30" s="88">
        <v>610</v>
      </c>
      <c r="M30" s="90">
        <f t="shared" si="6"/>
        <v>45946</v>
      </c>
      <c r="N30" s="91">
        <v>23</v>
      </c>
      <c r="O30" s="89">
        <v>0.51041666666666663</v>
      </c>
      <c r="P30" s="91">
        <v>15</v>
      </c>
      <c r="Q30" s="89">
        <v>0.33333333333333331</v>
      </c>
      <c r="R30" s="92">
        <f t="shared" si="10"/>
        <v>573</v>
      </c>
      <c r="S30" s="88">
        <v>347</v>
      </c>
      <c r="T30" s="88">
        <v>226</v>
      </c>
      <c r="U30" s="90">
        <f t="shared" si="8"/>
        <v>45946</v>
      </c>
      <c r="V30" s="91">
        <v>24</v>
      </c>
      <c r="W30" s="89">
        <v>0.83333333333333337</v>
      </c>
      <c r="X30" s="88">
        <v>450</v>
      </c>
    </row>
    <row r="31" spans="2:24" ht="15.75" thickBot="1" x14ac:dyDescent="0.3">
      <c r="B31" s="90">
        <f t="shared" si="9"/>
        <v>45947</v>
      </c>
      <c r="D31" s="172">
        <v>102</v>
      </c>
      <c r="E31" s="89">
        <v>0.5</v>
      </c>
      <c r="F31" s="88">
        <v>1254</v>
      </c>
      <c r="G31" s="93">
        <f t="shared" si="4"/>
        <v>739</v>
      </c>
      <c r="H31" s="88">
        <v>515</v>
      </c>
      <c r="I31" s="90">
        <f t="shared" si="5"/>
        <v>45947</v>
      </c>
      <c r="J31" s="91">
        <v>30</v>
      </c>
      <c r="K31" s="89">
        <v>0.58333333333333337</v>
      </c>
      <c r="L31" s="88">
        <v>614</v>
      </c>
      <c r="M31" s="90">
        <f t="shared" si="6"/>
        <v>45947</v>
      </c>
      <c r="N31" s="91">
        <v>27</v>
      </c>
      <c r="O31" s="89">
        <v>0.69791666666666663</v>
      </c>
      <c r="P31" s="91">
        <v>14</v>
      </c>
      <c r="Q31" s="89">
        <v>0.32291666666666669</v>
      </c>
      <c r="R31" s="92">
        <f t="shared" si="10"/>
        <v>575</v>
      </c>
      <c r="S31" s="88">
        <v>351</v>
      </c>
      <c r="T31" s="88">
        <v>224</v>
      </c>
      <c r="U31" s="90">
        <f t="shared" si="8"/>
        <v>45947</v>
      </c>
      <c r="V31" s="91">
        <v>24</v>
      </c>
      <c r="W31" s="89">
        <v>3.125E-2</v>
      </c>
      <c r="X31" s="88">
        <v>436</v>
      </c>
    </row>
    <row r="32" spans="2:24" ht="15.75" thickBot="1" x14ac:dyDescent="0.3">
      <c r="B32" s="90">
        <f t="shared" si="9"/>
        <v>45948</v>
      </c>
      <c r="D32" s="172">
        <v>59</v>
      </c>
      <c r="E32" s="89">
        <v>0.20833333333333334</v>
      </c>
      <c r="F32" s="88">
        <v>832</v>
      </c>
      <c r="G32" s="93">
        <f t="shared" si="4"/>
        <v>398</v>
      </c>
      <c r="H32" s="88">
        <v>434</v>
      </c>
      <c r="I32" s="90">
        <f t="shared" si="5"/>
        <v>45948</v>
      </c>
      <c r="J32" s="91">
        <v>30</v>
      </c>
      <c r="K32" s="89">
        <v>1.0416666666666666E-2</v>
      </c>
      <c r="L32" s="88">
        <v>571</v>
      </c>
      <c r="M32" s="90">
        <f t="shared" si="6"/>
        <v>45948</v>
      </c>
      <c r="N32" s="91">
        <v>26</v>
      </c>
      <c r="O32" s="89">
        <v>0.32291666666666669</v>
      </c>
      <c r="P32" s="91">
        <v>12</v>
      </c>
      <c r="Q32" s="89">
        <v>0.41666666666666669</v>
      </c>
      <c r="R32" s="92">
        <f t="shared" si="10"/>
        <v>529</v>
      </c>
      <c r="S32" s="88">
        <v>340</v>
      </c>
      <c r="T32" s="88">
        <v>189</v>
      </c>
      <c r="U32" s="90">
        <f t="shared" si="8"/>
        <v>45948</v>
      </c>
      <c r="V32" s="91">
        <v>23</v>
      </c>
      <c r="W32" s="89">
        <v>0.89583333333333337</v>
      </c>
      <c r="X32" s="88">
        <v>414</v>
      </c>
    </row>
    <row r="33" spans="2:24" ht="15.75" thickBot="1" x14ac:dyDescent="0.3">
      <c r="B33" s="90">
        <f t="shared" si="9"/>
        <v>45949</v>
      </c>
      <c r="D33" s="172">
        <v>80</v>
      </c>
      <c r="E33" s="89">
        <v>0.95833333333333337</v>
      </c>
      <c r="F33" s="88">
        <v>753</v>
      </c>
      <c r="G33" s="93">
        <f t="shared" si="4"/>
        <v>320</v>
      </c>
      <c r="H33" s="88">
        <v>433</v>
      </c>
      <c r="I33" s="90">
        <f t="shared" si="5"/>
        <v>45949</v>
      </c>
      <c r="J33" s="91">
        <v>29</v>
      </c>
      <c r="K33" s="89">
        <v>0.83333333333333337</v>
      </c>
      <c r="L33" s="88">
        <v>557</v>
      </c>
      <c r="M33" s="90">
        <f t="shared" si="6"/>
        <v>45949</v>
      </c>
      <c r="N33" s="91">
        <v>21</v>
      </c>
      <c r="O33" s="89">
        <v>0.60416666666666663</v>
      </c>
      <c r="P33" s="91">
        <v>8</v>
      </c>
      <c r="Q33" s="89">
        <v>0.88541666666666663</v>
      </c>
      <c r="R33" s="92">
        <f t="shared" si="10"/>
        <v>505</v>
      </c>
      <c r="S33" s="88">
        <v>342</v>
      </c>
      <c r="T33" s="88">
        <v>163</v>
      </c>
      <c r="U33" s="90">
        <f t="shared" si="8"/>
        <v>45949</v>
      </c>
      <c r="V33" s="91">
        <v>24</v>
      </c>
      <c r="W33" s="89">
        <v>0.75</v>
      </c>
      <c r="X33" s="88">
        <v>497</v>
      </c>
    </row>
    <row r="34" spans="2:24" ht="15.75" thickBot="1" x14ac:dyDescent="0.3">
      <c r="B34" s="90">
        <f t="shared" si="9"/>
        <v>45950</v>
      </c>
      <c r="D34" s="172">
        <v>104.31</v>
      </c>
      <c r="E34" s="89">
        <v>0.625</v>
      </c>
      <c r="F34" s="88">
        <v>1220.44</v>
      </c>
      <c r="G34" s="93">
        <f t="shared" si="4"/>
        <v>730.48</v>
      </c>
      <c r="H34" s="88">
        <v>489.96</v>
      </c>
      <c r="I34" s="90">
        <f t="shared" si="5"/>
        <v>45950</v>
      </c>
      <c r="J34" s="91">
        <v>29.4</v>
      </c>
      <c r="K34" s="89">
        <v>0.79166666666666663</v>
      </c>
      <c r="L34" s="88">
        <v>601.04</v>
      </c>
      <c r="M34" s="90">
        <f t="shared" si="6"/>
        <v>45950</v>
      </c>
      <c r="N34" s="91">
        <v>26.54</v>
      </c>
      <c r="O34" s="89">
        <v>0.71875</v>
      </c>
      <c r="P34" s="91">
        <v>15</v>
      </c>
      <c r="Q34" s="89">
        <v>0.66666666666666663</v>
      </c>
      <c r="R34" s="92">
        <f t="shared" si="10"/>
        <v>570.02</v>
      </c>
      <c r="S34" s="88">
        <v>353.45</v>
      </c>
      <c r="T34" s="88">
        <v>216.57</v>
      </c>
      <c r="U34" s="90">
        <f t="shared" si="8"/>
        <v>45950</v>
      </c>
      <c r="V34" s="91">
        <v>26.13</v>
      </c>
      <c r="W34" s="89">
        <v>0.88541666666666663</v>
      </c>
      <c r="X34" s="88">
        <v>464.3</v>
      </c>
    </row>
    <row r="35" spans="2:24" ht="15.75" thickBot="1" x14ac:dyDescent="0.3">
      <c r="B35" s="90">
        <f t="shared" si="9"/>
        <v>45951</v>
      </c>
      <c r="D35" s="172">
        <v>109.74</v>
      </c>
      <c r="E35" s="89">
        <v>0.71875</v>
      </c>
      <c r="F35" s="88">
        <v>1344.12</v>
      </c>
      <c r="G35" s="93">
        <f t="shared" si="4"/>
        <v>858.3</v>
      </c>
      <c r="H35" s="88">
        <v>485.82</v>
      </c>
      <c r="I35" s="90">
        <f t="shared" si="5"/>
        <v>45951</v>
      </c>
      <c r="J35" s="91">
        <v>33.090000000000003</v>
      </c>
      <c r="K35" s="89">
        <v>0.625</v>
      </c>
      <c r="L35" s="88">
        <v>603.08000000000004</v>
      </c>
      <c r="M35" s="90">
        <f t="shared" si="6"/>
        <v>45951</v>
      </c>
      <c r="N35" s="91">
        <v>23.08</v>
      </c>
      <c r="O35" s="89">
        <v>0.80208333333333337</v>
      </c>
      <c r="P35" s="91">
        <v>15.16</v>
      </c>
      <c r="Q35" s="89">
        <v>0.41666666666666669</v>
      </c>
      <c r="R35" s="92">
        <f t="shared" si="10"/>
        <v>579.47</v>
      </c>
      <c r="S35" s="88">
        <v>351.88</v>
      </c>
      <c r="T35" s="88">
        <v>227.59</v>
      </c>
      <c r="U35" s="90">
        <f t="shared" si="8"/>
        <v>45951</v>
      </c>
      <c r="V35" s="91">
        <v>28.14</v>
      </c>
      <c r="W35" s="89">
        <v>0.66666666666666663</v>
      </c>
      <c r="X35" s="88">
        <v>570.88</v>
      </c>
    </row>
    <row r="36" spans="2:24" ht="15.75" thickBot="1" x14ac:dyDescent="0.3">
      <c r="B36" s="90">
        <f t="shared" si="9"/>
        <v>45952</v>
      </c>
      <c r="D36" s="172">
        <v>104</v>
      </c>
      <c r="E36" s="89">
        <v>0.66666666666666663</v>
      </c>
      <c r="F36" s="88">
        <v>1189</v>
      </c>
      <c r="G36" s="93">
        <f t="shared" si="4"/>
        <v>707</v>
      </c>
      <c r="H36" s="88">
        <v>482</v>
      </c>
      <c r="I36" s="90">
        <f t="shared" si="5"/>
        <v>45952</v>
      </c>
      <c r="J36" s="91">
        <v>32</v>
      </c>
      <c r="K36" s="89">
        <v>0.60416666666666663</v>
      </c>
      <c r="L36" s="88">
        <v>592</v>
      </c>
      <c r="M36" s="90">
        <f t="shared" si="6"/>
        <v>45952</v>
      </c>
      <c r="N36" s="91">
        <v>25</v>
      </c>
      <c r="O36" s="89">
        <v>0.73958333333333337</v>
      </c>
      <c r="P36" s="91">
        <v>14</v>
      </c>
      <c r="Q36" s="89">
        <v>0.75</v>
      </c>
      <c r="R36" s="92">
        <f t="shared" si="10"/>
        <v>575</v>
      </c>
      <c r="S36" s="88">
        <v>351</v>
      </c>
      <c r="T36" s="88">
        <v>224</v>
      </c>
      <c r="U36" s="90">
        <f t="shared" si="8"/>
        <v>45952</v>
      </c>
      <c r="V36" s="91">
        <v>26</v>
      </c>
      <c r="W36" s="89">
        <v>0.8125</v>
      </c>
      <c r="X36" s="88">
        <v>479</v>
      </c>
    </row>
    <row r="37" spans="2:24" ht="15.75" thickBot="1" x14ac:dyDescent="0.3">
      <c r="B37" s="90">
        <f t="shared" si="9"/>
        <v>45953</v>
      </c>
      <c r="D37" s="172">
        <v>108</v>
      </c>
      <c r="E37" s="89">
        <v>0.72916666666666663</v>
      </c>
      <c r="F37" s="88">
        <v>1195</v>
      </c>
      <c r="G37" s="93">
        <f t="shared" si="4"/>
        <v>693</v>
      </c>
      <c r="H37" s="88">
        <v>502</v>
      </c>
      <c r="I37" s="90">
        <f t="shared" si="5"/>
        <v>45953</v>
      </c>
      <c r="J37" s="91">
        <v>32</v>
      </c>
      <c r="K37" s="89">
        <v>0.6875</v>
      </c>
      <c r="L37" s="88">
        <v>601</v>
      </c>
      <c r="M37" s="90">
        <f t="shared" si="6"/>
        <v>45953</v>
      </c>
      <c r="N37" s="91">
        <v>26</v>
      </c>
      <c r="O37" s="89">
        <v>0.6875</v>
      </c>
      <c r="P37" s="91">
        <v>14</v>
      </c>
      <c r="Q37" s="89">
        <v>0.77083333333333337</v>
      </c>
      <c r="R37" s="92">
        <f t="shared" si="10"/>
        <v>573</v>
      </c>
      <c r="S37" s="88">
        <v>350</v>
      </c>
      <c r="T37" s="88">
        <v>223</v>
      </c>
      <c r="U37" s="90">
        <f t="shared" si="8"/>
        <v>45953</v>
      </c>
      <c r="V37" s="91">
        <v>24</v>
      </c>
      <c r="W37" s="89">
        <v>0.78125</v>
      </c>
      <c r="X37" s="88">
        <v>451</v>
      </c>
    </row>
    <row r="38" spans="2:24" ht="15.75" thickBot="1" x14ac:dyDescent="0.3">
      <c r="B38" s="90">
        <f t="shared" si="9"/>
        <v>45954</v>
      </c>
      <c r="D38" s="172">
        <v>105</v>
      </c>
      <c r="E38" s="89">
        <v>0.52083333333333337</v>
      </c>
      <c r="F38" s="88">
        <v>1200</v>
      </c>
      <c r="G38" s="93">
        <f t="shared" si="4"/>
        <v>699</v>
      </c>
      <c r="H38" s="88">
        <v>501</v>
      </c>
      <c r="I38" s="90">
        <f t="shared" si="5"/>
        <v>45954</v>
      </c>
      <c r="J38" s="91">
        <v>32</v>
      </c>
      <c r="K38" s="89">
        <v>0.72916666666666663</v>
      </c>
      <c r="L38" s="88">
        <v>605</v>
      </c>
      <c r="M38" s="90">
        <f t="shared" si="6"/>
        <v>45954</v>
      </c>
      <c r="N38" s="91">
        <v>25</v>
      </c>
      <c r="O38" s="89">
        <v>0.70833333333333337</v>
      </c>
      <c r="P38" s="91">
        <v>14</v>
      </c>
      <c r="Q38" s="89">
        <v>0.72916666666666663</v>
      </c>
      <c r="R38" s="92">
        <f t="shared" si="10"/>
        <v>575</v>
      </c>
      <c r="S38" s="88">
        <v>351</v>
      </c>
      <c r="T38" s="88">
        <v>224</v>
      </c>
      <c r="U38" s="90">
        <f t="shared" si="8"/>
        <v>45954</v>
      </c>
      <c r="V38" s="91">
        <v>25</v>
      </c>
      <c r="W38" s="89">
        <v>0.72916666666666663</v>
      </c>
      <c r="X38" s="88">
        <v>470</v>
      </c>
    </row>
    <row r="39" spans="2:24" ht="15.75" thickBot="1" x14ac:dyDescent="0.3">
      <c r="B39" s="90">
        <f t="shared" si="9"/>
        <v>45955</v>
      </c>
      <c r="D39" s="172">
        <v>75</v>
      </c>
      <c r="E39" s="89">
        <v>0.77083333333333337</v>
      </c>
      <c r="F39" s="88">
        <v>864</v>
      </c>
      <c r="G39" s="93">
        <f t="shared" si="4"/>
        <v>384</v>
      </c>
      <c r="H39" s="88">
        <v>480</v>
      </c>
      <c r="I39" s="90">
        <f t="shared" si="5"/>
        <v>45955</v>
      </c>
      <c r="J39" s="91">
        <v>32</v>
      </c>
      <c r="K39" s="89">
        <v>0.91666666666666663</v>
      </c>
      <c r="L39" s="88">
        <v>565</v>
      </c>
      <c r="M39" s="90">
        <f t="shared" si="6"/>
        <v>45955</v>
      </c>
      <c r="N39" s="91">
        <v>28</v>
      </c>
      <c r="O39" s="89">
        <v>0.85416666666666663</v>
      </c>
      <c r="P39" s="91">
        <v>11</v>
      </c>
      <c r="Q39" s="89">
        <v>0.53125</v>
      </c>
      <c r="R39" s="92">
        <f t="shared" si="10"/>
        <v>531</v>
      </c>
      <c r="S39" s="88">
        <v>351</v>
      </c>
      <c r="T39" s="88">
        <v>180</v>
      </c>
      <c r="U39" s="90">
        <f t="shared" si="8"/>
        <v>45955</v>
      </c>
      <c r="V39" s="91">
        <v>27</v>
      </c>
      <c r="W39" s="89">
        <v>0.82291666666666663</v>
      </c>
      <c r="X39" s="88">
        <v>482</v>
      </c>
    </row>
    <row r="40" spans="2:24" ht="15.75" thickBot="1" x14ac:dyDescent="0.3">
      <c r="B40" s="90">
        <f t="shared" si="9"/>
        <v>45956</v>
      </c>
      <c r="D40" s="172">
        <v>47.21</v>
      </c>
      <c r="E40" s="173">
        <v>0.17708333333333334</v>
      </c>
      <c r="F40" s="174">
        <v>810.58</v>
      </c>
      <c r="G40" s="93">
        <f t="shared" si="4"/>
        <v>308.10000000000002</v>
      </c>
      <c r="H40" s="174">
        <v>502.48</v>
      </c>
      <c r="I40" s="175">
        <f t="shared" si="5"/>
        <v>45956</v>
      </c>
      <c r="J40" s="172">
        <v>29.44</v>
      </c>
      <c r="K40" s="173">
        <v>0.28125</v>
      </c>
      <c r="L40" s="174">
        <v>588.47</v>
      </c>
      <c r="M40" s="175">
        <f t="shared" si="6"/>
        <v>45956</v>
      </c>
      <c r="N40" s="172">
        <v>24.15</v>
      </c>
      <c r="O40" s="173">
        <v>0.71875</v>
      </c>
      <c r="P40" s="172">
        <v>8.0299999999999994</v>
      </c>
      <c r="Q40" s="173">
        <v>0.53125</v>
      </c>
      <c r="R40" s="92">
        <f t="shared" si="10"/>
        <v>514.54999999999995</v>
      </c>
      <c r="S40" s="174">
        <v>351.62</v>
      </c>
      <c r="T40" s="174">
        <v>162.93</v>
      </c>
      <c r="U40" s="175">
        <f t="shared" si="8"/>
        <v>45956</v>
      </c>
      <c r="V40" s="172">
        <v>26.05</v>
      </c>
      <c r="W40" s="173">
        <v>0.25</v>
      </c>
      <c r="X40" s="174">
        <v>470.76</v>
      </c>
    </row>
    <row r="41" spans="2:24" ht="15.75" thickBot="1" x14ac:dyDescent="0.3">
      <c r="B41" s="90">
        <f t="shared" si="9"/>
        <v>45957</v>
      </c>
      <c r="D41" s="172">
        <v>101</v>
      </c>
      <c r="E41" s="89">
        <v>0.55208333333333337</v>
      </c>
      <c r="F41" s="88">
        <v>1122</v>
      </c>
      <c r="G41" s="93">
        <f t="shared" si="4"/>
        <v>629</v>
      </c>
      <c r="H41" s="88">
        <v>493</v>
      </c>
      <c r="I41" s="90">
        <f t="shared" si="5"/>
        <v>45957</v>
      </c>
      <c r="J41" s="91">
        <v>30</v>
      </c>
      <c r="K41" s="89">
        <v>0.71875</v>
      </c>
      <c r="L41" s="88">
        <v>596</v>
      </c>
      <c r="M41" s="90">
        <f t="shared" si="6"/>
        <v>45957</v>
      </c>
      <c r="N41" s="91">
        <v>25</v>
      </c>
      <c r="O41" s="89">
        <v>0.47916666666666669</v>
      </c>
      <c r="P41" s="91">
        <v>14</v>
      </c>
      <c r="Q41" s="89">
        <v>0.38541666666666669</v>
      </c>
      <c r="R41" s="92">
        <f t="shared" si="10"/>
        <v>574</v>
      </c>
      <c r="S41" s="88">
        <v>362</v>
      </c>
      <c r="T41" s="88">
        <v>212</v>
      </c>
      <c r="U41" s="90">
        <f t="shared" si="8"/>
        <v>45957</v>
      </c>
      <c r="V41" s="91">
        <v>28</v>
      </c>
      <c r="W41" s="89">
        <v>0.64583333333333337</v>
      </c>
      <c r="X41" s="88">
        <v>537</v>
      </c>
    </row>
    <row r="42" spans="2:24" ht="15.75" thickBot="1" x14ac:dyDescent="0.3">
      <c r="B42" s="90">
        <f t="shared" si="9"/>
        <v>45958</v>
      </c>
      <c r="D42" s="172">
        <v>98</v>
      </c>
      <c r="E42" s="89">
        <v>0.51041666666666663</v>
      </c>
      <c r="F42" s="88">
        <v>1192</v>
      </c>
      <c r="G42" s="93">
        <f t="shared" si="4"/>
        <v>687</v>
      </c>
      <c r="H42" s="88">
        <v>505</v>
      </c>
      <c r="I42" s="90">
        <f t="shared" si="5"/>
        <v>45958</v>
      </c>
      <c r="J42" s="91">
        <v>32</v>
      </c>
      <c r="K42" s="89">
        <v>0.79166666666666663</v>
      </c>
      <c r="L42" s="88">
        <v>597</v>
      </c>
      <c r="M42" s="90">
        <f t="shared" si="6"/>
        <v>45958</v>
      </c>
      <c r="N42" s="91">
        <v>22</v>
      </c>
      <c r="O42" s="89">
        <v>0.4375</v>
      </c>
      <c r="P42" s="91">
        <v>13</v>
      </c>
      <c r="Q42" s="89">
        <v>0.38541666666666669</v>
      </c>
      <c r="R42" s="92">
        <f t="shared" si="10"/>
        <v>580</v>
      </c>
      <c r="S42" s="88">
        <v>364</v>
      </c>
      <c r="T42" s="88">
        <v>216</v>
      </c>
      <c r="U42" s="90">
        <f t="shared" si="8"/>
        <v>45958</v>
      </c>
      <c r="V42" s="91">
        <v>26</v>
      </c>
      <c r="W42" s="89">
        <v>0.88541666666666663</v>
      </c>
      <c r="X42" s="88">
        <v>478</v>
      </c>
    </row>
    <row r="43" spans="2:24" ht="15.75" thickBot="1" x14ac:dyDescent="0.3">
      <c r="B43" s="90">
        <f t="shared" si="9"/>
        <v>45959</v>
      </c>
      <c r="D43" s="172">
        <v>93</v>
      </c>
      <c r="E43" s="89">
        <v>0.6875</v>
      </c>
      <c r="F43" s="88">
        <v>1180</v>
      </c>
      <c r="G43" s="93">
        <f t="shared" si="4"/>
        <v>667</v>
      </c>
      <c r="H43" s="88">
        <v>513</v>
      </c>
      <c r="I43" s="90">
        <f t="shared" si="5"/>
        <v>45959</v>
      </c>
      <c r="J43" s="91">
        <v>31</v>
      </c>
      <c r="K43" s="89">
        <v>0.71875</v>
      </c>
      <c r="L43" s="88">
        <v>611</v>
      </c>
      <c r="M43" s="175">
        <f t="shared" si="6"/>
        <v>45959</v>
      </c>
      <c r="N43" s="91">
        <v>22</v>
      </c>
      <c r="O43" s="89">
        <v>0.59375</v>
      </c>
      <c r="P43" s="91">
        <v>17</v>
      </c>
      <c r="Q43" s="89">
        <v>0.47916666666666669</v>
      </c>
      <c r="R43" s="92">
        <f t="shared" si="10"/>
        <v>576</v>
      </c>
      <c r="S43" s="88">
        <v>353</v>
      </c>
      <c r="T43" s="88">
        <v>223</v>
      </c>
      <c r="U43" s="90">
        <f t="shared" si="8"/>
        <v>45959</v>
      </c>
      <c r="V43" s="91">
        <v>29</v>
      </c>
      <c r="W43" s="89">
        <v>0.875</v>
      </c>
      <c r="X43" s="88">
        <v>500</v>
      </c>
    </row>
    <row r="44" spans="2:24" ht="15.75" thickBot="1" x14ac:dyDescent="0.3">
      <c r="B44" s="90">
        <f t="shared" si="9"/>
        <v>45960</v>
      </c>
      <c r="D44" s="172">
        <v>94</v>
      </c>
      <c r="E44" s="173">
        <v>0.48958333333333331</v>
      </c>
      <c r="F44" s="174">
        <v>1164</v>
      </c>
      <c r="G44" s="93">
        <f t="shared" si="4"/>
        <v>640</v>
      </c>
      <c r="H44" s="174">
        <v>524</v>
      </c>
      <c r="I44" s="90">
        <f t="shared" si="5"/>
        <v>45960</v>
      </c>
      <c r="J44" s="172">
        <v>31</v>
      </c>
      <c r="K44" s="173">
        <v>0.85416666666666663</v>
      </c>
      <c r="L44" s="174">
        <v>595</v>
      </c>
      <c r="M44" s="90">
        <f t="shared" si="6"/>
        <v>45960</v>
      </c>
      <c r="N44" s="172">
        <v>20</v>
      </c>
      <c r="O44" s="173">
        <v>0.78125</v>
      </c>
      <c r="P44" s="172">
        <v>14</v>
      </c>
      <c r="Q44" s="173">
        <v>0.47916666666666669</v>
      </c>
      <c r="R44" s="92">
        <f t="shared" si="10"/>
        <v>579</v>
      </c>
      <c r="S44" s="174">
        <v>361</v>
      </c>
      <c r="T44" s="174">
        <v>218</v>
      </c>
      <c r="U44" s="90">
        <f t="shared" si="8"/>
        <v>45960</v>
      </c>
      <c r="V44" s="172">
        <v>28</v>
      </c>
      <c r="W44" s="173">
        <v>0.75208333333333333</v>
      </c>
      <c r="X44" s="174">
        <v>483</v>
      </c>
    </row>
    <row r="45" spans="2:24" x14ac:dyDescent="0.25">
      <c r="B45" s="90">
        <f t="shared" si="9"/>
        <v>45961</v>
      </c>
      <c r="D45" s="172">
        <v>71.72</v>
      </c>
      <c r="E45" s="173">
        <v>4.1666666666666664E-2</v>
      </c>
      <c r="F45" s="174">
        <v>806.79</v>
      </c>
      <c r="G45" s="93">
        <f t="shared" ref="G45" si="11">F45-H45</f>
        <v>340.62999999999994</v>
      </c>
      <c r="H45" s="174">
        <v>466.16</v>
      </c>
      <c r="I45" s="90">
        <f t="shared" si="5"/>
        <v>45961</v>
      </c>
      <c r="J45" s="172">
        <v>29.76</v>
      </c>
      <c r="K45" s="173">
        <v>0.875</v>
      </c>
      <c r="L45" s="174">
        <v>560.98</v>
      </c>
      <c r="M45" s="90">
        <f t="shared" ref="M45" si="12">B45</f>
        <v>45961</v>
      </c>
      <c r="N45" s="172">
        <v>24.55</v>
      </c>
      <c r="O45" s="173">
        <v>0.90625</v>
      </c>
      <c r="P45" s="172">
        <v>10.16</v>
      </c>
      <c r="Q45" s="173">
        <v>0.54166666666666663</v>
      </c>
      <c r="R45" s="92">
        <f t="shared" ref="R45" si="13">S45+T45</f>
        <v>516.59</v>
      </c>
      <c r="S45" s="174">
        <v>345.44</v>
      </c>
      <c r="T45" s="174">
        <v>171.15</v>
      </c>
      <c r="U45" s="90">
        <f t="shared" si="8"/>
        <v>45961</v>
      </c>
      <c r="V45" s="172">
        <v>25.3</v>
      </c>
      <c r="W45" s="173">
        <v>2.0833333333333332E-2</v>
      </c>
      <c r="X45" s="174">
        <v>462.66</v>
      </c>
    </row>
    <row r="47" spans="2:24" x14ac:dyDescent="0.25">
      <c r="E47" s="178" t="s">
        <v>62</v>
      </c>
      <c r="F47" s="178" t="s">
        <v>63</v>
      </c>
      <c r="G47" s="178" t="s">
        <v>64</v>
      </c>
      <c r="H47" s="178" t="s">
        <v>65</v>
      </c>
      <c r="I47" s="178" t="s">
        <v>66</v>
      </c>
      <c r="J47" s="178" t="s">
        <v>67</v>
      </c>
    </row>
    <row r="48" spans="2:24" x14ac:dyDescent="0.25">
      <c r="D48" s="181">
        <v>45838</v>
      </c>
      <c r="E48" s="179">
        <f t="shared" ref="E48:E78" si="14">F14/J48</f>
        <v>0.45838947413064679</v>
      </c>
      <c r="F48" s="179">
        <f t="shared" ref="F48:F78" si="15">L14/J48</f>
        <v>0.19769607955083013</v>
      </c>
      <c r="G48" s="179">
        <f t="shared" ref="G48:G78" si="16">S14/J48</f>
        <v>0.120334332721086</v>
      </c>
      <c r="H48" s="179">
        <f t="shared" ref="H48:H78" si="17">T14/J48</f>
        <v>7.5140039344775728E-2</v>
      </c>
      <c r="I48" s="179">
        <f t="shared" ref="I48:I78" si="18">X14/J48</f>
        <v>0.14844007425266131</v>
      </c>
      <c r="J48" s="180">
        <f>F14+L14+S14+T14+X14</f>
        <v>3065.21</v>
      </c>
    </row>
    <row r="49" spans="4:10" x14ac:dyDescent="0.25">
      <c r="D49" s="181">
        <v>45839</v>
      </c>
      <c r="E49" s="179">
        <f t="shared" si="14"/>
        <v>0.43623238226194566</v>
      </c>
      <c r="F49" s="179">
        <f t="shared" si="15"/>
        <v>0.20660020625644551</v>
      </c>
      <c r="G49" s="179">
        <f t="shared" si="16"/>
        <v>0.124785149535923</v>
      </c>
      <c r="H49" s="179">
        <f t="shared" si="17"/>
        <v>7.8377449295290474E-2</v>
      </c>
      <c r="I49" s="179">
        <f t="shared" si="18"/>
        <v>0.15400481265039531</v>
      </c>
      <c r="J49" s="180">
        <f t="shared" ref="J49:J78" si="19">F15+L15+S15+T15+X15</f>
        <v>2909</v>
      </c>
    </row>
    <row r="50" spans="4:10" x14ac:dyDescent="0.25">
      <c r="D50" s="181">
        <v>45840</v>
      </c>
      <c r="E50" s="179">
        <f t="shared" si="14"/>
        <v>0.44751749416861047</v>
      </c>
      <c r="F50" s="179">
        <f t="shared" si="15"/>
        <v>0.20393202265911362</v>
      </c>
      <c r="G50" s="179">
        <f t="shared" si="16"/>
        <v>0.12195934688437188</v>
      </c>
      <c r="H50" s="179">
        <f t="shared" si="17"/>
        <v>7.8640453182272571E-2</v>
      </c>
      <c r="I50" s="179">
        <f t="shared" si="18"/>
        <v>0.14795068310563145</v>
      </c>
      <c r="J50" s="180">
        <f t="shared" si="19"/>
        <v>3001</v>
      </c>
    </row>
    <row r="51" spans="4:10" x14ac:dyDescent="0.25">
      <c r="D51" s="181">
        <v>45841</v>
      </c>
      <c r="E51" s="179">
        <f t="shared" si="14"/>
        <v>0.4223875549543456</v>
      </c>
      <c r="F51" s="179">
        <f t="shared" si="15"/>
        <v>0.20358471423740276</v>
      </c>
      <c r="G51" s="179">
        <f t="shared" si="16"/>
        <v>0.12242137301318905</v>
      </c>
      <c r="H51" s="179">
        <f t="shared" si="17"/>
        <v>7.9134257693608392E-2</v>
      </c>
      <c r="I51" s="179">
        <f t="shared" si="18"/>
        <v>0.17247210010145417</v>
      </c>
      <c r="J51" s="180">
        <f t="shared" si="19"/>
        <v>2957</v>
      </c>
    </row>
    <row r="52" spans="4:10" x14ac:dyDescent="0.25">
      <c r="D52" s="181">
        <v>45842</v>
      </c>
      <c r="E52" s="179">
        <f t="shared" si="14"/>
        <v>0.34554973821989526</v>
      </c>
      <c r="F52" s="179">
        <f t="shared" si="15"/>
        <v>0.2392267418445429</v>
      </c>
      <c r="G52" s="179">
        <f t="shared" si="16"/>
        <v>0.14136125654450263</v>
      </c>
      <c r="H52" s="179">
        <f t="shared" si="17"/>
        <v>7.3701167942005638E-2</v>
      </c>
      <c r="I52" s="179">
        <f t="shared" si="18"/>
        <v>0.20016109544905356</v>
      </c>
      <c r="J52" s="180">
        <f t="shared" si="19"/>
        <v>2483</v>
      </c>
    </row>
    <row r="53" spans="4:10" x14ac:dyDescent="0.25">
      <c r="D53" s="181">
        <v>45843</v>
      </c>
      <c r="E53" s="179">
        <f t="shared" si="14"/>
        <v>0.3445342407486176</v>
      </c>
      <c r="F53" s="179">
        <f t="shared" si="15"/>
        <v>0.24883028498511273</v>
      </c>
      <c r="G53" s="179">
        <f t="shared" si="16"/>
        <v>0.14759676733304977</v>
      </c>
      <c r="H53" s="179">
        <f t="shared" si="17"/>
        <v>7.2309655465759251E-2</v>
      </c>
      <c r="I53" s="179">
        <f t="shared" si="18"/>
        <v>0.18672905146746066</v>
      </c>
      <c r="J53" s="180">
        <f t="shared" si="19"/>
        <v>2351</v>
      </c>
    </row>
    <row r="54" spans="4:10" x14ac:dyDescent="0.25">
      <c r="D54" s="181">
        <v>45844</v>
      </c>
      <c r="E54" s="179">
        <f t="shared" si="14"/>
        <v>0.45193929173693087</v>
      </c>
      <c r="F54" s="179">
        <f t="shared" si="15"/>
        <v>0.19595278246205733</v>
      </c>
      <c r="G54" s="179">
        <f t="shared" si="16"/>
        <v>0.12107925801011804</v>
      </c>
      <c r="H54" s="179">
        <f t="shared" si="17"/>
        <v>7.5548060708263073E-2</v>
      </c>
      <c r="I54" s="179">
        <f t="shared" si="18"/>
        <v>0.1554806070826307</v>
      </c>
      <c r="J54" s="180">
        <f t="shared" si="19"/>
        <v>2965</v>
      </c>
    </row>
    <row r="55" spans="4:10" x14ac:dyDescent="0.25">
      <c r="D55" s="181">
        <v>45845</v>
      </c>
      <c r="E55" s="179">
        <f t="shared" si="14"/>
        <v>0.46423884514435698</v>
      </c>
      <c r="F55" s="179">
        <f t="shared" si="15"/>
        <v>0.18799212598425197</v>
      </c>
      <c r="G55" s="179">
        <f t="shared" si="16"/>
        <v>0.11843832020997375</v>
      </c>
      <c r="H55" s="179">
        <f t="shared" si="17"/>
        <v>7.2506561679790027E-2</v>
      </c>
      <c r="I55" s="179">
        <f t="shared" si="18"/>
        <v>0.1568241469816273</v>
      </c>
      <c r="J55" s="180">
        <f t="shared" si="19"/>
        <v>3048</v>
      </c>
    </row>
    <row r="56" spans="4:10" x14ac:dyDescent="0.25">
      <c r="D56" s="181">
        <v>45846</v>
      </c>
      <c r="E56" s="179">
        <f t="shared" si="14"/>
        <v>0.42988019732205779</v>
      </c>
      <c r="F56" s="179">
        <f t="shared" si="15"/>
        <v>0.20014094432699084</v>
      </c>
      <c r="G56" s="179">
        <f t="shared" si="16"/>
        <v>0.12508809020436928</v>
      </c>
      <c r="H56" s="179">
        <f t="shared" si="17"/>
        <v>8.2804792107117692E-2</v>
      </c>
      <c r="I56" s="179">
        <f t="shared" si="18"/>
        <v>0.16208597603946442</v>
      </c>
      <c r="J56" s="180">
        <f t="shared" si="19"/>
        <v>2838</v>
      </c>
    </row>
    <row r="57" spans="4:10" x14ac:dyDescent="0.25">
      <c r="D57" s="181">
        <v>45847</v>
      </c>
      <c r="E57" s="179">
        <f t="shared" si="14"/>
        <v>0.42708333333333331</v>
      </c>
      <c r="F57" s="179">
        <f t="shared" si="15"/>
        <v>0.19930555555555557</v>
      </c>
      <c r="G57" s="179">
        <f t="shared" si="16"/>
        <v>0.12361111111111112</v>
      </c>
      <c r="H57" s="179">
        <f t="shared" si="17"/>
        <v>7.9861111111111105E-2</v>
      </c>
      <c r="I57" s="179">
        <f t="shared" si="18"/>
        <v>0.1701388888888889</v>
      </c>
      <c r="J57" s="180">
        <f t="shared" si="19"/>
        <v>2880</v>
      </c>
    </row>
    <row r="58" spans="4:10" x14ac:dyDescent="0.25">
      <c r="D58" s="181">
        <v>45848</v>
      </c>
      <c r="E58" s="179">
        <f t="shared" si="14"/>
        <v>0.41602248770203792</v>
      </c>
      <c r="F58" s="179">
        <f t="shared" si="15"/>
        <v>0.20379479971890371</v>
      </c>
      <c r="G58" s="179">
        <f t="shared" si="16"/>
        <v>0.12087139845397049</v>
      </c>
      <c r="H58" s="179">
        <f t="shared" si="17"/>
        <v>8.0112438510189746E-2</v>
      </c>
      <c r="I58" s="179">
        <f t="shared" si="18"/>
        <v>0.17919887561489811</v>
      </c>
      <c r="J58" s="180">
        <f t="shared" si="19"/>
        <v>2846</v>
      </c>
    </row>
    <row r="59" spans="4:10" x14ac:dyDescent="0.25">
      <c r="D59" s="181">
        <v>45849</v>
      </c>
      <c r="E59" s="179">
        <f t="shared" si="14"/>
        <v>0.3604698258404212</v>
      </c>
      <c r="F59" s="179">
        <f t="shared" si="15"/>
        <v>0.23288780882948562</v>
      </c>
      <c r="G59" s="179">
        <f t="shared" si="16"/>
        <v>0.13608748481166463</v>
      </c>
      <c r="H59" s="179">
        <f t="shared" si="17"/>
        <v>8.0194410692588092E-2</v>
      </c>
      <c r="I59" s="179">
        <f t="shared" si="18"/>
        <v>0.19036046982584043</v>
      </c>
      <c r="J59" s="180">
        <f t="shared" si="19"/>
        <v>2469</v>
      </c>
    </row>
    <row r="60" spans="4:10" x14ac:dyDescent="0.25">
      <c r="D60" s="181">
        <v>45850</v>
      </c>
      <c r="E60" s="179">
        <f t="shared" si="14"/>
        <v>0.35526315789473684</v>
      </c>
      <c r="F60" s="179">
        <f t="shared" si="15"/>
        <v>0.23896434634974534</v>
      </c>
      <c r="G60" s="179">
        <f t="shared" si="16"/>
        <v>0.14346349745331069</v>
      </c>
      <c r="H60" s="179">
        <f t="shared" si="17"/>
        <v>7.3853989813242787E-2</v>
      </c>
      <c r="I60" s="179">
        <f t="shared" si="18"/>
        <v>0.18845500848896435</v>
      </c>
      <c r="J60" s="180">
        <f t="shared" si="19"/>
        <v>2356</v>
      </c>
    </row>
    <row r="61" spans="4:10" x14ac:dyDescent="0.25">
      <c r="D61" s="181">
        <v>45851</v>
      </c>
      <c r="E61" s="179">
        <f t="shared" si="14"/>
        <v>0.41726618705035973</v>
      </c>
      <c r="F61" s="179">
        <f t="shared" si="15"/>
        <v>0.21330935251798561</v>
      </c>
      <c r="G61" s="179">
        <f t="shared" si="16"/>
        <v>0.12553956834532373</v>
      </c>
      <c r="H61" s="179">
        <f t="shared" si="17"/>
        <v>8.0935251798561147E-2</v>
      </c>
      <c r="I61" s="179">
        <f t="shared" si="18"/>
        <v>0.16294964028776979</v>
      </c>
      <c r="J61" s="180">
        <f t="shared" si="19"/>
        <v>2780</v>
      </c>
    </row>
    <row r="62" spans="4:10" x14ac:dyDescent="0.25">
      <c r="D62" s="181">
        <v>45852</v>
      </c>
      <c r="E62" s="179">
        <f t="shared" si="14"/>
        <v>0.42441248684672045</v>
      </c>
      <c r="F62" s="179">
        <f t="shared" si="15"/>
        <v>0.20343739038933709</v>
      </c>
      <c r="G62" s="179">
        <f t="shared" si="16"/>
        <v>0.12556997544721152</v>
      </c>
      <c r="H62" s="179">
        <f t="shared" si="17"/>
        <v>7.8218169063486498E-2</v>
      </c>
      <c r="I62" s="179">
        <f t="shared" si="18"/>
        <v>0.16836197825324448</v>
      </c>
      <c r="J62" s="180">
        <f t="shared" si="19"/>
        <v>2851</v>
      </c>
    </row>
    <row r="63" spans="4:10" x14ac:dyDescent="0.25">
      <c r="D63" s="181">
        <v>45853</v>
      </c>
      <c r="E63" s="179">
        <f t="shared" si="14"/>
        <v>0.44470667565745109</v>
      </c>
      <c r="F63" s="179">
        <f t="shared" si="15"/>
        <v>0.20465273095077546</v>
      </c>
      <c r="G63" s="179">
        <f t="shared" si="16"/>
        <v>0.1169925826028321</v>
      </c>
      <c r="H63" s="179">
        <f t="shared" si="17"/>
        <v>7.6196898179366146E-2</v>
      </c>
      <c r="I63" s="179">
        <f t="shared" si="18"/>
        <v>0.15745111260957517</v>
      </c>
      <c r="J63" s="180">
        <f t="shared" si="19"/>
        <v>2966</v>
      </c>
    </row>
    <row r="64" spans="4:10" x14ac:dyDescent="0.25">
      <c r="D64" s="181">
        <v>45854</v>
      </c>
      <c r="E64" s="179">
        <f t="shared" si="14"/>
        <v>0.45182947297750925</v>
      </c>
      <c r="F64" s="179">
        <f t="shared" si="15"/>
        <v>0.20476670023497817</v>
      </c>
      <c r="G64" s="179">
        <f t="shared" si="16"/>
        <v>0.11648204095334004</v>
      </c>
      <c r="H64" s="179">
        <f t="shared" si="17"/>
        <v>7.5864384021483725E-2</v>
      </c>
      <c r="I64" s="179">
        <f t="shared" si="18"/>
        <v>0.15105740181268881</v>
      </c>
      <c r="J64" s="180">
        <f t="shared" si="19"/>
        <v>2979</v>
      </c>
    </row>
    <row r="65" spans="4:10" x14ac:dyDescent="0.25">
      <c r="D65" s="181">
        <v>45855</v>
      </c>
      <c r="E65" s="179">
        <f t="shared" si="14"/>
        <v>0.43556790552275093</v>
      </c>
      <c r="F65" s="179">
        <f t="shared" si="15"/>
        <v>0.21326849600555747</v>
      </c>
      <c r="G65" s="179">
        <f t="shared" si="16"/>
        <v>0.1219173324070858</v>
      </c>
      <c r="H65" s="179">
        <f t="shared" si="17"/>
        <v>7.780479333101771E-2</v>
      </c>
      <c r="I65" s="179">
        <f t="shared" si="18"/>
        <v>0.15144147273358805</v>
      </c>
      <c r="J65" s="180">
        <f t="shared" si="19"/>
        <v>2879</v>
      </c>
    </row>
    <row r="66" spans="4:10" x14ac:dyDescent="0.25">
      <c r="D66" s="181">
        <v>45856</v>
      </c>
      <c r="E66" s="179">
        <f t="shared" si="14"/>
        <v>0.35464620630861038</v>
      </c>
      <c r="F66" s="179">
        <f t="shared" si="15"/>
        <v>0.24339300937766412</v>
      </c>
      <c r="G66" s="179">
        <f t="shared" si="16"/>
        <v>0.14492753623188406</v>
      </c>
      <c r="H66" s="179">
        <f t="shared" si="17"/>
        <v>8.0562659846547313E-2</v>
      </c>
      <c r="I66" s="179">
        <f t="shared" si="18"/>
        <v>0.17647058823529413</v>
      </c>
      <c r="J66" s="180">
        <f t="shared" si="19"/>
        <v>2346</v>
      </c>
    </row>
    <row r="67" spans="4:10" x14ac:dyDescent="0.25">
      <c r="D67" s="181">
        <v>45857</v>
      </c>
      <c r="E67" s="179">
        <f t="shared" si="14"/>
        <v>0.32569204152249137</v>
      </c>
      <c r="F67" s="179">
        <f t="shared" si="15"/>
        <v>0.24091695501730104</v>
      </c>
      <c r="G67" s="179">
        <f t="shared" si="16"/>
        <v>0.14792387543252594</v>
      </c>
      <c r="H67" s="179">
        <f t="shared" si="17"/>
        <v>7.0501730103806226E-2</v>
      </c>
      <c r="I67" s="179">
        <f t="shared" si="18"/>
        <v>0.21496539792387542</v>
      </c>
      <c r="J67" s="180">
        <f t="shared" si="19"/>
        <v>2312</v>
      </c>
    </row>
    <row r="68" spans="4:10" x14ac:dyDescent="0.25">
      <c r="D68" s="181">
        <v>45858</v>
      </c>
      <c r="E68" s="179">
        <f t="shared" si="14"/>
        <v>0.42735485678268786</v>
      </c>
      <c r="F68" s="179">
        <f t="shared" si="15"/>
        <v>0.21046291757125846</v>
      </c>
      <c r="G68" s="179">
        <f t="shared" si="16"/>
        <v>0.12376566986483646</v>
      </c>
      <c r="H68" s="179">
        <f t="shared" si="17"/>
        <v>7.5835142516982978E-2</v>
      </c>
      <c r="I68" s="179">
        <f t="shared" si="18"/>
        <v>0.16258141326423417</v>
      </c>
      <c r="J68" s="180">
        <f t="shared" si="19"/>
        <v>2855.8</v>
      </c>
    </row>
    <row r="69" spans="4:10" x14ac:dyDescent="0.25">
      <c r="D69" s="181">
        <v>45859</v>
      </c>
      <c r="E69" s="179">
        <f t="shared" si="14"/>
        <v>0.4339300414843989</v>
      </c>
      <c r="F69" s="179">
        <f t="shared" si="15"/>
        <v>0.19469580797727237</v>
      </c>
      <c r="G69" s="179">
        <f t="shared" si="16"/>
        <v>0.11359945763587351</v>
      </c>
      <c r="H69" s="179">
        <f t="shared" si="17"/>
        <v>7.3474197349518169E-2</v>
      </c>
      <c r="I69" s="179">
        <f t="shared" si="18"/>
        <v>0.18430049555293698</v>
      </c>
      <c r="J69" s="180">
        <f t="shared" si="19"/>
        <v>3097.55</v>
      </c>
    </row>
    <row r="70" spans="4:10" x14ac:dyDescent="0.25">
      <c r="D70" s="181">
        <v>45860</v>
      </c>
      <c r="E70" s="179">
        <f t="shared" si="14"/>
        <v>0.41940035273368609</v>
      </c>
      <c r="F70" s="179">
        <f t="shared" si="15"/>
        <v>0.2088183421516755</v>
      </c>
      <c r="G70" s="179">
        <f t="shared" si="16"/>
        <v>0.12380952380952381</v>
      </c>
      <c r="H70" s="179">
        <f t="shared" si="17"/>
        <v>7.9012345679012344E-2</v>
      </c>
      <c r="I70" s="179">
        <f t="shared" si="18"/>
        <v>0.1689594356261023</v>
      </c>
      <c r="J70" s="180">
        <f t="shared" si="19"/>
        <v>2835</v>
      </c>
    </row>
    <row r="71" spans="4:10" x14ac:dyDescent="0.25">
      <c r="D71" s="181">
        <v>45861</v>
      </c>
      <c r="E71" s="179">
        <f t="shared" si="14"/>
        <v>0.42375886524822692</v>
      </c>
      <c r="F71" s="179">
        <f t="shared" si="15"/>
        <v>0.21312056737588653</v>
      </c>
      <c r="G71" s="179">
        <f t="shared" si="16"/>
        <v>0.12411347517730496</v>
      </c>
      <c r="H71" s="179">
        <f t="shared" si="17"/>
        <v>7.9078014184397166E-2</v>
      </c>
      <c r="I71" s="179">
        <f t="shared" si="18"/>
        <v>0.15992907801418441</v>
      </c>
      <c r="J71" s="180">
        <f t="shared" si="19"/>
        <v>2820</v>
      </c>
    </row>
    <row r="72" spans="4:10" x14ac:dyDescent="0.25">
      <c r="D72" s="181">
        <v>45862</v>
      </c>
      <c r="E72" s="179">
        <f t="shared" si="14"/>
        <v>0.42105263157894735</v>
      </c>
      <c r="F72" s="179">
        <f t="shared" si="15"/>
        <v>0.21228070175438596</v>
      </c>
      <c r="G72" s="179">
        <f t="shared" si="16"/>
        <v>0.12315789473684211</v>
      </c>
      <c r="H72" s="179">
        <f t="shared" si="17"/>
        <v>7.8596491228070178E-2</v>
      </c>
      <c r="I72" s="179">
        <f t="shared" si="18"/>
        <v>0.1649122807017544</v>
      </c>
      <c r="J72" s="180">
        <f t="shared" si="19"/>
        <v>2850</v>
      </c>
    </row>
    <row r="73" spans="4:10" x14ac:dyDescent="0.25">
      <c r="D73" s="181">
        <v>45863</v>
      </c>
      <c r="E73" s="179">
        <f t="shared" si="14"/>
        <v>0.35380835380835379</v>
      </c>
      <c r="F73" s="179">
        <f t="shared" si="15"/>
        <v>0.23136773136773137</v>
      </c>
      <c r="G73" s="179">
        <f t="shared" si="16"/>
        <v>0.14373464373464373</v>
      </c>
      <c r="H73" s="179">
        <f t="shared" si="17"/>
        <v>7.3710073710073709E-2</v>
      </c>
      <c r="I73" s="179">
        <f t="shared" si="18"/>
        <v>0.19737919737919737</v>
      </c>
      <c r="J73" s="180">
        <f t="shared" si="19"/>
        <v>2442</v>
      </c>
    </row>
    <row r="74" spans="4:10" x14ac:dyDescent="0.25">
      <c r="D74" s="181">
        <v>45864</v>
      </c>
      <c r="E74" s="179">
        <f t="shared" si="14"/>
        <v>0.33995705346508076</v>
      </c>
      <c r="F74" s="179">
        <f t="shared" si="15"/>
        <v>0.24680417386636247</v>
      </c>
      <c r="G74" s="179">
        <f t="shared" si="16"/>
        <v>0.14746934187790434</v>
      </c>
      <c r="H74" s="179">
        <f t="shared" si="17"/>
        <v>6.8332802093643577E-2</v>
      </c>
      <c r="I74" s="179">
        <f t="shared" si="18"/>
        <v>0.19743662869700881</v>
      </c>
      <c r="J74" s="180">
        <f t="shared" si="19"/>
        <v>2384.36</v>
      </c>
    </row>
    <row r="75" spans="4:10" x14ac:dyDescent="0.25">
      <c r="D75" s="181">
        <v>45865</v>
      </c>
      <c r="E75" s="179">
        <f t="shared" si="14"/>
        <v>0.39660657476139977</v>
      </c>
      <c r="F75" s="179">
        <f t="shared" si="15"/>
        <v>0.21067515022976316</v>
      </c>
      <c r="G75" s="179">
        <f t="shared" si="16"/>
        <v>0.127960410038883</v>
      </c>
      <c r="H75" s="179">
        <f t="shared" si="17"/>
        <v>7.4938140685754689E-2</v>
      </c>
      <c r="I75" s="179">
        <f t="shared" si="18"/>
        <v>0.18981972428419935</v>
      </c>
      <c r="J75" s="180">
        <f t="shared" si="19"/>
        <v>2829</v>
      </c>
    </row>
    <row r="76" spans="4:10" x14ac:dyDescent="0.25">
      <c r="D76" s="181">
        <v>45866</v>
      </c>
      <c r="E76" s="179">
        <f t="shared" si="14"/>
        <v>0.41868633649455567</v>
      </c>
      <c r="F76" s="179">
        <f t="shared" si="15"/>
        <v>0.20969441517386722</v>
      </c>
      <c r="G76" s="179">
        <f t="shared" si="16"/>
        <v>0.12785388127853881</v>
      </c>
      <c r="H76" s="179">
        <f t="shared" si="17"/>
        <v>7.5869336143308749E-2</v>
      </c>
      <c r="I76" s="179">
        <f t="shared" si="18"/>
        <v>0.16789603090972954</v>
      </c>
      <c r="J76" s="180">
        <f t="shared" si="19"/>
        <v>2847</v>
      </c>
    </row>
    <row r="77" spans="4:10" x14ac:dyDescent="0.25">
      <c r="D77" s="181">
        <v>45867</v>
      </c>
      <c r="E77" s="179">
        <f t="shared" si="14"/>
        <v>0.41158004883153121</v>
      </c>
      <c r="F77" s="179">
        <f t="shared" si="15"/>
        <v>0.21311475409836064</v>
      </c>
      <c r="G77" s="179">
        <f t="shared" si="16"/>
        <v>0.12312521799790722</v>
      </c>
      <c r="H77" s="179">
        <f t="shared" si="17"/>
        <v>7.7781653296128364E-2</v>
      </c>
      <c r="I77" s="179">
        <f t="shared" si="18"/>
        <v>0.17439832577607256</v>
      </c>
      <c r="J77" s="180">
        <f t="shared" si="19"/>
        <v>2867</v>
      </c>
    </row>
    <row r="78" spans="4:10" x14ac:dyDescent="0.25">
      <c r="D78" s="181">
        <v>45868</v>
      </c>
      <c r="E78" s="179">
        <f t="shared" si="14"/>
        <v>0.41261963842609006</v>
      </c>
      <c r="F78" s="179">
        <f t="shared" si="15"/>
        <v>0.21091811414392059</v>
      </c>
      <c r="G78" s="179">
        <f t="shared" si="16"/>
        <v>0.12796880538816022</v>
      </c>
      <c r="H78" s="179">
        <f t="shared" si="17"/>
        <v>7.7277561148528892E-2</v>
      </c>
      <c r="I78" s="179">
        <f t="shared" si="18"/>
        <v>0.17121588089330025</v>
      </c>
      <c r="J78" s="180">
        <f t="shared" si="19"/>
        <v>2821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9 L21:L25 L41:L42">
    <cfRule type="cellIs" dxfId="73" priority="215" operator="equal">
      <formula>MAX($L$14:$L$16)</formula>
    </cfRule>
  </conditionalFormatting>
  <conditionalFormatting sqref="T16:T19 T27:T39 T21:T25 T41:T43">
    <cfRule type="cellIs" dxfId="72" priority="216" operator="equal">
      <formula>MAX($T$14:$T$16)</formula>
    </cfRule>
  </conditionalFormatting>
  <conditionalFormatting sqref="X16:X19 X27:X39 X21:X25 X41:X43">
    <cfRule type="cellIs" dxfId="71" priority="217" operator="equal">
      <formula>MAX($X$14:$X$16)</formula>
    </cfRule>
  </conditionalFormatting>
  <conditionalFormatting sqref="J16:J19 J27:J39 J21:J25 J41:J42">
    <cfRule type="cellIs" dxfId="70" priority="218" operator="equal">
      <formula>MAX($J$14:$J$16)</formula>
    </cfRule>
  </conditionalFormatting>
  <conditionalFormatting sqref="V16:V19 V27:V39 V21:V23 V41:V43">
    <cfRule type="cellIs" dxfId="69" priority="219" operator="equal">
      <formula>MAX($V$14:$V$16)</formula>
    </cfRule>
  </conditionalFormatting>
  <conditionalFormatting sqref="D16:D19">
    <cfRule type="cellIs" dxfId="68" priority="220" operator="equal">
      <formula>MAX($D$14:$D$16)</formula>
    </cfRule>
  </conditionalFormatting>
  <conditionalFormatting sqref="S16:S19 S27:S39 S21:S25 S41:S43">
    <cfRule type="cellIs" dxfId="67" priority="221" operator="equal">
      <formula>MAX($S$14:$S$16)</formula>
    </cfRule>
  </conditionalFormatting>
  <conditionalFormatting sqref="N16:N19 N27:N39 N21:N25 N41:N42">
    <cfRule type="cellIs" dxfId="66" priority="222" operator="equal">
      <formula>MAX($N$14:$N$16)</formula>
    </cfRule>
  </conditionalFormatting>
  <conditionalFormatting sqref="P16:P19 P27:P39 P21:P25 P41:P42">
    <cfRule type="cellIs" dxfId="65" priority="223" operator="equal">
      <formula>MAX($P$14:$P$16)</formula>
    </cfRule>
  </conditionalFormatting>
  <conditionalFormatting sqref="L26">
    <cfRule type="cellIs" dxfId="64" priority="147" operator="equal">
      <formula>MAX($L$14:$L$16)</formula>
    </cfRule>
  </conditionalFormatting>
  <conditionalFormatting sqref="T26">
    <cfRule type="cellIs" dxfId="63" priority="148" operator="equal">
      <formula>MAX($T$14:$T$16)</formula>
    </cfRule>
  </conditionalFormatting>
  <conditionalFormatting sqref="X26">
    <cfRule type="cellIs" dxfId="62" priority="149" operator="equal">
      <formula>MAX($X$14:$X$16)</formula>
    </cfRule>
  </conditionalFormatting>
  <conditionalFormatting sqref="J26">
    <cfRule type="cellIs" dxfId="61" priority="150" operator="equal">
      <formula>MAX($J$14:$J$16)</formula>
    </cfRule>
  </conditionalFormatting>
  <conditionalFormatting sqref="V26">
    <cfRule type="cellIs" dxfId="60" priority="151" operator="equal">
      <formula>MAX($V$14:$V$16)</formula>
    </cfRule>
  </conditionalFormatting>
  <conditionalFormatting sqref="S26">
    <cfRule type="cellIs" dxfId="59" priority="153" operator="equal">
      <formula>MAX($S$14:$S$16)</formula>
    </cfRule>
  </conditionalFormatting>
  <conditionalFormatting sqref="N26">
    <cfRule type="cellIs" dxfId="58" priority="154" operator="equal">
      <formula>MAX($N$14:$N$16)</formula>
    </cfRule>
  </conditionalFormatting>
  <conditionalFormatting sqref="P26">
    <cfRule type="cellIs" dxfId="57" priority="155" operator="equal">
      <formula>MAX($P$14:$P$16)</formula>
    </cfRule>
  </conditionalFormatting>
  <conditionalFormatting sqref="L40">
    <cfRule type="cellIs" dxfId="56" priority="137" operator="equal">
      <formula>MAX($L$14:$L$16)</formula>
    </cfRule>
  </conditionalFormatting>
  <conditionalFormatting sqref="T40">
    <cfRule type="cellIs" dxfId="55" priority="138" operator="equal">
      <formula>MAX($T$14:$T$16)</formula>
    </cfRule>
  </conditionalFormatting>
  <conditionalFormatting sqref="X40">
    <cfRule type="cellIs" dxfId="54" priority="139" operator="equal">
      <formula>MAX($X$14:$X$16)</formula>
    </cfRule>
  </conditionalFormatting>
  <conditionalFormatting sqref="J40">
    <cfRule type="cellIs" dxfId="53" priority="140" operator="equal">
      <formula>MAX($J$14:$J$16)</formula>
    </cfRule>
  </conditionalFormatting>
  <conditionalFormatting sqref="V40">
    <cfRule type="cellIs" dxfId="52" priority="141" operator="equal">
      <formula>MAX($V$14:$V$16)</formula>
    </cfRule>
  </conditionalFormatting>
  <conditionalFormatting sqref="S40">
    <cfRule type="cellIs" dxfId="51" priority="143" operator="equal">
      <formula>MAX($S$14:$S$16)</formula>
    </cfRule>
  </conditionalFormatting>
  <conditionalFormatting sqref="N40">
    <cfRule type="cellIs" dxfId="50" priority="144" operator="equal">
      <formula>MAX($N$14:$N$16)</formula>
    </cfRule>
  </conditionalFormatting>
  <conditionalFormatting sqref="P40">
    <cfRule type="cellIs" dxfId="49" priority="145" operator="equal">
      <formula>MAX($P$14:$P$16)</formula>
    </cfRule>
  </conditionalFormatting>
  <conditionalFormatting sqref="D20:D42 D44:D45">
    <cfRule type="cellIs" dxfId="48" priority="133" operator="equal">
      <formula>MAX($D$14:$D$42)</formula>
    </cfRule>
  </conditionalFormatting>
  <conditionalFormatting sqref="L20">
    <cfRule type="cellIs" dxfId="47" priority="124" operator="equal">
      <formula>MAX($L$14:$L$42)</formula>
    </cfRule>
  </conditionalFormatting>
  <conditionalFormatting sqref="T20">
    <cfRule type="cellIs" dxfId="46" priority="125" operator="equal">
      <formula>MAX($T$14:$T$42)</formula>
    </cfRule>
  </conditionalFormatting>
  <conditionalFormatting sqref="X20">
    <cfRule type="cellIs" dxfId="45" priority="126" operator="equal">
      <formula>MAX($X$14:$X$42)</formula>
    </cfRule>
  </conditionalFormatting>
  <conditionalFormatting sqref="J20">
    <cfRule type="cellIs" dxfId="44" priority="127" operator="equal">
      <formula>MAX($J$14:$J$42)</formula>
    </cfRule>
  </conditionalFormatting>
  <conditionalFormatting sqref="V20">
    <cfRule type="cellIs" dxfId="43" priority="128" operator="equal">
      <formula>MAX($V$14:$V$42)</formula>
    </cfRule>
  </conditionalFormatting>
  <conditionalFormatting sqref="S20">
    <cfRule type="cellIs" dxfId="42" priority="129" operator="equal">
      <formula>MAX($S$14:$S$42)</formula>
    </cfRule>
  </conditionalFormatting>
  <conditionalFormatting sqref="N20">
    <cfRule type="cellIs" dxfId="41" priority="130" operator="equal">
      <formula>MAX($N$14:$N$42)</formula>
    </cfRule>
  </conditionalFormatting>
  <conditionalFormatting sqref="P20">
    <cfRule type="cellIs" dxfId="40" priority="131" operator="equal">
      <formula>MAX($P$14:$P$42)</formula>
    </cfRule>
  </conditionalFormatting>
  <conditionalFormatting sqref="E48:E64">
    <cfRule type="top10" dxfId="39" priority="123" rank="2"/>
  </conditionalFormatting>
  <conditionalFormatting sqref="F48:F78">
    <cfRule type="top10" dxfId="38" priority="122" rank="2"/>
  </conditionalFormatting>
  <conditionalFormatting sqref="G48:G64">
    <cfRule type="top10" dxfId="37" priority="121" rank="2"/>
  </conditionalFormatting>
  <conditionalFormatting sqref="H48:H64">
    <cfRule type="top10" dxfId="36" priority="120" rank="2"/>
  </conditionalFormatting>
  <conditionalFormatting sqref="I48:I64">
    <cfRule type="top10" dxfId="35" priority="119" rank="2"/>
  </conditionalFormatting>
  <conditionalFormatting sqref="V24">
    <cfRule type="cellIs" dxfId="34" priority="89" operator="equal">
      <formula>MAX($J$14:$J$16)</formula>
    </cfRule>
  </conditionalFormatting>
  <conditionalFormatting sqref="V25">
    <cfRule type="cellIs" dxfId="33" priority="88" operator="equal">
      <formula>MAX($J$14:$J$16)</formula>
    </cfRule>
  </conditionalFormatting>
  <conditionalFormatting sqref="G15:G45">
    <cfRule type="cellIs" dxfId="32" priority="77" operator="equal">
      <formula>MAX($G$14:$G$16)</formula>
    </cfRule>
  </conditionalFormatting>
  <conditionalFormatting sqref="L44:L45">
    <cfRule type="cellIs" dxfId="31" priority="67" operator="equal">
      <formula>MAX($L$14:$L$16)</formula>
    </cfRule>
  </conditionalFormatting>
  <conditionalFormatting sqref="T44:T45">
    <cfRule type="cellIs" dxfId="30" priority="68" operator="equal">
      <formula>MAX($T$14:$T$16)</formula>
    </cfRule>
  </conditionalFormatting>
  <conditionalFormatting sqref="X44:X45">
    <cfRule type="cellIs" dxfId="29" priority="69" operator="equal">
      <formula>MAX($X$14:$X$16)</formula>
    </cfRule>
  </conditionalFormatting>
  <conditionalFormatting sqref="J44:J45">
    <cfRule type="cellIs" dxfId="28" priority="70" operator="equal">
      <formula>MAX($J$14:$J$16)</formula>
    </cfRule>
  </conditionalFormatting>
  <conditionalFormatting sqref="V44:V45">
    <cfRule type="cellIs" dxfId="27" priority="71" operator="equal">
      <formula>MAX($V$14:$V$16)</formula>
    </cfRule>
  </conditionalFormatting>
  <conditionalFormatting sqref="S44:S45">
    <cfRule type="cellIs" dxfId="26" priority="73" operator="equal">
      <formula>MAX($S$14:$S$16)</formula>
    </cfRule>
  </conditionalFormatting>
  <conditionalFormatting sqref="N44:N45">
    <cfRule type="cellIs" dxfId="25" priority="74" operator="equal">
      <formula>MAX($N$14:$N$16)</formula>
    </cfRule>
  </conditionalFormatting>
  <conditionalFormatting sqref="P44:P45">
    <cfRule type="cellIs" dxfId="24" priority="75" operator="equal">
      <formula>MAX($P$14:$P$16)</formula>
    </cfRule>
  </conditionalFormatting>
  <conditionalFormatting sqref="D15">
    <cfRule type="cellIs" dxfId="23" priority="56" operator="equal">
      <formula>MAX($D$14:$D$16)</formula>
    </cfRule>
  </conditionalFormatting>
  <conditionalFormatting sqref="L15">
    <cfRule type="cellIs" dxfId="22" priority="53" operator="equal">
      <formula>MAX($L$14:$L$16)</formula>
    </cfRule>
  </conditionalFormatting>
  <conditionalFormatting sqref="J15">
    <cfRule type="cellIs" dxfId="21" priority="54" operator="equal">
      <formula>MAX($J$14:$J$16)</formula>
    </cfRule>
  </conditionalFormatting>
  <conditionalFormatting sqref="N15">
    <cfRule type="cellIs" dxfId="20" priority="49" operator="equal">
      <formula>MAX($N$14:$N$16)</formula>
    </cfRule>
  </conditionalFormatting>
  <conditionalFormatting sqref="P15">
    <cfRule type="cellIs" dxfId="19" priority="50" operator="equal">
      <formula>MAX($P$14:$P$16)</formula>
    </cfRule>
  </conditionalFormatting>
  <conditionalFormatting sqref="T15">
    <cfRule type="cellIs" dxfId="18" priority="45" operator="equal">
      <formula>MAX($T$14:$T$16)</formula>
    </cfRule>
  </conditionalFormatting>
  <conditionalFormatting sqref="S15">
    <cfRule type="cellIs" dxfId="17" priority="46" operator="equal">
      <formula>MAX($S$14:$S$16)</formula>
    </cfRule>
  </conditionalFormatting>
  <conditionalFormatting sqref="X15">
    <cfRule type="cellIs" dxfId="16" priority="41" operator="equal">
      <formula>MAX($X$14:$X$16)</formula>
    </cfRule>
  </conditionalFormatting>
  <conditionalFormatting sqref="V15">
    <cfRule type="cellIs" dxfId="15" priority="42" operator="equal">
      <formula>MAX($V$14:$V$16)</formula>
    </cfRule>
  </conditionalFormatting>
  <conditionalFormatting sqref="N43">
    <cfRule type="cellIs" dxfId="14" priority="26" operator="equal">
      <formula>MAX($N$14:$N$16)</formula>
    </cfRule>
  </conditionalFormatting>
  <conditionalFormatting sqref="P43">
    <cfRule type="cellIs" dxfId="13" priority="27" operator="equal">
      <formula>MAX($P$14:$P$16)</formula>
    </cfRule>
  </conditionalFormatting>
  <conditionalFormatting sqref="L43">
    <cfRule type="cellIs" dxfId="12" priority="22" operator="equal">
      <formula>MAX($L$14:$L$16)</formula>
    </cfRule>
  </conditionalFormatting>
  <conditionalFormatting sqref="J43">
    <cfRule type="cellIs" dxfId="11" priority="23" operator="equal">
      <formula>MAX($J$14:$J$16)</formula>
    </cfRule>
  </conditionalFormatting>
  <conditionalFormatting sqref="D43">
    <cfRule type="cellIs" dxfId="10" priority="20" operator="equal">
      <formula>MAX($D$14:$D$42)</formula>
    </cfRule>
  </conditionalFormatting>
  <conditionalFormatting sqref="D14">
    <cfRule type="cellIs" dxfId="9" priority="10" operator="equal">
      <formula>MAX($D$14:$D$42)</formula>
    </cfRule>
  </conditionalFormatting>
  <conditionalFormatting sqref="G14">
    <cfRule type="cellIs" dxfId="8" priority="9" operator="equal">
      <formula>MAX($G$14:$G$16)</formula>
    </cfRule>
  </conditionalFormatting>
  <conditionalFormatting sqref="L14">
    <cfRule type="cellIs" dxfId="7" priority="1" operator="equal">
      <formula>MAX($L$14:$L$16)</formula>
    </cfRule>
  </conditionalFormatting>
  <conditionalFormatting sqref="T14">
    <cfRule type="cellIs" dxfId="6" priority="2" operator="equal">
      <formula>MAX($T$14:$T$16)</formula>
    </cfRule>
  </conditionalFormatting>
  <conditionalFormatting sqref="X14">
    <cfRule type="cellIs" dxfId="5" priority="3" operator="equal">
      <formula>MAX($X$14:$X$16)</formula>
    </cfRule>
  </conditionalFormatting>
  <conditionalFormatting sqref="J14">
    <cfRule type="cellIs" dxfId="4" priority="4" operator="equal">
      <formula>MAX($J$14:$J$16)</formula>
    </cfRule>
  </conditionalFormatting>
  <conditionalFormatting sqref="V14">
    <cfRule type="cellIs" dxfId="3" priority="5" operator="equal">
      <formula>MAX($V$14:$V$16)</formula>
    </cfRule>
  </conditionalFormatting>
  <conditionalFormatting sqref="S14">
    <cfRule type="cellIs" dxfId="2" priority="6" operator="equal">
      <formula>MAX($S$14:$S$16)</formula>
    </cfRule>
  </conditionalFormatting>
  <conditionalFormatting sqref="N14">
    <cfRule type="cellIs" dxfId="1" priority="7" operator="equal">
      <formula>MAX($N$14:$N$16)</formula>
    </cfRule>
  </conditionalFormatting>
  <conditionalFormatting sqref="P14">
    <cfRule type="cellIs" dxfId="0" priority="8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72788-0F97-4BF9-9D43-5D433E64E6CF}"/>
</file>

<file path=customXml/itemProps2.xml><?xml version="1.0" encoding="utf-8"?>
<ds:datastoreItem xmlns:ds="http://schemas.openxmlformats.org/officeDocument/2006/customXml" ds:itemID="{3BD20132-05B1-47CF-AFAE-4E941FFBAA3C}"/>
</file>

<file path=customXml/itemProps3.xml><?xml version="1.0" encoding="utf-8"?>
<ds:datastoreItem xmlns:ds="http://schemas.openxmlformats.org/officeDocument/2006/customXml" ds:itemID="{A73706A5-6948-48C9-A664-51E0258C5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Gilbet Gustavo Manriquez Henriquez</cp:lastModifiedBy>
  <dcterms:created xsi:type="dcterms:W3CDTF">2022-10-03T10:52:32Z</dcterms:created>
  <dcterms:modified xsi:type="dcterms:W3CDTF">2025-11-01T11:21:27Z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7226700</vt:r8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