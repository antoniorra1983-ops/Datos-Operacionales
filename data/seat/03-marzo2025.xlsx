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5/Marzo/31-03-2025/"/>
    </mc:Choice>
  </mc:AlternateContent>
  <xr:revisionPtr revIDLastSave="5" documentId="13_ncr:1_{50A08E70-8EFB-45EC-9299-E2C347D583B5}" xr6:coauthVersionLast="47" xr6:coauthVersionMax="47" xr10:uidLastSave="{0077A49C-0C30-44B9-B2AF-2911CB915E38}"/>
  <bookViews>
    <workbookView xWindow="-120" yWindow="-120" windowWidth="29040" windowHeight="15720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2" l="1"/>
  <c r="G47" i="2"/>
  <c r="G46" i="2"/>
  <c r="H46" i="2"/>
  <c r="F46" i="2"/>
  <c r="G45" i="2"/>
  <c r="I45" i="2"/>
  <c r="R45" i="2"/>
  <c r="U45" i="2"/>
  <c r="B45" i="2"/>
  <c r="BB33" i="1"/>
  <c r="BB32" i="1"/>
  <c r="AL30" i="1"/>
  <c r="BB28" i="1"/>
  <c r="H28" i="1" s="1"/>
  <c r="BB27" i="1"/>
  <c r="BB24" i="1"/>
  <c r="BB23" i="1"/>
  <c r="BB22" i="1"/>
  <c r="AB20" i="1"/>
  <c r="BB17" i="1"/>
  <c r="BA17" i="1" s="1"/>
  <c r="BB16" i="1"/>
  <c r="BA16" i="1" s="1"/>
  <c r="AD11" i="1"/>
  <c r="U14" i="2"/>
  <c r="M14" i="2"/>
  <c r="I14" i="2"/>
  <c r="AF7" i="1"/>
  <c r="AF8" i="1"/>
  <c r="AF9" i="1"/>
  <c r="AF10" i="1"/>
  <c r="AF11" i="1"/>
  <c r="AF12" i="1"/>
  <c r="AF13" i="1"/>
  <c r="AF14" i="1"/>
  <c r="AF15" i="1"/>
  <c r="AC15" i="1" s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P8" i="1"/>
  <c r="AP9" i="1"/>
  <c r="AP10" i="1"/>
  <c r="AP11" i="1"/>
  <c r="AP12" i="1"/>
  <c r="AP13" i="1"/>
  <c r="AP14" i="1"/>
  <c r="AP15" i="1"/>
  <c r="AM15" i="1" s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7" i="1"/>
  <c r="BA6" i="1"/>
  <c r="AP6" i="1"/>
  <c r="AF6" i="1"/>
  <c r="AC6" i="1" s="1"/>
  <c r="B38" i="1"/>
  <c r="D38" i="1"/>
  <c r="H38" i="1"/>
  <c r="G38" i="1" s="1"/>
  <c r="Q38" i="1"/>
  <c r="AC38" i="1"/>
  <c r="AD38" i="1"/>
  <c r="AN38" i="1"/>
  <c r="AM38" i="1"/>
  <c r="AV38" i="1"/>
  <c r="AX38" i="1"/>
  <c r="BA38" i="1"/>
  <c r="AY38" i="1" s="1"/>
  <c r="BI38" i="1"/>
  <c r="BL38" i="1"/>
  <c r="BJ38" i="1" s="1"/>
  <c r="BI6" i="1"/>
  <c r="AV6" i="1"/>
  <c r="AL6" i="1"/>
  <c r="AB6" i="1"/>
  <c r="Q8" i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7" i="1"/>
  <c r="Q6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7" i="1"/>
  <c r="H33" i="1"/>
  <c r="H30" i="1"/>
  <c r="H31" i="1"/>
  <c r="H32" i="1"/>
  <c r="H34" i="1"/>
  <c r="H35" i="1"/>
  <c r="H36" i="1"/>
  <c r="H37" i="1"/>
  <c r="BA20" i="1"/>
  <c r="AW6" i="1"/>
  <c r="BA7" i="1"/>
  <c r="BA8" i="1"/>
  <c r="BA9" i="1"/>
  <c r="BA10" i="1"/>
  <c r="BA11" i="1"/>
  <c r="BA12" i="1"/>
  <c r="BA13" i="1"/>
  <c r="BA14" i="1"/>
  <c r="BA15" i="1"/>
  <c r="AY15" i="1" s="1"/>
  <c r="BA18" i="1"/>
  <c r="BA19" i="1"/>
  <c r="R14" i="2"/>
  <c r="G14" i="2"/>
  <c r="H7" i="1"/>
  <c r="H8" i="1"/>
  <c r="BL6" i="1"/>
  <c r="BK6" i="1" s="1"/>
  <c r="AY6" i="1"/>
  <c r="K6" i="1" s="1"/>
  <c r="O6" i="1" s="1"/>
  <c r="AX6" i="1"/>
  <c r="AN6" i="1"/>
  <c r="AM6" i="1"/>
  <c r="AD6" i="1"/>
  <c r="H6" i="1"/>
  <c r="F6" i="1" s="1"/>
  <c r="E6" i="1" s="1"/>
  <c r="D6" i="1"/>
  <c r="J51" i="2"/>
  <c r="I51" i="2" s="1"/>
  <c r="J52" i="2"/>
  <c r="F52" i="2" s="1"/>
  <c r="J53" i="2"/>
  <c r="G53" i="2" s="1"/>
  <c r="J54" i="2"/>
  <c r="H54" i="2" s="1"/>
  <c r="J55" i="2"/>
  <c r="G55" i="2" s="1"/>
  <c r="J56" i="2"/>
  <c r="I56" i="2" s="1"/>
  <c r="J57" i="2"/>
  <c r="I57" i="2" s="1"/>
  <c r="J58" i="2"/>
  <c r="F58" i="2" s="1"/>
  <c r="J59" i="2"/>
  <c r="I59" i="2" s="1"/>
  <c r="J60" i="2"/>
  <c r="F60" i="2" s="1"/>
  <c r="J61" i="2"/>
  <c r="G61" i="2" s="1"/>
  <c r="J62" i="2"/>
  <c r="H62" i="2" s="1"/>
  <c r="J63" i="2"/>
  <c r="E63" i="2" s="1"/>
  <c r="J64" i="2"/>
  <c r="I64" i="2" s="1"/>
  <c r="J65" i="2"/>
  <c r="I65" i="2" s="1"/>
  <c r="J66" i="2"/>
  <c r="F66" i="2" s="1"/>
  <c r="J67" i="2"/>
  <c r="H67" i="2" s="1"/>
  <c r="J68" i="2"/>
  <c r="G68" i="2" s="1"/>
  <c r="J69" i="2"/>
  <c r="E69" i="2" s="1"/>
  <c r="J70" i="2"/>
  <c r="G70" i="2" s="1"/>
  <c r="J71" i="2"/>
  <c r="G71" i="2" s="1"/>
  <c r="J72" i="2"/>
  <c r="F72" i="2" s="1"/>
  <c r="J73" i="2"/>
  <c r="E73" i="2" s="1"/>
  <c r="J74" i="2"/>
  <c r="I74" i="2" s="1"/>
  <c r="J75" i="2"/>
  <c r="H75" i="2" s="1"/>
  <c r="J76" i="2"/>
  <c r="E76" i="2" s="1"/>
  <c r="J77" i="2"/>
  <c r="F77" i="2" s="1"/>
  <c r="J78" i="2"/>
  <c r="F78" i="2" s="1"/>
  <c r="J79" i="2"/>
  <c r="F79" i="2" s="1"/>
  <c r="J80" i="2"/>
  <c r="E80" i="2" s="1"/>
  <c r="J50" i="2"/>
  <c r="H50" i="2" s="1"/>
  <c r="BL15" i="1"/>
  <c r="BK15" i="1" s="1"/>
  <c r="AX15" i="1"/>
  <c r="AN15" i="1"/>
  <c r="AD15" i="1"/>
  <c r="E50" i="2" l="1"/>
  <c r="I50" i="2"/>
  <c r="F50" i="2"/>
  <c r="AW38" i="1"/>
  <c r="F38" i="1"/>
  <c r="E38" i="1" s="1"/>
  <c r="G6" i="1"/>
  <c r="K38" i="1"/>
  <c r="O38" i="1" s="1"/>
  <c r="L38" i="1"/>
  <c r="P38" i="1" s="1"/>
  <c r="J38" i="1"/>
  <c r="N38" i="1" s="1"/>
  <c r="BK38" i="1"/>
  <c r="I38" i="1"/>
  <c r="M38" i="1" s="1"/>
  <c r="H61" i="2"/>
  <c r="H65" i="2"/>
  <c r="I55" i="2"/>
  <c r="I54" i="2"/>
  <c r="H53" i="2"/>
  <c r="I63" i="2"/>
  <c r="F61" i="2"/>
  <c r="I62" i="2"/>
  <c r="F57" i="2"/>
  <c r="F65" i="2"/>
  <c r="I61" i="2"/>
  <c r="F53" i="2"/>
  <c r="H57" i="2"/>
  <c r="I53" i="2"/>
  <c r="E52" i="2"/>
  <c r="G52" i="2"/>
  <c r="E59" i="2"/>
  <c r="E51" i="2"/>
  <c r="G59" i="2"/>
  <c r="G51" i="2"/>
  <c r="H60" i="2"/>
  <c r="H52" i="2"/>
  <c r="F64" i="2"/>
  <c r="F56" i="2"/>
  <c r="E66" i="2"/>
  <c r="E58" i="2"/>
  <c r="G66" i="2"/>
  <c r="G58" i="2"/>
  <c r="H76" i="2"/>
  <c r="H59" i="2"/>
  <c r="H51" i="2"/>
  <c r="F63" i="2"/>
  <c r="F55" i="2"/>
  <c r="E65" i="2"/>
  <c r="E57" i="2"/>
  <c r="G65" i="2"/>
  <c r="G57" i="2"/>
  <c r="H66" i="2"/>
  <c r="H58" i="2"/>
  <c r="I60" i="2"/>
  <c r="I52" i="2"/>
  <c r="F62" i="2"/>
  <c r="F54" i="2"/>
  <c r="E60" i="2"/>
  <c r="E56" i="2"/>
  <c r="G56" i="2"/>
  <c r="G63" i="2"/>
  <c r="H56" i="2"/>
  <c r="E62" i="2"/>
  <c r="E54" i="2"/>
  <c r="G62" i="2"/>
  <c r="G54" i="2"/>
  <c r="H63" i="2"/>
  <c r="H55" i="2"/>
  <c r="F76" i="2"/>
  <c r="F59" i="2"/>
  <c r="F51" i="2"/>
  <c r="G60" i="2"/>
  <c r="E64" i="2"/>
  <c r="G64" i="2"/>
  <c r="I76" i="2"/>
  <c r="E55" i="2"/>
  <c r="H64" i="2"/>
  <c r="I66" i="2"/>
  <c r="I58" i="2"/>
  <c r="E61" i="2"/>
  <c r="E53" i="2"/>
  <c r="G50" i="2"/>
  <c r="AW15" i="1"/>
  <c r="J6" i="1"/>
  <c r="N6" i="1" s="1"/>
  <c r="L6" i="1"/>
  <c r="P6" i="1" s="1"/>
  <c r="BJ6" i="1"/>
  <c r="I6" i="1"/>
  <c r="M6" i="1" s="1"/>
  <c r="G80" i="2"/>
  <c r="F80" i="2"/>
  <c r="H80" i="2"/>
  <c r="I80" i="2"/>
  <c r="E79" i="2"/>
  <c r="I79" i="2"/>
  <c r="G79" i="2"/>
  <c r="H79" i="2"/>
  <c r="E78" i="2"/>
  <c r="G78" i="2"/>
  <c r="H78" i="2"/>
  <c r="I78" i="2"/>
  <c r="I72" i="2"/>
  <c r="H72" i="2"/>
  <c r="E72" i="2"/>
  <c r="G72" i="2"/>
  <c r="H71" i="2"/>
  <c r="G77" i="2"/>
  <c r="H77" i="2"/>
  <c r="I77" i="2"/>
  <c r="E77" i="2"/>
  <c r="G76" i="2"/>
  <c r="F75" i="2"/>
  <c r="I75" i="2"/>
  <c r="E75" i="2"/>
  <c r="G75" i="2"/>
  <c r="F74" i="2"/>
  <c r="E74" i="2"/>
  <c r="G74" i="2"/>
  <c r="H74" i="2"/>
  <c r="G73" i="2"/>
  <c r="H73" i="2"/>
  <c r="I73" i="2"/>
  <c r="F73" i="2"/>
  <c r="I71" i="2"/>
  <c r="E71" i="2"/>
  <c r="F71" i="2"/>
  <c r="E70" i="2"/>
  <c r="H70" i="2"/>
  <c r="F70" i="2"/>
  <c r="I70" i="2"/>
  <c r="F69" i="2"/>
  <c r="G69" i="2"/>
  <c r="H69" i="2"/>
  <c r="I69" i="2"/>
  <c r="F68" i="2"/>
  <c r="H68" i="2"/>
  <c r="I68" i="2"/>
  <c r="E68" i="2"/>
  <c r="G67" i="2"/>
  <c r="F67" i="2"/>
  <c r="I67" i="2"/>
  <c r="E67" i="2"/>
  <c r="BJ15" i="1"/>
  <c r="R20" i="2" l="1"/>
  <c r="G20" i="2"/>
  <c r="AY13" i="1"/>
  <c r="AY12" i="1" l="1"/>
  <c r="AY11" i="1"/>
  <c r="S41" i="1" l="1"/>
  <c r="R40" i="1" s="1"/>
  <c r="G44" i="2"/>
  <c r="R44" i="2"/>
  <c r="G43" i="2"/>
  <c r="R43" i="2"/>
  <c r="R41" i="2"/>
  <c r="R42" i="2"/>
  <c r="G42" i="2"/>
  <c r="G41" i="2"/>
  <c r="R40" i="2"/>
  <c r="G40" i="2"/>
  <c r="BL33" i="1"/>
  <c r="BJ33" i="1" s="1"/>
  <c r="BA33" i="1"/>
  <c r="AX33" i="1"/>
  <c r="AM33" i="1"/>
  <c r="AN33" i="1"/>
  <c r="AC33" i="1"/>
  <c r="AD33" i="1"/>
  <c r="G39" i="2"/>
  <c r="R39" i="2"/>
  <c r="AD31" i="1"/>
  <c r="G38" i="2"/>
  <c r="R38" i="2"/>
  <c r="R37" i="2"/>
  <c r="G37" i="2"/>
  <c r="R36" i="2"/>
  <c r="G36" i="2"/>
  <c r="R35" i="2"/>
  <c r="G35" i="2"/>
  <c r="G34" i="2"/>
  <c r="R34" i="2"/>
  <c r="R33" i="2"/>
  <c r="G33" i="2"/>
  <c r="R32" i="2"/>
  <c r="G32" i="2"/>
  <c r="G31" i="2"/>
  <c r="R31" i="2"/>
  <c r="G30" i="2"/>
  <c r="R30" i="2"/>
  <c r="AW33" i="1" l="1"/>
  <c r="AY33" i="1"/>
  <c r="BK33" i="1"/>
  <c r="R29" i="2"/>
  <c r="R25" i="2"/>
  <c r="G25" i="2"/>
  <c r="G29" i="2"/>
  <c r="R28" i="2"/>
  <c r="G28" i="2"/>
  <c r="R27" i="2"/>
  <c r="G27" i="2"/>
  <c r="R26" i="2"/>
  <c r="G26" i="2"/>
  <c r="G24" i="2"/>
  <c r="R24" i="2"/>
  <c r="BL19" i="1"/>
  <c r="BJ19" i="1" s="1"/>
  <c r="AY19" i="1"/>
  <c r="AX19" i="1"/>
  <c r="AM19" i="1"/>
  <c r="AN19" i="1"/>
  <c r="AC19" i="1"/>
  <c r="R23" i="2"/>
  <c r="G23" i="2"/>
  <c r="G22" i="2"/>
  <c r="R22" i="2"/>
  <c r="G21" i="2"/>
  <c r="R21" i="2"/>
  <c r="R19" i="2"/>
  <c r="G19" i="2"/>
  <c r="R18" i="2"/>
  <c r="G18" i="2"/>
  <c r="BI7" i="1"/>
  <c r="AV7" i="1"/>
  <c r="AL7" i="1"/>
  <c r="AB7" i="1"/>
  <c r="D24" i="1"/>
  <c r="H24" i="1"/>
  <c r="AD24" i="1"/>
  <c r="AC24" i="1"/>
  <c r="AN24" i="1"/>
  <c r="AM24" i="1"/>
  <c r="AX24" i="1"/>
  <c r="BA24" i="1"/>
  <c r="BL24" i="1"/>
  <c r="BJ24" i="1" s="1"/>
  <c r="D25" i="1"/>
  <c r="H25" i="1"/>
  <c r="AD25" i="1"/>
  <c r="AC25" i="1"/>
  <c r="AN25" i="1"/>
  <c r="AM25" i="1"/>
  <c r="AX25" i="1"/>
  <c r="BA25" i="1"/>
  <c r="BL25" i="1"/>
  <c r="BK25" i="1" s="1"/>
  <c r="D26" i="1"/>
  <c r="H26" i="1"/>
  <c r="AD26" i="1"/>
  <c r="AC26" i="1"/>
  <c r="AN26" i="1"/>
  <c r="AX26" i="1"/>
  <c r="BA26" i="1"/>
  <c r="BL26" i="1"/>
  <c r="BJ26" i="1" s="1"/>
  <c r="D27" i="1"/>
  <c r="H27" i="1"/>
  <c r="AD27" i="1"/>
  <c r="AC27" i="1"/>
  <c r="AN27" i="1"/>
  <c r="AX27" i="1"/>
  <c r="BA27" i="1"/>
  <c r="BL27" i="1"/>
  <c r="BK27" i="1" s="1"/>
  <c r="D28" i="1"/>
  <c r="AD28" i="1"/>
  <c r="AC28" i="1"/>
  <c r="AN28" i="1"/>
  <c r="AX28" i="1"/>
  <c r="BA28" i="1"/>
  <c r="AY28" i="1" s="1"/>
  <c r="BL28" i="1"/>
  <c r="BJ28" i="1" s="1"/>
  <c r="D29" i="1"/>
  <c r="H29" i="1"/>
  <c r="AD29" i="1"/>
  <c r="AC29" i="1"/>
  <c r="AN29" i="1"/>
  <c r="AX29" i="1"/>
  <c r="BA29" i="1"/>
  <c r="BL29" i="1"/>
  <c r="BK29" i="1" s="1"/>
  <c r="D30" i="1"/>
  <c r="F30" i="1" s="1"/>
  <c r="AD30" i="1"/>
  <c r="AC30" i="1"/>
  <c r="AN30" i="1"/>
  <c r="AX30" i="1"/>
  <c r="BA30" i="1"/>
  <c r="BL30" i="1"/>
  <c r="BJ30" i="1" s="1"/>
  <c r="D31" i="1"/>
  <c r="AC31" i="1"/>
  <c r="AN31" i="1"/>
  <c r="AX31" i="1"/>
  <c r="BA31" i="1"/>
  <c r="BL31" i="1"/>
  <c r="BK31" i="1" s="1"/>
  <c r="D32" i="1"/>
  <c r="AD32" i="1"/>
  <c r="AC32" i="1"/>
  <c r="AN32" i="1"/>
  <c r="AX32" i="1"/>
  <c r="BA32" i="1"/>
  <c r="BL32" i="1"/>
  <c r="BJ32" i="1" s="1"/>
  <c r="D33" i="1"/>
  <c r="D34" i="1"/>
  <c r="AD34" i="1"/>
  <c r="AC34" i="1"/>
  <c r="AN34" i="1"/>
  <c r="AX34" i="1"/>
  <c r="BA34" i="1"/>
  <c r="BL34" i="1"/>
  <c r="BK34" i="1" s="1"/>
  <c r="D35" i="1"/>
  <c r="AD35" i="1"/>
  <c r="AC35" i="1"/>
  <c r="AN35" i="1"/>
  <c r="AX35" i="1"/>
  <c r="BA35" i="1"/>
  <c r="BL35" i="1"/>
  <c r="BK35" i="1" s="1"/>
  <c r="D36" i="1"/>
  <c r="AD36" i="1"/>
  <c r="AC36" i="1"/>
  <c r="AN36" i="1"/>
  <c r="AX36" i="1"/>
  <c r="BA36" i="1"/>
  <c r="BL36" i="1"/>
  <c r="BJ36" i="1" s="1"/>
  <c r="D37" i="1"/>
  <c r="AD37" i="1"/>
  <c r="AC37" i="1"/>
  <c r="AN37" i="1"/>
  <c r="AX37" i="1"/>
  <c r="BA37" i="1"/>
  <c r="AY37" i="1" s="1"/>
  <c r="BL37" i="1"/>
  <c r="BK37" i="1" s="1"/>
  <c r="D11" i="1"/>
  <c r="H11" i="1"/>
  <c r="AC11" i="1"/>
  <c r="AN11" i="1"/>
  <c r="AM11" i="1"/>
  <c r="AX11" i="1"/>
  <c r="AW11" i="1"/>
  <c r="BL11" i="1"/>
  <c r="D12" i="1"/>
  <c r="G12" i="1" s="1"/>
  <c r="H12" i="1"/>
  <c r="AD12" i="1"/>
  <c r="AC12" i="1"/>
  <c r="AN12" i="1"/>
  <c r="AM12" i="1"/>
  <c r="AX12" i="1"/>
  <c r="AW12" i="1"/>
  <c r="BL12" i="1"/>
  <c r="BK12" i="1" s="1"/>
  <c r="D13" i="1"/>
  <c r="H13" i="1"/>
  <c r="AD13" i="1"/>
  <c r="AC13" i="1"/>
  <c r="AN13" i="1"/>
  <c r="AM13" i="1"/>
  <c r="AX13" i="1"/>
  <c r="AW13" i="1"/>
  <c r="BL13" i="1"/>
  <c r="BK13" i="1" s="1"/>
  <c r="D14" i="1"/>
  <c r="H14" i="1"/>
  <c r="AD14" i="1"/>
  <c r="AC14" i="1"/>
  <c r="AN14" i="1"/>
  <c r="AM14" i="1"/>
  <c r="AX14" i="1"/>
  <c r="BL14" i="1"/>
  <c r="BK14" i="1" s="1"/>
  <c r="D15" i="1"/>
  <c r="H15" i="1"/>
  <c r="D16" i="1"/>
  <c r="H16" i="1"/>
  <c r="AD16" i="1"/>
  <c r="AC16" i="1"/>
  <c r="AN16" i="1"/>
  <c r="AM16" i="1"/>
  <c r="AX16" i="1"/>
  <c r="BL16" i="1"/>
  <c r="BK16" i="1" s="1"/>
  <c r="D17" i="1"/>
  <c r="H17" i="1"/>
  <c r="AD17" i="1"/>
  <c r="AC17" i="1"/>
  <c r="AN17" i="1"/>
  <c r="AM17" i="1"/>
  <c r="AX17" i="1"/>
  <c r="BL17" i="1"/>
  <c r="D18" i="1"/>
  <c r="H18" i="1"/>
  <c r="AD18" i="1"/>
  <c r="AC18" i="1"/>
  <c r="AN18" i="1"/>
  <c r="AM18" i="1"/>
  <c r="AX18" i="1"/>
  <c r="BL18" i="1"/>
  <c r="BK18" i="1" s="1"/>
  <c r="D19" i="1"/>
  <c r="H19" i="1"/>
  <c r="AD19" i="1"/>
  <c r="D20" i="1"/>
  <c r="H20" i="1"/>
  <c r="AD20" i="1"/>
  <c r="AC20" i="1"/>
  <c r="AN20" i="1"/>
  <c r="AM20" i="1"/>
  <c r="AX20" i="1"/>
  <c r="BL20" i="1"/>
  <c r="D21" i="1"/>
  <c r="H21" i="1"/>
  <c r="AD21" i="1"/>
  <c r="AC21" i="1"/>
  <c r="AN21" i="1"/>
  <c r="AM21" i="1"/>
  <c r="AX21" i="1"/>
  <c r="BA21" i="1"/>
  <c r="BL21" i="1"/>
  <c r="D22" i="1"/>
  <c r="H22" i="1"/>
  <c r="AD22" i="1"/>
  <c r="AC22" i="1"/>
  <c r="AN22" i="1"/>
  <c r="AM22" i="1"/>
  <c r="AX22" i="1"/>
  <c r="BA22" i="1"/>
  <c r="BL22" i="1"/>
  <c r="D23" i="1"/>
  <c r="H23" i="1"/>
  <c r="AD23" i="1"/>
  <c r="AC23" i="1"/>
  <c r="AN23" i="1"/>
  <c r="AM23" i="1"/>
  <c r="AX23" i="1"/>
  <c r="BA23" i="1"/>
  <c r="BL23" i="1"/>
  <c r="BK23" i="1" s="1"/>
  <c r="H9" i="1"/>
  <c r="H10" i="1"/>
  <c r="D7" i="1"/>
  <c r="D8" i="1"/>
  <c r="D9" i="1"/>
  <c r="D10" i="1"/>
  <c r="R15" i="2"/>
  <c r="R16" i="2"/>
  <c r="R17" i="2"/>
  <c r="G15" i="2"/>
  <c r="G16" i="2"/>
  <c r="G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Y7" i="1"/>
  <c r="AY8" i="1"/>
  <c r="AX7" i="1"/>
  <c r="AX8" i="1"/>
  <c r="AX9" i="1"/>
  <c r="AX10" i="1"/>
  <c r="AM7" i="1"/>
  <c r="AM8" i="1"/>
  <c r="AM9" i="1"/>
  <c r="AM10" i="1"/>
  <c r="AW36" i="1" l="1"/>
  <c r="AY36" i="1"/>
  <c r="AW35" i="1"/>
  <c r="AY35" i="1"/>
  <c r="L35" i="1" s="1"/>
  <c r="P35" i="1" s="1"/>
  <c r="AW34" i="1"/>
  <c r="AY34" i="1"/>
  <c r="I34" i="1" s="1"/>
  <c r="M34" i="1" s="1"/>
  <c r="AW32" i="1"/>
  <c r="AY32" i="1"/>
  <c r="K32" i="1" s="1"/>
  <c r="O32" i="1" s="1"/>
  <c r="AW31" i="1"/>
  <c r="AY31" i="1"/>
  <c r="K31" i="1" s="1"/>
  <c r="O31" i="1" s="1"/>
  <c r="AW30" i="1"/>
  <c r="AY30" i="1"/>
  <c r="L30" i="1" s="1"/>
  <c r="P30" i="1" s="1"/>
  <c r="AW29" i="1"/>
  <c r="AY29" i="1"/>
  <c r="J29" i="1" s="1"/>
  <c r="N29" i="1" s="1"/>
  <c r="AW27" i="1"/>
  <c r="AY27" i="1"/>
  <c r="J27" i="1" s="1"/>
  <c r="N27" i="1" s="1"/>
  <c r="AW26" i="1"/>
  <c r="AY26" i="1"/>
  <c r="I26" i="1" s="1"/>
  <c r="M26" i="1" s="1"/>
  <c r="AW25" i="1"/>
  <c r="AY25" i="1"/>
  <c r="K25" i="1" s="1"/>
  <c r="O25" i="1" s="1"/>
  <c r="AW24" i="1"/>
  <c r="AY24" i="1"/>
  <c r="K24" i="1" s="1"/>
  <c r="O24" i="1" s="1"/>
  <c r="AW23" i="1"/>
  <c r="AY23" i="1"/>
  <c r="I23" i="1" s="1"/>
  <c r="M23" i="1" s="1"/>
  <c r="AW22" i="1"/>
  <c r="AY22" i="1"/>
  <c r="I22" i="1" s="1"/>
  <c r="M22" i="1" s="1"/>
  <c r="AW21" i="1"/>
  <c r="AY21" i="1"/>
  <c r="I21" i="1" s="1"/>
  <c r="M21" i="1" s="1"/>
  <c r="AW20" i="1"/>
  <c r="AY20" i="1"/>
  <c r="K20" i="1" s="1"/>
  <c r="O20" i="1" s="1"/>
  <c r="AW18" i="1"/>
  <c r="AY18" i="1"/>
  <c r="I18" i="1" s="1"/>
  <c r="M18" i="1" s="1"/>
  <c r="AW17" i="1"/>
  <c r="AY17" i="1"/>
  <c r="I17" i="1" s="1"/>
  <c r="M17" i="1" s="1"/>
  <c r="AW16" i="1"/>
  <c r="AY16" i="1"/>
  <c r="I16" i="1" s="1"/>
  <c r="M16" i="1" s="1"/>
  <c r="AW14" i="1"/>
  <c r="AY14" i="1"/>
  <c r="I14" i="1" s="1"/>
  <c r="M14" i="1" s="1"/>
  <c r="AW10" i="1"/>
  <c r="AY10" i="1"/>
  <c r="J10" i="1" s="1"/>
  <c r="N10" i="1" s="1"/>
  <c r="AW9" i="1"/>
  <c r="AY9" i="1"/>
  <c r="I9" i="1" s="1"/>
  <c r="M9" i="1" s="1"/>
  <c r="AW28" i="1"/>
  <c r="L28" i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AW37" i="1"/>
  <c r="J37" i="1"/>
  <c r="N37" i="1" s="1"/>
  <c r="BJ37" i="1"/>
  <c r="F37" i="1"/>
  <c r="E37" i="1" s="1"/>
  <c r="F36" i="1"/>
  <c r="E36" i="1" s="1"/>
  <c r="BK36" i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E30" i="1"/>
  <c r="BJ29" i="1"/>
  <c r="F29" i="1"/>
  <c r="E29" i="1" s="1"/>
  <c r="BJ27" i="1"/>
  <c r="AW19" i="1"/>
  <c r="G18" i="1"/>
  <c r="F18" i="1"/>
  <c r="E18" i="1" s="1"/>
  <c r="G19" i="1"/>
  <c r="F17" i="1"/>
  <c r="E17" i="1" s="1"/>
  <c r="F19" i="1"/>
  <c r="E19" i="1" s="1"/>
  <c r="G17" i="1"/>
  <c r="G16" i="1"/>
  <c r="F15" i="1"/>
  <c r="E15" i="1" s="1"/>
  <c r="G14" i="1"/>
  <c r="F14" i="1"/>
  <c r="E14" i="1" s="1"/>
  <c r="G13" i="1"/>
  <c r="K12" i="1"/>
  <c r="O12" i="1" s="1"/>
  <c r="L12" i="1"/>
  <c r="P12" i="1" s="1"/>
  <c r="F12" i="1"/>
  <c r="E12" i="1" s="1"/>
  <c r="I11" i="1"/>
  <c r="M11" i="1" s="1"/>
  <c r="F11" i="1"/>
  <c r="E11" i="1" s="1"/>
  <c r="F10" i="1"/>
  <c r="E10" i="1" s="1"/>
  <c r="F9" i="1"/>
  <c r="E9" i="1" s="1"/>
  <c r="G8" i="1"/>
  <c r="I15" i="1"/>
  <c r="M15" i="1" s="1"/>
  <c r="I13" i="1"/>
  <c r="M13" i="1" s="1"/>
  <c r="G37" i="1"/>
  <c r="L36" i="1"/>
  <c r="P36" i="1" s="1"/>
  <c r="G35" i="1"/>
  <c r="K33" i="1"/>
  <c r="O33" i="1" s="1"/>
  <c r="G33" i="1"/>
  <c r="G31" i="1"/>
  <c r="G29" i="1"/>
  <c r="F27" i="1"/>
  <c r="E27" i="1" s="1"/>
  <c r="F25" i="1"/>
  <c r="E25" i="1" s="1"/>
  <c r="F8" i="1"/>
  <c r="E8" i="1" s="1"/>
  <c r="F23" i="1"/>
  <c r="E23" i="1" s="1"/>
  <c r="F22" i="1"/>
  <c r="E22" i="1" s="1"/>
  <c r="F21" i="1"/>
  <c r="E21" i="1" s="1"/>
  <c r="F20" i="1"/>
  <c r="E20" i="1" s="1"/>
  <c r="AW8" i="1"/>
  <c r="G11" i="1"/>
  <c r="G36" i="1"/>
  <c r="G34" i="1"/>
  <c r="G32" i="1"/>
  <c r="G30" i="1"/>
  <c r="BK28" i="1"/>
  <c r="F28" i="1"/>
  <c r="E28" i="1" s="1"/>
  <c r="BK26" i="1"/>
  <c r="F26" i="1"/>
  <c r="E26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7" i="1"/>
  <c r="AM36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AW7" i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BI8" i="1"/>
  <c r="BI9" i="1" s="1"/>
  <c r="BI10" i="1" s="1"/>
  <c r="AV8" i="1"/>
  <c r="AV9" i="1" s="1"/>
  <c r="AV10" i="1" s="1"/>
  <c r="AV11" i="1" s="1"/>
  <c r="AV12" i="1" s="1"/>
  <c r="AV13" i="1" s="1"/>
  <c r="AV14" i="1" s="1"/>
  <c r="AL8" i="1"/>
  <c r="AL9" i="1" s="1"/>
  <c r="AL10" i="1" s="1"/>
  <c r="AL11" i="1" s="1"/>
  <c r="AL12" i="1" s="1"/>
  <c r="AL13" i="1" s="1"/>
  <c r="AL14" i="1" s="1"/>
  <c r="AB8" i="1"/>
  <c r="AB9" i="1" s="1"/>
  <c r="AB10" i="1" s="1"/>
  <c r="AB11" i="1" s="1"/>
  <c r="AB12" i="1" s="1"/>
  <c r="AB13" i="1" s="1"/>
  <c r="AB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1" i="1" s="1"/>
  <c r="AL32" i="1" s="1"/>
  <c r="AV15" i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BI11" i="1"/>
  <c r="BI12" i="1" s="1"/>
  <c r="BI13" i="1" s="1"/>
  <c r="BI14" i="1" s="1"/>
  <c r="AB15" i="1"/>
  <c r="AB16" i="1" s="1"/>
  <c r="AB17" i="1" s="1"/>
  <c r="AB18" i="1" s="1"/>
  <c r="AB19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K37" i="1"/>
  <c r="O37" i="1" s="1"/>
  <c r="J36" i="1"/>
  <c r="N36" i="1" s="1"/>
  <c r="I36" i="1"/>
  <c r="M36" i="1" s="1"/>
  <c r="K36" i="1"/>
  <c r="O36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I37" i="1"/>
  <c r="M37" i="1" s="1"/>
  <c r="L13" i="1"/>
  <c r="P13" i="1" s="1"/>
  <c r="J22" i="1"/>
  <c r="N22" i="1" s="1"/>
  <c r="L37" i="1"/>
  <c r="P37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BI15" i="1" l="1"/>
  <c r="BI16" i="1" s="1"/>
  <c r="BI17" i="1" s="1"/>
  <c r="BI18" i="1" s="1"/>
  <c r="BI19" i="1" s="1"/>
  <c r="BI20" i="1" s="1"/>
  <c r="BI21" i="1" s="1"/>
  <c r="BI22" i="1" s="1"/>
  <c r="BI23" i="1" s="1"/>
  <c r="BI24" i="1" s="1"/>
  <c r="I40" i="2"/>
  <c r="I41" i="2" s="1"/>
  <c r="I42" i="2" s="1"/>
  <c r="I43" i="2" s="1"/>
  <c r="I44" i="2" s="1"/>
  <c r="U40" i="2"/>
  <c r="U41" i="2" s="1"/>
  <c r="U42" i="2" s="1"/>
  <c r="U43" i="2" s="1"/>
  <c r="U44" i="2" s="1"/>
  <c r="AL33" i="1"/>
  <c r="AL34" i="1" s="1"/>
  <c r="AL35" i="1" s="1"/>
  <c r="AL36" i="1" s="1"/>
  <c r="AL37" i="1" s="1"/>
  <c r="AL38" i="1" s="1"/>
  <c r="AV33" i="1"/>
  <c r="AV34" i="1" s="1"/>
  <c r="AV35" i="1" s="1"/>
  <c r="AV36" i="1" s="1"/>
  <c r="AV37" i="1" s="1"/>
  <c r="B15" i="2"/>
  <c r="BI25" i="1" l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16" i="2"/>
  <c r="M15" i="2"/>
  <c r="B17" i="2" l="1"/>
  <c r="M16" i="2"/>
  <c r="B18" i="2" l="1"/>
  <c r="M17" i="2"/>
  <c r="B19" i="2" l="1"/>
  <c r="M18" i="2"/>
  <c r="B20" i="2" l="1"/>
  <c r="M19" i="2"/>
  <c r="M20" i="2" s="1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B42" i="2" s="1"/>
  <c r="B43" i="2" s="1"/>
  <c r="B44" i="2" s="1"/>
  <c r="M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<sst xmlns="http://schemas.openxmlformats.org/spreadsheetml/2006/main" count="122" uniqueCount="69">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</sst>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8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5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20" fontId="4" fillId="5" borderId="37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5" fontId="4" fillId="5" borderId="36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8" xfId="0" applyBorder="1"/>
    <xf numFmtId="0" fontId="0" fillId="5" borderId="34" xfId="0" applyFill="1" applyBorder="1"/>
    <xf numFmtId="0" fontId="0" fillId="5" borderId="37" xfId="0" applyFill="1" applyBorder="1"/>
    <xf numFmtId="0" fontId="0" fillId="5" borderId="36" xfId="0" applyFill="1" applyBorder="1"/>
    <xf numFmtId="0" fontId="0" fillId="5" borderId="5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6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8" xfId="0" applyFill="1" applyBorder="1"/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6" fontId="4" fillId="5" borderId="33" xfId="2" applyNumberFormat="1" applyFont="1" applyFill="1" applyBorder="1" applyAlignment="1">
      <alignment horizontal="center"/>
    </xf>
    <xf numFmtId="0" fontId="0" fillId="0" borderId="0" xfId="0"/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9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9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3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3" xfId="2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5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9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9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9" fontId="8" fillId="3" borderId="48" xfId="2" applyFont="1" applyFill="1" applyBorder="1" applyAlignment="1">
      <alignment horizontal="center"/>
    </xf>
    <xf numFmtId="1" fontId="8" fillId="0" borderId="48" xfId="0" applyNumberFormat="1" applyFont="1" applyFill="1" applyBorder="1" applyAlignment="1">
      <alignment horizontal="center"/>
    </xf>
    <xf numFmtId="1" fontId="8" fillId="3" borderId="48" xfId="0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horizontal="center"/>
    </xf>
    <xf numFmtId="1" fontId="8" fillId="9" borderId="48" xfId="0" applyNumberFormat="1" applyFont="1" applyFill="1" applyBorder="1"/>
    <xf numFmtId="168" fontId="8" fillId="9" borderId="48" xfId="0" applyNumberFormat="1" applyFont="1" applyFill="1" applyBorder="1"/>
    <xf numFmtId="9" fontId="8" fillId="0" borderId="48" xfId="0" applyNumberFormat="1" applyFont="1" applyFill="1" applyBorder="1" applyAlignment="1">
      <alignment horizontal="center"/>
    </xf>
    <xf numFmtId="165" fontId="8" fillId="3" borderId="48" xfId="0" applyNumberFormat="1" applyFont="1" applyFill="1" applyBorder="1" applyAlignment="1">
      <alignment horizontal="center"/>
    </xf>
    <xf numFmtId="166" fontId="8" fillId="9" borderId="48" xfId="0" applyNumberFormat="1" applyFont="1" applyFill="1" applyBorder="1" applyAlignment="1">
      <alignment horizontal="center"/>
    </xf>
    <xf numFmtId="165" fontId="8" fillId="9" borderId="48" xfId="0" applyNumberFormat="1" applyFont="1" applyFill="1" applyBorder="1" applyAlignment="1">
      <alignment horizontal="center"/>
    </xf>
    <xf numFmtId="168" fontId="8" fillId="9" borderId="48" xfId="0" applyNumberFormat="1" applyFont="1" applyFill="1" applyBorder="1" applyAlignment="1">
      <alignment horizontal="center"/>
    </xf>
    <xf numFmtId="1" fontId="8" fillId="9" borderId="48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1" xfId="1" applyNumberFormat="1" applyFont="1" applyFill="1" applyBorder="1" applyAlignment="1">
      <alignment horizontal="center"/>
    </xf>
    <xf numFmtId="166" fontId="8" fillId="0" borderId="39" xfId="1" applyNumberFormat="1" applyFont="1" applyFill="1" applyBorder="1" applyAlignment="1">
      <alignment horizontal="center"/>
    </xf>
    <xf numFmtId="165" fontId="8" fillId="0" borderId="51" xfId="0" applyNumberFormat="1" applyFont="1" applyFill="1" applyBorder="1" applyAlignment="1">
      <alignment horizontal="center"/>
    </xf>
    <xf numFmtId="166" fontId="8" fillId="0" borderId="48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/>
    </xf>
    <xf numFmtId="165" fontId="8" fillId="5" borderId="31" xfId="2" applyNumberFormat="1" applyFont="1" applyFill="1" applyBorder="1"/>
    <xf numFmtId="165" fontId="8" fillId="5" borderId="30" xfId="2" applyNumberFormat="1" applyFont="1" applyFill="1" applyBorder="1"/>
    <xf numFmtId="166" fontId="8" fillId="5" borderId="51" xfId="1" applyNumberFormat="1" applyFont="1" applyFill="1" applyBorder="1"/>
    <xf numFmtId="167" fontId="8" fillId="5" borderId="30" xfId="1" applyNumberFormat="1" applyFont="1" applyFill="1" applyBorder="1" applyAlignment="1">
      <alignment horizontal="center"/>
    </xf>
    <xf numFmtId="165" fontId="8" fillId="8" borderId="30" xfId="0" applyNumberFormat="1" applyFont="1" applyFill="1" applyBorder="1"/>
    <xf numFmtId="165" fontId="8" fillId="8" borderId="30" xfId="2" applyNumberFormat="1" applyFont="1" applyFill="1" applyBorder="1" applyAlignment="1">
      <alignment horizontal="center"/>
    </xf>
    <xf numFmtId="166" fontId="8" fillId="8" borderId="30" xfId="1" applyNumberFormat="1" applyFont="1" applyFill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20" fontId="8" fillId="8" borderId="30" xfId="0" applyNumberFormat="1" applyFont="1" applyFill="1" applyBorder="1" applyAlignment="1">
      <alignment horizontal="center"/>
    </xf>
    <xf numFmtId="165" fontId="8" fillId="7" borderId="51" xfId="2" applyNumberFormat="1" applyFont="1" applyFill="1" applyBorder="1" applyAlignment="1">
      <alignment horizontal="center"/>
    </xf>
    <xf numFmtId="165" fontId="8" fillId="7" borderId="31" xfId="2" applyNumberFormat="1" applyFont="1" applyFill="1" applyBorder="1" applyAlignment="1">
      <alignment horizontal="center"/>
    </xf>
    <xf numFmtId="166" fontId="8" fillId="7" borderId="30" xfId="1" applyNumberFormat="1" applyFont="1" applyFill="1" applyBorder="1" applyAlignment="1">
      <alignment horizontal="center"/>
    </xf>
    <xf numFmtId="167" fontId="8" fillId="7" borderId="51" xfId="0" applyNumberFormat="1" applyFont="1" applyFill="1" applyBorder="1" applyAlignment="1">
      <alignment horizontal="center"/>
    </xf>
    <xf numFmtId="167" fontId="8" fillId="7" borderId="47" xfId="0" applyNumberFormat="1" applyFont="1" applyFill="1" applyBorder="1" applyAlignment="1">
      <alignment horizontal="center"/>
    </xf>
    <xf numFmtId="166" fontId="8" fillId="9" borderId="55" xfId="0" applyNumberFormat="1" applyFont="1" applyFill="1" applyBorder="1" applyAlignment="1">
      <alignment horizontal="center"/>
    </xf>
    <xf numFmtId="165" fontId="8" fillId="9" borderId="55" xfId="0" applyNumberFormat="1" applyFont="1" applyFill="1" applyBorder="1" applyAlignment="1">
      <alignment horizontal="center"/>
    </xf>
    <xf numFmtId="168" fontId="8" fillId="9" borderId="55" xfId="0" applyNumberFormat="1" applyFont="1" applyFill="1" applyBorder="1" applyAlignment="1">
      <alignment horizontal="center"/>
    </xf>
    <xf numFmtId="1" fontId="8" fillId="9" borderId="55" xfId="0" applyNumberFormat="1" applyFont="1" applyFill="1" applyBorder="1" applyAlignment="1">
      <alignment horizontal="center"/>
    </xf>
    <xf numFmtId="165" fontId="8" fillId="5" borderId="30" xfId="2" applyNumberFormat="1" applyFont="1" applyFill="1" applyBorder="1" applyAlignment="1">
      <alignment horizontal="center"/>
    </xf>
    <xf numFmtId="166" fontId="8" fillId="5" borderId="31" xfId="1" applyNumberFormat="1" applyFont="1" applyFill="1" applyBorder="1" applyAlignment="1">
      <alignment horizontal="center"/>
    </xf>
    <xf numFmtId="167" fontId="8" fillId="5" borderId="30" xfId="0" applyNumberFormat="1" applyFont="1" applyFill="1" applyBorder="1" applyAlignment="1">
      <alignment horizontal="center"/>
    </xf>
    <xf numFmtId="166" fontId="8" fillId="5" borderId="51" xfId="1" applyNumberFormat="1" applyFont="1" applyFill="1" applyBorder="1" applyAlignment="1">
      <alignment horizontal="center"/>
    </xf>
    <xf numFmtId="0" fontId="0" fillId="0" borderId="56" xfId="0" applyBorder="1"/>
    <xf numFmtId="0" fontId="4" fillId="3" borderId="58" xfId="0" applyFont="1" applyFill="1" applyBorder="1" applyAlignment="1">
      <alignment horizontal="center"/>
    </xf>
    <xf numFmtId="0" fontId="8" fillId="0" borderId="58" xfId="0" applyFont="1" applyFill="1" applyBorder="1"/>
    <xf numFmtId="0" fontId="8" fillId="0" borderId="58" xfId="0" applyFont="1" applyFill="1" applyBorder="1" applyAlignment="1">
      <alignment horizontal="center" vertical="center" wrapText="1"/>
    </xf>
    <xf numFmtId="0" fontId="8" fillId="0" borderId="58" xfId="0" applyFont="1" applyBorder="1"/>
    <xf numFmtId="0" fontId="4" fillId="0" borderId="58" xfId="0" applyFont="1" applyBorder="1"/>
    <xf numFmtId="0" fontId="0" fillId="0" borderId="58" xfId="0" applyBorder="1"/>
    <xf numFmtId="0" fontId="0" fillId="0" borderId="65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7" xfId="0" applyNumberFormat="1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165" fontId="8" fillId="5" borderId="68" xfId="2" applyNumberFormat="1" applyFont="1" applyFill="1" applyBorder="1"/>
    <xf numFmtId="165" fontId="8" fillId="5" borderId="57" xfId="2" applyNumberFormat="1" applyFont="1" applyFill="1" applyBorder="1"/>
    <xf numFmtId="166" fontId="8" fillId="5" borderId="67" xfId="1" applyNumberFormat="1" applyFont="1" applyFill="1" applyBorder="1"/>
    <xf numFmtId="167" fontId="8" fillId="5" borderId="57" xfId="1" applyNumberFormat="1" applyFont="1" applyFill="1" applyBorder="1" applyAlignment="1">
      <alignment horizontal="center"/>
    </xf>
    <xf numFmtId="9" fontId="8" fillId="3" borderId="57" xfId="2" applyFont="1" applyFill="1" applyBorder="1" applyAlignment="1">
      <alignment horizontal="center"/>
    </xf>
    <xf numFmtId="9" fontId="8" fillId="3" borderId="67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7" xfId="2" applyNumberFormat="1" applyFont="1" applyFill="1" applyBorder="1" applyAlignment="1">
      <alignment horizontal="center"/>
    </xf>
    <xf numFmtId="165" fontId="8" fillId="8" borderId="57" xfId="2" applyNumberFormat="1" applyFont="1" applyFill="1" applyBorder="1" applyAlignment="1">
      <alignment horizontal="center"/>
    </xf>
    <xf numFmtId="166" fontId="8" fillId="8" borderId="57" xfId="1" applyNumberFormat="1" applyFont="1" applyFill="1" applyBorder="1" applyAlignment="1">
      <alignment horizontal="center"/>
    </xf>
    <xf numFmtId="167" fontId="8" fillId="8" borderId="57" xfId="0" applyNumberFormat="1" applyFont="1" applyFill="1" applyBorder="1" applyAlignment="1">
      <alignment horizontal="center"/>
    </xf>
    <xf numFmtId="165" fontId="8" fillId="7" borderId="67" xfId="2" applyNumberFormat="1" applyFont="1" applyFill="1" applyBorder="1" applyAlignment="1">
      <alignment horizontal="center"/>
    </xf>
    <xf numFmtId="165" fontId="8" fillId="7" borderId="68" xfId="2" applyNumberFormat="1" applyFont="1" applyFill="1" applyBorder="1" applyAlignment="1">
      <alignment horizontal="center"/>
    </xf>
    <xf numFmtId="166" fontId="8" fillId="7" borderId="57" xfId="1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7" fontId="8" fillId="7" borderId="69" xfId="0" applyNumberFormat="1" applyFont="1" applyFill="1" applyBorder="1" applyAlignment="1">
      <alignment horizontal="center"/>
    </xf>
    <xf numFmtId="165" fontId="8" fillId="5" borderId="57" xfId="2" applyNumberFormat="1" applyFont="1" applyFill="1" applyBorder="1" applyAlignment="1">
      <alignment horizontal="center"/>
    </xf>
    <xf numFmtId="166" fontId="8" fillId="5" borderId="68" xfId="1" applyNumberFormat="1" applyFont="1" applyFill="1" applyBorder="1" applyAlignment="1">
      <alignment horizontal="center"/>
    </xf>
    <xf numFmtId="167" fontId="8" fillId="5" borderId="57" xfId="0" applyNumberFormat="1" applyFont="1" applyFill="1" applyBorder="1" applyAlignment="1">
      <alignment horizontal="center"/>
    </xf>
    <xf numFmtId="166" fontId="8" fillId="5" borderId="67" xfId="1" applyNumberFormat="1" applyFont="1" applyFill="1" applyBorder="1" applyAlignment="1">
      <alignment horizontal="center"/>
    </xf>
    <xf numFmtId="9" fontId="8" fillId="0" borderId="57" xfId="2" applyFont="1" applyFill="1" applyBorder="1" applyAlignment="1">
      <alignment horizontal="center"/>
    </xf>
    <xf numFmtId="9" fontId="8" fillId="0" borderId="68" xfId="2" applyFont="1" applyFill="1" applyBorder="1" applyAlignment="1">
      <alignment horizontal="center"/>
    </xf>
    <xf numFmtId="9" fontId="8" fillId="0" borderId="69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165" fontId="8" fillId="8" borderId="57" xfId="0" applyNumberFormat="1" applyFont="1" applyFill="1" applyBorder="1"/>
    <xf numFmtId="0" fontId="4" fillId="0" borderId="67" xfId="0" applyFont="1" applyFill="1" applyBorder="1" applyAlignment="1">
      <alignment horizontal="center"/>
    </xf>
    <xf numFmtId="20" fontId="8" fillId="8" borderId="57" xfId="0" applyNumberFormat="1" applyFont="1" applyFill="1" applyBorder="1" applyAlignment="1">
      <alignment horizontal="center"/>
    </xf>
    <xf numFmtId="0" fontId="0" fillId="0" borderId="65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5" fontId="8" fillId="0" borderId="51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60" xfId="2" applyNumberFormat="1" applyFont="1" applyFill="1" applyBorder="1" applyAlignment="1">
      <alignment horizontal="center"/>
    </xf>
    <xf numFmtId="167" fontId="4" fillId="5" borderId="60" xfId="0" applyNumberFormat="1" applyFont="1" applyFill="1" applyBorder="1" applyAlignment="1">
      <alignment horizontal="center"/>
    </xf>
    <xf numFmtId="165" fontId="4" fillId="5" borderId="60" xfId="2" applyNumberFormat="1" applyFont="1" applyFill="1" applyBorder="1" applyAlignment="1">
      <alignment horizontal="center"/>
    </xf>
    <xf numFmtId="165" fontId="4" fillId="0" borderId="60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60" xfId="0" applyBorder="1"/>
    <xf numFmtId="9" fontId="0" fillId="0" borderId="60" xfId="2" applyFont="1" applyBorder="1"/>
    <xf numFmtId="165" fontId="0" fillId="0" borderId="60" xfId="0" applyNumberFormat="1" applyBorder="1"/>
    <xf numFmtId="14" fontId="0" fillId="0" borderId="60" xfId="0" applyNumberFormat="1" applyBorder="1"/>
    <xf numFmtId="0" fontId="8" fillId="4" borderId="63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5" fontId="0" fillId="0" borderId="0" xfId="0" applyNumberFormat="1"/>
    <xf numFmtId="9" fontId="4" fillId="0" borderId="0" xfId="2" applyFont="1" applyFill="1" applyBorder="1" applyAlignment="1">
      <alignment horizontal="center"/>
    </xf>
    <xf numFmtId="9" fontId="0" fillId="0" borderId="0" xfId="2" applyFont="1"/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5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39874</c:v>
                </c:pt>
                <c:pt idx="1">
                  <c:v>28186</c:v>
                </c:pt>
                <c:pt idx="2">
                  <c:v>52322</c:v>
                </c:pt>
                <c:pt idx="3">
                  <c:v>52162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55840"/>
        <c:axId val="1408458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140845584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8016"/>
        <c:crosses val="autoZero"/>
        <c:auto val="1"/>
        <c:lblOffset val="100"/>
        <c:baseTimeUnit val="days"/>
      </c:dateAx>
      <c:valAx>
        <c:axId val="14084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33907</c:v>
                </c:pt>
                <c:pt idx="1">
                  <c:v>22423</c:v>
                </c:pt>
                <c:pt idx="2">
                  <c:v>46194</c:v>
                </c:pt>
                <c:pt idx="3">
                  <c:v>45967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47680"/>
        <c:axId val="1408452576"/>
      </c:lineChart>
      <c:dateAx>
        <c:axId val="1408447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52576"/>
        <c:crosses val="autoZero"/>
        <c:auto val="1"/>
        <c:lblOffset val="100"/>
        <c:baseTimeUnit val="days"/>
      </c:dateAx>
      <c:valAx>
        <c:axId val="140845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084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topLeftCell="E28" zoomScale="124" zoomScaleNormal="124" zoomScaleSheetLayoutView="100" workbookViewId="0">
      <selection activeCell="E37" sqref="E37"/>
    </sheetView>
  </sheetViews>
  <sheetFormatPr baseColWidth="10" defaultColWidth="11.42578125" defaultRowHeight="15" x14ac:dyDescent="0.25"/>
  <cols>
    <col min="1" max="1" width="2.28515625" style="157" customWidth="1"/>
    <col min="2" max="2" width="10.42578125" style="14" customWidth="1"/>
    <col min="3" max="3" width="2.28515625" style="190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56" customFormat="1" ht="14.65" customHeight="1" x14ac:dyDescent="0.25">
      <c r="A1" s="150">
        <v>1.1111111E+55</v>
      </c>
      <c r="B1" s="224" t="s">
        <v>0</v>
      </c>
      <c r="C1" s="151"/>
      <c r="D1" s="226" t="s">
        <v>1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  <c r="P1" s="229"/>
      <c r="Q1" s="152"/>
      <c r="R1" s="206" t="s">
        <v>2</v>
      </c>
      <c r="S1" s="207"/>
      <c r="T1" s="207"/>
      <c r="U1" s="207"/>
      <c r="V1" s="207"/>
      <c r="W1" s="207"/>
      <c r="X1" s="207"/>
      <c r="Y1" s="207"/>
      <c r="Z1" s="207"/>
      <c r="AA1" s="208"/>
      <c r="AB1" s="153"/>
      <c r="AC1" s="206" t="s">
        <v>3</v>
      </c>
      <c r="AD1" s="207"/>
      <c r="AE1" s="207"/>
      <c r="AF1" s="207"/>
      <c r="AG1" s="207"/>
      <c r="AH1" s="207"/>
      <c r="AI1" s="207"/>
      <c r="AJ1" s="207"/>
      <c r="AK1" s="208"/>
      <c r="AL1" s="154"/>
      <c r="AM1" s="206" t="s">
        <v>4</v>
      </c>
      <c r="AN1" s="207"/>
      <c r="AO1" s="207"/>
      <c r="AP1" s="207"/>
      <c r="AQ1" s="207"/>
      <c r="AR1" s="207"/>
      <c r="AS1" s="207"/>
      <c r="AT1" s="207"/>
      <c r="AU1" s="208"/>
      <c r="AV1" s="154"/>
      <c r="AW1" s="206" t="s">
        <v>58</v>
      </c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8"/>
      <c r="BI1" s="154"/>
      <c r="BJ1" s="206" t="s">
        <v>5</v>
      </c>
      <c r="BK1" s="207"/>
      <c r="BL1" s="207"/>
      <c r="BM1" s="207"/>
      <c r="BN1" s="207"/>
      <c r="BO1" s="207"/>
      <c r="BP1" s="207"/>
      <c r="BQ1" s="207"/>
      <c r="BR1" s="208"/>
      <c r="BS1" s="155"/>
    </row>
    <row r="2" spans="1:72" ht="15" customHeight="1" thickBot="1" x14ac:dyDescent="0.3">
      <c r="B2" s="224"/>
      <c r="C2" s="1"/>
      <c r="D2" s="230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2"/>
      <c r="P2" s="233"/>
      <c r="Q2" s="59"/>
      <c r="R2" s="209"/>
      <c r="S2" s="210"/>
      <c r="T2" s="210"/>
      <c r="U2" s="210"/>
      <c r="V2" s="210"/>
      <c r="W2" s="210"/>
      <c r="X2" s="210"/>
      <c r="Y2" s="210"/>
      <c r="Z2" s="210"/>
      <c r="AA2" s="211"/>
      <c r="AB2" s="61"/>
      <c r="AC2" s="209"/>
      <c r="AD2" s="210"/>
      <c r="AE2" s="210"/>
      <c r="AF2" s="210"/>
      <c r="AG2" s="210"/>
      <c r="AH2" s="210"/>
      <c r="AI2" s="210"/>
      <c r="AJ2" s="210"/>
      <c r="AK2" s="211"/>
      <c r="AL2" s="60"/>
      <c r="AM2" s="209"/>
      <c r="AN2" s="210"/>
      <c r="AO2" s="210"/>
      <c r="AP2" s="210"/>
      <c r="AQ2" s="210"/>
      <c r="AR2" s="210"/>
      <c r="AS2" s="210"/>
      <c r="AT2" s="210"/>
      <c r="AU2" s="211"/>
      <c r="AV2" s="60"/>
      <c r="AW2" s="209"/>
      <c r="AX2" s="210"/>
      <c r="AY2" s="210"/>
      <c r="AZ2" s="210"/>
      <c r="BA2" s="210"/>
      <c r="BB2" s="210"/>
      <c r="BC2" s="210"/>
      <c r="BD2" s="210"/>
      <c r="BE2" s="210"/>
      <c r="BF2" s="210"/>
      <c r="BG2" s="210"/>
      <c r="BH2" s="211"/>
      <c r="BI2" s="60"/>
      <c r="BJ2" s="209"/>
      <c r="BK2" s="210"/>
      <c r="BL2" s="210"/>
      <c r="BM2" s="210"/>
      <c r="BN2" s="210"/>
      <c r="BO2" s="210"/>
      <c r="BP2" s="210"/>
      <c r="BQ2" s="210"/>
      <c r="BR2" s="211"/>
      <c r="BS2" s="158"/>
    </row>
    <row r="3" spans="1:72" ht="30" customHeight="1" thickBot="1" x14ac:dyDescent="0.3">
      <c r="B3" s="224"/>
      <c r="C3" s="1"/>
      <c r="D3" s="212" t="s">
        <v>6</v>
      </c>
      <c r="E3" s="212" t="s">
        <v>7</v>
      </c>
      <c r="F3" s="212" t="s">
        <v>8</v>
      </c>
      <c r="G3" s="212" t="s">
        <v>9</v>
      </c>
      <c r="H3" s="212" t="s">
        <v>10</v>
      </c>
      <c r="I3" s="234" t="s">
        <v>11</v>
      </c>
      <c r="J3" s="235"/>
      <c r="K3" s="236"/>
      <c r="L3" s="237"/>
      <c r="M3" s="234" t="s">
        <v>12</v>
      </c>
      <c r="N3" s="235"/>
      <c r="O3" s="236"/>
      <c r="P3" s="237"/>
      <c r="Q3" s="59"/>
      <c r="R3" s="216" t="s">
        <v>13</v>
      </c>
      <c r="S3" s="217"/>
      <c r="T3" s="238"/>
      <c r="U3" s="238"/>
      <c r="V3" s="216" t="s">
        <v>14</v>
      </c>
      <c r="W3" s="217"/>
      <c r="X3" s="217"/>
      <c r="Y3" s="217"/>
      <c r="Z3" s="217"/>
      <c r="AA3" s="218"/>
      <c r="AB3" s="61"/>
      <c r="AC3" s="214" t="s">
        <v>15</v>
      </c>
      <c r="AD3" s="239" t="s">
        <v>9</v>
      </c>
      <c r="AE3" s="216" t="s">
        <v>13</v>
      </c>
      <c r="AF3" s="217"/>
      <c r="AG3" s="218"/>
      <c r="AH3" s="216" t="s">
        <v>14</v>
      </c>
      <c r="AI3" s="217"/>
      <c r="AJ3" s="217"/>
      <c r="AK3" s="218"/>
      <c r="AL3" s="60"/>
      <c r="AM3" s="219" t="s">
        <v>15</v>
      </c>
      <c r="AN3" s="214" t="s">
        <v>9</v>
      </c>
      <c r="AO3" s="223" t="s">
        <v>13</v>
      </c>
      <c r="AP3" s="217"/>
      <c r="AQ3" s="218"/>
      <c r="AR3" s="216" t="s">
        <v>14</v>
      </c>
      <c r="AS3" s="217"/>
      <c r="AT3" s="217"/>
      <c r="AU3" s="218"/>
      <c r="AV3" s="60"/>
      <c r="AW3" s="214" t="s">
        <v>15</v>
      </c>
      <c r="AX3" s="214" t="s">
        <v>9</v>
      </c>
      <c r="AY3" s="223" t="s">
        <v>13</v>
      </c>
      <c r="AZ3" s="223"/>
      <c r="BA3" s="217"/>
      <c r="BB3" s="218"/>
      <c r="BC3" s="216" t="s">
        <v>14</v>
      </c>
      <c r="BD3" s="223"/>
      <c r="BE3" s="223"/>
      <c r="BF3" s="217"/>
      <c r="BG3" s="217"/>
      <c r="BH3" s="218"/>
      <c r="BI3" s="60"/>
      <c r="BJ3" s="219" t="s">
        <v>16</v>
      </c>
      <c r="BK3" s="214" t="s">
        <v>17</v>
      </c>
      <c r="BL3" s="220" t="s">
        <v>18</v>
      </c>
      <c r="BM3" s="221"/>
      <c r="BN3" s="222"/>
      <c r="BO3" s="223" t="s">
        <v>14</v>
      </c>
      <c r="BP3" s="217"/>
      <c r="BQ3" s="217"/>
      <c r="BR3" s="218"/>
      <c r="BS3" s="158"/>
    </row>
    <row r="4" spans="1:72" ht="56.25" customHeight="1" thickBot="1" x14ac:dyDescent="0.3">
      <c r="B4" s="225"/>
      <c r="C4" s="2"/>
      <c r="D4" s="213"/>
      <c r="E4" s="213"/>
      <c r="F4" s="213"/>
      <c r="G4" s="213"/>
      <c r="H4" s="213"/>
      <c r="I4" s="81" t="s">
        <v>3</v>
      </c>
      <c r="J4" s="82" t="s">
        <v>4</v>
      </c>
      <c r="K4" s="83" t="s">
        <v>58</v>
      </c>
      <c r="L4" s="83" t="s">
        <v>5</v>
      </c>
      <c r="M4" s="82" t="s">
        <v>3</v>
      </c>
      <c r="N4" s="82" t="s">
        <v>4</v>
      </c>
      <c r="O4" s="82" t="s">
        <v>58</v>
      </c>
      <c r="P4" s="82" t="s">
        <v>19</v>
      </c>
      <c r="Q4" s="61"/>
      <c r="R4" s="123" t="s">
        <v>20</v>
      </c>
      <c r="S4" s="63" t="s">
        <v>21</v>
      </c>
      <c r="T4" s="63" t="s">
        <v>60</v>
      </c>
      <c r="U4" s="63" t="s">
        <v>22</v>
      </c>
      <c r="V4" s="124" t="s">
        <v>23</v>
      </c>
      <c r="W4" s="63" t="s">
        <v>24</v>
      </c>
      <c r="X4" s="124" t="s">
        <v>25</v>
      </c>
      <c r="Y4" s="63" t="s">
        <v>24</v>
      </c>
      <c r="Z4" s="126" t="s">
        <v>26</v>
      </c>
      <c r="AA4" s="126" t="s">
        <v>24</v>
      </c>
      <c r="AB4" s="61"/>
      <c r="AC4" s="215"/>
      <c r="AD4" s="207"/>
      <c r="AE4" s="63" t="s">
        <v>27</v>
      </c>
      <c r="AF4" s="123" t="s">
        <v>28</v>
      </c>
      <c r="AG4" s="63" t="s">
        <v>29</v>
      </c>
      <c r="AH4" s="125" t="s">
        <v>30</v>
      </c>
      <c r="AI4" s="63" t="s">
        <v>24</v>
      </c>
      <c r="AJ4" s="63" t="s">
        <v>31</v>
      </c>
      <c r="AK4" s="63" t="s">
        <v>24</v>
      </c>
      <c r="AL4" s="62"/>
      <c r="AM4" s="206"/>
      <c r="AN4" s="215"/>
      <c r="AO4" s="124" t="s">
        <v>27</v>
      </c>
      <c r="AP4" s="63" t="s">
        <v>28</v>
      </c>
      <c r="AQ4" s="123" t="s">
        <v>29</v>
      </c>
      <c r="AR4" s="63" t="s">
        <v>30</v>
      </c>
      <c r="AS4" s="124" t="s">
        <v>24</v>
      </c>
      <c r="AT4" s="63" t="s">
        <v>31</v>
      </c>
      <c r="AU4" s="125" t="s">
        <v>24</v>
      </c>
      <c r="AV4" s="62"/>
      <c r="AW4" s="215"/>
      <c r="AX4" s="215"/>
      <c r="AY4" s="124" t="s">
        <v>27</v>
      </c>
      <c r="AZ4" s="63" t="s">
        <v>59</v>
      </c>
      <c r="BA4" s="124" t="s">
        <v>61</v>
      </c>
      <c r="BB4" s="63" t="s">
        <v>29</v>
      </c>
      <c r="BC4" s="124" t="s">
        <v>56</v>
      </c>
      <c r="BD4" s="63" t="s">
        <v>24</v>
      </c>
      <c r="BE4" s="124" t="s">
        <v>57</v>
      </c>
      <c r="BF4" s="63" t="s">
        <v>24</v>
      </c>
      <c r="BG4" s="124" t="s">
        <v>31</v>
      </c>
      <c r="BH4" s="63" t="s">
        <v>24</v>
      </c>
      <c r="BI4" s="62"/>
      <c r="BJ4" s="206"/>
      <c r="BK4" s="215"/>
      <c r="BL4" s="124" t="s">
        <v>32</v>
      </c>
      <c r="BM4" s="63" t="s">
        <v>33</v>
      </c>
      <c r="BN4" s="63" t="s">
        <v>34</v>
      </c>
      <c r="BO4" s="63" t="s">
        <v>35</v>
      </c>
      <c r="BP4" s="124" t="s">
        <v>24</v>
      </c>
      <c r="BQ4" s="63" t="s">
        <v>36</v>
      </c>
      <c r="BR4" s="125" t="s">
        <v>24</v>
      </c>
      <c r="BS4" s="159"/>
    </row>
    <row r="5" spans="1:72" ht="15.75" thickBot="1" x14ac:dyDescent="0.3">
      <c r="B5" s="160"/>
      <c r="C5" s="161"/>
      <c r="D5" s="84"/>
      <c r="E5" s="72"/>
      <c r="F5" s="84"/>
      <c r="G5" s="72"/>
      <c r="H5" s="85"/>
      <c r="I5" s="86"/>
      <c r="J5" s="72"/>
      <c r="K5" s="87"/>
      <c r="L5" s="87"/>
      <c r="M5" s="85"/>
      <c r="N5" s="85"/>
      <c r="O5" s="85"/>
      <c r="P5" s="85"/>
      <c r="Q5" s="64"/>
      <c r="R5" s="162"/>
      <c r="S5" s="163"/>
      <c r="T5" s="163"/>
      <c r="U5" s="163"/>
      <c r="V5" s="164"/>
      <c r="W5" s="165"/>
      <c r="X5" s="164"/>
      <c r="Y5" s="165"/>
      <c r="Z5" s="164"/>
      <c r="AA5" s="165"/>
      <c r="AB5" s="65"/>
      <c r="AC5" s="166"/>
      <c r="AD5" s="167"/>
      <c r="AE5" s="95"/>
      <c r="AF5" s="120"/>
      <c r="AG5" s="95"/>
      <c r="AH5" s="95"/>
      <c r="AI5" s="96"/>
      <c r="AJ5" s="97"/>
      <c r="AK5" s="98"/>
      <c r="AL5" s="68"/>
      <c r="AM5" s="69"/>
      <c r="AN5" s="70"/>
      <c r="AO5" s="99"/>
      <c r="AP5" s="117"/>
      <c r="AQ5" s="100"/>
      <c r="AR5" s="101"/>
      <c r="AS5" s="102"/>
      <c r="AT5" s="103"/>
      <c r="AU5" s="104"/>
      <c r="AV5" s="68"/>
      <c r="AW5" s="105"/>
      <c r="AX5" s="106"/>
      <c r="AY5" s="107"/>
      <c r="AZ5" s="108"/>
      <c r="BA5" s="122"/>
      <c r="BB5" s="109"/>
      <c r="BC5" s="109"/>
      <c r="BD5" s="110"/>
      <c r="BE5" s="109"/>
      <c r="BF5" s="110"/>
      <c r="BG5" s="109"/>
      <c r="BH5" s="110"/>
      <c r="BI5" s="68"/>
      <c r="BJ5" s="73"/>
      <c r="BK5" s="70"/>
      <c r="BL5" s="74"/>
      <c r="BM5" s="66"/>
      <c r="BN5" s="66"/>
      <c r="BO5" s="71"/>
      <c r="BP5" s="75"/>
      <c r="BQ5" s="76"/>
      <c r="BR5" s="67"/>
      <c r="BS5" s="168"/>
    </row>
    <row r="6" spans="1:72" ht="15.75" thickBot="1" x14ac:dyDescent="0.3">
      <c r="B6" s="57">
        <v>45716</v>
      </c>
      <c r="C6" s="187"/>
      <c r="D6" s="88">
        <f t="shared" ref="D6" si="0">R6</f>
        <v>49480</v>
      </c>
      <c r="E6" s="182">
        <f t="shared" ref="E6" si="1">F6/D6</f>
        <v>0.87014955537590943</v>
      </c>
      <c r="F6" s="88">
        <f t="shared" ref="F6" si="2">D6-H6</f>
        <v>43055</v>
      </c>
      <c r="G6" s="182">
        <f t="shared" ref="G6" si="3">H6/D6</f>
        <v>0.12985044462409054</v>
      </c>
      <c r="H6" s="169">
        <f t="shared" ref="H6" si="4">U6+AG6+AQ6+BB6</f>
        <v>6425</v>
      </c>
      <c r="I6" s="183">
        <f t="shared" ref="I6" si="5">AE6/(AE6+AO6+BL6+AY6)</f>
        <v>0.10837240699859517</v>
      </c>
      <c r="J6" s="182">
        <f t="shared" ref="J6" si="6">AO6/(AE6+AO6+BL6+AY6)</f>
        <v>0.15644669865537938</v>
      </c>
      <c r="K6" s="182">
        <f t="shared" ref="K6" si="7">AY6/(AF6+AP6+BM6+AZ6+AY6)</f>
        <v>0.15741619402820384</v>
      </c>
      <c r="L6" s="184">
        <f t="shared" ref="L6" si="8">BL6/(AE6+AO6+BL6+AY6)</f>
        <v>0.60504278338289763</v>
      </c>
      <c r="M6" s="169">
        <f t="shared" ref="M6" si="9">(S6+T6)*I6</f>
        <v>5177.9252339858785</v>
      </c>
      <c r="N6" s="169">
        <f t="shared" ref="N6" si="10">(S6+T6)*J6</f>
        <v>7474.8668150553713</v>
      </c>
      <c r="O6" s="169">
        <f t="shared" ref="O6" si="11">(S6+T6)*K6</f>
        <v>7521.1883344735515</v>
      </c>
      <c r="P6" s="169">
        <f t="shared" ref="P6" si="12">(S6+T6)*L6</f>
        <v>28908.339147251467</v>
      </c>
      <c r="Q6" s="57">
        <f>B6</f>
        <v>45716</v>
      </c>
      <c r="R6" s="162">
        <v>49480</v>
      </c>
      <c r="S6" s="163">
        <v>0</v>
      </c>
      <c r="T6" s="163">
        <v>47779</v>
      </c>
      <c r="U6" s="163">
        <v>0</v>
      </c>
      <c r="V6" s="164">
        <v>12876</v>
      </c>
      <c r="W6" s="165">
        <v>0.73958333333333337</v>
      </c>
      <c r="X6" s="164">
        <v>4211</v>
      </c>
      <c r="Y6" s="165">
        <v>0.80208333333333337</v>
      </c>
      <c r="Z6" s="164">
        <v>0</v>
      </c>
      <c r="AA6" s="165">
        <v>0</v>
      </c>
      <c r="AB6" s="57">
        <f>B6</f>
        <v>45716</v>
      </c>
      <c r="AC6" s="77">
        <f t="shared" ref="AC6" si="13">+AF6/AE6</f>
        <v>1</v>
      </c>
      <c r="AD6" s="185">
        <f t="shared" ref="AD6" si="14">+AG6/AE6</f>
        <v>0</v>
      </c>
      <c r="AE6" s="186">
        <v>5940</v>
      </c>
      <c r="AF6" s="119">
        <f t="shared" ref="AF6:AF38" si="15">+AE6-AG6</f>
        <v>5940</v>
      </c>
      <c r="AG6" s="170">
        <v>0</v>
      </c>
      <c r="AH6" s="171">
        <v>3764</v>
      </c>
      <c r="AI6" s="172">
        <v>0.70138888888888884</v>
      </c>
      <c r="AJ6" s="171">
        <v>0</v>
      </c>
      <c r="AK6" s="188">
        <v>0</v>
      </c>
      <c r="AL6" s="57">
        <f>B6</f>
        <v>45716</v>
      </c>
      <c r="AM6" s="78">
        <f t="shared" ref="AM6" si="16">+AP6/AO6</f>
        <v>0.54903790087463555</v>
      </c>
      <c r="AN6" s="77">
        <f t="shared" ref="AN6" si="17">+AQ6/AO6</f>
        <v>0.45096209912536445</v>
      </c>
      <c r="AO6" s="173">
        <v>8575</v>
      </c>
      <c r="AP6" s="118">
        <f t="shared" ref="AP6:AP38" si="18">AO6-AQ6</f>
        <v>4708</v>
      </c>
      <c r="AQ6" s="174">
        <v>3867</v>
      </c>
      <c r="AR6" s="175">
        <v>3348</v>
      </c>
      <c r="AS6" s="176">
        <v>0.69652777777777775</v>
      </c>
      <c r="AT6" s="175">
        <v>185</v>
      </c>
      <c r="AU6" s="177">
        <v>0.3125</v>
      </c>
      <c r="AV6" s="57">
        <f>B6</f>
        <v>45716</v>
      </c>
      <c r="AW6" s="111">
        <f t="shared" ref="AW6" si="19">BA6/AZ6</f>
        <v>0.64138511145380628</v>
      </c>
      <c r="AX6" s="111">
        <f t="shared" ref="AX6" si="20">BB6/AZ6</f>
        <v>0.35861488854619372</v>
      </c>
      <c r="AY6" s="112">
        <f t="shared" ref="AY6:AY37" si="21">BA6+BB6</f>
        <v>7133</v>
      </c>
      <c r="AZ6" s="113">
        <v>7133</v>
      </c>
      <c r="BA6" s="121">
        <f t="shared" ref="BA6" si="22">AZ6-BB6</f>
        <v>4575</v>
      </c>
      <c r="BB6" s="114">
        <v>2558</v>
      </c>
      <c r="BC6" s="113">
        <v>3627</v>
      </c>
      <c r="BD6" s="115">
        <v>0.75</v>
      </c>
      <c r="BE6" s="116">
        <v>0</v>
      </c>
      <c r="BF6" s="115">
        <v>0</v>
      </c>
      <c r="BG6" s="116">
        <v>141</v>
      </c>
      <c r="BH6" s="115">
        <v>0.89583333333333337</v>
      </c>
      <c r="BI6" s="57">
        <f>B6</f>
        <v>45716</v>
      </c>
      <c r="BJ6" s="79">
        <f t="shared" ref="BJ6" si="23">+BM6/BL6</f>
        <v>0.61511322859813644</v>
      </c>
      <c r="BK6" s="77">
        <f t="shared" ref="BK6" si="24">+BN6/BL6</f>
        <v>0.3848867714018635</v>
      </c>
      <c r="BL6" s="80">
        <f t="shared" ref="BL6" si="25">BM6+BN6</f>
        <v>33163</v>
      </c>
      <c r="BM6" s="178">
        <v>20399</v>
      </c>
      <c r="BN6" s="178">
        <v>12764</v>
      </c>
      <c r="BO6" s="179">
        <v>3718</v>
      </c>
      <c r="BP6" s="180">
        <v>0.81736111111111109</v>
      </c>
      <c r="BQ6" s="181">
        <v>2541</v>
      </c>
      <c r="BR6" s="180">
        <v>0.73402777777777772</v>
      </c>
    </row>
    <row r="7" spans="1:72" ht="15.75" thickBot="1" x14ac:dyDescent="0.3">
      <c r="A7" s="189"/>
      <c r="B7" s="57">
        <f>B6+1</f>
        <v>45717</v>
      </c>
      <c r="C7" s="127"/>
      <c r="D7" s="88">
        <f t="shared" ref="D7:D10" si="26">R7</f>
        <v>39874</v>
      </c>
      <c r="E7" s="182">
        <f t="shared" ref="E7:E10" si="27">F7/D7</f>
        <v>0.85035361388373376</v>
      </c>
      <c r="F7" s="88">
        <f t="shared" ref="F7:F10" si="28">D7-H7</f>
        <v>33907</v>
      </c>
      <c r="G7" s="182">
        <f t="shared" ref="G7:G10" si="29">H7/D7</f>
        <v>0.14964638611626624</v>
      </c>
      <c r="H7" s="169">
        <f t="shared" ref="H7:H10" si="30">U7+AG7+AQ7+BB7</f>
        <v>5967</v>
      </c>
      <c r="I7" s="183">
        <f t="shared" ref="I7:I10" si="31">AE7/(AE7+AO7+BL7+AY7)</f>
        <v>9.2578267200582459E-2</v>
      </c>
      <c r="J7" s="182">
        <f t="shared" ref="J7:J10" si="32">AO7/(AE7+AO7+BL7+AY7)</f>
        <v>0.15780851838369131</v>
      </c>
      <c r="K7" s="182">
        <f t="shared" ref="K7:K10" si="33">AY7/(AF7+AP7+BM7+AZ7+AY7)</f>
        <v>0.15839123312432921</v>
      </c>
      <c r="L7" s="184">
        <f t="shared" ref="L7:L10" si="34">BL7/(AE7+AO7+BL7+AY7)</f>
        <v>0.62201947579177286</v>
      </c>
      <c r="M7" s="169">
        <f t="shared" ref="M7:M10" si="35">(S7+T7)*I7</f>
        <v>3539.3597333454682</v>
      </c>
      <c r="N7" s="169">
        <f t="shared" ref="N7:N10" si="36">(S7+T7)*J7</f>
        <v>6033.1774663269025</v>
      </c>
      <c r="O7" s="169">
        <f t="shared" ref="O7:O10" si="37">(S7+T7)*K7</f>
        <v>6055.4552335762301</v>
      </c>
      <c r="P7" s="169">
        <f t="shared" ref="P7:P10" si="38">(S7+T7)*L7</f>
        <v>23780.42657899527</v>
      </c>
      <c r="Q7" s="57">
        <f>Q6+1</f>
        <v>45717</v>
      </c>
      <c r="R7" s="128">
        <v>39874</v>
      </c>
      <c r="S7" s="129">
        <v>0</v>
      </c>
      <c r="T7" s="129">
        <v>38231</v>
      </c>
      <c r="U7" s="129">
        <v>0</v>
      </c>
      <c r="V7" s="130">
        <v>11909</v>
      </c>
      <c r="W7" s="131">
        <v>0.8125</v>
      </c>
      <c r="X7" s="130">
        <v>3422</v>
      </c>
      <c r="Y7" s="131">
        <v>0.8125</v>
      </c>
      <c r="Z7" s="130">
        <v>0</v>
      </c>
      <c r="AA7" s="131">
        <v>0</v>
      </c>
      <c r="AB7" s="57">
        <f>B7</f>
        <v>45717</v>
      </c>
      <c r="AC7" s="77">
        <f t="shared" ref="AC7:AC10" si="39">+AF7/AE7</f>
        <v>1</v>
      </c>
      <c r="AD7" s="185">
        <f t="shared" ref="AD7:AD10" si="40">+AG7/AE7</f>
        <v>0</v>
      </c>
      <c r="AE7" s="132">
        <v>4069</v>
      </c>
      <c r="AF7" s="119">
        <f t="shared" si="15"/>
        <v>4069</v>
      </c>
      <c r="AG7" s="133">
        <v>0</v>
      </c>
      <c r="AH7" s="134">
        <v>3093</v>
      </c>
      <c r="AI7" s="135">
        <v>0.76111111111111107</v>
      </c>
      <c r="AJ7" s="134">
        <v>0</v>
      </c>
      <c r="AK7" s="136">
        <v>0</v>
      </c>
      <c r="AL7" s="57">
        <f>B7</f>
        <v>45717</v>
      </c>
      <c r="AM7" s="78">
        <f t="shared" ref="AM7:AM10" si="41">+AP7/AO7</f>
        <v>0.45905420991926182</v>
      </c>
      <c r="AN7" s="77">
        <f t="shared" ref="AN7:AN10" si="42">+AQ7/AO7</f>
        <v>0.54094579008073818</v>
      </c>
      <c r="AO7" s="137">
        <v>6936</v>
      </c>
      <c r="AP7" s="118">
        <f t="shared" si="18"/>
        <v>3184</v>
      </c>
      <c r="AQ7" s="138">
        <v>3752</v>
      </c>
      <c r="AR7" s="139">
        <v>2708</v>
      </c>
      <c r="AS7" s="140">
        <v>0.70416666666666672</v>
      </c>
      <c r="AT7" s="139">
        <v>179</v>
      </c>
      <c r="AU7" s="141">
        <v>0.91666666666666663</v>
      </c>
      <c r="AV7" s="57">
        <f>B7</f>
        <v>45717</v>
      </c>
      <c r="AW7" s="111">
        <f t="shared" ref="AW7:AW10" si="43">BA7/AZ7</f>
        <v>0.6050285306704708</v>
      </c>
      <c r="AX7" s="111">
        <f t="shared" ref="AX7:AX10" si="44">BB7/AZ7</f>
        <v>0.39497146932952926</v>
      </c>
      <c r="AY7" s="112">
        <f t="shared" si="21"/>
        <v>5608</v>
      </c>
      <c r="AZ7" s="142">
        <v>5608</v>
      </c>
      <c r="BA7" s="121">
        <f t="shared" ref="BA7:BA13" si="45">AZ7-BB7</f>
        <v>3393</v>
      </c>
      <c r="BB7" s="143">
        <v>2215</v>
      </c>
      <c r="BC7" s="142">
        <v>3139</v>
      </c>
      <c r="BD7" s="144">
        <v>0.77083333333333337</v>
      </c>
      <c r="BE7" s="145">
        <v>0</v>
      </c>
      <c r="BF7" s="144">
        <v>0</v>
      </c>
      <c r="BG7" s="145">
        <v>137</v>
      </c>
      <c r="BH7" s="144">
        <v>0.90625</v>
      </c>
      <c r="BI7" s="57">
        <f>B7</f>
        <v>45717</v>
      </c>
      <c r="BJ7" s="79">
        <f t="shared" ref="BJ7:BJ10" si="46">+BM7/BL7</f>
        <v>0.61951790482460956</v>
      </c>
      <c r="BK7" s="77">
        <f t="shared" ref="BK7:BK10" si="47">+BN7/BL7</f>
        <v>0.38048209517539044</v>
      </c>
      <c r="BL7" s="80">
        <f t="shared" ref="BL7:BL10" si="48">BM7+BN7</f>
        <v>27339</v>
      </c>
      <c r="BM7" s="146">
        <v>16937</v>
      </c>
      <c r="BN7" s="146">
        <v>10402</v>
      </c>
      <c r="BO7" s="147">
        <v>3868</v>
      </c>
      <c r="BP7" s="148">
        <v>0.74722222222222223</v>
      </c>
      <c r="BQ7" s="149">
        <v>2567</v>
      </c>
      <c r="BR7" s="148">
        <v>0.74722222222222223</v>
      </c>
    </row>
    <row r="8" spans="1:72" ht="15.75" thickBot="1" x14ac:dyDescent="0.3">
      <c r="A8" s="189"/>
      <c r="B8" s="57">
        <f t="shared" ref="B8:B37" si="49">B7+1</f>
        <v>45718</v>
      </c>
      <c r="C8" s="187"/>
      <c r="D8" s="88">
        <f t="shared" si="26"/>
        <v>28186</v>
      </c>
      <c r="E8" s="182">
        <f t="shared" si="27"/>
        <v>0.79553679131483712</v>
      </c>
      <c r="F8" s="88">
        <f t="shared" si="28"/>
        <v>22423</v>
      </c>
      <c r="G8" s="182">
        <f t="shared" si="29"/>
        <v>0.20446320868516285</v>
      </c>
      <c r="H8" s="169">
        <f t="shared" si="30"/>
        <v>5763</v>
      </c>
      <c r="I8" s="183">
        <f t="shared" si="31"/>
        <v>6.9400157557114456E-2</v>
      </c>
      <c r="J8" s="182">
        <f t="shared" si="32"/>
        <v>0.19462054994935665</v>
      </c>
      <c r="K8" s="182">
        <f t="shared" si="33"/>
        <v>0.1726767353765927</v>
      </c>
      <c r="L8" s="184">
        <f t="shared" si="34"/>
        <v>0.60430656112840908</v>
      </c>
      <c r="M8" s="169">
        <f t="shared" si="35"/>
        <v>2048.6926510860189</v>
      </c>
      <c r="N8" s="169">
        <f t="shared" si="36"/>
        <v>5745.1986345050082</v>
      </c>
      <c r="O8" s="169">
        <f t="shared" si="37"/>
        <v>5097.4172283170165</v>
      </c>
      <c r="P8" s="169">
        <f t="shared" si="38"/>
        <v>17839.129684510637</v>
      </c>
      <c r="Q8" s="57">
        <f t="shared" ref="Q8:Q37" si="50">Q7+1</f>
        <v>45718</v>
      </c>
      <c r="R8" s="162">
        <v>28186</v>
      </c>
      <c r="S8" s="163">
        <v>0</v>
      </c>
      <c r="T8" s="163">
        <v>29520</v>
      </c>
      <c r="U8" s="163">
        <v>0</v>
      </c>
      <c r="V8" s="164">
        <v>10820</v>
      </c>
      <c r="W8" s="165">
        <v>0.83333333333333337</v>
      </c>
      <c r="X8" s="164">
        <v>2870</v>
      </c>
      <c r="Y8" s="165">
        <v>0.85416666666666663</v>
      </c>
      <c r="Z8" s="164">
        <v>0</v>
      </c>
      <c r="AA8" s="165">
        <v>0</v>
      </c>
      <c r="AB8" s="57">
        <f t="shared" ref="AB8:AB38" si="51">AB7+1</f>
        <v>45718</v>
      </c>
      <c r="AC8" s="77">
        <f t="shared" si="39"/>
        <v>1</v>
      </c>
      <c r="AD8" s="185">
        <f t="shared" si="40"/>
        <v>0</v>
      </c>
      <c r="AE8" s="186">
        <v>1850</v>
      </c>
      <c r="AF8" s="119">
        <f t="shared" si="15"/>
        <v>1850</v>
      </c>
      <c r="AG8" s="170">
        <v>0</v>
      </c>
      <c r="AH8" s="171">
        <v>1419</v>
      </c>
      <c r="AI8" s="172">
        <v>0.88541666666666663</v>
      </c>
      <c r="AJ8" s="171">
        <v>0</v>
      </c>
      <c r="AK8" s="188">
        <v>0</v>
      </c>
      <c r="AL8" s="57">
        <f t="shared" ref="AL8:AL38" si="52">AL7+1</f>
        <v>45718</v>
      </c>
      <c r="AM8" s="78">
        <f t="shared" si="41"/>
        <v>0.29394757131842714</v>
      </c>
      <c r="AN8" s="77">
        <f t="shared" si="42"/>
        <v>0.70605242868157281</v>
      </c>
      <c r="AO8" s="173">
        <v>5188</v>
      </c>
      <c r="AP8" s="118">
        <f t="shared" si="18"/>
        <v>1525</v>
      </c>
      <c r="AQ8" s="174">
        <v>3663</v>
      </c>
      <c r="AR8" s="175">
        <v>1533</v>
      </c>
      <c r="AS8" s="176">
        <v>0.89027777777777772</v>
      </c>
      <c r="AT8" s="175">
        <v>178</v>
      </c>
      <c r="AU8" s="177">
        <v>0.23333333333333334</v>
      </c>
      <c r="AV8" s="57">
        <f t="shared" ref="AV8:AV38" si="53">AV7+1</f>
        <v>45718</v>
      </c>
      <c r="AW8" s="111">
        <f t="shared" si="43"/>
        <v>0.40170940170940173</v>
      </c>
      <c r="AX8" s="111">
        <f t="shared" si="44"/>
        <v>0.59829059829059827</v>
      </c>
      <c r="AY8" s="112">
        <f t="shared" si="21"/>
        <v>3510</v>
      </c>
      <c r="AZ8" s="113">
        <v>3510</v>
      </c>
      <c r="BA8" s="121">
        <f t="shared" si="45"/>
        <v>1410</v>
      </c>
      <c r="BB8" s="114">
        <v>2100</v>
      </c>
      <c r="BC8" s="113">
        <v>2650</v>
      </c>
      <c r="BD8" s="115">
        <v>0.36458333333333331</v>
      </c>
      <c r="BE8" s="116">
        <v>0</v>
      </c>
      <c r="BF8" s="115">
        <v>0</v>
      </c>
      <c r="BG8" s="116">
        <v>135</v>
      </c>
      <c r="BH8" s="115">
        <v>0.86458333333333337</v>
      </c>
      <c r="BI8" s="57">
        <f t="shared" ref="BI8:BI38" si="54">BI7+1</f>
        <v>45718</v>
      </c>
      <c r="BJ8" s="79">
        <f t="shared" si="46"/>
        <v>0.61654975479545593</v>
      </c>
      <c r="BK8" s="77">
        <f t="shared" si="47"/>
        <v>0.38345024520454407</v>
      </c>
      <c r="BL8" s="80">
        <f t="shared" si="48"/>
        <v>16109</v>
      </c>
      <c r="BM8" s="178">
        <v>9932</v>
      </c>
      <c r="BN8" s="178">
        <v>6177</v>
      </c>
      <c r="BO8" s="179">
        <v>2270</v>
      </c>
      <c r="BP8" s="180">
        <v>0.76249999999999996</v>
      </c>
      <c r="BQ8" s="181">
        <v>1516</v>
      </c>
      <c r="BR8" s="180">
        <v>0.76249999999999996</v>
      </c>
    </row>
    <row r="9" spans="1:72" ht="15.75" thickBot="1" x14ac:dyDescent="0.3">
      <c r="A9" s="189" t="s">
        <v>68</v>
      </c>
      <c r="B9" s="57">
        <f t="shared" si="49"/>
        <v>45719</v>
      </c>
      <c r="C9" s="187"/>
      <c r="D9" s="88">
        <f t="shared" si="26"/>
        <v>52322</v>
      </c>
      <c r="E9" s="182">
        <f t="shared" si="27"/>
        <v>0.88287909483582427</v>
      </c>
      <c r="F9" s="88">
        <f t="shared" si="28"/>
        <v>46194</v>
      </c>
      <c r="G9" s="182">
        <f t="shared" si="29"/>
        <v>0.11712090516417568</v>
      </c>
      <c r="H9" s="169">
        <f t="shared" si="30"/>
        <v>6128</v>
      </c>
      <c r="I9" s="183">
        <f t="shared" si="31"/>
        <v>0.11821400811814492</v>
      </c>
      <c r="J9" s="182">
        <f t="shared" si="32"/>
        <v>0.16132653942482081</v>
      </c>
      <c r="K9" s="182">
        <f t="shared" si="33"/>
        <v>0.16485330073349633</v>
      </c>
      <c r="L9" s="184">
        <f t="shared" si="34"/>
        <v>0.58070645133431209</v>
      </c>
      <c r="M9" s="169">
        <f t="shared" si="35"/>
        <v>5983.9930909404957</v>
      </c>
      <c r="N9" s="169">
        <f t="shared" si="36"/>
        <v>8166.3494256844297</v>
      </c>
      <c r="O9" s="169">
        <f t="shared" si="37"/>
        <v>8344.8740831295836</v>
      </c>
      <c r="P9" s="169">
        <f t="shared" si="38"/>
        <v>29395.360566542877</v>
      </c>
      <c r="Q9" s="57">
        <f t="shared" si="50"/>
        <v>45719</v>
      </c>
      <c r="R9" s="162">
        <v>52322</v>
      </c>
      <c r="S9" s="163">
        <v>0</v>
      </c>
      <c r="T9" s="163">
        <v>50620</v>
      </c>
      <c r="U9" s="163">
        <v>0</v>
      </c>
      <c r="V9" s="164">
        <v>12640</v>
      </c>
      <c r="W9" s="165">
        <v>0.41666666666666669</v>
      </c>
      <c r="X9" s="164">
        <v>4541</v>
      </c>
      <c r="Y9" s="165">
        <v>0.80208333333333337</v>
      </c>
      <c r="Z9" s="164">
        <v>0</v>
      </c>
      <c r="AA9" s="165">
        <v>0</v>
      </c>
      <c r="AB9" s="57">
        <f t="shared" si="51"/>
        <v>45719</v>
      </c>
      <c r="AC9" s="77">
        <f t="shared" si="39"/>
        <v>1</v>
      </c>
      <c r="AD9" s="185">
        <f t="shared" si="40"/>
        <v>0</v>
      </c>
      <c r="AE9" s="186">
        <v>6844</v>
      </c>
      <c r="AF9" s="119">
        <f t="shared" si="15"/>
        <v>6844</v>
      </c>
      <c r="AG9" s="170">
        <v>0</v>
      </c>
      <c r="AH9" s="171">
        <v>4008</v>
      </c>
      <c r="AI9" s="172">
        <v>0.35555555555555557</v>
      </c>
      <c r="AJ9" s="171">
        <v>0</v>
      </c>
      <c r="AK9" s="188">
        <v>0</v>
      </c>
      <c r="AL9" s="57">
        <f t="shared" si="52"/>
        <v>45719</v>
      </c>
      <c r="AM9" s="78">
        <f t="shared" si="41"/>
        <v>0.58394004282655243</v>
      </c>
      <c r="AN9" s="77">
        <f t="shared" si="42"/>
        <v>0.41605995717344751</v>
      </c>
      <c r="AO9" s="173">
        <v>9340</v>
      </c>
      <c r="AP9" s="118">
        <f t="shared" si="18"/>
        <v>5454</v>
      </c>
      <c r="AQ9" s="174">
        <v>3886</v>
      </c>
      <c r="AR9" s="175">
        <v>4363</v>
      </c>
      <c r="AS9" s="176">
        <v>0.35625000000000001</v>
      </c>
      <c r="AT9" s="175">
        <v>184</v>
      </c>
      <c r="AU9" s="177">
        <v>0.84375</v>
      </c>
      <c r="AV9" s="57">
        <f t="shared" si="53"/>
        <v>45719</v>
      </c>
      <c r="AW9" s="111">
        <f t="shared" si="43"/>
        <v>0.72290198986528242</v>
      </c>
      <c r="AX9" s="111">
        <f t="shared" si="44"/>
        <v>0.27709801013471758</v>
      </c>
      <c r="AY9" s="112">
        <f t="shared" si="21"/>
        <v>8091</v>
      </c>
      <c r="AZ9" s="113">
        <v>8091</v>
      </c>
      <c r="BA9" s="121">
        <f t="shared" si="45"/>
        <v>5849</v>
      </c>
      <c r="BB9" s="114">
        <v>2242</v>
      </c>
      <c r="BC9" s="113">
        <v>3375</v>
      </c>
      <c r="BD9" s="115">
        <v>0.35416666666666669</v>
      </c>
      <c r="BE9" s="116">
        <v>0</v>
      </c>
      <c r="BF9" s="115">
        <v>0</v>
      </c>
      <c r="BG9" s="116">
        <v>133</v>
      </c>
      <c r="BH9" s="115">
        <v>0.86458333333333337</v>
      </c>
      <c r="BI9" s="57">
        <f t="shared" si="54"/>
        <v>45719</v>
      </c>
      <c r="BJ9" s="79">
        <f t="shared" si="46"/>
        <v>0.61273051754907792</v>
      </c>
      <c r="BK9" s="77">
        <f t="shared" si="47"/>
        <v>0.38726948245092208</v>
      </c>
      <c r="BL9" s="80">
        <f t="shared" si="48"/>
        <v>33620</v>
      </c>
      <c r="BM9" s="178">
        <v>20600</v>
      </c>
      <c r="BN9" s="178">
        <v>13020</v>
      </c>
      <c r="BO9" s="179">
        <v>4335</v>
      </c>
      <c r="BP9" s="180">
        <v>0.80277777777777781</v>
      </c>
      <c r="BQ9" s="181">
        <v>2879</v>
      </c>
      <c r="BR9" s="180">
        <v>0.80277777777777781</v>
      </c>
    </row>
    <row r="10" spans="1:72" ht="15.75" thickBot="1" x14ac:dyDescent="0.3">
      <c r="B10" s="57">
        <f t="shared" si="49"/>
        <v>45720</v>
      </c>
      <c r="C10" s="187"/>
      <c r="D10" s="88">
        <f t="shared" si="26"/>
        <v>52162</v>
      </c>
      <c r="E10" s="182">
        <f t="shared" si="27"/>
        <v>0.88123538207890806</v>
      </c>
      <c r="F10" s="88">
        <f t="shared" si="28"/>
        <v>45967</v>
      </c>
      <c r="G10" s="182">
        <f t="shared" si="29"/>
        <v>0.11876461792109198</v>
      </c>
      <c r="H10" s="169">
        <f t="shared" si="30"/>
        <v>6195</v>
      </c>
      <c r="I10" s="183">
        <f t="shared" si="31"/>
        <v>0.115484286136668</v>
      </c>
      <c r="J10" s="182">
        <f t="shared" si="32"/>
        <v>0.16066925230881612</v>
      </c>
      <c r="K10" s="182">
        <f t="shared" si="33"/>
        <v>0.16656029317905746</v>
      </c>
      <c r="L10" s="184">
        <f t="shared" si="34"/>
        <v>0.58314346835487074</v>
      </c>
      <c r="M10" s="169">
        <f t="shared" si="35"/>
        <v>5843.3893942292643</v>
      </c>
      <c r="N10" s="169">
        <f t="shared" si="36"/>
        <v>8129.703497573787</v>
      </c>
      <c r="O10" s="169">
        <f t="shared" si="37"/>
        <v>8427.7842745671278</v>
      </c>
      <c r="P10" s="169">
        <f t="shared" si="38"/>
        <v>29506.476355288105</v>
      </c>
      <c r="Q10" s="57">
        <f t="shared" si="50"/>
        <v>45720</v>
      </c>
      <c r="R10" s="162">
        <v>52162</v>
      </c>
      <c r="S10" s="163">
        <v>0</v>
      </c>
      <c r="T10" s="163">
        <v>50599</v>
      </c>
      <c r="U10" s="163">
        <v>0</v>
      </c>
      <c r="V10" s="164">
        <v>12961</v>
      </c>
      <c r="W10" s="165">
        <v>0.77083333333333337</v>
      </c>
      <c r="X10" s="164">
        <v>4449</v>
      </c>
      <c r="Y10" s="165">
        <v>0.79166666666666663</v>
      </c>
      <c r="Z10" s="164">
        <v>0</v>
      </c>
      <c r="AA10" s="165">
        <v>0</v>
      </c>
      <c r="AB10" s="57">
        <f t="shared" si="51"/>
        <v>45720</v>
      </c>
      <c r="AC10" s="77">
        <f t="shared" si="39"/>
        <v>1</v>
      </c>
      <c r="AD10" s="185">
        <f t="shared" si="40"/>
        <v>0</v>
      </c>
      <c r="AE10" s="186">
        <v>6640</v>
      </c>
      <c r="AF10" s="119">
        <f t="shared" si="15"/>
        <v>6640</v>
      </c>
      <c r="AG10" s="170">
        <v>0</v>
      </c>
      <c r="AH10" s="171">
        <v>4793</v>
      </c>
      <c r="AI10" s="172">
        <v>0.34583333333333333</v>
      </c>
      <c r="AJ10" s="171">
        <v>0</v>
      </c>
      <c r="AK10" s="188">
        <v>0</v>
      </c>
      <c r="AL10" s="57">
        <f t="shared" si="52"/>
        <v>45720</v>
      </c>
      <c r="AM10" s="78">
        <f t="shared" si="41"/>
        <v>0.57631521974453348</v>
      </c>
      <c r="AN10" s="77">
        <f t="shared" si="42"/>
        <v>0.42368478025546658</v>
      </c>
      <c r="AO10" s="173">
        <v>9238</v>
      </c>
      <c r="AP10" s="118">
        <f t="shared" si="18"/>
        <v>5324</v>
      </c>
      <c r="AQ10" s="174">
        <v>3914</v>
      </c>
      <c r="AR10" s="175">
        <v>3902</v>
      </c>
      <c r="AS10" s="176">
        <v>0.72986111111111107</v>
      </c>
      <c r="AT10" s="175">
        <v>182</v>
      </c>
      <c r="AU10" s="177">
        <v>0.85416666666666663</v>
      </c>
      <c r="AV10" s="57">
        <f t="shared" si="53"/>
        <v>45720</v>
      </c>
      <c r="AW10" s="111">
        <f t="shared" si="43"/>
        <v>0.71804697156983932</v>
      </c>
      <c r="AX10" s="111">
        <f t="shared" si="44"/>
        <v>0.28195302843016068</v>
      </c>
      <c r="AY10" s="112">
        <f t="shared" si="21"/>
        <v>8090</v>
      </c>
      <c r="AZ10" s="113">
        <v>8090</v>
      </c>
      <c r="BA10" s="121">
        <f t="shared" si="45"/>
        <v>5809</v>
      </c>
      <c r="BB10" s="114">
        <v>2281</v>
      </c>
      <c r="BC10" s="113">
        <v>3368</v>
      </c>
      <c r="BD10" s="115">
        <v>0.69791666666666663</v>
      </c>
      <c r="BE10" s="116">
        <v>0</v>
      </c>
      <c r="BF10" s="115">
        <v>0</v>
      </c>
      <c r="BG10" s="116">
        <v>135</v>
      </c>
      <c r="BH10" s="115">
        <v>0.89583333333333337</v>
      </c>
      <c r="BI10" s="57">
        <f t="shared" si="54"/>
        <v>45720</v>
      </c>
      <c r="BJ10" s="79">
        <f t="shared" si="46"/>
        <v>0.60923379760804075</v>
      </c>
      <c r="BK10" s="77">
        <f t="shared" si="47"/>
        <v>0.39076620239195919</v>
      </c>
      <c r="BL10" s="80">
        <f t="shared" si="48"/>
        <v>33529</v>
      </c>
      <c r="BM10" s="178">
        <v>20427</v>
      </c>
      <c r="BN10" s="178">
        <v>13102</v>
      </c>
      <c r="BO10" s="179">
        <v>3903</v>
      </c>
      <c r="BP10" s="180">
        <v>0.83402777777777781</v>
      </c>
      <c r="BQ10" s="181">
        <v>2654</v>
      </c>
      <c r="BR10" s="180">
        <v>0.83402777777777781</v>
      </c>
    </row>
    <row r="11" spans="1:72" ht="15.75" thickBot="1" x14ac:dyDescent="0.3">
      <c r="B11" s="57">
        <f t="shared" si="49"/>
        <v>45721</v>
      </c>
      <c r="C11" s="187"/>
      <c r="D11" s="88">
        <f t="shared" ref="D11:D24" si="55">R11</f>
        <v>51710</v>
      </c>
      <c r="E11" s="182">
        <f t="shared" ref="E11:E24" si="56">F11/D11</f>
        <v>0.8812802165925353</v>
      </c>
      <c r="F11" s="88">
        <f t="shared" ref="F11:F24" si="57">D11-H11</f>
        <v>45571</v>
      </c>
      <c r="G11" s="182">
        <f t="shared" ref="G11:G24" si="58">H11/D11</f>
        <v>0.11871978340746471</v>
      </c>
      <c r="H11" s="169">
        <f t="shared" ref="H11:H24" si="59">U11+AG11+AQ11+BB11</f>
        <v>6139</v>
      </c>
      <c r="I11" s="183">
        <f t="shared" ref="I11:I24" si="60">AE11/(AE11+AO11+BL11+AY11)</f>
        <v>0.11365229582895198</v>
      </c>
      <c r="J11" s="182">
        <f t="shared" ref="J11:J24" si="61">AO11/(AE11+AO11+BL11+AY11)</f>
        <v>0.16002453557658605</v>
      </c>
      <c r="K11" s="182">
        <f t="shared" ref="K11:K24" si="62">AY11/(AF11+AP11+BM11+AZ11+AY11)</f>
        <v>0.16540791766951615</v>
      </c>
      <c r="L11" s="184">
        <f t="shared" ref="L11:L24" si="63">BL11/(AE11+AO11+BL11+AY11)</f>
        <v>0.58661058534875565</v>
      </c>
      <c r="M11" s="169">
        <f t="shared" ref="M11:M24" si="64">(S11+T11)*I11</f>
        <v>5697.9578513845072</v>
      </c>
      <c r="N11" s="169">
        <f t="shared" ref="N11:N24" si="65">(S11+T11)*J11</f>
        <v>8022.8300911321421</v>
      </c>
      <c r="O11" s="169">
        <f t="shared" ref="O11:O24" si="66">(S11+T11)*K11</f>
        <v>8292.725952361192</v>
      </c>
      <c r="P11" s="169">
        <f t="shared" ref="P11:P24" si="67">(S11+T11)*L11</f>
        <v>29409.721696459863</v>
      </c>
      <c r="Q11" s="57">
        <f t="shared" si="50"/>
        <v>45721</v>
      </c>
      <c r="R11" s="162">
        <v>51710</v>
      </c>
      <c r="S11" s="163">
        <v>0</v>
      </c>
      <c r="T11" s="163">
        <v>50135</v>
      </c>
      <c r="U11" s="163">
        <v>0</v>
      </c>
      <c r="V11" s="164">
        <v>11996</v>
      </c>
      <c r="W11" s="165">
        <v>0.73958333333333337</v>
      </c>
      <c r="X11" s="164">
        <v>4311</v>
      </c>
      <c r="Y11" s="165">
        <v>0.78125</v>
      </c>
      <c r="Z11" s="164">
        <v>0</v>
      </c>
      <c r="AA11" s="165">
        <v>0</v>
      </c>
      <c r="AB11" s="57">
        <f t="shared" si="51"/>
        <v>45721</v>
      </c>
      <c r="AC11" s="77">
        <f t="shared" ref="AC11:AC24" si="68">+AF11/AE11</f>
        <v>1</v>
      </c>
      <c r="AD11" s="185">
        <f t="shared" ref="AD11:AD24" si="69">+AG11/AE11</f>
        <v>0</v>
      </c>
      <c r="AE11" s="186">
        <v>6485</v>
      </c>
      <c r="AF11" s="119">
        <f t="shared" si="15"/>
        <v>6485</v>
      </c>
      <c r="AG11" s="170">
        <v>0</v>
      </c>
      <c r="AH11" s="171">
        <v>3439</v>
      </c>
      <c r="AI11" s="172">
        <v>0.33680555555555558</v>
      </c>
      <c r="AJ11" s="171">
        <v>0</v>
      </c>
      <c r="AK11" s="188">
        <v>0</v>
      </c>
      <c r="AL11" s="57">
        <f t="shared" si="52"/>
        <v>45721</v>
      </c>
      <c r="AM11" s="78">
        <f t="shared" ref="AM11:AM24" si="70">+AP11/AO11</f>
        <v>0.5760595772642646</v>
      </c>
      <c r="AN11" s="77">
        <f t="shared" ref="AN11:AN24" si="71">+AQ11/AO11</f>
        <v>0.4239404227357354</v>
      </c>
      <c r="AO11" s="173">
        <v>9131</v>
      </c>
      <c r="AP11" s="118">
        <f t="shared" si="18"/>
        <v>5260</v>
      </c>
      <c r="AQ11" s="174">
        <v>3871</v>
      </c>
      <c r="AR11" s="175">
        <v>3277</v>
      </c>
      <c r="AS11" s="176">
        <v>0.35555555555555557</v>
      </c>
      <c r="AT11" s="175">
        <v>181</v>
      </c>
      <c r="AU11" s="177">
        <v>0.76041666666666663</v>
      </c>
      <c r="AV11" s="57">
        <f t="shared" si="53"/>
        <v>45721</v>
      </c>
      <c r="AW11" s="111">
        <f t="shared" ref="AW11:AW24" si="72">BA11/AZ11</f>
        <v>0.71550426492724539</v>
      </c>
      <c r="AX11" s="111">
        <f t="shared" ref="AX11:AX24" si="73">BB11/AZ11</f>
        <v>0.28449573507275466</v>
      </c>
      <c r="AY11" s="112">
        <f t="shared" si="21"/>
        <v>7972</v>
      </c>
      <c r="AZ11" s="113">
        <v>7972</v>
      </c>
      <c r="BA11" s="193">
        <f t="shared" si="45"/>
        <v>5704</v>
      </c>
      <c r="BB11" s="114">
        <v>2268</v>
      </c>
      <c r="BC11" s="113">
        <v>4301</v>
      </c>
      <c r="BD11" s="115">
        <v>0.35416666666666669</v>
      </c>
      <c r="BE11" s="116">
        <v>0</v>
      </c>
      <c r="BF11" s="115">
        <v>0</v>
      </c>
      <c r="BG11" s="116">
        <v>135</v>
      </c>
      <c r="BH11" s="115">
        <v>0.29166666666666669</v>
      </c>
      <c r="BI11" s="57">
        <f t="shared" si="54"/>
        <v>45721</v>
      </c>
      <c r="BJ11" s="79">
        <f t="shared" ref="BJ11:BJ24" si="74">+BM11/BL11</f>
        <v>0.61266132887189295</v>
      </c>
      <c r="BK11" s="77">
        <f t="shared" ref="BK11:BK24" si="75">+BN11/BL11</f>
        <v>0.38733867112810705</v>
      </c>
      <c r="BL11" s="80">
        <f t="shared" ref="BL11:BL24" si="76">BM11+BN11</f>
        <v>33472</v>
      </c>
      <c r="BM11" s="178">
        <v>20507</v>
      </c>
      <c r="BN11" s="178">
        <v>12965</v>
      </c>
      <c r="BO11" s="179">
        <v>3937</v>
      </c>
      <c r="BP11" s="180">
        <v>0.31041666666666667</v>
      </c>
      <c r="BQ11" s="181">
        <v>2640</v>
      </c>
      <c r="BR11" s="180">
        <v>0.31041666666666667</v>
      </c>
    </row>
    <row r="12" spans="1:72" ht="15.75" thickBot="1" x14ac:dyDescent="0.3">
      <c r="B12" s="57">
        <f t="shared" si="49"/>
        <v>45722</v>
      </c>
      <c r="C12" s="187"/>
      <c r="D12" s="88">
        <f t="shared" si="55"/>
        <v>50588</v>
      </c>
      <c r="E12" s="182">
        <f t="shared" si="56"/>
        <v>0.87429825255001181</v>
      </c>
      <c r="F12" s="88">
        <f t="shared" si="57"/>
        <v>44229</v>
      </c>
      <c r="G12" s="182">
        <f>H12/D12</f>
        <v>0.12570174744998813</v>
      </c>
      <c r="H12" s="169">
        <f t="shared" si="59"/>
        <v>6359</v>
      </c>
      <c r="I12" s="183">
        <f t="shared" si="60"/>
        <v>0.11586657570643782</v>
      </c>
      <c r="J12" s="182">
        <f t="shared" si="61"/>
        <v>0.13881009658540089</v>
      </c>
      <c r="K12" s="182">
        <f t="shared" si="62"/>
        <v>0.18794965893305135</v>
      </c>
      <c r="L12" s="184">
        <f t="shared" si="63"/>
        <v>0.58258231302287167</v>
      </c>
      <c r="M12" s="169">
        <f t="shared" si="64"/>
        <v>5681.6334063408849</v>
      </c>
      <c r="N12" s="169">
        <f t="shared" si="65"/>
        <v>6806.6918961617175</v>
      </c>
      <c r="O12" s="169">
        <f t="shared" si="66"/>
        <v>9216.2994754411066</v>
      </c>
      <c r="P12" s="169">
        <f t="shared" si="67"/>
        <v>28567.506301389534</v>
      </c>
      <c r="Q12" s="57">
        <f t="shared" si="50"/>
        <v>45722</v>
      </c>
      <c r="R12" s="162">
        <v>50588</v>
      </c>
      <c r="S12" s="163">
        <v>0</v>
      </c>
      <c r="T12" s="163">
        <v>49036</v>
      </c>
      <c r="U12" s="163">
        <v>0</v>
      </c>
      <c r="V12" s="164">
        <v>14639</v>
      </c>
      <c r="W12" s="165">
        <v>0.41666666666666669</v>
      </c>
      <c r="X12" s="164">
        <v>4305</v>
      </c>
      <c r="Y12" s="165">
        <v>0.80208333333333337</v>
      </c>
      <c r="Z12" s="164">
        <v>0</v>
      </c>
      <c r="AA12" s="165">
        <v>0</v>
      </c>
      <c r="AB12" s="57">
        <f t="shared" si="51"/>
        <v>45722</v>
      </c>
      <c r="AC12" s="77">
        <f t="shared" si="68"/>
        <v>1</v>
      </c>
      <c r="AD12" s="185">
        <f t="shared" si="69"/>
        <v>0</v>
      </c>
      <c r="AE12" s="186">
        <v>6454</v>
      </c>
      <c r="AF12" s="119">
        <f t="shared" si="15"/>
        <v>6454</v>
      </c>
      <c r="AG12" s="170">
        <v>0</v>
      </c>
      <c r="AH12" s="171">
        <v>4077</v>
      </c>
      <c r="AI12" s="172">
        <v>0.37916666666666665</v>
      </c>
      <c r="AJ12" s="171">
        <v>0</v>
      </c>
      <c r="AK12" s="188">
        <v>0</v>
      </c>
      <c r="AL12" s="57">
        <f t="shared" si="52"/>
        <v>45722</v>
      </c>
      <c r="AM12" s="78">
        <f t="shared" si="70"/>
        <v>0.49094671495085357</v>
      </c>
      <c r="AN12" s="77">
        <f t="shared" si="71"/>
        <v>0.50905328504914638</v>
      </c>
      <c r="AO12" s="173">
        <v>7732</v>
      </c>
      <c r="AP12" s="118">
        <f t="shared" si="18"/>
        <v>3796</v>
      </c>
      <c r="AQ12" s="174">
        <v>3936</v>
      </c>
      <c r="AR12" s="175">
        <v>3785</v>
      </c>
      <c r="AS12" s="176">
        <v>0.78402777777777777</v>
      </c>
      <c r="AT12" s="175">
        <v>181</v>
      </c>
      <c r="AU12" s="177">
        <v>0.67708333333333337</v>
      </c>
      <c r="AV12" s="57">
        <f t="shared" si="53"/>
        <v>45722</v>
      </c>
      <c r="AW12" s="111">
        <f t="shared" si="72"/>
        <v>0.73270821842250411</v>
      </c>
      <c r="AX12" s="111">
        <f t="shared" si="73"/>
        <v>0.26729178157749589</v>
      </c>
      <c r="AY12" s="112">
        <f t="shared" si="21"/>
        <v>9065</v>
      </c>
      <c r="AZ12" s="113">
        <v>9065</v>
      </c>
      <c r="BA12" s="193">
        <f t="shared" si="45"/>
        <v>6642</v>
      </c>
      <c r="BB12" s="114">
        <v>2423</v>
      </c>
      <c r="BC12" s="113">
        <v>4243</v>
      </c>
      <c r="BD12" s="115">
        <v>0.375</v>
      </c>
      <c r="BE12" s="116">
        <v>0</v>
      </c>
      <c r="BF12" s="115">
        <v>0</v>
      </c>
      <c r="BG12" s="116">
        <v>136</v>
      </c>
      <c r="BH12" s="115">
        <v>0.3125</v>
      </c>
      <c r="BI12" s="57">
        <f t="shared" si="54"/>
        <v>45722</v>
      </c>
      <c r="BJ12" s="79">
        <f t="shared" si="74"/>
        <v>0.6117222889895535</v>
      </c>
      <c r="BK12" s="77">
        <f t="shared" si="75"/>
        <v>0.3882777110104465</v>
      </c>
      <c r="BL12" s="80">
        <f t="shared" si="76"/>
        <v>32451</v>
      </c>
      <c r="BM12" s="178">
        <v>19851</v>
      </c>
      <c r="BN12" s="178">
        <v>12600</v>
      </c>
      <c r="BO12" s="179">
        <v>3715</v>
      </c>
      <c r="BP12" s="180">
        <v>0.69305555555555554</v>
      </c>
      <c r="BQ12" s="181">
        <v>2759</v>
      </c>
      <c r="BR12" s="180">
        <v>0.81597222222222221</v>
      </c>
      <c r="BT12" s="14" t="s">
        <v>37</v>
      </c>
    </row>
    <row r="13" spans="1:72" ht="15.75" thickBot="1" x14ac:dyDescent="0.3">
      <c r="B13" s="57">
        <f t="shared" si="49"/>
        <v>45723</v>
      </c>
      <c r="C13" s="187"/>
      <c r="D13" s="88">
        <f t="shared" si="55"/>
        <v>52090</v>
      </c>
      <c r="E13" s="182">
        <f t="shared" si="56"/>
        <v>0.87918986369744667</v>
      </c>
      <c r="F13" s="88">
        <f t="shared" si="57"/>
        <v>45797</v>
      </c>
      <c r="G13" s="182">
        <f t="shared" si="58"/>
        <v>0.12081013630255327</v>
      </c>
      <c r="H13" s="169">
        <f t="shared" si="59"/>
        <v>6293</v>
      </c>
      <c r="I13" s="183">
        <f t="shared" si="60"/>
        <v>0.1093518258708462</v>
      </c>
      <c r="J13" s="182">
        <f t="shared" si="61"/>
        <v>0.16078085541347656</v>
      </c>
      <c r="K13" s="182">
        <f t="shared" si="62"/>
        <v>0.20064387412714246</v>
      </c>
      <c r="L13" s="184">
        <f t="shared" si="63"/>
        <v>0.5524912815168157</v>
      </c>
      <c r="M13" s="169">
        <f t="shared" si="64"/>
        <v>5505.8644325971063</v>
      </c>
      <c r="N13" s="169">
        <f t="shared" si="65"/>
        <v>8095.3160700685448</v>
      </c>
      <c r="O13" s="169">
        <f t="shared" si="66"/>
        <v>10102.419062301624</v>
      </c>
      <c r="P13" s="169">
        <f t="shared" si="67"/>
        <v>27817.936024371669</v>
      </c>
      <c r="Q13" s="57">
        <f t="shared" si="50"/>
        <v>45723</v>
      </c>
      <c r="R13" s="162">
        <v>52090</v>
      </c>
      <c r="S13" s="163">
        <v>0</v>
      </c>
      <c r="T13" s="163">
        <v>50350</v>
      </c>
      <c r="U13" s="163">
        <v>0</v>
      </c>
      <c r="V13" s="164">
        <v>12560</v>
      </c>
      <c r="W13" s="165">
        <v>0.75</v>
      </c>
      <c r="X13" s="164">
        <v>4420</v>
      </c>
      <c r="Y13" s="165">
        <v>0.83333333333333337</v>
      </c>
      <c r="Z13" s="164">
        <v>0</v>
      </c>
      <c r="AA13" s="165">
        <v>0</v>
      </c>
      <c r="AB13" s="57">
        <f t="shared" si="51"/>
        <v>45723</v>
      </c>
      <c r="AC13" s="77">
        <f t="shared" si="68"/>
        <v>1</v>
      </c>
      <c r="AD13" s="185">
        <f t="shared" si="69"/>
        <v>0</v>
      </c>
      <c r="AE13" s="186">
        <v>5456</v>
      </c>
      <c r="AF13" s="119">
        <f t="shared" si="15"/>
        <v>5456</v>
      </c>
      <c r="AG13" s="170">
        <v>0</v>
      </c>
      <c r="AH13" s="171">
        <v>3578</v>
      </c>
      <c r="AI13" s="172">
        <v>0.31736111111111109</v>
      </c>
      <c r="AJ13" s="171">
        <v>0</v>
      </c>
      <c r="AK13" s="188">
        <v>0</v>
      </c>
      <c r="AL13" s="57">
        <f t="shared" si="52"/>
        <v>45723</v>
      </c>
      <c r="AM13" s="78">
        <f t="shared" si="70"/>
        <v>0.51595612066816254</v>
      </c>
      <c r="AN13" s="77">
        <f t="shared" si="71"/>
        <v>0.48404387933183746</v>
      </c>
      <c r="AO13" s="173">
        <v>8022</v>
      </c>
      <c r="AP13" s="118">
        <f t="shared" si="18"/>
        <v>4139</v>
      </c>
      <c r="AQ13" s="174">
        <v>3883</v>
      </c>
      <c r="AR13" s="175">
        <v>3664</v>
      </c>
      <c r="AS13" s="176">
        <v>0.71319444444444446</v>
      </c>
      <c r="AT13" s="175">
        <v>193</v>
      </c>
      <c r="AU13" s="177">
        <v>0.80902777777777779</v>
      </c>
      <c r="AV13" s="57">
        <f t="shared" si="53"/>
        <v>45723</v>
      </c>
      <c r="AW13" s="111">
        <f t="shared" si="72"/>
        <v>0.72768361581920904</v>
      </c>
      <c r="AX13" s="111">
        <f t="shared" si="73"/>
        <v>0.27231638418079096</v>
      </c>
      <c r="AY13" s="112">
        <f t="shared" si="21"/>
        <v>8850</v>
      </c>
      <c r="AZ13" s="113">
        <v>8850</v>
      </c>
      <c r="BA13" s="193">
        <f t="shared" si="45"/>
        <v>6440</v>
      </c>
      <c r="BB13" s="114">
        <v>2410</v>
      </c>
      <c r="BC13" s="113">
        <v>4190</v>
      </c>
      <c r="BD13" s="115">
        <v>0.35416666666666669</v>
      </c>
      <c r="BE13" s="116">
        <v>0</v>
      </c>
      <c r="BF13" s="115">
        <v>0</v>
      </c>
      <c r="BG13" s="116">
        <v>134</v>
      </c>
      <c r="BH13" s="115">
        <v>0.85416666666666663</v>
      </c>
      <c r="BI13" s="57">
        <f t="shared" si="54"/>
        <v>45723</v>
      </c>
      <c r="BJ13" s="79">
        <f t="shared" si="74"/>
        <v>0.60991801494594788</v>
      </c>
      <c r="BK13" s="77">
        <f t="shared" si="75"/>
        <v>0.39008198505405212</v>
      </c>
      <c r="BL13" s="80">
        <f t="shared" si="76"/>
        <v>27566</v>
      </c>
      <c r="BM13" s="178">
        <v>16813</v>
      </c>
      <c r="BN13" s="178">
        <v>10753</v>
      </c>
      <c r="BO13" s="179">
        <v>4507</v>
      </c>
      <c r="BP13" s="180">
        <v>0.74930555555555556</v>
      </c>
      <c r="BQ13" s="181">
        <v>3017</v>
      </c>
      <c r="BR13" s="180">
        <v>0.74930555555555556</v>
      </c>
    </row>
    <row r="14" spans="1:72" ht="15.75" thickBot="1" x14ac:dyDescent="0.3">
      <c r="B14" s="57">
        <f t="shared" si="49"/>
        <v>45724</v>
      </c>
      <c r="C14" s="187"/>
      <c r="D14" s="88">
        <f t="shared" si="55"/>
        <v>32804</v>
      </c>
      <c r="E14" s="182">
        <f t="shared" si="56"/>
        <v>0.82054017802706991</v>
      </c>
      <c r="F14" s="88">
        <f t="shared" si="57"/>
        <v>26917</v>
      </c>
      <c r="G14" s="182">
        <f t="shared" si="58"/>
        <v>0.17945982197293012</v>
      </c>
      <c r="H14" s="169">
        <f t="shared" si="59"/>
        <v>5887</v>
      </c>
      <c r="I14" s="183">
        <f t="shared" si="60"/>
        <v>7.954052158813904E-2</v>
      </c>
      <c r="J14" s="182">
        <f t="shared" si="61"/>
        <v>0.18122015560824123</v>
      </c>
      <c r="K14" s="182">
        <f t="shared" si="62"/>
        <v>0.15927490320309751</v>
      </c>
      <c r="L14" s="184">
        <f t="shared" si="63"/>
        <v>0.61835910107857217</v>
      </c>
      <c r="M14" s="169">
        <f t="shared" si="64"/>
        <v>2982.7695595552141</v>
      </c>
      <c r="N14" s="169">
        <f t="shared" si="65"/>
        <v>6795.7558353090462</v>
      </c>
      <c r="O14" s="169">
        <f t="shared" si="66"/>
        <v>5972.8088701161569</v>
      </c>
      <c r="P14" s="169">
        <f t="shared" si="67"/>
        <v>23188.466290446457</v>
      </c>
      <c r="Q14" s="57">
        <f t="shared" si="50"/>
        <v>45724</v>
      </c>
      <c r="R14" s="162">
        <v>32804</v>
      </c>
      <c r="S14" s="163">
        <v>0</v>
      </c>
      <c r="T14" s="163">
        <v>37500</v>
      </c>
      <c r="U14" s="163">
        <v>0</v>
      </c>
      <c r="V14" s="164">
        <v>11280</v>
      </c>
      <c r="W14" s="165">
        <v>0.77083333333333337</v>
      </c>
      <c r="X14" s="164">
        <v>3200</v>
      </c>
      <c r="Y14" s="165">
        <v>0.77083333333333337</v>
      </c>
      <c r="Z14" s="164">
        <v>0</v>
      </c>
      <c r="AA14" s="165">
        <v>0</v>
      </c>
      <c r="AB14" s="57">
        <f t="shared" si="51"/>
        <v>45724</v>
      </c>
      <c r="AC14" s="77">
        <f t="shared" si="68"/>
        <v>1</v>
      </c>
      <c r="AD14" s="185">
        <f t="shared" si="69"/>
        <v>0</v>
      </c>
      <c r="AE14" s="186">
        <v>2382</v>
      </c>
      <c r="AF14" s="119">
        <f t="shared" si="15"/>
        <v>2382</v>
      </c>
      <c r="AG14" s="170">
        <v>0</v>
      </c>
      <c r="AH14" s="171">
        <v>1835</v>
      </c>
      <c r="AI14" s="172">
        <v>0.89444444444444449</v>
      </c>
      <c r="AJ14" s="171">
        <v>0</v>
      </c>
      <c r="AK14" s="188">
        <v>0</v>
      </c>
      <c r="AL14" s="57">
        <f t="shared" si="52"/>
        <v>45724</v>
      </c>
      <c r="AM14" s="78">
        <f t="shared" si="70"/>
        <v>0.31140593329648059</v>
      </c>
      <c r="AN14" s="77">
        <f t="shared" si="71"/>
        <v>0.68859406670351941</v>
      </c>
      <c r="AO14" s="173">
        <v>5427</v>
      </c>
      <c r="AP14" s="118">
        <f t="shared" si="18"/>
        <v>1690</v>
      </c>
      <c r="AQ14" s="174">
        <v>3737</v>
      </c>
      <c r="AR14" s="175">
        <v>1607</v>
      </c>
      <c r="AS14" s="176">
        <v>0.89166666666666672</v>
      </c>
      <c r="AT14" s="175">
        <v>185</v>
      </c>
      <c r="AU14" s="177">
        <v>0.8</v>
      </c>
      <c r="AV14" s="57">
        <f t="shared" si="53"/>
        <v>45724</v>
      </c>
      <c r="AW14" s="111">
        <f t="shared" si="72"/>
        <v>0.40607734806629836</v>
      </c>
      <c r="AX14" s="111">
        <f t="shared" si="73"/>
        <v>0.59392265193370164</v>
      </c>
      <c r="AY14" s="112">
        <f t="shared" si="21"/>
        <v>3620</v>
      </c>
      <c r="AZ14" s="113">
        <v>3620</v>
      </c>
      <c r="BA14" s="121">
        <f t="shared" ref="BA14:BA24" si="77">AZ14-BB14</f>
        <v>1470</v>
      </c>
      <c r="BB14" s="114">
        <v>2150</v>
      </c>
      <c r="BC14" s="113">
        <v>2590</v>
      </c>
      <c r="BD14" s="115">
        <v>0.72916666666666663</v>
      </c>
      <c r="BE14" s="116">
        <v>0</v>
      </c>
      <c r="BF14" s="115">
        <v>0</v>
      </c>
      <c r="BG14" s="116">
        <v>132</v>
      </c>
      <c r="BH14" s="115">
        <v>0.875</v>
      </c>
      <c r="BI14" s="57">
        <f t="shared" si="54"/>
        <v>45724</v>
      </c>
      <c r="BJ14" s="79">
        <f t="shared" si="74"/>
        <v>0.61648126147532134</v>
      </c>
      <c r="BK14" s="77">
        <f t="shared" si="75"/>
        <v>0.38351873852467872</v>
      </c>
      <c r="BL14" s="80">
        <f t="shared" si="76"/>
        <v>18518</v>
      </c>
      <c r="BM14" s="178">
        <v>11416</v>
      </c>
      <c r="BN14" s="178">
        <v>7102</v>
      </c>
      <c r="BO14" s="179">
        <v>2636</v>
      </c>
      <c r="BP14" s="180">
        <v>0.33124999999999999</v>
      </c>
      <c r="BQ14" s="181">
        <v>1682</v>
      </c>
      <c r="BR14" s="180">
        <v>0.33194444444444443</v>
      </c>
    </row>
    <row r="15" spans="1:72" ht="15.75" thickBot="1" x14ac:dyDescent="0.3">
      <c r="B15" s="57">
        <f t="shared" si="49"/>
        <v>45725</v>
      </c>
      <c r="C15" s="187"/>
      <c r="D15" s="88">
        <f t="shared" si="55"/>
        <v>28338</v>
      </c>
      <c r="E15" s="182">
        <f t="shared" si="56"/>
        <v>0.79324581833580354</v>
      </c>
      <c r="F15" s="88">
        <f t="shared" si="57"/>
        <v>22479</v>
      </c>
      <c r="G15" s="182">
        <f t="shared" si="58"/>
        <v>0.20675418166419648</v>
      </c>
      <c r="H15" s="169">
        <f t="shared" si="59"/>
        <v>5859</v>
      </c>
      <c r="I15" s="183">
        <f t="shared" si="60"/>
        <v>6.5828474642519785E-2</v>
      </c>
      <c r="J15" s="182">
        <f t="shared" si="61"/>
        <v>0.17292596332367025</v>
      </c>
      <c r="K15" s="182">
        <f t="shared" si="62"/>
        <v>0.16942691346520394</v>
      </c>
      <c r="L15" s="184">
        <f t="shared" si="63"/>
        <v>0.63095664636331061</v>
      </c>
      <c r="M15" s="169">
        <f t="shared" si="64"/>
        <v>1772.6949936484152</v>
      </c>
      <c r="N15" s="169">
        <f t="shared" si="65"/>
        <v>4656.7232663431159</v>
      </c>
      <c r="O15" s="169">
        <f t="shared" si="66"/>
        <v>4562.4973527044767</v>
      </c>
      <c r="P15" s="169">
        <f t="shared" si="67"/>
        <v>16991.031529917593</v>
      </c>
      <c r="Q15" s="57">
        <f t="shared" si="50"/>
        <v>45725</v>
      </c>
      <c r="R15" s="162">
        <v>28338</v>
      </c>
      <c r="S15" s="163">
        <v>0</v>
      </c>
      <c r="T15" s="163">
        <v>26929</v>
      </c>
      <c r="U15" s="163">
        <v>0</v>
      </c>
      <c r="V15" s="164">
        <v>5731</v>
      </c>
      <c r="W15" s="165">
        <v>0.58333333333333337</v>
      </c>
      <c r="X15" s="164">
        <v>1960</v>
      </c>
      <c r="Y15" s="165">
        <v>0.6875</v>
      </c>
      <c r="Z15" s="164">
        <v>0</v>
      </c>
      <c r="AA15" s="165">
        <v>0</v>
      </c>
      <c r="AB15" s="191">
        <f t="shared" si="51"/>
        <v>45725</v>
      </c>
      <c r="AC15" s="77">
        <f t="shared" si="68"/>
        <v>1</v>
      </c>
      <c r="AD15" s="185">
        <f t="shared" si="69"/>
        <v>0</v>
      </c>
      <c r="AE15" s="186">
        <v>2021</v>
      </c>
      <c r="AF15" s="119">
        <f t="shared" si="15"/>
        <v>2021</v>
      </c>
      <c r="AG15" s="170">
        <v>0</v>
      </c>
      <c r="AH15" s="171">
        <v>1536</v>
      </c>
      <c r="AI15" s="172">
        <v>0.93541666666666667</v>
      </c>
      <c r="AJ15" s="171">
        <v>0</v>
      </c>
      <c r="AK15" s="188">
        <v>0</v>
      </c>
      <c r="AL15" s="191">
        <f t="shared" si="52"/>
        <v>45725</v>
      </c>
      <c r="AM15" s="78">
        <f t="shared" si="70"/>
        <v>0.305707289508382</v>
      </c>
      <c r="AN15" s="77">
        <f t="shared" si="71"/>
        <v>0.694292710491618</v>
      </c>
      <c r="AO15" s="173">
        <v>5309</v>
      </c>
      <c r="AP15" s="118">
        <f t="shared" si="18"/>
        <v>1623</v>
      </c>
      <c r="AQ15" s="174">
        <v>3686</v>
      </c>
      <c r="AR15" s="175">
        <v>1825</v>
      </c>
      <c r="AS15" s="176">
        <v>0.93194444444444446</v>
      </c>
      <c r="AT15" s="175">
        <v>175</v>
      </c>
      <c r="AU15" s="177">
        <v>0.94791666666666663</v>
      </c>
      <c r="AV15" s="191">
        <f t="shared" si="53"/>
        <v>45725</v>
      </c>
      <c r="AW15" s="192">
        <f t="shared" si="72"/>
        <v>0.45674999999999999</v>
      </c>
      <c r="AX15" s="192">
        <f t="shared" si="73"/>
        <v>0.54325000000000001</v>
      </c>
      <c r="AY15" s="112">
        <f t="shared" si="21"/>
        <v>4000</v>
      </c>
      <c r="AZ15" s="113">
        <v>4000</v>
      </c>
      <c r="BA15" s="193">
        <f t="shared" si="77"/>
        <v>1827</v>
      </c>
      <c r="BB15" s="114">
        <v>2173</v>
      </c>
      <c r="BC15" s="113">
        <v>1448</v>
      </c>
      <c r="BD15" s="115">
        <v>0.95833333333333337</v>
      </c>
      <c r="BE15" s="116">
        <v>0</v>
      </c>
      <c r="BF15" s="115">
        <v>0</v>
      </c>
      <c r="BG15" s="116">
        <v>127</v>
      </c>
      <c r="BH15" s="115">
        <v>0.88541666666666663</v>
      </c>
      <c r="BI15" s="191">
        <f t="shared" si="54"/>
        <v>45725</v>
      </c>
      <c r="BJ15" s="194">
        <f t="shared" si="74"/>
        <v>0.6176759072840845</v>
      </c>
      <c r="BK15" s="77">
        <f t="shared" si="75"/>
        <v>0.38232409271591555</v>
      </c>
      <c r="BL15" s="80">
        <f t="shared" si="76"/>
        <v>19371</v>
      </c>
      <c r="BM15" s="178">
        <v>11965</v>
      </c>
      <c r="BN15" s="178">
        <v>7406</v>
      </c>
      <c r="BO15" s="179">
        <v>2525</v>
      </c>
      <c r="BP15" s="180">
        <v>0.6743055555555556</v>
      </c>
      <c r="BQ15" s="181">
        <v>1684</v>
      </c>
      <c r="BR15" s="180">
        <v>0.6743055555555556</v>
      </c>
    </row>
    <row r="16" spans="1:72" ht="15.75" thickBot="1" x14ac:dyDescent="0.3">
      <c r="B16" s="57">
        <f t="shared" si="49"/>
        <v>45726</v>
      </c>
      <c r="C16" s="187"/>
      <c r="D16" s="88">
        <f t="shared" si="55"/>
        <v>53080</v>
      </c>
      <c r="E16" s="182">
        <f t="shared" si="56"/>
        <v>0.87852298417483043</v>
      </c>
      <c r="F16" s="88">
        <f t="shared" si="57"/>
        <v>46632</v>
      </c>
      <c r="G16" s="182">
        <f t="shared" si="58"/>
        <v>0.12147701582516955</v>
      </c>
      <c r="H16" s="169">
        <f t="shared" si="59"/>
        <v>6448</v>
      </c>
      <c r="I16" s="183">
        <f t="shared" si="60"/>
        <v>0.11801674791500348</v>
      </c>
      <c r="J16" s="182">
        <f t="shared" si="61"/>
        <v>0.16012433543390009</v>
      </c>
      <c r="K16" s="182">
        <f t="shared" si="62"/>
        <v>0.16577508084155057</v>
      </c>
      <c r="L16" s="184">
        <f t="shared" si="63"/>
        <v>0.580792553462538</v>
      </c>
      <c r="M16" s="169">
        <f t="shared" si="64"/>
        <v>6076.6823501435292</v>
      </c>
      <c r="N16" s="169">
        <f t="shared" si="65"/>
        <v>8244.8020314915157</v>
      </c>
      <c r="O16" s="169">
        <f t="shared" si="66"/>
        <v>8535.7589125314389</v>
      </c>
      <c r="P16" s="169">
        <f t="shared" si="67"/>
        <v>29905.00857778608</v>
      </c>
      <c r="Q16" s="57">
        <f t="shared" si="50"/>
        <v>45726</v>
      </c>
      <c r="R16" s="162">
        <v>53080</v>
      </c>
      <c r="S16" s="163">
        <v>0</v>
      </c>
      <c r="T16" s="163">
        <v>51490</v>
      </c>
      <c r="U16" s="163">
        <v>0</v>
      </c>
      <c r="V16" s="164">
        <v>12414</v>
      </c>
      <c r="W16" s="165">
        <v>0.40625</v>
      </c>
      <c r="X16" s="164">
        <v>4538</v>
      </c>
      <c r="Y16" s="165">
        <v>0.8125</v>
      </c>
      <c r="Z16" s="164">
        <v>0</v>
      </c>
      <c r="AA16" s="165">
        <v>0</v>
      </c>
      <c r="AB16" s="57">
        <f t="shared" si="51"/>
        <v>45726</v>
      </c>
      <c r="AC16" s="77">
        <f t="shared" si="68"/>
        <v>1</v>
      </c>
      <c r="AD16" s="185">
        <f t="shared" si="69"/>
        <v>0</v>
      </c>
      <c r="AE16" s="186">
        <v>6948</v>
      </c>
      <c r="AF16" s="119">
        <f t="shared" si="15"/>
        <v>6948</v>
      </c>
      <c r="AG16" s="170">
        <v>0</v>
      </c>
      <c r="AH16" s="171">
        <v>4838</v>
      </c>
      <c r="AI16" s="172">
        <v>0.35138888888888886</v>
      </c>
      <c r="AJ16" s="171">
        <v>0</v>
      </c>
      <c r="AK16" s="188">
        <v>0</v>
      </c>
      <c r="AL16" s="57">
        <f t="shared" si="52"/>
        <v>45726</v>
      </c>
      <c r="AM16" s="78">
        <f t="shared" si="70"/>
        <v>0.59478094833987483</v>
      </c>
      <c r="AN16" s="77">
        <f t="shared" si="71"/>
        <v>0.40521905166012517</v>
      </c>
      <c r="AO16" s="173">
        <v>9427</v>
      </c>
      <c r="AP16" s="118">
        <f t="shared" si="18"/>
        <v>5607</v>
      </c>
      <c r="AQ16" s="174">
        <v>3820</v>
      </c>
      <c r="AR16" s="175">
        <v>3691</v>
      </c>
      <c r="AS16" s="176">
        <v>0.36388888888888887</v>
      </c>
      <c r="AT16" s="175">
        <v>191</v>
      </c>
      <c r="AU16" s="177">
        <v>0.3125</v>
      </c>
      <c r="AV16" s="57">
        <f t="shared" si="53"/>
        <v>45726</v>
      </c>
      <c r="AW16" s="111">
        <f t="shared" si="72"/>
        <v>0.68356411800120409</v>
      </c>
      <c r="AX16" s="111">
        <f t="shared" si="73"/>
        <v>0.31643588199879591</v>
      </c>
      <c r="AY16" s="112">
        <f t="shared" si="21"/>
        <v>8305</v>
      </c>
      <c r="AZ16" s="113">
        <v>8305</v>
      </c>
      <c r="BA16" s="121">
        <f t="shared" si="77"/>
        <v>5677</v>
      </c>
      <c r="BB16" s="114">
        <f>1568+1060</f>
        <v>2628</v>
      </c>
      <c r="BC16" s="113">
        <v>3786</v>
      </c>
      <c r="BD16" s="115">
        <v>0.73958333333333337</v>
      </c>
      <c r="BE16" s="116">
        <v>0</v>
      </c>
      <c r="BF16" s="115">
        <v>0</v>
      </c>
      <c r="BG16" s="116">
        <v>130</v>
      </c>
      <c r="BH16" s="115">
        <v>0.875</v>
      </c>
      <c r="BI16" s="57">
        <f t="shared" si="54"/>
        <v>45726</v>
      </c>
      <c r="BJ16" s="79">
        <f t="shared" si="74"/>
        <v>0.61220132775714331</v>
      </c>
      <c r="BK16" s="77">
        <f t="shared" si="75"/>
        <v>0.38779867224285675</v>
      </c>
      <c r="BL16" s="80">
        <f t="shared" si="76"/>
        <v>34193</v>
      </c>
      <c r="BM16" s="178">
        <v>20933</v>
      </c>
      <c r="BN16" s="178">
        <v>13260</v>
      </c>
      <c r="BO16" s="179">
        <v>4114</v>
      </c>
      <c r="BP16" s="180">
        <v>0.29791666666666666</v>
      </c>
      <c r="BQ16" s="181">
        <v>2708</v>
      </c>
      <c r="BR16" s="180">
        <v>0.29791666666666666</v>
      </c>
    </row>
    <row r="17" spans="1:70" ht="15.75" thickBot="1" x14ac:dyDescent="0.3">
      <c r="B17" s="57">
        <f t="shared" si="49"/>
        <v>45727</v>
      </c>
      <c r="C17" s="187"/>
      <c r="D17" s="88">
        <f t="shared" si="55"/>
        <v>52372</v>
      </c>
      <c r="E17" s="182">
        <f t="shared" si="56"/>
        <v>0.87546780722523487</v>
      </c>
      <c r="F17" s="88">
        <f t="shared" si="57"/>
        <v>45850</v>
      </c>
      <c r="G17" s="182">
        <f t="shared" si="58"/>
        <v>0.12453219277476514</v>
      </c>
      <c r="H17" s="169">
        <f t="shared" si="59"/>
        <v>6522</v>
      </c>
      <c r="I17" s="183">
        <f t="shared" si="60"/>
        <v>0.16290600372296932</v>
      </c>
      <c r="J17" s="182">
        <f t="shared" si="61"/>
        <v>0.11248934430507472</v>
      </c>
      <c r="K17" s="182">
        <f t="shared" si="62"/>
        <v>0.16825663282017689</v>
      </c>
      <c r="L17" s="184">
        <f t="shared" si="63"/>
        <v>0.58161827386440734</v>
      </c>
      <c r="M17" s="169">
        <f t="shared" si="64"/>
        <v>8295.8253335884892</v>
      </c>
      <c r="N17" s="169">
        <f t="shared" si="65"/>
        <v>5728.4073693916253</v>
      </c>
      <c r="O17" s="169">
        <f t="shared" si="66"/>
        <v>8568.3007697346875</v>
      </c>
      <c r="P17" s="169">
        <f t="shared" si="67"/>
        <v>29618.328978271078</v>
      </c>
      <c r="Q17" s="57">
        <f t="shared" si="50"/>
        <v>45727</v>
      </c>
      <c r="R17" s="162">
        <v>52372</v>
      </c>
      <c r="S17" s="163">
        <v>0</v>
      </c>
      <c r="T17" s="163">
        <v>50924</v>
      </c>
      <c r="U17" s="163">
        <v>0</v>
      </c>
      <c r="V17" s="164">
        <v>13314</v>
      </c>
      <c r="W17" s="165">
        <v>0.78125</v>
      </c>
      <c r="X17" s="164">
        <v>4329</v>
      </c>
      <c r="Y17" s="165">
        <v>0.78125</v>
      </c>
      <c r="Z17" s="164">
        <v>0</v>
      </c>
      <c r="AA17" s="165">
        <v>0</v>
      </c>
      <c r="AB17" s="57">
        <f t="shared" si="51"/>
        <v>45727</v>
      </c>
      <c r="AC17" s="77">
        <f t="shared" si="68"/>
        <v>1</v>
      </c>
      <c r="AD17" s="185">
        <f t="shared" si="69"/>
        <v>0</v>
      </c>
      <c r="AE17" s="186">
        <v>9364</v>
      </c>
      <c r="AF17" s="119">
        <f t="shared" si="15"/>
        <v>9364</v>
      </c>
      <c r="AG17" s="170">
        <v>0</v>
      </c>
      <c r="AH17" s="171">
        <v>3761</v>
      </c>
      <c r="AI17" s="172">
        <v>0.34027777777777779</v>
      </c>
      <c r="AJ17" s="171">
        <v>0</v>
      </c>
      <c r="AK17" s="188">
        <v>0</v>
      </c>
      <c r="AL17" s="57">
        <f t="shared" si="52"/>
        <v>45727</v>
      </c>
      <c r="AM17" s="78">
        <f t="shared" si="70"/>
        <v>0.40071141354778844</v>
      </c>
      <c r="AN17" s="77">
        <f t="shared" si="71"/>
        <v>0.59928858645221161</v>
      </c>
      <c r="AO17" s="173">
        <v>6466</v>
      </c>
      <c r="AP17" s="118">
        <f t="shared" si="18"/>
        <v>2591</v>
      </c>
      <c r="AQ17" s="174">
        <v>3875</v>
      </c>
      <c r="AR17" s="175">
        <v>3971</v>
      </c>
      <c r="AS17" s="176">
        <v>0.73055555555555551</v>
      </c>
      <c r="AT17" s="175">
        <v>181</v>
      </c>
      <c r="AU17" s="177">
        <v>0.30208333333333331</v>
      </c>
      <c r="AV17" s="57">
        <f t="shared" si="53"/>
        <v>45727</v>
      </c>
      <c r="AW17" s="111">
        <f t="shared" si="72"/>
        <v>0.67794135539603362</v>
      </c>
      <c r="AX17" s="111">
        <f t="shared" si="73"/>
        <v>0.32205864460396644</v>
      </c>
      <c r="AY17" s="112">
        <f t="shared" si="21"/>
        <v>8219</v>
      </c>
      <c r="AZ17" s="113">
        <v>8219</v>
      </c>
      <c r="BA17" s="121">
        <f t="shared" si="77"/>
        <v>5572</v>
      </c>
      <c r="BB17" s="114">
        <f>1590+1057</f>
        <v>2647</v>
      </c>
      <c r="BC17" s="113">
        <v>4025</v>
      </c>
      <c r="BD17" s="115">
        <v>0.8125</v>
      </c>
      <c r="BE17" s="116">
        <v>0</v>
      </c>
      <c r="BF17" s="115">
        <v>0</v>
      </c>
      <c r="BG17" s="116">
        <v>131</v>
      </c>
      <c r="BH17" s="115">
        <v>0.86458333333333337</v>
      </c>
      <c r="BI17" s="57">
        <f t="shared" si="54"/>
        <v>45727</v>
      </c>
      <c r="BJ17" s="79">
        <f t="shared" si="74"/>
        <v>0.61183895668820287</v>
      </c>
      <c r="BK17" s="77">
        <f t="shared" si="75"/>
        <v>0.38816104331179707</v>
      </c>
      <c r="BL17" s="80">
        <f t="shared" si="76"/>
        <v>33432</v>
      </c>
      <c r="BM17" s="178">
        <v>20455</v>
      </c>
      <c r="BN17" s="178">
        <v>12977</v>
      </c>
      <c r="BO17" s="179">
        <v>4425</v>
      </c>
      <c r="BP17" s="180">
        <v>0.81111111111111112</v>
      </c>
      <c r="BQ17" s="181">
        <v>2919</v>
      </c>
      <c r="BR17" s="180">
        <v>0.81111111111111112</v>
      </c>
    </row>
    <row r="18" spans="1:70" ht="15.75" thickBot="1" x14ac:dyDescent="0.3">
      <c r="B18" s="57">
        <f t="shared" si="49"/>
        <v>45728</v>
      </c>
      <c r="C18" s="187"/>
      <c r="D18" s="88">
        <f t="shared" si="55"/>
        <v>52124</v>
      </c>
      <c r="E18" s="182">
        <f t="shared" si="56"/>
        <v>0.88408583378098371</v>
      </c>
      <c r="F18" s="88">
        <f t="shared" si="57"/>
        <v>46082.09</v>
      </c>
      <c r="G18" s="182">
        <f t="shared" si="58"/>
        <v>0.11591416621901619</v>
      </c>
      <c r="H18" s="169">
        <f t="shared" si="59"/>
        <v>6041.91</v>
      </c>
      <c r="I18" s="183">
        <f t="shared" si="60"/>
        <v>0.11921695919991478</v>
      </c>
      <c r="J18" s="182">
        <f t="shared" si="61"/>
        <v>0.16237631827951599</v>
      </c>
      <c r="K18" s="182">
        <f t="shared" si="62"/>
        <v>0.16662043719173533</v>
      </c>
      <c r="L18" s="184">
        <f t="shared" si="63"/>
        <v>0.57662226622579538</v>
      </c>
      <c r="M18" s="169">
        <f t="shared" si="64"/>
        <v>6028.1197057330664</v>
      </c>
      <c r="N18" s="169">
        <f t="shared" si="65"/>
        <v>8210.4416228545651</v>
      </c>
      <c r="O18" s="169">
        <f t="shared" si="66"/>
        <v>8425.0424398853193</v>
      </c>
      <c r="P18" s="169">
        <f t="shared" si="67"/>
        <v>29156.489723675659</v>
      </c>
      <c r="Q18" s="57">
        <f t="shared" si="50"/>
        <v>45728</v>
      </c>
      <c r="R18" s="162">
        <v>52124</v>
      </c>
      <c r="S18" s="163">
        <v>0</v>
      </c>
      <c r="T18" s="163">
        <v>50564.28</v>
      </c>
      <c r="U18" s="163">
        <v>0</v>
      </c>
      <c r="V18" s="164">
        <v>12625.37</v>
      </c>
      <c r="W18" s="165">
        <v>0.72916666666666663</v>
      </c>
      <c r="X18" s="164">
        <v>4381.8</v>
      </c>
      <c r="Y18" s="165">
        <v>0.79166666666666663</v>
      </c>
      <c r="Z18" s="164">
        <v>0</v>
      </c>
      <c r="AA18" s="165">
        <v>0</v>
      </c>
      <c r="AB18" s="57">
        <f t="shared" si="51"/>
        <v>45728</v>
      </c>
      <c r="AC18" s="77">
        <f t="shared" si="68"/>
        <v>1</v>
      </c>
      <c r="AD18" s="185">
        <f t="shared" si="69"/>
        <v>0</v>
      </c>
      <c r="AE18" s="186">
        <v>6849</v>
      </c>
      <c r="AF18" s="119">
        <f t="shared" si="15"/>
        <v>6849</v>
      </c>
      <c r="AG18" s="170">
        <v>0</v>
      </c>
      <c r="AH18" s="171">
        <v>4244.8900000000003</v>
      </c>
      <c r="AI18" s="172">
        <v>0.35833333333333334</v>
      </c>
      <c r="AJ18" s="171">
        <v>0</v>
      </c>
      <c r="AK18" s="188">
        <v>0</v>
      </c>
      <c r="AL18" s="57">
        <f t="shared" si="52"/>
        <v>45728</v>
      </c>
      <c r="AM18" s="78">
        <f t="shared" si="70"/>
        <v>0.5891150774508227</v>
      </c>
      <c r="AN18" s="77">
        <f t="shared" si="71"/>
        <v>0.41088492254917724</v>
      </c>
      <c r="AO18" s="173">
        <v>9328.5</v>
      </c>
      <c r="AP18" s="118">
        <f t="shared" si="18"/>
        <v>5495.5599999999995</v>
      </c>
      <c r="AQ18" s="174">
        <v>3832.94</v>
      </c>
      <c r="AR18" s="175">
        <v>3799.26</v>
      </c>
      <c r="AS18" s="176">
        <v>0.35902777777777778</v>
      </c>
      <c r="AT18" s="175">
        <v>191.74</v>
      </c>
      <c r="AU18" s="177">
        <v>0.3125</v>
      </c>
      <c r="AV18" s="57">
        <f t="shared" si="53"/>
        <v>45728</v>
      </c>
      <c r="AW18" s="111">
        <f t="shared" si="72"/>
        <v>0.72881099993861653</v>
      </c>
      <c r="AX18" s="111">
        <f t="shared" si="73"/>
        <v>0.27118900006138358</v>
      </c>
      <c r="AY18" s="112">
        <f t="shared" si="21"/>
        <v>8145.5</v>
      </c>
      <c r="AZ18" s="113">
        <v>8145.5</v>
      </c>
      <c r="BA18" s="121">
        <f t="shared" si="77"/>
        <v>5936.5300000000007</v>
      </c>
      <c r="BB18" s="114">
        <v>2208.9699999999998</v>
      </c>
      <c r="BC18" s="113">
        <v>4101.05</v>
      </c>
      <c r="BD18" s="115">
        <v>0.34375</v>
      </c>
      <c r="BE18" s="116">
        <v>0</v>
      </c>
      <c r="BF18" s="115">
        <v>0</v>
      </c>
      <c r="BG18" s="116">
        <v>134.69999999999999</v>
      </c>
      <c r="BH18" s="115">
        <v>0.9375</v>
      </c>
      <c r="BI18" s="57">
        <f t="shared" si="54"/>
        <v>45728</v>
      </c>
      <c r="BJ18" s="79">
        <f t="shared" si="74"/>
        <v>0.6113162483155673</v>
      </c>
      <c r="BK18" s="77">
        <f t="shared" si="75"/>
        <v>0.3886837516844327</v>
      </c>
      <c r="BL18" s="80">
        <f t="shared" si="76"/>
        <v>33126.879999999997</v>
      </c>
      <c r="BM18" s="178">
        <v>20251</v>
      </c>
      <c r="BN18" s="178">
        <v>12875.88</v>
      </c>
      <c r="BO18" s="179">
        <v>3921.32</v>
      </c>
      <c r="BP18" s="180">
        <v>0.81041666666666667</v>
      </c>
      <c r="BQ18" s="181">
        <v>2669.7</v>
      </c>
      <c r="BR18" s="180">
        <v>0.81041666666666667</v>
      </c>
    </row>
    <row r="19" spans="1:70" ht="15.75" thickBot="1" x14ac:dyDescent="0.3">
      <c r="B19" s="57">
        <f t="shared" si="49"/>
        <v>45729</v>
      </c>
      <c r="C19" s="187"/>
      <c r="D19" s="88">
        <f t="shared" si="55"/>
        <v>51886</v>
      </c>
      <c r="E19" s="182">
        <f t="shared" si="56"/>
        <v>0.88292969201711446</v>
      </c>
      <c r="F19" s="88">
        <f t="shared" si="57"/>
        <v>45811.69</v>
      </c>
      <c r="G19" s="182">
        <f t="shared" si="58"/>
        <v>0.11707030798288555</v>
      </c>
      <c r="H19" s="169">
        <f t="shared" si="59"/>
        <v>6074.3099999999995</v>
      </c>
      <c r="I19" s="183">
        <f t="shared" si="60"/>
        <v>0.11613678347830454</v>
      </c>
      <c r="J19" s="182">
        <f t="shared" si="61"/>
        <v>0.16095014832506332</v>
      </c>
      <c r="K19" s="182">
        <f t="shared" si="62"/>
        <v>0.16386148978737264</v>
      </c>
      <c r="L19" s="184">
        <f t="shared" si="63"/>
        <v>0.58486830627703823</v>
      </c>
      <c r="M19" s="169">
        <f t="shared" si="64"/>
        <v>5844.3037388974926</v>
      </c>
      <c r="N19" s="169">
        <f t="shared" si="65"/>
        <v>8099.4283246013474</v>
      </c>
      <c r="O19" s="169">
        <f t="shared" si="66"/>
        <v>8245.9345673591397</v>
      </c>
      <c r="P19" s="169">
        <f t="shared" si="67"/>
        <v>29432.08798077382</v>
      </c>
      <c r="Q19" s="57">
        <f t="shared" si="50"/>
        <v>45729</v>
      </c>
      <c r="R19" s="162">
        <v>51886</v>
      </c>
      <c r="S19" s="163">
        <v>0</v>
      </c>
      <c r="T19" s="163">
        <v>50322.59</v>
      </c>
      <c r="U19" s="163">
        <v>0</v>
      </c>
      <c r="V19" s="164">
        <v>14097.85</v>
      </c>
      <c r="W19" s="165">
        <v>0.82291666666666663</v>
      </c>
      <c r="X19" s="164">
        <v>4373.75</v>
      </c>
      <c r="Y19" s="165">
        <v>0.78125</v>
      </c>
      <c r="Z19" s="164">
        <v>0</v>
      </c>
      <c r="AA19" s="165">
        <v>0</v>
      </c>
      <c r="AB19" s="57">
        <f t="shared" si="51"/>
        <v>45729</v>
      </c>
      <c r="AC19" s="77">
        <f t="shared" si="68"/>
        <v>1</v>
      </c>
      <c r="AD19" s="185">
        <f t="shared" si="69"/>
        <v>0</v>
      </c>
      <c r="AE19" s="186">
        <v>6637</v>
      </c>
      <c r="AF19" s="119">
        <f t="shared" si="15"/>
        <v>6637</v>
      </c>
      <c r="AG19" s="170">
        <v>0</v>
      </c>
      <c r="AH19" s="171">
        <v>4020.41</v>
      </c>
      <c r="AI19" s="172">
        <v>0.77500000000000002</v>
      </c>
      <c r="AJ19" s="171">
        <v>0</v>
      </c>
      <c r="AK19" s="188">
        <v>0</v>
      </c>
      <c r="AL19" s="57">
        <f t="shared" si="52"/>
        <v>45729</v>
      </c>
      <c r="AM19" s="78">
        <f t="shared" ref="AM19" si="78">+AP19/AO19</f>
        <v>0.5795085888236573</v>
      </c>
      <c r="AN19" s="77">
        <f t="shared" ref="AN19" si="79">+AQ19/AO19</f>
        <v>0.42049141117634264</v>
      </c>
      <c r="AO19" s="173">
        <v>9198</v>
      </c>
      <c r="AP19" s="118">
        <f t="shared" si="18"/>
        <v>5330.32</v>
      </c>
      <c r="AQ19" s="174">
        <v>3867.68</v>
      </c>
      <c r="AR19" s="175">
        <v>3888.96</v>
      </c>
      <c r="AS19" s="176">
        <v>0.77222222222222225</v>
      </c>
      <c r="AT19" s="175">
        <v>186.74</v>
      </c>
      <c r="AU19" s="177">
        <v>0.33333333333333331</v>
      </c>
      <c r="AV19" s="57">
        <f t="shared" si="53"/>
        <v>45729</v>
      </c>
      <c r="AW19" s="111">
        <f t="shared" ref="AW19" si="80">BA19/AZ19</f>
        <v>0.72029027760172393</v>
      </c>
      <c r="AX19" s="111">
        <f t="shared" ref="AX19" si="81">BB19/AZ19</f>
        <v>0.27970972239827607</v>
      </c>
      <c r="AY19" s="112">
        <f t="shared" si="21"/>
        <v>7889</v>
      </c>
      <c r="AZ19" s="113">
        <v>7889</v>
      </c>
      <c r="BA19" s="121">
        <f t="shared" ref="BA19:BA20" si="82">AZ19-BB19</f>
        <v>5682.37</v>
      </c>
      <c r="BB19" s="114">
        <v>2206.63</v>
      </c>
      <c r="BC19" s="113">
        <v>3701.8</v>
      </c>
      <c r="BD19" s="115">
        <v>0.82291666666666663</v>
      </c>
      <c r="BE19" s="116">
        <v>0</v>
      </c>
      <c r="BF19" s="115">
        <v>0</v>
      </c>
      <c r="BG19" s="116">
        <v>136.46</v>
      </c>
      <c r="BH19" s="115">
        <v>0.32291666666666669</v>
      </c>
      <c r="BI19" s="57">
        <f t="shared" si="54"/>
        <v>45729</v>
      </c>
      <c r="BJ19" s="79">
        <f t="shared" ref="BJ19" si="83">+BM19/BL19</f>
        <v>0.61030758317419187</v>
      </c>
      <c r="BK19" s="77">
        <f t="shared" ref="BK19" si="84">+BN19/BL19</f>
        <v>0.38969241682580819</v>
      </c>
      <c r="BL19" s="80">
        <f t="shared" ref="BL19" si="85">BM19+BN19</f>
        <v>33424.129999999997</v>
      </c>
      <c r="BM19" s="178">
        <v>20399</v>
      </c>
      <c r="BN19" s="178">
        <v>13025.13</v>
      </c>
      <c r="BO19" s="179">
        <v>4197.83</v>
      </c>
      <c r="BP19" s="180">
        <v>0.78402777777777777</v>
      </c>
      <c r="BQ19" s="181">
        <v>2839.2</v>
      </c>
      <c r="BR19" s="180">
        <v>0.78402777777777777</v>
      </c>
    </row>
    <row r="20" spans="1:70" ht="15.75" thickBot="1" x14ac:dyDescent="0.3">
      <c r="B20" s="57">
        <f t="shared" si="49"/>
        <v>45730</v>
      </c>
      <c r="C20" s="187"/>
      <c r="D20" s="88">
        <f t="shared" si="55"/>
        <v>50838</v>
      </c>
      <c r="E20" s="182">
        <f t="shared" si="56"/>
        <v>0.87914552106691846</v>
      </c>
      <c r="F20" s="88">
        <f t="shared" si="57"/>
        <v>44694</v>
      </c>
      <c r="G20" s="182">
        <f t="shared" si="58"/>
        <v>0.12085447893308156</v>
      </c>
      <c r="H20" s="169">
        <f t="shared" si="59"/>
        <v>6144</v>
      </c>
      <c r="I20" s="183">
        <f t="shared" si="60"/>
        <v>0.1147063553038289</v>
      </c>
      <c r="J20" s="182">
        <f t="shared" si="61"/>
        <v>0.16253640408083045</v>
      </c>
      <c r="K20" s="182">
        <f t="shared" si="62"/>
        <v>0.16603773584905659</v>
      </c>
      <c r="L20" s="184">
        <f t="shared" si="63"/>
        <v>0.58282263395808398</v>
      </c>
      <c r="M20" s="169">
        <f t="shared" si="64"/>
        <v>5650.4350622666116</v>
      </c>
      <c r="N20" s="169">
        <f t="shared" si="65"/>
        <v>8006.5432650217081</v>
      </c>
      <c r="O20" s="169">
        <f t="shared" si="66"/>
        <v>8179.0188679245275</v>
      </c>
      <c r="P20" s="169">
        <f t="shared" si="67"/>
        <v>28709.842948775218</v>
      </c>
      <c r="Q20" s="57">
        <f t="shared" si="50"/>
        <v>45730</v>
      </c>
      <c r="R20" s="162">
        <v>50838</v>
      </c>
      <c r="S20" s="163">
        <v>0</v>
      </c>
      <c r="T20" s="163">
        <v>49260</v>
      </c>
      <c r="U20" s="163">
        <v>0</v>
      </c>
      <c r="V20" s="164">
        <v>14572</v>
      </c>
      <c r="W20" s="165">
        <v>0.79166666666666663</v>
      </c>
      <c r="X20" s="164">
        <v>4225</v>
      </c>
      <c r="Y20" s="165">
        <v>0.78125</v>
      </c>
      <c r="Z20" s="164">
        <v>0</v>
      </c>
      <c r="AA20" s="165">
        <v>0</v>
      </c>
      <c r="AB20" s="57">
        <f t="shared" si="51"/>
        <v>45730</v>
      </c>
      <c r="AC20" s="77">
        <f t="shared" si="68"/>
        <v>1</v>
      </c>
      <c r="AD20" s="185">
        <f t="shared" si="69"/>
        <v>0</v>
      </c>
      <c r="AE20" s="186">
        <v>6420</v>
      </c>
      <c r="AF20" s="119">
        <f t="shared" si="15"/>
        <v>6420</v>
      </c>
      <c r="AG20" s="170">
        <v>0</v>
      </c>
      <c r="AH20" s="171">
        <v>4129</v>
      </c>
      <c r="AI20" s="172">
        <v>0.79166666666666663</v>
      </c>
      <c r="AJ20" s="171">
        <v>0</v>
      </c>
      <c r="AK20" s="188">
        <v>0</v>
      </c>
      <c r="AL20" s="57">
        <f t="shared" si="52"/>
        <v>45730</v>
      </c>
      <c r="AM20" s="78">
        <f t="shared" si="70"/>
        <v>0.57403539628448941</v>
      </c>
      <c r="AN20" s="77">
        <f t="shared" si="71"/>
        <v>0.42596460371551059</v>
      </c>
      <c r="AO20" s="173">
        <v>9097</v>
      </c>
      <c r="AP20" s="118">
        <f t="shared" si="18"/>
        <v>5222</v>
      </c>
      <c r="AQ20" s="174">
        <v>3875</v>
      </c>
      <c r="AR20" s="175">
        <v>3710</v>
      </c>
      <c r="AS20" s="176">
        <v>0.74236111111111114</v>
      </c>
      <c r="AT20" s="175">
        <v>184</v>
      </c>
      <c r="AU20" s="177">
        <v>0.63541666666666663</v>
      </c>
      <c r="AV20" s="57">
        <f t="shared" si="53"/>
        <v>45730</v>
      </c>
      <c r="AW20" s="111">
        <f t="shared" si="72"/>
        <v>0.71029111338100104</v>
      </c>
      <c r="AX20" s="111">
        <f t="shared" si="73"/>
        <v>0.28970888661899896</v>
      </c>
      <c r="AY20" s="112">
        <f t="shared" si="21"/>
        <v>7832</v>
      </c>
      <c r="AZ20" s="113">
        <v>7832</v>
      </c>
      <c r="BA20" s="121">
        <f t="shared" si="82"/>
        <v>5563</v>
      </c>
      <c r="BB20" s="114">
        <v>2269</v>
      </c>
      <c r="BC20" s="113">
        <v>3597</v>
      </c>
      <c r="BD20" s="115">
        <v>0.70833333333333337</v>
      </c>
      <c r="BE20" s="116">
        <v>0</v>
      </c>
      <c r="BF20" s="115">
        <v>0</v>
      </c>
      <c r="BG20" s="116">
        <v>133</v>
      </c>
      <c r="BH20" s="115">
        <v>0.88541666666666663</v>
      </c>
      <c r="BI20" s="57">
        <f t="shared" si="54"/>
        <v>45730</v>
      </c>
      <c r="BJ20" s="79">
        <f t="shared" si="74"/>
        <v>0.60895156345800128</v>
      </c>
      <c r="BK20" s="77">
        <f t="shared" si="75"/>
        <v>0.39104843654199878</v>
      </c>
      <c r="BL20" s="80">
        <f t="shared" si="76"/>
        <v>32620</v>
      </c>
      <c r="BM20" s="178">
        <v>19864</v>
      </c>
      <c r="BN20" s="178">
        <v>12756</v>
      </c>
      <c r="BO20" s="179">
        <v>4231</v>
      </c>
      <c r="BP20" s="180">
        <v>0.38472222222222224</v>
      </c>
      <c r="BQ20" s="181">
        <v>2818</v>
      </c>
      <c r="BR20" s="180">
        <v>0.38472222222222224</v>
      </c>
    </row>
    <row r="21" spans="1:70" ht="15.75" thickBot="1" x14ac:dyDescent="0.3">
      <c r="A21" s="14"/>
      <c r="B21" s="57">
        <f t="shared" si="49"/>
        <v>45731</v>
      </c>
      <c r="C21" s="187"/>
      <c r="D21" s="88">
        <f t="shared" si="55"/>
        <v>31910</v>
      </c>
      <c r="E21" s="182">
        <f t="shared" si="56"/>
        <v>0.81394547163898467</v>
      </c>
      <c r="F21" s="88">
        <f t="shared" si="57"/>
        <v>25973</v>
      </c>
      <c r="G21" s="182">
        <f t="shared" si="58"/>
        <v>0.18605452836101535</v>
      </c>
      <c r="H21" s="169">
        <f t="shared" si="59"/>
        <v>5937</v>
      </c>
      <c r="I21" s="183">
        <f t="shared" si="60"/>
        <v>8.0204386267080027E-2</v>
      </c>
      <c r="J21" s="182">
        <f t="shared" si="61"/>
        <v>0.16600643012975083</v>
      </c>
      <c r="K21" s="182">
        <f t="shared" si="62"/>
        <v>0.16109399933202212</v>
      </c>
      <c r="L21" s="184">
        <f t="shared" si="63"/>
        <v>0.62917671374440232</v>
      </c>
      <c r="M21" s="169">
        <f t="shared" si="64"/>
        <v>2416.7185669996552</v>
      </c>
      <c r="N21" s="169">
        <f t="shared" si="65"/>
        <v>5002.1057526696522</v>
      </c>
      <c r="O21" s="169">
        <f t="shared" si="66"/>
        <v>4854.0843878724909</v>
      </c>
      <c r="P21" s="169">
        <f t="shared" si="67"/>
        <v>18958.352738546331</v>
      </c>
      <c r="Q21" s="57">
        <f t="shared" si="50"/>
        <v>45731</v>
      </c>
      <c r="R21" s="162">
        <v>31910</v>
      </c>
      <c r="S21" s="163">
        <v>0</v>
      </c>
      <c r="T21" s="163">
        <v>30132</v>
      </c>
      <c r="U21" s="163">
        <v>0</v>
      </c>
      <c r="V21" s="164">
        <v>6145</v>
      </c>
      <c r="W21" s="165">
        <v>0.51041666666666663</v>
      </c>
      <c r="X21" s="164">
        <v>2107</v>
      </c>
      <c r="Y21" s="165">
        <v>0.82291666666666663</v>
      </c>
      <c r="Z21" s="164">
        <v>0</v>
      </c>
      <c r="AA21" s="165">
        <v>0</v>
      </c>
      <c r="AB21" s="57">
        <f t="shared" si="51"/>
        <v>45731</v>
      </c>
      <c r="AC21" s="77">
        <f t="shared" si="68"/>
        <v>1</v>
      </c>
      <c r="AD21" s="185">
        <f t="shared" si="69"/>
        <v>0</v>
      </c>
      <c r="AE21" s="186">
        <v>2794</v>
      </c>
      <c r="AF21" s="119">
        <f t="shared" si="15"/>
        <v>2794</v>
      </c>
      <c r="AG21" s="170">
        <v>0</v>
      </c>
      <c r="AH21" s="171">
        <v>1701</v>
      </c>
      <c r="AI21" s="172">
        <v>0.51944444444444449</v>
      </c>
      <c r="AJ21" s="171">
        <v>0</v>
      </c>
      <c r="AK21" s="188">
        <v>0</v>
      </c>
      <c r="AL21" s="57">
        <f t="shared" si="52"/>
        <v>45731</v>
      </c>
      <c r="AM21" s="78">
        <f t="shared" si="70"/>
        <v>0.35950198858723847</v>
      </c>
      <c r="AN21" s="77">
        <f t="shared" si="71"/>
        <v>0.64049801141276153</v>
      </c>
      <c r="AO21" s="173">
        <v>5783</v>
      </c>
      <c r="AP21" s="118">
        <f t="shared" si="18"/>
        <v>2079</v>
      </c>
      <c r="AQ21" s="174">
        <v>3704</v>
      </c>
      <c r="AR21" s="175">
        <v>1654</v>
      </c>
      <c r="AS21" s="176">
        <v>0.34861111111111109</v>
      </c>
      <c r="AT21" s="175">
        <v>176</v>
      </c>
      <c r="AU21" s="177">
        <v>0.92708333333333337</v>
      </c>
      <c r="AV21" s="57">
        <f t="shared" si="53"/>
        <v>45731</v>
      </c>
      <c r="AW21" s="111">
        <f t="shared" si="72"/>
        <v>0.48560239576134528</v>
      </c>
      <c r="AX21" s="111">
        <f t="shared" si="73"/>
        <v>0.51439760423865466</v>
      </c>
      <c r="AY21" s="112">
        <f t="shared" si="21"/>
        <v>4341</v>
      </c>
      <c r="AZ21" s="113">
        <v>4341</v>
      </c>
      <c r="BA21" s="121">
        <f t="shared" si="77"/>
        <v>2108</v>
      </c>
      <c r="BB21" s="114">
        <v>2233</v>
      </c>
      <c r="BC21" s="113">
        <v>1579</v>
      </c>
      <c r="BD21" s="115">
        <v>0.36458333333333331</v>
      </c>
      <c r="BE21" s="116">
        <v>0</v>
      </c>
      <c r="BF21" s="115">
        <v>0</v>
      </c>
      <c r="BG21" s="116">
        <v>135</v>
      </c>
      <c r="BH21" s="115">
        <v>0.125</v>
      </c>
      <c r="BI21" s="57">
        <f t="shared" si="54"/>
        <v>45731</v>
      </c>
      <c r="BJ21" s="79">
        <f t="shared" si="74"/>
        <v>0.61100465370928003</v>
      </c>
      <c r="BK21" s="77">
        <f t="shared" si="75"/>
        <v>0.38899534629071997</v>
      </c>
      <c r="BL21" s="80">
        <f t="shared" si="76"/>
        <v>21918</v>
      </c>
      <c r="BM21" s="178">
        <v>13392</v>
      </c>
      <c r="BN21" s="178">
        <v>8526</v>
      </c>
      <c r="BO21" s="179">
        <v>2988</v>
      </c>
      <c r="BP21" s="180">
        <v>0.47013888888888888</v>
      </c>
      <c r="BQ21" s="181">
        <v>1965</v>
      </c>
      <c r="BR21" s="180">
        <v>0.47013888888888888</v>
      </c>
    </row>
    <row r="22" spans="1:70" ht="15.75" thickBot="1" x14ac:dyDescent="0.3">
      <c r="A22" s="14"/>
      <c r="B22" s="57">
        <f t="shared" si="49"/>
        <v>45732</v>
      </c>
      <c r="C22" s="187"/>
      <c r="D22" s="88">
        <f t="shared" si="55"/>
        <v>27938</v>
      </c>
      <c r="E22" s="182">
        <f t="shared" si="56"/>
        <v>0.77360584150619227</v>
      </c>
      <c r="F22" s="88">
        <f t="shared" si="57"/>
        <v>21613</v>
      </c>
      <c r="G22" s="182">
        <f t="shared" si="58"/>
        <v>0.22639415849380773</v>
      </c>
      <c r="H22" s="169">
        <f t="shared" si="59"/>
        <v>6325</v>
      </c>
      <c r="I22" s="183">
        <f t="shared" si="60"/>
        <v>6.7662186825949891E-2</v>
      </c>
      <c r="J22" s="182">
        <f t="shared" si="61"/>
        <v>0.17507881201260991</v>
      </c>
      <c r="K22" s="182">
        <f t="shared" si="62"/>
        <v>0.17276150084390013</v>
      </c>
      <c r="L22" s="184">
        <f t="shared" si="63"/>
        <v>0.62478845196615229</v>
      </c>
      <c r="M22" s="169">
        <f t="shared" si="64"/>
        <v>1789.3941927990709</v>
      </c>
      <c r="N22" s="169">
        <f t="shared" si="65"/>
        <v>4630.1342624854815</v>
      </c>
      <c r="O22" s="169">
        <f t="shared" si="66"/>
        <v>4568.8506513177826</v>
      </c>
      <c r="P22" s="169">
        <f t="shared" si="67"/>
        <v>16523.155400696862</v>
      </c>
      <c r="Q22" s="57">
        <f t="shared" si="50"/>
        <v>45732</v>
      </c>
      <c r="R22" s="162">
        <v>27938</v>
      </c>
      <c r="S22" s="163">
        <v>0</v>
      </c>
      <c r="T22" s="163">
        <v>26446</v>
      </c>
      <c r="U22" s="163">
        <v>0</v>
      </c>
      <c r="V22" s="164">
        <v>6246</v>
      </c>
      <c r="W22" s="165">
        <v>0.55208333333333337</v>
      </c>
      <c r="X22" s="164">
        <v>1819</v>
      </c>
      <c r="Y22" s="165">
        <v>0.67708333333333337</v>
      </c>
      <c r="Z22" s="164">
        <v>0</v>
      </c>
      <c r="AA22" s="165">
        <v>0</v>
      </c>
      <c r="AB22" s="57">
        <f t="shared" si="51"/>
        <v>45732</v>
      </c>
      <c r="AC22" s="77">
        <f t="shared" si="68"/>
        <v>1</v>
      </c>
      <c r="AD22" s="185">
        <f t="shared" si="69"/>
        <v>0</v>
      </c>
      <c r="AE22" s="186">
        <v>2039</v>
      </c>
      <c r="AF22" s="119">
        <f t="shared" si="15"/>
        <v>2039</v>
      </c>
      <c r="AG22" s="170">
        <v>0</v>
      </c>
      <c r="AH22" s="171">
        <v>2026</v>
      </c>
      <c r="AI22" s="172">
        <v>0.92222222222222228</v>
      </c>
      <c r="AJ22" s="171">
        <v>0</v>
      </c>
      <c r="AK22" s="188">
        <v>0</v>
      </c>
      <c r="AL22" s="57">
        <f t="shared" si="52"/>
        <v>45732</v>
      </c>
      <c r="AM22" s="78">
        <f t="shared" si="70"/>
        <v>0.30382865807429871</v>
      </c>
      <c r="AN22" s="77">
        <f t="shared" si="71"/>
        <v>0.69617134192570129</v>
      </c>
      <c r="AO22" s="173">
        <v>5276</v>
      </c>
      <c r="AP22" s="118">
        <f t="shared" si="18"/>
        <v>1603</v>
      </c>
      <c r="AQ22" s="174">
        <v>3673</v>
      </c>
      <c r="AR22" s="175">
        <v>1569</v>
      </c>
      <c r="AS22" s="176">
        <v>0.93125000000000002</v>
      </c>
      <c r="AT22" s="175">
        <v>181</v>
      </c>
      <c r="AU22" s="177">
        <v>0.92708333333333337</v>
      </c>
      <c r="AV22" s="57">
        <f t="shared" si="53"/>
        <v>45732</v>
      </c>
      <c r="AW22" s="111">
        <f t="shared" si="72"/>
        <v>0.33567134268537074</v>
      </c>
      <c r="AX22" s="111">
        <f t="shared" si="73"/>
        <v>0.66432865731462931</v>
      </c>
      <c r="AY22" s="112">
        <f t="shared" si="21"/>
        <v>3992</v>
      </c>
      <c r="AZ22" s="113">
        <v>3992</v>
      </c>
      <c r="BA22" s="121">
        <f t="shared" si="77"/>
        <v>1340</v>
      </c>
      <c r="BB22" s="114">
        <f>1061+1591</f>
        <v>2652</v>
      </c>
      <c r="BC22" s="113">
        <v>1372</v>
      </c>
      <c r="BD22" s="115">
        <v>0.51041666666666663</v>
      </c>
      <c r="BE22" s="116">
        <v>0</v>
      </c>
      <c r="BF22" s="115">
        <v>0</v>
      </c>
      <c r="BG22" s="116">
        <v>131</v>
      </c>
      <c r="BH22" s="115">
        <v>0.94791666666666663</v>
      </c>
      <c r="BI22" s="57">
        <f t="shared" si="54"/>
        <v>45732</v>
      </c>
      <c r="BJ22" s="79">
        <f t="shared" si="74"/>
        <v>0.60978330146590187</v>
      </c>
      <c r="BK22" s="77">
        <f t="shared" si="75"/>
        <v>0.39021669853409813</v>
      </c>
      <c r="BL22" s="80">
        <f t="shared" si="76"/>
        <v>18828</v>
      </c>
      <c r="BM22" s="178">
        <v>11481</v>
      </c>
      <c r="BN22" s="178">
        <v>7347</v>
      </c>
      <c r="BO22" s="179">
        <v>2329</v>
      </c>
      <c r="BP22" s="180">
        <v>0.50486111111111109</v>
      </c>
      <c r="BQ22" s="181">
        <v>1533</v>
      </c>
      <c r="BR22" s="180">
        <v>0.41666666666666669</v>
      </c>
    </row>
    <row r="23" spans="1:70" ht="15.75" thickBot="1" x14ac:dyDescent="0.3">
      <c r="A23" s="14"/>
      <c r="B23" s="57">
        <f t="shared" si="49"/>
        <v>45733</v>
      </c>
      <c r="C23" s="187"/>
      <c r="D23" s="88">
        <f t="shared" si="55"/>
        <v>53492</v>
      </c>
      <c r="E23" s="182">
        <f t="shared" si="56"/>
        <v>0.87676661930756006</v>
      </c>
      <c r="F23" s="88">
        <f t="shared" si="57"/>
        <v>46900</v>
      </c>
      <c r="G23" s="182">
        <f t="shared" si="58"/>
        <v>0.12323338069244</v>
      </c>
      <c r="H23" s="169">
        <f t="shared" si="59"/>
        <v>6592</v>
      </c>
      <c r="I23" s="183">
        <f t="shared" si="60"/>
        <v>0.11824135655175916</v>
      </c>
      <c r="J23" s="182">
        <f t="shared" si="61"/>
        <v>0.16241051936843173</v>
      </c>
      <c r="K23" s="182">
        <f t="shared" si="62"/>
        <v>0.16870071720093513</v>
      </c>
      <c r="L23" s="184">
        <f t="shared" si="63"/>
        <v>0.57524834577177575</v>
      </c>
      <c r="M23" s="169">
        <f t="shared" si="64"/>
        <v>6126.5576483728491</v>
      </c>
      <c r="N23" s="169">
        <f t="shared" si="65"/>
        <v>8415.1386505559221</v>
      </c>
      <c r="O23" s="169">
        <f t="shared" si="66"/>
        <v>8741.0589610492534</v>
      </c>
      <c r="P23" s="169">
        <f t="shared" si="67"/>
        <v>29805.917787818787</v>
      </c>
      <c r="Q23" s="57">
        <f t="shared" si="50"/>
        <v>45733</v>
      </c>
      <c r="R23" s="162">
        <v>53492</v>
      </c>
      <c r="S23" s="163">
        <v>0</v>
      </c>
      <c r="T23" s="163">
        <v>51814</v>
      </c>
      <c r="U23" s="163">
        <v>0</v>
      </c>
      <c r="V23" s="164">
        <v>14019</v>
      </c>
      <c r="W23" s="165">
        <v>0.78125</v>
      </c>
      <c r="X23" s="164">
        <v>4569</v>
      </c>
      <c r="Y23" s="165">
        <v>0.79166666666666663</v>
      </c>
      <c r="Z23" s="164">
        <v>0</v>
      </c>
      <c r="AA23" s="165">
        <v>0</v>
      </c>
      <c r="AB23" s="57">
        <f t="shared" si="51"/>
        <v>45733</v>
      </c>
      <c r="AC23" s="77">
        <f t="shared" si="68"/>
        <v>1</v>
      </c>
      <c r="AD23" s="185">
        <f t="shared" si="69"/>
        <v>0</v>
      </c>
      <c r="AE23" s="186">
        <v>6987</v>
      </c>
      <c r="AF23" s="119">
        <f t="shared" si="15"/>
        <v>6987</v>
      </c>
      <c r="AG23" s="170">
        <v>0</v>
      </c>
      <c r="AH23" s="171">
        <v>3889</v>
      </c>
      <c r="AI23" s="172">
        <v>0.74583333333333335</v>
      </c>
      <c r="AJ23" s="171">
        <v>0</v>
      </c>
      <c r="AK23" s="188">
        <v>0</v>
      </c>
      <c r="AL23" s="57">
        <f t="shared" si="52"/>
        <v>45733</v>
      </c>
      <c r="AM23" s="78">
        <f t="shared" si="70"/>
        <v>0.59706158174429513</v>
      </c>
      <c r="AN23" s="77">
        <f t="shared" si="71"/>
        <v>0.40293841825570492</v>
      </c>
      <c r="AO23" s="173">
        <v>9597</v>
      </c>
      <c r="AP23" s="118">
        <f t="shared" si="18"/>
        <v>5730</v>
      </c>
      <c r="AQ23" s="174">
        <v>3867</v>
      </c>
      <c r="AR23" s="175">
        <v>4229</v>
      </c>
      <c r="AS23" s="176">
        <v>0.74305555555555558</v>
      </c>
      <c r="AT23" s="175">
        <v>186</v>
      </c>
      <c r="AU23" s="177">
        <v>0.29166666666666669</v>
      </c>
      <c r="AV23" s="57">
        <f t="shared" si="53"/>
        <v>45733</v>
      </c>
      <c r="AW23" s="111">
        <f t="shared" si="72"/>
        <v>0.67997651203758069</v>
      </c>
      <c r="AX23" s="111">
        <f t="shared" si="73"/>
        <v>0.32002348796241925</v>
      </c>
      <c r="AY23" s="112">
        <f t="shared" si="21"/>
        <v>8515</v>
      </c>
      <c r="AZ23" s="113">
        <v>8515</v>
      </c>
      <c r="BA23" s="121">
        <f t="shared" si="77"/>
        <v>5790</v>
      </c>
      <c r="BB23" s="114">
        <f>1080+1645</f>
        <v>2725</v>
      </c>
      <c r="BC23" s="113">
        <v>4449</v>
      </c>
      <c r="BD23" s="115">
        <v>0.73958333333333337</v>
      </c>
      <c r="BE23" s="116">
        <v>0</v>
      </c>
      <c r="BF23" s="115">
        <v>0</v>
      </c>
      <c r="BG23" s="116">
        <v>134</v>
      </c>
      <c r="BH23" s="115">
        <v>0.29166666666666669</v>
      </c>
      <c r="BI23" s="57">
        <f t="shared" si="54"/>
        <v>45733</v>
      </c>
      <c r="BJ23" s="79">
        <f t="shared" si="74"/>
        <v>0.60976112026359142</v>
      </c>
      <c r="BK23" s="77">
        <f t="shared" si="75"/>
        <v>0.39023887973640858</v>
      </c>
      <c r="BL23" s="80">
        <f t="shared" si="76"/>
        <v>33992</v>
      </c>
      <c r="BM23" s="178">
        <v>20727</v>
      </c>
      <c r="BN23" s="178">
        <v>13265</v>
      </c>
      <c r="BO23" s="179">
        <v>3986</v>
      </c>
      <c r="BP23" s="180">
        <v>0.74930555555555556</v>
      </c>
      <c r="BQ23" s="181">
        <v>2624</v>
      </c>
      <c r="BR23" s="180">
        <v>0.74930555555555556</v>
      </c>
    </row>
    <row r="24" spans="1:70" ht="15.75" thickBot="1" x14ac:dyDescent="0.3">
      <c r="A24" s="14"/>
      <c r="B24" s="57">
        <f t="shared" si="49"/>
        <v>45734</v>
      </c>
      <c r="C24" s="187"/>
      <c r="D24" s="88">
        <f t="shared" si="55"/>
        <v>53284</v>
      </c>
      <c r="E24" s="182">
        <f t="shared" si="56"/>
        <v>0.87759927933338333</v>
      </c>
      <c r="F24" s="88">
        <f t="shared" si="57"/>
        <v>46762</v>
      </c>
      <c r="G24" s="182">
        <f t="shared" si="58"/>
        <v>0.12240072066661661</v>
      </c>
      <c r="H24" s="169">
        <f t="shared" si="59"/>
        <v>6522</v>
      </c>
      <c r="I24" s="183">
        <f t="shared" si="60"/>
        <v>0.11769513690232938</v>
      </c>
      <c r="J24" s="182">
        <f t="shared" si="61"/>
        <v>0.16113267947146165</v>
      </c>
      <c r="K24" s="182">
        <f t="shared" si="62"/>
        <v>0.16684352788066872</v>
      </c>
      <c r="L24" s="184">
        <f t="shared" si="63"/>
        <v>0.57928075194115247</v>
      </c>
      <c r="M24" s="169">
        <f t="shared" si="64"/>
        <v>6098.6089088680019</v>
      </c>
      <c r="N24" s="169">
        <f t="shared" si="65"/>
        <v>8349.4120521727291</v>
      </c>
      <c r="O24" s="169">
        <f t="shared" si="66"/>
        <v>8645.3310841926104</v>
      </c>
      <c r="P24" s="169">
        <f t="shared" si="67"/>
        <v>30016.590723334699</v>
      </c>
      <c r="Q24" s="57">
        <f t="shared" si="50"/>
        <v>45734</v>
      </c>
      <c r="R24" s="162">
        <v>53284</v>
      </c>
      <c r="S24" s="163">
        <v>0</v>
      </c>
      <c r="T24" s="163">
        <v>51817</v>
      </c>
      <c r="U24" s="163">
        <v>0</v>
      </c>
      <c r="V24" s="164">
        <v>16281</v>
      </c>
      <c r="W24" s="165">
        <v>0.38541666666666669</v>
      </c>
      <c r="X24" s="164">
        <v>4427</v>
      </c>
      <c r="Y24" s="165">
        <v>0.80208333333333337</v>
      </c>
      <c r="Z24" s="164">
        <v>0</v>
      </c>
      <c r="AA24" s="165">
        <v>0</v>
      </c>
      <c r="AB24" s="57">
        <f t="shared" si="51"/>
        <v>45734</v>
      </c>
      <c r="AC24" s="77">
        <f t="shared" si="68"/>
        <v>1</v>
      </c>
      <c r="AD24" s="185">
        <f t="shared" si="69"/>
        <v>0</v>
      </c>
      <c r="AE24" s="186">
        <v>6912</v>
      </c>
      <c r="AF24" s="119">
        <f t="shared" si="15"/>
        <v>6912</v>
      </c>
      <c r="AG24" s="170">
        <v>0</v>
      </c>
      <c r="AH24" s="171">
        <v>5147</v>
      </c>
      <c r="AI24" s="172">
        <v>0.33819444444444446</v>
      </c>
      <c r="AJ24" s="171">
        <v>0</v>
      </c>
      <c r="AK24" s="188">
        <v>0</v>
      </c>
      <c r="AL24" s="57">
        <f t="shared" si="52"/>
        <v>45734</v>
      </c>
      <c r="AM24" s="78">
        <f t="shared" si="70"/>
        <v>0.59399767515587021</v>
      </c>
      <c r="AN24" s="77">
        <f t="shared" si="71"/>
        <v>0.40600232484412979</v>
      </c>
      <c r="AO24" s="173">
        <v>9463</v>
      </c>
      <c r="AP24" s="118">
        <f t="shared" si="18"/>
        <v>5621</v>
      </c>
      <c r="AQ24" s="174">
        <v>3842</v>
      </c>
      <c r="AR24" s="175">
        <v>5383</v>
      </c>
      <c r="AS24" s="176">
        <v>0.3347222222222222</v>
      </c>
      <c r="AT24" s="175">
        <v>181</v>
      </c>
      <c r="AU24" s="177">
        <v>0.28125</v>
      </c>
      <c r="AV24" s="57">
        <f t="shared" si="53"/>
        <v>45734</v>
      </c>
      <c r="AW24" s="111">
        <f t="shared" si="72"/>
        <v>0.6783871354854194</v>
      </c>
      <c r="AX24" s="111">
        <f t="shared" si="73"/>
        <v>0.3216128645145806</v>
      </c>
      <c r="AY24" s="112">
        <f t="shared" si="21"/>
        <v>8333</v>
      </c>
      <c r="AZ24" s="113">
        <v>8333</v>
      </c>
      <c r="BA24" s="121">
        <f t="shared" si="77"/>
        <v>5653</v>
      </c>
      <c r="BB24" s="114">
        <f>1078+1602</f>
        <v>2680</v>
      </c>
      <c r="BC24" s="113">
        <v>3649</v>
      </c>
      <c r="BD24" s="115">
        <v>0.32291666666666669</v>
      </c>
      <c r="BE24" s="116">
        <v>0</v>
      </c>
      <c r="BF24" s="115">
        <v>0</v>
      </c>
      <c r="BG24" s="116">
        <v>137</v>
      </c>
      <c r="BH24" s="115">
        <v>0.3125</v>
      </c>
      <c r="BI24" s="57">
        <f t="shared" si="54"/>
        <v>45734</v>
      </c>
      <c r="BJ24" s="79">
        <f t="shared" si="74"/>
        <v>0.60981775426219875</v>
      </c>
      <c r="BK24" s="77">
        <f t="shared" si="75"/>
        <v>0.3901822457378013</v>
      </c>
      <c r="BL24" s="80">
        <f t="shared" si="76"/>
        <v>34020</v>
      </c>
      <c r="BM24" s="178">
        <v>20746</v>
      </c>
      <c r="BN24" s="178">
        <v>13274</v>
      </c>
      <c r="BO24" s="179">
        <v>4036</v>
      </c>
      <c r="BP24" s="180">
        <v>0.80138888888888893</v>
      </c>
      <c r="BQ24" s="181">
        <v>2695</v>
      </c>
      <c r="BR24" s="180">
        <v>0.80138888888888893</v>
      </c>
    </row>
    <row r="25" spans="1:70" ht="15.75" thickBot="1" x14ac:dyDescent="0.3">
      <c r="A25" s="14"/>
      <c r="B25" s="57">
        <f t="shared" si="49"/>
        <v>45735</v>
      </c>
      <c r="C25" s="187"/>
      <c r="D25" s="88">
        <f t="shared" ref="D25:D37" si="86">R25</f>
        <v>51062</v>
      </c>
      <c r="E25" s="182">
        <f t="shared" ref="E25:E37" si="87">F25/D25</f>
        <v>0.87932317574713093</v>
      </c>
      <c r="F25" s="88">
        <f t="shared" ref="F25:F37" si="88">D25-H25</f>
        <v>44900</v>
      </c>
      <c r="G25" s="182">
        <f t="shared" ref="G25:G37" si="89">H25/D25</f>
        <v>0.12067682425286906</v>
      </c>
      <c r="H25" s="169">
        <f t="shared" ref="H25:H37" si="90">U25+AG25+AQ25+BB25</f>
        <v>6162</v>
      </c>
      <c r="I25" s="183">
        <f t="shared" ref="I25:I37" si="91">AE25/(AE25+AO25+BL25+AY25)</f>
        <v>0.11884104541559555</v>
      </c>
      <c r="J25" s="182">
        <f t="shared" ref="J25:J37" si="92">AO25/(AE25+AO25+BL25+AY25)</f>
        <v>0.16445301342473578</v>
      </c>
      <c r="K25" s="182">
        <f t="shared" ref="K25:K37" si="93">AY25/(AF25+AP25+BM25+AZ25+AY25)</f>
        <v>0.1612118625986772</v>
      </c>
      <c r="L25" s="184">
        <f t="shared" ref="L25:L37" si="94">BL25/(AE25+AO25+BL25+AY25)</f>
        <v>0.58181590974007424</v>
      </c>
      <c r="M25" s="169">
        <f t="shared" ref="M25:M37" si="95">(S25+T25)*I25</f>
        <v>5872.6491002570701</v>
      </c>
      <c r="N25" s="169">
        <f t="shared" ref="N25:N37" si="96">(S25+T25)*J25</f>
        <v>8126.6101113967434</v>
      </c>
      <c r="O25" s="169">
        <f t="shared" ref="O25:O37" si="97">(S25+T25)*K25</f>
        <v>7966.4454021762331</v>
      </c>
      <c r="P25" s="169">
        <f t="shared" ref="P25:P37" si="98">(S25+T25)*L25</f>
        <v>28751.014995715508</v>
      </c>
      <c r="Q25" s="57">
        <f t="shared" si="50"/>
        <v>45735</v>
      </c>
      <c r="R25" s="162">
        <v>51062</v>
      </c>
      <c r="S25" s="163">
        <v>0</v>
      </c>
      <c r="T25" s="163">
        <v>49416</v>
      </c>
      <c r="U25" s="163">
        <v>0</v>
      </c>
      <c r="V25" s="164">
        <v>13261</v>
      </c>
      <c r="W25" s="165">
        <v>0.85416666666666663</v>
      </c>
      <c r="X25" s="164">
        <v>4235</v>
      </c>
      <c r="Y25" s="165">
        <v>0.80208333333333337</v>
      </c>
      <c r="Z25" s="164">
        <v>0</v>
      </c>
      <c r="AA25" s="165">
        <v>0</v>
      </c>
      <c r="AB25" s="57">
        <f t="shared" si="51"/>
        <v>45735</v>
      </c>
      <c r="AC25" s="77">
        <f t="shared" ref="AC25:AC37" si="99">+AF25/AE25</f>
        <v>1</v>
      </c>
      <c r="AD25" s="185">
        <f t="shared" ref="AD25:AD37" si="100">+AG25/AE25</f>
        <v>0</v>
      </c>
      <c r="AE25" s="186">
        <v>6657</v>
      </c>
      <c r="AF25" s="119">
        <f t="shared" si="15"/>
        <v>6657</v>
      </c>
      <c r="AG25" s="170">
        <v>0</v>
      </c>
      <c r="AH25" s="171">
        <v>3861</v>
      </c>
      <c r="AI25" s="172">
        <v>0.74583333333333335</v>
      </c>
      <c r="AJ25" s="171">
        <v>0</v>
      </c>
      <c r="AK25" s="188">
        <v>0</v>
      </c>
      <c r="AL25" s="57">
        <f t="shared" si="52"/>
        <v>45735</v>
      </c>
      <c r="AM25" s="78">
        <f t="shared" ref="AM25:AM37" si="101">+AP25/AO25</f>
        <v>0.58423795049934868</v>
      </c>
      <c r="AN25" s="77">
        <f t="shared" ref="AN25:AN37" si="102">+AQ25/AO25</f>
        <v>0.41576204950065132</v>
      </c>
      <c r="AO25" s="173">
        <v>9212</v>
      </c>
      <c r="AP25" s="118">
        <f t="shared" si="18"/>
        <v>5382</v>
      </c>
      <c r="AQ25" s="174">
        <v>3830</v>
      </c>
      <c r="AR25" s="175">
        <v>3373</v>
      </c>
      <c r="AS25" s="176">
        <v>0.34305555555555556</v>
      </c>
      <c r="AT25" s="175">
        <v>185</v>
      </c>
      <c r="AU25" s="177">
        <v>0.26041666666666669</v>
      </c>
      <c r="AV25" s="57">
        <f t="shared" si="53"/>
        <v>45735</v>
      </c>
      <c r="AW25" s="111">
        <f t="shared" ref="AW25:AW37" si="103">BA25/AZ25</f>
        <v>0.69137109581789302</v>
      </c>
      <c r="AX25" s="111">
        <f t="shared" ref="AX25:AX37" si="104">BB25/AZ25</f>
        <v>0.30862890418210692</v>
      </c>
      <c r="AY25" s="112">
        <f t="shared" si="21"/>
        <v>7556</v>
      </c>
      <c r="AZ25" s="113">
        <v>7556</v>
      </c>
      <c r="BA25" s="121">
        <f t="shared" ref="BA25:BA37" si="105">AZ25-BB25</f>
        <v>5224</v>
      </c>
      <c r="BB25" s="114">
        <v>2332</v>
      </c>
      <c r="BC25" s="113">
        <v>3796</v>
      </c>
      <c r="BD25" s="115">
        <v>0.82291666666666663</v>
      </c>
      <c r="BE25" s="116">
        <v>0</v>
      </c>
      <c r="BF25" s="115">
        <v>0</v>
      </c>
      <c r="BG25" s="116">
        <v>170</v>
      </c>
      <c r="BH25" s="115">
        <v>0.125</v>
      </c>
      <c r="BI25" s="57">
        <f t="shared" si="54"/>
        <v>45735</v>
      </c>
      <c r="BJ25" s="79">
        <f t="shared" ref="BJ25:BJ37" si="106">+BM25/BL25</f>
        <v>0.60504433739375907</v>
      </c>
      <c r="BK25" s="77">
        <f t="shared" ref="BK25:BK37" si="107">+BN25/BL25</f>
        <v>0.39495566260624099</v>
      </c>
      <c r="BL25" s="80">
        <f t="shared" ref="BL25:BL37" si="108">BM25+BN25</f>
        <v>32591</v>
      </c>
      <c r="BM25" s="178">
        <v>19719</v>
      </c>
      <c r="BN25" s="178">
        <v>12872</v>
      </c>
      <c r="BO25" s="179">
        <v>3990</v>
      </c>
      <c r="BP25" s="180">
        <v>0.80486111111111114</v>
      </c>
      <c r="BQ25" s="181">
        <v>2709</v>
      </c>
      <c r="BR25" s="180">
        <v>0.80486111111111114</v>
      </c>
    </row>
    <row r="26" spans="1:70" ht="15.75" thickBot="1" x14ac:dyDescent="0.3">
      <c r="A26" s="14"/>
      <c r="B26" s="57">
        <f t="shared" si="49"/>
        <v>45736</v>
      </c>
      <c r="C26" s="187"/>
      <c r="D26" s="88">
        <f t="shared" si="86"/>
        <v>51856</v>
      </c>
      <c r="E26" s="182">
        <f t="shared" si="87"/>
        <v>0.87843258253625423</v>
      </c>
      <c r="F26" s="88">
        <f t="shared" si="88"/>
        <v>45552</v>
      </c>
      <c r="G26" s="182">
        <f t="shared" si="89"/>
        <v>0.12156741746374576</v>
      </c>
      <c r="H26" s="169">
        <f t="shared" si="90"/>
        <v>6304</v>
      </c>
      <c r="I26" s="183">
        <f t="shared" si="91"/>
        <v>0.11931312496727919</v>
      </c>
      <c r="J26" s="182">
        <f t="shared" si="92"/>
        <v>0.16569813098790639</v>
      </c>
      <c r="K26" s="182">
        <f t="shared" si="93"/>
        <v>0.16380928802789296</v>
      </c>
      <c r="L26" s="184">
        <f t="shared" si="94"/>
        <v>0.57642706315550674</v>
      </c>
      <c r="M26" s="169">
        <f t="shared" si="95"/>
        <v>6009.802104601853</v>
      </c>
      <c r="N26" s="169">
        <f t="shared" si="96"/>
        <v>8346.2148578608449</v>
      </c>
      <c r="O26" s="169">
        <f t="shared" si="97"/>
        <v>8251.0738379649683</v>
      </c>
      <c r="P26" s="169">
        <f t="shared" si="98"/>
        <v>29034.631171142875</v>
      </c>
      <c r="Q26" s="57">
        <f t="shared" si="50"/>
        <v>45736</v>
      </c>
      <c r="R26" s="162">
        <v>51856</v>
      </c>
      <c r="S26" s="163">
        <v>0</v>
      </c>
      <c r="T26" s="163">
        <v>50370</v>
      </c>
      <c r="U26" s="163">
        <v>0</v>
      </c>
      <c r="V26" s="164">
        <v>13165</v>
      </c>
      <c r="W26" s="165">
        <v>0.82291666666666663</v>
      </c>
      <c r="X26" s="164">
        <v>4311</v>
      </c>
      <c r="Y26" s="165">
        <v>0.79166666666666663</v>
      </c>
      <c r="Z26" s="164">
        <v>0</v>
      </c>
      <c r="AA26" s="165">
        <v>0</v>
      </c>
      <c r="AB26" s="57">
        <f t="shared" si="51"/>
        <v>45736</v>
      </c>
      <c r="AC26" s="77">
        <f t="shared" si="99"/>
        <v>1</v>
      </c>
      <c r="AD26" s="185">
        <f t="shared" si="100"/>
        <v>0</v>
      </c>
      <c r="AE26" s="186">
        <v>6837</v>
      </c>
      <c r="AF26" s="119">
        <f t="shared" si="15"/>
        <v>6837</v>
      </c>
      <c r="AG26" s="170">
        <v>0</v>
      </c>
      <c r="AH26" s="171">
        <v>3788</v>
      </c>
      <c r="AI26" s="172">
        <v>0.34583333333333333</v>
      </c>
      <c r="AJ26" s="171">
        <v>0</v>
      </c>
      <c r="AK26" s="188">
        <v>0</v>
      </c>
      <c r="AL26" s="57">
        <f t="shared" si="52"/>
        <v>45736</v>
      </c>
      <c r="AM26" s="78">
        <f t="shared" si="101"/>
        <v>0.58672985781990517</v>
      </c>
      <c r="AN26" s="77">
        <f t="shared" si="102"/>
        <v>0.41327014218009478</v>
      </c>
      <c r="AO26" s="173">
        <v>9495</v>
      </c>
      <c r="AP26" s="118">
        <f t="shared" si="18"/>
        <v>5571</v>
      </c>
      <c r="AQ26" s="174">
        <v>3924</v>
      </c>
      <c r="AR26" s="175">
        <v>3610</v>
      </c>
      <c r="AS26" s="176">
        <v>0.38680555555555557</v>
      </c>
      <c r="AT26" s="175">
        <v>188</v>
      </c>
      <c r="AU26" s="177">
        <v>0.60416666666666663</v>
      </c>
      <c r="AV26" s="57">
        <f t="shared" si="53"/>
        <v>45736</v>
      </c>
      <c r="AW26" s="111">
        <f t="shared" si="103"/>
        <v>0.7002518891687658</v>
      </c>
      <c r="AX26" s="111">
        <f t="shared" si="104"/>
        <v>0.29974811083123426</v>
      </c>
      <c r="AY26" s="112">
        <f t="shared" si="21"/>
        <v>7940</v>
      </c>
      <c r="AZ26" s="113">
        <v>7940</v>
      </c>
      <c r="BA26" s="121">
        <f t="shared" si="105"/>
        <v>5560</v>
      </c>
      <c r="BB26" s="114">
        <v>2380</v>
      </c>
      <c r="BC26" s="113">
        <v>3689</v>
      </c>
      <c r="BD26" s="115">
        <v>0.32291666666666669</v>
      </c>
      <c r="BE26" s="116">
        <v>0</v>
      </c>
      <c r="BF26" s="115">
        <v>0</v>
      </c>
      <c r="BG26" s="116">
        <v>143</v>
      </c>
      <c r="BH26" s="115">
        <v>0</v>
      </c>
      <c r="BI26" s="57">
        <f t="shared" si="54"/>
        <v>45736</v>
      </c>
      <c r="BJ26" s="79">
        <f t="shared" si="106"/>
        <v>0.61103206079137784</v>
      </c>
      <c r="BK26" s="77">
        <f t="shared" si="107"/>
        <v>0.38896793920862222</v>
      </c>
      <c r="BL26" s="80">
        <f t="shared" si="108"/>
        <v>33031</v>
      </c>
      <c r="BM26" s="178">
        <v>20183</v>
      </c>
      <c r="BN26" s="178">
        <v>12848</v>
      </c>
      <c r="BO26" s="179">
        <v>3872</v>
      </c>
      <c r="BP26" s="180">
        <v>0.61805555555555558</v>
      </c>
      <c r="BQ26" s="181">
        <v>2576</v>
      </c>
      <c r="BR26" s="180">
        <v>0.61805555555555558</v>
      </c>
    </row>
    <row r="27" spans="1:70" ht="15.75" thickBot="1" x14ac:dyDescent="0.3">
      <c r="A27" s="14"/>
      <c r="B27" s="57">
        <f t="shared" si="49"/>
        <v>45737</v>
      </c>
      <c r="C27" s="187"/>
      <c r="D27" s="88">
        <f t="shared" si="86"/>
        <v>53728</v>
      </c>
      <c r="E27" s="182">
        <f t="shared" si="87"/>
        <v>0.87714041095890416</v>
      </c>
      <c r="F27" s="88">
        <f t="shared" si="88"/>
        <v>47127</v>
      </c>
      <c r="G27" s="182">
        <f t="shared" si="89"/>
        <v>0.1228595890410959</v>
      </c>
      <c r="H27" s="169">
        <f t="shared" si="90"/>
        <v>6601</v>
      </c>
      <c r="I27" s="183">
        <f t="shared" si="91"/>
        <v>0.11830713339897464</v>
      </c>
      <c r="J27" s="182">
        <f t="shared" si="92"/>
        <v>0.16455030047872882</v>
      </c>
      <c r="K27" s="182">
        <f t="shared" si="93"/>
        <v>0.16456894294862759</v>
      </c>
      <c r="L27" s="184">
        <f t="shared" si="94"/>
        <v>0.57841306488303401</v>
      </c>
      <c r="M27" s="169">
        <f t="shared" si="95"/>
        <v>6192.1953621023331</v>
      </c>
      <c r="N27" s="169">
        <f t="shared" si="96"/>
        <v>8612.5627270566656</v>
      </c>
      <c r="O27" s="169">
        <f t="shared" si="97"/>
        <v>8613.5384739311685</v>
      </c>
      <c r="P27" s="169">
        <f t="shared" si="98"/>
        <v>30274.139815978</v>
      </c>
      <c r="Q27" s="57">
        <f t="shared" si="50"/>
        <v>45737</v>
      </c>
      <c r="R27" s="162">
        <v>53728</v>
      </c>
      <c r="S27" s="163">
        <v>0</v>
      </c>
      <c r="T27" s="163">
        <v>52340</v>
      </c>
      <c r="U27" s="163">
        <v>0</v>
      </c>
      <c r="V27" s="164">
        <v>12513</v>
      </c>
      <c r="W27" s="165">
        <v>0.83333333333333337</v>
      </c>
      <c r="X27" s="164">
        <v>4479</v>
      </c>
      <c r="Y27" s="165">
        <v>0.80208333333333337</v>
      </c>
      <c r="Z27" s="164">
        <v>0</v>
      </c>
      <c r="AA27" s="165">
        <v>0</v>
      </c>
      <c r="AB27" s="57">
        <f t="shared" si="51"/>
        <v>45737</v>
      </c>
      <c r="AC27" s="77">
        <f t="shared" si="99"/>
        <v>1</v>
      </c>
      <c r="AD27" s="185">
        <f t="shared" si="100"/>
        <v>0</v>
      </c>
      <c r="AE27" s="186">
        <v>6969</v>
      </c>
      <c r="AF27" s="119">
        <f t="shared" si="15"/>
        <v>6969</v>
      </c>
      <c r="AG27" s="170">
        <v>0</v>
      </c>
      <c r="AH27" s="171">
        <v>4041</v>
      </c>
      <c r="AI27" s="172">
        <v>0.78749999999999998</v>
      </c>
      <c r="AJ27" s="171">
        <v>0</v>
      </c>
      <c r="AK27" s="188">
        <v>0</v>
      </c>
      <c r="AL27" s="57">
        <f t="shared" si="52"/>
        <v>45737</v>
      </c>
      <c r="AM27" s="78">
        <f t="shared" si="101"/>
        <v>0.59486227174249462</v>
      </c>
      <c r="AN27" s="77">
        <f t="shared" si="102"/>
        <v>0.40513772825750544</v>
      </c>
      <c r="AO27" s="173">
        <v>9693</v>
      </c>
      <c r="AP27" s="118">
        <f t="shared" si="18"/>
        <v>5766</v>
      </c>
      <c r="AQ27" s="174">
        <v>3927</v>
      </c>
      <c r="AR27" s="175">
        <v>3612</v>
      </c>
      <c r="AS27" s="176">
        <v>0.34652777777777777</v>
      </c>
      <c r="AT27" s="175">
        <v>194</v>
      </c>
      <c r="AU27" s="177">
        <v>0.69791666666666663</v>
      </c>
      <c r="AV27" s="57">
        <f t="shared" si="53"/>
        <v>45737</v>
      </c>
      <c r="AW27" s="111">
        <f t="shared" si="103"/>
        <v>0.67278511992168377</v>
      </c>
      <c r="AX27" s="111">
        <f t="shared" si="104"/>
        <v>0.32721488007831623</v>
      </c>
      <c r="AY27" s="112">
        <f t="shared" si="21"/>
        <v>8172</v>
      </c>
      <c r="AZ27" s="113">
        <v>8172</v>
      </c>
      <c r="BA27" s="121">
        <f t="shared" si="105"/>
        <v>5498</v>
      </c>
      <c r="BB27" s="114">
        <f>1085+1589</f>
        <v>2674</v>
      </c>
      <c r="BC27" s="113">
        <v>4172</v>
      </c>
      <c r="BD27" s="115">
        <v>0.35416666666666669</v>
      </c>
      <c r="BE27" s="116">
        <v>0</v>
      </c>
      <c r="BF27" s="115">
        <v>0</v>
      </c>
      <c r="BG27" s="116">
        <v>144</v>
      </c>
      <c r="BH27" s="115">
        <v>0.3125</v>
      </c>
      <c r="BI27" s="57">
        <f t="shared" si="54"/>
        <v>45737</v>
      </c>
      <c r="BJ27" s="79">
        <f t="shared" si="106"/>
        <v>0.60395632777647335</v>
      </c>
      <c r="BK27" s="77">
        <f t="shared" si="107"/>
        <v>0.39604367222352665</v>
      </c>
      <c r="BL27" s="80">
        <f t="shared" si="108"/>
        <v>34072</v>
      </c>
      <c r="BM27" s="178">
        <v>20578</v>
      </c>
      <c r="BN27" s="178">
        <v>13494</v>
      </c>
      <c r="BO27" s="179">
        <v>4185</v>
      </c>
      <c r="BP27" s="180">
        <v>0.81597222222222221</v>
      </c>
      <c r="BQ27" s="181">
        <v>2793</v>
      </c>
      <c r="BR27" s="180">
        <v>0.81597222222222221</v>
      </c>
    </row>
    <row r="28" spans="1:70" ht="15.75" thickBot="1" x14ac:dyDescent="0.3">
      <c r="A28" s="14"/>
      <c r="B28" s="57">
        <f t="shared" si="49"/>
        <v>45738</v>
      </c>
      <c r="C28" s="187"/>
      <c r="D28" s="88">
        <f t="shared" si="86"/>
        <v>32176</v>
      </c>
      <c r="E28" s="182">
        <f t="shared" si="87"/>
        <v>0.80249254102436596</v>
      </c>
      <c r="F28" s="88">
        <f t="shared" si="88"/>
        <v>25821</v>
      </c>
      <c r="G28" s="182">
        <f t="shared" si="89"/>
        <v>0.19750745897563401</v>
      </c>
      <c r="H28" s="169">
        <f>U28+AG28+AQ28+BB28</f>
        <v>6355</v>
      </c>
      <c r="I28" s="183">
        <f t="shared" si="91"/>
        <v>7.7526008265640586E-2</v>
      </c>
      <c r="J28" s="182">
        <f t="shared" si="92"/>
        <v>0.16705144648710274</v>
      </c>
      <c r="K28" s="182">
        <f t="shared" si="93"/>
        <v>0.1610847658565501</v>
      </c>
      <c r="L28" s="184">
        <f t="shared" si="94"/>
        <v>0.63149494085791646</v>
      </c>
      <c r="M28" s="169">
        <f t="shared" si="95"/>
        <v>2394.0031352429814</v>
      </c>
      <c r="N28" s="169">
        <f t="shared" si="96"/>
        <v>5158.5486675217326</v>
      </c>
      <c r="O28" s="169">
        <f t="shared" si="97"/>
        <v>4974.2975696502672</v>
      </c>
      <c r="P28" s="169">
        <f t="shared" si="98"/>
        <v>19500.563773692462</v>
      </c>
      <c r="Q28" s="57">
        <f t="shared" si="50"/>
        <v>45738</v>
      </c>
      <c r="R28" s="162">
        <v>32176</v>
      </c>
      <c r="S28" s="163">
        <v>0</v>
      </c>
      <c r="T28" s="163">
        <v>30880</v>
      </c>
      <c r="U28" s="163">
        <v>0</v>
      </c>
      <c r="V28" s="164">
        <v>6753</v>
      </c>
      <c r="W28" s="165">
        <v>0.86458333333333337</v>
      </c>
      <c r="X28" s="164">
        <v>1992</v>
      </c>
      <c r="Y28" s="165">
        <v>0.63541666666666663</v>
      </c>
      <c r="Z28" s="164">
        <v>0</v>
      </c>
      <c r="AA28" s="165">
        <v>0</v>
      </c>
      <c r="AB28" s="57">
        <f t="shared" si="51"/>
        <v>45738</v>
      </c>
      <c r="AC28" s="77">
        <f t="shared" si="99"/>
        <v>1</v>
      </c>
      <c r="AD28" s="185">
        <f t="shared" si="100"/>
        <v>0</v>
      </c>
      <c r="AE28" s="186">
        <v>2720</v>
      </c>
      <c r="AF28" s="119">
        <f t="shared" si="15"/>
        <v>2720</v>
      </c>
      <c r="AG28" s="170">
        <v>0</v>
      </c>
      <c r="AH28" s="171">
        <v>1884</v>
      </c>
      <c r="AI28" s="172">
        <v>0.34097222222222223</v>
      </c>
      <c r="AJ28" s="171">
        <v>0</v>
      </c>
      <c r="AK28" s="188">
        <v>0</v>
      </c>
      <c r="AL28" s="57">
        <f t="shared" si="52"/>
        <v>45738</v>
      </c>
      <c r="AM28" s="78">
        <f t="shared" si="101"/>
        <v>0.37109708240914518</v>
      </c>
      <c r="AN28" s="77">
        <f t="shared" si="102"/>
        <v>0.62890291759085482</v>
      </c>
      <c r="AO28" s="173">
        <v>5861</v>
      </c>
      <c r="AP28" s="118">
        <f t="shared" si="18"/>
        <v>2175</v>
      </c>
      <c r="AQ28" s="174">
        <v>3686</v>
      </c>
      <c r="AR28" s="175">
        <v>1776</v>
      </c>
      <c r="AS28" s="176">
        <v>0.79583333333333328</v>
      </c>
      <c r="AT28" s="175">
        <v>175</v>
      </c>
      <c r="AU28" s="177">
        <v>0.25</v>
      </c>
      <c r="AV28" s="57">
        <f t="shared" si="53"/>
        <v>45738</v>
      </c>
      <c r="AW28" s="111">
        <f t="shared" si="103"/>
        <v>0.3861545538178473</v>
      </c>
      <c r="AX28" s="111">
        <f t="shared" si="104"/>
        <v>0.61384544618215275</v>
      </c>
      <c r="AY28" s="112">
        <f t="shared" si="21"/>
        <v>4348</v>
      </c>
      <c r="AZ28" s="113">
        <v>4348</v>
      </c>
      <c r="BA28" s="121">
        <f t="shared" si="105"/>
        <v>1679</v>
      </c>
      <c r="BB28" s="114">
        <f>1093+1576</f>
        <v>2669</v>
      </c>
      <c r="BC28" s="113">
        <v>1396</v>
      </c>
      <c r="BD28" s="115">
        <v>0.82291666666666663</v>
      </c>
      <c r="BE28" s="116">
        <v>0</v>
      </c>
      <c r="BF28" s="115">
        <v>0</v>
      </c>
      <c r="BG28" s="116">
        <v>151</v>
      </c>
      <c r="BH28" s="115">
        <v>0.86458333333333337</v>
      </c>
      <c r="BI28" s="57">
        <f t="shared" si="54"/>
        <v>45738</v>
      </c>
      <c r="BJ28" s="79">
        <f t="shared" si="106"/>
        <v>0.60484744538725399</v>
      </c>
      <c r="BK28" s="77">
        <f t="shared" si="107"/>
        <v>0.39515255461274601</v>
      </c>
      <c r="BL28" s="80">
        <f t="shared" si="108"/>
        <v>22156</v>
      </c>
      <c r="BM28" s="178">
        <v>13401</v>
      </c>
      <c r="BN28" s="178">
        <v>8755</v>
      </c>
      <c r="BO28" s="179">
        <v>2619</v>
      </c>
      <c r="BP28" s="180">
        <v>0.82222222222222219</v>
      </c>
      <c r="BQ28" s="181">
        <v>1751</v>
      </c>
      <c r="BR28" s="180">
        <v>0.82222222222222219</v>
      </c>
    </row>
    <row r="29" spans="1:70" ht="15.75" thickBot="1" x14ac:dyDescent="0.3">
      <c r="A29" s="14"/>
      <c r="B29" s="57">
        <f t="shared" si="49"/>
        <v>45739</v>
      </c>
      <c r="C29" s="187"/>
      <c r="D29" s="88">
        <f t="shared" si="86"/>
        <v>26842</v>
      </c>
      <c r="E29" s="182">
        <f t="shared" si="87"/>
        <v>0.78213247895089788</v>
      </c>
      <c r="F29" s="88">
        <f t="shared" si="88"/>
        <v>20994</v>
      </c>
      <c r="G29" s="182">
        <f t="shared" si="89"/>
        <v>0.21786752104910215</v>
      </c>
      <c r="H29" s="169">
        <f t="shared" si="90"/>
        <v>5848</v>
      </c>
      <c r="I29" s="183">
        <f t="shared" si="91"/>
        <v>6.1620944158195239E-2</v>
      </c>
      <c r="J29" s="182">
        <f t="shared" si="92"/>
        <v>0.18193844868402728</v>
      </c>
      <c r="K29" s="182">
        <f t="shared" si="93"/>
        <v>0.17368228404099562</v>
      </c>
      <c r="L29" s="184">
        <f t="shared" si="94"/>
        <v>0.62428631109873278</v>
      </c>
      <c r="M29" s="169">
        <f t="shared" si="95"/>
        <v>1577.6810332822727</v>
      </c>
      <c r="N29" s="169">
        <f t="shared" si="96"/>
        <v>4658.1701016571506</v>
      </c>
      <c r="O29" s="169">
        <f t="shared" si="97"/>
        <v>4446.7875183016104</v>
      </c>
      <c r="P29" s="169">
        <f t="shared" si="98"/>
        <v>15983.602423060855</v>
      </c>
      <c r="Q29" s="57">
        <f t="shared" si="50"/>
        <v>45739</v>
      </c>
      <c r="R29" s="162">
        <v>26842</v>
      </c>
      <c r="S29" s="163">
        <v>0</v>
      </c>
      <c r="T29" s="163">
        <v>25603</v>
      </c>
      <c r="U29" s="163">
        <v>0</v>
      </c>
      <c r="V29" s="164">
        <v>6290</v>
      </c>
      <c r="W29" s="165">
        <v>0.63541666666666663</v>
      </c>
      <c r="X29" s="164">
        <v>1844</v>
      </c>
      <c r="Y29" s="165">
        <v>0.79166666666666663</v>
      </c>
      <c r="Z29" s="164">
        <v>0</v>
      </c>
      <c r="AA29" s="165">
        <v>0</v>
      </c>
      <c r="AB29" s="57">
        <f t="shared" si="51"/>
        <v>45739</v>
      </c>
      <c r="AC29" s="77">
        <f t="shared" si="99"/>
        <v>1</v>
      </c>
      <c r="AD29" s="185">
        <f t="shared" si="100"/>
        <v>0</v>
      </c>
      <c r="AE29" s="186">
        <v>1770</v>
      </c>
      <c r="AF29" s="119">
        <f t="shared" si="15"/>
        <v>1770</v>
      </c>
      <c r="AG29" s="170">
        <v>0</v>
      </c>
      <c r="AH29" s="171">
        <v>1317</v>
      </c>
      <c r="AI29" s="172">
        <v>0.83263888888888893</v>
      </c>
      <c r="AJ29" s="171">
        <v>0</v>
      </c>
      <c r="AK29" s="188">
        <v>0</v>
      </c>
      <c r="AL29" s="57">
        <f t="shared" si="52"/>
        <v>45739</v>
      </c>
      <c r="AM29" s="78">
        <f t="shared" si="101"/>
        <v>0.31649445082280903</v>
      </c>
      <c r="AN29" s="77">
        <f t="shared" si="102"/>
        <v>0.68350554917719097</v>
      </c>
      <c r="AO29" s="173">
        <v>5226</v>
      </c>
      <c r="AP29" s="118">
        <f t="shared" si="18"/>
        <v>1654</v>
      </c>
      <c r="AQ29" s="174">
        <v>3572</v>
      </c>
      <c r="AR29" s="175">
        <v>1582</v>
      </c>
      <c r="AS29" s="176">
        <v>0.39166666666666666</v>
      </c>
      <c r="AT29" s="175">
        <v>175</v>
      </c>
      <c r="AU29" s="177">
        <v>0.89583333333333337</v>
      </c>
      <c r="AV29" s="57">
        <f t="shared" si="53"/>
        <v>45739</v>
      </c>
      <c r="AW29" s="111">
        <f t="shared" si="103"/>
        <v>0.40042149631190727</v>
      </c>
      <c r="AX29" s="111">
        <f t="shared" si="104"/>
        <v>0.59957850368809273</v>
      </c>
      <c r="AY29" s="112">
        <f t="shared" si="21"/>
        <v>3796</v>
      </c>
      <c r="AZ29" s="113">
        <v>3796</v>
      </c>
      <c r="BA29" s="121">
        <f t="shared" si="105"/>
        <v>1520</v>
      </c>
      <c r="BB29" s="114">
        <v>2276</v>
      </c>
      <c r="BC29" s="113">
        <v>1611</v>
      </c>
      <c r="BD29" s="115">
        <v>0.59375</v>
      </c>
      <c r="BE29" s="116">
        <v>0</v>
      </c>
      <c r="BF29" s="115">
        <v>0</v>
      </c>
      <c r="BG29" s="116">
        <v>173</v>
      </c>
      <c r="BH29" s="115">
        <v>0</v>
      </c>
      <c r="BI29" s="57">
        <f t="shared" si="54"/>
        <v>45739</v>
      </c>
      <c r="BJ29" s="79">
        <f t="shared" si="106"/>
        <v>0.60450591122016506</v>
      </c>
      <c r="BK29" s="77">
        <f t="shared" si="107"/>
        <v>0.39549408877983494</v>
      </c>
      <c r="BL29" s="80">
        <f t="shared" si="108"/>
        <v>17932</v>
      </c>
      <c r="BM29" s="178">
        <v>10840</v>
      </c>
      <c r="BN29" s="178">
        <v>7092</v>
      </c>
      <c r="BO29" s="179">
        <v>2608</v>
      </c>
      <c r="BP29" s="180">
        <v>0.41111111111111109</v>
      </c>
      <c r="BQ29" s="181">
        <v>1738</v>
      </c>
      <c r="BR29" s="180">
        <v>0.41111111111111109</v>
      </c>
    </row>
    <row r="30" spans="1:70" ht="15.75" thickBot="1" x14ac:dyDescent="0.3">
      <c r="A30" s="14"/>
      <c r="B30" s="57">
        <f t="shared" si="49"/>
        <v>45740</v>
      </c>
      <c r="C30" s="187"/>
      <c r="D30" s="88">
        <f t="shared" si="86"/>
        <v>51872</v>
      </c>
      <c r="E30" s="182">
        <f t="shared" si="87"/>
        <v>0.88069228099938313</v>
      </c>
      <c r="F30" s="88">
        <f t="shared" si="88"/>
        <v>45683.270000000004</v>
      </c>
      <c r="G30" s="182">
        <f t="shared" si="89"/>
        <v>0.11930771900061689</v>
      </c>
      <c r="H30" s="169">
        <f t="shared" si="90"/>
        <v>6188.73</v>
      </c>
      <c r="I30" s="183">
        <f t="shared" si="91"/>
        <v>0.1189977047663919</v>
      </c>
      <c r="J30" s="182">
        <f t="shared" si="92"/>
        <v>0.16304371317792599</v>
      </c>
      <c r="K30" s="182">
        <f t="shared" si="93"/>
        <v>0.16484939290193609</v>
      </c>
      <c r="L30" s="184">
        <f t="shared" si="94"/>
        <v>0.57806171628146219</v>
      </c>
      <c r="M30" s="169">
        <f t="shared" si="95"/>
        <v>6027.8584843677736</v>
      </c>
      <c r="N30" s="169">
        <f t="shared" si="96"/>
        <v>8259.0200519561349</v>
      </c>
      <c r="O30" s="169">
        <f t="shared" si="97"/>
        <v>8350.4872097957978</v>
      </c>
      <c r="P30" s="169">
        <f t="shared" si="98"/>
        <v>29281.860753666537</v>
      </c>
      <c r="Q30" s="57">
        <f t="shared" si="50"/>
        <v>45740</v>
      </c>
      <c r="R30" s="162">
        <v>51872</v>
      </c>
      <c r="S30" s="163">
        <v>358</v>
      </c>
      <c r="T30" s="163">
        <v>50297.25</v>
      </c>
      <c r="U30" s="163">
        <v>0</v>
      </c>
      <c r="V30" s="164">
        <v>14360.39</v>
      </c>
      <c r="W30" s="165">
        <v>0.80208333333333337</v>
      </c>
      <c r="X30" s="164">
        <v>4356.03</v>
      </c>
      <c r="Y30" s="165">
        <v>0.80208333333333337</v>
      </c>
      <c r="Z30" s="164">
        <v>0</v>
      </c>
      <c r="AA30" s="165">
        <v>0</v>
      </c>
      <c r="AB30" s="57">
        <f t="shared" si="51"/>
        <v>45740</v>
      </c>
      <c r="AC30" s="77">
        <f t="shared" si="99"/>
        <v>1</v>
      </c>
      <c r="AD30" s="185">
        <f t="shared" si="100"/>
        <v>0</v>
      </c>
      <c r="AE30" s="186">
        <v>6882.5</v>
      </c>
      <c r="AF30" s="119">
        <f t="shared" si="15"/>
        <v>6882.5</v>
      </c>
      <c r="AG30" s="170">
        <v>0</v>
      </c>
      <c r="AH30" s="171">
        <v>4308.25</v>
      </c>
      <c r="AI30" s="172">
        <v>0.34166666666666667</v>
      </c>
      <c r="AJ30" s="171">
        <v>0</v>
      </c>
      <c r="AK30" s="188">
        <v>0</v>
      </c>
      <c r="AL30" s="57">
        <f t="shared" si="52"/>
        <v>45740</v>
      </c>
      <c r="AM30" s="78">
        <f t="shared" si="101"/>
        <v>0.60171580063626728</v>
      </c>
      <c r="AN30" s="77">
        <f t="shared" si="102"/>
        <v>0.39828419936373277</v>
      </c>
      <c r="AO30" s="173">
        <v>9430</v>
      </c>
      <c r="AP30" s="118">
        <f t="shared" si="18"/>
        <v>5674.18</v>
      </c>
      <c r="AQ30" s="174">
        <v>3755.82</v>
      </c>
      <c r="AR30" s="175">
        <v>3915.5</v>
      </c>
      <c r="AS30" s="176">
        <v>0.75555555555555554</v>
      </c>
      <c r="AT30" s="175">
        <v>175.89</v>
      </c>
      <c r="AU30" s="177">
        <v>0.9375</v>
      </c>
      <c r="AV30" s="57">
        <f t="shared" si="53"/>
        <v>45740</v>
      </c>
      <c r="AW30" s="111">
        <f t="shared" si="103"/>
        <v>0.69931592769967554</v>
      </c>
      <c r="AX30" s="111">
        <f t="shared" si="104"/>
        <v>0.3006840723003244</v>
      </c>
      <c r="AY30" s="112">
        <f t="shared" si="21"/>
        <v>8091.25</v>
      </c>
      <c r="AZ30" s="113">
        <v>8091.25</v>
      </c>
      <c r="BA30" s="121">
        <f t="shared" si="105"/>
        <v>5658.34</v>
      </c>
      <c r="BB30" s="114">
        <v>2432.91</v>
      </c>
      <c r="BC30" s="113">
        <v>4032.45</v>
      </c>
      <c r="BD30" s="115">
        <v>0.76041666666666663</v>
      </c>
      <c r="BE30" s="116">
        <v>0</v>
      </c>
      <c r="BF30" s="115">
        <v>0</v>
      </c>
      <c r="BG30" s="116">
        <v>144.56</v>
      </c>
      <c r="BH30" s="115">
        <v>0.875</v>
      </c>
      <c r="BI30" s="57">
        <f t="shared" si="54"/>
        <v>45740</v>
      </c>
      <c r="BJ30" s="79">
        <f t="shared" si="106"/>
        <v>0.60847652803326002</v>
      </c>
      <c r="BK30" s="77">
        <f t="shared" si="107"/>
        <v>0.39152347196673992</v>
      </c>
      <c r="BL30" s="80">
        <f t="shared" si="108"/>
        <v>33433.5</v>
      </c>
      <c r="BM30" s="178">
        <v>20343.5</v>
      </c>
      <c r="BN30" s="178">
        <v>13090</v>
      </c>
      <c r="BO30" s="179">
        <v>4307.8999999999996</v>
      </c>
      <c r="BP30" s="180">
        <v>0.75069444444444444</v>
      </c>
      <c r="BQ30" s="181">
        <v>2858.51</v>
      </c>
      <c r="BR30" s="180">
        <v>0.75069444444444444</v>
      </c>
    </row>
    <row r="31" spans="1:70" ht="15.75" thickBot="1" x14ac:dyDescent="0.3">
      <c r="A31" s="14"/>
      <c r="B31" s="57">
        <f t="shared" si="49"/>
        <v>45741</v>
      </c>
      <c r="C31" s="187"/>
      <c r="D31" s="88">
        <f t="shared" si="86"/>
        <v>53222</v>
      </c>
      <c r="E31" s="182">
        <f t="shared" si="87"/>
        <v>0.88361429484047949</v>
      </c>
      <c r="F31" s="88">
        <f t="shared" si="88"/>
        <v>47027.72</v>
      </c>
      <c r="G31" s="182">
        <f t="shared" si="89"/>
        <v>0.1163857051595205</v>
      </c>
      <c r="H31" s="169">
        <f t="shared" si="90"/>
        <v>6194.28</v>
      </c>
      <c r="I31" s="183">
        <f t="shared" si="91"/>
        <v>0.11428863154849524</v>
      </c>
      <c r="J31" s="182">
        <f t="shared" si="92"/>
        <v>0.15929956520629301</v>
      </c>
      <c r="K31" s="182">
        <f t="shared" si="93"/>
        <v>0.16316130528236997</v>
      </c>
      <c r="L31" s="184">
        <f t="shared" si="94"/>
        <v>0.58882639733848396</v>
      </c>
      <c r="M31" s="169">
        <f t="shared" si="95"/>
        <v>5894.0933062189961</v>
      </c>
      <c r="N31" s="169">
        <f t="shared" si="96"/>
        <v>8215.397176818944</v>
      </c>
      <c r="O31" s="169">
        <f t="shared" si="97"/>
        <v>8414.5548360223838</v>
      </c>
      <c r="P31" s="169">
        <f t="shared" si="98"/>
        <v>30366.954963540295</v>
      </c>
      <c r="Q31" s="57">
        <f t="shared" si="50"/>
        <v>45741</v>
      </c>
      <c r="R31" s="162">
        <v>53222</v>
      </c>
      <c r="S31" s="163">
        <v>0</v>
      </c>
      <c r="T31" s="163">
        <v>51572</v>
      </c>
      <c r="U31" s="163">
        <v>0</v>
      </c>
      <c r="V31" s="164">
        <v>14188.89</v>
      </c>
      <c r="W31" s="165">
        <v>0.40625</v>
      </c>
      <c r="X31" s="164">
        <v>4434</v>
      </c>
      <c r="Y31" s="165">
        <v>0.40625</v>
      </c>
      <c r="Z31" s="164">
        <v>0</v>
      </c>
      <c r="AA31" s="165">
        <v>0</v>
      </c>
      <c r="AB31" s="57">
        <f t="shared" si="51"/>
        <v>45741</v>
      </c>
      <c r="AC31" s="77">
        <f t="shared" si="99"/>
        <v>1</v>
      </c>
      <c r="AD31" s="185">
        <f t="shared" si="100"/>
        <v>0</v>
      </c>
      <c r="AE31" s="186">
        <v>6716</v>
      </c>
      <c r="AF31" s="119">
        <f t="shared" si="15"/>
        <v>6716</v>
      </c>
      <c r="AG31" s="170">
        <v>0</v>
      </c>
      <c r="AH31" s="171">
        <v>3334</v>
      </c>
      <c r="AI31" s="172">
        <v>0.32222222222222224</v>
      </c>
      <c r="AJ31" s="171">
        <v>0</v>
      </c>
      <c r="AK31" s="188">
        <v>0</v>
      </c>
      <c r="AL31" s="57">
        <f t="shared" si="52"/>
        <v>45741</v>
      </c>
      <c r="AM31" s="78">
        <f t="shared" si="101"/>
        <v>0.5980867428693516</v>
      </c>
      <c r="AN31" s="77">
        <f t="shared" si="102"/>
        <v>0.4019132571306484</v>
      </c>
      <c r="AO31" s="173">
        <v>9361</v>
      </c>
      <c r="AP31" s="118">
        <f t="shared" si="18"/>
        <v>5598.6900000000005</v>
      </c>
      <c r="AQ31" s="174">
        <v>3762.31</v>
      </c>
      <c r="AR31" s="175">
        <v>4511.54</v>
      </c>
      <c r="AS31" s="176">
        <v>0.36388888888888887</v>
      </c>
      <c r="AT31" s="175">
        <v>176.5</v>
      </c>
      <c r="AU31" s="177">
        <v>0.88541666666666663</v>
      </c>
      <c r="AV31" s="57">
        <f t="shared" si="53"/>
        <v>45741</v>
      </c>
      <c r="AW31" s="111">
        <f t="shared" si="103"/>
        <v>0.69919975262832412</v>
      </c>
      <c r="AX31" s="111">
        <f t="shared" si="104"/>
        <v>0.30080024737167593</v>
      </c>
      <c r="AY31" s="112">
        <f t="shared" si="21"/>
        <v>8085</v>
      </c>
      <c r="AZ31" s="113">
        <v>8085</v>
      </c>
      <c r="BA31" s="121">
        <f t="shared" si="105"/>
        <v>5653.0300000000007</v>
      </c>
      <c r="BB31" s="114">
        <v>2431.9699999999998</v>
      </c>
      <c r="BC31" s="113">
        <v>3845.58</v>
      </c>
      <c r="BD31" s="115">
        <v>0.36458333333333331</v>
      </c>
      <c r="BE31" s="116">
        <v>0</v>
      </c>
      <c r="BF31" s="115">
        <v>0</v>
      </c>
      <c r="BG31" s="116">
        <v>148.07</v>
      </c>
      <c r="BH31" s="115">
        <v>0.84375</v>
      </c>
      <c r="BI31" s="57">
        <f t="shared" si="54"/>
        <v>45741</v>
      </c>
      <c r="BJ31" s="79">
        <f t="shared" si="106"/>
        <v>0.60886088753377743</v>
      </c>
      <c r="BK31" s="77">
        <f t="shared" si="107"/>
        <v>0.39113911246622257</v>
      </c>
      <c r="BL31" s="80">
        <f t="shared" si="108"/>
        <v>34601.5</v>
      </c>
      <c r="BM31" s="178">
        <v>21067.5</v>
      </c>
      <c r="BN31" s="178">
        <v>13534</v>
      </c>
      <c r="BO31" s="179">
        <v>4306</v>
      </c>
      <c r="BP31" s="180">
        <v>0.79305555555555551</v>
      </c>
      <c r="BQ31" s="181">
        <v>2949.76</v>
      </c>
      <c r="BR31" s="180">
        <v>0.79305555555555551</v>
      </c>
    </row>
    <row r="32" spans="1:70" ht="15.75" thickBot="1" x14ac:dyDescent="0.3">
      <c r="A32" s="14"/>
      <c r="B32" s="57">
        <f t="shared" si="49"/>
        <v>45742</v>
      </c>
      <c r="C32" s="187"/>
      <c r="D32" s="88">
        <f t="shared" si="86"/>
        <v>52130</v>
      </c>
      <c r="E32" s="182">
        <f t="shared" si="87"/>
        <v>0.87657778630347205</v>
      </c>
      <c r="F32" s="88">
        <f t="shared" si="88"/>
        <v>45696</v>
      </c>
      <c r="G32" s="182">
        <f t="shared" si="89"/>
        <v>0.12342221369652791</v>
      </c>
      <c r="H32" s="169">
        <f t="shared" si="90"/>
        <v>6434</v>
      </c>
      <c r="I32" s="183">
        <f t="shared" si="91"/>
        <v>0.11061191794657473</v>
      </c>
      <c r="J32" s="182">
        <f t="shared" si="92"/>
        <v>0.16104203670811132</v>
      </c>
      <c r="K32" s="182">
        <f t="shared" si="93"/>
        <v>0.16649073786608715</v>
      </c>
      <c r="L32" s="184">
        <f t="shared" si="94"/>
        <v>0.58827012154773095</v>
      </c>
      <c r="M32" s="169">
        <f t="shared" si="95"/>
        <v>5597.1842719325741</v>
      </c>
      <c r="N32" s="169">
        <f t="shared" si="96"/>
        <v>8149.0491415038487</v>
      </c>
      <c r="O32" s="169">
        <f t="shared" si="97"/>
        <v>8424.7643174997411</v>
      </c>
      <c r="P32" s="169">
        <f t="shared" si="98"/>
        <v>29767.644690558282</v>
      </c>
      <c r="Q32" s="57">
        <f t="shared" si="50"/>
        <v>45742</v>
      </c>
      <c r="R32" s="162">
        <v>52130</v>
      </c>
      <c r="S32" s="163">
        <v>0</v>
      </c>
      <c r="T32" s="163">
        <v>50602</v>
      </c>
      <c r="U32" s="163">
        <v>0</v>
      </c>
      <c r="V32" s="164">
        <v>14390</v>
      </c>
      <c r="W32" s="165">
        <v>0.79166666666666663</v>
      </c>
      <c r="X32" s="164">
        <v>4423</v>
      </c>
      <c r="Y32" s="165">
        <v>0.79166666666666663</v>
      </c>
      <c r="Z32" s="164">
        <v>0</v>
      </c>
      <c r="AA32" s="165">
        <v>0</v>
      </c>
      <c r="AB32" s="57">
        <f t="shared" si="51"/>
        <v>45742</v>
      </c>
      <c r="AC32" s="77">
        <f t="shared" si="99"/>
        <v>1</v>
      </c>
      <c r="AD32" s="185">
        <f t="shared" si="100"/>
        <v>0</v>
      </c>
      <c r="AE32" s="186">
        <v>6352</v>
      </c>
      <c r="AF32" s="119">
        <f t="shared" si="15"/>
        <v>6352</v>
      </c>
      <c r="AG32" s="170">
        <v>0</v>
      </c>
      <c r="AH32" s="171">
        <v>3375</v>
      </c>
      <c r="AI32" s="172">
        <v>0.74583333333333335</v>
      </c>
      <c r="AJ32" s="171">
        <v>0</v>
      </c>
      <c r="AK32" s="188">
        <v>0</v>
      </c>
      <c r="AL32" s="57">
        <f t="shared" si="52"/>
        <v>45742</v>
      </c>
      <c r="AM32" s="78">
        <f t="shared" si="101"/>
        <v>0.58693771626297575</v>
      </c>
      <c r="AN32" s="77">
        <f t="shared" si="102"/>
        <v>0.41306228373702419</v>
      </c>
      <c r="AO32" s="173">
        <v>9248</v>
      </c>
      <c r="AP32" s="118">
        <f t="shared" si="18"/>
        <v>5428</v>
      </c>
      <c r="AQ32" s="174">
        <v>3820</v>
      </c>
      <c r="AR32" s="175">
        <v>3495</v>
      </c>
      <c r="AS32" s="176">
        <v>0.35486111111111113</v>
      </c>
      <c r="AT32" s="175">
        <v>191</v>
      </c>
      <c r="AU32" s="177">
        <v>0.59375</v>
      </c>
      <c r="AV32" s="57">
        <f t="shared" si="53"/>
        <v>45742</v>
      </c>
      <c r="AW32" s="111">
        <f t="shared" si="103"/>
        <v>0.6750372948781701</v>
      </c>
      <c r="AX32" s="111">
        <f t="shared" si="104"/>
        <v>0.32496270512182995</v>
      </c>
      <c r="AY32" s="112">
        <f t="shared" si="21"/>
        <v>8044</v>
      </c>
      <c r="AZ32" s="113">
        <v>8044</v>
      </c>
      <c r="BA32" s="121">
        <f t="shared" si="105"/>
        <v>5430</v>
      </c>
      <c r="BB32" s="114">
        <f>1561+1053</f>
        <v>2614</v>
      </c>
      <c r="BC32" s="113">
        <v>3880</v>
      </c>
      <c r="BD32" s="115">
        <v>0.75</v>
      </c>
      <c r="BE32" s="116">
        <v>0</v>
      </c>
      <c r="BF32" s="115">
        <v>0</v>
      </c>
      <c r="BG32" s="116">
        <v>146</v>
      </c>
      <c r="BH32" s="115">
        <v>0.3125</v>
      </c>
      <c r="BI32" s="57">
        <f t="shared" si="54"/>
        <v>45742</v>
      </c>
      <c r="BJ32" s="79">
        <f t="shared" si="106"/>
        <v>0.60526315789473684</v>
      </c>
      <c r="BK32" s="77">
        <f t="shared" si="107"/>
        <v>0.39473684210526316</v>
      </c>
      <c r="BL32" s="80">
        <f t="shared" si="108"/>
        <v>33782</v>
      </c>
      <c r="BM32" s="178">
        <v>20447</v>
      </c>
      <c r="BN32" s="178">
        <v>13335</v>
      </c>
      <c r="BO32" s="179">
        <v>4218</v>
      </c>
      <c r="BP32" s="180">
        <v>0.75069444444444444</v>
      </c>
      <c r="BQ32" s="181">
        <v>2792</v>
      </c>
      <c r="BR32" s="180">
        <v>0.75069444444444444</v>
      </c>
    </row>
    <row r="33" spans="1:70" ht="15.75" thickBot="1" x14ac:dyDescent="0.3">
      <c r="A33" s="14"/>
      <c r="B33" s="57">
        <f t="shared" si="49"/>
        <v>45743</v>
      </c>
      <c r="C33" s="187"/>
      <c r="D33" s="88">
        <f t="shared" si="86"/>
        <v>52146</v>
      </c>
      <c r="E33" s="182">
        <f t="shared" si="87"/>
        <v>0.87701837149541673</v>
      </c>
      <c r="F33" s="88">
        <f t="shared" si="88"/>
        <v>45733</v>
      </c>
      <c r="G33" s="182">
        <f t="shared" si="89"/>
        <v>0.12298162850458329</v>
      </c>
      <c r="H33" s="169">
        <f t="shared" si="90"/>
        <v>6413</v>
      </c>
      <c r="I33" s="183">
        <f t="shared" si="91"/>
        <v>0.11888307155322862</v>
      </c>
      <c r="J33" s="182">
        <f t="shared" si="92"/>
        <v>0.16219895287958117</v>
      </c>
      <c r="K33" s="182">
        <f t="shared" si="93"/>
        <v>0.16765118968935888</v>
      </c>
      <c r="L33" s="184">
        <f t="shared" si="94"/>
        <v>0.57726003490401401</v>
      </c>
      <c r="M33" s="169">
        <f t="shared" si="95"/>
        <v>6007.7560209424082</v>
      </c>
      <c r="N33" s="169">
        <f t="shared" si="96"/>
        <v>8196.7240837696336</v>
      </c>
      <c r="O33" s="169">
        <f t="shared" si="97"/>
        <v>8472.2528709517519</v>
      </c>
      <c r="P33" s="169">
        <f t="shared" si="98"/>
        <v>29171.835863874348</v>
      </c>
      <c r="Q33" s="57">
        <f t="shared" si="50"/>
        <v>45743</v>
      </c>
      <c r="R33" s="162">
        <v>52146</v>
      </c>
      <c r="S33" s="163">
        <v>0</v>
      </c>
      <c r="T33" s="163">
        <v>50535</v>
      </c>
      <c r="U33" s="163">
        <v>0</v>
      </c>
      <c r="V33" s="164">
        <v>13915</v>
      </c>
      <c r="W33" s="165">
        <v>0.42708333333333331</v>
      </c>
      <c r="X33" s="164">
        <v>4308</v>
      </c>
      <c r="Y33" s="165">
        <v>0.38541666666666669</v>
      </c>
      <c r="Z33" s="164">
        <v>0</v>
      </c>
      <c r="AA33" s="165">
        <v>0</v>
      </c>
      <c r="AB33" s="191">
        <f t="shared" si="51"/>
        <v>45743</v>
      </c>
      <c r="AC33" s="77">
        <f t="shared" si="99"/>
        <v>1</v>
      </c>
      <c r="AD33" s="185">
        <f t="shared" si="100"/>
        <v>0</v>
      </c>
      <c r="AE33" s="186">
        <v>6812</v>
      </c>
      <c r="AF33" s="119">
        <f t="shared" si="15"/>
        <v>6812</v>
      </c>
      <c r="AG33" s="170">
        <v>0</v>
      </c>
      <c r="AH33" s="171">
        <v>3894</v>
      </c>
      <c r="AI33" s="172">
        <v>0.36249999999999999</v>
      </c>
      <c r="AJ33" s="171">
        <v>0</v>
      </c>
      <c r="AK33" s="188">
        <v>0</v>
      </c>
      <c r="AL33" s="191">
        <f t="shared" si="52"/>
        <v>45743</v>
      </c>
      <c r="AM33" s="78">
        <f t="shared" si="101"/>
        <v>0.59177964278028838</v>
      </c>
      <c r="AN33" s="77">
        <f t="shared" si="102"/>
        <v>0.40822035721971162</v>
      </c>
      <c r="AO33" s="173">
        <v>9294</v>
      </c>
      <c r="AP33" s="118">
        <f t="shared" si="18"/>
        <v>5500</v>
      </c>
      <c r="AQ33" s="174">
        <v>3794</v>
      </c>
      <c r="AR33" s="175">
        <v>3616</v>
      </c>
      <c r="AS33" s="176">
        <v>0.35486111111111113</v>
      </c>
      <c r="AT33" s="175">
        <v>178</v>
      </c>
      <c r="AU33" s="177">
        <v>0.33333333333333331</v>
      </c>
      <c r="AV33" s="191">
        <f t="shared" si="53"/>
        <v>45743</v>
      </c>
      <c r="AW33" s="192">
        <f t="shared" si="103"/>
        <v>0.67734384624861399</v>
      </c>
      <c r="AX33" s="192">
        <f t="shared" si="104"/>
        <v>0.32265615375138595</v>
      </c>
      <c r="AY33" s="112">
        <f t="shared" si="21"/>
        <v>8117</v>
      </c>
      <c r="AZ33" s="113">
        <v>8117</v>
      </c>
      <c r="BA33" s="193">
        <f t="shared" si="105"/>
        <v>5498</v>
      </c>
      <c r="BB33" s="114">
        <f>1558+1061</f>
        <v>2619</v>
      </c>
      <c r="BC33" s="113">
        <v>4011</v>
      </c>
      <c r="BD33" s="115">
        <v>0.75</v>
      </c>
      <c r="BE33" s="116">
        <v>0</v>
      </c>
      <c r="BF33" s="115">
        <v>0</v>
      </c>
      <c r="BG33" s="116">
        <v>154</v>
      </c>
      <c r="BH33" s="115">
        <v>0.28125</v>
      </c>
      <c r="BI33" s="191">
        <f t="shared" si="54"/>
        <v>45743</v>
      </c>
      <c r="BJ33" s="194">
        <f t="shared" si="106"/>
        <v>0.60071953321038785</v>
      </c>
      <c r="BK33" s="77">
        <f t="shared" si="107"/>
        <v>0.3992804667896121</v>
      </c>
      <c r="BL33" s="80">
        <f t="shared" si="108"/>
        <v>33077</v>
      </c>
      <c r="BM33" s="178">
        <v>19870</v>
      </c>
      <c r="BN33" s="178">
        <v>13207</v>
      </c>
      <c r="BO33" s="179">
        <v>4294</v>
      </c>
      <c r="BP33" s="180">
        <v>0.30069444444444443</v>
      </c>
      <c r="BQ33" s="181">
        <v>2820</v>
      </c>
      <c r="BR33" s="180">
        <v>0.30069444444444443</v>
      </c>
    </row>
    <row r="34" spans="1:70" ht="15.75" thickBot="1" x14ac:dyDescent="0.3">
      <c r="A34" s="14"/>
      <c r="B34" s="57">
        <f t="shared" si="49"/>
        <v>45744</v>
      </c>
      <c r="C34" s="187"/>
      <c r="D34" s="88">
        <f t="shared" si="86"/>
        <v>52654</v>
      </c>
      <c r="E34" s="182">
        <f t="shared" si="87"/>
        <v>0.8806738329471645</v>
      </c>
      <c r="F34" s="88">
        <f t="shared" si="88"/>
        <v>46371</v>
      </c>
      <c r="G34" s="182">
        <f t="shared" si="89"/>
        <v>0.1193261670528355</v>
      </c>
      <c r="H34" s="169">
        <f t="shared" si="90"/>
        <v>6283</v>
      </c>
      <c r="I34" s="183">
        <f t="shared" si="91"/>
        <v>0.12211671270718231</v>
      </c>
      <c r="J34" s="182">
        <f t="shared" si="92"/>
        <v>0.16260359116022099</v>
      </c>
      <c r="K34" s="182">
        <f t="shared" si="93"/>
        <v>0.16423797747756955</v>
      </c>
      <c r="L34" s="184">
        <f t="shared" si="94"/>
        <v>0.57653660220994474</v>
      </c>
      <c r="M34" s="169">
        <f t="shared" si="95"/>
        <v>6247.491022099447</v>
      </c>
      <c r="N34" s="169">
        <f t="shared" si="96"/>
        <v>8318.7997237569052</v>
      </c>
      <c r="O34" s="169">
        <f t="shared" si="97"/>
        <v>8402.4149277524575</v>
      </c>
      <c r="P34" s="169">
        <f t="shared" si="98"/>
        <v>29495.612569060773</v>
      </c>
      <c r="Q34" s="57">
        <f t="shared" si="50"/>
        <v>45744</v>
      </c>
      <c r="R34" s="162">
        <v>52654</v>
      </c>
      <c r="S34" s="163">
        <v>0</v>
      </c>
      <c r="T34" s="163">
        <v>51160</v>
      </c>
      <c r="U34" s="163">
        <v>0</v>
      </c>
      <c r="V34" s="164">
        <v>12555</v>
      </c>
      <c r="W34" s="165">
        <v>0.82291666666666663</v>
      </c>
      <c r="X34" s="164">
        <v>4264</v>
      </c>
      <c r="Y34" s="165">
        <v>0.39583333333333331</v>
      </c>
      <c r="Z34" s="164">
        <v>0</v>
      </c>
      <c r="AA34" s="165">
        <v>0</v>
      </c>
      <c r="AB34" s="57">
        <f t="shared" si="51"/>
        <v>45744</v>
      </c>
      <c r="AC34" s="77">
        <f t="shared" si="99"/>
        <v>1</v>
      </c>
      <c r="AD34" s="185">
        <f t="shared" si="100"/>
        <v>0</v>
      </c>
      <c r="AE34" s="186">
        <v>7073</v>
      </c>
      <c r="AF34" s="119">
        <f t="shared" si="15"/>
        <v>7073</v>
      </c>
      <c r="AG34" s="170">
        <v>0</v>
      </c>
      <c r="AH34" s="171">
        <v>3800</v>
      </c>
      <c r="AI34" s="172">
        <v>0.35972222222222222</v>
      </c>
      <c r="AJ34" s="171">
        <v>0</v>
      </c>
      <c r="AK34" s="188">
        <v>0</v>
      </c>
      <c r="AL34" s="57">
        <f t="shared" si="52"/>
        <v>45744</v>
      </c>
      <c r="AM34" s="78">
        <f t="shared" si="101"/>
        <v>0.59311955829263108</v>
      </c>
      <c r="AN34" s="77">
        <f t="shared" si="102"/>
        <v>0.40688044170736887</v>
      </c>
      <c r="AO34" s="173">
        <v>9418</v>
      </c>
      <c r="AP34" s="118">
        <f t="shared" si="18"/>
        <v>5586</v>
      </c>
      <c r="AQ34" s="174">
        <v>3832</v>
      </c>
      <c r="AR34" s="175">
        <v>3541</v>
      </c>
      <c r="AS34" s="176">
        <v>0.73750000000000004</v>
      </c>
      <c r="AT34" s="175">
        <v>181</v>
      </c>
      <c r="AU34" s="177">
        <v>0.32291666666666669</v>
      </c>
      <c r="AV34" s="57">
        <f t="shared" si="53"/>
        <v>45744</v>
      </c>
      <c r="AW34" s="111">
        <f t="shared" si="103"/>
        <v>0.69499751119960185</v>
      </c>
      <c r="AX34" s="111">
        <f t="shared" si="104"/>
        <v>0.30500248880039821</v>
      </c>
      <c r="AY34" s="112">
        <f t="shared" si="21"/>
        <v>8036</v>
      </c>
      <c r="AZ34" s="113">
        <v>8036</v>
      </c>
      <c r="BA34" s="121">
        <f t="shared" si="105"/>
        <v>5585</v>
      </c>
      <c r="BB34" s="114">
        <v>2451</v>
      </c>
      <c r="BC34" s="113">
        <v>3445</v>
      </c>
      <c r="BD34" s="115">
        <v>0.83333333333333337</v>
      </c>
      <c r="BE34" s="116">
        <v>0</v>
      </c>
      <c r="BF34" s="115">
        <v>0</v>
      </c>
      <c r="BG34" s="116">
        <v>146</v>
      </c>
      <c r="BH34" s="115">
        <v>0.27083333333333331</v>
      </c>
      <c r="BI34" s="57">
        <f t="shared" si="54"/>
        <v>45744</v>
      </c>
      <c r="BJ34" s="79">
        <f t="shared" si="106"/>
        <v>0.6048573054232923</v>
      </c>
      <c r="BK34" s="77">
        <f t="shared" si="107"/>
        <v>0.3951426945767077</v>
      </c>
      <c r="BL34" s="80">
        <f t="shared" si="108"/>
        <v>33393</v>
      </c>
      <c r="BM34" s="178">
        <v>20198</v>
      </c>
      <c r="BN34" s="178">
        <v>13195</v>
      </c>
      <c r="BO34" s="179">
        <v>3816</v>
      </c>
      <c r="BP34" s="180">
        <v>0.79861111111111116</v>
      </c>
      <c r="BQ34" s="181">
        <v>2559</v>
      </c>
      <c r="BR34" s="180">
        <v>0.79861111111111116</v>
      </c>
    </row>
    <row r="35" spans="1:70" ht="15.75" thickBot="1" x14ac:dyDescent="0.3">
      <c r="A35" s="14"/>
      <c r="B35" s="57">
        <f t="shared" si="49"/>
        <v>45745</v>
      </c>
      <c r="C35" s="187"/>
      <c r="D35" s="88">
        <f t="shared" si="86"/>
        <v>30698</v>
      </c>
      <c r="E35" s="182">
        <f t="shared" si="87"/>
        <v>0.83445175581471109</v>
      </c>
      <c r="F35" s="88">
        <f t="shared" si="88"/>
        <v>25616</v>
      </c>
      <c r="G35" s="182">
        <f t="shared" si="89"/>
        <v>0.16554824418528893</v>
      </c>
      <c r="H35" s="169">
        <f t="shared" si="90"/>
        <v>5082</v>
      </c>
      <c r="I35" s="183">
        <f t="shared" si="91"/>
        <v>7.9136476130840558E-2</v>
      </c>
      <c r="J35" s="182">
        <f t="shared" si="92"/>
        <v>0.14706145451292602</v>
      </c>
      <c r="K35" s="182">
        <f t="shared" si="93"/>
        <v>0.15894700487355617</v>
      </c>
      <c r="L35" s="184">
        <f t="shared" si="94"/>
        <v>0.65029668724095779</v>
      </c>
      <c r="M35" s="169">
        <f t="shared" si="95"/>
        <v>2303.7419566448993</v>
      </c>
      <c r="N35" s="169">
        <f t="shared" si="96"/>
        <v>4281.1060023257896</v>
      </c>
      <c r="O35" s="169">
        <f t="shared" si="97"/>
        <v>4627.1062588740942</v>
      </c>
      <c r="P35" s="169">
        <f t="shared" si="98"/>
        <v>18930.786862271521</v>
      </c>
      <c r="Q35" s="57">
        <f t="shared" si="50"/>
        <v>45745</v>
      </c>
      <c r="R35" s="162">
        <v>30698</v>
      </c>
      <c r="S35" s="163">
        <v>0</v>
      </c>
      <c r="T35" s="163">
        <v>29111</v>
      </c>
      <c r="U35" s="163">
        <v>0</v>
      </c>
      <c r="V35" s="164">
        <v>6054</v>
      </c>
      <c r="W35" s="165">
        <v>0.55208333333333337</v>
      </c>
      <c r="X35" s="164">
        <v>2030</v>
      </c>
      <c r="Y35" s="165">
        <v>0.67708333333333337</v>
      </c>
      <c r="Z35" s="164">
        <v>0</v>
      </c>
      <c r="AA35" s="165">
        <v>0</v>
      </c>
      <c r="AB35" s="57">
        <f t="shared" si="51"/>
        <v>45745</v>
      </c>
      <c r="AC35" s="77">
        <f t="shared" si="99"/>
        <v>1</v>
      </c>
      <c r="AD35" s="185">
        <f t="shared" si="100"/>
        <v>0</v>
      </c>
      <c r="AE35" s="186">
        <v>2654</v>
      </c>
      <c r="AF35" s="119">
        <f t="shared" si="15"/>
        <v>2654</v>
      </c>
      <c r="AG35" s="170">
        <v>0</v>
      </c>
      <c r="AH35" s="171">
        <v>1694</v>
      </c>
      <c r="AI35" s="172">
        <v>0.34305555555555556</v>
      </c>
      <c r="AJ35" s="171">
        <v>0</v>
      </c>
      <c r="AK35" s="188">
        <v>0</v>
      </c>
      <c r="AL35" s="57">
        <f t="shared" si="52"/>
        <v>45745</v>
      </c>
      <c r="AM35" s="78">
        <f t="shared" si="101"/>
        <v>0.41524736415247365</v>
      </c>
      <c r="AN35" s="77">
        <f t="shared" si="102"/>
        <v>0.58475263584752635</v>
      </c>
      <c r="AO35" s="173">
        <v>4932</v>
      </c>
      <c r="AP35" s="118">
        <f t="shared" si="18"/>
        <v>2048</v>
      </c>
      <c r="AQ35" s="174">
        <v>2884</v>
      </c>
      <c r="AR35" s="175">
        <v>1571</v>
      </c>
      <c r="AS35" s="176">
        <v>0.56736111111111109</v>
      </c>
      <c r="AT35" s="175">
        <v>188</v>
      </c>
      <c r="AU35" s="177">
        <v>0.3125</v>
      </c>
      <c r="AV35" s="57">
        <f t="shared" si="53"/>
        <v>45745</v>
      </c>
      <c r="AW35" s="111">
        <f t="shared" si="103"/>
        <v>0.46933848382423948</v>
      </c>
      <c r="AX35" s="111">
        <f t="shared" si="104"/>
        <v>0.53066151617576052</v>
      </c>
      <c r="AY35" s="112">
        <f t="shared" si="21"/>
        <v>4142</v>
      </c>
      <c r="AZ35" s="113">
        <v>4142</v>
      </c>
      <c r="BA35" s="121">
        <f t="shared" si="105"/>
        <v>1944</v>
      </c>
      <c r="BB35" s="114">
        <v>2198</v>
      </c>
      <c r="BC35" s="113">
        <v>1492</v>
      </c>
      <c r="BD35" s="115">
        <v>0.77083333333333337</v>
      </c>
      <c r="BE35" s="116">
        <v>0</v>
      </c>
      <c r="BF35" s="115">
        <v>0</v>
      </c>
      <c r="BG35" s="116">
        <v>232</v>
      </c>
      <c r="BH35" s="115">
        <v>0.21875</v>
      </c>
      <c r="BI35" s="57">
        <f t="shared" si="54"/>
        <v>45745</v>
      </c>
      <c r="BJ35" s="79">
        <f t="shared" si="106"/>
        <v>0.59943142739236099</v>
      </c>
      <c r="BK35" s="77">
        <f t="shared" si="107"/>
        <v>0.40056857260763906</v>
      </c>
      <c r="BL35" s="80">
        <f t="shared" si="108"/>
        <v>21809</v>
      </c>
      <c r="BM35" s="178">
        <v>13073</v>
      </c>
      <c r="BN35" s="178">
        <v>8736</v>
      </c>
      <c r="BO35" s="179">
        <v>2507</v>
      </c>
      <c r="BP35" s="180">
        <v>0.78055555555555556</v>
      </c>
      <c r="BQ35" s="181">
        <v>1734</v>
      </c>
      <c r="BR35" s="180">
        <v>0.78055555555555556</v>
      </c>
    </row>
    <row r="36" spans="1:70" ht="15.75" thickBot="1" x14ac:dyDescent="0.3">
      <c r="A36" s="14"/>
      <c r="B36" s="57">
        <f t="shared" si="49"/>
        <v>45746</v>
      </c>
      <c r="C36" s="187"/>
      <c r="D36" s="88">
        <f t="shared" si="86"/>
        <v>25520</v>
      </c>
      <c r="E36" s="182">
        <f t="shared" si="87"/>
        <v>0.80124216300940443</v>
      </c>
      <c r="F36" s="88">
        <f t="shared" si="88"/>
        <v>20447.7</v>
      </c>
      <c r="G36" s="182">
        <f t="shared" si="89"/>
        <v>0.19875783699059557</v>
      </c>
      <c r="H36" s="169">
        <f t="shared" si="90"/>
        <v>5072.2999999999993</v>
      </c>
      <c r="I36" s="183">
        <f t="shared" si="91"/>
        <v>5.902608587363313E-2</v>
      </c>
      <c r="J36" s="182">
        <f t="shared" si="92"/>
        <v>0.14715795098210283</v>
      </c>
      <c r="K36" s="182">
        <f t="shared" si="93"/>
        <v>0.17327836048929957</v>
      </c>
      <c r="L36" s="184">
        <f t="shared" si="94"/>
        <v>0.65998911067363952</v>
      </c>
      <c r="M36" s="169">
        <f>(S36+T36)*I36</f>
        <v>1425.0006820309463</v>
      </c>
      <c r="N36" s="169">
        <f>(S36+T36)*J36</f>
        <v>3552.6695936558085</v>
      </c>
      <c r="O36" s="169">
        <f>(S36+T36)*K36</f>
        <v>4183.265385529412</v>
      </c>
      <c r="P36" s="169">
        <f>(S36+T36)*L36</f>
        <v>15933.377911189726</v>
      </c>
      <c r="Q36" s="57">
        <f t="shared" si="50"/>
        <v>45746</v>
      </c>
      <c r="R36" s="162">
        <v>25520</v>
      </c>
      <c r="S36" s="163">
        <v>0</v>
      </c>
      <c r="T36" s="163">
        <v>24141.88</v>
      </c>
      <c r="U36" s="163">
        <v>0</v>
      </c>
      <c r="V36" s="164">
        <v>5702.21</v>
      </c>
      <c r="W36" s="165">
        <v>0.69791666666666663</v>
      </c>
      <c r="X36" s="164">
        <v>1730.66</v>
      </c>
      <c r="Y36" s="165">
        <v>0.96875</v>
      </c>
      <c r="Z36" s="164">
        <v>0</v>
      </c>
      <c r="AA36" s="165">
        <v>0</v>
      </c>
      <c r="AB36" s="57">
        <f t="shared" si="51"/>
        <v>45746</v>
      </c>
      <c r="AC36" s="77">
        <f t="shared" si="99"/>
        <v>1</v>
      </c>
      <c r="AD36" s="185">
        <f t="shared" si="100"/>
        <v>0</v>
      </c>
      <c r="AE36" s="186">
        <v>1630.5</v>
      </c>
      <c r="AF36" s="119">
        <f t="shared" si="15"/>
        <v>1630.5</v>
      </c>
      <c r="AG36" s="170">
        <v>0</v>
      </c>
      <c r="AH36" s="171">
        <v>1647.38</v>
      </c>
      <c r="AI36" s="172">
        <v>0.73958333333333337</v>
      </c>
      <c r="AJ36" s="171">
        <v>0</v>
      </c>
      <c r="AK36" s="188">
        <v>0</v>
      </c>
      <c r="AL36" s="57">
        <f t="shared" si="52"/>
        <v>45746</v>
      </c>
      <c r="AM36" s="78">
        <f t="shared" si="101"/>
        <v>0.33497416974169741</v>
      </c>
      <c r="AN36" s="77">
        <f t="shared" si="102"/>
        <v>0.66502583025830253</v>
      </c>
      <c r="AO36" s="173">
        <v>4065</v>
      </c>
      <c r="AP36" s="118">
        <f t="shared" si="18"/>
        <v>1361.67</v>
      </c>
      <c r="AQ36" s="174">
        <v>2703.33</v>
      </c>
      <c r="AR36" s="175">
        <v>1602.76</v>
      </c>
      <c r="AS36" s="176">
        <v>0.74583333333333335</v>
      </c>
      <c r="AT36" s="175">
        <v>171.34</v>
      </c>
      <c r="AU36" s="177">
        <v>0.89583333333333337</v>
      </c>
      <c r="AV36" s="57">
        <f t="shared" si="53"/>
        <v>45746</v>
      </c>
      <c r="AW36" s="111">
        <f t="shared" si="103"/>
        <v>0.35917495097044705</v>
      </c>
      <c r="AX36" s="111">
        <f t="shared" si="104"/>
        <v>0.64082504902955295</v>
      </c>
      <c r="AY36" s="112">
        <f t="shared" si="21"/>
        <v>3696.75</v>
      </c>
      <c r="AZ36" s="113">
        <v>3696.75</v>
      </c>
      <c r="BA36" s="121">
        <f t="shared" si="105"/>
        <v>1327.7800000000002</v>
      </c>
      <c r="BB36" s="114">
        <v>2368.9699999999998</v>
      </c>
      <c r="BC36" s="113">
        <v>1306.7</v>
      </c>
      <c r="BD36" s="115">
        <v>0.92708333333333337</v>
      </c>
      <c r="BE36" s="116">
        <v>0</v>
      </c>
      <c r="BF36" s="115">
        <v>0</v>
      </c>
      <c r="BG36" s="116">
        <v>146.5</v>
      </c>
      <c r="BH36" s="115">
        <v>0.26041666666666669</v>
      </c>
      <c r="BI36" s="57">
        <f t="shared" si="54"/>
        <v>45746</v>
      </c>
      <c r="BJ36" s="79">
        <f t="shared" si="106"/>
        <v>0.60053874883235425</v>
      </c>
      <c r="BK36" s="77">
        <f t="shared" si="107"/>
        <v>0.39946125116764564</v>
      </c>
      <c r="BL36" s="80">
        <f t="shared" si="108"/>
        <v>18231.13</v>
      </c>
      <c r="BM36" s="178">
        <v>10948.5</v>
      </c>
      <c r="BN36" s="178">
        <v>7282.63</v>
      </c>
      <c r="BO36" s="179">
        <v>2181.9899999999998</v>
      </c>
      <c r="BP36" s="180">
        <v>0.81805555555555554</v>
      </c>
      <c r="BQ36" s="181">
        <v>1442.83</v>
      </c>
      <c r="BR36" s="180">
        <v>0.81805555555555554</v>
      </c>
    </row>
    <row r="37" spans="1:70" ht="15.75" thickBot="1" x14ac:dyDescent="0.3">
      <c r="A37" s="14"/>
      <c r="B37" s="57">
        <f t="shared" si="49"/>
        <v>45747</v>
      </c>
      <c r="C37" s="187"/>
      <c r="D37" s="88">
        <f t="shared" si="86"/>
        <v>53828</v>
      </c>
      <c r="E37" s="182">
        <f t="shared" si="87"/>
        <v>0.88242178791706916</v>
      </c>
      <c r="F37" s="88">
        <f t="shared" si="88"/>
        <v>47499</v>
      </c>
      <c r="G37" s="182">
        <f t="shared" si="89"/>
        <v>0.11757821208293082</v>
      </c>
      <c r="H37" s="169">
        <f t="shared" si="90"/>
        <v>6329</v>
      </c>
      <c r="I37" s="183">
        <f t="shared" si="91"/>
        <v>0.11773192417379634</v>
      </c>
      <c r="J37" s="182">
        <f t="shared" si="92"/>
        <v>0.16082872001342058</v>
      </c>
      <c r="K37" s="182">
        <f t="shared" si="93"/>
        <v>0.16338985746376955</v>
      </c>
      <c r="L37" s="184">
        <f t="shared" si="94"/>
        <v>0.58355980540177821</v>
      </c>
      <c r="M37" s="169">
        <f t="shared" si="95"/>
        <v>6146.4305653413858</v>
      </c>
      <c r="N37" s="169">
        <f t="shared" si="96"/>
        <v>8396.3849857406476</v>
      </c>
      <c r="O37" s="169">
        <f t="shared" si="97"/>
        <v>8530.094288611017</v>
      </c>
      <c r="P37" s="169">
        <f t="shared" si="98"/>
        <v>30465.906760610636</v>
      </c>
      <c r="Q37" s="57">
        <f t="shared" si="50"/>
        <v>45747</v>
      </c>
      <c r="R37" s="162">
        <v>53828</v>
      </c>
      <c r="S37" s="163">
        <v>0</v>
      </c>
      <c r="T37" s="163">
        <v>52207</v>
      </c>
      <c r="U37" s="163">
        <v>0</v>
      </c>
      <c r="V37" s="164">
        <v>15544</v>
      </c>
      <c r="W37" s="165">
        <v>0.78125</v>
      </c>
      <c r="X37" s="164">
        <v>4352</v>
      </c>
      <c r="Y37" s="165">
        <v>0.80208333333333337</v>
      </c>
      <c r="Z37" s="164">
        <v>0</v>
      </c>
      <c r="AA37" s="165">
        <v>0</v>
      </c>
      <c r="AB37" s="57">
        <f t="shared" si="51"/>
        <v>45747</v>
      </c>
      <c r="AC37" s="77">
        <f t="shared" si="99"/>
        <v>1</v>
      </c>
      <c r="AD37" s="185">
        <f t="shared" si="100"/>
        <v>0</v>
      </c>
      <c r="AE37" s="186">
        <v>7018</v>
      </c>
      <c r="AF37" s="119">
        <f t="shared" si="15"/>
        <v>7018</v>
      </c>
      <c r="AG37" s="170">
        <v>0</v>
      </c>
      <c r="AH37" s="171">
        <v>4442</v>
      </c>
      <c r="AI37" s="172">
        <v>0.34305555555555556</v>
      </c>
      <c r="AJ37" s="171">
        <v>0</v>
      </c>
      <c r="AK37" s="188">
        <v>0</v>
      </c>
      <c r="AL37" s="57">
        <f t="shared" si="52"/>
        <v>45747</v>
      </c>
      <c r="AM37" s="78">
        <f t="shared" si="101"/>
        <v>0.59580682173776989</v>
      </c>
      <c r="AN37" s="77">
        <f t="shared" si="102"/>
        <v>0.40419317826223011</v>
      </c>
      <c r="AO37" s="173">
        <v>9587</v>
      </c>
      <c r="AP37" s="118">
        <f t="shared" si="18"/>
        <v>5712</v>
      </c>
      <c r="AQ37" s="174">
        <v>3875</v>
      </c>
      <c r="AR37" s="175">
        <v>4308</v>
      </c>
      <c r="AS37" s="176">
        <v>0.73958333333333337</v>
      </c>
      <c r="AT37" s="175">
        <v>185</v>
      </c>
      <c r="AU37" s="177">
        <v>0.33333333333333331</v>
      </c>
      <c r="AV37" s="57">
        <f t="shared" si="53"/>
        <v>45747</v>
      </c>
      <c r="AW37" s="111">
        <f t="shared" si="103"/>
        <v>0.70142353084316822</v>
      </c>
      <c r="AX37" s="111">
        <f t="shared" si="104"/>
        <v>0.29857646915683173</v>
      </c>
      <c r="AY37" s="112">
        <f t="shared" si="21"/>
        <v>8219</v>
      </c>
      <c r="AZ37" s="113">
        <v>8219</v>
      </c>
      <c r="BA37" s="121">
        <f t="shared" si="105"/>
        <v>5765</v>
      </c>
      <c r="BB37" s="114">
        <v>2454</v>
      </c>
      <c r="BC37" s="113">
        <v>4210</v>
      </c>
      <c r="BD37" s="115">
        <v>0.73958333333333337</v>
      </c>
      <c r="BE37" s="116">
        <v>0</v>
      </c>
      <c r="BF37" s="115">
        <v>0</v>
      </c>
      <c r="BG37" s="116">
        <v>151</v>
      </c>
      <c r="BH37" s="115">
        <v>0.85416666666666663</v>
      </c>
      <c r="BI37" s="57">
        <f t="shared" si="54"/>
        <v>45747</v>
      </c>
      <c r="BJ37" s="79">
        <f t="shared" si="106"/>
        <v>0.60757201172885644</v>
      </c>
      <c r="BK37" s="77">
        <f t="shared" si="107"/>
        <v>0.39242798827114356</v>
      </c>
      <c r="BL37" s="80">
        <f t="shared" si="108"/>
        <v>34786</v>
      </c>
      <c r="BM37" s="178">
        <v>21135</v>
      </c>
      <c r="BN37" s="178">
        <v>13651</v>
      </c>
      <c r="BO37" s="179">
        <v>4684</v>
      </c>
      <c r="BP37" s="180">
        <v>0.7006944444444444</v>
      </c>
      <c r="BQ37" s="181">
        <v>3181</v>
      </c>
      <c r="BR37" s="180">
        <v>0.7006944444444444</v>
      </c>
    </row>
    <row r="38" spans="1:70" ht="15.75" thickBot="1" x14ac:dyDescent="0.3">
      <c r="A38" s="14"/>
      <c r="B38" s="57">
        <f t="shared" ref="B38" si="109">B37+1</f>
        <v>45748</v>
      </c>
      <c r="C38" s="187"/>
      <c r="D38" s="88">
        <f t="shared" ref="D38" si="110">R38</f>
        <v>0</v>
      </c>
      <c r="E38" s="182" t="e">
        <f t="shared" ref="E38" si="111">F38/D38</f>
        <v>#DIV/0!</v>
      </c>
      <c r="F38" s="88">
        <f t="shared" ref="F38" si="112">D38-H38</f>
        <v>0</v>
      </c>
      <c r="G38" s="182" t="e">
        <f t="shared" ref="G38" si="113">H38/D38</f>
        <v>#DIV/0!</v>
      </c>
      <c r="H38" s="169">
        <f t="shared" ref="H38" si="114">U38+AG38+AQ38+BB38</f>
        <v>0</v>
      </c>
      <c r="I38" s="183" t="e">
        <f t="shared" ref="I38" si="115">AE38/(AE38+AO38+BL38+AY38)</f>
        <v>#DIV/0!</v>
      </c>
      <c r="J38" s="182" t="e">
        <f t="shared" ref="J38" si="116">AO38/(AE38+AO38+BL38+AY38)</f>
        <v>#DIV/0!</v>
      </c>
      <c r="K38" s="182" t="e">
        <f t="shared" ref="K38" si="117">AY38/(AF38+AP38+BM38+AZ38+AY38)</f>
        <v>#DIV/0!</v>
      </c>
      <c r="L38" s="184" t="e">
        <f t="shared" ref="L38" si="118">BL38/(AE38+AO38+BL38+AY38)</f>
        <v>#DIV/0!</v>
      </c>
      <c r="M38" s="169" t="e">
        <f t="shared" ref="M38" si="119">(S38+T38)*I38</f>
        <v>#DIV/0!</v>
      </c>
      <c r="N38" s="169" t="e">
        <f t="shared" ref="N38" si="120">(S38+T38)*J38</f>
        <v>#DIV/0!</v>
      </c>
      <c r="O38" s="169" t="e">
        <f t="shared" ref="O38" si="121">(S38+T38)*K38</f>
        <v>#DIV/0!</v>
      </c>
      <c r="P38" s="169" t="e">
        <f t="shared" ref="P38" si="122">(S38+T38)*L38</f>
        <v>#DIV/0!</v>
      </c>
      <c r="Q38" s="57">
        <f t="shared" ref="Q38" si="123">Q37+1</f>
        <v>45748</v>
      </c>
      <c r="R38" s="162"/>
      <c r="S38" s="163"/>
      <c r="T38" s="163"/>
      <c r="U38" s="163"/>
      <c r="V38" s="164"/>
      <c r="W38" s="165"/>
      <c r="X38" s="164"/>
      <c r="Y38" s="165"/>
      <c r="Z38" s="164"/>
      <c r="AA38" s="165"/>
      <c r="AB38" s="57">
        <f t="shared" si="51"/>
        <v>45748</v>
      </c>
      <c r="AC38" s="77" t="e">
        <f t="shared" ref="AC38" si="124">+AF38/AE38</f>
        <v>#DIV/0!</v>
      </c>
      <c r="AD38" s="185" t="e">
        <f t="shared" ref="AD38" si="125">+AG38/AE38</f>
        <v>#DIV/0!</v>
      </c>
      <c r="AE38" s="186"/>
      <c r="AF38" s="119">
        <f t="shared" si="15"/>
        <v>0</v>
      </c>
      <c r="AG38" s="170"/>
      <c r="AH38" s="171"/>
      <c r="AI38" s="172"/>
      <c r="AJ38" s="171"/>
      <c r="AK38" s="188"/>
      <c r="AL38" s="57">
        <f t="shared" si="52"/>
        <v>45748</v>
      </c>
      <c r="AM38" s="78" t="e">
        <f t="shared" ref="AM38" si="126">+AP38/AO38</f>
        <v>#DIV/0!</v>
      </c>
      <c r="AN38" s="77" t="e">
        <f t="shared" ref="AN38" si="127">+AQ38/AO38</f>
        <v>#DIV/0!</v>
      </c>
      <c r="AO38" s="173"/>
      <c r="AP38" s="118">
        <f t="shared" si="18"/>
        <v>0</v>
      </c>
      <c r="AQ38" s="174"/>
      <c r="AR38" s="175"/>
      <c r="AS38" s="176"/>
      <c r="AT38" s="175"/>
      <c r="AU38" s="177"/>
      <c r="AV38" s="57">
        <f t="shared" si="53"/>
        <v>45748</v>
      </c>
      <c r="AW38" s="111" t="e">
        <f t="shared" ref="AW38" si="128">BA38/AZ38</f>
        <v>#DIV/0!</v>
      </c>
      <c r="AX38" s="111" t="e">
        <f t="shared" ref="AX38" si="129">BB38/AZ38</f>
        <v>#DIV/0!</v>
      </c>
      <c r="AY38" s="112">
        <f t="shared" ref="AY38" si="130">BA38+BB38</f>
        <v>0</v>
      </c>
      <c r="AZ38" s="113"/>
      <c r="BA38" s="121">
        <f t="shared" ref="BA38" si="131">AZ38-BB38</f>
        <v>0</v>
      </c>
      <c r="BB38" s="114"/>
      <c r="BC38" s="113"/>
      <c r="BD38" s="115"/>
      <c r="BE38" s="116"/>
      <c r="BF38" s="115"/>
      <c r="BG38" s="116"/>
      <c r="BH38" s="115"/>
      <c r="BI38" s="57">
        <f t="shared" si="54"/>
        <v>45748</v>
      </c>
      <c r="BJ38" s="79" t="e">
        <f t="shared" ref="BJ38" si="132">+BM38/BL38</f>
        <v>#DIV/0!</v>
      </c>
      <c r="BK38" s="77" t="e">
        <f t="shared" ref="BK38" si="133">+BN38/BL38</f>
        <v>#DIV/0!</v>
      </c>
      <c r="BL38" s="80">
        <f t="shared" ref="BL38" si="134">BM38+BN38</f>
        <v>0</v>
      </c>
      <c r="BM38" s="178"/>
      <c r="BN38" s="178"/>
      <c r="BO38" s="179"/>
      <c r="BP38" s="180"/>
      <c r="BQ38" s="181"/>
      <c r="BR38" s="180"/>
    </row>
    <row r="40" spans="1:70" x14ac:dyDescent="0.25">
      <c r="R40" s="200">
        <f>R37-S41</f>
        <v>52449.880000000005</v>
      </c>
    </row>
    <row r="41" spans="1:70" x14ac:dyDescent="0.25">
      <c r="S41" s="201">
        <f>R36-T36</f>
        <v>1378.119999999999</v>
      </c>
      <c r="T41" s="201"/>
      <c r="U41" s="200"/>
    </row>
    <row r="43" spans="1:70" x14ac:dyDescent="0.25">
      <c r="S43" s="201"/>
      <c r="T43" s="200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0"/>
  <sheetViews>
    <sheetView tabSelected="1" topLeftCell="A26" zoomScale="130" zoomScaleNormal="130" workbookViewId="0">
      <selection activeCell="G47" sqref="G47:H47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42" t="s">
        <v>0</v>
      </c>
      <c r="D2" s="245" t="s">
        <v>38</v>
      </c>
      <c r="E2" s="246"/>
      <c r="F2" s="246"/>
      <c r="G2" s="246"/>
      <c r="H2" s="247"/>
      <c r="J2" s="245" t="s">
        <v>39</v>
      </c>
      <c r="K2" s="246"/>
      <c r="L2" s="247"/>
      <c r="N2" s="245" t="s">
        <v>40</v>
      </c>
      <c r="O2" s="246"/>
      <c r="P2" s="246"/>
      <c r="Q2" s="246"/>
      <c r="R2" s="246"/>
      <c r="S2" s="246"/>
      <c r="T2" s="247"/>
      <c r="V2" s="251" t="s">
        <v>41</v>
      </c>
      <c r="W2" s="252"/>
      <c r="X2" s="253"/>
    </row>
    <row r="3" spans="2:27" ht="15.75" thickBot="1" x14ac:dyDescent="0.3">
      <c r="B3" s="243"/>
      <c r="D3" s="248"/>
      <c r="E3" s="249"/>
      <c r="F3" s="249"/>
      <c r="G3" s="249"/>
      <c r="H3" s="250"/>
      <c r="J3" s="248"/>
      <c r="K3" s="249"/>
      <c r="L3" s="250"/>
      <c r="N3" s="248"/>
      <c r="O3" s="249"/>
      <c r="P3" s="249"/>
      <c r="Q3" s="249"/>
      <c r="R3" s="249"/>
      <c r="S3" s="249"/>
      <c r="T3" s="250"/>
      <c r="V3" s="254"/>
      <c r="W3" s="255"/>
      <c r="X3" s="256"/>
    </row>
    <row r="4" spans="2:27" ht="23.25" customHeight="1" x14ac:dyDescent="0.25">
      <c r="B4" s="243"/>
      <c r="D4" s="257" t="s">
        <v>42</v>
      </c>
      <c r="E4" s="258"/>
      <c r="F4" s="257" t="s">
        <v>43</v>
      </c>
      <c r="G4" s="259"/>
      <c r="H4" s="260"/>
      <c r="J4" s="257" t="s">
        <v>42</v>
      </c>
      <c r="K4" s="258"/>
      <c r="L4" s="16" t="s">
        <v>43</v>
      </c>
      <c r="N4" s="240" t="s">
        <v>42</v>
      </c>
      <c r="O4" s="261"/>
      <c r="P4" s="262"/>
      <c r="Q4" s="263"/>
      <c r="R4" s="257" t="s">
        <v>43</v>
      </c>
      <c r="S4" s="264"/>
      <c r="T4" s="260"/>
      <c r="V4" s="240" t="s">
        <v>42</v>
      </c>
      <c r="W4" s="241"/>
      <c r="X4" s="16" t="s">
        <v>43</v>
      </c>
    </row>
    <row r="5" spans="2:27" ht="23.25" thickBot="1" x14ac:dyDescent="0.3">
      <c r="B5" s="244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8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3" customFormat="1" ht="15.75" thickBot="1" x14ac:dyDescent="0.3">
      <c r="B14" s="91">
        <v>45716</v>
      </c>
      <c r="C14" s="13"/>
      <c r="D14" s="92">
        <v>116</v>
      </c>
      <c r="E14" s="90">
        <v>0.6875</v>
      </c>
      <c r="F14" s="89">
        <v>1225</v>
      </c>
      <c r="G14" s="94">
        <f t="shared" ref="G14" si="0">F14-H14</f>
        <v>701</v>
      </c>
      <c r="H14" s="89">
        <v>524</v>
      </c>
      <c r="I14" s="91">
        <f>B14</f>
        <v>45716</v>
      </c>
      <c r="J14" s="92">
        <v>31</v>
      </c>
      <c r="K14" s="90">
        <v>0.58333333333333337</v>
      </c>
      <c r="L14" s="89">
        <v>589</v>
      </c>
      <c r="M14" s="91">
        <f>B14</f>
        <v>45716</v>
      </c>
      <c r="N14" s="92">
        <v>2</v>
      </c>
      <c r="O14" s="90">
        <v>0.70833333333333337</v>
      </c>
      <c r="P14" s="92">
        <v>29</v>
      </c>
      <c r="Q14" s="90">
        <v>0.75</v>
      </c>
      <c r="R14" s="93">
        <f t="shared" ref="R14" si="1">S14+T14</f>
        <v>523</v>
      </c>
      <c r="S14" s="89">
        <v>38</v>
      </c>
      <c r="T14" s="89">
        <v>485</v>
      </c>
      <c r="U14" s="91">
        <f>B14</f>
        <v>45716</v>
      </c>
      <c r="V14" s="92">
        <v>28</v>
      </c>
      <c r="W14" s="90">
        <v>0.89583333333333337</v>
      </c>
      <c r="X14" s="89">
        <v>518</v>
      </c>
    </row>
    <row r="15" spans="2:27" s="53" customFormat="1" ht="15.75" thickBot="1" x14ac:dyDescent="0.3">
      <c r="B15" s="56">
        <f t="shared" ref="B15:B16" si="2">B14+1</f>
        <v>45717</v>
      </c>
      <c r="C15" s="13"/>
      <c r="D15" s="25">
        <v>77</v>
      </c>
      <c r="E15" s="11">
        <v>0.21875</v>
      </c>
      <c r="F15" s="10">
        <v>898</v>
      </c>
      <c r="G15" s="94">
        <f t="shared" ref="G15:G25" si="3">F15-H15</f>
        <v>374</v>
      </c>
      <c r="H15" s="10">
        <v>524</v>
      </c>
      <c r="I15" s="91">
        <f t="shared" ref="I15:I45" si="4">I14+1</f>
        <v>45717</v>
      </c>
      <c r="J15" s="25">
        <v>33</v>
      </c>
      <c r="K15" s="55">
        <v>0.76041666666666663</v>
      </c>
      <c r="L15" s="54">
        <v>577</v>
      </c>
      <c r="M15" s="91">
        <f t="shared" ref="M15:M40" si="5">B15</f>
        <v>45717</v>
      </c>
      <c r="N15" s="50">
        <v>2</v>
      </c>
      <c r="O15" s="11">
        <v>0.5625</v>
      </c>
      <c r="P15" s="52">
        <v>29</v>
      </c>
      <c r="Q15" s="11">
        <v>0.60416666666666663</v>
      </c>
      <c r="R15" s="93">
        <f t="shared" ref="R15:R25" si="6">S15+T15</f>
        <v>484</v>
      </c>
      <c r="S15" s="10">
        <v>42</v>
      </c>
      <c r="T15" s="10">
        <v>442</v>
      </c>
      <c r="U15" s="91">
        <f t="shared" ref="U15:U45" si="7">U14+1</f>
        <v>45717</v>
      </c>
      <c r="V15" s="25">
        <v>31</v>
      </c>
      <c r="W15" s="11">
        <v>0.5625</v>
      </c>
      <c r="X15" s="10">
        <v>540</v>
      </c>
    </row>
    <row r="16" spans="2:27" s="53" customFormat="1" ht="15.75" thickBot="1" x14ac:dyDescent="0.3">
      <c r="B16" s="56">
        <f t="shared" si="2"/>
        <v>45718</v>
      </c>
      <c r="C16" s="13"/>
      <c r="D16" s="50">
        <v>94</v>
      </c>
      <c r="E16" s="11">
        <v>0.91319444444444442</v>
      </c>
      <c r="F16" s="10">
        <v>1241</v>
      </c>
      <c r="G16" s="94">
        <f t="shared" si="3"/>
        <v>792</v>
      </c>
      <c r="H16" s="10">
        <v>449</v>
      </c>
      <c r="I16" s="91">
        <f t="shared" si="4"/>
        <v>45718</v>
      </c>
      <c r="J16" s="50">
        <v>30</v>
      </c>
      <c r="K16" s="55">
        <v>0.24305555555555555</v>
      </c>
      <c r="L16" s="54">
        <v>330</v>
      </c>
      <c r="M16" s="91">
        <f t="shared" si="5"/>
        <v>45718</v>
      </c>
      <c r="N16" s="50">
        <v>2</v>
      </c>
      <c r="O16" s="11">
        <v>0.21180555555555555</v>
      </c>
      <c r="P16" s="50">
        <v>30</v>
      </c>
      <c r="Q16" s="11">
        <v>0.72986111111111107</v>
      </c>
      <c r="R16" s="93">
        <f t="shared" si="6"/>
        <v>434</v>
      </c>
      <c r="S16" s="10">
        <v>48</v>
      </c>
      <c r="T16" s="10">
        <v>386</v>
      </c>
      <c r="U16" s="91">
        <f t="shared" si="7"/>
        <v>45718</v>
      </c>
      <c r="V16" s="50">
        <v>30</v>
      </c>
      <c r="W16" s="11">
        <v>0.70138888888888884</v>
      </c>
      <c r="X16" s="10">
        <v>579</v>
      </c>
    </row>
    <row r="17" spans="1:24" ht="15.75" thickBot="1" x14ac:dyDescent="0.3">
      <c r="A17">
        <v>0</v>
      </c>
      <c r="B17" s="56">
        <f t="shared" ref="B17:B45" si="8">B16+1</f>
        <v>45719</v>
      </c>
      <c r="D17" s="50">
        <v>118</v>
      </c>
      <c r="E17" s="55">
        <v>0.69791666666666663</v>
      </c>
      <c r="F17" s="54">
        <v>1254</v>
      </c>
      <c r="G17" s="94">
        <f t="shared" si="3"/>
        <v>696</v>
      </c>
      <c r="H17" s="54">
        <v>558</v>
      </c>
      <c r="I17" s="91">
        <f t="shared" si="4"/>
        <v>45719</v>
      </c>
      <c r="J17" s="50">
        <v>35</v>
      </c>
      <c r="K17" s="55">
        <v>0.60416666666666663</v>
      </c>
      <c r="L17" s="54">
        <v>613</v>
      </c>
      <c r="M17" s="91">
        <f t="shared" si="5"/>
        <v>45719</v>
      </c>
      <c r="N17" s="50">
        <v>2</v>
      </c>
      <c r="O17" s="55">
        <v>0.80208333333333337</v>
      </c>
      <c r="P17" s="50">
        <v>30</v>
      </c>
      <c r="Q17" s="55">
        <v>0.80208333333333337</v>
      </c>
      <c r="R17" s="93">
        <f t="shared" si="6"/>
        <v>524</v>
      </c>
      <c r="S17" s="54">
        <v>44</v>
      </c>
      <c r="T17" s="54">
        <v>480</v>
      </c>
      <c r="U17" s="91">
        <f t="shared" si="7"/>
        <v>45719</v>
      </c>
      <c r="V17" s="50">
        <v>30</v>
      </c>
      <c r="W17" s="55">
        <v>0.85416666666666663</v>
      </c>
      <c r="X17" s="54">
        <v>521</v>
      </c>
    </row>
    <row r="18" spans="1:24" ht="15.75" thickBot="1" x14ac:dyDescent="0.3">
      <c r="B18" s="56">
        <f t="shared" si="8"/>
        <v>45720</v>
      </c>
      <c r="D18" s="50">
        <v>105</v>
      </c>
      <c r="E18" s="55">
        <v>0.51041666666666663</v>
      </c>
      <c r="F18" s="54">
        <v>1286</v>
      </c>
      <c r="G18" s="94">
        <f t="shared" si="3"/>
        <v>706</v>
      </c>
      <c r="H18" s="54">
        <v>580</v>
      </c>
      <c r="I18" s="91">
        <f t="shared" si="4"/>
        <v>45720</v>
      </c>
      <c r="J18" s="50">
        <v>46</v>
      </c>
      <c r="K18" s="55">
        <v>0.63541666666666663</v>
      </c>
      <c r="L18" s="54">
        <v>618</v>
      </c>
      <c r="M18" s="91">
        <f t="shared" si="5"/>
        <v>45720</v>
      </c>
      <c r="N18" s="50">
        <v>2</v>
      </c>
      <c r="O18" s="55">
        <v>0.57291666666666663</v>
      </c>
      <c r="P18" s="50">
        <v>32</v>
      </c>
      <c r="Q18" s="55">
        <v>0.89583333333333337</v>
      </c>
      <c r="R18" s="51">
        <f t="shared" si="6"/>
        <v>529</v>
      </c>
      <c r="S18" s="54">
        <v>43</v>
      </c>
      <c r="T18" s="54">
        <v>486</v>
      </c>
      <c r="U18" s="91">
        <f t="shared" si="7"/>
        <v>45720</v>
      </c>
      <c r="V18" s="50">
        <v>30</v>
      </c>
      <c r="W18" s="55">
        <v>0.94791666666666663</v>
      </c>
      <c r="X18" s="54">
        <v>498</v>
      </c>
    </row>
    <row r="19" spans="1:24" ht="15.75" thickBot="1" x14ac:dyDescent="0.3">
      <c r="B19" s="91">
        <f t="shared" si="8"/>
        <v>45721</v>
      </c>
      <c r="D19" s="92">
        <v>114</v>
      </c>
      <c r="E19" s="90">
        <v>0.64583333333333337</v>
      </c>
      <c r="F19" s="89">
        <v>1288</v>
      </c>
      <c r="G19" s="94">
        <f t="shared" si="3"/>
        <v>715</v>
      </c>
      <c r="H19" s="89">
        <v>573</v>
      </c>
      <c r="I19" s="91">
        <f t="shared" si="4"/>
        <v>45721</v>
      </c>
      <c r="J19" s="92">
        <v>34</v>
      </c>
      <c r="K19" s="90">
        <v>0.6875</v>
      </c>
      <c r="L19" s="89">
        <v>596</v>
      </c>
      <c r="M19" s="91">
        <f t="shared" si="5"/>
        <v>45721</v>
      </c>
      <c r="N19" s="92">
        <v>2</v>
      </c>
      <c r="O19" s="90">
        <v>0.73958333333333337</v>
      </c>
      <c r="P19" s="92">
        <v>32</v>
      </c>
      <c r="Q19" s="90">
        <v>0.69791666666666663</v>
      </c>
      <c r="R19" s="93">
        <f t="shared" si="6"/>
        <v>527</v>
      </c>
      <c r="S19" s="89">
        <v>44</v>
      </c>
      <c r="T19" s="89">
        <v>483</v>
      </c>
      <c r="U19" s="91">
        <f t="shared" si="7"/>
        <v>45721</v>
      </c>
      <c r="V19" s="92">
        <v>27</v>
      </c>
      <c r="W19" s="90">
        <v>0.30208333333333331</v>
      </c>
      <c r="X19" s="89">
        <v>501</v>
      </c>
    </row>
    <row r="20" spans="1:24" ht="15.75" thickBot="1" x14ac:dyDescent="0.3">
      <c r="B20" s="91">
        <f t="shared" si="8"/>
        <v>45722</v>
      </c>
      <c r="D20" s="195">
        <v>83</v>
      </c>
      <c r="E20" s="196">
        <v>0.55208333333333337</v>
      </c>
      <c r="F20" s="197">
        <v>1209</v>
      </c>
      <c r="G20" s="198">
        <f t="shared" si="3"/>
        <v>679</v>
      </c>
      <c r="H20" s="197">
        <v>530</v>
      </c>
      <c r="I20" s="91">
        <f t="shared" si="4"/>
        <v>45722</v>
      </c>
      <c r="J20" s="195">
        <v>29</v>
      </c>
      <c r="K20" s="196">
        <v>0.59375</v>
      </c>
      <c r="L20" s="197">
        <v>574</v>
      </c>
      <c r="M20" s="199">
        <f t="shared" ref="M20" si="9">M19+1</f>
        <v>45722</v>
      </c>
      <c r="N20" s="195">
        <v>2</v>
      </c>
      <c r="O20" s="196">
        <v>0.57291666666666663</v>
      </c>
      <c r="P20" s="195">
        <v>36</v>
      </c>
      <c r="Q20" s="196">
        <v>0.5625</v>
      </c>
      <c r="R20" s="93">
        <f t="shared" si="6"/>
        <v>521</v>
      </c>
      <c r="S20" s="197">
        <v>40</v>
      </c>
      <c r="T20" s="197">
        <v>481</v>
      </c>
      <c r="U20" s="199">
        <f t="shared" si="7"/>
        <v>45722</v>
      </c>
      <c r="V20" s="195">
        <v>30</v>
      </c>
      <c r="W20" s="196">
        <v>0.28125</v>
      </c>
      <c r="X20" s="197">
        <v>563</v>
      </c>
    </row>
    <row r="21" spans="1:24" ht="15.75" thickBot="1" x14ac:dyDescent="0.3">
      <c r="B21" s="91">
        <f t="shared" si="8"/>
        <v>45723</v>
      </c>
      <c r="D21" s="92">
        <v>120</v>
      </c>
      <c r="E21" s="90">
        <v>0.49513888888888891</v>
      </c>
      <c r="F21" s="89">
        <v>1242</v>
      </c>
      <c r="G21" s="94">
        <f t="shared" si="3"/>
        <v>680</v>
      </c>
      <c r="H21" s="89">
        <v>562</v>
      </c>
      <c r="I21" s="91">
        <f t="shared" si="4"/>
        <v>45723</v>
      </c>
      <c r="J21" s="92">
        <v>32</v>
      </c>
      <c r="K21" s="90">
        <v>0.4861111111111111</v>
      </c>
      <c r="L21" s="89">
        <v>574</v>
      </c>
      <c r="M21" s="91">
        <f t="shared" si="5"/>
        <v>45723</v>
      </c>
      <c r="N21" s="92">
        <v>2</v>
      </c>
      <c r="O21" s="90">
        <v>0.36388888888888887</v>
      </c>
      <c r="P21" s="92">
        <v>36</v>
      </c>
      <c r="Q21" s="90">
        <v>0.25208333333333333</v>
      </c>
      <c r="R21" s="93">
        <f t="shared" si="6"/>
        <v>528</v>
      </c>
      <c r="S21" s="89">
        <v>43</v>
      </c>
      <c r="T21" s="89">
        <v>485</v>
      </c>
      <c r="U21" s="91">
        <f t="shared" si="7"/>
        <v>45723</v>
      </c>
      <c r="V21" s="92">
        <v>30</v>
      </c>
      <c r="W21" s="90">
        <v>0.28819444444444442</v>
      </c>
      <c r="X21" s="89">
        <v>511</v>
      </c>
    </row>
    <row r="22" spans="1:24" ht="15.75" thickBot="1" x14ac:dyDescent="0.3">
      <c r="B22" s="91">
        <f t="shared" si="8"/>
        <v>45724</v>
      </c>
      <c r="D22" s="92">
        <v>93</v>
      </c>
      <c r="E22" s="90">
        <v>0.25138888888888888</v>
      </c>
      <c r="F22" s="89">
        <v>923</v>
      </c>
      <c r="G22" s="94">
        <f t="shared" si="3"/>
        <v>378</v>
      </c>
      <c r="H22" s="89">
        <v>545</v>
      </c>
      <c r="I22" s="91">
        <f t="shared" si="4"/>
        <v>45724</v>
      </c>
      <c r="J22" s="92">
        <v>33</v>
      </c>
      <c r="K22" s="90">
        <v>0.57638888888888884</v>
      </c>
      <c r="L22" s="89">
        <v>571</v>
      </c>
      <c r="M22" s="91">
        <f t="shared" si="5"/>
        <v>45724</v>
      </c>
      <c r="N22" s="92">
        <v>2</v>
      </c>
      <c r="O22" s="90">
        <v>0.19375000000000001</v>
      </c>
      <c r="P22" s="92">
        <v>33</v>
      </c>
      <c r="Q22" s="90">
        <v>0.54236111111111107</v>
      </c>
      <c r="R22" s="93">
        <f t="shared" si="6"/>
        <v>499</v>
      </c>
      <c r="S22" s="89">
        <v>40</v>
      </c>
      <c r="T22" s="89">
        <v>459</v>
      </c>
      <c r="U22" s="91">
        <f t="shared" si="7"/>
        <v>45724</v>
      </c>
      <c r="V22" s="92">
        <v>31</v>
      </c>
      <c r="W22" s="90">
        <v>0.56944444444444442</v>
      </c>
      <c r="X22" s="89">
        <v>508</v>
      </c>
    </row>
    <row r="23" spans="1:24" ht="15.75" thickBot="1" x14ac:dyDescent="0.3">
      <c r="B23" s="91">
        <f t="shared" si="8"/>
        <v>45725</v>
      </c>
      <c r="D23" s="92">
        <v>83</v>
      </c>
      <c r="E23" s="90">
        <v>0.44791666666666669</v>
      </c>
      <c r="F23" s="89">
        <v>873</v>
      </c>
      <c r="G23" s="94">
        <f t="shared" si="3"/>
        <v>370</v>
      </c>
      <c r="H23" s="89">
        <v>503</v>
      </c>
      <c r="I23" s="91">
        <f t="shared" si="4"/>
        <v>45725</v>
      </c>
      <c r="J23" s="92">
        <v>28</v>
      </c>
      <c r="K23" s="90">
        <v>0.67708333333333337</v>
      </c>
      <c r="L23" s="89">
        <v>549</v>
      </c>
      <c r="M23" s="91">
        <f t="shared" si="5"/>
        <v>45725</v>
      </c>
      <c r="N23" s="92">
        <v>2</v>
      </c>
      <c r="O23" s="90">
        <v>0.40625</v>
      </c>
      <c r="P23" s="92">
        <v>31</v>
      </c>
      <c r="Q23" s="90">
        <v>0.51041666666666663</v>
      </c>
      <c r="R23" s="93">
        <f t="shared" si="6"/>
        <v>462</v>
      </c>
      <c r="S23" s="89">
        <v>40</v>
      </c>
      <c r="T23" s="89">
        <v>422</v>
      </c>
      <c r="U23" s="91">
        <f t="shared" si="7"/>
        <v>45725</v>
      </c>
      <c r="V23" s="92">
        <v>28</v>
      </c>
      <c r="W23" s="90">
        <v>0.36458333333333331</v>
      </c>
      <c r="X23" s="89">
        <v>496</v>
      </c>
    </row>
    <row r="24" spans="1:24" ht="15.75" thickBot="1" x14ac:dyDescent="0.3">
      <c r="B24" s="91">
        <f t="shared" si="8"/>
        <v>45726</v>
      </c>
      <c r="D24" s="92">
        <v>114</v>
      </c>
      <c r="E24" s="90">
        <v>0.69791666666666663</v>
      </c>
      <c r="F24" s="89">
        <v>1252</v>
      </c>
      <c r="G24" s="94">
        <f t="shared" si="3"/>
        <v>706</v>
      </c>
      <c r="H24" s="89">
        <v>546</v>
      </c>
      <c r="I24" s="91">
        <f t="shared" si="4"/>
        <v>45726</v>
      </c>
      <c r="J24" s="92">
        <v>32</v>
      </c>
      <c r="K24" s="90">
        <v>0.71875</v>
      </c>
      <c r="L24" s="89">
        <v>573</v>
      </c>
      <c r="M24" s="91">
        <f t="shared" si="5"/>
        <v>45726</v>
      </c>
      <c r="N24" s="92">
        <v>2</v>
      </c>
      <c r="O24" s="90">
        <v>0.75</v>
      </c>
      <c r="P24" s="92">
        <v>32</v>
      </c>
      <c r="Q24" s="90">
        <v>0.61458333333333337</v>
      </c>
      <c r="R24" s="93">
        <f t="shared" si="6"/>
        <v>524</v>
      </c>
      <c r="S24" s="89">
        <v>44</v>
      </c>
      <c r="T24" s="89">
        <v>480</v>
      </c>
      <c r="U24" s="91">
        <f t="shared" si="7"/>
        <v>45726</v>
      </c>
      <c r="V24" s="92">
        <v>28</v>
      </c>
      <c r="W24" s="90">
        <v>0.29166666666666669</v>
      </c>
      <c r="X24" s="89">
        <v>488</v>
      </c>
    </row>
    <row r="25" spans="1:24" ht="15.75" thickBot="1" x14ac:dyDescent="0.3">
      <c r="B25" s="91">
        <f t="shared" si="8"/>
        <v>45727</v>
      </c>
      <c r="D25" s="92">
        <v>129</v>
      </c>
      <c r="E25" s="90">
        <v>0.54166666666666663</v>
      </c>
      <c r="F25" s="89">
        <v>1310</v>
      </c>
      <c r="G25" s="94">
        <f t="shared" si="3"/>
        <v>775</v>
      </c>
      <c r="H25" s="89">
        <v>535</v>
      </c>
      <c r="I25" s="91">
        <f t="shared" si="4"/>
        <v>45727</v>
      </c>
      <c r="J25" s="92">
        <v>32</v>
      </c>
      <c r="K25" s="90">
        <v>0.58333333333333337</v>
      </c>
      <c r="L25" s="89">
        <v>589</v>
      </c>
      <c r="M25" s="91">
        <f t="shared" si="5"/>
        <v>45727</v>
      </c>
      <c r="N25" s="92">
        <v>2.88</v>
      </c>
      <c r="O25" s="90">
        <v>0.26041666666666669</v>
      </c>
      <c r="P25" s="92">
        <v>30</v>
      </c>
      <c r="Q25" s="90">
        <v>0.52083333333333337</v>
      </c>
      <c r="R25" s="93">
        <f t="shared" si="6"/>
        <v>519</v>
      </c>
      <c r="S25" s="89">
        <v>30</v>
      </c>
      <c r="T25" s="89">
        <v>489</v>
      </c>
      <c r="U25" s="91">
        <f t="shared" si="7"/>
        <v>45727</v>
      </c>
      <c r="V25" s="92">
        <v>28</v>
      </c>
      <c r="W25" s="90">
        <v>0.69791666666666663</v>
      </c>
      <c r="X25" s="89">
        <v>556</v>
      </c>
    </row>
    <row r="26" spans="1:24" ht="15.75" thickBot="1" x14ac:dyDescent="0.3">
      <c r="B26" s="91">
        <f t="shared" si="8"/>
        <v>45728</v>
      </c>
      <c r="D26" s="92">
        <v>116.95</v>
      </c>
      <c r="E26" s="90">
        <v>0.58333333333333337</v>
      </c>
      <c r="F26" s="89">
        <v>1155.21</v>
      </c>
      <c r="G26" s="94">
        <f t="shared" ref="G26:G44" si="10">F26-H26</f>
        <v>638.66000000000008</v>
      </c>
      <c r="H26" s="89">
        <v>516.54999999999995</v>
      </c>
      <c r="I26" s="91">
        <f t="shared" si="4"/>
        <v>45728</v>
      </c>
      <c r="J26" s="92">
        <v>30.86</v>
      </c>
      <c r="K26" s="90">
        <v>0.59375</v>
      </c>
      <c r="L26" s="89">
        <v>574.1</v>
      </c>
      <c r="M26" s="91">
        <f t="shared" si="5"/>
        <v>45728</v>
      </c>
      <c r="N26" s="92">
        <v>3.72</v>
      </c>
      <c r="O26" s="90">
        <v>0.28125</v>
      </c>
      <c r="P26" s="92">
        <v>34.17</v>
      </c>
      <c r="Q26" s="90">
        <v>0.3125</v>
      </c>
      <c r="R26" s="93">
        <f t="shared" ref="R26:R44" si="11">S26+T26</f>
        <v>530.51</v>
      </c>
      <c r="S26" s="89">
        <v>44.01</v>
      </c>
      <c r="T26" s="89">
        <v>486.5</v>
      </c>
      <c r="U26" s="91">
        <f t="shared" si="7"/>
        <v>45728</v>
      </c>
      <c r="V26" s="92">
        <v>30.95</v>
      </c>
      <c r="W26" s="90">
        <v>0.22916666666666666</v>
      </c>
      <c r="X26" s="89">
        <v>500.11</v>
      </c>
    </row>
    <row r="27" spans="1:24" ht="15.75" thickBot="1" x14ac:dyDescent="0.3">
      <c r="B27" s="91">
        <f t="shared" si="8"/>
        <v>45729</v>
      </c>
      <c r="D27" s="92">
        <v>117.84</v>
      </c>
      <c r="E27" s="90">
        <v>0.71875</v>
      </c>
      <c r="F27" s="89">
        <v>1221.99</v>
      </c>
      <c r="G27" s="94">
        <f t="shared" si="10"/>
        <v>722.54</v>
      </c>
      <c r="H27" s="89">
        <v>499.45</v>
      </c>
      <c r="I27" s="91">
        <f t="shared" si="4"/>
        <v>45729</v>
      </c>
      <c r="J27" s="92">
        <v>29.07</v>
      </c>
      <c r="K27" s="90">
        <v>0.55208333333333337</v>
      </c>
      <c r="L27" s="89">
        <v>557.42999999999995</v>
      </c>
      <c r="M27" s="91">
        <f t="shared" si="5"/>
        <v>45729</v>
      </c>
      <c r="N27" s="92">
        <v>2.1800000000000002</v>
      </c>
      <c r="O27" s="90">
        <v>0.5</v>
      </c>
      <c r="P27" s="92">
        <v>35.619999999999997</v>
      </c>
      <c r="Q27" s="90">
        <v>0.33333333333333331</v>
      </c>
      <c r="R27" s="93">
        <f t="shared" si="11"/>
        <v>525.75</v>
      </c>
      <c r="S27" s="89">
        <v>44.23</v>
      </c>
      <c r="T27" s="89">
        <v>481.52</v>
      </c>
      <c r="U27" s="91">
        <f t="shared" si="7"/>
        <v>45729</v>
      </c>
      <c r="V27" s="92">
        <v>27.63</v>
      </c>
      <c r="W27" s="90">
        <v>0.97916666666666663</v>
      </c>
      <c r="X27" s="89">
        <v>550.16</v>
      </c>
    </row>
    <row r="28" spans="1:24" ht="15.75" thickBot="1" x14ac:dyDescent="0.3">
      <c r="B28" s="91">
        <f t="shared" si="8"/>
        <v>45730</v>
      </c>
      <c r="D28" s="92">
        <v>97</v>
      </c>
      <c r="E28" s="90">
        <v>0.51041666666666663</v>
      </c>
      <c r="F28" s="89">
        <v>1102</v>
      </c>
      <c r="G28" s="94">
        <f t="shared" si="10"/>
        <v>617</v>
      </c>
      <c r="H28" s="89">
        <v>485</v>
      </c>
      <c r="I28" s="91">
        <f t="shared" si="4"/>
        <v>45730</v>
      </c>
      <c r="J28" s="92">
        <v>30</v>
      </c>
      <c r="K28" s="90">
        <v>0.36458333333333331</v>
      </c>
      <c r="L28" s="89">
        <v>547</v>
      </c>
      <c r="M28" s="91">
        <f t="shared" si="5"/>
        <v>45730</v>
      </c>
      <c r="N28" s="92">
        <v>4</v>
      </c>
      <c r="O28" s="90">
        <v>0.26041666666666669</v>
      </c>
      <c r="P28" s="92">
        <v>34</v>
      </c>
      <c r="Q28" s="90">
        <v>0.55208333333333337</v>
      </c>
      <c r="R28" s="93">
        <f t="shared" si="11"/>
        <v>525</v>
      </c>
      <c r="S28" s="89">
        <v>44</v>
      </c>
      <c r="T28" s="89">
        <v>481</v>
      </c>
      <c r="U28" s="91">
        <f t="shared" si="7"/>
        <v>45730</v>
      </c>
      <c r="V28" s="92">
        <v>30</v>
      </c>
      <c r="W28" s="90">
        <v>0.26041666666666669</v>
      </c>
      <c r="X28" s="89">
        <v>547</v>
      </c>
    </row>
    <row r="29" spans="1:24" ht="15.75" thickBot="1" x14ac:dyDescent="0.3">
      <c r="B29" s="91">
        <f t="shared" si="8"/>
        <v>45731</v>
      </c>
      <c r="D29" s="92">
        <v>79</v>
      </c>
      <c r="E29" s="90">
        <v>0.21875</v>
      </c>
      <c r="F29" s="89">
        <v>794</v>
      </c>
      <c r="G29" s="94">
        <f t="shared" si="10"/>
        <v>311</v>
      </c>
      <c r="H29" s="89">
        <v>483</v>
      </c>
      <c r="I29" s="91">
        <f t="shared" si="4"/>
        <v>45731</v>
      </c>
      <c r="J29" s="92">
        <v>26</v>
      </c>
      <c r="K29" s="90">
        <v>0.13541666666666666</v>
      </c>
      <c r="L29" s="89">
        <v>552</v>
      </c>
      <c r="M29" s="91">
        <f t="shared" si="5"/>
        <v>45731</v>
      </c>
      <c r="N29" s="92">
        <v>2</v>
      </c>
      <c r="O29" s="90">
        <v>0.5625</v>
      </c>
      <c r="P29" s="92">
        <v>26</v>
      </c>
      <c r="Q29" s="90">
        <v>0.69791666666666663</v>
      </c>
      <c r="R29" s="93">
        <f t="shared" si="11"/>
        <v>492</v>
      </c>
      <c r="S29" s="89">
        <v>44</v>
      </c>
      <c r="T29" s="89">
        <v>448</v>
      </c>
      <c r="U29" s="91">
        <f t="shared" si="7"/>
        <v>45731</v>
      </c>
      <c r="V29" s="92">
        <v>28</v>
      </c>
      <c r="W29" s="90">
        <v>0.63541666666666663</v>
      </c>
      <c r="X29" s="89">
        <v>532</v>
      </c>
    </row>
    <row r="30" spans="1:24" ht="15.75" thickBot="1" x14ac:dyDescent="0.3">
      <c r="B30" s="91">
        <f t="shared" si="8"/>
        <v>45732</v>
      </c>
      <c r="D30" s="92">
        <v>85</v>
      </c>
      <c r="E30" s="90">
        <v>0.94791666666666663</v>
      </c>
      <c r="F30" s="89">
        <v>761</v>
      </c>
      <c r="G30" s="94">
        <f t="shared" si="10"/>
        <v>290</v>
      </c>
      <c r="H30" s="89">
        <v>471</v>
      </c>
      <c r="I30" s="91">
        <f t="shared" si="4"/>
        <v>45732</v>
      </c>
      <c r="J30" s="92">
        <v>26</v>
      </c>
      <c r="K30" s="90">
        <v>0.94791666666666663</v>
      </c>
      <c r="L30" s="89">
        <v>551</v>
      </c>
      <c r="M30" s="91">
        <f t="shared" si="5"/>
        <v>45732</v>
      </c>
      <c r="N30" s="92">
        <v>2</v>
      </c>
      <c r="O30" s="90">
        <v>0.5625</v>
      </c>
      <c r="P30" s="92">
        <v>26</v>
      </c>
      <c r="Q30" s="90">
        <v>0.3125</v>
      </c>
      <c r="R30" s="93">
        <f t="shared" si="11"/>
        <v>469</v>
      </c>
      <c r="S30" s="89">
        <v>40</v>
      </c>
      <c r="T30" s="89">
        <v>429</v>
      </c>
      <c r="U30" s="91">
        <f t="shared" si="7"/>
        <v>45732</v>
      </c>
      <c r="V30" s="92">
        <v>27</v>
      </c>
      <c r="W30" s="90">
        <v>0.48958333333333331</v>
      </c>
      <c r="X30" s="89">
        <v>504</v>
      </c>
    </row>
    <row r="31" spans="1:24" ht="15.75" thickBot="1" x14ac:dyDescent="0.3">
      <c r="B31" s="91">
        <f t="shared" si="8"/>
        <v>45733</v>
      </c>
      <c r="D31" s="92">
        <v>114</v>
      </c>
      <c r="E31" s="90">
        <v>0.53125</v>
      </c>
      <c r="F31" s="89">
        <v>1257</v>
      </c>
      <c r="G31" s="94">
        <f t="shared" si="10"/>
        <v>721</v>
      </c>
      <c r="H31" s="89">
        <v>536</v>
      </c>
      <c r="I31" s="91">
        <f t="shared" si="4"/>
        <v>45733</v>
      </c>
      <c r="J31" s="92">
        <v>36</v>
      </c>
      <c r="K31" s="90">
        <v>0.55208333333333337</v>
      </c>
      <c r="L31" s="89">
        <v>591</v>
      </c>
      <c r="M31" s="91">
        <f t="shared" si="5"/>
        <v>45733</v>
      </c>
      <c r="N31" s="92">
        <v>3.6</v>
      </c>
      <c r="O31" s="90">
        <v>0.26041666666666669</v>
      </c>
      <c r="P31" s="92">
        <v>32</v>
      </c>
      <c r="Q31" s="90">
        <v>0.46875</v>
      </c>
      <c r="R31" s="93">
        <f t="shared" si="11"/>
        <v>519</v>
      </c>
      <c r="S31" s="89">
        <v>42</v>
      </c>
      <c r="T31" s="89">
        <v>477</v>
      </c>
      <c r="U31" s="91">
        <f t="shared" si="7"/>
        <v>45733</v>
      </c>
      <c r="V31" s="92">
        <v>28</v>
      </c>
      <c r="W31" s="90">
        <v>0.875</v>
      </c>
      <c r="X31" s="89">
        <v>501</v>
      </c>
    </row>
    <row r="32" spans="1:24" ht="15.75" thickBot="1" x14ac:dyDescent="0.3">
      <c r="B32" s="91">
        <f t="shared" si="8"/>
        <v>45734</v>
      </c>
      <c r="D32" s="92">
        <v>118</v>
      </c>
      <c r="E32" s="90">
        <v>0.53125</v>
      </c>
      <c r="F32" s="89">
        <v>1291</v>
      </c>
      <c r="G32" s="94">
        <f t="shared" si="10"/>
        <v>762</v>
      </c>
      <c r="H32" s="89">
        <v>529</v>
      </c>
      <c r="I32" s="91">
        <f t="shared" si="4"/>
        <v>45734</v>
      </c>
      <c r="J32" s="92">
        <v>36</v>
      </c>
      <c r="K32" s="90">
        <v>0.70833333333333337</v>
      </c>
      <c r="L32" s="89">
        <v>581</v>
      </c>
      <c r="M32" s="91">
        <f t="shared" si="5"/>
        <v>45734</v>
      </c>
      <c r="N32" s="92">
        <v>2</v>
      </c>
      <c r="O32" s="90">
        <v>0.73958333333333337</v>
      </c>
      <c r="P32" s="92">
        <v>35</v>
      </c>
      <c r="Q32" s="90">
        <v>0.6875</v>
      </c>
      <c r="R32" s="93">
        <f t="shared" si="11"/>
        <v>527</v>
      </c>
      <c r="S32" s="89">
        <v>44</v>
      </c>
      <c r="T32" s="89">
        <v>483</v>
      </c>
      <c r="U32" s="91">
        <f t="shared" si="7"/>
        <v>45734</v>
      </c>
      <c r="V32" s="92">
        <v>27</v>
      </c>
      <c r="W32" s="90">
        <v>0.26041666666666669</v>
      </c>
      <c r="X32" s="89">
        <v>485</v>
      </c>
    </row>
    <row r="33" spans="2:24" ht="15.75" thickBot="1" x14ac:dyDescent="0.3">
      <c r="B33" s="91">
        <f t="shared" si="8"/>
        <v>45735</v>
      </c>
      <c r="D33" s="92">
        <v>104</v>
      </c>
      <c r="E33" s="90">
        <v>0.73958333333333337</v>
      </c>
      <c r="F33" s="89">
        <v>1179</v>
      </c>
      <c r="G33" s="94">
        <f t="shared" si="10"/>
        <v>687</v>
      </c>
      <c r="H33" s="89">
        <v>492</v>
      </c>
      <c r="I33" s="91">
        <f t="shared" si="4"/>
        <v>45735</v>
      </c>
      <c r="J33" s="92">
        <v>31</v>
      </c>
      <c r="K33" s="90">
        <v>0.34375</v>
      </c>
      <c r="L33" s="89">
        <v>563</v>
      </c>
      <c r="M33" s="91">
        <f t="shared" si="5"/>
        <v>45735</v>
      </c>
      <c r="N33" s="92">
        <v>13</v>
      </c>
      <c r="O33" s="90">
        <v>0.11458333333333333</v>
      </c>
      <c r="P33" s="92">
        <v>33</v>
      </c>
      <c r="Q33" s="90">
        <v>0.75</v>
      </c>
      <c r="R33" s="93">
        <f t="shared" si="11"/>
        <v>521</v>
      </c>
      <c r="S33" s="89">
        <v>46</v>
      </c>
      <c r="T33" s="89">
        <v>475</v>
      </c>
      <c r="U33" s="91">
        <f t="shared" si="7"/>
        <v>45735</v>
      </c>
      <c r="V33" s="92">
        <v>29</v>
      </c>
      <c r="W33" s="90">
        <v>0.67708333333333337</v>
      </c>
      <c r="X33" s="89">
        <v>543</v>
      </c>
    </row>
    <row r="34" spans="2:24" ht="15.75" thickBot="1" x14ac:dyDescent="0.3">
      <c r="B34" s="91">
        <f t="shared" si="8"/>
        <v>45736</v>
      </c>
      <c r="D34" s="92">
        <v>108</v>
      </c>
      <c r="E34" s="90">
        <v>0.65625</v>
      </c>
      <c r="F34" s="89">
        <v>1232</v>
      </c>
      <c r="G34" s="94">
        <f t="shared" si="10"/>
        <v>712</v>
      </c>
      <c r="H34" s="89">
        <v>520</v>
      </c>
      <c r="I34" s="91">
        <f t="shared" si="4"/>
        <v>45736</v>
      </c>
      <c r="J34" s="92">
        <v>29</v>
      </c>
      <c r="K34" s="90">
        <v>0.625</v>
      </c>
      <c r="L34" s="89">
        <v>575</v>
      </c>
      <c r="M34" s="91">
        <f t="shared" si="5"/>
        <v>45736</v>
      </c>
      <c r="N34" s="92">
        <v>2</v>
      </c>
      <c r="O34" s="90">
        <v>0.5625</v>
      </c>
      <c r="P34" s="92">
        <v>32</v>
      </c>
      <c r="Q34" s="90">
        <v>0.36458333333333331</v>
      </c>
      <c r="R34" s="93">
        <f t="shared" si="11"/>
        <v>522</v>
      </c>
      <c r="S34" s="89">
        <v>40</v>
      </c>
      <c r="T34" s="89">
        <v>482</v>
      </c>
      <c r="U34" s="91">
        <f t="shared" si="7"/>
        <v>45736</v>
      </c>
      <c r="V34" s="92">
        <v>29</v>
      </c>
      <c r="W34" s="90">
        <v>0.36458333333333331</v>
      </c>
      <c r="X34" s="89">
        <v>543</v>
      </c>
    </row>
    <row r="35" spans="2:24" ht="15.75" thickBot="1" x14ac:dyDescent="0.3">
      <c r="B35" s="91">
        <f t="shared" si="8"/>
        <v>45737</v>
      </c>
      <c r="D35" s="92">
        <v>114</v>
      </c>
      <c r="E35" s="90">
        <v>0.6875</v>
      </c>
      <c r="F35" s="89">
        <v>1244</v>
      </c>
      <c r="G35" s="94">
        <f t="shared" si="10"/>
        <v>712</v>
      </c>
      <c r="H35" s="89">
        <v>532</v>
      </c>
      <c r="I35" s="91">
        <f t="shared" si="4"/>
        <v>45737</v>
      </c>
      <c r="J35" s="92">
        <v>30</v>
      </c>
      <c r="K35" s="90">
        <v>0.60416666666666663</v>
      </c>
      <c r="L35" s="89">
        <v>587</v>
      </c>
      <c r="M35" s="91">
        <f t="shared" si="5"/>
        <v>45737</v>
      </c>
      <c r="N35" s="92">
        <v>1.3</v>
      </c>
      <c r="O35" s="90">
        <v>0.5625</v>
      </c>
      <c r="P35" s="92">
        <v>36</v>
      </c>
      <c r="Q35" s="90">
        <v>0.69791666666666663</v>
      </c>
      <c r="R35" s="93">
        <f t="shared" si="11"/>
        <v>511</v>
      </c>
      <c r="S35" s="89">
        <v>30</v>
      </c>
      <c r="T35" s="89">
        <v>481</v>
      </c>
      <c r="U35" s="91">
        <f t="shared" si="7"/>
        <v>45737</v>
      </c>
      <c r="V35" s="92">
        <v>31</v>
      </c>
      <c r="W35" s="90">
        <v>0.95833333333333337</v>
      </c>
      <c r="X35" s="89">
        <v>586</v>
      </c>
    </row>
    <row r="36" spans="2:24" ht="15.75" thickBot="1" x14ac:dyDescent="0.3">
      <c r="B36" s="91">
        <f t="shared" si="8"/>
        <v>45738</v>
      </c>
      <c r="D36" s="92">
        <v>61</v>
      </c>
      <c r="E36" s="90">
        <v>0.53125</v>
      </c>
      <c r="F36" s="89">
        <v>782</v>
      </c>
      <c r="G36" s="94">
        <f t="shared" si="10"/>
        <v>321</v>
      </c>
      <c r="H36" s="89">
        <v>461</v>
      </c>
      <c r="I36" s="91">
        <f t="shared" si="4"/>
        <v>45738</v>
      </c>
      <c r="J36" s="92">
        <v>28</v>
      </c>
      <c r="K36" s="90">
        <v>0.71875</v>
      </c>
      <c r="L36" s="89">
        <v>557</v>
      </c>
      <c r="M36" s="91">
        <f t="shared" si="5"/>
        <v>45738</v>
      </c>
      <c r="N36" s="92">
        <v>3.6</v>
      </c>
      <c r="O36" s="90">
        <v>0.58333333333333337</v>
      </c>
      <c r="P36" s="92">
        <v>27</v>
      </c>
      <c r="Q36" s="90">
        <v>0.42708333333333331</v>
      </c>
      <c r="R36" s="93">
        <f t="shared" si="11"/>
        <v>488</v>
      </c>
      <c r="S36" s="89">
        <v>43</v>
      </c>
      <c r="T36" s="89">
        <v>445</v>
      </c>
      <c r="U36" s="91">
        <f t="shared" si="7"/>
        <v>45738</v>
      </c>
      <c r="V36" s="92">
        <v>27</v>
      </c>
      <c r="W36" s="90">
        <v>3.125E-2</v>
      </c>
      <c r="X36" s="89">
        <v>497</v>
      </c>
    </row>
    <row r="37" spans="2:24" ht="15.75" thickBot="1" x14ac:dyDescent="0.3">
      <c r="B37" s="91">
        <f t="shared" si="8"/>
        <v>45739</v>
      </c>
      <c r="D37" s="92">
        <v>83</v>
      </c>
      <c r="E37" s="90">
        <v>0.97916666666666663</v>
      </c>
      <c r="F37" s="89">
        <v>714</v>
      </c>
      <c r="G37" s="94">
        <f t="shared" si="10"/>
        <v>273</v>
      </c>
      <c r="H37" s="89">
        <v>441</v>
      </c>
      <c r="I37" s="91">
        <f t="shared" si="4"/>
        <v>45739</v>
      </c>
      <c r="J37" s="92">
        <v>28</v>
      </c>
      <c r="K37" s="90">
        <v>0.61458333333333337</v>
      </c>
      <c r="L37" s="89">
        <v>533</v>
      </c>
      <c r="M37" s="91">
        <f t="shared" si="5"/>
        <v>45739</v>
      </c>
      <c r="N37" s="92">
        <v>8</v>
      </c>
      <c r="O37" s="90">
        <v>0.98958333333333337</v>
      </c>
      <c r="P37" s="92">
        <v>26</v>
      </c>
      <c r="Q37" s="90">
        <v>0.53125</v>
      </c>
      <c r="R37" s="93">
        <f t="shared" si="11"/>
        <v>450</v>
      </c>
      <c r="S37" s="89">
        <v>44</v>
      </c>
      <c r="T37" s="89">
        <v>406</v>
      </c>
      <c r="U37" s="91">
        <f t="shared" si="7"/>
        <v>45739</v>
      </c>
      <c r="V37" s="92">
        <v>28</v>
      </c>
      <c r="W37" s="90">
        <v>0.77083333333333337</v>
      </c>
      <c r="X37" s="89">
        <v>500</v>
      </c>
    </row>
    <row r="38" spans="2:24" ht="15.75" thickBot="1" x14ac:dyDescent="0.3">
      <c r="B38" s="91">
        <f t="shared" si="8"/>
        <v>45740</v>
      </c>
      <c r="D38" s="92">
        <v>106.61</v>
      </c>
      <c r="E38" s="90">
        <v>0.54166666666666663</v>
      </c>
      <c r="F38" s="89">
        <v>1207.2</v>
      </c>
      <c r="G38" s="94">
        <f t="shared" si="10"/>
        <v>725.77</v>
      </c>
      <c r="H38" s="89">
        <v>481.43</v>
      </c>
      <c r="I38" s="91">
        <f t="shared" si="4"/>
        <v>45740</v>
      </c>
      <c r="J38" s="92">
        <v>31.7</v>
      </c>
      <c r="K38" s="90">
        <v>0.5625</v>
      </c>
      <c r="L38" s="89">
        <v>579.23</v>
      </c>
      <c r="M38" s="91">
        <f t="shared" si="5"/>
        <v>45740</v>
      </c>
      <c r="N38" s="92">
        <v>2.19</v>
      </c>
      <c r="O38" s="90">
        <v>0.75</v>
      </c>
      <c r="P38" s="92">
        <v>32.590000000000003</v>
      </c>
      <c r="Q38" s="90">
        <v>0.51041666666666663</v>
      </c>
      <c r="R38" s="93">
        <f t="shared" si="11"/>
        <v>516.71</v>
      </c>
      <c r="S38" s="89">
        <v>39.75</v>
      </c>
      <c r="T38" s="89">
        <v>476.96</v>
      </c>
      <c r="U38" s="91">
        <f t="shared" si="7"/>
        <v>45740</v>
      </c>
      <c r="V38" s="92">
        <v>27.67</v>
      </c>
      <c r="W38" s="90">
        <v>0.42708333333333331</v>
      </c>
      <c r="X38" s="89">
        <v>499.38</v>
      </c>
    </row>
    <row r="39" spans="2:24" ht="15.75" thickBot="1" x14ac:dyDescent="0.3">
      <c r="B39" s="91">
        <f t="shared" si="8"/>
        <v>45741</v>
      </c>
      <c r="D39" s="92">
        <v>116.03</v>
      </c>
      <c r="E39" s="90">
        <v>0.5</v>
      </c>
      <c r="F39" s="89">
        <v>1370.61</v>
      </c>
      <c r="G39" s="94">
        <f t="shared" si="10"/>
        <v>856.57999999999993</v>
      </c>
      <c r="H39" s="89">
        <v>514.03</v>
      </c>
      <c r="I39" s="91">
        <f t="shared" si="4"/>
        <v>45741</v>
      </c>
      <c r="J39" s="92">
        <v>28.11</v>
      </c>
      <c r="K39" s="90">
        <v>0.57291666666666663</v>
      </c>
      <c r="L39" s="89">
        <v>559.91</v>
      </c>
      <c r="M39" s="91">
        <f t="shared" si="5"/>
        <v>45741</v>
      </c>
      <c r="N39" s="92">
        <v>2.19</v>
      </c>
      <c r="O39" s="90">
        <v>0.35416666666666669</v>
      </c>
      <c r="P39" s="92">
        <v>31.44</v>
      </c>
      <c r="Q39" s="90">
        <v>0.36458333333333331</v>
      </c>
      <c r="R39" s="93">
        <f t="shared" si="11"/>
        <v>522.25</v>
      </c>
      <c r="S39" s="89">
        <v>44.58</v>
      </c>
      <c r="T39" s="89">
        <v>477.67</v>
      </c>
      <c r="U39" s="91">
        <f t="shared" si="7"/>
        <v>45741</v>
      </c>
      <c r="V39" s="92">
        <v>25.78</v>
      </c>
      <c r="W39" s="90">
        <v>0.89583333333333337</v>
      </c>
      <c r="X39" s="89">
        <v>498.2</v>
      </c>
    </row>
    <row r="40" spans="2:24" ht="15.75" thickBot="1" x14ac:dyDescent="0.3">
      <c r="B40" s="91">
        <f t="shared" si="8"/>
        <v>45742</v>
      </c>
      <c r="D40" s="195">
        <v>113</v>
      </c>
      <c r="E40" s="196">
        <v>0.46875</v>
      </c>
      <c r="F40" s="197">
        <v>1326</v>
      </c>
      <c r="G40" s="198">
        <f t="shared" si="10"/>
        <v>804</v>
      </c>
      <c r="H40" s="197">
        <v>522</v>
      </c>
      <c r="I40" s="199">
        <f t="shared" si="4"/>
        <v>45742</v>
      </c>
      <c r="J40" s="195">
        <v>30</v>
      </c>
      <c r="K40" s="196">
        <v>0.625</v>
      </c>
      <c r="L40" s="197">
        <v>572</v>
      </c>
      <c r="M40" s="199">
        <f t="shared" si="5"/>
        <v>45742</v>
      </c>
      <c r="N40" s="195">
        <v>10</v>
      </c>
      <c r="O40" s="196">
        <v>0.59375</v>
      </c>
      <c r="P40" s="195">
        <v>33</v>
      </c>
      <c r="Q40" s="196">
        <v>0.28125</v>
      </c>
      <c r="R40" s="93">
        <f t="shared" si="11"/>
        <v>526</v>
      </c>
      <c r="S40" s="197">
        <v>49</v>
      </c>
      <c r="T40" s="197">
        <v>477</v>
      </c>
      <c r="U40" s="199">
        <f t="shared" si="7"/>
        <v>45742</v>
      </c>
      <c r="V40" s="195">
        <v>26</v>
      </c>
      <c r="W40" s="196">
        <v>0.61458333333333337</v>
      </c>
      <c r="X40" s="197">
        <v>483</v>
      </c>
    </row>
    <row r="41" spans="2:24" ht="15.75" thickBot="1" x14ac:dyDescent="0.3">
      <c r="B41" s="91">
        <f t="shared" si="8"/>
        <v>45743</v>
      </c>
      <c r="D41" s="92">
        <v>102</v>
      </c>
      <c r="E41" s="90">
        <v>0.5</v>
      </c>
      <c r="F41" s="89">
        <v>1272</v>
      </c>
      <c r="G41" s="94">
        <f t="shared" si="10"/>
        <v>744</v>
      </c>
      <c r="H41" s="89">
        <v>528</v>
      </c>
      <c r="I41" s="91">
        <f t="shared" si="4"/>
        <v>45743</v>
      </c>
      <c r="J41" s="92">
        <v>34</v>
      </c>
      <c r="K41" s="90">
        <v>0.59375</v>
      </c>
      <c r="L41" s="89">
        <v>573</v>
      </c>
      <c r="M41" s="91">
        <v>45650</v>
      </c>
      <c r="N41" s="92">
        <v>2</v>
      </c>
      <c r="O41" s="90">
        <v>0.6875</v>
      </c>
      <c r="P41" s="92">
        <v>32</v>
      </c>
      <c r="Q41" s="90">
        <v>0.27083333333333331</v>
      </c>
      <c r="R41" s="93">
        <f t="shared" si="11"/>
        <v>517</v>
      </c>
      <c r="S41" s="89">
        <v>40</v>
      </c>
      <c r="T41" s="89">
        <v>477</v>
      </c>
      <c r="U41" s="91">
        <f t="shared" si="7"/>
        <v>45743</v>
      </c>
      <c r="V41" s="92">
        <v>27</v>
      </c>
      <c r="W41" s="90">
        <v>0.39583333333333331</v>
      </c>
      <c r="X41" s="89">
        <v>486</v>
      </c>
    </row>
    <row r="42" spans="2:24" ht="15.75" thickBot="1" x14ac:dyDescent="0.3">
      <c r="B42" s="91">
        <f t="shared" si="8"/>
        <v>45744</v>
      </c>
      <c r="D42" s="92">
        <v>101</v>
      </c>
      <c r="E42" s="90">
        <v>0.53125</v>
      </c>
      <c r="F42" s="89">
        <v>1179</v>
      </c>
      <c r="G42" s="94">
        <f t="shared" si="10"/>
        <v>667</v>
      </c>
      <c r="H42" s="89">
        <v>512</v>
      </c>
      <c r="I42" s="91">
        <f t="shared" si="4"/>
        <v>45744</v>
      </c>
      <c r="J42" s="92">
        <v>30</v>
      </c>
      <c r="K42" s="90">
        <v>0.53125</v>
      </c>
      <c r="L42" s="89">
        <v>566</v>
      </c>
      <c r="M42" s="91">
        <v>45651</v>
      </c>
      <c r="N42" s="92">
        <v>2</v>
      </c>
      <c r="O42" s="90">
        <v>0.5625</v>
      </c>
      <c r="P42" s="92">
        <v>32</v>
      </c>
      <c r="Q42" s="90">
        <v>0.8125</v>
      </c>
      <c r="R42" s="93">
        <f t="shared" si="11"/>
        <v>525</v>
      </c>
      <c r="S42" s="89">
        <v>42</v>
      </c>
      <c r="T42" s="89">
        <v>483</v>
      </c>
      <c r="U42" s="91">
        <f t="shared" si="7"/>
        <v>45744</v>
      </c>
      <c r="V42" s="92">
        <v>26</v>
      </c>
      <c r="W42" s="90">
        <v>0.82291666666666663</v>
      </c>
      <c r="X42" s="89">
        <v>492</v>
      </c>
    </row>
    <row r="43" spans="2:24" ht="15.75" thickBot="1" x14ac:dyDescent="0.3">
      <c r="B43" s="91">
        <f t="shared" si="8"/>
        <v>45745</v>
      </c>
      <c r="D43" s="92">
        <v>68</v>
      </c>
      <c r="E43" s="90">
        <v>0.48958333333333331</v>
      </c>
      <c r="F43" s="89">
        <v>886</v>
      </c>
      <c r="G43" s="94">
        <f t="shared" si="10"/>
        <v>412</v>
      </c>
      <c r="H43" s="89">
        <v>474</v>
      </c>
      <c r="I43" s="91">
        <f t="shared" si="4"/>
        <v>45745</v>
      </c>
      <c r="J43" s="92">
        <v>31</v>
      </c>
      <c r="K43" s="90">
        <v>6.25E-2</v>
      </c>
      <c r="L43" s="89">
        <v>538</v>
      </c>
      <c r="M43" s="91">
        <v>45652</v>
      </c>
      <c r="N43" s="92">
        <v>13</v>
      </c>
      <c r="O43" s="90">
        <v>0.125</v>
      </c>
      <c r="P43" s="92">
        <v>29</v>
      </c>
      <c r="Q43" s="90">
        <v>0.5</v>
      </c>
      <c r="R43" s="93">
        <f t="shared" si="11"/>
        <v>468</v>
      </c>
      <c r="S43" s="89">
        <v>69</v>
      </c>
      <c r="T43" s="89">
        <v>399</v>
      </c>
      <c r="U43" s="91">
        <f t="shared" si="7"/>
        <v>45745</v>
      </c>
      <c r="V43" s="92">
        <v>31</v>
      </c>
      <c r="W43" s="90">
        <v>0.30208333333333331</v>
      </c>
      <c r="X43" s="89">
        <v>505</v>
      </c>
    </row>
    <row r="44" spans="2:24" ht="15.75" thickBot="1" x14ac:dyDescent="0.3">
      <c r="B44" s="91">
        <f t="shared" si="8"/>
        <v>45746</v>
      </c>
      <c r="D44" s="92">
        <v>64.650000000000006</v>
      </c>
      <c r="E44" s="90">
        <v>0.73958333333333337</v>
      </c>
      <c r="F44" s="89">
        <v>746.96</v>
      </c>
      <c r="G44" s="94">
        <f t="shared" si="10"/>
        <v>300.93000000000006</v>
      </c>
      <c r="H44" s="89">
        <v>446.03</v>
      </c>
      <c r="I44" s="91">
        <f t="shared" si="4"/>
        <v>45746</v>
      </c>
      <c r="J44" s="92">
        <v>31.43</v>
      </c>
      <c r="K44" s="90">
        <v>2.0833333333333332E-2</v>
      </c>
      <c r="L44" s="89">
        <v>547.51</v>
      </c>
      <c r="M44" s="91">
        <v>45653</v>
      </c>
      <c r="N44" s="92">
        <v>13.31</v>
      </c>
      <c r="O44" s="90">
        <v>0.25</v>
      </c>
      <c r="P44" s="92">
        <v>30.38</v>
      </c>
      <c r="Q44" s="90">
        <v>0.71875</v>
      </c>
      <c r="R44" s="93">
        <f t="shared" si="11"/>
        <v>432.28999999999996</v>
      </c>
      <c r="S44" s="89">
        <v>71.16</v>
      </c>
      <c r="T44" s="89">
        <v>361.13</v>
      </c>
      <c r="U44" s="91">
        <f t="shared" si="7"/>
        <v>45746</v>
      </c>
      <c r="V44" s="92">
        <v>27.16</v>
      </c>
      <c r="W44" s="90">
        <v>0.77083333333333337</v>
      </c>
      <c r="X44" s="89">
        <v>522.69000000000005</v>
      </c>
    </row>
    <row r="45" spans="2:24" x14ac:dyDescent="0.25">
      <c r="B45" s="91">
        <f t="shared" si="8"/>
        <v>45747</v>
      </c>
      <c r="D45" s="92">
        <v>114</v>
      </c>
      <c r="E45" s="90">
        <v>0.70833333333333337</v>
      </c>
      <c r="F45" s="89">
        <v>1270</v>
      </c>
      <c r="G45" s="94">
        <f t="shared" ref="G45" si="12">F45-H45</f>
        <v>755</v>
      </c>
      <c r="H45" s="89">
        <v>515</v>
      </c>
      <c r="I45" s="91">
        <f t="shared" si="4"/>
        <v>45747</v>
      </c>
      <c r="J45" s="92">
        <v>29</v>
      </c>
      <c r="K45" s="90">
        <v>0.55208333333333337</v>
      </c>
      <c r="L45" s="89">
        <v>574</v>
      </c>
      <c r="M45" s="91">
        <v>45654</v>
      </c>
      <c r="N45" s="92">
        <v>2</v>
      </c>
      <c r="O45" s="90">
        <v>0.35416666666666669</v>
      </c>
      <c r="P45" s="92">
        <v>35</v>
      </c>
      <c r="Q45" s="90">
        <v>0.76041666666666663</v>
      </c>
      <c r="R45" s="93">
        <f t="shared" ref="R45" si="13">S45+T45</f>
        <v>517</v>
      </c>
      <c r="S45" s="89">
        <v>44</v>
      </c>
      <c r="T45" s="89">
        <v>473</v>
      </c>
      <c r="U45" s="91">
        <f t="shared" si="7"/>
        <v>45747</v>
      </c>
      <c r="V45" s="92">
        <v>29</v>
      </c>
      <c r="W45" s="90">
        <v>0.76041666666666663</v>
      </c>
      <c r="X45" s="89">
        <v>530</v>
      </c>
    </row>
    <row r="46" spans="2:24" x14ac:dyDescent="0.25">
      <c r="F46" s="265">
        <f>SUM(F15:F45)</f>
        <v>34766.97</v>
      </c>
      <c r="G46" s="265">
        <f t="shared" ref="G46:H46" si="14">SUM(G15:G45)</f>
        <v>18903.480000000003</v>
      </c>
      <c r="H46" s="265">
        <f t="shared" si="14"/>
        <v>15863.490000000002</v>
      </c>
    </row>
    <row r="47" spans="2:24" x14ac:dyDescent="0.25">
      <c r="G47" s="266">
        <f>G46/F46</f>
        <v>0.54371951308957911</v>
      </c>
      <c r="H47" s="267">
        <f>H46/F46</f>
        <v>0.45628048691042106</v>
      </c>
    </row>
    <row r="49" spans="4:10" x14ac:dyDescent="0.25">
      <c r="E49" s="202" t="s">
        <v>62</v>
      </c>
      <c r="F49" s="202" t="s">
        <v>63</v>
      </c>
      <c r="G49" s="202" t="s">
        <v>64</v>
      </c>
      <c r="H49" s="202" t="s">
        <v>65</v>
      </c>
      <c r="I49" s="202" t="s">
        <v>66</v>
      </c>
      <c r="J49" s="202" t="s">
        <v>67</v>
      </c>
    </row>
    <row r="50" spans="4:10" x14ac:dyDescent="0.25">
      <c r="D50" s="205">
        <v>45658</v>
      </c>
      <c r="E50" s="203">
        <f>F14/J50</f>
        <v>0.42907180385288968</v>
      </c>
      <c r="F50" s="203">
        <f>L14/J50</f>
        <v>0.2063047285464098</v>
      </c>
      <c r="G50" s="203">
        <f>S14/J50</f>
        <v>1.3309982486865149E-2</v>
      </c>
      <c r="H50" s="203">
        <f>T14/J50</f>
        <v>0.16987740805604204</v>
      </c>
      <c r="I50" s="203">
        <f>X14/J50</f>
        <v>0.18143607705779335</v>
      </c>
      <c r="J50" s="204">
        <f>F14+L14+S14+T14+X14</f>
        <v>2855</v>
      </c>
    </row>
    <row r="51" spans="4:10" x14ac:dyDescent="0.25">
      <c r="D51" s="205">
        <v>45659</v>
      </c>
      <c r="E51" s="203">
        <f t="shared" ref="E51:E80" si="15">F15/J51</f>
        <v>0.35934373749499798</v>
      </c>
      <c r="F51" s="203">
        <f t="shared" ref="F51:F80" si="16">L15/J51</f>
        <v>0.2308923569427771</v>
      </c>
      <c r="G51" s="203">
        <f t="shared" ref="G51:G80" si="17">S15/J51</f>
        <v>1.680672268907563E-2</v>
      </c>
      <c r="H51" s="203">
        <f t="shared" ref="H51:H80" si="18">T15/J51</f>
        <v>0.17687074829931973</v>
      </c>
      <c r="I51" s="203">
        <f t="shared" ref="I51:I80" si="19">X15/J51</f>
        <v>0.21608643457382953</v>
      </c>
      <c r="J51" s="204">
        <f t="shared" ref="J51:J80" si="20">F15+L15+S15+T15+X15</f>
        <v>2499</v>
      </c>
    </row>
    <row r="52" spans="4:10" x14ac:dyDescent="0.25">
      <c r="D52" s="205">
        <v>45660</v>
      </c>
      <c r="E52" s="203">
        <f t="shared" si="15"/>
        <v>0.48026315789473684</v>
      </c>
      <c r="F52" s="203">
        <f t="shared" si="16"/>
        <v>0.12770897832817338</v>
      </c>
      <c r="G52" s="203">
        <f t="shared" si="17"/>
        <v>1.8575851393188854E-2</v>
      </c>
      <c r="H52" s="203">
        <f t="shared" si="18"/>
        <v>0.14938080495356038</v>
      </c>
      <c r="I52" s="203">
        <f t="shared" si="19"/>
        <v>0.22407120743034056</v>
      </c>
      <c r="J52" s="204">
        <f t="shared" si="20"/>
        <v>2584</v>
      </c>
    </row>
    <row r="53" spans="4:10" x14ac:dyDescent="0.25">
      <c r="D53" s="205">
        <v>45661</v>
      </c>
      <c r="E53" s="203">
        <f t="shared" si="15"/>
        <v>0.43063186813186816</v>
      </c>
      <c r="F53" s="203">
        <f t="shared" si="16"/>
        <v>0.21050824175824176</v>
      </c>
      <c r="G53" s="203">
        <f t="shared" si="17"/>
        <v>1.510989010989011E-2</v>
      </c>
      <c r="H53" s="203">
        <f t="shared" si="18"/>
        <v>0.16483516483516483</v>
      </c>
      <c r="I53" s="203">
        <f t="shared" si="19"/>
        <v>0.17891483516483517</v>
      </c>
      <c r="J53" s="204">
        <f t="shared" si="20"/>
        <v>2912</v>
      </c>
    </row>
    <row r="54" spans="4:10" x14ac:dyDescent="0.25">
      <c r="D54" s="205">
        <v>45662</v>
      </c>
      <c r="E54" s="203">
        <f t="shared" si="15"/>
        <v>0.43875810303650631</v>
      </c>
      <c r="F54" s="203">
        <f t="shared" si="16"/>
        <v>0.21084953940634596</v>
      </c>
      <c r="G54" s="203">
        <f t="shared" si="17"/>
        <v>1.4670760832480383E-2</v>
      </c>
      <c r="H54" s="203">
        <f t="shared" si="18"/>
        <v>0.16581371545547594</v>
      </c>
      <c r="I54" s="203">
        <f t="shared" si="19"/>
        <v>0.1699078812691914</v>
      </c>
      <c r="J54" s="204">
        <f t="shared" si="20"/>
        <v>2931</v>
      </c>
    </row>
    <row r="55" spans="4:10" x14ac:dyDescent="0.25">
      <c r="D55" s="205">
        <v>45663</v>
      </c>
      <c r="E55" s="203">
        <f t="shared" si="15"/>
        <v>0.44230769230769229</v>
      </c>
      <c r="F55" s="203">
        <f t="shared" si="16"/>
        <v>0.20467032967032966</v>
      </c>
      <c r="G55" s="203">
        <f t="shared" si="17"/>
        <v>1.510989010989011E-2</v>
      </c>
      <c r="H55" s="203">
        <f t="shared" si="18"/>
        <v>0.16586538461538461</v>
      </c>
      <c r="I55" s="203">
        <f t="shared" si="19"/>
        <v>0.1720467032967033</v>
      </c>
      <c r="J55" s="204">
        <f t="shared" si="20"/>
        <v>2912</v>
      </c>
    </row>
    <row r="56" spans="4:10" x14ac:dyDescent="0.25">
      <c r="D56" s="205">
        <v>45664</v>
      </c>
      <c r="E56" s="203">
        <f t="shared" si="15"/>
        <v>0.42169515172654343</v>
      </c>
      <c r="F56" s="203">
        <f t="shared" si="16"/>
        <v>0.2002092779909313</v>
      </c>
      <c r="G56" s="203">
        <f t="shared" si="17"/>
        <v>1.3951866062085804E-2</v>
      </c>
      <c r="H56" s="203">
        <f t="shared" si="18"/>
        <v>0.16777118939658178</v>
      </c>
      <c r="I56" s="203">
        <f t="shared" si="19"/>
        <v>0.1963725148238577</v>
      </c>
      <c r="J56" s="204">
        <f t="shared" si="20"/>
        <v>2867</v>
      </c>
    </row>
    <row r="57" spans="4:10" x14ac:dyDescent="0.25">
      <c r="D57" s="205">
        <v>45665</v>
      </c>
      <c r="E57" s="203">
        <f t="shared" si="15"/>
        <v>0.4350262697022767</v>
      </c>
      <c r="F57" s="203">
        <f t="shared" si="16"/>
        <v>0.2010507880910683</v>
      </c>
      <c r="G57" s="203">
        <f t="shared" si="17"/>
        <v>1.5061295971978984E-2</v>
      </c>
      <c r="H57" s="203">
        <f t="shared" si="18"/>
        <v>0.16987740805604204</v>
      </c>
      <c r="I57" s="203">
        <f t="shared" si="19"/>
        <v>0.17898423817863399</v>
      </c>
      <c r="J57" s="204">
        <f t="shared" si="20"/>
        <v>2855</v>
      </c>
    </row>
    <row r="58" spans="4:10" x14ac:dyDescent="0.25">
      <c r="D58" s="205">
        <v>45666</v>
      </c>
      <c r="E58" s="203">
        <f t="shared" si="15"/>
        <v>0.36905237904838067</v>
      </c>
      <c r="F58" s="203">
        <f t="shared" si="16"/>
        <v>0.22830867652938824</v>
      </c>
      <c r="G58" s="203">
        <f t="shared" si="17"/>
        <v>1.5993602558976409E-2</v>
      </c>
      <c r="H58" s="203">
        <f t="shared" si="18"/>
        <v>0.18352658936425431</v>
      </c>
      <c r="I58" s="203">
        <f t="shared" si="19"/>
        <v>0.20311875249900041</v>
      </c>
      <c r="J58" s="204">
        <f t="shared" si="20"/>
        <v>2501</v>
      </c>
    </row>
    <row r="59" spans="4:10" x14ac:dyDescent="0.25">
      <c r="D59" s="205">
        <v>45667</v>
      </c>
      <c r="E59" s="203">
        <f t="shared" si="15"/>
        <v>0.3668067226890756</v>
      </c>
      <c r="F59" s="203">
        <f t="shared" si="16"/>
        <v>0.23067226890756304</v>
      </c>
      <c r="G59" s="203">
        <f t="shared" si="17"/>
        <v>1.680672268907563E-2</v>
      </c>
      <c r="H59" s="203">
        <f t="shared" si="18"/>
        <v>0.17731092436974791</v>
      </c>
      <c r="I59" s="203">
        <f t="shared" si="19"/>
        <v>0.20840336134453782</v>
      </c>
      <c r="J59" s="204">
        <f t="shared" si="20"/>
        <v>2380</v>
      </c>
    </row>
    <row r="60" spans="4:10" x14ac:dyDescent="0.25">
      <c r="D60" s="205">
        <v>45668</v>
      </c>
      <c r="E60" s="203">
        <f t="shared" si="15"/>
        <v>0.44131124427211843</v>
      </c>
      <c r="F60" s="203">
        <f t="shared" si="16"/>
        <v>0.20197391610856538</v>
      </c>
      <c r="G60" s="203">
        <f t="shared" si="17"/>
        <v>1.5509340853013746E-2</v>
      </c>
      <c r="H60" s="203">
        <f t="shared" si="18"/>
        <v>0.16919280930560451</v>
      </c>
      <c r="I60" s="203">
        <f t="shared" si="19"/>
        <v>0.17201268946069792</v>
      </c>
      <c r="J60" s="204">
        <f t="shared" si="20"/>
        <v>2837</v>
      </c>
    </row>
    <row r="61" spans="4:10" x14ac:dyDescent="0.25">
      <c r="D61" s="205">
        <v>45669</v>
      </c>
      <c r="E61" s="203">
        <f t="shared" si="15"/>
        <v>0.44048419636852726</v>
      </c>
      <c r="F61" s="203">
        <f t="shared" si="16"/>
        <v>0.1980497646267653</v>
      </c>
      <c r="G61" s="203">
        <f t="shared" si="17"/>
        <v>1.0087424344317418E-2</v>
      </c>
      <c r="H61" s="203">
        <f t="shared" si="18"/>
        <v>0.1644250168123739</v>
      </c>
      <c r="I61" s="203">
        <f t="shared" si="19"/>
        <v>0.18695359784801613</v>
      </c>
      <c r="J61" s="204">
        <f t="shared" si="20"/>
        <v>2974</v>
      </c>
    </row>
    <row r="62" spans="4:10" x14ac:dyDescent="0.25">
      <c r="D62" s="205">
        <v>45670</v>
      </c>
      <c r="E62" s="203">
        <f t="shared" si="15"/>
        <v>0.41856496360414941</v>
      </c>
      <c r="F62" s="203">
        <f t="shared" si="16"/>
        <v>0.20801252205671886</v>
      </c>
      <c r="G62" s="203">
        <f t="shared" si="17"/>
        <v>1.5946056602884857E-2</v>
      </c>
      <c r="H62" s="203">
        <f t="shared" si="18"/>
        <v>0.17627258662357378</v>
      </c>
      <c r="I62" s="203">
        <f t="shared" si="19"/>
        <v>0.18120387111267316</v>
      </c>
      <c r="J62" s="204">
        <f t="shared" si="20"/>
        <v>2759.93</v>
      </c>
    </row>
    <row r="63" spans="4:10" x14ac:dyDescent="0.25">
      <c r="D63" s="205">
        <v>45671</v>
      </c>
      <c r="E63" s="203">
        <f t="shared" si="15"/>
        <v>0.42796804572501251</v>
      </c>
      <c r="F63" s="203">
        <f t="shared" si="16"/>
        <v>0.19522436986267785</v>
      </c>
      <c r="G63" s="203">
        <f t="shared" si="17"/>
        <v>1.5490328613505269E-2</v>
      </c>
      <c r="H63" s="203">
        <f t="shared" si="18"/>
        <v>0.16863900144641775</v>
      </c>
      <c r="I63" s="203">
        <f t="shared" si="19"/>
        <v>0.19267825435238659</v>
      </c>
      <c r="J63" s="204">
        <f t="shared" si="20"/>
        <v>2855.33</v>
      </c>
    </row>
    <row r="64" spans="4:10" x14ac:dyDescent="0.25">
      <c r="D64" s="205">
        <v>45672</v>
      </c>
      <c r="E64" s="203">
        <f t="shared" si="15"/>
        <v>0.40499816244027931</v>
      </c>
      <c r="F64" s="203">
        <f t="shared" si="16"/>
        <v>0.20102903344358691</v>
      </c>
      <c r="G64" s="203">
        <f t="shared" si="17"/>
        <v>1.6170525542080118E-2</v>
      </c>
      <c r="H64" s="203">
        <f t="shared" si="18"/>
        <v>0.17677324513046674</v>
      </c>
      <c r="I64" s="203">
        <f t="shared" si="19"/>
        <v>0.20102903344358691</v>
      </c>
      <c r="J64" s="204">
        <f t="shared" si="20"/>
        <v>2721</v>
      </c>
    </row>
    <row r="65" spans="4:10" x14ac:dyDescent="0.25">
      <c r="D65" s="205">
        <v>45673</v>
      </c>
      <c r="E65" s="203">
        <f t="shared" si="15"/>
        <v>0.33502109704641353</v>
      </c>
      <c r="F65" s="203">
        <f t="shared" si="16"/>
        <v>0.23291139240506328</v>
      </c>
      <c r="G65" s="203">
        <f t="shared" si="17"/>
        <v>1.8565400843881856E-2</v>
      </c>
      <c r="H65" s="203">
        <f t="shared" si="18"/>
        <v>0.18902953586497889</v>
      </c>
      <c r="I65" s="203">
        <f t="shared" si="19"/>
        <v>0.22447257383966246</v>
      </c>
      <c r="J65" s="204">
        <f t="shared" si="20"/>
        <v>2370</v>
      </c>
    </row>
    <row r="66" spans="4:10" x14ac:dyDescent="0.25">
      <c r="D66" s="205">
        <v>45674</v>
      </c>
      <c r="E66" s="203">
        <f t="shared" si="15"/>
        <v>0.33304157549234137</v>
      </c>
      <c r="F66" s="203">
        <f t="shared" si="16"/>
        <v>0.24113785557986872</v>
      </c>
      <c r="G66" s="203">
        <f t="shared" si="17"/>
        <v>1.7505470459518599E-2</v>
      </c>
      <c r="H66" s="203">
        <f t="shared" si="18"/>
        <v>0.18774617067833699</v>
      </c>
      <c r="I66" s="203">
        <f t="shared" si="19"/>
        <v>0.22056892778993437</v>
      </c>
      <c r="J66" s="204">
        <f t="shared" si="20"/>
        <v>2285</v>
      </c>
    </row>
    <row r="67" spans="4:10" x14ac:dyDescent="0.25">
      <c r="D67" s="205">
        <v>45675</v>
      </c>
      <c r="E67" s="203">
        <f t="shared" si="15"/>
        <v>0.43828451882845187</v>
      </c>
      <c r="F67" s="203">
        <f t="shared" si="16"/>
        <v>0.20606694560669456</v>
      </c>
      <c r="G67" s="203">
        <f t="shared" si="17"/>
        <v>1.4644351464435146E-2</v>
      </c>
      <c r="H67" s="203">
        <f t="shared" si="18"/>
        <v>0.16631799163179917</v>
      </c>
      <c r="I67" s="203">
        <f t="shared" si="19"/>
        <v>0.17468619246861924</v>
      </c>
      <c r="J67" s="204">
        <f t="shared" si="20"/>
        <v>2868</v>
      </c>
    </row>
    <row r="68" spans="4:10" x14ac:dyDescent="0.25">
      <c r="D68" s="205">
        <v>45676</v>
      </c>
      <c r="E68" s="203">
        <f t="shared" si="15"/>
        <v>0.44764216366158116</v>
      </c>
      <c r="F68" s="203">
        <f t="shared" si="16"/>
        <v>0.20145631067961164</v>
      </c>
      <c r="G68" s="203">
        <f t="shared" si="17"/>
        <v>1.5256588072122053E-2</v>
      </c>
      <c r="H68" s="203">
        <f t="shared" si="18"/>
        <v>0.16747572815533981</v>
      </c>
      <c r="I68" s="203">
        <f t="shared" si="19"/>
        <v>0.16816920943134536</v>
      </c>
      <c r="J68" s="204">
        <f t="shared" si="20"/>
        <v>2884</v>
      </c>
    </row>
    <row r="69" spans="4:10" x14ac:dyDescent="0.25">
      <c r="D69" s="205">
        <v>45677</v>
      </c>
      <c r="E69" s="203">
        <f t="shared" si="15"/>
        <v>0.42017106200997861</v>
      </c>
      <c r="F69" s="203">
        <f t="shared" si="16"/>
        <v>0.20064148253741981</v>
      </c>
      <c r="G69" s="203">
        <f t="shared" si="17"/>
        <v>1.6393442622950821E-2</v>
      </c>
      <c r="H69" s="203">
        <f t="shared" si="18"/>
        <v>0.16928011404134</v>
      </c>
      <c r="I69" s="203">
        <f t="shared" si="19"/>
        <v>0.19351389878831077</v>
      </c>
      <c r="J69" s="204">
        <f t="shared" si="20"/>
        <v>2806</v>
      </c>
    </row>
    <row r="70" spans="4:10" x14ac:dyDescent="0.25">
      <c r="D70" s="205">
        <v>45678</v>
      </c>
      <c r="E70" s="203">
        <f t="shared" si="15"/>
        <v>0.42896935933147634</v>
      </c>
      <c r="F70" s="203">
        <f t="shared" si="16"/>
        <v>0.20020891364902507</v>
      </c>
      <c r="G70" s="203">
        <f t="shared" si="17"/>
        <v>1.3927576601671309E-2</v>
      </c>
      <c r="H70" s="203">
        <f t="shared" si="18"/>
        <v>0.16782729805013927</v>
      </c>
      <c r="I70" s="203">
        <f t="shared" si="19"/>
        <v>0.18906685236768803</v>
      </c>
      <c r="J70" s="204">
        <f t="shared" si="20"/>
        <v>2872</v>
      </c>
    </row>
    <row r="71" spans="4:10" x14ac:dyDescent="0.25">
      <c r="D71" s="205">
        <v>45679</v>
      </c>
      <c r="E71" s="203">
        <f t="shared" si="15"/>
        <v>0.4248633879781421</v>
      </c>
      <c r="F71" s="203">
        <f t="shared" si="16"/>
        <v>0.20047814207650272</v>
      </c>
      <c r="G71" s="203">
        <f t="shared" si="17"/>
        <v>1.0245901639344262E-2</v>
      </c>
      <c r="H71" s="203">
        <f t="shared" si="18"/>
        <v>0.16427595628415301</v>
      </c>
      <c r="I71" s="203">
        <f t="shared" si="19"/>
        <v>0.20013661202185792</v>
      </c>
      <c r="J71" s="204">
        <f t="shared" si="20"/>
        <v>2928</v>
      </c>
    </row>
    <row r="72" spans="4:10" x14ac:dyDescent="0.25">
      <c r="D72" s="205">
        <v>45680</v>
      </c>
      <c r="E72" s="203">
        <f t="shared" si="15"/>
        <v>0.33648881239242684</v>
      </c>
      <c r="F72" s="203">
        <f t="shared" si="16"/>
        <v>0.23967297762478484</v>
      </c>
      <c r="G72" s="203">
        <f t="shared" si="17"/>
        <v>1.8502581755593803E-2</v>
      </c>
      <c r="H72" s="203">
        <f t="shared" si="18"/>
        <v>0.19148020654044751</v>
      </c>
      <c r="I72" s="203">
        <f t="shared" si="19"/>
        <v>0.21385542168674698</v>
      </c>
      <c r="J72" s="204">
        <f t="shared" si="20"/>
        <v>2324</v>
      </c>
    </row>
    <row r="73" spans="4:10" x14ac:dyDescent="0.25">
      <c r="D73" s="205">
        <v>45681</v>
      </c>
      <c r="E73" s="203">
        <f t="shared" si="15"/>
        <v>0.32498862084660901</v>
      </c>
      <c r="F73" s="203">
        <f t="shared" si="16"/>
        <v>0.24260355029585798</v>
      </c>
      <c r="G73" s="203">
        <f t="shared" si="17"/>
        <v>2.0027309968138372E-2</v>
      </c>
      <c r="H73" s="203">
        <f t="shared" si="18"/>
        <v>0.18479745106964041</v>
      </c>
      <c r="I73" s="203">
        <f t="shared" si="19"/>
        <v>0.22758306781975421</v>
      </c>
      <c r="J73" s="204">
        <f t="shared" si="20"/>
        <v>2197</v>
      </c>
    </row>
    <row r="74" spans="4:10" x14ac:dyDescent="0.25">
      <c r="D74" s="205">
        <v>45682</v>
      </c>
      <c r="E74" s="203">
        <f t="shared" si="15"/>
        <v>0.43075517748312236</v>
      </c>
      <c r="F74" s="203">
        <f t="shared" si="16"/>
        <v>0.20668184348372179</v>
      </c>
      <c r="G74" s="203">
        <f t="shared" si="17"/>
        <v>1.4183663274481537E-2</v>
      </c>
      <c r="H74" s="203">
        <f t="shared" si="18"/>
        <v>0.17018968642507457</v>
      </c>
      <c r="I74" s="203">
        <f t="shared" si="19"/>
        <v>0.17818962933359975</v>
      </c>
      <c r="J74" s="204">
        <f t="shared" si="20"/>
        <v>2802.52</v>
      </c>
    </row>
    <row r="75" spans="4:10" x14ac:dyDescent="0.25">
      <c r="D75" s="205">
        <v>45683</v>
      </c>
      <c r="E75" s="203">
        <f t="shared" si="15"/>
        <v>0.46446083830062657</v>
      </c>
      <c r="F75" s="203">
        <f t="shared" si="16"/>
        <v>0.18973761170055947</v>
      </c>
      <c r="G75" s="203">
        <f t="shared" si="17"/>
        <v>1.5106897054188962E-2</v>
      </c>
      <c r="H75" s="203">
        <f t="shared" si="18"/>
        <v>0.16186880923899602</v>
      </c>
      <c r="I75" s="203">
        <f t="shared" si="19"/>
        <v>0.168825843705629</v>
      </c>
      <c r="J75" s="204">
        <f t="shared" si="20"/>
        <v>2950.97</v>
      </c>
    </row>
    <row r="76" spans="4:10" x14ac:dyDescent="0.25">
      <c r="D76" s="205">
        <v>45684</v>
      </c>
      <c r="E76" s="203">
        <f t="shared" si="15"/>
        <v>0.45614035087719296</v>
      </c>
      <c r="F76" s="203">
        <f t="shared" si="16"/>
        <v>0.19676642586859305</v>
      </c>
      <c r="G76" s="203">
        <f t="shared" si="17"/>
        <v>1.6855865153078776E-2</v>
      </c>
      <c r="H76" s="203">
        <f t="shared" si="18"/>
        <v>0.16408668730650156</v>
      </c>
      <c r="I76" s="203">
        <f t="shared" si="19"/>
        <v>0.16615067079463364</v>
      </c>
      <c r="J76" s="204">
        <f t="shared" si="20"/>
        <v>2907</v>
      </c>
    </row>
    <row r="77" spans="4:10" x14ac:dyDescent="0.25">
      <c r="D77" s="205">
        <v>45685</v>
      </c>
      <c r="E77" s="203">
        <f t="shared" si="15"/>
        <v>0.44662921348314605</v>
      </c>
      <c r="F77" s="203">
        <f t="shared" si="16"/>
        <v>0.2011938202247191</v>
      </c>
      <c r="G77" s="203">
        <f t="shared" si="17"/>
        <v>1.4044943820224719E-2</v>
      </c>
      <c r="H77" s="203">
        <f t="shared" si="18"/>
        <v>0.16748595505617977</v>
      </c>
      <c r="I77" s="203">
        <f t="shared" si="19"/>
        <v>0.17064606741573032</v>
      </c>
      <c r="J77" s="204">
        <f t="shared" si="20"/>
        <v>2848</v>
      </c>
    </row>
    <row r="78" spans="4:10" x14ac:dyDescent="0.25">
      <c r="D78" s="205">
        <v>45686</v>
      </c>
      <c r="E78" s="203">
        <f t="shared" si="15"/>
        <v>0.42686459087617667</v>
      </c>
      <c r="F78" s="203">
        <f t="shared" si="16"/>
        <v>0.20492396813902969</v>
      </c>
      <c r="G78" s="203">
        <f t="shared" si="17"/>
        <v>1.5206372194062274E-2</v>
      </c>
      <c r="H78" s="203">
        <f t="shared" si="18"/>
        <v>0.17487328023171614</v>
      </c>
      <c r="I78" s="203">
        <f t="shared" si="19"/>
        <v>0.17813178855901521</v>
      </c>
      <c r="J78" s="204">
        <f t="shared" si="20"/>
        <v>2762</v>
      </c>
    </row>
    <row r="79" spans="4:10" x14ac:dyDescent="0.25">
      <c r="D79" s="205">
        <v>45687</v>
      </c>
      <c r="E79" s="203">
        <f t="shared" si="15"/>
        <v>0.36962870254484775</v>
      </c>
      <c r="F79" s="203">
        <f t="shared" si="16"/>
        <v>0.22444722569879016</v>
      </c>
      <c r="G79" s="203">
        <f t="shared" si="17"/>
        <v>2.8785982478097622E-2</v>
      </c>
      <c r="H79" s="203">
        <f t="shared" si="18"/>
        <v>0.16645807259073842</v>
      </c>
      <c r="I79" s="203">
        <f t="shared" si="19"/>
        <v>0.21068001668752606</v>
      </c>
      <c r="J79" s="204">
        <f t="shared" si="20"/>
        <v>2397</v>
      </c>
    </row>
    <row r="80" spans="4:10" x14ac:dyDescent="0.25">
      <c r="D80" s="205">
        <v>45688</v>
      </c>
      <c r="E80" s="203">
        <f t="shared" si="15"/>
        <v>0.33206339327391138</v>
      </c>
      <c r="F80" s="203">
        <f t="shared" si="16"/>
        <v>0.24339727488941737</v>
      </c>
      <c r="G80" s="203">
        <f t="shared" si="17"/>
        <v>3.1634399519882631E-2</v>
      </c>
      <c r="H80" s="203">
        <f t="shared" si="18"/>
        <v>0.16054146569161348</v>
      </c>
      <c r="I80" s="203">
        <f t="shared" si="19"/>
        <v>0.23236346662517504</v>
      </c>
      <c r="J80" s="204">
        <f t="shared" si="20"/>
        <v>2249.4500000000003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G15:G18">
    <cfRule type="cellIs" dxfId="58" priority="368" operator="equal">
      <formula>MAX($G$14:$G$16)</formula>
    </cfRule>
  </conditionalFormatting>
  <conditionalFormatting sqref="G19 G27:G39 G21:G25 G41:G45 G47">
    <cfRule type="cellIs" dxfId="57" priority="128" operator="equal">
      <formula>MAX($G$14:$G$16)</formula>
    </cfRule>
  </conditionalFormatting>
  <conditionalFormatting sqref="L15:L19 L27:L39 L21:L25 L41:L45">
    <cfRule type="cellIs" dxfId="56" priority="129" operator="equal">
      <formula>MAX($L$14:$L$16)</formula>
    </cfRule>
  </conditionalFormatting>
  <conditionalFormatting sqref="T15:T19 T27:T39 T21:T25 T41:T45">
    <cfRule type="cellIs" dxfId="55" priority="130" operator="equal">
      <formula>MAX($T$14:$T$16)</formula>
    </cfRule>
  </conditionalFormatting>
  <conditionalFormatting sqref="X15:X19 X27:X39 X21:X25 X41:X45">
    <cfRule type="cellIs" dxfId="54" priority="131" operator="equal">
      <formula>MAX($X$14:$X$16)</formula>
    </cfRule>
  </conditionalFormatting>
  <conditionalFormatting sqref="J15:J19 J27:J39 J21:J25 J41:J45">
    <cfRule type="cellIs" dxfId="53" priority="132" operator="equal">
      <formula>MAX($J$14:$J$16)</formula>
    </cfRule>
  </conditionalFormatting>
  <conditionalFormatting sqref="V15:V19 V27:V39 V21:V23 V41:V45">
    <cfRule type="cellIs" dxfId="52" priority="133" operator="equal">
      <formula>MAX($V$14:$V$16)</formula>
    </cfRule>
  </conditionalFormatting>
  <conditionalFormatting sqref="D15:D19 D27:D39 D41 D21:D25 D43:D45">
    <cfRule type="cellIs" dxfId="51" priority="134" operator="equal">
      <formula>MAX($D$14:$D$16)</formula>
    </cfRule>
  </conditionalFormatting>
  <conditionalFormatting sqref="S15:S19 S27:S39 S21:S25 S41:S45">
    <cfRule type="cellIs" dxfId="50" priority="135" operator="equal">
      <formula>MAX($S$14:$S$16)</formula>
    </cfRule>
  </conditionalFormatting>
  <conditionalFormatting sqref="N15:N19 N27:N39 N21:N25 N41:N45">
    <cfRule type="cellIs" dxfId="49" priority="136" operator="equal">
      <formula>MAX($N$14:$N$16)</formula>
    </cfRule>
  </conditionalFormatting>
  <conditionalFormatting sqref="P15:P19 P27:P39 P21:P25 P41:P45">
    <cfRule type="cellIs" dxfId="48" priority="137" operator="equal">
      <formula>MAX($P$14:$P$16)</formula>
    </cfRule>
  </conditionalFormatting>
  <conditionalFormatting sqref="G26">
    <cfRule type="cellIs" dxfId="47" priority="60" operator="equal">
      <formula>MAX($G$14:$G$16)</formula>
    </cfRule>
  </conditionalFormatting>
  <conditionalFormatting sqref="L26">
    <cfRule type="cellIs" dxfId="46" priority="61" operator="equal">
      <formula>MAX($L$14:$L$16)</formula>
    </cfRule>
  </conditionalFormatting>
  <conditionalFormatting sqref="T26">
    <cfRule type="cellIs" dxfId="45" priority="62" operator="equal">
      <formula>MAX($T$14:$T$16)</formula>
    </cfRule>
  </conditionalFormatting>
  <conditionalFormatting sqref="X26">
    <cfRule type="cellIs" dxfId="44" priority="63" operator="equal">
      <formula>MAX($X$14:$X$16)</formula>
    </cfRule>
  </conditionalFormatting>
  <conditionalFormatting sqref="J26">
    <cfRule type="cellIs" dxfId="43" priority="64" operator="equal">
      <formula>MAX($J$14:$J$16)</formula>
    </cfRule>
  </conditionalFormatting>
  <conditionalFormatting sqref="V26">
    <cfRule type="cellIs" dxfId="42" priority="65" operator="equal">
      <formula>MAX($V$14:$V$16)</formula>
    </cfRule>
  </conditionalFormatting>
  <conditionalFormatting sqref="D26">
    <cfRule type="cellIs" dxfId="41" priority="66" operator="equal">
      <formula>MAX($D$14:$D$16)</formula>
    </cfRule>
  </conditionalFormatting>
  <conditionalFormatting sqref="S26">
    <cfRule type="cellIs" dxfId="40" priority="67" operator="equal">
      <formula>MAX($S$14:$S$16)</formula>
    </cfRule>
  </conditionalFormatting>
  <conditionalFormatting sqref="N26">
    <cfRule type="cellIs" dxfId="39" priority="68" operator="equal">
      <formula>MAX($N$14:$N$16)</formula>
    </cfRule>
  </conditionalFormatting>
  <conditionalFormatting sqref="P26">
    <cfRule type="cellIs" dxfId="38" priority="69" operator="equal">
      <formula>MAX($P$14:$P$16)</formula>
    </cfRule>
  </conditionalFormatting>
  <conditionalFormatting sqref="G40">
    <cfRule type="cellIs" dxfId="37" priority="50" operator="equal">
      <formula>MAX($G$14:$G$16)</formula>
    </cfRule>
  </conditionalFormatting>
  <conditionalFormatting sqref="L40">
    <cfRule type="cellIs" dxfId="36" priority="51" operator="equal">
      <formula>MAX($L$14:$L$16)</formula>
    </cfRule>
  </conditionalFormatting>
  <conditionalFormatting sqref="T40">
    <cfRule type="cellIs" dxfId="35" priority="52" operator="equal">
      <formula>MAX($T$14:$T$16)</formula>
    </cfRule>
  </conditionalFormatting>
  <conditionalFormatting sqref="X40">
    <cfRule type="cellIs" dxfId="34" priority="53" operator="equal">
      <formula>MAX($X$14:$X$16)</formula>
    </cfRule>
  </conditionalFormatting>
  <conditionalFormatting sqref="J40">
    <cfRule type="cellIs" dxfId="33" priority="54" operator="equal">
      <formula>MAX($J$14:$J$16)</formula>
    </cfRule>
  </conditionalFormatting>
  <conditionalFormatting sqref="V40">
    <cfRule type="cellIs" dxfId="32" priority="55" operator="equal">
      <formula>MAX($V$14:$V$16)</formula>
    </cfRule>
  </conditionalFormatting>
  <conditionalFormatting sqref="D40">
    <cfRule type="cellIs" dxfId="31" priority="56" operator="equal">
      <formula>MAX($D$14:$D$16)</formula>
    </cfRule>
  </conditionalFormatting>
  <conditionalFormatting sqref="S40">
    <cfRule type="cellIs" dxfId="30" priority="57" operator="equal">
      <formula>MAX($S$14:$S$16)</formula>
    </cfRule>
  </conditionalFormatting>
  <conditionalFormatting sqref="N40">
    <cfRule type="cellIs" dxfId="29" priority="58" operator="equal">
      <formula>MAX($N$14:$N$16)</formula>
    </cfRule>
  </conditionalFormatting>
  <conditionalFormatting sqref="P40">
    <cfRule type="cellIs" dxfId="28" priority="59" operator="equal">
      <formula>MAX($P$14:$P$16)</formula>
    </cfRule>
  </conditionalFormatting>
  <conditionalFormatting sqref="G20">
    <cfRule type="cellIs" dxfId="27" priority="46" operator="equal">
      <formula>MAX($G$14:$G$42)</formula>
    </cfRule>
  </conditionalFormatting>
  <conditionalFormatting sqref="D20">
    <cfRule type="cellIs" dxfId="26" priority="47" operator="equal">
      <formula>MAX($D$14:$D$42)</formula>
    </cfRule>
  </conditionalFormatting>
  <conditionalFormatting sqref="L20">
    <cfRule type="cellIs" dxfId="25" priority="38" operator="equal">
      <formula>MAX($L$14:$L$42)</formula>
    </cfRule>
  </conditionalFormatting>
  <conditionalFormatting sqref="T20">
    <cfRule type="cellIs" dxfId="24" priority="39" operator="equal">
      <formula>MAX($T$14:$T$42)</formula>
    </cfRule>
  </conditionalFormatting>
  <conditionalFormatting sqref="X20">
    <cfRule type="cellIs" dxfId="23" priority="40" operator="equal">
      <formula>MAX($X$14:$X$42)</formula>
    </cfRule>
  </conditionalFormatting>
  <conditionalFormatting sqref="J20">
    <cfRule type="cellIs" dxfId="22" priority="41" operator="equal">
      <formula>MAX($J$14:$J$42)</formula>
    </cfRule>
  </conditionalFormatting>
  <conditionalFormatting sqref="V20">
    <cfRule type="cellIs" dxfId="21" priority="42" operator="equal">
      <formula>MAX($V$14:$V$42)</formula>
    </cfRule>
  </conditionalFormatting>
  <conditionalFormatting sqref="S20">
    <cfRule type="cellIs" dxfId="20" priority="43" operator="equal">
      <formula>MAX($S$14:$S$42)</formula>
    </cfRule>
  </conditionalFormatting>
  <conditionalFormatting sqref="N20">
    <cfRule type="cellIs" dxfId="19" priority="44" operator="equal">
      <formula>MAX($N$14:$N$42)</formula>
    </cfRule>
  </conditionalFormatting>
  <conditionalFormatting sqref="P20">
    <cfRule type="cellIs" dxfId="18" priority="45" operator="equal">
      <formula>MAX($P$14:$P$42)</formula>
    </cfRule>
  </conditionalFormatting>
  <conditionalFormatting sqref="E50:E66">
    <cfRule type="top10" dxfId="17" priority="37" rank="2"/>
  </conditionalFormatting>
  <conditionalFormatting sqref="F50:F80">
    <cfRule type="top10" dxfId="16" priority="36" rank="2"/>
  </conditionalFormatting>
  <conditionalFormatting sqref="G50:G66">
    <cfRule type="top10" dxfId="15" priority="35" rank="2"/>
  </conditionalFormatting>
  <conditionalFormatting sqref="H50:H66">
    <cfRule type="top10" dxfId="14" priority="34" rank="2"/>
  </conditionalFormatting>
  <conditionalFormatting sqref="I50:I66">
    <cfRule type="top10" dxfId="13" priority="33" rank="2"/>
  </conditionalFormatting>
  <conditionalFormatting sqref="G14">
    <cfRule type="cellIs" dxfId="12" priority="13" operator="equal">
      <formula>MAX($G$14:$G$16)</formula>
    </cfRule>
  </conditionalFormatting>
  <conditionalFormatting sqref="D14">
    <cfRule type="cellIs" dxfId="11" priority="12" operator="equal">
      <formula>MAX($D$14:$D$16)</formula>
    </cfRule>
  </conditionalFormatting>
  <conditionalFormatting sqref="L14">
    <cfRule type="cellIs" dxfId="10" priority="10" operator="equal">
      <formula>MAX($L$14:$L$16)</formula>
    </cfRule>
  </conditionalFormatting>
  <conditionalFormatting sqref="J14">
    <cfRule type="cellIs" dxfId="9" priority="11" operator="equal">
      <formula>MAX($J$14:$J$16)</formula>
    </cfRule>
  </conditionalFormatting>
  <conditionalFormatting sqref="N14">
    <cfRule type="cellIs" dxfId="8" priority="8" operator="equal">
      <formula>MAX($N$14:$N$16)</formula>
    </cfRule>
  </conditionalFormatting>
  <conditionalFormatting sqref="P14">
    <cfRule type="cellIs" dxfId="7" priority="9" operator="equal">
      <formula>MAX($P$14:$P$16)</formula>
    </cfRule>
  </conditionalFormatting>
  <conditionalFormatting sqref="T14">
    <cfRule type="cellIs" dxfId="6" priority="6" operator="equal">
      <formula>MAX($T$14:$T$16)</formula>
    </cfRule>
  </conditionalFormatting>
  <conditionalFormatting sqref="S14">
    <cfRule type="cellIs" dxfId="5" priority="7" operator="equal">
      <formula>MAX($S$14:$S$16)</formula>
    </cfRule>
  </conditionalFormatting>
  <conditionalFormatting sqref="X14">
    <cfRule type="cellIs" dxfId="4" priority="4" operator="equal">
      <formula>MAX($X$14:$X$16)</formula>
    </cfRule>
  </conditionalFormatting>
  <conditionalFormatting sqref="V14">
    <cfRule type="cellIs" dxfId="3" priority="5" operator="equal">
      <formula>MAX($V$14:$V$16)</formula>
    </cfRule>
  </conditionalFormatting>
  <conditionalFormatting sqref="V24">
    <cfRule type="cellIs" dxfId="2" priority="3" operator="equal">
      <formula>MAX($J$14:$J$16)</formula>
    </cfRule>
  </conditionalFormatting>
  <conditionalFormatting sqref="V25">
    <cfRule type="cellIs" dxfId="1" priority="2" operator="equal">
      <formula>MAX($J$14:$J$16)</formula>
    </cfRule>
  </conditionalFormatting>
  <conditionalFormatting sqref="D42">
    <cfRule type="cellIs" dxfId="0" priority="1" operator="equal">
      <formula>MAX($J$14:$J$16)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C8BCC90D-8934-419E-88C2-1F359622D212}"/>
</file>

<file path=customXml/itemProps2.xml><?xml version="1.0" encoding="utf-8"?>
<ds:datastoreItem xmlns:ds="http://schemas.openxmlformats.org/officeDocument/2006/customXml" ds:itemID="{ED6A6149-04EA-414C-9BBB-7FB6A7B45DFB}"/>
</file>

<file path=customXml/itemProps3.xml><?xml version="1.0" encoding="utf-8"?>
<ds:datastoreItem xmlns:ds="http://schemas.openxmlformats.org/officeDocument/2006/customXml" ds:itemID="{8861B2C3-971C-4F2D-93BC-8B3ACA9DB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2026-02-03T13:10:26Z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