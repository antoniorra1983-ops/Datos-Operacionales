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5/Septiembre/30-09-2025/"/>
    </mc:Choice>
  </mc:AlternateContent>
  <xr:revisionPtr revIDLastSave="5" documentId="13_ncr:1_{94667EF0-4606-4DE9-A472-BF7039F782D9}" xr6:coauthVersionLast="47" xr6:coauthVersionMax="47" xr10:uidLastSave="{4D1E7D81-D621-4CC0-868E-CB76EF0D1364}"/>
  <bookViews>
    <workbookView xWindow="-120" yWindow="-120" windowWidth="29040" windowHeight="15720" activeTab="1" xr2:uid="{00000000-000D-0000-FFFF-FFFF00000000}"/>
  </bookViews>
  <sheets>
    <sheet name="SEAT-SERs" sheetId="1" r:id="rId1"/>
    <sheet name="SAFs" sheetId="2" r:id="rId2"/>
    <sheet name="Hoja1" sheetId="4" r:id="rId3"/>
    <sheet name="Hoja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6" i="2" l="1"/>
  <c r="G46" i="2"/>
  <c r="G45" i="2"/>
  <c r="H45" i="2"/>
  <c r="F45" i="2"/>
  <c r="AF36" i="1"/>
  <c r="BB30" i="1"/>
  <c r="H30" i="1" s="1"/>
  <c r="BB19" i="1"/>
  <c r="BB11" i="1"/>
  <c r="H11" i="1" s="1"/>
  <c r="AY13" i="1"/>
  <c r="H9" i="1"/>
  <c r="H1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3" i="1"/>
  <c r="H34" i="1"/>
  <c r="H35" i="1"/>
  <c r="H36" i="1"/>
  <c r="BB8" i="1"/>
  <c r="H8" i="1" s="1"/>
  <c r="BB7" i="1"/>
  <c r="BB6" i="1"/>
  <c r="D18" i="1" l="1"/>
  <c r="BL26" i="1"/>
  <c r="BA19" i="1"/>
  <c r="AP27" i="1" l="1"/>
  <c r="AF22" i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D13" i="1"/>
  <c r="BA6" i="1"/>
  <c r="AW6" i="1" s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8" i="1"/>
  <c r="AP29" i="1"/>
  <c r="AP30" i="1"/>
  <c r="AP31" i="1"/>
  <c r="AP32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3" i="1"/>
  <c r="AW13" i="1"/>
  <c r="AX14" i="1"/>
  <c r="BA14" i="1"/>
  <c r="AY14" i="1" s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5" i="1"/>
  <c r="BA25" i="1"/>
  <c r="AW25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2" i="1"/>
  <c r="BA32" i="1"/>
  <c r="AY32" i="1" s="1"/>
  <c r="AX33" i="1"/>
  <c r="BA33" i="1"/>
  <c r="AW33" i="1" s="1"/>
  <c r="AX34" i="1"/>
  <c r="BA34" i="1"/>
  <c r="AY34" i="1" s="1"/>
  <c r="AX35" i="1"/>
  <c r="BA35" i="1"/>
  <c r="AW35" i="1" s="1"/>
  <c r="AX36" i="1"/>
  <c r="BA36" i="1"/>
  <c r="AY36" i="1" s="1"/>
  <c r="AW32" i="1" l="1"/>
  <c r="AY29" i="1"/>
  <c r="AW36" i="1"/>
  <c r="AX6" i="1"/>
  <c r="AY31" i="1"/>
  <c r="AW30" i="1"/>
  <c r="BA8" i="1"/>
  <c r="AW34" i="1"/>
  <c r="AW10" i="1"/>
  <c r="BA9" i="1"/>
  <c r="AY7" i="1"/>
  <c r="AX28" i="1"/>
  <c r="AY12" i="1"/>
  <c r="AY33" i="1"/>
  <c r="AY35" i="1"/>
  <c r="AY6" i="1"/>
  <c r="AW28" i="1"/>
  <c r="AY28" i="1"/>
  <c r="AW26" i="1"/>
  <c r="AW24" i="1"/>
  <c r="AW22" i="1"/>
  <c r="AW20" i="1"/>
  <c r="AW18" i="1"/>
  <c r="AW16" i="1"/>
  <c r="AW14" i="1"/>
  <c r="AY27" i="1"/>
  <c r="AY25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D36" i="1"/>
  <c r="F36" i="1" l="1"/>
  <c r="E36" i="1" s="1"/>
  <c r="L36" i="1"/>
  <c r="P36" i="1" s="1"/>
  <c r="K36" i="1"/>
  <c r="O36" i="1" s="1"/>
  <c r="G36" i="1"/>
  <c r="I36" i="1"/>
  <c r="M36" i="1" s="1"/>
  <c r="J36" i="1"/>
  <c r="N36" i="1" s="1"/>
  <c r="BJ36" i="1"/>
  <c r="BK36" i="1"/>
  <c r="BL6" i="1"/>
  <c r="BJ6" i="1" s="1"/>
  <c r="AM6" i="1"/>
  <c r="AN6" i="1"/>
  <c r="AD6" i="1"/>
  <c r="AC6" i="1"/>
  <c r="H6" i="1"/>
  <c r="D6" i="1"/>
  <c r="BK6" i="1" l="1"/>
  <c r="L6" i="1"/>
  <c r="P6" i="1" s="1"/>
  <c r="F6" i="1"/>
  <c r="E6" i="1" s="1"/>
  <c r="K6" i="1"/>
  <c r="O6" i="1" s="1"/>
  <c r="J6" i="1"/>
  <c r="N6" i="1" s="1"/>
  <c r="G6" i="1"/>
  <c r="I6" i="1"/>
  <c r="M6" i="1" s="1"/>
  <c r="U14" i="2" l="1"/>
  <c r="M14" i="2"/>
  <c r="I14" i="2"/>
  <c r="R14" i="2"/>
  <c r="G14" i="2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L7" i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BI21" i="1" l="1"/>
  <c r="BI22" i="1" s="1"/>
  <c r="BI23" i="1" s="1"/>
  <c r="BI24" i="1" s="1"/>
  <c r="BI25" i="1" s="1"/>
  <c r="BI26" i="1" s="1"/>
  <c r="BI27" i="1" s="1"/>
  <c r="BI28" i="1" s="1"/>
  <c r="AB36" i="1"/>
  <c r="Q36" i="1"/>
  <c r="AV36" i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BI29" i="1" l="1"/>
  <c r="BI30" i="1" s="1"/>
  <c r="BI31" i="1" s="1"/>
  <c r="BI32" i="1" s="1"/>
  <c r="BI33" i="1" s="1"/>
  <c r="BI34" i="1" s="1"/>
  <c r="BI35" i="1" s="1"/>
  <c r="BI36" i="1" s="1"/>
  <c r="R20" i="2"/>
  <c r="S39" i="1" l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6" i="2"/>
  <c r="R35" i="2"/>
  <c r="R34" i="2"/>
  <c r="R33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D24" i="1"/>
  <c r="AD24" i="1"/>
  <c r="AC24" i="1"/>
  <c r="AN24" i="1"/>
  <c r="AM24" i="1"/>
  <c r="BL24" i="1"/>
  <c r="BJ24" i="1" s="1"/>
  <c r="D25" i="1"/>
  <c r="AD25" i="1"/>
  <c r="AC25" i="1"/>
  <c r="AN25" i="1"/>
  <c r="AM25" i="1"/>
  <c r="BL25" i="1"/>
  <c r="BK25" i="1" s="1"/>
  <c r="D26" i="1"/>
  <c r="AD26" i="1"/>
  <c r="AC26" i="1"/>
  <c r="AN26" i="1"/>
  <c r="BJ26" i="1"/>
  <c r="D27" i="1"/>
  <c r="AD27" i="1"/>
  <c r="AC27" i="1"/>
  <c r="AN27" i="1"/>
  <c r="BL27" i="1"/>
  <c r="BK27" i="1" s="1"/>
  <c r="D28" i="1"/>
  <c r="AD28" i="1"/>
  <c r="AC28" i="1"/>
  <c r="AN28" i="1"/>
  <c r="BL28" i="1"/>
  <c r="BJ28" i="1" s="1"/>
  <c r="D29" i="1"/>
  <c r="AD29" i="1"/>
  <c r="AC29" i="1"/>
  <c r="AN29" i="1"/>
  <c r="BL29" i="1"/>
  <c r="BK29" i="1" s="1"/>
  <c r="D30" i="1"/>
  <c r="F30" i="1" s="1"/>
  <c r="AD30" i="1"/>
  <c r="AC30" i="1"/>
  <c r="AN30" i="1"/>
  <c r="BL30" i="1"/>
  <c r="BJ30" i="1" s="1"/>
  <c r="D31" i="1"/>
  <c r="AC31" i="1"/>
  <c r="AN31" i="1"/>
  <c r="BL31" i="1"/>
  <c r="BK31" i="1" s="1"/>
  <c r="D32" i="1"/>
  <c r="AD32" i="1"/>
  <c r="AC32" i="1"/>
  <c r="AN32" i="1"/>
  <c r="BL32" i="1"/>
  <c r="BJ32" i="1" s="1"/>
  <c r="D33" i="1"/>
  <c r="D34" i="1"/>
  <c r="AD34" i="1"/>
  <c r="AC34" i="1"/>
  <c r="AN34" i="1"/>
  <c r="BL34" i="1"/>
  <c r="BK34" i="1" s="1"/>
  <c r="D35" i="1"/>
  <c r="AD35" i="1"/>
  <c r="AC35" i="1"/>
  <c r="AN35" i="1"/>
  <c r="BL35" i="1"/>
  <c r="BK35" i="1" s="1"/>
  <c r="D11" i="1"/>
  <c r="AC11" i="1"/>
  <c r="AN11" i="1"/>
  <c r="AM11" i="1"/>
  <c r="BL11" i="1"/>
  <c r="D12" i="1"/>
  <c r="AD12" i="1"/>
  <c r="AC12" i="1"/>
  <c r="AN12" i="1"/>
  <c r="AM12" i="1"/>
  <c r="BL12" i="1"/>
  <c r="BK12" i="1" s="1"/>
  <c r="AD13" i="1"/>
  <c r="AC13" i="1"/>
  <c r="AN13" i="1"/>
  <c r="AM13" i="1"/>
  <c r="BL13" i="1"/>
  <c r="BK13" i="1" s="1"/>
  <c r="D14" i="1"/>
  <c r="AD14" i="1"/>
  <c r="AC14" i="1"/>
  <c r="AN14" i="1"/>
  <c r="AM14" i="1"/>
  <c r="BL14" i="1"/>
  <c r="BK14" i="1" s="1"/>
  <c r="D15" i="1"/>
  <c r="D16" i="1"/>
  <c r="AD16" i="1"/>
  <c r="AC16" i="1"/>
  <c r="AN16" i="1"/>
  <c r="AM16" i="1"/>
  <c r="BL16" i="1"/>
  <c r="BK16" i="1" s="1"/>
  <c r="D17" i="1"/>
  <c r="AD17" i="1"/>
  <c r="AC17" i="1"/>
  <c r="AN17" i="1"/>
  <c r="AM17" i="1"/>
  <c r="BL17" i="1"/>
  <c r="AD18" i="1"/>
  <c r="AC18" i="1"/>
  <c r="AN18" i="1"/>
  <c r="AM18" i="1"/>
  <c r="BL18" i="1"/>
  <c r="BK18" i="1" s="1"/>
  <c r="D19" i="1"/>
  <c r="AD19" i="1"/>
  <c r="D20" i="1"/>
  <c r="AD20" i="1"/>
  <c r="AC20" i="1"/>
  <c r="AN20" i="1"/>
  <c r="AM20" i="1"/>
  <c r="BL20" i="1"/>
  <c r="D21" i="1"/>
  <c r="AD21" i="1"/>
  <c r="AC21" i="1"/>
  <c r="AN21" i="1"/>
  <c r="AM21" i="1"/>
  <c r="BL21" i="1"/>
  <c r="D22" i="1"/>
  <c r="AD22" i="1"/>
  <c r="AC22" i="1"/>
  <c r="AN22" i="1"/>
  <c r="AM22" i="1"/>
  <c r="BL22" i="1"/>
  <c r="D23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F13" i="1"/>
  <c r="E13" i="1" s="1"/>
  <c r="BK32" i="1"/>
  <c r="G24" i="1"/>
  <c r="I19" i="1"/>
  <c r="M19" i="1" s="1"/>
  <c r="G15" i="1"/>
  <c r="BJ25" i="1"/>
  <c r="BK19" i="1"/>
  <c r="F16" i="1"/>
  <c r="E16" i="1" s="1"/>
  <c r="BJ35" i="1"/>
  <c r="BJ34" i="1"/>
  <c r="F35" i="1"/>
  <c r="E35" i="1" s="1"/>
  <c r="F34" i="1"/>
  <c r="E34" i="1" s="1"/>
  <c r="F33" i="1"/>
  <c r="E33" i="1" s="1"/>
  <c r="F32" i="1"/>
  <c r="E32" i="1" s="1"/>
  <c r="BJ31" i="1"/>
  <c r="F31" i="1"/>
  <c r="E31" i="1" s="1"/>
  <c r="BK30" i="1"/>
  <c r="E30" i="1"/>
  <c r="BJ29" i="1"/>
  <c r="F29" i="1"/>
  <c r="E29" i="1" s="1"/>
  <c r="BJ27" i="1"/>
  <c r="G18" i="1"/>
  <c r="F18" i="1"/>
  <c r="E18" i="1" s="1"/>
  <c r="G19" i="1"/>
  <c r="F17" i="1"/>
  <c r="E17" i="1" s="1"/>
  <c r="F19" i="1"/>
  <c r="E19" i="1" s="1"/>
  <c r="G17" i="1"/>
  <c r="G16" i="1"/>
  <c r="F15" i="1"/>
  <c r="E15" i="1" s="1"/>
  <c r="G14" i="1"/>
  <c r="F14" i="1"/>
  <c r="E14" i="1" s="1"/>
  <c r="G13" i="1"/>
  <c r="K12" i="1"/>
  <c r="O12" i="1" s="1"/>
  <c r="L12" i="1"/>
  <c r="P12" i="1" s="1"/>
  <c r="F12" i="1"/>
  <c r="E12" i="1" s="1"/>
  <c r="I11" i="1"/>
  <c r="M11" i="1" s="1"/>
  <c r="F11" i="1"/>
  <c r="E11" i="1" s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F27" i="1"/>
  <c r="E27" i="1" s="1"/>
  <c r="F25" i="1"/>
  <c r="E25" i="1" s="1"/>
  <c r="F8" i="1"/>
  <c r="E8" i="1" s="1"/>
  <c r="F23" i="1"/>
  <c r="E23" i="1" s="1"/>
  <c r="F22" i="1"/>
  <c r="E22" i="1" s="1"/>
  <c r="F21" i="1"/>
  <c r="E21" i="1" s="1"/>
  <c r="F20" i="1"/>
  <c r="E20" i="1" s="1"/>
  <c r="G11" i="1"/>
  <c r="G34" i="1"/>
  <c r="G32" i="1"/>
  <c r="G30" i="1"/>
  <c r="BK28" i="1"/>
  <c r="F28" i="1"/>
  <c r="E28" i="1" s="1"/>
  <c r="BK26" i="1"/>
  <c r="F26" i="1"/>
  <c r="E26" i="1" s="1"/>
  <c r="BK24" i="1"/>
  <c r="BK22" i="1"/>
  <c r="L19" i="1"/>
  <c r="P19" i="1" s="1"/>
  <c r="BK17" i="1"/>
  <c r="BK21" i="1"/>
  <c r="BK20" i="1"/>
  <c r="BJ10" i="1"/>
  <c r="BK11" i="1"/>
  <c r="F24" i="1"/>
  <c r="E24" i="1" s="1"/>
  <c r="BJ9" i="1"/>
  <c r="L33" i="1"/>
  <c r="P33" i="1" s="1"/>
  <c r="I33" i="1"/>
  <c r="M33" i="1" s="1"/>
  <c r="J33" i="1"/>
  <c r="N33" i="1" s="1"/>
  <c r="AM35" i="1"/>
  <c r="AM34" i="1"/>
  <c r="AM32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3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s="1"/>
  <c r="AL14" i="1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I32" i="1"/>
  <c r="M32" i="1" s="1"/>
  <c r="L34" i="1"/>
  <c r="P34" i="1" s="1"/>
  <c r="J35" i="1"/>
  <c r="N35" i="1" s="1"/>
  <c r="K34" i="1"/>
  <c r="O34" i="1" s="1"/>
  <c r="J34" i="1"/>
  <c r="N34" i="1" s="1"/>
  <c r="AL15" i="1"/>
  <c r="AL16" i="1" s="1"/>
  <c r="AL17" i="1" s="1"/>
  <c r="AL18" i="1" s="1"/>
  <c r="AL19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AL20" i="1" l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I40" i="2"/>
  <c r="I41" i="2" s="1"/>
  <c r="I42" i="2" s="1"/>
  <c r="I43" i="2" s="1"/>
  <c r="U40" i="2"/>
  <c r="U41" i="2" s="1"/>
  <c r="U42" i="2" s="1"/>
  <c r="U43" i="2" s="1"/>
  <c r="B15" i="2"/>
  <c r="U44" i="2" l="1"/>
  <c r="I44" i="2"/>
  <c r="AL36" i="1"/>
  <c r="B16" i="2"/>
  <c r="M15" i="2"/>
  <c r="B17" i="2" l="1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2" i="2"/>
  <c r="B34" i="2" l="1"/>
  <c r="M33" i="2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H11" authorId="2" shapeId="0" xr:uid="{1D365218-AF6E-4E72-BD37-5340AE6FEF41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USO DE GENERADOR 12KV EN SERES POR 5HRS HORARIO NOCTURNO. FAENAS VALENCIA</t>
        </r>
      </text>
    </comment>
    <comment ref="AQ12" authorId="2" shapeId="0" xr:uid="{49B1A85B-1284-4627-896C-30BFA163EDF5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aproximado problemas para ingresar en win 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  <author>Ricardo Arancibia Leon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  <comment ref="J27" authorId="1" shapeId="0" xr:uid="{7549C600-EA75-4039-A8F4-CE6E8D8B1696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sin comunicacion</t>
        </r>
      </text>
    </comment>
    <comment ref="L27" authorId="1" shapeId="0" xr:uid="{FA82307D-8863-4AE9-A76C-F98CEA87A127}">
      <text>
        <r>
          <rPr>
            <b/>
            <sz val="9"/>
            <color indexed="81"/>
            <rFont val="Tahoma"/>
            <family val="2"/>
          </rPr>
          <t>Ricardo Arancibia Leon:</t>
        </r>
        <r>
          <rPr>
            <sz val="9"/>
            <color indexed="81"/>
            <rFont val="Tahoma"/>
            <family val="2"/>
          </rPr>
          <t xml:space="preserve">
medidor sin comunicación </t>
        </r>
      </text>
    </comment>
  </commentList>
</comments>
</file>

<file path=xl/sharedStrings.xml><?xml version="1.0" encoding="utf-8"?>
<sst xmlns="http://schemas.openxmlformats.org/spreadsheetml/2006/main" count="127" uniqueCount="72">
  <si>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</si>
  <si>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</si>
  <si>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</si>
  <si>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</si>
  <si>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</si>
  <si>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</si>
  <si>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</si>
  <si>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</si>
  <si>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</si>
  <si>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</si>
  <si>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</si>
  <si>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</si>
  <si>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</si>
  <si>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</si>
  <si>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</si>
  <si>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</si>
  <si>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</si>
  <si>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</si>
  <si>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</si>
  <si>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</si>
  <si>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</si>
  <si>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</si>
  <si>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</si>
  <si>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</si>
  <si>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</si>
  <si>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</si>
  <si>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</si>
  <si>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</si>
  <si>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</si>
  <si>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</si>
  <si>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</si>
  <si>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</si>
  <si>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</si>
  <si>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</si>
  <si>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</si>
  <si>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</si>
  <si>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</si>
  <si>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: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</si>
  <si>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</si>
  <si>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</si>
  <si>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</si>
  <si>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</si>
  <si>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</si>
  <si>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</si>
  <si>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</si>
  <si>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</si>
  <si>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</si>
  <si>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</si>
  <si>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</si>
  <si>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</si>
  <si>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</si>
  <si>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</si>
  <si>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</si>
  <si>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</si>
  <si>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</si>
  <si>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</si>
  <si>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</si>
  <si>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</si>
  <si>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</si>
  <si>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</si>
  <si>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</si>
  <si>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</si>
  <si>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</si>
  <si>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</si>
  <si>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</si>
  <si>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</si>
  <si>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</si>
  <si>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</si>
  <si>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</si>
  <si>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</si>
  <si>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0.00</t>
  </si>
  <si>
    <t>07.12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</si>
</sst>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165" fontId="0" fillId="0" borderId="0" xfId="0" applyNumberFormat="1"/>
    <xf numFmtId="9" fontId="4" fillId="0" borderId="0" xfId="2" applyFont="1" applyFill="1" applyBorder="1" applyAlignment="1">
      <alignment horizontal="center"/>
    </xf>
    <xf numFmtId="9" fontId="0" fillId="0" borderId="0" xfId="2" applyFont="1"/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73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</c:numCache>
            </c:numRef>
          </c:cat>
          <c:val>
            <c:numRef>
              <c:f>'SEAT-SERs'!$D$7:$D$10</c:f>
              <c:numCache>
                <c:formatCode>#,##0\ "Kwh"</c:formatCode>
                <c:ptCount val="4"/>
                <c:pt idx="0">
                  <c:v>52198</c:v>
                </c:pt>
                <c:pt idx="1">
                  <c:v>52918</c:v>
                </c:pt>
                <c:pt idx="2">
                  <c:v>53586</c:v>
                </c:pt>
                <c:pt idx="3">
                  <c:v>53352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'SEAT-SERs'!$B$7:$B$10</c15:sqref>
                        </c15:formulaRef>
                      </c:ext>
                    </c:extLst>
                    <c:numCache>
                      <c:formatCode>dd/mm/yy;@</c:formatCode>
                      <c:ptCount val="4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'SEAT-SERs'!$B$7:$B$10</c:f>
              <c:numCache>
                <c:formatCode>dd/mm/yy;@</c:formatCode>
                <c:ptCount val="4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</c:numCache>
            </c:numRef>
          </c:cat>
          <c:val>
            <c:numRef>
              <c:f>'SEAT-SERs'!$F$7:$F$10</c:f>
              <c:numCache>
                <c:formatCode>#,##0\ "Kwh"</c:formatCode>
                <c:ptCount val="4"/>
                <c:pt idx="0">
                  <c:v>46025</c:v>
                </c:pt>
                <c:pt idx="1">
                  <c:v>46518</c:v>
                </c:pt>
                <c:pt idx="2">
                  <c:v>47434</c:v>
                </c:pt>
                <c:pt idx="3">
                  <c:v>47187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7</xdr:col>
      <xdr:colOff>495300</xdr:colOff>
      <xdr:row>54</xdr:row>
      <xdr:rowOff>61912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16</xdr:col>
      <xdr:colOff>104775</xdr:colOff>
      <xdr:row>54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topLeftCell="A28" zoomScale="150" zoomScaleNormal="150" zoomScaleSheetLayoutView="120" workbookViewId="0">
      <selection activeCell="D35" sqref="D35"/>
    </sheetView>
  </sheetViews>
  <sheetFormatPr baseColWidth="10" defaultColWidth="11.42578125" defaultRowHeight="15" x14ac:dyDescent="0.25"/>
  <cols>
    <col min="1" max="1" width="2.28515625" style="134" customWidth="1"/>
    <col min="2" max="2" width="10.42578125" style="14" customWidth="1"/>
    <col min="3" max="3" width="2.28515625" style="167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2" s="133" customFormat="1" ht="14.65" customHeight="1" x14ac:dyDescent="0.25">
      <c r="A1" s="127">
        <v>1.1111111E+55</v>
      </c>
      <c r="B1" s="202" t="s">
        <v>0</v>
      </c>
      <c r="C1" s="128"/>
      <c r="D1" s="204" t="s">
        <v>1</v>
      </c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  <c r="P1" s="207"/>
      <c r="Q1" s="129"/>
      <c r="R1" s="184" t="s">
        <v>2</v>
      </c>
      <c r="S1" s="185"/>
      <c r="T1" s="185"/>
      <c r="U1" s="185"/>
      <c r="V1" s="185"/>
      <c r="W1" s="185"/>
      <c r="X1" s="185"/>
      <c r="Y1" s="185"/>
      <c r="Z1" s="185"/>
      <c r="AA1" s="186"/>
      <c r="AB1" s="130"/>
      <c r="AC1" s="184" t="s">
        <v>3</v>
      </c>
      <c r="AD1" s="185"/>
      <c r="AE1" s="185"/>
      <c r="AF1" s="185"/>
      <c r="AG1" s="185"/>
      <c r="AH1" s="185"/>
      <c r="AI1" s="185"/>
      <c r="AJ1" s="185"/>
      <c r="AK1" s="186"/>
      <c r="AL1" s="131"/>
      <c r="AM1" s="184" t="s">
        <v>4</v>
      </c>
      <c r="AN1" s="185"/>
      <c r="AO1" s="185"/>
      <c r="AP1" s="185"/>
      <c r="AQ1" s="185"/>
      <c r="AR1" s="185"/>
      <c r="AS1" s="185"/>
      <c r="AT1" s="185"/>
      <c r="AU1" s="186"/>
      <c r="AV1" s="131"/>
      <c r="AW1" s="184" t="s">
        <v>58</v>
      </c>
      <c r="AX1" s="185"/>
      <c r="AY1" s="185"/>
      <c r="AZ1" s="185"/>
      <c r="BA1" s="185"/>
      <c r="BB1" s="185"/>
      <c r="BC1" s="185"/>
      <c r="BD1" s="185"/>
      <c r="BE1" s="185"/>
      <c r="BF1" s="185"/>
      <c r="BG1" s="185"/>
      <c r="BH1" s="186"/>
      <c r="BI1" s="131"/>
      <c r="BJ1" s="184" t="s">
        <v>5</v>
      </c>
      <c r="BK1" s="185"/>
      <c r="BL1" s="185"/>
      <c r="BM1" s="185"/>
      <c r="BN1" s="185"/>
      <c r="BO1" s="185"/>
      <c r="BP1" s="185"/>
      <c r="BQ1" s="185"/>
      <c r="BR1" s="186"/>
      <c r="BS1" s="132"/>
    </row>
    <row r="2" spans="1:72" ht="15" customHeight="1" thickBot="1" x14ac:dyDescent="0.3">
      <c r="B2" s="202"/>
      <c r="C2" s="1"/>
      <c r="D2" s="208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  <c r="P2" s="211"/>
      <c r="Q2" s="58"/>
      <c r="R2" s="187"/>
      <c r="S2" s="188"/>
      <c r="T2" s="188"/>
      <c r="U2" s="188"/>
      <c r="V2" s="188"/>
      <c r="W2" s="188"/>
      <c r="X2" s="188"/>
      <c r="Y2" s="188"/>
      <c r="Z2" s="188"/>
      <c r="AA2" s="189"/>
      <c r="AB2" s="60"/>
      <c r="AC2" s="187"/>
      <c r="AD2" s="188"/>
      <c r="AE2" s="188"/>
      <c r="AF2" s="188"/>
      <c r="AG2" s="188"/>
      <c r="AH2" s="188"/>
      <c r="AI2" s="188"/>
      <c r="AJ2" s="188"/>
      <c r="AK2" s="189"/>
      <c r="AL2" s="59"/>
      <c r="AM2" s="187"/>
      <c r="AN2" s="188"/>
      <c r="AO2" s="188"/>
      <c r="AP2" s="188"/>
      <c r="AQ2" s="188"/>
      <c r="AR2" s="188"/>
      <c r="AS2" s="188"/>
      <c r="AT2" s="188"/>
      <c r="AU2" s="189"/>
      <c r="AV2" s="59"/>
      <c r="AW2" s="187"/>
      <c r="AX2" s="188"/>
      <c r="AY2" s="188"/>
      <c r="AZ2" s="188"/>
      <c r="BA2" s="188"/>
      <c r="BB2" s="188"/>
      <c r="BC2" s="188"/>
      <c r="BD2" s="188"/>
      <c r="BE2" s="188"/>
      <c r="BF2" s="188"/>
      <c r="BG2" s="188"/>
      <c r="BH2" s="189"/>
      <c r="BI2" s="59"/>
      <c r="BJ2" s="187"/>
      <c r="BK2" s="188"/>
      <c r="BL2" s="188"/>
      <c r="BM2" s="188"/>
      <c r="BN2" s="188"/>
      <c r="BO2" s="188"/>
      <c r="BP2" s="188"/>
      <c r="BQ2" s="188"/>
      <c r="BR2" s="189"/>
      <c r="BS2" s="135"/>
    </row>
    <row r="3" spans="1:72" ht="30" customHeight="1" thickBot="1" x14ac:dyDescent="0.3">
      <c r="B3" s="202"/>
      <c r="C3" s="1"/>
      <c r="D3" s="190" t="s">
        <v>6</v>
      </c>
      <c r="E3" s="190" t="s">
        <v>7</v>
      </c>
      <c r="F3" s="190" t="s">
        <v>8</v>
      </c>
      <c r="G3" s="190" t="s">
        <v>9</v>
      </c>
      <c r="H3" s="190" t="s">
        <v>10</v>
      </c>
      <c r="I3" s="212" t="s">
        <v>11</v>
      </c>
      <c r="J3" s="213"/>
      <c r="K3" s="214"/>
      <c r="L3" s="215"/>
      <c r="M3" s="212" t="s">
        <v>12</v>
      </c>
      <c r="N3" s="213"/>
      <c r="O3" s="214"/>
      <c r="P3" s="215"/>
      <c r="Q3" s="58"/>
      <c r="R3" s="194" t="s">
        <v>13</v>
      </c>
      <c r="S3" s="195"/>
      <c r="T3" s="216"/>
      <c r="U3" s="216"/>
      <c r="V3" s="194" t="s">
        <v>14</v>
      </c>
      <c r="W3" s="195"/>
      <c r="X3" s="195"/>
      <c r="Y3" s="195"/>
      <c r="Z3" s="195"/>
      <c r="AA3" s="196"/>
      <c r="AB3" s="60"/>
      <c r="AC3" s="192" t="s">
        <v>15</v>
      </c>
      <c r="AD3" s="217" t="s">
        <v>9</v>
      </c>
      <c r="AE3" s="194" t="s">
        <v>13</v>
      </c>
      <c r="AF3" s="195"/>
      <c r="AG3" s="196"/>
      <c r="AH3" s="194" t="s">
        <v>14</v>
      </c>
      <c r="AI3" s="195"/>
      <c r="AJ3" s="195"/>
      <c r="AK3" s="196"/>
      <c r="AL3" s="59"/>
      <c r="AM3" s="197" t="s">
        <v>15</v>
      </c>
      <c r="AN3" s="192" t="s">
        <v>9</v>
      </c>
      <c r="AO3" s="201" t="s">
        <v>13</v>
      </c>
      <c r="AP3" s="195"/>
      <c r="AQ3" s="196"/>
      <c r="AR3" s="194" t="s">
        <v>14</v>
      </c>
      <c r="AS3" s="195"/>
      <c r="AT3" s="195"/>
      <c r="AU3" s="196"/>
      <c r="AV3" s="59"/>
      <c r="AW3" s="192" t="s">
        <v>15</v>
      </c>
      <c r="AX3" s="192" t="s">
        <v>9</v>
      </c>
      <c r="AY3" s="201" t="s">
        <v>13</v>
      </c>
      <c r="AZ3" s="201"/>
      <c r="BA3" s="195"/>
      <c r="BB3" s="196"/>
      <c r="BC3" s="194" t="s">
        <v>14</v>
      </c>
      <c r="BD3" s="201"/>
      <c r="BE3" s="201"/>
      <c r="BF3" s="195"/>
      <c r="BG3" s="195"/>
      <c r="BH3" s="196"/>
      <c r="BI3" s="59"/>
      <c r="BJ3" s="197" t="s">
        <v>16</v>
      </c>
      <c r="BK3" s="192" t="s">
        <v>17</v>
      </c>
      <c r="BL3" s="198" t="s">
        <v>18</v>
      </c>
      <c r="BM3" s="199"/>
      <c r="BN3" s="200"/>
      <c r="BO3" s="201" t="s">
        <v>14</v>
      </c>
      <c r="BP3" s="195"/>
      <c r="BQ3" s="195"/>
      <c r="BR3" s="196"/>
      <c r="BS3" s="135"/>
    </row>
    <row r="4" spans="1:72" ht="56.25" customHeight="1" thickBot="1" x14ac:dyDescent="0.3">
      <c r="B4" s="203"/>
      <c r="C4" s="2"/>
      <c r="D4" s="191"/>
      <c r="E4" s="191"/>
      <c r="F4" s="191"/>
      <c r="G4" s="191"/>
      <c r="H4" s="191"/>
      <c r="I4" s="80" t="s">
        <v>3</v>
      </c>
      <c r="J4" s="81" t="s">
        <v>4</v>
      </c>
      <c r="K4" s="82" t="s">
        <v>58</v>
      </c>
      <c r="L4" s="82" t="s">
        <v>5</v>
      </c>
      <c r="M4" s="81" t="s">
        <v>3</v>
      </c>
      <c r="N4" s="81" t="s">
        <v>4</v>
      </c>
      <c r="O4" s="81" t="s">
        <v>58</v>
      </c>
      <c r="P4" s="81" t="s">
        <v>19</v>
      </c>
      <c r="Q4" s="60"/>
      <c r="R4" s="122" t="s">
        <v>20</v>
      </c>
      <c r="S4" s="62" t="s">
        <v>21</v>
      </c>
      <c r="T4" s="62" t="s">
        <v>60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3"/>
      <c r="AD4" s="185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4"/>
      <c r="AN4" s="193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3"/>
      <c r="AX4" s="193"/>
      <c r="AY4" s="123" t="s">
        <v>27</v>
      </c>
      <c r="AZ4" s="62" t="s">
        <v>59</v>
      </c>
      <c r="BA4" s="123" t="s">
        <v>61</v>
      </c>
      <c r="BB4" s="62" t="s">
        <v>29</v>
      </c>
      <c r="BC4" s="123" t="s">
        <v>56</v>
      </c>
      <c r="BD4" s="62" t="s">
        <v>24</v>
      </c>
      <c r="BE4" s="123" t="s">
        <v>57</v>
      </c>
      <c r="BF4" s="62" t="s">
        <v>24</v>
      </c>
      <c r="BG4" s="123" t="s">
        <v>31</v>
      </c>
      <c r="BH4" s="62" t="s">
        <v>24</v>
      </c>
      <c r="BI4" s="61"/>
      <c r="BJ4" s="184"/>
      <c r="BK4" s="193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6"/>
    </row>
    <row r="5" spans="1:72" ht="15.75" thickBot="1" x14ac:dyDescent="0.3">
      <c r="B5" s="137"/>
      <c r="C5" s="138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9"/>
      <c r="S5" s="140"/>
      <c r="T5" s="140"/>
      <c r="U5" s="140"/>
      <c r="V5" s="141"/>
      <c r="W5" s="142"/>
      <c r="X5" s="141"/>
      <c r="Y5" s="142"/>
      <c r="Z5" s="141"/>
      <c r="AA5" s="142"/>
      <c r="AB5" s="64"/>
      <c r="AC5" s="143"/>
      <c r="AD5" s="144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5"/>
    </row>
    <row r="6" spans="1:72" ht="15.75" thickBot="1" x14ac:dyDescent="0.3">
      <c r="B6" s="168">
        <v>45900</v>
      </c>
      <c r="C6" s="183"/>
      <c r="D6" s="87">
        <f t="shared" ref="D6" si="0">R6</f>
        <v>27618</v>
      </c>
      <c r="E6" s="159">
        <f t="shared" ref="E6" si="1">F6/D6</f>
        <v>0.78046925917879639</v>
      </c>
      <c r="F6" s="87">
        <f t="shared" ref="F6" si="2">D6-H6</f>
        <v>21555</v>
      </c>
      <c r="G6" s="159">
        <f t="shared" ref="G6" si="3">H6/D6</f>
        <v>0.21953074082120355</v>
      </c>
      <c r="H6" s="146">
        <f t="shared" ref="H6" si="4">U6+AG6+AQ6+BB6</f>
        <v>6063</v>
      </c>
      <c r="I6" s="160">
        <f t="shared" ref="I6" si="5">AE6/(AE6+AO6+BL6+AY6)</f>
        <v>6.1640619759876586E-2</v>
      </c>
      <c r="J6" s="159">
        <f t="shared" ref="J6" si="6">AO6/(AE6+AO6+BL6+AY6)</f>
        <v>0.1657388154805822</v>
      </c>
      <c r="K6" s="159">
        <f t="shared" ref="K6" si="7">AY6/(AF6+AP6+BM6+AZ6+AY6)</f>
        <v>0.15531580130366374</v>
      </c>
      <c r="L6" s="161">
        <f t="shared" ref="L6" si="8">BL6/(AE6+AO6+BL6+AY6)</f>
        <v>0.65675095579851095</v>
      </c>
      <c r="M6" s="146">
        <f>(S6+T6)*I6</f>
        <v>1570.6029914816554</v>
      </c>
      <c r="N6" s="146">
        <f>(S6+T6)*J6</f>
        <v>4223.0250184452343</v>
      </c>
      <c r="O6" s="146">
        <f>(S6+T6)*K6</f>
        <v>3957.446617217352</v>
      </c>
      <c r="P6" s="146">
        <f>(S6+T6)*L6</f>
        <v>16734.014353746057</v>
      </c>
      <c r="Q6" s="168">
        <v>45900</v>
      </c>
      <c r="R6" s="139">
        <v>27618</v>
      </c>
      <c r="S6" s="140">
        <v>0</v>
      </c>
      <c r="T6" s="140">
        <v>25480</v>
      </c>
      <c r="U6" s="140">
        <v>471</v>
      </c>
      <c r="V6" s="141">
        <v>5589</v>
      </c>
      <c r="W6" s="142">
        <v>0.52083333333333337</v>
      </c>
      <c r="X6" s="141">
        <v>1883</v>
      </c>
      <c r="Y6" s="142">
        <v>0.59375</v>
      </c>
      <c r="Z6" s="141">
        <v>163</v>
      </c>
      <c r="AA6" s="142">
        <v>2.0833333333333332E-2</v>
      </c>
      <c r="AB6" s="168">
        <v>45900</v>
      </c>
      <c r="AC6" s="76">
        <f t="shared" ref="AC6" si="9">+AF6/AE6</f>
        <v>1</v>
      </c>
      <c r="AD6" s="162">
        <f t="shared" ref="AD6" si="10">+AG6/AE6</f>
        <v>0</v>
      </c>
      <c r="AE6" s="163">
        <v>1838</v>
      </c>
      <c r="AF6" s="118">
        <f t="shared" ref="AF6" si="11">+AE6-AG6</f>
        <v>1838</v>
      </c>
      <c r="AG6" s="147">
        <v>0</v>
      </c>
      <c r="AH6" s="148">
        <v>1877</v>
      </c>
      <c r="AI6" s="149">
        <v>0.94027777777777777</v>
      </c>
      <c r="AJ6" s="148">
        <v>0</v>
      </c>
      <c r="AK6" s="165">
        <v>0</v>
      </c>
      <c r="AL6" s="168">
        <v>45900</v>
      </c>
      <c r="AM6" s="77">
        <f t="shared" ref="AM6" si="12">+AP6/AO6</f>
        <v>0.29562929987859166</v>
      </c>
      <c r="AN6" s="76">
        <f t="shared" ref="AN6" si="13">+AQ6/AO6</f>
        <v>0.70437070012140834</v>
      </c>
      <c r="AO6" s="150">
        <v>4942</v>
      </c>
      <c r="AP6" s="117">
        <f t="shared" ref="AP6" si="14">AO6-AQ6</f>
        <v>1461</v>
      </c>
      <c r="AQ6" s="151">
        <v>3481</v>
      </c>
      <c r="AR6" s="152">
        <v>1556</v>
      </c>
      <c r="AS6" s="153">
        <v>0.39444444444444443</v>
      </c>
      <c r="AT6" s="152">
        <v>174</v>
      </c>
      <c r="AU6" s="154">
        <v>0.88541666666666663</v>
      </c>
      <c r="AV6" s="168">
        <v>45900</v>
      </c>
      <c r="AW6" s="169">
        <f t="shared" ref="AW6" si="15">BA6/AZ6</f>
        <v>0.38900144717800289</v>
      </c>
      <c r="AX6" s="169">
        <f t="shared" ref="AX6" si="16">BB6/AZ6</f>
        <v>0.61099855282199711</v>
      </c>
      <c r="AY6" s="111">
        <f t="shared" ref="AY6" si="17">BA6+BB6</f>
        <v>3455</v>
      </c>
      <c r="AZ6" s="112">
        <v>3455</v>
      </c>
      <c r="BA6" s="170">
        <f t="shared" ref="BA6" si="18">AZ6-BB6</f>
        <v>1344</v>
      </c>
      <c r="BB6" s="113">
        <f>1062+1049</f>
        <v>2111</v>
      </c>
      <c r="BC6" s="112">
        <v>1417</v>
      </c>
      <c r="BD6" s="114">
        <v>0.95833333333333337</v>
      </c>
      <c r="BE6" s="115">
        <v>0</v>
      </c>
      <c r="BF6" s="114">
        <v>0</v>
      </c>
      <c r="BG6" s="115">
        <v>141</v>
      </c>
      <c r="BH6" s="114">
        <v>0.14583333333333334</v>
      </c>
      <c r="BI6" s="168">
        <v>45900</v>
      </c>
      <c r="BJ6" s="171">
        <f t="shared" ref="BJ6" si="19">+BM6/BL6</f>
        <v>0.61461471684624425</v>
      </c>
      <c r="BK6" s="76">
        <f t="shared" ref="BK6" si="20">+BN6/BL6</f>
        <v>0.38538528315375581</v>
      </c>
      <c r="BL6" s="79">
        <f t="shared" ref="BL6" si="21">BM6+BN6</f>
        <v>19583</v>
      </c>
      <c r="BM6" s="155">
        <v>12036</v>
      </c>
      <c r="BN6" s="155">
        <v>7547</v>
      </c>
      <c r="BO6" s="156">
        <v>2527</v>
      </c>
      <c r="BP6" s="157">
        <v>0.4777777777777778</v>
      </c>
      <c r="BQ6" s="158">
        <v>1648</v>
      </c>
      <c r="BR6" s="157">
        <v>0.4777777777777778</v>
      </c>
    </row>
    <row r="7" spans="1:72" ht="15.75" thickBot="1" x14ac:dyDescent="0.3">
      <c r="A7" s="166"/>
      <c r="B7" s="56">
        <f>B6+1</f>
        <v>45901</v>
      </c>
      <c r="C7" s="126"/>
      <c r="D7" s="87">
        <f t="shared" ref="D7:D10" si="22">R7</f>
        <v>52198</v>
      </c>
      <c r="E7" s="159">
        <f t="shared" ref="E7:E10" si="23">F7/D7</f>
        <v>0.88173876393731565</v>
      </c>
      <c r="F7" s="87">
        <f t="shared" ref="F7:F10" si="24">D7-H7</f>
        <v>46025</v>
      </c>
      <c r="G7" s="159">
        <f t="shared" ref="G7:G10" si="25">H7/D7</f>
        <v>0.11826123606268439</v>
      </c>
      <c r="H7" s="146">
        <f t="shared" ref="H7:H36" si="26">U7+AG7+AQ7+BB7</f>
        <v>6173</v>
      </c>
      <c r="I7" s="160">
        <f t="shared" ref="I7:I10" si="27">AE7/(AE7+AO7+BL7+AY7)</f>
        <v>0.12295656865389804</v>
      </c>
      <c r="J7" s="159">
        <f t="shared" ref="J7:J10" si="28">AO7/(AE7+AO7+BL7+AY7)</f>
        <v>0.16430177142343314</v>
      </c>
      <c r="K7" s="159">
        <f t="shared" ref="K7:K10" si="29">AY7/(AF7+AP7+BM7+AZ7+AY7)</f>
        <v>0.12304868930829009</v>
      </c>
      <c r="L7" s="161">
        <f t="shared" ref="L7:L10" si="30">BL7/(AE7+AO7+BL7+AY7)</f>
        <v>0.61507058717741214</v>
      </c>
      <c r="M7" s="146">
        <f t="shared" ref="M7:M10" si="31">(S7+T7)*I7</f>
        <v>5963.0247100080933</v>
      </c>
      <c r="N7" s="146">
        <f t="shared" ref="N7:N10" si="32">(S7+T7)*J7</f>
        <v>7968.143008722237</v>
      </c>
      <c r="O7" s="146">
        <f t="shared" ref="O7:O10" si="33">(S7+T7)*K7</f>
        <v>5967.4922853841445</v>
      </c>
      <c r="P7" s="146">
        <f t="shared" ref="P7:P10" si="34">(S7+T7)*L7</f>
        <v>29829.078266342956</v>
      </c>
      <c r="Q7" s="56">
        <f>Q6+1</f>
        <v>45901</v>
      </c>
      <c r="R7" s="139">
        <v>52198</v>
      </c>
      <c r="S7" s="140">
        <v>0</v>
      </c>
      <c r="T7" s="140">
        <v>48497</v>
      </c>
      <c r="U7" s="140">
        <v>2494</v>
      </c>
      <c r="V7" s="141">
        <v>15550</v>
      </c>
      <c r="W7" s="142">
        <v>0.80208333333333337</v>
      </c>
      <c r="X7" s="141">
        <v>4552</v>
      </c>
      <c r="Y7" s="142">
        <v>0.42708333333333331</v>
      </c>
      <c r="Z7" s="141">
        <v>160</v>
      </c>
      <c r="AA7" s="142">
        <v>0.25</v>
      </c>
      <c r="AB7" s="56">
        <f>AB6+1</f>
        <v>45901</v>
      </c>
      <c r="AC7" s="76">
        <f t="shared" ref="AC7:AC10" si="35">+AF7/AE7</f>
        <v>1</v>
      </c>
      <c r="AD7" s="162">
        <f t="shared" ref="AD7:AD10" si="36">+AG7/AE7</f>
        <v>0</v>
      </c>
      <c r="AE7" s="163">
        <v>6837</v>
      </c>
      <c r="AF7" s="118">
        <f t="shared" ref="AF7:AF36" si="37">+AE7-AG7</f>
        <v>6837</v>
      </c>
      <c r="AG7" s="147">
        <v>0</v>
      </c>
      <c r="AH7" s="148">
        <v>4185</v>
      </c>
      <c r="AI7" s="149">
        <v>0.36041666666666666</v>
      </c>
      <c r="AJ7" s="148">
        <v>0</v>
      </c>
      <c r="AK7" s="165">
        <v>0</v>
      </c>
      <c r="AL7" s="56">
        <f t="shared" ref="AL7:AL36" si="38">AL6+1</f>
        <v>45901</v>
      </c>
      <c r="AM7" s="77">
        <f t="shared" ref="AM7:AM10" si="39">+AP7/AO7</f>
        <v>0.60573555166374782</v>
      </c>
      <c r="AN7" s="76">
        <f t="shared" ref="AN7:AN10" si="40">+AQ7/AO7</f>
        <v>0.39426444833625218</v>
      </c>
      <c r="AO7" s="150">
        <v>9136</v>
      </c>
      <c r="AP7" s="117">
        <f t="shared" ref="AP7:AP36" si="41">AO7-AQ7</f>
        <v>5534</v>
      </c>
      <c r="AQ7" s="151">
        <v>3602</v>
      </c>
      <c r="AR7" s="152">
        <v>4334</v>
      </c>
      <c r="AS7" s="153">
        <v>0.38472222222222224</v>
      </c>
      <c r="AT7" s="152">
        <v>190</v>
      </c>
      <c r="AU7" s="154">
        <v>0.17708333333333334</v>
      </c>
      <c r="AV7" s="56">
        <f>AV6+1</f>
        <v>45901</v>
      </c>
      <c r="AW7" s="110">
        <f t="shared" ref="AW7:AW10" si="42">BA7/AZ7</f>
        <v>0.98582213220401405</v>
      </c>
      <c r="AX7" s="110">
        <f t="shared" ref="AX7:AX10" si="43">BB7/AZ7</f>
        <v>1.4177867795986007E-2</v>
      </c>
      <c r="AY7" s="111">
        <f t="shared" ref="AY7:AY36" si="44">BA7+BB7</f>
        <v>5431</v>
      </c>
      <c r="AZ7" s="112">
        <v>5431</v>
      </c>
      <c r="BA7" s="120">
        <f t="shared" ref="BA7:BA12" si="45">AZ7-BB7</f>
        <v>5354</v>
      </c>
      <c r="BB7" s="113">
        <f>1047-970</f>
        <v>77</v>
      </c>
      <c r="BC7" s="112">
        <v>3996</v>
      </c>
      <c r="BD7" s="114">
        <v>0.4375</v>
      </c>
      <c r="BE7" s="115">
        <v>0</v>
      </c>
      <c r="BF7" s="114">
        <v>0</v>
      </c>
      <c r="BG7" s="115">
        <v>134</v>
      </c>
      <c r="BH7" s="114">
        <v>0.11458333333333333</v>
      </c>
      <c r="BI7" s="56">
        <f>BI6+1</f>
        <v>45901</v>
      </c>
      <c r="BJ7" s="78">
        <f t="shared" ref="BJ7:BJ10" si="46">+BM7/BL7</f>
        <v>0.61121019853220671</v>
      </c>
      <c r="BK7" s="76">
        <f t="shared" ref="BK7:BK10" si="47">+BN7/BL7</f>
        <v>0.38878980146779335</v>
      </c>
      <c r="BL7" s="79">
        <f t="shared" ref="BL7:BL10" si="48">BM7+BN7</f>
        <v>34201</v>
      </c>
      <c r="BM7" s="155">
        <v>20904</v>
      </c>
      <c r="BN7" s="155">
        <v>13297</v>
      </c>
      <c r="BO7" s="156">
        <v>3813</v>
      </c>
      <c r="BP7" s="157">
        <v>0.42083333333333334</v>
      </c>
      <c r="BQ7" s="158">
        <v>2508</v>
      </c>
      <c r="BR7" s="157">
        <v>0.42083333333333334</v>
      </c>
    </row>
    <row r="8" spans="1:72" ht="15.75" thickBot="1" x14ac:dyDescent="0.3">
      <c r="A8" s="166"/>
      <c r="B8" s="56">
        <f t="shared" ref="B8:B36" si="49">B7+1</f>
        <v>45902</v>
      </c>
      <c r="C8" s="164"/>
      <c r="D8" s="87">
        <f t="shared" si="22"/>
        <v>52918</v>
      </c>
      <c r="E8" s="159">
        <f t="shared" si="23"/>
        <v>0.87905816546354743</v>
      </c>
      <c r="F8" s="87">
        <f t="shared" si="24"/>
        <v>46518</v>
      </c>
      <c r="G8" s="159">
        <f t="shared" si="25"/>
        <v>0.12094183453645263</v>
      </c>
      <c r="H8" s="146">
        <f t="shared" si="26"/>
        <v>6400</v>
      </c>
      <c r="I8" s="160">
        <f t="shared" si="27"/>
        <v>0.11961378460274254</v>
      </c>
      <c r="J8" s="159">
        <f t="shared" si="28"/>
        <v>0.16083748480646431</v>
      </c>
      <c r="K8" s="159">
        <f t="shared" si="29"/>
        <v>0.15941499085923216</v>
      </c>
      <c r="L8" s="161">
        <f t="shared" si="30"/>
        <v>0.58519507643846402</v>
      </c>
      <c r="M8" s="146">
        <f t="shared" si="31"/>
        <v>6074.1075959118689</v>
      </c>
      <c r="N8" s="146">
        <f t="shared" si="32"/>
        <v>8167.4883159570645</v>
      </c>
      <c r="O8" s="146">
        <f t="shared" si="33"/>
        <v>8095.2526508226683</v>
      </c>
      <c r="P8" s="146">
        <f t="shared" si="34"/>
        <v>29716.791176621642</v>
      </c>
      <c r="Q8" s="56">
        <f t="shared" ref="Q8:Q36" si="50">Q7+1</f>
        <v>45902</v>
      </c>
      <c r="R8" s="139">
        <v>52918</v>
      </c>
      <c r="S8" s="140">
        <v>0</v>
      </c>
      <c r="T8" s="140">
        <v>50781</v>
      </c>
      <c r="U8" s="140">
        <v>398</v>
      </c>
      <c r="V8" s="141">
        <v>15435</v>
      </c>
      <c r="W8" s="142">
        <v>0.80208333333333337</v>
      </c>
      <c r="X8" s="141">
        <v>4521</v>
      </c>
      <c r="Y8" s="142">
        <v>0.78125</v>
      </c>
      <c r="Z8" s="141">
        <v>150</v>
      </c>
      <c r="AA8" s="142">
        <v>7.2916666666666671E-2</v>
      </c>
      <c r="AB8" s="56">
        <f t="shared" ref="AB8:AB36" si="51">AB7+1</f>
        <v>45902</v>
      </c>
      <c r="AC8" s="76">
        <f t="shared" si="35"/>
        <v>1</v>
      </c>
      <c r="AD8" s="162">
        <f t="shared" si="36"/>
        <v>0</v>
      </c>
      <c r="AE8" s="163">
        <v>6987</v>
      </c>
      <c r="AF8" s="118">
        <f t="shared" si="37"/>
        <v>6987</v>
      </c>
      <c r="AG8" s="147">
        <v>0</v>
      </c>
      <c r="AH8" s="148">
        <v>4869</v>
      </c>
      <c r="AI8" s="149">
        <v>0.35208333333333336</v>
      </c>
      <c r="AJ8" s="148">
        <v>0</v>
      </c>
      <c r="AK8" s="165">
        <v>0</v>
      </c>
      <c r="AL8" s="56">
        <f t="shared" si="38"/>
        <v>45902</v>
      </c>
      <c r="AM8" s="77">
        <f t="shared" si="39"/>
        <v>0.60085151676423632</v>
      </c>
      <c r="AN8" s="76">
        <f t="shared" si="40"/>
        <v>0.39914848323576368</v>
      </c>
      <c r="AO8" s="150">
        <v>9395</v>
      </c>
      <c r="AP8" s="117">
        <f t="shared" si="41"/>
        <v>5645</v>
      </c>
      <c r="AQ8" s="151">
        <v>3750</v>
      </c>
      <c r="AR8" s="152">
        <v>3578</v>
      </c>
      <c r="AS8" s="153">
        <v>0.33402777777777776</v>
      </c>
      <c r="AT8" s="152">
        <v>180</v>
      </c>
      <c r="AU8" s="154">
        <v>0.83333333333333337</v>
      </c>
      <c r="AV8" s="56">
        <f t="shared" ref="AV8:AV36" si="52">AV7+1</f>
        <v>45902</v>
      </c>
      <c r="AW8" s="110">
        <f t="shared" si="42"/>
        <v>0.71304791029561676</v>
      </c>
      <c r="AX8" s="110">
        <f t="shared" si="43"/>
        <v>0.2869520897043833</v>
      </c>
      <c r="AY8" s="111">
        <f t="shared" si="44"/>
        <v>7848</v>
      </c>
      <c r="AZ8" s="112">
        <v>7848</v>
      </c>
      <c r="BA8" s="120">
        <f t="shared" si="45"/>
        <v>5596</v>
      </c>
      <c r="BB8" s="113">
        <f>1090+1162</f>
        <v>2252</v>
      </c>
      <c r="BC8" s="112">
        <v>3769</v>
      </c>
      <c r="BD8" s="114">
        <v>0.36458333333333331</v>
      </c>
      <c r="BE8" s="115">
        <v>0</v>
      </c>
      <c r="BF8" s="114">
        <v>0</v>
      </c>
      <c r="BG8" s="115">
        <v>241</v>
      </c>
      <c r="BH8" s="114">
        <v>0.125</v>
      </c>
      <c r="BI8" s="56">
        <f t="shared" ref="BI8:BI36" si="53">BI7+1</f>
        <v>45902</v>
      </c>
      <c r="BJ8" s="78">
        <f t="shared" si="46"/>
        <v>0.61147353947868821</v>
      </c>
      <c r="BK8" s="76">
        <f t="shared" si="47"/>
        <v>0.38852646052131179</v>
      </c>
      <c r="BL8" s="79">
        <f t="shared" si="48"/>
        <v>34183</v>
      </c>
      <c r="BM8" s="155">
        <v>20902</v>
      </c>
      <c r="BN8" s="155">
        <v>13281</v>
      </c>
      <c r="BO8" s="156">
        <v>4329</v>
      </c>
      <c r="BP8" s="157">
        <v>0.79027777777777775</v>
      </c>
      <c r="BQ8" s="158">
        <v>2852</v>
      </c>
      <c r="BR8" s="157">
        <v>0.79027777777777775</v>
      </c>
    </row>
    <row r="9" spans="1:72" ht="15.75" thickBot="1" x14ac:dyDescent="0.3">
      <c r="A9" s="166" t="s">
        <v>68</v>
      </c>
      <c r="B9" s="56">
        <f t="shared" si="49"/>
        <v>45903</v>
      </c>
      <c r="C9" s="164"/>
      <c r="D9" s="87">
        <f t="shared" si="22"/>
        <v>53586</v>
      </c>
      <c r="E9" s="159">
        <f t="shared" si="23"/>
        <v>0.88519389392751835</v>
      </c>
      <c r="F9" s="87">
        <f t="shared" si="24"/>
        <v>47434</v>
      </c>
      <c r="G9" s="159">
        <f t="shared" si="25"/>
        <v>0.11480610607248162</v>
      </c>
      <c r="H9" s="146">
        <f t="shared" si="26"/>
        <v>6152</v>
      </c>
      <c r="I9" s="160">
        <f t="shared" si="27"/>
        <v>0.11850420168067227</v>
      </c>
      <c r="J9" s="159">
        <f t="shared" si="28"/>
        <v>0.15927731092436975</v>
      </c>
      <c r="K9" s="159">
        <f t="shared" si="29"/>
        <v>0.16449111981329853</v>
      </c>
      <c r="L9" s="161">
        <f t="shared" si="30"/>
        <v>0.58243697478991596</v>
      </c>
      <c r="M9" s="146">
        <f t="shared" si="31"/>
        <v>6189.5929579831936</v>
      </c>
      <c r="N9" s="146">
        <f t="shared" si="32"/>
        <v>8319.2132268907571</v>
      </c>
      <c r="O9" s="146">
        <f t="shared" si="33"/>
        <v>8591.5356789683956</v>
      </c>
      <c r="P9" s="146">
        <f t="shared" si="34"/>
        <v>30421.265630252099</v>
      </c>
      <c r="Q9" s="56">
        <f t="shared" si="50"/>
        <v>45903</v>
      </c>
      <c r="R9" s="139">
        <v>53586</v>
      </c>
      <c r="S9" s="140">
        <v>0</v>
      </c>
      <c r="T9" s="140">
        <v>52231</v>
      </c>
      <c r="U9" s="140">
        <v>0</v>
      </c>
      <c r="V9" s="141">
        <v>13501</v>
      </c>
      <c r="W9" s="142">
        <v>0.39583333333333331</v>
      </c>
      <c r="X9" s="141">
        <v>4533</v>
      </c>
      <c r="Y9" s="142">
        <v>0.79166666666666663</v>
      </c>
      <c r="Z9" s="141">
        <v>0</v>
      </c>
      <c r="AA9" s="142">
        <v>0</v>
      </c>
      <c r="AB9" s="56">
        <f t="shared" si="51"/>
        <v>45903</v>
      </c>
      <c r="AC9" s="76">
        <f t="shared" si="35"/>
        <v>1</v>
      </c>
      <c r="AD9" s="162">
        <f t="shared" si="36"/>
        <v>0</v>
      </c>
      <c r="AE9" s="163">
        <v>7051</v>
      </c>
      <c r="AF9" s="118">
        <f t="shared" si="37"/>
        <v>7051</v>
      </c>
      <c r="AG9" s="147">
        <v>0</v>
      </c>
      <c r="AH9" s="148">
        <v>4363</v>
      </c>
      <c r="AI9" s="149">
        <v>0.34305555555555556</v>
      </c>
      <c r="AJ9" s="148">
        <v>0</v>
      </c>
      <c r="AK9" s="165">
        <v>0</v>
      </c>
      <c r="AL9" s="56">
        <f t="shared" si="38"/>
        <v>45903</v>
      </c>
      <c r="AM9" s="77">
        <f t="shared" si="39"/>
        <v>0.5976574865463754</v>
      </c>
      <c r="AN9" s="76">
        <f t="shared" si="40"/>
        <v>0.40234251345362454</v>
      </c>
      <c r="AO9" s="150">
        <v>9477</v>
      </c>
      <c r="AP9" s="117">
        <f t="shared" si="41"/>
        <v>5664</v>
      </c>
      <c r="AQ9" s="151">
        <v>3813</v>
      </c>
      <c r="AR9" s="152">
        <v>4191</v>
      </c>
      <c r="AS9" s="153">
        <v>0.36944444444444446</v>
      </c>
      <c r="AT9" s="152">
        <v>186</v>
      </c>
      <c r="AU9" s="154">
        <v>0.88541666666666663</v>
      </c>
      <c r="AV9" s="56">
        <f t="shared" si="52"/>
        <v>45903</v>
      </c>
      <c r="AW9" s="110">
        <f t="shared" si="42"/>
        <v>0.71876878682217149</v>
      </c>
      <c r="AX9" s="110">
        <f t="shared" si="43"/>
        <v>0.28123121317782857</v>
      </c>
      <c r="AY9" s="111">
        <f t="shared" si="44"/>
        <v>8317</v>
      </c>
      <c r="AZ9" s="112">
        <v>8317</v>
      </c>
      <c r="BA9" s="120">
        <f t="shared" si="45"/>
        <v>5978</v>
      </c>
      <c r="BB9" s="113">
        <v>2339</v>
      </c>
      <c r="BC9" s="112">
        <v>4548</v>
      </c>
      <c r="BD9" s="114">
        <v>0.35416666666666669</v>
      </c>
      <c r="BE9" s="115">
        <v>0</v>
      </c>
      <c r="BF9" s="114">
        <v>0</v>
      </c>
      <c r="BG9" s="115">
        <v>143</v>
      </c>
      <c r="BH9" s="114">
        <v>0.28125</v>
      </c>
      <c r="BI9" s="56">
        <f t="shared" si="53"/>
        <v>45903</v>
      </c>
      <c r="BJ9" s="78">
        <f t="shared" si="46"/>
        <v>0.61211946328091182</v>
      </c>
      <c r="BK9" s="76">
        <f t="shared" si="47"/>
        <v>0.38788053671908818</v>
      </c>
      <c r="BL9" s="79">
        <f t="shared" si="48"/>
        <v>34655</v>
      </c>
      <c r="BM9" s="155">
        <v>21213</v>
      </c>
      <c r="BN9" s="155">
        <v>13442</v>
      </c>
      <c r="BO9" s="156">
        <v>4154</v>
      </c>
      <c r="BP9" s="157">
        <v>0.74097222222222225</v>
      </c>
      <c r="BQ9" s="158">
        <v>2753</v>
      </c>
      <c r="BR9" s="157">
        <v>0.74097222222222225</v>
      </c>
    </row>
    <row r="10" spans="1:72" ht="15.75" thickBot="1" x14ac:dyDescent="0.3">
      <c r="B10" s="56">
        <f t="shared" si="49"/>
        <v>45904</v>
      </c>
      <c r="C10" s="164"/>
      <c r="D10" s="87">
        <f t="shared" si="22"/>
        <v>53352</v>
      </c>
      <c r="E10" s="159">
        <f t="shared" si="23"/>
        <v>0.88444669365721995</v>
      </c>
      <c r="F10" s="87">
        <f t="shared" si="24"/>
        <v>47187</v>
      </c>
      <c r="G10" s="159">
        <f t="shared" si="25"/>
        <v>0.11555330634278002</v>
      </c>
      <c r="H10" s="146">
        <f t="shared" si="26"/>
        <v>6165</v>
      </c>
      <c r="I10" s="160">
        <f t="shared" si="27"/>
        <v>0.11778404009382225</v>
      </c>
      <c r="J10" s="159">
        <f t="shared" si="28"/>
        <v>0.15919407367408583</v>
      </c>
      <c r="K10" s="159">
        <f t="shared" si="29"/>
        <v>0.16371346659233893</v>
      </c>
      <c r="L10" s="161">
        <f t="shared" si="30"/>
        <v>0.58426283727915496</v>
      </c>
      <c r="M10" s="146">
        <f t="shared" si="31"/>
        <v>6087.6681122492027</v>
      </c>
      <c r="N10" s="146">
        <f t="shared" si="32"/>
        <v>8227.9456978451271</v>
      </c>
      <c r="O10" s="146">
        <f t="shared" si="33"/>
        <v>8461.5305208250375</v>
      </c>
      <c r="P10" s="146">
        <f t="shared" si="34"/>
        <v>30197.624744773126</v>
      </c>
      <c r="Q10" s="56">
        <f t="shared" si="50"/>
        <v>45904</v>
      </c>
      <c r="R10" s="139">
        <v>53352</v>
      </c>
      <c r="S10" s="140">
        <v>0</v>
      </c>
      <c r="T10" s="140">
        <v>51685</v>
      </c>
      <c r="U10" s="140">
        <v>0</v>
      </c>
      <c r="V10" s="141">
        <v>14084</v>
      </c>
      <c r="W10" s="142">
        <v>0.79166666666666663</v>
      </c>
      <c r="X10" s="141">
        <v>4593</v>
      </c>
      <c r="Y10" s="142">
        <v>0.80208333333333337</v>
      </c>
      <c r="Z10" s="141">
        <v>0</v>
      </c>
      <c r="AA10" s="142">
        <v>0</v>
      </c>
      <c r="AB10" s="56">
        <f t="shared" si="51"/>
        <v>45904</v>
      </c>
      <c r="AC10" s="76">
        <f t="shared" si="35"/>
        <v>1</v>
      </c>
      <c r="AD10" s="162">
        <f t="shared" si="36"/>
        <v>0</v>
      </c>
      <c r="AE10" s="163">
        <v>6980</v>
      </c>
      <c r="AF10" s="118">
        <f t="shared" si="37"/>
        <v>6980</v>
      </c>
      <c r="AG10" s="147">
        <v>0</v>
      </c>
      <c r="AH10" s="148">
        <v>4197</v>
      </c>
      <c r="AI10" s="149">
        <v>0.36388888888888887</v>
      </c>
      <c r="AJ10" s="148">
        <v>0</v>
      </c>
      <c r="AK10" s="165">
        <v>0</v>
      </c>
      <c r="AL10" s="56">
        <f t="shared" si="38"/>
        <v>45904</v>
      </c>
      <c r="AM10" s="77">
        <f t="shared" si="39"/>
        <v>0.5994276022895908</v>
      </c>
      <c r="AN10" s="76">
        <f t="shared" si="40"/>
        <v>0.40057239771040914</v>
      </c>
      <c r="AO10" s="150">
        <v>9434</v>
      </c>
      <c r="AP10" s="117">
        <f t="shared" si="41"/>
        <v>5655</v>
      </c>
      <c r="AQ10" s="151">
        <v>3779</v>
      </c>
      <c r="AR10" s="152">
        <v>3859</v>
      </c>
      <c r="AS10" s="153">
        <v>0.35972222222222222</v>
      </c>
      <c r="AT10" s="152">
        <v>185</v>
      </c>
      <c r="AU10" s="154">
        <v>0.88541666666666663</v>
      </c>
      <c r="AV10" s="56">
        <f t="shared" si="52"/>
        <v>45904</v>
      </c>
      <c r="AW10" s="110">
        <f t="shared" si="42"/>
        <v>0.70983825854311078</v>
      </c>
      <c r="AX10" s="110">
        <f t="shared" si="43"/>
        <v>0.29016174145688922</v>
      </c>
      <c r="AY10" s="111">
        <f t="shared" si="44"/>
        <v>8223</v>
      </c>
      <c r="AZ10" s="112">
        <v>8223</v>
      </c>
      <c r="BA10" s="120">
        <f t="shared" si="45"/>
        <v>5837</v>
      </c>
      <c r="BB10" s="113">
        <v>2386</v>
      </c>
      <c r="BC10" s="112">
        <v>3751</v>
      </c>
      <c r="BD10" s="114">
        <v>0.75</v>
      </c>
      <c r="BE10" s="115">
        <v>0</v>
      </c>
      <c r="BF10" s="114">
        <v>0</v>
      </c>
      <c r="BG10" s="115">
        <v>153</v>
      </c>
      <c r="BH10" s="114">
        <v>0.29166666666666669</v>
      </c>
      <c r="BI10" s="56">
        <f t="shared" si="53"/>
        <v>45904</v>
      </c>
      <c r="BJ10" s="78">
        <f t="shared" si="46"/>
        <v>0.61076132162661734</v>
      </c>
      <c r="BK10" s="76">
        <f t="shared" si="47"/>
        <v>0.38923867837338261</v>
      </c>
      <c r="BL10" s="79">
        <f t="shared" si="48"/>
        <v>34624</v>
      </c>
      <c r="BM10" s="155">
        <v>21147</v>
      </c>
      <c r="BN10" s="155">
        <v>13477</v>
      </c>
      <c r="BO10" s="156">
        <v>4480</v>
      </c>
      <c r="BP10" s="157">
        <v>0.79236111111111107</v>
      </c>
      <c r="BQ10" s="158">
        <v>2975</v>
      </c>
      <c r="BR10" s="157">
        <v>0.79236111111111107</v>
      </c>
      <c r="BS10" s="14" t="s">
        <v>69</v>
      </c>
    </row>
    <row r="11" spans="1:72" ht="15.75" thickBot="1" x14ac:dyDescent="0.3">
      <c r="B11" s="56">
        <f t="shared" si="49"/>
        <v>45905</v>
      </c>
      <c r="C11" s="164"/>
      <c r="D11" s="87">
        <f t="shared" ref="D11:D24" si="54">R11</f>
        <v>52216</v>
      </c>
      <c r="E11" s="159">
        <f t="shared" ref="E11:E24" si="55">F11/D11</f>
        <v>0.89011031101578064</v>
      </c>
      <c r="F11" s="87">
        <f t="shared" ref="F11:F24" si="56">D11-H11</f>
        <v>46478</v>
      </c>
      <c r="G11" s="159">
        <f t="shared" ref="G11:G24" si="57">H11/D11</f>
        <v>0.1098896889842194</v>
      </c>
      <c r="H11" s="146">
        <f t="shared" si="26"/>
        <v>5738</v>
      </c>
      <c r="I11" s="160">
        <f t="shared" ref="I11:I24" si="58">AE11/(AE11+AO11+BL11+AY11)</f>
        <v>0.11914952130493821</v>
      </c>
      <c r="J11" s="159">
        <f t="shared" ref="J11:J24" si="59">AO11/(AE11+AO11+BL11+AY11)</f>
        <v>0.14666804173327144</v>
      </c>
      <c r="K11" s="159">
        <f t="shared" ref="K11:K24" si="60">AY11/(AF11+AP11+BM11+AZ11+AY11)</f>
        <v>0.16402275367543964</v>
      </c>
      <c r="L11" s="161">
        <f t="shared" ref="L11:L24" si="61">BL11/(AE11+AO11+BL11+AY11)</f>
        <v>0.59342718162911012</v>
      </c>
      <c r="M11" s="146">
        <f t="shared" ref="M11:M24" si="62">(S11+T11)*I11</f>
        <v>6058.1574107495835</v>
      </c>
      <c r="N11" s="146">
        <f t="shared" ref="N11:N24" si="63">(S11+T11)*J11</f>
        <v>7457.3365819281862</v>
      </c>
      <c r="O11" s="146">
        <f t="shared" ref="O11:O24" si="64">(S11+T11)*K11</f>
        <v>8339.7369106277292</v>
      </c>
      <c r="P11" s="146">
        <f t="shared" ref="P11:P24" si="65">(S11+T11)*L11</f>
        <v>30172.805049932103</v>
      </c>
      <c r="Q11" s="56">
        <f t="shared" si="50"/>
        <v>45905</v>
      </c>
      <c r="R11" s="139">
        <v>52216</v>
      </c>
      <c r="S11" s="140">
        <v>0</v>
      </c>
      <c r="T11" s="140">
        <v>50845</v>
      </c>
      <c r="U11" s="140">
        <v>0</v>
      </c>
      <c r="V11" s="141">
        <v>13454</v>
      </c>
      <c r="W11" s="142">
        <v>0.42708333333333331</v>
      </c>
      <c r="X11" s="141">
        <v>4515</v>
      </c>
      <c r="Y11" s="142">
        <v>0.39583333333333331</v>
      </c>
      <c r="Z11" s="141">
        <v>0</v>
      </c>
      <c r="AA11" s="142">
        <v>0</v>
      </c>
      <c r="AB11" s="56">
        <f t="shared" si="51"/>
        <v>45905</v>
      </c>
      <c r="AC11" s="76">
        <f t="shared" ref="AC11:AC24" si="66">+AF11/AE11</f>
        <v>1</v>
      </c>
      <c r="AD11" s="162">
        <f t="shared" ref="AD11:AD24" si="67">+AG11/AE11</f>
        <v>0</v>
      </c>
      <c r="AE11" s="163">
        <v>6932</v>
      </c>
      <c r="AF11" s="118">
        <f t="shared" si="37"/>
        <v>6932</v>
      </c>
      <c r="AG11" s="147">
        <v>0</v>
      </c>
      <c r="AH11" s="148">
        <v>3819</v>
      </c>
      <c r="AI11" s="149">
        <v>0.77986111111111112</v>
      </c>
      <c r="AJ11" s="148">
        <v>0</v>
      </c>
      <c r="AK11" s="165">
        <v>0</v>
      </c>
      <c r="AL11" s="56">
        <f t="shared" si="38"/>
        <v>45905</v>
      </c>
      <c r="AM11" s="77">
        <f t="shared" ref="AM11:AM24" si="68">+AP11/AO11</f>
        <v>0.64607992499707023</v>
      </c>
      <c r="AN11" s="76">
        <f t="shared" ref="AN11:AN24" si="69">+AQ11/AO11</f>
        <v>0.35392007500292982</v>
      </c>
      <c r="AO11" s="150">
        <v>8533</v>
      </c>
      <c r="AP11" s="117">
        <f t="shared" si="41"/>
        <v>5513</v>
      </c>
      <c r="AQ11" s="151">
        <v>3020</v>
      </c>
      <c r="AR11" s="152">
        <v>4586</v>
      </c>
      <c r="AS11" s="153">
        <v>0.34652777777777777</v>
      </c>
      <c r="AT11" s="152">
        <v>177</v>
      </c>
      <c r="AU11" s="154">
        <v>0.29166666666666669</v>
      </c>
      <c r="AV11" s="56">
        <f t="shared" si="52"/>
        <v>45905</v>
      </c>
      <c r="AW11" s="110">
        <f t="shared" ref="AW11:AW24" si="70">BA11/AZ11</f>
        <v>0.66809134204420562</v>
      </c>
      <c r="AX11" s="110">
        <f t="shared" ref="AX11:AX24" si="71">BB11/AZ11</f>
        <v>0.33190865795579438</v>
      </c>
      <c r="AY11" s="111">
        <f t="shared" si="44"/>
        <v>8189</v>
      </c>
      <c r="AZ11" s="112">
        <v>8189</v>
      </c>
      <c r="BA11" s="170">
        <f t="shared" si="45"/>
        <v>5471</v>
      </c>
      <c r="BB11" s="113">
        <f>1580+1138</f>
        <v>2718</v>
      </c>
      <c r="BC11" s="112">
        <v>4039</v>
      </c>
      <c r="BD11" s="114">
        <v>0.32291666666666669</v>
      </c>
      <c r="BE11" s="115">
        <v>0</v>
      </c>
      <c r="BF11" s="114">
        <v>0</v>
      </c>
      <c r="BG11" s="115">
        <v>160</v>
      </c>
      <c r="BH11" s="114">
        <v>0.29166666666666669</v>
      </c>
      <c r="BI11" s="56">
        <f t="shared" si="53"/>
        <v>45905</v>
      </c>
      <c r="BJ11" s="78">
        <f t="shared" ref="BJ11:BJ24" si="72">+BM11/BL11</f>
        <v>0.61123823316437365</v>
      </c>
      <c r="BK11" s="76">
        <f t="shared" ref="BK11:BK24" si="73">+BN11/BL11</f>
        <v>0.38876176683562635</v>
      </c>
      <c r="BL11" s="79">
        <f t="shared" ref="BL11:BL24" si="74">BM11+BN11</f>
        <v>34525</v>
      </c>
      <c r="BM11" s="155">
        <v>21103</v>
      </c>
      <c r="BN11" s="155">
        <v>13422</v>
      </c>
      <c r="BO11" s="156">
        <v>4264</v>
      </c>
      <c r="BP11" s="157">
        <v>0.37569444444444444</v>
      </c>
      <c r="BQ11" s="158">
        <v>2834</v>
      </c>
      <c r="BR11" s="157">
        <v>0.37638888888888888</v>
      </c>
    </row>
    <row r="12" spans="1:72" ht="15.75" thickBot="1" x14ac:dyDescent="0.3">
      <c r="B12" s="56">
        <f t="shared" si="49"/>
        <v>45906</v>
      </c>
      <c r="C12" s="164"/>
      <c r="D12" s="87">
        <f t="shared" si="54"/>
        <v>27042</v>
      </c>
      <c r="E12" s="159">
        <f t="shared" si="55"/>
        <v>0.79471266918127359</v>
      </c>
      <c r="F12" s="87">
        <f t="shared" si="56"/>
        <v>21490.62</v>
      </c>
      <c r="G12" s="159">
        <f>H12/D12</f>
        <v>0.20528733081872644</v>
      </c>
      <c r="H12" s="146">
        <f t="shared" si="26"/>
        <v>5551.38</v>
      </c>
      <c r="I12" s="160">
        <f t="shared" si="58"/>
        <v>0</v>
      </c>
      <c r="J12" s="159">
        <f t="shared" si="59"/>
        <v>0.51027120772657952</v>
      </c>
      <c r="K12" s="159">
        <f t="shared" si="60"/>
        <v>0.37374774651422832</v>
      </c>
      <c r="L12" s="161">
        <f t="shared" si="61"/>
        <v>0</v>
      </c>
      <c r="M12" s="146">
        <f t="shared" si="62"/>
        <v>0</v>
      </c>
      <c r="N12" s="146">
        <f t="shared" si="63"/>
        <v>0</v>
      </c>
      <c r="O12" s="146">
        <f t="shared" si="64"/>
        <v>0</v>
      </c>
      <c r="P12" s="146">
        <f t="shared" si="65"/>
        <v>0</v>
      </c>
      <c r="Q12" s="56">
        <f t="shared" si="50"/>
        <v>45906</v>
      </c>
      <c r="R12" s="139">
        <v>27042</v>
      </c>
      <c r="S12" s="140"/>
      <c r="T12" s="140"/>
      <c r="U12" s="140"/>
      <c r="V12" s="141"/>
      <c r="W12" s="142"/>
      <c r="X12" s="141">
        <v>4514.58</v>
      </c>
      <c r="Y12" s="142">
        <v>0.39583333333333331</v>
      </c>
      <c r="Z12" s="141">
        <v>0</v>
      </c>
      <c r="AA12" s="142">
        <v>0</v>
      </c>
      <c r="AB12" s="56">
        <f t="shared" si="51"/>
        <v>45906</v>
      </c>
      <c r="AC12" s="76" t="e">
        <f t="shared" si="66"/>
        <v>#DIV/0!</v>
      </c>
      <c r="AD12" s="162" t="e">
        <f t="shared" si="67"/>
        <v>#DIV/0!</v>
      </c>
      <c r="AE12" s="163"/>
      <c r="AF12" s="118">
        <f t="shared" si="37"/>
        <v>0</v>
      </c>
      <c r="AG12" s="147"/>
      <c r="AH12" s="148"/>
      <c r="AI12" s="149"/>
      <c r="AJ12" s="148"/>
      <c r="AK12" s="165"/>
      <c r="AL12" s="56">
        <f t="shared" si="38"/>
        <v>45906</v>
      </c>
      <c r="AM12" s="77">
        <f t="shared" si="68"/>
        <v>0.64840316437152068</v>
      </c>
      <c r="AN12" s="76">
        <f t="shared" si="69"/>
        <v>0.35159683562847932</v>
      </c>
      <c r="AO12" s="150">
        <v>8532.5</v>
      </c>
      <c r="AP12" s="117">
        <f t="shared" si="41"/>
        <v>5532.5</v>
      </c>
      <c r="AQ12" s="151">
        <v>3000</v>
      </c>
      <c r="AR12" s="152"/>
      <c r="AS12" s="153"/>
      <c r="AT12" s="152"/>
      <c r="AU12" s="154"/>
      <c r="AV12" s="56">
        <f t="shared" si="52"/>
        <v>45906</v>
      </c>
      <c r="AW12" s="110">
        <f t="shared" si="70"/>
        <v>0.68843814873610942</v>
      </c>
      <c r="AX12" s="110">
        <f t="shared" si="71"/>
        <v>0.31156185126389058</v>
      </c>
      <c r="AY12" s="111">
        <f t="shared" si="44"/>
        <v>8189</v>
      </c>
      <c r="AZ12" s="112">
        <v>8189</v>
      </c>
      <c r="BA12" s="170">
        <f t="shared" si="45"/>
        <v>5637.62</v>
      </c>
      <c r="BB12" s="113">
        <v>2551.38</v>
      </c>
      <c r="BC12" s="112"/>
      <c r="BD12" s="114"/>
      <c r="BE12" s="115"/>
      <c r="BF12" s="114"/>
      <c r="BG12" s="115"/>
      <c r="BH12" s="114"/>
      <c r="BI12" s="56">
        <f t="shared" si="53"/>
        <v>45906</v>
      </c>
      <c r="BJ12" s="78" t="e">
        <f t="shared" si="72"/>
        <v>#DIV/0!</v>
      </c>
      <c r="BK12" s="76" t="e">
        <f t="shared" si="73"/>
        <v>#DIV/0!</v>
      </c>
      <c r="BL12" s="79">
        <f t="shared" si="74"/>
        <v>0</v>
      </c>
      <c r="BM12" s="155"/>
      <c r="BN12" s="155"/>
      <c r="BO12" s="156"/>
      <c r="BP12" s="157"/>
      <c r="BQ12" s="158"/>
      <c r="BR12" s="157"/>
      <c r="BT12" s="14" t="s">
        <v>37</v>
      </c>
    </row>
    <row r="13" spans="1:72" ht="15.75" thickBot="1" x14ac:dyDescent="0.3">
      <c r="B13" s="56">
        <f t="shared" si="49"/>
        <v>45907</v>
      </c>
      <c r="C13" s="164"/>
      <c r="D13" s="87">
        <f t="shared" si="54"/>
        <v>26917</v>
      </c>
      <c r="E13" s="159">
        <f t="shared" si="55"/>
        <v>0.8732771111193669</v>
      </c>
      <c r="F13" s="87">
        <f t="shared" si="56"/>
        <v>23506</v>
      </c>
      <c r="G13" s="159">
        <f t="shared" si="57"/>
        <v>0.12672288888063304</v>
      </c>
      <c r="H13" s="146">
        <f t="shared" si="26"/>
        <v>3411</v>
      </c>
      <c r="I13" s="160">
        <f t="shared" si="58"/>
        <v>7.0833523011790411E-2</v>
      </c>
      <c r="J13" s="159">
        <f t="shared" si="59"/>
        <v>0.23098283789320345</v>
      </c>
      <c r="K13" s="159">
        <f t="shared" si="60"/>
        <v>0</v>
      </c>
      <c r="L13" s="161">
        <f t="shared" si="61"/>
        <v>0.69818363909500614</v>
      </c>
      <c r="M13" s="146" t="e">
        <f t="shared" si="62"/>
        <v>#VALUE!</v>
      </c>
      <c r="N13" s="146" t="e">
        <f t="shared" si="63"/>
        <v>#VALUE!</v>
      </c>
      <c r="O13" s="146" t="e">
        <f t="shared" si="64"/>
        <v>#VALUE!</v>
      </c>
      <c r="P13" s="146" t="e">
        <f t="shared" si="65"/>
        <v>#VALUE!</v>
      </c>
      <c r="Q13" s="56">
        <f t="shared" si="50"/>
        <v>45907</v>
      </c>
      <c r="R13" s="139">
        <v>26917</v>
      </c>
      <c r="S13" s="140"/>
      <c r="T13" s="140" t="s">
        <v>69</v>
      </c>
      <c r="U13" s="140">
        <v>0</v>
      </c>
      <c r="V13" s="141"/>
      <c r="W13" s="142"/>
      <c r="X13" s="141">
        <v>1682</v>
      </c>
      <c r="Y13" s="142">
        <v>0.41666666666666669</v>
      </c>
      <c r="Z13" s="141">
        <v>0</v>
      </c>
      <c r="AA13" s="142">
        <v>0</v>
      </c>
      <c r="AB13" s="56">
        <f t="shared" si="51"/>
        <v>45907</v>
      </c>
      <c r="AC13" s="76">
        <f t="shared" si="66"/>
        <v>1</v>
      </c>
      <c r="AD13" s="162">
        <f t="shared" si="67"/>
        <v>0</v>
      </c>
      <c r="AE13" s="163">
        <v>1556</v>
      </c>
      <c r="AF13" s="118">
        <f t="shared" si="37"/>
        <v>1556</v>
      </c>
      <c r="AG13" s="147">
        <v>0</v>
      </c>
      <c r="AH13" s="148"/>
      <c r="AI13" s="149"/>
      <c r="AJ13" s="148">
        <v>0</v>
      </c>
      <c r="AK13" s="165">
        <v>0</v>
      </c>
      <c r="AL13" s="56">
        <f t="shared" si="38"/>
        <v>45907</v>
      </c>
      <c r="AM13" s="77">
        <f t="shared" si="68"/>
        <v>0.32774931020890818</v>
      </c>
      <c r="AN13" s="76">
        <f t="shared" si="69"/>
        <v>0.67225068979109182</v>
      </c>
      <c r="AO13" s="150">
        <v>5074</v>
      </c>
      <c r="AP13" s="117">
        <f t="shared" si="41"/>
        <v>1663</v>
      </c>
      <c r="AQ13" s="151">
        <v>3411</v>
      </c>
      <c r="AR13" s="152"/>
      <c r="AS13" s="153"/>
      <c r="AT13" s="152">
        <v>178</v>
      </c>
      <c r="AU13" s="154">
        <v>0.90694444444444444</v>
      </c>
      <c r="AV13" s="56">
        <f t="shared" si="52"/>
        <v>45907</v>
      </c>
      <c r="AW13" s="110" t="e">
        <f t="shared" si="70"/>
        <v>#DIV/0!</v>
      </c>
      <c r="AX13" s="110" t="e">
        <f t="shared" si="71"/>
        <v>#DIV/0!</v>
      </c>
      <c r="AY13" s="111">
        <f t="shared" si="44"/>
        <v>0</v>
      </c>
      <c r="AZ13" s="112"/>
      <c r="BA13" s="170">
        <v>0</v>
      </c>
      <c r="BB13" s="113"/>
      <c r="BC13" s="112"/>
      <c r="BD13" s="114"/>
      <c r="BE13" s="115">
        <v>0</v>
      </c>
      <c r="BF13" s="114">
        <v>0</v>
      </c>
      <c r="BG13" s="115"/>
      <c r="BH13" s="114"/>
      <c r="BI13" s="56">
        <f t="shared" si="53"/>
        <v>45907</v>
      </c>
      <c r="BJ13" s="78">
        <f t="shared" si="72"/>
        <v>0.61752624372432674</v>
      </c>
      <c r="BK13" s="76">
        <f t="shared" si="73"/>
        <v>0.3824737562756732</v>
      </c>
      <c r="BL13" s="79">
        <f t="shared" si="74"/>
        <v>15337</v>
      </c>
      <c r="BM13" s="155">
        <v>9471</v>
      </c>
      <c r="BN13" s="155">
        <v>5866</v>
      </c>
      <c r="BO13" s="156">
        <v>2825</v>
      </c>
      <c r="BP13" s="157">
        <v>0.30694444444444446</v>
      </c>
      <c r="BQ13" s="158">
        <v>1865</v>
      </c>
      <c r="BR13" s="157">
        <v>0.30694444444444446</v>
      </c>
    </row>
    <row r="14" spans="1:72" ht="15.75" thickBot="1" x14ac:dyDescent="0.3">
      <c r="B14" s="56">
        <f t="shared" si="49"/>
        <v>45908</v>
      </c>
      <c r="C14" s="164"/>
      <c r="D14" s="87">
        <f t="shared" si="54"/>
        <v>53856</v>
      </c>
      <c r="E14" s="159">
        <f t="shared" si="55"/>
        <v>0.88443423202614369</v>
      </c>
      <c r="F14" s="87">
        <f t="shared" si="56"/>
        <v>47632.09</v>
      </c>
      <c r="G14" s="159">
        <f t="shared" si="57"/>
        <v>0.1155657679738562</v>
      </c>
      <c r="H14" s="146">
        <f t="shared" si="26"/>
        <v>6223.91</v>
      </c>
      <c r="I14" s="160">
        <f t="shared" si="58"/>
        <v>0.11848311636407538</v>
      </c>
      <c r="J14" s="159">
        <f t="shared" si="59"/>
        <v>0.15919867778504015</v>
      </c>
      <c r="K14" s="159">
        <f t="shared" si="60"/>
        <v>0.16658904592744442</v>
      </c>
      <c r="L14" s="161">
        <f t="shared" si="61"/>
        <v>0.57995528781905303</v>
      </c>
      <c r="M14" s="146">
        <f t="shared" si="62"/>
        <v>6206.8565338484532</v>
      </c>
      <c r="N14" s="146">
        <f t="shared" si="63"/>
        <v>8339.7819344471136</v>
      </c>
      <c r="O14" s="146">
        <f t="shared" si="64"/>
        <v>8726.9337599551036</v>
      </c>
      <c r="P14" s="146">
        <f t="shared" si="65"/>
        <v>30381.537707688913</v>
      </c>
      <c r="Q14" s="56">
        <f t="shared" si="50"/>
        <v>45908</v>
      </c>
      <c r="R14" s="139">
        <v>53856</v>
      </c>
      <c r="S14" s="140">
        <v>0</v>
      </c>
      <c r="T14" s="140">
        <v>52386</v>
      </c>
      <c r="U14" s="140">
        <v>0</v>
      </c>
      <c r="V14" s="141">
        <v>14888.78</v>
      </c>
      <c r="W14" s="142">
        <v>0.80208333333333337</v>
      </c>
      <c r="X14" s="141">
        <v>4640.1499999999996</v>
      </c>
      <c r="Y14" s="142">
        <v>0.40625</v>
      </c>
      <c r="Z14" s="141">
        <v>0</v>
      </c>
      <c r="AA14" s="142">
        <v>0</v>
      </c>
      <c r="AB14" s="56">
        <f t="shared" si="51"/>
        <v>45908</v>
      </c>
      <c r="AC14" s="76">
        <f t="shared" si="66"/>
        <v>1</v>
      </c>
      <c r="AD14" s="162">
        <f t="shared" si="67"/>
        <v>0</v>
      </c>
      <c r="AE14" s="163">
        <v>7115</v>
      </c>
      <c r="AF14" s="118">
        <f t="shared" si="37"/>
        <v>7115</v>
      </c>
      <c r="AG14" s="147">
        <v>0</v>
      </c>
      <c r="AH14" s="148">
        <v>3806.39</v>
      </c>
      <c r="AI14" s="149">
        <v>0.78125</v>
      </c>
      <c r="AJ14" s="148">
        <v>0</v>
      </c>
      <c r="AK14" s="165">
        <v>0</v>
      </c>
      <c r="AL14" s="56">
        <f t="shared" si="38"/>
        <v>45908</v>
      </c>
      <c r="AM14" s="77">
        <f t="shared" si="68"/>
        <v>0.6112866108786611</v>
      </c>
      <c r="AN14" s="76">
        <f t="shared" si="69"/>
        <v>0.3887133891213389</v>
      </c>
      <c r="AO14" s="150">
        <v>9560</v>
      </c>
      <c r="AP14" s="117">
        <f t="shared" si="41"/>
        <v>5843.9</v>
      </c>
      <c r="AQ14" s="151">
        <v>3716.1</v>
      </c>
      <c r="AR14" s="152">
        <v>3992.28</v>
      </c>
      <c r="AS14" s="153">
        <v>0.36319444444444443</v>
      </c>
      <c r="AT14" s="152">
        <v>176.1</v>
      </c>
      <c r="AU14" s="154">
        <v>0.32291666666666669</v>
      </c>
      <c r="AV14" s="56">
        <f t="shared" si="52"/>
        <v>45908</v>
      </c>
      <c r="AW14" s="110">
        <f t="shared" si="70"/>
        <v>0.70665457948298049</v>
      </c>
      <c r="AX14" s="110">
        <f t="shared" si="71"/>
        <v>0.29334542051701951</v>
      </c>
      <c r="AY14" s="111">
        <f t="shared" si="44"/>
        <v>8549</v>
      </c>
      <c r="AZ14" s="112">
        <v>8549</v>
      </c>
      <c r="BA14" s="120">
        <f t="shared" ref="BA14:BA24" si="75">AZ14-BB14</f>
        <v>6041.1900000000005</v>
      </c>
      <c r="BB14" s="113">
        <v>2507.81</v>
      </c>
      <c r="BC14" s="112">
        <v>4263.51</v>
      </c>
      <c r="BD14" s="114">
        <v>0.76041666666666663</v>
      </c>
      <c r="BE14" s="115">
        <v>0</v>
      </c>
      <c r="BF14" s="114">
        <v>0</v>
      </c>
      <c r="BG14" s="115">
        <v>153.08000000000001</v>
      </c>
      <c r="BH14" s="114">
        <v>0.28125</v>
      </c>
      <c r="BI14" s="56">
        <f t="shared" si="53"/>
        <v>45908</v>
      </c>
      <c r="BJ14" s="78">
        <f t="shared" si="72"/>
        <v>0.61047901397632565</v>
      </c>
      <c r="BK14" s="76">
        <f t="shared" si="73"/>
        <v>0.38952098602367435</v>
      </c>
      <c r="BL14" s="79">
        <f t="shared" si="74"/>
        <v>34826.75</v>
      </c>
      <c r="BM14" s="155">
        <v>21261</v>
      </c>
      <c r="BN14" s="155">
        <v>13565.75</v>
      </c>
      <c r="BO14" s="156">
        <v>3751.71</v>
      </c>
      <c r="BP14" s="157">
        <v>0.75972222222222219</v>
      </c>
      <c r="BQ14" s="158">
        <v>2495.64</v>
      </c>
      <c r="BR14" s="157">
        <v>0.75972222222222219</v>
      </c>
    </row>
    <row r="15" spans="1:72" ht="15.75" thickBot="1" x14ac:dyDescent="0.3">
      <c r="B15" s="56">
        <f t="shared" si="49"/>
        <v>45909</v>
      </c>
      <c r="C15" s="164"/>
      <c r="D15" s="87">
        <f t="shared" si="54"/>
        <v>54050</v>
      </c>
      <c r="E15" s="159">
        <f t="shared" si="55"/>
        <v>0.88322238667900088</v>
      </c>
      <c r="F15" s="87">
        <f t="shared" si="56"/>
        <v>47738.17</v>
      </c>
      <c r="G15" s="159">
        <f t="shared" si="57"/>
        <v>0.11677761332099908</v>
      </c>
      <c r="H15" s="146">
        <f t="shared" si="26"/>
        <v>6311.83</v>
      </c>
      <c r="I15" s="160">
        <f t="shared" si="58"/>
        <v>0.11798780614860162</v>
      </c>
      <c r="J15" s="159">
        <f t="shared" si="59"/>
        <v>0.15863675575207226</v>
      </c>
      <c r="K15" s="159">
        <f t="shared" si="60"/>
        <v>0.16371807129207305</v>
      </c>
      <c r="L15" s="161">
        <f t="shared" si="61"/>
        <v>0.58447555186971001</v>
      </c>
      <c r="M15" s="146">
        <f t="shared" si="62"/>
        <v>6211.409060790058</v>
      </c>
      <c r="N15" s="146">
        <f t="shared" si="63"/>
        <v>8351.352688189967</v>
      </c>
      <c r="O15" s="146">
        <f t="shared" si="64"/>
        <v>8618.8560041355395</v>
      </c>
      <c r="P15" s="146">
        <f t="shared" si="65"/>
        <v>30769.423190404948</v>
      </c>
      <c r="Q15" s="56">
        <f t="shared" si="50"/>
        <v>45909</v>
      </c>
      <c r="R15" s="139">
        <v>54050</v>
      </c>
      <c r="S15" s="140">
        <v>0</v>
      </c>
      <c r="T15" s="140">
        <v>52644.5</v>
      </c>
      <c r="U15" s="140">
        <v>0</v>
      </c>
      <c r="V15" s="141">
        <v>13723.43</v>
      </c>
      <c r="W15" s="142">
        <v>0.80208333333333337</v>
      </c>
      <c r="X15" s="141">
        <v>4568.33</v>
      </c>
      <c r="Y15" s="142">
        <v>0.39583333333333331</v>
      </c>
      <c r="Z15" s="141">
        <v>0</v>
      </c>
      <c r="AA15" s="142">
        <v>0</v>
      </c>
      <c r="AB15" s="56">
        <f t="shared" si="51"/>
        <v>45909</v>
      </c>
      <c r="AC15" s="76">
        <f t="shared" si="66"/>
        <v>1</v>
      </c>
      <c r="AD15" s="162">
        <f t="shared" si="67"/>
        <v>0</v>
      </c>
      <c r="AE15" s="163">
        <v>7078</v>
      </c>
      <c r="AF15" s="118">
        <f t="shared" si="37"/>
        <v>7078</v>
      </c>
      <c r="AG15" s="147">
        <v>0</v>
      </c>
      <c r="AH15" s="148">
        <v>3694.79</v>
      </c>
      <c r="AI15" s="149">
        <v>0.78125</v>
      </c>
      <c r="AJ15" s="148">
        <v>0</v>
      </c>
      <c r="AK15" s="165">
        <v>0</v>
      </c>
      <c r="AL15" s="168">
        <f t="shared" si="38"/>
        <v>45909</v>
      </c>
      <c r="AM15" s="77">
        <f t="shared" si="68"/>
        <v>0.60415278726422528</v>
      </c>
      <c r="AN15" s="76">
        <f t="shared" si="69"/>
        <v>0.39584721273577472</v>
      </c>
      <c r="AO15" s="150">
        <v>9516.5</v>
      </c>
      <c r="AP15" s="117">
        <f t="shared" si="41"/>
        <v>5749.42</v>
      </c>
      <c r="AQ15" s="151">
        <v>3767.08</v>
      </c>
      <c r="AR15" s="152">
        <v>3586.67</v>
      </c>
      <c r="AS15" s="153">
        <v>0.36388888888888887</v>
      </c>
      <c r="AT15" s="152">
        <v>190.63</v>
      </c>
      <c r="AU15" s="154">
        <v>0.72916666666666663</v>
      </c>
      <c r="AV15" s="56">
        <f t="shared" si="52"/>
        <v>45909</v>
      </c>
      <c r="AW15" s="169">
        <f t="shared" si="70"/>
        <v>0.69459945994599459</v>
      </c>
      <c r="AX15" s="169">
        <f t="shared" si="71"/>
        <v>0.30540054005400541</v>
      </c>
      <c r="AY15" s="111">
        <f t="shared" si="44"/>
        <v>8332.5</v>
      </c>
      <c r="AZ15" s="112">
        <v>8332.5</v>
      </c>
      <c r="BA15" s="170">
        <f t="shared" si="75"/>
        <v>5787.75</v>
      </c>
      <c r="BB15" s="113">
        <v>2544.75</v>
      </c>
      <c r="BC15" s="112">
        <v>3643.98</v>
      </c>
      <c r="BD15" s="114">
        <v>0.72916666666666663</v>
      </c>
      <c r="BE15" s="115">
        <v>0</v>
      </c>
      <c r="BF15" s="114">
        <v>0</v>
      </c>
      <c r="BG15" s="115">
        <v>156.4</v>
      </c>
      <c r="BH15" s="114">
        <v>0.3125</v>
      </c>
      <c r="BI15" s="56">
        <f t="shared" si="53"/>
        <v>45909</v>
      </c>
      <c r="BJ15" s="171">
        <f t="shared" si="72"/>
        <v>0.61042859485629131</v>
      </c>
      <c r="BK15" s="76">
        <f t="shared" si="73"/>
        <v>0.38957140514370869</v>
      </c>
      <c r="BL15" s="79">
        <f t="shared" si="74"/>
        <v>35062.25</v>
      </c>
      <c r="BM15" s="155">
        <v>21403</v>
      </c>
      <c r="BN15" s="155">
        <v>13659.25</v>
      </c>
      <c r="BO15" s="156">
        <v>4483.74</v>
      </c>
      <c r="BP15" s="157">
        <v>0.75902777777777775</v>
      </c>
      <c r="BQ15" s="158">
        <v>2965.16</v>
      </c>
      <c r="BR15" s="157">
        <v>0.75972222222222219</v>
      </c>
    </row>
    <row r="16" spans="1:72" ht="15.75" thickBot="1" x14ac:dyDescent="0.3">
      <c r="B16" s="56">
        <f t="shared" si="49"/>
        <v>45910</v>
      </c>
      <c r="C16" s="164"/>
      <c r="D16" s="87">
        <f t="shared" si="54"/>
        <v>53797</v>
      </c>
      <c r="E16" s="159">
        <f t="shared" si="55"/>
        <v>0.88235403461159545</v>
      </c>
      <c r="F16" s="87">
        <f t="shared" si="56"/>
        <v>47468</v>
      </c>
      <c r="G16" s="159">
        <f t="shared" si="57"/>
        <v>0.11764596538840456</v>
      </c>
      <c r="H16" s="146">
        <f t="shared" si="26"/>
        <v>6329</v>
      </c>
      <c r="I16" s="160">
        <f t="shared" si="58"/>
        <v>0.12190655574739706</v>
      </c>
      <c r="J16" s="159">
        <f t="shared" si="59"/>
        <v>0.14752611660475418</v>
      </c>
      <c r="K16" s="159">
        <f t="shared" si="60"/>
        <v>0.17213300624626357</v>
      </c>
      <c r="L16" s="161">
        <f t="shared" si="61"/>
        <v>0.58494218594673786</v>
      </c>
      <c r="M16" s="146">
        <f t="shared" si="62"/>
        <v>6387.6597080521115</v>
      </c>
      <c r="N16" s="146">
        <f t="shared" si="63"/>
        <v>7730.0734578559095</v>
      </c>
      <c r="O16" s="146">
        <f t="shared" si="64"/>
        <v>9019.4252612917189</v>
      </c>
      <c r="P16" s="146">
        <f t="shared" si="65"/>
        <v>30649.800659237171</v>
      </c>
      <c r="Q16" s="56">
        <f t="shared" si="50"/>
        <v>45910</v>
      </c>
      <c r="R16" s="139">
        <v>53797</v>
      </c>
      <c r="S16" s="140">
        <v>0</v>
      </c>
      <c r="T16" s="140">
        <v>52398</v>
      </c>
      <c r="U16" s="140">
        <v>0</v>
      </c>
      <c r="V16" s="141">
        <v>14085</v>
      </c>
      <c r="W16" s="142">
        <v>0.75</v>
      </c>
      <c r="X16" s="141">
        <v>4610</v>
      </c>
      <c r="Y16" s="142">
        <v>0.36458333333333331</v>
      </c>
      <c r="Z16" s="141">
        <v>0</v>
      </c>
      <c r="AA16" s="142">
        <v>0</v>
      </c>
      <c r="AB16" s="56">
        <f t="shared" si="51"/>
        <v>45910</v>
      </c>
      <c r="AC16" s="76">
        <f t="shared" si="66"/>
        <v>1</v>
      </c>
      <c r="AD16" s="162">
        <f t="shared" si="67"/>
        <v>0</v>
      </c>
      <c r="AE16" s="163">
        <v>6990</v>
      </c>
      <c r="AF16" s="118">
        <f t="shared" si="37"/>
        <v>6990</v>
      </c>
      <c r="AG16" s="147">
        <v>0</v>
      </c>
      <c r="AH16" s="148">
        <v>4698</v>
      </c>
      <c r="AI16" s="149">
        <v>0.30208333333333331</v>
      </c>
      <c r="AJ16" s="148">
        <v>0</v>
      </c>
      <c r="AK16" s="165">
        <v>0</v>
      </c>
      <c r="AL16" s="56">
        <f t="shared" si="38"/>
        <v>45910</v>
      </c>
      <c r="AM16" s="77">
        <f t="shared" si="68"/>
        <v>0.55195649603972097</v>
      </c>
      <c r="AN16" s="76">
        <f t="shared" si="69"/>
        <v>0.44804350396027898</v>
      </c>
      <c r="AO16" s="150">
        <v>8459</v>
      </c>
      <c r="AP16" s="117">
        <f t="shared" si="41"/>
        <v>4669</v>
      </c>
      <c r="AQ16" s="151">
        <v>3790</v>
      </c>
      <c r="AR16" s="152">
        <v>4588</v>
      </c>
      <c r="AS16" s="153">
        <v>0.30208333333333331</v>
      </c>
      <c r="AT16" s="152">
        <v>172</v>
      </c>
      <c r="AU16" s="154">
        <v>2.361111111111111E-2</v>
      </c>
      <c r="AV16" s="56">
        <f t="shared" si="52"/>
        <v>45910</v>
      </c>
      <c r="AW16" s="110">
        <f t="shared" si="70"/>
        <v>0.69592814371257483</v>
      </c>
      <c r="AX16" s="110">
        <f t="shared" si="71"/>
        <v>0.30407185628742517</v>
      </c>
      <c r="AY16" s="111">
        <f t="shared" si="44"/>
        <v>8350</v>
      </c>
      <c r="AZ16" s="112">
        <v>8350</v>
      </c>
      <c r="BA16" s="120">
        <f t="shared" si="75"/>
        <v>5811</v>
      </c>
      <c r="BB16" s="113">
        <v>2539</v>
      </c>
      <c r="BC16" s="112">
        <v>3790</v>
      </c>
      <c r="BD16" s="114">
        <v>0.75</v>
      </c>
      <c r="BE16" s="115">
        <v>0</v>
      </c>
      <c r="BF16" s="114" t="s">
        <v>70</v>
      </c>
      <c r="BG16" s="115">
        <v>155</v>
      </c>
      <c r="BH16" s="114">
        <v>0.35416666666666669</v>
      </c>
      <c r="BI16" s="56">
        <f t="shared" si="53"/>
        <v>45910</v>
      </c>
      <c r="BJ16" s="78">
        <f t="shared" si="72"/>
        <v>0.60077519379844957</v>
      </c>
      <c r="BK16" s="76">
        <f t="shared" si="73"/>
        <v>0.39922480620155038</v>
      </c>
      <c r="BL16" s="79">
        <f t="shared" si="74"/>
        <v>33540</v>
      </c>
      <c r="BM16" s="155">
        <v>20150</v>
      </c>
      <c r="BN16" s="155">
        <v>13390</v>
      </c>
      <c r="BO16" s="156">
        <v>4031</v>
      </c>
      <c r="BP16" s="157">
        <v>0.65555555555555556</v>
      </c>
      <c r="BQ16" s="158">
        <v>2701</v>
      </c>
      <c r="BR16" s="157">
        <v>0.65555555555555556</v>
      </c>
    </row>
    <row r="17" spans="1:70" ht="15.75" thickBot="1" x14ac:dyDescent="0.3">
      <c r="B17" s="56">
        <f t="shared" si="49"/>
        <v>45911</v>
      </c>
      <c r="C17" s="164"/>
      <c r="D17" s="87">
        <f t="shared" si="54"/>
        <v>53486</v>
      </c>
      <c r="E17" s="159">
        <f t="shared" si="55"/>
        <v>0.88277306210971096</v>
      </c>
      <c r="F17" s="87">
        <f t="shared" si="56"/>
        <v>47216</v>
      </c>
      <c r="G17" s="159">
        <f t="shared" si="57"/>
        <v>0.11722693789028905</v>
      </c>
      <c r="H17" s="146">
        <f t="shared" si="26"/>
        <v>6270</v>
      </c>
      <c r="I17" s="160">
        <f t="shared" si="58"/>
        <v>0.11787852865697176</v>
      </c>
      <c r="J17" s="159">
        <f t="shared" si="59"/>
        <v>0.14764756201881951</v>
      </c>
      <c r="K17" s="159">
        <f t="shared" si="60"/>
        <v>0.16965545033246021</v>
      </c>
      <c r="L17" s="161">
        <f t="shared" si="61"/>
        <v>0.59041916167664665</v>
      </c>
      <c r="M17" s="146">
        <f t="shared" si="62"/>
        <v>6159.1531223267748</v>
      </c>
      <c r="N17" s="146">
        <f t="shared" si="63"/>
        <v>7714.5851154833199</v>
      </c>
      <c r="O17" s="146">
        <f t="shared" si="64"/>
        <v>8864.497279871046</v>
      </c>
      <c r="P17" s="146">
        <f t="shared" si="65"/>
        <v>30849.401197604788</v>
      </c>
      <c r="Q17" s="56">
        <f t="shared" si="50"/>
        <v>45911</v>
      </c>
      <c r="R17" s="139">
        <v>53486</v>
      </c>
      <c r="S17" s="140">
        <v>0</v>
      </c>
      <c r="T17" s="140">
        <v>52250</v>
      </c>
      <c r="U17" s="140">
        <v>0</v>
      </c>
      <c r="V17" s="141">
        <v>13950</v>
      </c>
      <c r="W17" s="142">
        <v>0.72916666666666663</v>
      </c>
      <c r="X17" s="141">
        <v>4590</v>
      </c>
      <c r="Y17" s="142">
        <v>0.33333333333333331</v>
      </c>
      <c r="Z17" s="141">
        <v>0</v>
      </c>
      <c r="AA17" s="142">
        <v>0</v>
      </c>
      <c r="AB17" s="56">
        <f t="shared" si="51"/>
        <v>45911</v>
      </c>
      <c r="AC17" s="76">
        <f t="shared" si="66"/>
        <v>1</v>
      </c>
      <c r="AD17" s="162">
        <f t="shared" si="67"/>
        <v>0</v>
      </c>
      <c r="AE17" s="163">
        <v>6890</v>
      </c>
      <c r="AF17" s="118">
        <f t="shared" si="37"/>
        <v>6890</v>
      </c>
      <c r="AG17" s="147">
        <v>0</v>
      </c>
      <c r="AH17" s="148">
        <v>4282</v>
      </c>
      <c r="AI17" s="149" t="s">
        <v>71</v>
      </c>
      <c r="AJ17" s="148">
        <v>0</v>
      </c>
      <c r="AK17" s="165">
        <v>0</v>
      </c>
      <c r="AL17" s="56">
        <f t="shared" si="38"/>
        <v>45911</v>
      </c>
      <c r="AM17" s="77">
        <f t="shared" si="68"/>
        <v>0.56546929316338357</v>
      </c>
      <c r="AN17" s="76">
        <f t="shared" si="69"/>
        <v>0.43453070683661643</v>
      </c>
      <c r="AO17" s="150">
        <v>8630</v>
      </c>
      <c r="AP17" s="117">
        <f t="shared" si="41"/>
        <v>4880</v>
      </c>
      <c r="AQ17" s="151">
        <v>3750</v>
      </c>
      <c r="AR17" s="152">
        <v>3628</v>
      </c>
      <c r="AS17" s="153">
        <v>0.71805555555555556</v>
      </c>
      <c r="AT17" s="152">
        <v>175</v>
      </c>
      <c r="AU17" s="154">
        <v>0.90625</v>
      </c>
      <c r="AV17" s="56">
        <f t="shared" si="52"/>
        <v>45911</v>
      </c>
      <c r="AW17" s="110">
        <f t="shared" si="70"/>
        <v>0.70071258907363421</v>
      </c>
      <c r="AX17" s="110">
        <f t="shared" si="71"/>
        <v>0.29928741092636579</v>
      </c>
      <c r="AY17" s="111">
        <f t="shared" si="44"/>
        <v>8420</v>
      </c>
      <c r="AZ17" s="112">
        <v>8420</v>
      </c>
      <c r="BA17" s="120">
        <f t="shared" si="75"/>
        <v>5900</v>
      </c>
      <c r="BB17" s="113">
        <v>2520</v>
      </c>
      <c r="BC17" s="112">
        <v>3710</v>
      </c>
      <c r="BD17" s="114">
        <v>0.8125</v>
      </c>
      <c r="BE17" s="115">
        <v>0</v>
      </c>
      <c r="BF17" s="114">
        <v>0</v>
      </c>
      <c r="BG17" s="115">
        <v>155</v>
      </c>
      <c r="BH17" s="114">
        <v>0.32291666666666669</v>
      </c>
      <c r="BI17" s="56">
        <f t="shared" si="53"/>
        <v>45911</v>
      </c>
      <c r="BJ17" s="78">
        <f t="shared" si="72"/>
        <v>0.60909881193856852</v>
      </c>
      <c r="BK17" s="76">
        <f t="shared" si="73"/>
        <v>0.39090118806143148</v>
      </c>
      <c r="BL17" s="79">
        <f t="shared" si="74"/>
        <v>34510</v>
      </c>
      <c r="BM17" s="155">
        <v>21020</v>
      </c>
      <c r="BN17" s="155">
        <v>13490</v>
      </c>
      <c r="BO17" s="156">
        <v>4052</v>
      </c>
      <c r="BP17" s="157">
        <v>0.70625000000000004</v>
      </c>
      <c r="BQ17" s="158">
        <v>2685</v>
      </c>
      <c r="BR17" s="157">
        <v>0.70625000000000004</v>
      </c>
    </row>
    <row r="18" spans="1:70" ht="15.75" thickBot="1" x14ac:dyDescent="0.3">
      <c r="B18" s="56">
        <f t="shared" si="49"/>
        <v>45912</v>
      </c>
      <c r="C18" s="164"/>
      <c r="D18" s="87">
        <f t="shared" si="54"/>
        <v>52700</v>
      </c>
      <c r="E18" s="159">
        <f t="shared" si="55"/>
        <v>0.87779886148007591</v>
      </c>
      <c r="F18" s="87">
        <f t="shared" si="56"/>
        <v>46260</v>
      </c>
      <c r="G18" s="159">
        <f t="shared" si="57"/>
        <v>0.1222011385199241</v>
      </c>
      <c r="H18" s="146">
        <f t="shared" si="26"/>
        <v>6440</v>
      </c>
      <c r="I18" s="160">
        <f t="shared" si="58"/>
        <v>0.11806615776081425</v>
      </c>
      <c r="J18" s="159">
        <f t="shared" si="59"/>
        <v>0.15148430873621713</v>
      </c>
      <c r="K18" s="159">
        <f t="shared" si="60"/>
        <v>0.16963036963036962</v>
      </c>
      <c r="L18" s="161">
        <f t="shared" si="61"/>
        <v>0.58642917726887189</v>
      </c>
      <c r="M18" s="146">
        <f t="shared" si="62"/>
        <v>5850.1781170483464</v>
      </c>
      <c r="N18" s="146">
        <f t="shared" si="63"/>
        <v>7506.0474978795583</v>
      </c>
      <c r="O18" s="146">
        <f t="shared" si="64"/>
        <v>8405.1848151848153</v>
      </c>
      <c r="P18" s="146">
        <f t="shared" si="65"/>
        <v>29057.565733672604</v>
      </c>
      <c r="Q18" s="56">
        <f t="shared" si="50"/>
        <v>45912</v>
      </c>
      <c r="R18" s="139">
        <v>52700</v>
      </c>
      <c r="S18" s="140">
        <v>0</v>
      </c>
      <c r="T18" s="140">
        <v>49550</v>
      </c>
      <c r="U18" s="140">
        <v>0</v>
      </c>
      <c r="V18" s="141">
        <v>14050</v>
      </c>
      <c r="W18" s="142">
        <v>0.78125</v>
      </c>
      <c r="X18" s="141">
        <v>4520</v>
      </c>
      <c r="Y18" s="142">
        <v>0.3125</v>
      </c>
      <c r="Z18" s="141">
        <v>0</v>
      </c>
      <c r="AA18" s="142">
        <v>0</v>
      </c>
      <c r="AB18" s="56">
        <f t="shared" si="51"/>
        <v>45912</v>
      </c>
      <c r="AC18" s="76">
        <f t="shared" si="66"/>
        <v>1</v>
      </c>
      <c r="AD18" s="162">
        <f t="shared" si="67"/>
        <v>0</v>
      </c>
      <c r="AE18" s="163">
        <v>6960</v>
      </c>
      <c r="AF18" s="118">
        <f t="shared" si="37"/>
        <v>6960</v>
      </c>
      <c r="AG18" s="147">
        <v>0</v>
      </c>
      <c r="AH18" s="148">
        <v>3916</v>
      </c>
      <c r="AI18" s="149">
        <v>0.29583333333333334</v>
      </c>
      <c r="AJ18" s="148">
        <v>0</v>
      </c>
      <c r="AK18" s="165" t="s">
        <v>70</v>
      </c>
      <c r="AL18" s="56">
        <f t="shared" si="38"/>
        <v>45912</v>
      </c>
      <c r="AM18" s="77">
        <f t="shared" si="68"/>
        <v>0.56662933930571113</v>
      </c>
      <c r="AN18" s="76">
        <f t="shared" si="69"/>
        <v>0.43337066069428892</v>
      </c>
      <c r="AO18" s="150">
        <v>8930</v>
      </c>
      <c r="AP18" s="117">
        <f t="shared" si="41"/>
        <v>5060</v>
      </c>
      <c r="AQ18" s="151">
        <v>3870</v>
      </c>
      <c r="AR18" s="152">
        <v>3687</v>
      </c>
      <c r="AS18" s="153">
        <v>0.72152777777777777</v>
      </c>
      <c r="AT18" s="152">
        <v>178</v>
      </c>
      <c r="AU18" s="154">
        <v>0.85416666666666663</v>
      </c>
      <c r="AV18" s="56">
        <f t="shared" si="52"/>
        <v>45912</v>
      </c>
      <c r="AW18" s="110">
        <f t="shared" si="70"/>
        <v>0.69729093050647817</v>
      </c>
      <c r="AX18" s="110">
        <f t="shared" si="71"/>
        <v>0.30270906949352178</v>
      </c>
      <c r="AY18" s="111">
        <f t="shared" si="44"/>
        <v>8490</v>
      </c>
      <c r="AZ18" s="112">
        <v>8490</v>
      </c>
      <c r="BA18" s="120">
        <f t="shared" si="75"/>
        <v>5920</v>
      </c>
      <c r="BB18" s="113">
        <v>2570</v>
      </c>
      <c r="BC18" s="112">
        <v>3820</v>
      </c>
      <c r="BD18" s="114">
        <v>0.77777777777777779</v>
      </c>
      <c r="BE18" s="115">
        <v>0</v>
      </c>
      <c r="BF18" s="114">
        <v>0</v>
      </c>
      <c r="BG18" s="115">
        <v>154</v>
      </c>
      <c r="BH18" s="114">
        <v>0.33333333333333331</v>
      </c>
      <c r="BI18" s="56">
        <f t="shared" si="53"/>
        <v>45912</v>
      </c>
      <c r="BJ18" s="78">
        <f t="shared" si="72"/>
        <v>0.60890945906855654</v>
      </c>
      <c r="BK18" s="76">
        <f t="shared" si="73"/>
        <v>0.39109054093144346</v>
      </c>
      <c r="BL18" s="79">
        <f t="shared" si="74"/>
        <v>34570</v>
      </c>
      <c r="BM18" s="155">
        <v>21050</v>
      </c>
      <c r="BN18" s="155">
        <v>13520</v>
      </c>
      <c r="BO18" s="156">
        <v>3835</v>
      </c>
      <c r="BP18" s="157">
        <v>0.7104166666666667</v>
      </c>
      <c r="BQ18" s="158">
        <v>2539</v>
      </c>
      <c r="BR18" s="157">
        <v>0.7104166666666667</v>
      </c>
    </row>
    <row r="19" spans="1:70" ht="15.75" thickBot="1" x14ac:dyDescent="0.3">
      <c r="B19" s="56">
        <f t="shared" si="49"/>
        <v>45913</v>
      </c>
      <c r="C19" s="164"/>
      <c r="D19" s="87">
        <f t="shared" si="54"/>
        <v>31678</v>
      </c>
      <c r="E19" s="159">
        <f t="shared" si="55"/>
        <v>0.80270219079487337</v>
      </c>
      <c r="F19" s="87">
        <f t="shared" si="56"/>
        <v>25428</v>
      </c>
      <c r="G19" s="159">
        <f t="shared" si="57"/>
        <v>0.19729780920512657</v>
      </c>
      <c r="H19" s="146">
        <f t="shared" si="26"/>
        <v>6250</v>
      </c>
      <c r="I19" s="160">
        <f t="shared" si="58"/>
        <v>7.8438651095057252E-2</v>
      </c>
      <c r="J19" s="159">
        <f t="shared" si="59"/>
        <v>0.16501527654835671</v>
      </c>
      <c r="K19" s="159">
        <f t="shared" si="60"/>
        <v>0.16032528701795701</v>
      </c>
      <c r="L19" s="161">
        <f t="shared" si="61"/>
        <v>0.63213500471145889</v>
      </c>
      <c r="M19" s="146">
        <f t="shared" si="62"/>
        <v>2373.161388880957</v>
      </c>
      <c r="N19" s="146">
        <f t="shared" si="63"/>
        <v>4992.5371919705321</v>
      </c>
      <c r="O19" s="146">
        <f t="shared" si="64"/>
        <v>4850.6415587282891</v>
      </c>
      <c r="P19" s="146">
        <f t="shared" si="65"/>
        <v>19125.244567545189</v>
      </c>
      <c r="Q19" s="56">
        <f t="shared" si="50"/>
        <v>45913</v>
      </c>
      <c r="R19" s="139">
        <v>31678</v>
      </c>
      <c r="S19" s="140">
        <v>0</v>
      </c>
      <c r="T19" s="140">
        <v>30255</v>
      </c>
      <c r="U19" s="140">
        <v>0</v>
      </c>
      <c r="V19" s="141">
        <v>7284</v>
      </c>
      <c r="W19" s="142">
        <v>0.40625</v>
      </c>
      <c r="X19" s="141">
        <v>2059</v>
      </c>
      <c r="Y19" s="142">
        <v>0.40625</v>
      </c>
      <c r="Z19" s="141">
        <v>0</v>
      </c>
      <c r="AA19" s="142">
        <v>0</v>
      </c>
      <c r="AB19" s="56">
        <f t="shared" si="51"/>
        <v>45913</v>
      </c>
      <c r="AC19" s="76">
        <f t="shared" si="66"/>
        <v>1</v>
      </c>
      <c r="AD19" s="162">
        <f t="shared" si="67"/>
        <v>0</v>
      </c>
      <c r="AE19" s="163">
        <v>2747</v>
      </c>
      <c r="AF19" s="118">
        <f t="shared" si="37"/>
        <v>2747</v>
      </c>
      <c r="AG19" s="147">
        <v>0</v>
      </c>
      <c r="AH19" s="148">
        <v>2159</v>
      </c>
      <c r="AI19" s="149">
        <v>0.94166666666666665</v>
      </c>
      <c r="AJ19" s="148">
        <v>0</v>
      </c>
      <c r="AK19" s="165">
        <v>0</v>
      </c>
      <c r="AL19" s="56">
        <f t="shared" si="38"/>
        <v>45913</v>
      </c>
      <c r="AM19" s="77">
        <f t="shared" ref="AM19" si="76">+AP19/AO19</f>
        <v>0.37463228932341236</v>
      </c>
      <c r="AN19" s="76">
        <f t="shared" ref="AN19" si="77">+AQ19/AO19</f>
        <v>0.6253677106765877</v>
      </c>
      <c r="AO19" s="150">
        <v>5779</v>
      </c>
      <c r="AP19" s="117">
        <f t="shared" si="41"/>
        <v>2165</v>
      </c>
      <c r="AQ19" s="151">
        <v>3614</v>
      </c>
      <c r="AR19" s="152">
        <v>1678</v>
      </c>
      <c r="AS19" s="153">
        <v>0.94097222222222221</v>
      </c>
      <c r="AT19" s="152">
        <v>170</v>
      </c>
      <c r="AU19" s="154">
        <v>0.11458333333333333</v>
      </c>
      <c r="AV19" s="56">
        <f t="shared" si="52"/>
        <v>45913</v>
      </c>
      <c r="AW19" s="110">
        <f t="shared" ref="AW19" si="78">BA19/AZ19</f>
        <v>0.3949965572641726</v>
      </c>
      <c r="AX19" s="110">
        <f t="shared" ref="AX19" si="79">BB19/AZ19</f>
        <v>0.6050034427358274</v>
      </c>
      <c r="AY19" s="111">
        <f t="shared" si="44"/>
        <v>4357</v>
      </c>
      <c r="AZ19" s="112">
        <v>4357</v>
      </c>
      <c r="BA19" s="120">
        <f t="shared" si="75"/>
        <v>1721</v>
      </c>
      <c r="BB19" s="113">
        <f>1530+1106</f>
        <v>2636</v>
      </c>
      <c r="BC19" s="112">
        <v>1833</v>
      </c>
      <c r="BD19" s="114">
        <v>0.36458333333333331</v>
      </c>
      <c r="BE19" s="115">
        <v>0</v>
      </c>
      <c r="BF19" s="114">
        <v>0</v>
      </c>
      <c r="BG19" s="115">
        <v>153</v>
      </c>
      <c r="BH19" s="114">
        <v>0.85416666666666663</v>
      </c>
      <c r="BI19" s="56">
        <f t="shared" si="53"/>
        <v>45913</v>
      </c>
      <c r="BJ19" s="78">
        <f t="shared" ref="BJ19" si="80">+BM19/BL19</f>
        <v>0.61206974433101458</v>
      </c>
      <c r="BK19" s="76">
        <f t="shared" ref="BK19" si="81">+BN19/BL19</f>
        <v>0.38793025566898548</v>
      </c>
      <c r="BL19" s="79">
        <f t="shared" ref="BL19" si="82">BM19+BN19</f>
        <v>22138</v>
      </c>
      <c r="BM19" s="155">
        <v>13550</v>
      </c>
      <c r="BN19" s="155">
        <v>8588</v>
      </c>
      <c r="BO19" s="156">
        <v>2661</v>
      </c>
      <c r="BP19" s="157">
        <v>0.36805555555555558</v>
      </c>
      <c r="BQ19" s="158">
        <v>1786</v>
      </c>
      <c r="BR19" s="157">
        <v>0.36805555555555558</v>
      </c>
    </row>
    <row r="20" spans="1:70" ht="15.75" thickBot="1" x14ac:dyDescent="0.3">
      <c r="B20" s="56">
        <f t="shared" si="49"/>
        <v>45914</v>
      </c>
      <c r="C20" s="164"/>
      <c r="D20" s="87">
        <f t="shared" si="54"/>
        <v>27170</v>
      </c>
      <c r="E20" s="159">
        <f t="shared" si="55"/>
        <v>0.78137799043062206</v>
      </c>
      <c r="F20" s="87">
        <f t="shared" si="56"/>
        <v>21230.04</v>
      </c>
      <c r="G20" s="159">
        <f t="shared" si="57"/>
        <v>0.218622009569378</v>
      </c>
      <c r="H20" s="146">
        <f t="shared" si="26"/>
        <v>5939.96</v>
      </c>
      <c r="I20" s="160">
        <f t="shared" si="58"/>
        <v>6.5275359393006452E-2</v>
      </c>
      <c r="J20" s="159">
        <f t="shared" si="59"/>
        <v>0.17092722975075916</v>
      </c>
      <c r="K20" s="159">
        <f t="shared" si="60"/>
        <v>0.17100552730623403</v>
      </c>
      <c r="L20" s="161">
        <f t="shared" si="61"/>
        <v>0.63166527872410227</v>
      </c>
      <c r="M20" s="146">
        <f t="shared" si="62"/>
        <v>1687.6291417467887</v>
      </c>
      <c r="N20" s="146">
        <f t="shared" si="63"/>
        <v>4419.1525979761273</v>
      </c>
      <c r="O20" s="146">
        <f t="shared" si="64"/>
        <v>4421.176902975375</v>
      </c>
      <c r="P20" s="146">
        <f t="shared" si="65"/>
        <v>16331.074116132941</v>
      </c>
      <c r="Q20" s="56">
        <f t="shared" si="50"/>
        <v>45914</v>
      </c>
      <c r="R20" s="139">
        <v>27170</v>
      </c>
      <c r="S20" s="140">
        <v>0</v>
      </c>
      <c r="T20" s="140">
        <v>25854</v>
      </c>
      <c r="U20" s="140">
        <v>0</v>
      </c>
      <c r="V20" s="141">
        <v>5791.37</v>
      </c>
      <c r="W20" s="142">
        <v>0.84375</v>
      </c>
      <c r="X20" s="141">
        <v>1775.43</v>
      </c>
      <c r="Y20" s="142">
        <v>0.95833333333333337</v>
      </c>
      <c r="Z20" s="141">
        <v>0</v>
      </c>
      <c r="AA20" s="142">
        <v>0</v>
      </c>
      <c r="AB20" s="56">
        <f t="shared" si="51"/>
        <v>45914</v>
      </c>
      <c r="AC20" s="76">
        <f t="shared" si="66"/>
        <v>1</v>
      </c>
      <c r="AD20" s="162">
        <f t="shared" si="67"/>
        <v>0</v>
      </c>
      <c r="AE20" s="163">
        <v>1940</v>
      </c>
      <c r="AF20" s="118">
        <f t="shared" si="37"/>
        <v>1940</v>
      </c>
      <c r="AG20" s="147">
        <v>0</v>
      </c>
      <c r="AH20" s="148">
        <v>1861.49</v>
      </c>
      <c r="AI20" s="149">
        <v>0.93333333333333335</v>
      </c>
      <c r="AJ20" s="148">
        <v>0</v>
      </c>
      <c r="AK20" s="165">
        <v>0</v>
      </c>
      <c r="AL20" s="56">
        <f t="shared" si="38"/>
        <v>45914</v>
      </c>
      <c r="AM20" s="77">
        <f t="shared" si="68"/>
        <v>0.31519094488188976</v>
      </c>
      <c r="AN20" s="76">
        <f t="shared" si="69"/>
        <v>0.68480905511811019</v>
      </c>
      <c r="AO20" s="150">
        <v>5080</v>
      </c>
      <c r="AP20" s="117">
        <f t="shared" si="41"/>
        <v>1601.17</v>
      </c>
      <c r="AQ20" s="151">
        <v>3478.83</v>
      </c>
      <c r="AR20" s="152">
        <v>1917.29</v>
      </c>
      <c r="AS20" s="153">
        <v>0.3923611111111111</v>
      </c>
      <c r="AT20" s="152">
        <v>168.5</v>
      </c>
      <c r="AU20" s="154">
        <v>0.85416666666666663</v>
      </c>
      <c r="AV20" s="56">
        <f t="shared" si="52"/>
        <v>45914</v>
      </c>
      <c r="AW20" s="110">
        <f t="shared" si="70"/>
        <v>0.37327985739750441</v>
      </c>
      <c r="AX20" s="110">
        <f t="shared" si="71"/>
        <v>0.62672014260249553</v>
      </c>
      <c r="AY20" s="111">
        <f t="shared" si="44"/>
        <v>3927</v>
      </c>
      <c r="AZ20" s="112">
        <v>3927</v>
      </c>
      <c r="BA20" s="120">
        <f t="shared" ref="BA20" si="83">AZ20-BB20</f>
        <v>1465.87</v>
      </c>
      <c r="BB20" s="113">
        <v>2461.13</v>
      </c>
      <c r="BC20" s="112">
        <v>1418.7</v>
      </c>
      <c r="BD20" s="114">
        <v>0.40625</v>
      </c>
      <c r="BE20" s="115">
        <v>0</v>
      </c>
      <c r="BF20" s="114">
        <v>0</v>
      </c>
      <c r="BG20" s="115">
        <v>146.78</v>
      </c>
      <c r="BH20" s="114">
        <v>0.30208333333333331</v>
      </c>
      <c r="BI20" s="56">
        <f t="shared" si="53"/>
        <v>45914</v>
      </c>
      <c r="BJ20" s="78">
        <f t="shared" si="72"/>
        <v>0.61624918434474585</v>
      </c>
      <c r="BK20" s="76">
        <f t="shared" si="73"/>
        <v>0.38375081565525415</v>
      </c>
      <c r="BL20" s="79">
        <f t="shared" si="74"/>
        <v>18773.25</v>
      </c>
      <c r="BM20" s="155">
        <v>11569</v>
      </c>
      <c r="BN20" s="155">
        <v>7204.25</v>
      </c>
      <c r="BO20" s="156">
        <v>2367.8200000000002</v>
      </c>
      <c r="BP20" s="157">
        <v>0.41041666666666665</v>
      </c>
      <c r="BQ20" s="158">
        <v>1573.38</v>
      </c>
      <c r="BR20" s="157">
        <v>0.41041666666666665</v>
      </c>
    </row>
    <row r="21" spans="1:70" ht="15.75" thickBot="1" x14ac:dyDescent="0.3">
      <c r="A21" s="14"/>
      <c r="B21" s="56">
        <f t="shared" si="49"/>
        <v>45915</v>
      </c>
      <c r="C21" s="164"/>
      <c r="D21" s="87">
        <f t="shared" si="54"/>
        <v>53254</v>
      </c>
      <c r="E21" s="159">
        <f t="shared" si="55"/>
        <v>0.88209336387876969</v>
      </c>
      <c r="F21" s="87">
        <f t="shared" si="56"/>
        <v>46975</v>
      </c>
      <c r="G21" s="159">
        <f t="shared" si="57"/>
        <v>0.11790663612123033</v>
      </c>
      <c r="H21" s="146">
        <f t="shared" si="26"/>
        <v>6279</v>
      </c>
      <c r="I21" s="160">
        <f t="shared" si="58"/>
        <v>0.11654242878056167</v>
      </c>
      <c r="J21" s="159">
        <f t="shared" si="59"/>
        <v>0.156287334466338</v>
      </c>
      <c r="K21" s="159">
        <f t="shared" si="60"/>
        <v>0.16556618693658073</v>
      </c>
      <c r="L21" s="161">
        <f t="shared" si="61"/>
        <v>0.58624577226606533</v>
      </c>
      <c r="M21" s="146">
        <f t="shared" si="62"/>
        <v>6039.1121169799253</v>
      </c>
      <c r="N21" s="146">
        <f t="shared" si="63"/>
        <v>8098.6533847111687</v>
      </c>
      <c r="O21" s="146">
        <f t="shared" si="64"/>
        <v>8579.4742408666771</v>
      </c>
      <c r="P21" s="146">
        <f t="shared" si="65"/>
        <v>30378.669673055239</v>
      </c>
      <c r="Q21" s="56">
        <f t="shared" si="50"/>
        <v>45915</v>
      </c>
      <c r="R21" s="139">
        <v>53254</v>
      </c>
      <c r="S21" s="140">
        <v>0</v>
      </c>
      <c r="T21" s="140">
        <v>51819</v>
      </c>
      <c r="U21" s="140">
        <v>0</v>
      </c>
      <c r="V21" s="141">
        <v>12230</v>
      </c>
      <c r="W21" s="142">
        <v>0.82291666666666663</v>
      </c>
      <c r="X21" s="141">
        <v>4561</v>
      </c>
      <c r="Y21" s="142">
        <v>0.82291666666666663</v>
      </c>
      <c r="Z21" s="141">
        <v>0</v>
      </c>
      <c r="AA21" s="142">
        <v>0</v>
      </c>
      <c r="AB21" s="56">
        <f t="shared" si="51"/>
        <v>45915</v>
      </c>
      <c r="AC21" s="76">
        <f t="shared" si="66"/>
        <v>1</v>
      </c>
      <c r="AD21" s="162">
        <f t="shared" si="67"/>
        <v>0</v>
      </c>
      <c r="AE21" s="163">
        <v>6926</v>
      </c>
      <c r="AF21" s="118">
        <f t="shared" si="37"/>
        <v>6926</v>
      </c>
      <c r="AG21" s="147">
        <v>0</v>
      </c>
      <c r="AH21" s="148">
        <v>3934</v>
      </c>
      <c r="AI21" s="149">
        <v>0.77916666666666667</v>
      </c>
      <c r="AJ21" s="148">
        <v>0</v>
      </c>
      <c r="AK21" s="165">
        <v>0</v>
      </c>
      <c r="AL21" s="56">
        <f t="shared" si="38"/>
        <v>45915</v>
      </c>
      <c r="AM21" s="77">
        <f t="shared" si="68"/>
        <v>0.60335917312661502</v>
      </c>
      <c r="AN21" s="76">
        <f t="shared" si="69"/>
        <v>0.39664082687338503</v>
      </c>
      <c r="AO21" s="150">
        <v>9288</v>
      </c>
      <c r="AP21" s="117">
        <f t="shared" si="41"/>
        <v>5604</v>
      </c>
      <c r="AQ21" s="151">
        <v>3684</v>
      </c>
      <c r="AR21" s="152">
        <v>3947</v>
      </c>
      <c r="AS21" s="153">
        <v>0.35694444444444445</v>
      </c>
      <c r="AT21" s="152">
        <v>156</v>
      </c>
      <c r="AU21" s="154">
        <v>0.3125</v>
      </c>
      <c r="AV21" s="56">
        <f t="shared" si="52"/>
        <v>45915</v>
      </c>
      <c r="AW21" s="110">
        <f t="shared" si="70"/>
        <v>0.69014925373134328</v>
      </c>
      <c r="AX21" s="110">
        <f t="shared" si="71"/>
        <v>0.30985074626865672</v>
      </c>
      <c r="AY21" s="111">
        <f t="shared" si="44"/>
        <v>8375</v>
      </c>
      <c r="AZ21" s="112">
        <v>8375</v>
      </c>
      <c r="BA21" s="120">
        <f t="shared" si="75"/>
        <v>5780</v>
      </c>
      <c r="BB21" s="113">
        <v>2595</v>
      </c>
      <c r="BC21" s="112">
        <v>3891</v>
      </c>
      <c r="BD21" s="114">
        <v>0.73958333333333337</v>
      </c>
      <c r="BE21" s="115">
        <v>0</v>
      </c>
      <c r="BF21" s="114">
        <v>0</v>
      </c>
      <c r="BG21" s="115">
        <v>156</v>
      </c>
      <c r="BH21" s="114">
        <v>0.3125</v>
      </c>
      <c r="BI21" s="56">
        <f>BI20+1</f>
        <v>45915</v>
      </c>
      <c r="BJ21" s="78">
        <f t="shared" si="72"/>
        <v>0.61148105625717564</v>
      </c>
      <c r="BK21" s="76">
        <f t="shared" si="73"/>
        <v>0.38851894374282436</v>
      </c>
      <c r="BL21" s="79">
        <f t="shared" si="74"/>
        <v>34840</v>
      </c>
      <c r="BM21" s="155">
        <v>21304</v>
      </c>
      <c r="BN21" s="155">
        <v>13536</v>
      </c>
      <c r="BO21" s="156">
        <v>4556</v>
      </c>
      <c r="BP21" s="157">
        <v>0.77986111111111112</v>
      </c>
      <c r="BQ21" s="158">
        <v>3008</v>
      </c>
      <c r="BR21" s="157">
        <v>0.77986111111111112</v>
      </c>
    </row>
    <row r="22" spans="1:70" ht="15.75" thickBot="1" x14ac:dyDescent="0.3">
      <c r="A22" s="14"/>
      <c r="B22" s="56">
        <f t="shared" si="49"/>
        <v>45916</v>
      </c>
      <c r="C22" s="164"/>
      <c r="D22" s="87">
        <f t="shared" si="54"/>
        <v>53300</v>
      </c>
      <c r="E22" s="159">
        <f t="shared" si="55"/>
        <v>0.88365853658536586</v>
      </c>
      <c r="F22" s="87">
        <f t="shared" si="56"/>
        <v>47099</v>
      </c>
      <c r="G22" s="159">
        <f t="shared" si="57"/>
        <v>0.11634146341463415</v>
      </c>
      <c r="H22" s="146">
        <f t="shared" si="26"/>
        <v>6201</v>
      </c>
      <c r="I22" s="160">
        <f t="shared" si="58"/>
        <v>0.11756854927269349</v>
      </c>
      <c r="J22" s="159">
        <f t="shared" si="59"/>
        <v>0.15787873156392018</v>
      </c>
      <c r="K22" s="159">
        <f t="shared" si="60"/>
        <v>0.16424545526712708</v>
      </c>
      <c r="L22" s="161">
        <f t="shared" si="61"/>
        <v>0.58473416566707781</v>
      </c>
      <c r="M22" s="146">
        <f t="shared" si="62"/>
        <v>6106.1577435758818</v>
      </c>
      <c r="N22" s="146">
        <f t="shared" si="63"/>
        <v>8199.7476812353234</v>
      </c>
      <c r="O22" s="146">
        <f t="shared" si="64"/>
        <v>8530.4162102087794</v>
      </c>
      <c r="P22" s="146">
        <f t="shared" si="65"/>
        <v>30369.338362251019</v>
      </c>
      <c r="Q22" s="56">
        <f t="shared" si="50"/>
        <v>45916</v>
      </c>
      <c r="R22" s="139">
        <v>53300</v>
      </c>
      <c r="S22" s="140">
        <v>0</v>
      </c>
      <c r="T22" s="140">
        <v>51937</v>
      </c>
      <c r="U22" s="140">
        <v>0</v>
      </c>
      <c r="V22" s="141">
        <v>12540</v>
      </c>
      <c r="W22" s="142">
        <v>0.80208333333333337</v>
      </c>
      <c r="X22" s="141">
        <v>4329</v>
      </c>
      <c r="Y22" s="142">
        <v>0.40625</v>
      </c>
      <c r="Z22" s="141">
        <v>0</v>
      </c>
      <c r="AA22" s="142">
        <v>0</v>
      </c>
      <c r="AB22" s="56">
        <f t="shared" si="51"/>
        <v>45916</v>
      </c>
      <c r="AC22" s="76">
        <f t="shared" si="66"/>
        <v>1</v>
      </c>
      <c r="AD22" s="162">
        <f t="shared" si="67"/>
        <v>0</v>
      </c>
      <c r="AE22" s="163">
        <v>6959</v>
      </c>
      <c r="AF22" s="118">
        <f t="shared" si="37"/>
        <v>6959</v>
      </c>
      <c r="AG22" s="147">
        <v>0</v>
      </c>
      <c r="AH22" s="148">
        <v>3793</v>
      </c>
      <c r="AI22" s="149">
        <v>0.34791666666666665</v>
      </c>
      <c r="AJ22" s="148">
        <v>0</v>
      </c>
      <c r="AK22" s="165">
        <v>0</v>
      </c>
      <c r="AL22" s="56">
        <f t="shared" si="38"/>
        <v>45916</v>
      </c>
      <c r="AM22" s="77">
        <f t="shared" si="68"/>
        <v>0.60802568218298558</v>
      </c>
      <c r="AN22" s="76">
        <f t="shared" si="69"/>
        <v>0.39197431781701447</v>
      </c>
      <c r="AO22" s="150">
        <v>9345</v>
      </c>
      <c r="AP22" s="117">
        <f t="shared" si="41"/>
        <v>5682</v>
      </c>
      <c r="AQ22" s="151">
        <v>3663</v>
      </c>
      <c r="AR22" s="152">
        <v>3737</v>
      </c>
      <c r="AS22" s="153">
        <v>0.34236111111111112</v>
      </c>
      <c r="AT22" s="152">
        <v>172</v>
      </c>
      <c r="AU22" s="154">
        <v>0.29166666666666669</v>
      </c>
      <c r="AV22" s="56">
        <f t="shared" si="52"/>
        <v>45916</v>
      </c>
      <c r="AW22" s="110">
        <f t="shared" si="70"/>
        <v>0.69333011116481391</v>
      </c>
      <c r="AX22" s="110">
        <f t="shared" si="71"/>
        <v>0.30666988883518609</v>
      </c>
      <c r="AY22" s="111">
        <f t="shared" si="44"/>
        <v>8276</v>
      </c>
      <c r="AZ22" s="112">
        <v>8276</v>
      </c>
      <c r="BA22" s="120">
        <f t="shared" si="75"/>
        <v>5738</v>
      </c>
      <c r="BB22" s="113">
        <v>2538</v>
      </c>
      <c r="BC22" s="112">
        <v>4379</v>
      </c>
      <c r="BD22" s="114">
        <v>0.76041666666666663</v>
      </c>
      <c r="BE22" s="115">
        <v>0</v>
      </c>
      <c r="BF22" s="114">
        <v>0</v>
      </c>
      <c r="BG22" s="115">
        <v>158</v>
      </c>
      <c r="BH22" s="114">
        <v>0.84375</v>
      </c>
      <c r="BI22" s="56">
        <f t="shared" si="53"/>
        <v>45916</v>
      </c>
      <c r="BJ22" s="78">
        <f t="shared" si="72"/>
        <v>0.61237756782525787</v>
      </c>
      <c r="BK22" s="76">
        <f t="shared" si="73"/>
        <v>0.38762243217474213</v>
      </c>
      <c r="BL22" s="79">
        <f t="shared" si="74"/>
        <v>34611</v>
      </c>
      <c r="BM22" s="155">
        <v>21195</v>
      </c>
      <c r="BN22" s="155">
        <v>13416</v>
      </c>
      <c r="BO22" s="156">
        <v>3872</v>
      </c>
      <c r="BP22" s="157">
        <v>0.7006944444444444</v>
      </c>
      <c r="BQ22" s="158">
        <v>2562</v>
      </c>
      <c r="BR22" s="157">
        <v>0.70138888888888884</v>
      </c>
    </row>
    <row r="23" spans="1:70" ht="15.75" thickBot="1" x14ac:dyDescent="0.3">
      <c r="A23" s="14"/>
      <c r="B23" s="56">
        <f t="shared" si="49"/>
        <v>45917</v>
      </c>
      <c r="C23" s="164"/>
      <c r="D23" s="87">
        <f t="shared" si="54"/>
        <v>56512</v>
      </c>
      <c r="E23" s="159">
        <f t="shared" si="55"/>
        <v>0.89103199320498305</v>
      </c>
      <c r="F23" s="87">
        <f t="shared" si="56"/>
        <v>50354</v>
      </c>
      <c r="G23" s="159">
        <f t="shared" si="57"/>
        <v>0.10896800679501699</v>
      </c>
      <c r="H23" s="146">
        <f t="shared" si="26"/>
        <v>6158</v>
      </c>
      <c r="I23" s="160">
        <f t="shared" si="58"/>
        <v>0.12388026395485989</v>
      </c>
      <c r="J23" s="159">
        <f t="shared" si="59"/>
        <v>0.16023781440275431</v>
      </c>
      <c r="K23" s="159">
        <f t="shared" si="60"/>
        <v>0.16603410290115342</v>
      </c>
      <c r="L23" s="161">
        <f t="shared" si="61"/>
        <v>0.57293825113966013</v>
      </c>
      <c r="M23" s="146">
        <f t="shared" si="62"/>
        <v>6836.5801268768528</v>
      </c>
      <c r="N23" s="146">
        <f t="shared" si="63"/>
        <v>8843.0442634448027</v>
      </c>
      <c r="O23" s="146">
        <f t="shared" si="64"/>
        <v>9162.9240368059545</v>
      </c>
      <c r="P23" s="146">
        <f t="shared" si="65"/>
        <v>31618.743265644422</v>
      </c>
      <c r="Q23" s="56">
        <f t="shared" si="50"/>
        <v>45917</v>
      </c>
      <c r="R23" s="139">
        <v>56512</v>
      </c>
      <c r="S23" s="140">
        <v>0</v>
      </c>
      <c r="T23" s="140">
        <v>55187</v>
      </c>
      <c r="U23" s="140">
        <v>0</v>
      </c>
      <c r="V23" s="141">
        <v>14304</v>
      </c>
      <c r="W23" s="142">
        <v>0.59375</v>
      </c>
      <c r="X23" s="141">
        <v>4415</v>
      </c>
      <c r="Y23" s="142">
        <v>0.80208333333333337</v>
      </c>
      <c r="Z23" s="141">
        <v>0</v>
      </c>
      <c r="AA23" s="142">
        <v>0</v>
      </c>
      <c r="AB23" s="56">
        <f t="shared" si="51"/>
        <v>45917</v>
      </c>
      <c r="AC23" s="76">
        <f t="shared" si="66"/>
        <v>1</v>
      </c>
      <c r="AD23" s="162">
        <f t="shared" si="67"/>
        <v>0</v>
      </c>
      <c r="AE23" s="163">
        <v>7772</v>
      </c>
      <c r="AF23" s="118">
        <f t="shared" si="37"/>
        <v>7772</v>
      </c>
      <c r="AG23" s="147">
        <v>0</v>
      </c>
      <c r="AH23" s="148">
        <v>3732</v>
      </c>
      <c r="AI23" s="149">
        <v>0.70763888888888893</v>
      </c>
      <c r="AJ23" s="148">
        <v>0</v>
      </c>
      <c r="AK23" s="165">
        <v>0</v>
      </c>
      <c r="AL23" s="56">
        <f t="shared" si="38"/>
        <v>45917</v>
      </c>
      <c r="AM23" s="77">
        <f t="shared" si="68"/>
        <v>0.6327464438476077</v>
      </c>
      <c r="AN23" s="76">
        <f t="shared" si="69"/>
        <v>0.3672535561523923</v>
      </c>
      <c r="AO23" s="150">
        <v>10053</v>
      </c>
      <c r="AP23" s="117">
        <f t="shared" si="41"/>
        <v>6361</v>
      </c>
      <c r="AQ23" s="151">
        <v>3692</v>
      </c>
      <c r="AR23" s="152">
        <v>3571</v>
      </c>
      <c r="AS23" s="153">
        <v>0.70486111111111116</v>
      </c>
      <c r="AT23" s="152">
        <v>173</v>
      </c>
      <c r="AU23" s="154">
        <v>0.83333333333333337</v>
      </c>
      <c r="AV23" s="56">
        <f t="shared" si="52"/>
        <v>45917</v>
      </c>
      <c r="AW23" s="110">
        <f t="shared" si="70"/>
        <v>0.72502230151650315</v>
      </c>
      <c r="AX23" s="110">
        <f t="shared" si="71"/>
        <v>0.2749776984834969</v>
      </c>
      <c r="AY23" s="111">
        <f t="shared" si="44"/>
        <v>8968</v>
      </c>
      <c r="AZ23" s="112">
        <v>8968</v>
      </c>
      <c r="BA23" s="120">
        <f t="shared" si="75"/>
        <v>6502</v>
      </c>
      <c r="BB23" s="113">
        <v>2466</v>
      </c>
      <c r="BC23" s="112">
        <v>3971</v>
      </c>
      <c r="BD23" s="114">
        <v>0.30208333333333331</v>
      </c>
      <c r="BE23" s="115">
        <v>0</v>
      </c>
      <c r="BF23" s="114">
        <v>0</v>
      </c>
      <c r="BG23" s="115">
        <v>145</v>
      </c>
      <c r="BH23" s="114">
        <v>0.10416666666666667</v>
      </c>
      <c r="BI23" s="56">
        <f t="shared" si="53"/>
        <v>45917</v>
      </c>
      <c r="BJ23" s="78">
        <f t="shared" si="72"/>
        <v>0.61048824593128392</v>
      </c>
      <c r="BK23" s="76">
        <f t="shared" si="73"/>
        <v>0.38951175406871608</v>
      </c>
      <c r="BL23" s="79">
        <f t="shared" si="74"/>
        <v>35945</v>
      </c>
      <c r="BM23" s="155">
        <v>21944</v>
      </c>
      <c r="BN23" s="155">
        <v>14001</v>
      </c>
      <c r="BO23" s="156">
        <v>4786</v>
      </c>
      <c r="BP23" s="157">
        <v>0.75138888888888888</v>
      </c>
      <c r="BQ23" s="158">
        <v>3125</v>
      </c>
      <c r="BR23" s="157">
        <v>0.75138888888888888</v>
      </c>
    </row>
    <row r="24" spans="1:70" ht="15.75" thickBot="1" x14ac:dyDescent="0.3">
      <c r="A24" s="14"/>
      <c r="B24" s="56">
        <f t="shared" si="49"/>
        <v>45918</v>
      </c>
      <c r="C24" s="164"/>
      <c r="D24" s="87">
        <f t="shared" si="54"/>
        <v>32296</v>
      </c>
      <c r="E24" s="159">
        <f t="shared" si="55"/>
        <v>0.81582858558335403</v>
      </c>
      <c r="F24" s="87">
        <f t="shared" si="56"/>
        <v>26348</v>
      </c>
      <c r="G24" s="159">
        <f t="shared" si="57"/>
        <v>0.18417141441664603</v>
      </c>
      <c r="H24" s="146">
        <f t="shared" si="26"/>
        <v>5948</v>
      </c>
      <c r="I24" s="160">
        <f t="shared" si="58"/>
        <v>7.8693895997514335E-2</v>
      </c>
      <c r="J24" s="159">
        <f t="shared" si="59"/>
        <v>0.16648306640680169</v>
      </c>
      <c r="K24" s="159">
        <f t="shared" si="60"/>
        <v>0.16568174492317611</v>
      </c>
      <c r="L24" s="161">
        <f t="shared" si="61"/>
        <v>0.6241561449594667</v>
      </c>
      <c r="M24" s="146">
        <f t="shared" si="62"/>
        <v>2432.4283252831683</v>
      </c>
      <c r="N24" s="146">
        <f t="shared" si="63"/>
        <v>5145.9915826342403</v>
      </c>
      <c r="O24" s="146">
        <f t="shared" si="64"/>
        <v>5121.2227355753739</v>
      </c>
      <c r="P24" s="146">
        <f t="shared" si="65"/>
        <v>19292.666440697114</v>
      </c>
      <c r="Q24" s="56">
        <f t="shared" si="50"/>
        <v>45918</v>
      </c>
      <c r="R24" s="139">
        <v>32296</v>
      </c>
      <c r="S24" s="140">
        <v>0</v>
      </c>
      <c r="T24" s="140">
        <v>30910</v>
      </c>
      <c r="U24" s="140">
        <v>0</v>
      </c>
      <c r="V24" s="141">
        <v>8828</v>
      </c>
      <c r="W24" s="142">
        <v>0.63541666666666663</v>
      </c>
      <c r="X24" s="141">
        <v>2689</v>
      </c>
      <c r="Y24" s="142">
        <v>0.59375</v>
      </c>
      <c r="Z24" s="141">
        <v>0</v>
      </c>
      <c r="AA24" s="142">
        <v>0</v>
      </c>
      <c r="AB24" s="56">
        <f t="shared" si="51"/>
        <v>45918</v>
      </c>
      <c r="AC24" s="76">
        <f t="shared" si="66"/>
        <v>1</v>
      </c>
      <c r="AD24" s="162">
        <f t="shared" si="67"/>
        <v>0</v>
      </c>
      <c r="AE24" s="163">
        <v>2786</v>
      </c>
      <c r="AF24" s="118">
        <f t="shared" si="37"/>
        <v>2786</v>
      </c>
      <c r="AG24" s="147">
        <v>0</v>
      </c>
      <c r="AH24" s="148">
        <v>2734</v>
      </c>
      <c r="AI24" s="149">
        <v>0.61597222222222225</v>
      </c>
      <c r="AJ24" s="148">
        <v>0</v>
      </c>
      <c r="AK24" s="165">
        <v>0</v>
      </c>
      <c r="AL24" s="56">
        <f t="shared" si="38"/>
        <v>45918</v>
      </c>
      <c r="AM24" s="77">
        <f t="shared" si="68"/>
        <v>0.39497794367153038</v>
      </c>
      <c r="AN24" s="76">
        <f t="shared" si="69"/>
        <v>0.60502205632846962</v>
      </c>
      <c r="AO24" s="150">
        <v>5894</v>
      </c>
      <c r="AP24" s="117">
        <f t="shared" si="41"/>
        <v>2328</v>
      </c>
      <c r="AQ24" s="151">
        <v>3566</v>
      </c>
      <c r="AR24" s="152">
        <v>2776</v>
      </c>
      <c r="AS24" s="153">
        <v>0.51597222222222228</v>
      </c>
      <c r="AT24" s="152">
        <v>170</v>
      </c>
      <c r="AU24" s="154">
        <v>0.25</v>
      </c>
      <c r="AV24" s="56">
        <f t="shared" si="52"/>
        <v>45918</v>
      </c>
      <c r="AW24" s="110">
        <f t="shared" si="70"/>
        <v>0.48508430609597925</v>
      </c>
      <c r="AX24" s="110">
        <f t="shared" si="71"/>
        <v>0.5149156939040207</v>
      </c>
      <c r="AY24" s="111">
        <f t="shared" si="44"/>
        <v>4626</v>
      </c>
      <c r="AZ24" s="112">
        <v>4626</v>
      </c>
      <c r="BA24" s="120">
        <f t="shared" si="75"/>
        <v>2244</v>
      </c>
      <c r="BB24" s="113">
        <v>2382</v>
      </c>
      <c r="BC24" s="112">
        <v>2866</v>
      </c>
      <c r="BD24" s="114">
        <v>0.57291666666666663</v>
      </c>
      <c r="BE24" s="115">
        <v>0</v>
      </c>
      <c r="BF24" s="114">
        <v>0</v>
      </c>
      <c r="BG24" s="115">
        <v>146</v>
      </c>
      <c r="BH24" s="114">
        <v>0.88541666666666663</v>
      </c>
      <c r="BI24" s="56">
        <f t="shared" si="53"/>
        <v>45918</v>
      </c>
      <c r="BJ24" s="78">
        <f t="shared" si="72"/>
        <v>0.61343168755939725</v>
      </c>
      <c r="BK24" s="76">
        <f t="shared" si="73"/>
        <v>0.3865683124406028</v>
      </c>
      <c r="BL24" s="79">
        <f t="shared" si="74"/>
        <v>22097</v>
      </c>
      <c r="BM24" s="155">
        <v>13555</v>
      </c>
      <c r="BN24" s="155">
        <v>8542</v>
      </c>
      <c r="BO24" s="156">
        <v>3178</v>
      </c>
      <c r="BP24" s="157">
        <v>0.53333333333333333</v>
      </c>
      <c r="BQ24" s="158">
        <v>2103</v>
      </c>
      <c r="BR24" s="157">
        <v>0.53333333333333333</v>
      </c>
    </row>
    <row r="25" spans="1:70" ht="15.75" thickBot="1" x14ac:dyDescent="0.3">
      <c r="A25" s="14"/>
      <c r="B25" s="56">
        <f t="shared" si="49"/>
        <v>45919</v>
      </c>
      <c r="C25" s="164"/>
      <c r="D25" s="87">
        <f t="shared" ref="D25:D36" si="84">R25</f>
        <v>32538</v>
      </c>
      <c r="E25" s="159">
        <f t="shared" ref="E25:E36" si="85">F25/D25</f>
        <v>0.81502397197123366</v>
      </c>
      <c r="F25" s="87">
        <f t="shared" ref="F25:F36" si="86">D25-H25</f>
        <v>26519.25</v>
      </c>
      <c r="G25" s="159">
        <f t="shared" ref="G25:G36" si="87">H25/D25</f>
        <v>0.18497602802876636</v>
      </c>
      <c r="H25" s="146">
        <f t="shared" si="26"/>
        <v>6018.75</v>
      </c>
      <c r="I25" s="160">
        <f t="shared" ref="I25:I36" si="88">AE25/(AE25+AO25+BL25+AY25)</f>
        <v>8.1322360161807786E-2</v>
      </c>
      <c r="J25" s="159">
        <f t="shared" ref="J25:J36" si="89">AO25/(AE25+AO25+BL25+AY25)</f>
        <v>0.16780583065978519</v>
      </c>
      <c r="K25" s="159">
        <f t="shared" ref="K25:K36" si="90">AY25/(AF25+AP25+BM25+AZ25+AY25)</f>
        <v>0.16835843596959832</v>
      </c>
      <c r="L25" s="161">
        <f t="shared" ref="L25:L36" si="91">BL25/(AE25+AO25+BL25+AY25)</f>
        <v>0.61697586832194173</v>
      </c>
      <c r="M25" s="146">
        <f t="shared" ref="M25:M35" si="92">(S25+T25)*I25</f>
        <v>2531.321104756591</v>
      </c>
      <c r="N25" s="146">
        <f t="shared" ref="N25:N35" si="93">(S25+T25)*J25</f>
        <v>5223.2920909471331</v>
      </c>
      <c r="O25" s="146">
        <f t="shared" ref="O25:O35" si="94">(S25+T25)*K25</f>
        <v>5240.493036425687</v>
      </c>
      <c r="P25" s="146">
        <f t="shared" ref="P25:P35" si="95">(S25+T25)*L25</f>
        <v>19204.607853257079</v>
      </c>
      <c r="Q25" s="56">
        <f t="shared" si="50"/>
        <v>45919</v>
      </c>
      <c r="R25" s="139">
        <v>32538</v>
      </c>
      <c r="S25" s="140">
        <v>0</v>
      </c>
      <c r="T25" s="140">
        <v>31127</v>
      </c>
      <c r="U25" s="140">
        <v>0</v>
      </c>
      <c r="V25" s="141">
        <v>8781.84</v>
      </c>
      <c r="W25" s="142">
        <v>0.60416666666666663</v>
      </c>
      <c r="X25" s="141">
        <v>2742.61</v>
      </c>
      <c r="Y25" s="142">
        <v>0.625</v>
      </c>
      <c r="Z25" s="141">
        <v>0</v>
      </c>
      <c r="AA25" s="142">
        <v>0</v>
      </c>
      <c r="AB25" s="56">
        <f t="shared" si="51"/>
        <v>45919</v>
      </c>
      <c r="AC25" s="76">
        <f t="shared" ref="AC25:AC36" si="96">+AF25/AE25</f>
        <v>1</v>
      </c>
      <c r="AD25" s="162">
        <f t="shared" ref="AD25:AD36" si="97">+AG25/AE25</f>
        <v>0</v>
      </c>
      <c r="AE25" s="163">
        <v>2915</v>
      </c>
      <c r="AF25" s="118">
        <f t="shared" si="37"/>
        <v>2915</v>
      </c>
      <c r="AG25" s="147">
        <v>0</v>
      </c>
      <c r="AH25" s="148">
        <v>2258.79</v>
      </c>
      <c r="AI25" s="149">
        <v>0.56041666666666667</v>
      </c>
      <c r="AJ25" s="148">
        <v>0</v>
      </c>
      <c r="AK25" s="165">
        <v>0</v>
      </c>
      <c r="AL25" s="56">
        <f t="shared" si="38"/>
        <v>45919</v>
      </c>
      <c r="AM25" s="77">
        <f t="shared" ref="AM25:AM36" si="98">+AP25/AO25</f>
        <v>0.4027647547797174</v>
      </c>
      <c r="AN25" s="76">
        <f t="shared" ref="AN25:AN36" si="99">+AQ25/AO25</f>
        <v>0.5972352452202826</v>
      </c>
      <c r="AO25" s="150">
        <v>6015</v>
      </c>
      <c r="AP25" s="117">
        <f t="shared" si="41"/>
        <v>2422.63</v>
      </c>
      <c r="AQ25" s="151">
        <v>3592.37</v>
      </c>
      <c r="AR25" s="152">
        <v>2571.3000000000002</v>
      </c>
      <c r="AS25" s="153">
        <v>0.55763888888888891</v>
      </c>
      <c r="AT25" s="152">
        <v>170.59</v>
      </c>
      <c r="AU25" s="154">
        <v>0.29166666666666669</v>
      </c>
      <c r="AV25" s="56">
        <f t="shared" si="52"/>
        <v>45919</v>
      </c>
      <c r="AW25" s="110">
        <f t="shared" ref="AW25:AW36" si="100">BA25/AZ25</f>
        <v>0.49445150536514215</v>
      </c>
      <c r="AX25" s="110">
        <f t="shared" ref="AX25:AX36" si="101">BB25/AZ25</f>
        <v>0.50554849463485785</v>
      </c>
      <c r="AY25" s="111">
        <f t="shared" si="44"/>
        <v>4799.5</v>
      </c>
      <c r="AZ25" s="112">
        <v>4799.5</v>
      </c>
      <c r="BA25" s="120">
        <f t="shared" ref="BA25:BA36" si="102">AZ25-BB25</f>
        <v>2373.12</v>
      </c>
      <c r="BB25" s="113">
        <v>2426.38</v>
      </c>
      <c r="BC25" s="112">
        <v>2791</v>
      </c>
      <c r="BD25" s="114">
        <v>0.55208333333333337</v>
      </c>
      <c r="BE25" s="115">
        <v>0</v>
      </c>
      <c r="BF25" s="114">
        <v>0</v>
      </c>
      <c r="BG25" s="115">
        <v>151.31</v>
      </c>
      <c r="BH25" s="114">
        <v>0.875</v>
      </c>
      <c r="BI25" s="56">
        <f t="shared" si="53"/>
        <v>45919</v>
      </c>
      <c r="BJ25" s="78">
        <f t="shared" ref="BJ25:BJ36" si="103">+BM25/BL25</f>
        <v>0.61364201578078725</v>
      </c>
      <c r="BK25" s="76">
        <f t="shared" ref="BK25:BK36" si="104">+BN25/BL25</f>
        <v>0.38635798421921275</v>
      </c>
      <c r="BL25" s="79">
        <f t="shared" ref="BL25:BL36" si="105">BM25+BN25</f>
        <v>22115.5</v>
      </c>
      <c r="BM25" s="155">
        <v>13571</v>
      </c>
      <c r="BN25" s="155">
        <v>8544.5</v>
      </c>
      <c r="BO25" s="156">
        <v>3161</v>
      </c>
      <c r="BP25" s="157">
        <v>0.54791666666666672</v>
      </c>
      <c r="BQ25" s="158">
        <v>2074.0500000000002</v>
      </c>
      <c r="BR25" s="157">
        <v>0.54861111111111116</v>
      </c>
    </row>
    <row r="26" spans="1:70" ht="15.75" thickBot="1" x14ac:dyDescent="0.3">
      <c r="A26" s="14"/>
      <c r="B26" s="56">
        <f t="shared" si="49"/>
        <v>45920</v>
      </c>
      <c r="C26" s="164"/>
      <c r="D26" s="87">
        <f t="shared" si="84"/>
        <v>30580</v>
      </c>
      <c r="E26" s="159">
        <f t="shared" si="85"/>
        <v>0.80059025506867232</v>
      </c>
      <c r="F26" s="87">
        <f t="shared" si="86"/>
        <v>24482.05</v>
      </c>
      <c r="G26" s="159">
        <f t="shared" si="87"/>
        <v>0.19940974493132765</v>
      </c>
      <c r="H26" s="146">
        <f t="shared" si="26"/>
        <v>6097.95</v>
      </c>
      <c r="I26" s="160">
        <f t="shared" si="88"/>
        <v>6.8114591055555965E-2</v>
      </c>
      <c r="J26" s="159">
        <f t="shared" si="89"/>
        <v>0.16028948701198611</v>
      </c>
      <c r="K26" s="159">
        <f t="shared" si="90"/>
        <v>0.16104790540349612</v>
      </c>
      <c r="L26" s="161">
        <f t="shared" si="91"/>
        <v>0.64777122892521344</v>
      </c>
      <c r="M26" s="146">
        <f t="shared" si="92"/>
        <v>1997.8690702505121</v>
      </c>
      <c r="N26" s="146">
        <f t="shared" si="93"/>
        <v>4701.4509435485643</v>
      </c>
      <c r="O26" s="146">
        <f t="shared" si="94"/>
        <v>4723.6961133899449</v>
      </c>
      <c r="P26" s="146">
        <f t="shared" si="95"/>
        <v>18999.777915605435</v>
      </c>
      <c r="Q26" s="56">
        <f t="shared" si="50"/>
        <v>45920</v>
      </c>
      <c r="R26" s="139">
        <v>30580</v>
      </c>
      <c r="S26" s="140">
        <v>0</v>
      </c>
      <c r="T26" s="140">
        <v>29331</v>
      </c>
      <c r="U26" s="140">
        <v>0</v>
      </c>
      <c r="V26" s="141">
        <v>5897.4</v>
      </c>
      <c r="W26" s="142">
        <v>0.97916666666666663</v>
      </c>
      <c r="X26" s="141">
        <v>1972</v>
      </c>
      <c r="Y26" s="142">
        <v>0.40625</v>
      </c>
      <c r="Z26" s="141">
        <v>0</v>
      </c>
      <c r="AA26" s="142">
        <v>0</v>
      </c>
      <c r="AB26" s="56">
        <f t="shared" si="51"/>
        <v>45920</v>
      </c>
      <c r="AC26" s="76">
        <f t="shared" si="96"/>
        <v>1</v>
      </c>
      <c r="AD26" s="162">
        <f t="shared" si="97"/>
        <v>0</v>
      </c>
      <c r="AE26" s="163">
        <v>2320</v>
      </c>
      <c r="AF26" s="118">
        <f t="shared" si="37"/>
        <v>2320</v>
      </c>
      <c r="AG26" s="147">
        <v>0</v>
      </c>
      <c r="AH26" s="148">
        <v>1725.3</v>
      </c>
      <c r="AI26" s="149">
        <v>0.94444444444444442</v>
      </c>
      <c r="AJ26" s="148">
        <v>0</v>
      </c>
      <c r="AK26" s="165">
        <v>0</v>
      </c>
      <c r="AL26" s="56">
        <f t="shared" si="38"/>
        <v>45920</v>
      </c>
      <c r="AM26" s="77">
        <f t="shared" si="98"/>
        <v>0.33571938822236469</v>
      </c>
      <c r="AN26" s="76">
        <f t="shared" si="99"/>
        <v>0.66428061177763531</v>
      </c>
      <c r="AO26" s="150">
        <v>5459.5</v>
      </c>
      <c r="AP26" s="117">
        <f t="shared" si="41"/>
        <v>1832.8600000000001</v>
      </c>
      <c r="AQ26" s="151">
        <v>3626.64</v>
      </c>
      <c r="AR26" s="152">
        <v>1723.45</v>
      </c>
      <c r="AS26" s="153">
        <v>0.94097222222222221</v>
      </c>
      <c r="AT26" s="152">
        <v>173.78</v>
      </c>
      <c r="AU26" s="154">
        <v>0.29166666666666669</v>
      </c>
      <c r="AV26" s="56">
        <f t="shared" si="52"/>
        <v>45920</v>
      </c>
      <c r="AW26" s="110">
        <f t="shared" si="100"/>
        <v>0.41403438055720215</v>
      </c>
      <c r="AX26" s="110">
        <f t="shared" si="101"/>
        <v>0.5859656194427979</v>
      </c>
      <c r="AY26" s="111">
        <f t="shared" si="44"/>
        <v>4217.5</v>
      </c>
      <c r="AZ26" s="112">
        <v>4217.5</v>
      </c>
      <c r="BA26" s="120">
        <f t="shared" si="102"/>
        <v>1746.19</v>
      </c>
      <c r="BB26" s="113">
        <v>2471.31</v>
      </c>
      <c r="BC26" s="112">
        <v>1352.73</v>
      </c>
      <c r="BD26" s="114">
        <v>0.86458333333333337</v>
      </c>
      <c r="BE26" s="115">
        <v>0</v>
      </c>
      <c r="BF26" s="114">
        <v>0</v>
      </c>
      <c r="BG26" s="115">
        <v>143.11000000000001</v>
      </c>
      <c r="BH26" s="114">
        <v>0.83333333333333337</v>
      </c>
      <c r="BI26" s="56">
        <f t="shared" si="53"/>
        <v>45920</v>
      </c>
      <c r="BJ26" s="78">
        <f t="shared" si="103"/>
        <v>0.61640964046547997</v>
      </c>
      <c r="BK26" s="76">
        <f t="shared" si="104"/>
        <v>0.38359035953452009</v>
      </c>
      <c r="BL26" s="79">
        <f t="shared" si="105"/>
        <v>22063.25</v>
      </c>
      <c r="BM26" s="155">
        <v>13600</v>
      </c>
      <c r="BN26" s="155">
        <v>8463.25</v>
      </c>
      <c r="BO26" s="156">
        <v>2466.9</v>
      </c>
      <c r="BP26" s="157">
        <v>0.85972222222222228</v>
      </c>
      <c r="BQ26" s="158">
        <v>1608.83</v>
      </c>
      <c r="BR26" s="157">
        <v>0.85972222222222228</v>
      </c>
    </row>
    <row r="27" spans="1:70" ht="15.75" thickBot="1" x14ac:dyDescent="0.3">
      <c r="A27" s="14"/>
      <c r="B27" s="56">
        <f t="shared" si="49"/>
        <v>45921</v>
      </c>
      <c r="C27" s="164"/>
      <c r="D27" s="87">
        <f t="shared" si="84"/>
        <v>28584</v>
      </c>
      <c r="E27" s="159">
        <f t="shared" si="85"/>
        <v>0.79135180520570947</v>
      </c>
      <c r="F27" s="87">
        <f t="shared" si="86"/>
        <v>22620</v>
      </c>
      <c r="G27" s="159">
        <f t="shared" si="87"/>
        <v>0.2086481947942905</v>
      </c>
      <c r="H27" s="146">
        <f t="shared" si="26"/>
        <v>5964</v>
      </c>
      <c r="I27" s="160">
        <f t="shared" si="88"/>
        <v>6.3987763296262073E-2</v>
      </c>
      <c r="J27" s="159">
        <f t="shared" si="89"/>
        <v>0.16637455785347821</v>
      </c>
      <c r="K27" s="159">
        <f t="shared" si="90"/>
        <v>0.17048775468203334</v>
      </c>
      <c r="L27" s="161">
        <f t="shared" si="91"/>
        <v>0.63764698384372709</v>
      </c>
      <c r="M27" s="146">
        <f t="shared" si="92"/>
        <v>1743.1546477167715</v>
      </c>
      <c r="N27" s="146">
        <f t="shared" si="93"/>
        <v>4532.3757050444538</v>
      </c>
      <c r="O27" s="146">
        <f t="shared" si="94"/>
        <v>4644.4274130479525</v>
      </c>
      <c r="P27" s="146">
        <f t="shared" si="95"/>
        <v>17370.779133870812</v>
      </c>
      <c r="Q27" s="56">
        <f t="shared" si="50"/>
        <v>45921</v>
      </c>
      <c r="R27" s="139">
        <v>28584</v>
      </c>
      <c r="S27" s="140">
        <v>0</v>
      </c>
      <c r="T27" s="140">
        <v>27242</v>
      </c>
      <c r="U27" s="140">
        <v>0</v>
      </c>
      <c r="V27" s="141">
        <v>8142</v>
      </c>
      <c r="W27" s="142">
        <v>0.90625</v>
      </c>
      <c r="X27" s="141">
        <v>2048</v>
      </c>
      <c r="Y27" s="142">
        <v>0.94791666666666663</v>
      </c>
      <c r="Z27" s="141">
        <v>0</v>
      </c>
      <c r="AA27" s="142">
        <v>0</v>
      </c>
      <c r="AB27" s="56">
        <f t="shared" si="51"/>
        <v>45921</v>
      </c>
      <c r="AC27" s="76">
        <f t="shared" si="96"/>
        <v>1</v>
      </c>
      <c r="AD27" s="162">
        <f t="shared" si="97"/>
        <v>0</v>
      </c>
      <c r="AE27" s="163">
        <v>2008</v>
      </c>
      <c r="AF27" s="118">
        <f t="shared" si="37"/>
        <v>2008</v>
      </c>
      <c r="AG27" s="147">
        <v>0</v>
      </c>
      <c r="AH27" s="148">
        <v>2088</v>
      </c>
      <c r="AI27" s="149">
        <v>0.8930555555555556</v>
      </c>
      <c r="AJ27" s="148">
        <v>0</v>
      </c>
      <c r="AK27" s="165">
        <v>0</v>
      </c>
      <c r="AL27" s="56">
        <f t="shared" si="38"/>
        <v>45921</v>
      </c>
      <c r="AM27" s="77">
        <f t="shared" si="98"/>
        <v>0.32388431334993295</v>
      </c>
      <c r="AN27" s="76">
        <f t="shared" si="99"/>
        <v>0.67611568665006705</v>
      </c>
      <c r="AO27" s="150">
        <v>5221</v>
      </c>
      <c r="AP27" s="117">
        <f t="shared" si="41"/>
        <v>1691</v>
      </c>
      <c r="AQ27" s="151">
        <v>3530</v>
      </c>
      <c r="AR27" s="152">
        <v>2501</v>
      </c>
      <c r="AS27" s="153">
        <v>0.85902777777777772</v>
      </c>
      <c r="AT27" s="152">
        <v>170</v>
      </c>
      <c r="AU27" s="154">
        <v>0.86458333333333337</v>
      </c>
      <c r="AV27" s="56">
        <f t="shared" si="52"/>
        <v>45921</v>
      </c>
      <c r="AW27" s="110">
        <f t="shared" si="100"/>
        <v>0.41236117817479478</v>
      </c>
      <c r="AX27" s="110">
        <f t="shared" si="101"/>
        <v>0.58763882182520522</v>
      </c>
      <c r="AY27" s="111">
        <f t="shared" si="44"/>
        <v>4142</v>
      </c>
      <c r="AZ27" s="112">
        <v>4142</v>
      </c>
      <c r="BA27" s="120">
        <f t="shared" si="102"/>
        <v>1708</v>
      </c>
      <c r="BB27" s="113">
        <v>2434</v>
      </c>
      <c r="BC27" s="112">
        <v>1939</v>
      </c>
      <c r="BD27" s="114">
        <v>0.89583333333333337</v>
      </c>
      <c r="BE27" s="115">
        <v>0</v>
      </c>
      <c r="BF27" s="114">
        <v>0</v>
      </c>
      <c r="BG27" s="115">
        <v>142</v>
      </c>
      <c r="BH27" s="114">
        <v>0.90625</v>
      </c>
      <c r="BI27" s="56">
        <f t="shared" si="53"/>
        <v>45921</v>
      </c>
      <c r="BJ27" s="78">
        <f t="shared" si="103"/>
        <v>0.61529235382308844</v>
      </c>
      <c r="BK27" s="76">
        <f t="shared" si="104"/>
        <v>0.38470764617691156</v>
      </c>
      <c r="BL27" s="79">
        <f t="shared" si="105"/>
        <v>20010</v>
      </c>
      <c r="BM27" s="155">
        <v>12312</v>
      </c>
      <c r="BN27" s="155">
        <v>7698</v>
      </c>
      <c r="BO27" s="156">
        <v>2854</v>
      </c>
      <c r="BP27" s="157">
        <v>0.41319444444444442</v>
      </c>
      <c r="BQ27" s="158">
        <v>1858</v>
      </c>
      <c r="BR27" s="157">
        <v>0.41319444444444442</v>
      </c>
    </row>
    <row r="28" spans="1:70" ht="15.75" thickBot="1" x14ac:dyDescent="0.3">
      <c r="A28" s="14"/>
      <c r="B28" s="56">
        <f t="shared" si="49"/>
        <v>45922</v>
      </c>
      <c r="C28" s="164"/>
      <c r="D28" s="87">
        <f t="shared" si="84"/>
        <v>53760</v>
      </c>
      <c r="E28" s="159">
        <f t="shared" si="85"/>
        <v>0.8842075892857143</v>
      </c>
      <c r="F28" s="87">
        <f t="shared" si="86"/>
        <v>47535</v>
      </c>
      <c r="G28" s="159">
        <f t="shared" si="87"/>
        <v>0.11579241071428571</v>
      </c>
      <c r="H28" s="146">
        <f t="shared" si="26"/>
        <v>6225</v>
      </c>
      <c r="I28" s="160">
        <f t="shared" si="88"/>
        <v>0.12022312302948411</v>
      </c>
      <c r="J28" s="159">
        <f t="shared" si="89"/>
        <v>0.14613865502546514</v>
      </c>
      <c r="K28" s="159">
        <f t="shared" si="90"/>
        <v>0.16806722689075632</v>
      </c>
      <c r="L28" s="161">
        <f t="shared" si="91"/>
        <v>0.59020198870526275</v>
      </c>
      <c r="M28" s="146">
        <f t="shared" si="92"/>
        <v>6287.6693344420191</v>
      </c>
      <c r="N28" s="146">
        <f t="shared" si="93"/>
        <v>7643.0516578318266</v>
      </c>
      <c r="O28" s="146">
        <f t="shared" si="94"/>
        <v>8789.9159663865557</v>
      </c>
      <c r="P28" s="146">
        <f t="shared" si="95"/>
        <v>30867.564009285241</v>
      </c>
      <c r="Q28" s="56">
        <f t="shared" si="50"/>
        <v>45922</v>
      </c>
      <c r="R28" s="139">
        <v>53760</v>
      </c>
      <c r="S28" s="140">
        <v>0</v>
      </c>
      <c r="T28" s="140">
        <v>52300</v>
      </c>
      <c r="U28" s="140">
        <v>0</v>
      </c>
      <c r="V28" s="141">
        <v>12610</v>
      </c>
      <c r="W28" s="142">
        <v>0.875</v>
      </c>
      <c r="X28" s="141">
        <v>4350</v>
      </c>
      <c r="Y28" s="142">
        <v>0.77083333333333337</v>
      </c>
      <c r="Z28" s="141">
        <v>0</v>
      </c>
      <c r="AA28" s="142">
        <v>0</v>
      </c>
      <c r="AB28" s="56">
        <f t="shared" si="51"/>
        <v>45922</v>
      </c>
      <c r="AC28" s="76">
        <f t="shared" si="96"/>
        <v>1</v>
      </c>
      <c r="AD28" s="162">
        <f t="shared" si="97"/>
        <v>0</v>
      </c>
      <c r="AE28" s="163">
        <v>6940</v>
      </c>
      <c r="AF28" s="118">
        <f t="shared" si="37"/>
        <v>6940</v>
      </c>
      <c r="AG28" s="147">
        <v>0</v>
      </c>
      <c r="AH28" s="148">
        <v>3405</v>
      </c>
      <c r="AI28" s="149">
        <v>0.66666666666666663</v>
      </c>
      <c r="AJ28" s="148">
        <v>0</v>
      </c>
      <c r="AK28" s="165">
        <v>0</v>
      </c>
      <c r="AL28" s="56">
        <f t="shared" si="38"/>
        <v>45922</v>
      </c>
      <c r="AM28" s="77">
        <f t="shared" si="98"/>
        <v>0.56733048838311995</v>
      </c>
      <c r="AN28" s="76">
        <f t="shared" si="99"/>
        <v>0.43266951161688005</v>
      </c>
      <c r="AO28" s="150">
        <v>8436</v>
      </c>
      <c r="AP28" s="117">
        <f t="shared" si="41"/>
        <v>4786</v>
      </c>
      <c r="AQ28" s="151">
        <v>3650</v>
      </c>
      <c r="AR28" s="152">
        <v>3385</v>
      </c>
      <c r="AS28" s="153">
        <v>0.71875</v>
      </c>
      <c r="AT28" s="152">
        <v>172</v>
      </c>
      <c r="AU28" s="154">
        <v>0.875</v>
      </c>
      <c r="AV28" s="56">
        <f t="shared" si="52"/>
        <v>45922</v>
      </c>
      <c r="AW28" s="110">
        <f t="shared" si="100"/>
        <v>0.68900966183574874</v>
      </c>
      <c r="AX28" s="110">
        <f t="shared" si="101"/>
        <v>0.3109903381642512</v>
      </c>
      <c r="AY28" s="111">
        <f t="shared" si="44"/>
        <v>8280</v>
      </c>
      <c r="AZ28" s="112">
        <v>8280</v>
      </c>
      <c r="BA28" s="120">
        <f t="shared" si="102"/>
        <v>5705</v>
      </c>
      <c r="BB28" s="113">
        <v>2575</v>
      </c>
      <c r="BC28" s="112">
        <v>3887</v>
      </c>
      <c r="BD28" s="114">
        <v>0.85416666666666663</v>
      </c>
      <c r="BE28" s="115">
        <v>0</v>
      </c>
      <c r="BF28" s="114">
        <v>0</v>
      </c>
      <c r="BG28" s="115">
        <v>151</v>
      </c>
      <c r="BH28" s="114">
        <v>0.875</v>
      </c>
      <c r="BI28" s="56">
        <f t="shared" si="53"/>
        <v>45922</v>
      </c>
      <c r="BJ28" s="78">
        <f t="shared" si="103"/>
        <v>0.61579101849134132</v>
      </c>
      <c r="BK28" s="76">
        <f t="shared" si="104"/>
        <v>0.38420898150865862</v>
      </c>
      <c r="BL28" s="79">
        <f t="shared" si="105"/>
        <v>34070</v>
      </c>
      <c r="BM28" s="155">
        <v>20980</v>
      </c>
      <c r="BN28" s="155">
        <v>13090</v>
      </c>
      <c r="BO28" s="156">
        <v>4576</v>
      </c>
      <c r="BP28" s="157">
        <v>0.70902777777777781</v>
      </c>
      <c r="BQ28" s="158">
        <v>3021</v>
      </c>
      <c r="BR28" s="157">
        <v>0.70902777777777781</v>
      </c>
    </row>
    <row r="29" spans="1:70" ht="15.75" thickBot="1" x14ac:dyDescent="0.3">
      <c r="A29" s="14"/>
      <c r="B29" s="56">
        <f t="shared" si="49"/>
        <v>45923</v>
      </c>
      <c r="C29" s="164"/>
      <c r="D29" s="87">
        <f t="shared" si="84"/>
        <v>53850</v>
      </c>
      <c r="E29" s="159">
        <f t="shared" si="85"/>
        <v>0.88375116063138348</v>
      </c>
      <c r="F29" s="87">
        <f t="shared" si="86"/>
        <v>47590</v>
      </c>
      <c r="G29" s="159">
        <f t="shared" si="87"/>
        <v>0.11624883936861653</v>
      </c>
      <c r="H29" s="146">
        <f t="shared" si="26"/>
        <v>6260</v>
      </c>
      <c r="I29" s="160">
        <f t="shared" si="88"/>
        <v>0.11910457963089542</v>
      </c>
      <c r="J29" s="159">
        <f t="shared" si="89"/>
        <v>0.15293916609706085</v>
      </c>
      <c r="K29" s="159">
        <f t="shared" si="90"/>
        <v>0.16700000000000001</v>
      </c>
      <c r="L29" s="161">
        <f t="shared" si="91"/>
        <v>0.58526999316473005</v>
      </c>
      <c r="M29" s="146">
        <f t="shared" si="92"/>
        <v>6180.3366370471631</v>
      </c>
      <c r="N29" s="146">
        <f t="shared" si="93"/>
        <v>7936.0133287764875</v>
      </c>
      <c r="O29" s="146">
        <f t="shared" si="94"/>
        <v>8665.630000000001</v>
      </c>
      <c r="P29" s="146">
        <f t="shared" si="95"/>
        <v>30369.659945317842</v>
      </c>
      <c r="Q29" s="56">
        <f t="shared" si="50"/>
        <v>45923</v>
      </c>
      <c r="R29" s="139">
        <v>53850</v>
      </c>
      <c r="S29" s="140">
        <v>0</v>
      </c>
      <c r="T29" s="140">
        <v>51890</v>
      </c>
      <c r="U29" s="140">
        <v>0</v>
      </c>
      <c r="V29" s="141">
        <v>12650</v>
      </c>
      <c r="W29" s="142">
        <v>0.85416666666666663</v>
      </c>
      <c r="X29" s="141">
        <v>4390</v>
      </c>
      <c r="Y29" s="142">
        <v>0.73958333333333337</v>
      </c>
      <c r="Z29" s="141">
        <v>0</v>
      </c>
      <c r="AA29" s="142">
        <v>0</v>
      </c>
      <c r="AB29" s="56">
        <f t="shared" si="51"/>
        <v>45923</v>
      </c>
      <c r="AC29" s="76">
        <f t="shared" si="96"/>
        <v>1</v>
      </c>
      <c r="AD29" s="162">
        <f t="shared" si="97"/>
        <v>0</v>
      </c>
      <c r="AE29" s="163">
        <v>6970</v>
      </c>
      <c r="AF29" s="118">
        <f t="shared" si="37"/>
        <v>6970</v>
      </c>
      <c r="AG29" s="147">
        <v>0</v>
      </c>
      <c r="AH29" s="148">
        <v>3605</v>
      </c>
      <c r="AI29" s="149">
        <v>0.72916666666666663</v>
      </c>
      <c r="AJ29" s="148">
        <v>0</v>
      </c>
      <c r="AK29" s="165">
        <v>0</v>
      </c>
      <c r="AL29" s="56">
        <f t="shared" si="38"/>
        <v>45923</v>
      </c>
      <c r="AM29" s="77">
        <f t="shared" si="98"/>
        <v>0.58994413407821233</v>
      </c>
      <c r="AN29" s="76">
        <f t="shared" si="99"/>
        <v>0.41005586592178772</v>
      </c>
      <c r="AO29" s="150">
        <v>8950</v>
      </c>
      <c r="AP29" s="117">
        <f t="shared" si="41"/>
        <v>5280</v>
      </c>
      <c r="AQ29" s="151">
        <v>3670</v>
      </c>
      <c r="AR29" s="152">
        <v>3520</v>
      </c>
      <c r="AS29" s="153">
        <v>0.77083333333333337</v>
      </c>
      <c r="AT29" s="152">
        <v>173</v>
      </c>
      <c r="AU29" s="154">
        <v>0.85416666666666663</v>
      </c>
      <c r="AV29" s="56">
        <f t="shared" si="52"/>
        <v>45923</v>
      </c>
      <c r="AW29" s="110">
        <f t="shared" si="100"/>
        <v>0.68982035928143715</v>
      </c>
      <c r="AX29" s="110">
        <f t="shared" si="101"/>
        <v>0.31017964071856285</v>
      </c>
      <c r="AY29" s="111">
        <f t="shared" si="44"/>
        <v>8350</v>
      </c>
      <c r="AZ29" s="112">
        <v>8350</v>
      </c>
      <c r="BA29" s="120">
        <f t="shared" si="102"/>
        <v>5760</v>
      </c>
      <c r="BB29" s="182">
        <v>2590</v>
      </c>
      <c r="BC29" s="112">
        <v>3895</v>
      </c>
      <c r="BD29" s="114">
        <v>0.875</v>
      </c>
      <c r="BE29" s="115">
        <v>0</v>
      </c>
      <c r="BF29" s="114">
        <v>0</v>
      </c>
      <c r="BG29" s="115">
        <v>152</v>
      </c>
      <c r="BH29" s="114">
        <v>0.85416666666666663</v>
      </c>
      <c r="BI29" s="56">
        <f t="shared" si="53"/>
        <v>45923</v>
      </c>
      <c r="BJ29" s="78">
        <f t="shared" si="103"/>
        <v>0.61459854014598536</v>
      </c>
      <c r="BK29" s="76">
        <f t="shared" si="104"/>
        <v>0.38540145985401458</v>
      </c>
      <c r="BL29" s="79">
        <f t="shared" si="105"/>
        <v>34250</v>
      </c>
      <c r="BM29" s="155">
        <v>21050</v>
      </c>
      <c r="BN29" s="155">
        <v>13200</v>
      </c>
      <c r="BO29" s="156">
        <v>4680</v>
      </c>
      <c r="BP29" s="157">
        <v>0.77083333333333337</v>
      </c>
      <c r="BQ29" s="158">
        <v>3020</v>
      </c>
      <c r="BR29" s="157">
        <v>0.75</v>
      </c>
    </row>
    <row r="30" spans="1:70" ht="15.75" thickBot="1" x14ac:dyDescent="0.3">
      <c r="A30" s="14"/>
      <c r="B30" s="56">
        <f t="shared" si="49"/>
        <v>45924</v>
      </c>
      <c r="C30" s="164"/>
      <c r="D30" s="87">
        <f t="shared" si="84"/>
        <v>54078</v>
      </c>
      <c r="E30" s="159">
        <f t="shared" si="85"/>
        <v>0.8807648211842154</v>
      </c>
      <c r="F30" s="87">
        <f t="shared" si="86"/>
        <v>47630</v>
      </c>
      <c r="G30" s="159">
        <f t="shared" si="87"/>
        <v>0.1192351788157846</v>
      </c>
      <c r="H30" s="146">
        <f t="shared" si="26"/>
        <v>6448</v>
      </c>
      <c r="I30" s="160">
        <f t="shared" si="88"/>
        <v>0.11808179227149201</v>
      </c>
      <c r="J30" s="159">
        <f t="shared" si="89"/>
        <v>0.15546496984158548</v>
      </c>
      <c r="K30" s="159">
        <f t="shared" si="90"/>
        <v>0.16472005752375771</v>
      </c>
      <c r="L30" s="161">
        <f t="shared" si="91"/>
        <v>0.58600119308013521</v>
      </c>
      <c r="M30" s="146">
        <f t="shared" si="92"/>
        <v>6241.9216212633391</v>
      </c>
      <c r="N30" s="146">
        <f t="shared" si="93"/>
        <v>8218.0337707960498</v>
      </c>
      <c r="O30" s="146">
        <f t="shared" si="94"/>
        <v>8707.2669607633561</v>
      </c>
      <c r="P30" s="146">
        <f t="shared" si="95"/>
        <v>30976.609067409026</v>
      </c>
      <c r="Q30" s="56">
        <f t="shared" si="50"/>
        <v>45924</v>
      </c>
      <c r="R30" s="139">
        <v>54078</v>
      </c>
      <c r="S30" s="140">
        <v>0</v>
      </c>
      <c r="T30" s="140">
        <v>52861</v>
      </c>
      <c r="U30" s="140">
        <v>0</v>
      </c>
      <c r="V30" s="141">
        <v>13118</v>
      </c>
      <c r="W30" s="142">
        <v>0.38541666666666669</v>
      </c>
      <c r="X30" s="141">
        <v>4460</v>
      </c>
      <c r="Y30" s="142">
        <v>0.82291666666666663</v>
      </c>
      <c r="Z30" s="141">
        <v>0</v>
      </c>
      <c r="AA30" s="142">
        <v>0</v>
      </c>
      <c r="AB30" s="56">
        <f t="shared" si="51"/>
        <v>45924</v>
      </c>
      <c r="AC30" s="76">
        <f t="shared" si="96"/>
        <v>1</v>
      </c>
      <c r="AD30" s="162">
        <f t="shared" si="97"/>
        <v>0</v>
      </c>
      <c r="AE30" s="163">
        <v>7126</v>
      </c>
      <c r="AF30" s="118">
        <f t="shared" si="37"/>
        <v>7126</v>
      </c>
      <c r="AG30" s="147">
        <v>0</v>
      </c>
      <c r="AH30" s="148">
        <v>3664</v>
      </c>
      <c r="AI30" s="149">
        <v>0.35902777777777778</v>
      </c>
      <c r="AJ30" s="148">
        <v>0</v>
      </c>
      <c r="AK30" s="165">
        <v>0</v>
      </c>
      <c r="AL30" s="56">
        <f t="shared" si="38"/>
        <v>45924</v>
      </c>
      <c r="AM30" s="77">
        <f t="shared" si="98"/>
        <v>0.60104455340012786</v>
      </c>
      <c r="AN30" s="76">
        <f t="shared" si="99"/>
        <v>0.39895544659987209</v>
      </c>
      <c r="AO30" s="150">
        <v>9382</v>
      </c>
      <c r="AP30" s="117">
        <f t="shared" si="41"/>
        <v>5639</v>
      </c>
      <c r="AQ30" s="151">
        <v>3743</v>
      </c>
      <c r="AR30" s="152">
        <v>3339</v>
      </c>
      <c r="AS30" s="153">
        <v>0.34305555555555556</v>
      </c>
      <c r="AT30" s="152">
        <v>184</v>
      </c>
      <c r="AU30" s="154">
        <v>0.30208333333333331</v>
      </c>
      <c r="AV30" s="56">
        <f t="shared" si="52"/>
        <v>45924</v>
      </c>
      <c r="AW30" s="110">
        <f t="shared" si="100"/>
        <v>0.68086361491269465</v>
      </c>
      <c r="AX30" s="110">
        <f t="shared" si="101"/>
        <v>0.31913638508730535</v>
      </c>
      <c r="AY30" s="111">
        <f t="shared" si="44"/>
        <v>8476</v>
      </c>
      <c r="AZ30" s="112">
        <v>8476</v>
      </c>
      <c r="BA30" s="120">
        <f t="shared" si="102"/>
        <v>5771</v>
      </c>
      <c r="BB30" s="113">
        <f>1123+1582</f>
        <v>2705</v>
      </c>
      <c r="BC30" s="112">
        <v>3837</v>
      </c>
      <c r="BD30" s="114">
        <v>0.73958333333333337</v>
      </c>
      <c r="BE30" s="115">
        <v>0</v>
      </c>
      <c r="BF30" s="114">
        <v>0</v>
      </c>
      <c r="BG30" s="115">
        <v>146</v>
      </c>
      <c r="BH30" s="114">
        <v>0.86458333333333337</v>
      </c>
      <c r="BI30" s="56">
        <f t="shared" si="53"/>
        <v>45924</v>
      </c>
      <c r="BJ30" s="78">
        <f t="shared" si="103"/>
        <v>0.61474946273046038</v>
      </c>
      <c r="BK30" s="76">
        <f t="shared" si="104"/>
        <v>0.38525053726953967</v>
      </c>
      <c r="BL30" s="79">
        <f t="shared" si="105"/>
        <v>35364</v>
      </c>
      <c r="BM30" s="155">
        <v>21740</v>
      </c>
      <c r="BN30" s="155">
        <v>13624</v>
      </c>
      <c r="BO30" s="156">
        <v>4096</v>
      </c>
      <c r="BP30" s="157">
        <v>0.76041666666666663</v>
      </c>
      <c r="BQ30" s="158">
        <v>2700</v>
      </c>
      <c r="BR30" s="157">
        <v>0.76041666666666663</v>
      </c>
    </row>
    <row r="31" spans="1:70" ht="15.75" thickBot="1" x14ac:dyDescent="0.3">
      <c r="A31" s="14"/>
      <c r="B31" s="56">
        <f t="shared" si="49"/>
        <v>45925</v>
      </c>
      <c r="C31" s="164"/>
      <c r="D31" s="87">
        <f t="shared" si="84"/>
        <v>51850</v>
      </c>
      <c r="E31" s="159">
        <f t="shared" si="85"/>
        <v>0.87767309546769523</v>
      </c>
      <c r="F31" s="87">
        <f t="shared" si="86"/>
        <v>45507.35</v>
      </c>
      <c r="G31" s="159">
        <f t="shared" si="87"/>
        <v>0.12232690453230471</v>
      </c>
      <c r="H31" s="146">
        <f t="shared" si="26"/>
        <v>6342.65</v>
      </c>
      <c r="I31" s="160">
        <f t="shared" si="88"/>
        <v>0.11637850416476371</v>
      </c>
      <c r="J31" s="159">
        <f t="shared" si="89"/>
        <v>0.16158848219916921</v>
      </c>
      <c r="K31" s="159">
        <f t="shared" si="90"/>
        <v>0.16460388870653203</v>
      </c>
      <c r="L31" s="161">
        <f t="shared" si="91"/>
        <v>0.58261020856440704</v>
      </c>
      <c r="M31" s="146">
        <f t="shared" si="92"/>
        <v>5879.4420304038622</v>
      </c>
      <c r="N31" s="146">
        <f t="shared" si="93"/>
        <v>8163.4501207020285</v>
      </c>
      <c r="O31" s="146">
        <f t="shared" si="94"/>
        <v>8315.7884574539985</v>
      </c>
      <c r="P31" s="146">
        <f t="shared" si="95"/>
        <v>29433.467736673843</v>
      </c>
      <c r="Q31" s="56">
        <f t="shared" si="50"/>
        <v>45925</v>
      </c>
      <c r="R31" s="139">
        <v>51850</v>
      </c>
      <c r="S31" s="140">
        <v>0</v>
      </c>
      <c r="T31" s="140">
        <v>50520</v>
      </c>
      <c r="U31" s="140">
        <v>0</v>
      </c>
      <c r="V31" s="141">
        <v>15056.91</v>
      </c>
      <c r="W31" s="142">
        <v>0.40625</v>
      </c>
      <c r="X31" s="141">
        <v>4419.42</v>
      </c>
      <c r="Y31" s="142">
        <v>0.40625</v>
      </c>
      <c r="Z31" s="141">
        <v>0</v>
      </c>
      <c r="AA31" s="142">
        <v>0</v>
      </c>
      <c r="AB31" s="56">
        <f t="shared" si="51"/>
        <v>45925</v>
      </c>
      <c r="AC31" s="76">
        <f t="shared" si="96"/>
        <v>1</v>
      </c>
      <c r="AD31" s="162">
        <f t="shared" si="97"/>
        <v>0</v>
      </c>
      <c r="AE31" s="163">
        <v>6689</v>
      </c>
      <c r="AF31" s="118">
        <f t="shared" si="37"/>
        <v>6689</v>
      </c>
      <c r="AG31" s="147">
        <v>0</v>
      </c>
      <c r="AH31" s="148">
        <v>3663.4</v>
      </c>
      <c r="AI31" s="149">
        <v>0.76875000000000004</v>
      </c>
      <c r="AJ31" s="148">
        <v>0</v>
      </c>
      <c r="AK31" s="165">
        <v>0</v>
      </c>
      <c r="AL31" s="56">
        <f t="shared" si="38"/>
        <v>45925</v>
      </c>
      <c r="AM31" s="77">
        <f t="shared" si="98"/>
        <v>0.58966783310901749</v>
      </c>
      <c r="AN31" s="76">
        <f t="shared" si="99"/>
        <v>0.41033216689098251</v>
      </c>
      <c r="AO31" s="150">
        <v>9287.5</v>
      </c>
      <c r="AP31" s="117">
        <f t="shared" si="41"/>
        <v>5476.54</v>
      </c>
      <c r="AQ31" s="151">
        <v>3810.96</v>
      </c>
      <c r="AR31" s="152">
        <v>4185</v>
      </c>
      <c r="AS31" s="153">
        <v>0.35625000000000001</v>
      </c>
      <c r="AT31" s="152">
        <v>189.64</v>
      </c>
      <c r="AU31" s="154">
        <v>0.8125</v>
      </c>
      <c r="AV31" s="56">
        <f t="shared" si="52"/>
        <v>45925</v>
      </c>
      <c r="AW31" s="110">
        <f t="shared" si="100"/>
        <v>0.68407187870468578</v>
      </c>
      <c r="AX31" s="110">
        <f t="shared" si="101"/>
        <v>0.31592812129531417</v>
      </c>
      <c r="AY31" s="111">
        <f t="shared" si="44"/>
        <v>8013.5</v>
      </c>
      <c r="AZ31" s="112">
        <v>8013.5</v>
      </c>
      <c r="BA31" s="120">
        <f t="shared" si="102"/>
        <v>5481.8099999999995</v>
      </c>
      <c r="BB31" s="113">
        <v>2531.69</v>
      </c>
      <c r="BC31" s="112">
        <v>3938.44</v>
      </c>
      <c r="BD31" s="114">
        <v>0.73958333333333337</v>
      </c>
      <c r="BE31" s="115">
        <v>0</v>
      </c>
      <c r="BF31" s="114">
        <v>0</v>
      </c>
      <c r="BG31" s="115">
        <v>153.66</v>
      </c>
      <c r="BH31" s="114">
        <v>0.84375</v>
      </c>
      <c r="BI31" s="56">
        <f t="shared" si="53"/>
        <v>45925</v>
      </c>
      <c r="BJ31" s="78">
        <f t="shared" si="103"/>
        <v>0.61192280413602596</v>
      </c>
      <c r="BK31" s="76">
        <f t="shared" si="104"/>
        <v>0.38807719586397404</v>
      </c>
      <c r="BL31" s="79">
        <f t="shared" si="105"/>
        <v>33486.25</v>
      </c>
      <c r="BM31" s="155">
        <v>20491</v>
      </c>
      <c r="BN31" s="155">
        <v>12995.25</v>
      </c>
      <c r="BO31" s="156">
        <v>3635.85</v>
      </c>
      <c r="BP31" s="157">
        <v>0.7368055555555556</v>
      </c>
      <c r="BQ31" s="158">
        <v>2376.8000000000002</v>
      </c>
      <c r="BR31" s="157">
        <v>0.7368055555555556</v>
      </c>
    </row>
    <row r="32" spans="1:70" ht="15.75" thickBot="1" x14ac:dyDescent="0.3">
      <c r="A32" s="14"/>
      <c r="B32" s="56">
        <f t="shared" si="49"/>
        <v>45926</v>
      </c>
      <c r="C32" s="164"/>
      <c r="D32" s="87">
        <f t="shared" si="84"/>
        <v>52312</v>
      </c>
      <c r="E32" s="159">
        <f t="shared" si="85"/>
        <v>0.87320308915736355</v>
      </c>
      <c r="F32" s="87">
        <f t="shared" si="86"/>
        <v>45679</v>
      </c>
      <c r="G32" s="159">
        <f t="shared" si="87"/>
        <v>0.1267969108426365</v>
      </c>
      <c r="H32" s="146">
        <f t="shared" si="26"/>
        <v>6633</v>
      </c>
      <c r="I32" s="160">
        <f t="shared" si="88"/>
        <v>0.11282814799602971</v>
      </c>
      <c r="J32" s="159">
        <f t="shared" si="89"/>
        <v>0.15201766095081631</v>
      </c>
      <c r="K32" s="159">
        <f t="shared" si="90"/>
        <v>0.16329736235490913</v>
      </c>
      <c r="L32" s="161">
        <f t="shared" si="91"/>
        <v>0.598162028955745</v>
      </c>
      <c r="M32" s="146">
        <f t="shared" si="92"/>
        <v>5740.5833418899956</v>
      </c>
      <c r="N32" s="146">
        <f t="shared" si="93"/>
        <v>7734.5065715165829</v>
      </c>
      <c r="O32" s="146">
        <f t="shared" si="94"/>
        <v>8308.4064992554213</v>
      </c>
      <c r="P32" s="146">
        <f t="shared" si="95"/>
        <v>30433.885871239348</v>
      </c>
      <c r="Q32" s="56">
        <f t="shared" si="50"/>
        <v>45926</v>
      </c>
      <c r="R32" s="139">
        <v>52312</v>
      </c>
      <c r="S32" s="140">
        <v>0</v>
      </c>
      <c r="T32" s="140">
        <v>50879</v>
      </c>
      <c r="U32" s="140">
        <v>0</v>
      </c>
      <c r="V32" s="141">
        <v>12490</v>
      </c>
      <c r="W32" s="142">
        <v>0.35416666666666669</v>
      </c>
      <c r="X32" s="141">
        <v>4142</v>
      </c>
      <c r="Y32" s="142">
        <v>0.79166666666666663</v>
      </c>
      <c r="Z32" s="141">
        <v>0</v>
      </c>
      <c r="AA32" s="142">
        <v>0</v>
      </c>
      <c r="AB32" s="56">
        <f t="shared" si="51"/>
        <v>45926</v>
      </c>
      <c r="AC32" s="76">
        <f t="shared" si="96"/>
        <v>1</v>
      </c>
      <c r="AD32" s="162">
        <f t="shared" si="97"/>
        <v>0</v>
      </c>
      <c r="AE32" s="163">
        <v>6593</v>
      </c>
      <c r="AF32" s="118">
        <f t="shared" si="37"/>
        <v>6593</v>
      </c>
      <c r="AG32" s="147">
        <v>0</v>
      </c>
      <c r="AH32" s="148">
        <v>3855</v>
      </c>
      <c r="AI32" s="149">
        <v>0.74722222222222223</v>
      </c>
      <c r="AJ32" s="148">
        <v>0</v>
      </c>
      <c r="AK32" s="165">
        <v>0</v>
      </c>
      <c r="AL32" s="56">
        <f t="shared" si="38"/>
        <v>45926</v>
      </c>
      <c r="AM32" s="77">
        <f t="shared" si="98"/>
        <v>0.57075312394461331</v>
      </c>
      <c r="AN32" s="76">
        <f t="shared" si="99"/>
        <v>0.42924687605538669</v>
      </c>
      <c r="AO32" s="150">
        <v>8883</v>
      </c>
      <c r="AP32" s="117">
        <f t="shared" si="41"/>
        <v>5070</v>
      </c>
      <c r="AQ32" s="151">
        <v>3813</v>
      </c>
      <c r="AR32" s="152">
        <v>3214</v>
      </c>
      <c r="AS32" s="153">
        <v>0.34722222222222221</v>
      </c>
      <c r="AT32" s="152">
        <v>179</v>
      </c>
      <c r="AU32" s="154">
        <v>0.32291666666666669</v>
      </c>
      <c r="AV32" s="56">
        <f t="shared" si="52"/>
        <v>45926</v>
      </c>
      <c r="AW32" s="110">
        <f t="shared" si="100"/>
        <v>0.64772017489069333</v>
      </c>
      <c r="AX32" s="110">
        <f t="shared" si="101"/>
        <v>0.35227982510930667</v>
      </c>
      <c r="AY32" s="111">
        <f t="shared" si="44"/>
        <v>8005</v>
      </c>
      <c r="AZ32" s="112">
        <v>8005</v>
      </c>
      <c r="BA32" s="120">
        <f t="shared" si="102"/>
        <v>5185</v>
      </c>
      <c r="BB32" s="113">
        <v>2820</v>
      </c>
      <c r="BC32" s="112">
        <v>4058</v>
      </c>
      <c r="BD32" s="114">
        <v>0.76041666666666663</v>
      </c>
      <c r="BE32" s="115">
        <v>0</v>
      </c>
      <c r="BF32" s="114">
        <v>0</v>
      </c>
      <c r="BG32" s="115">
        <v>145</v>
      </c>
      <c r="BH32" s="114">
        <v>0.32291666666666669</v>
      </c>
      <c r="BI32" s="56">
        <f t="shared" si="53"/>
        <v>45926</v>
      </c>
      <c r="BJ32" s="78">
        <f t="shared" si="103"/>
        <v>0.61076302463307874</v>
      </c>
      <c r="BK32" s="76">
        <f t="shared" si="104"/>
        <v>0.38923697536692131</v>
      </c>
      <c r="BL32" s="79">
        <f t="shared" si="105"/>
        <v>34953</v>
      </c>
      <c r="BM32" s="155">
        <v>21348</v>
      </c>
      <c r="BN32" s="155">
        <v>13605</v>
      </c>
      <c r="BO32" s="156">
        <v>4536</v>
      </c>
      <c r="BP32" s="157">
        <v>0.81666666666666665</v>
      </c>
      <c r="BQ32" s="158">
        <v>2997</v>
      </c>
      <c r="BR32" s="157">
        <v>0.81666666666666665</v>
      </c>
    </row>
    <row r="33" spans="1:70" ht="15.75" thickBot="1" x14ac:dyDescent="0.3">
      <c r="A33" s="14"/>
      <c r="B33" s="56">
        <f t="shared" si="49"/>
        <v>45927</v>
      </c>
      <c r="C33" s="164"/>
      <c r="D33" s="87">
        <f t="shared" si="84"/>
        <v>32186</v>
      </c>
      <c r="E33" s="159">
        <f t="shared" si="85"/>
        <v>0.81084943764369599</v>
      </c>
      <c r="F33" s="87">
        <f t="shared" si="86"/>
        <v>26098</v>
      </c>
      <c r="G33" s="159">
        <f t="shared" si="87"/>
        <v>0.18915056235630398</v>
      </c>
      <c r="H33" s="146">
        <f t="shared" si="26"/>
        <v>6088</v>
      </c>
      <c r="I33" s="160">
        <f t="shared" si="88"/>
        <v>7.8480302817888689E-2</v>
      </c>
      <c r="J33" s="159">
        <f t="shared" si="89"/>
        <v>0.16018505537641947</v>
      </c>
      <c r="K33" s="159">
        <f t="shared" si="90"/>
        <v>0.16006797555772498</v>
      </c>
      <c r="L33" s="161">
        <f t="shared" si="91"/>
        <v>0.63720734613766994</v>
      </c>
      <c r="M33" s="146">
        <f t="shared" si="92"/>
        <v>2429.4362540305624</v>
      </c>
      <c r="N33" s="146">
        <f t="shared" si="93"/>
        <v>4958.6885742324412</v>
      </c>
      <c r="O33" s="146">
        <f t="shared" si="94"/>
        <v>4955.0642513649345</v>
      </c>
      <c r="P33" s="146">
        <f t="shared" si="95"/>
        <v>19725.390607037709</v>
      </c>
      <c r="Q33" s="56">
        <f t="shared" si="50"/>
        <v>45927</v>
      </c>
      <c r="R33" s="139">
        <v>32186</v>
      </c>
      <c r="S33" s="140">
        <v>0</v>
      </c>
      <c r="T33" s="140">
        <v>30956</v>
      </c>
      <c r="U33" s="140">
        <v>0</v>
      </c>
      <c r="V33" s="141">
        <v>6362</v>
      </c>
      <c r="W33" s="142">
        <v>0.76041666666666663</v>
      </c>
      <c r="X33" s="141">
        <v>2165</v>
      </c>
      <c r="Y33" s="142">
        <v>0.71875</v>
      </c>
      <c r="Z33" s="141">
        <v>0</v>
      </c>
      <c r="AA33" s="142">
        <v>0</v>
      </c>
      <c r="AB33" s="56">
        <f t="shared" si="51"/>
        <v>45927</v>
      </c>
      <c r="AC33" s="76">
        <f t="shared" si="96"/>
        <v>1</v>
      </c>
      <c r="AD33" s="162">
        <f t="shared" si="97"/>
        <v>0</v>
      </c>
      <c r="AE33" s="163">
        <v>2799</v>
      </c>
      <c r="AF33" s="118">
        <f t="shared" si="37"/>
        <v>2799</v>
      </c>
      <c r="AG33" s="147">
        <v>0</v>
      </c>
      <c r="AH33" s="148">
        <v>1640</v>
      </c>
      <c r="AI33" s="149">
        <v>0.93333333333333335</v>
      </c>
      <c r="AJ33" s="148">
        <v>0</v>
      </c>
      <c r="AK33" s="165">
        <v>0</v>
      </c>
      <c r="AL33" s="168">
        <f t="shared" si="38"/>
        <v>45927</v>
      </c>
      <c r="AM33" s="77">
        <f t="shared" si="98"/>
        <v>0.35795553999649921</v>
      </c>
      <c r="AN33" s="76">
        <f t="shared" si="99"/>
        <v>0.64204446000350079</v>
      </c>
      <c r="AO33" s="150">
        <v>5713</v>
      </c>
      <c r="AP33" s="117">
        <f t="shared" si="41"/>
        <v>2045</v>
      </c>
      <c r="AQ33" s="151">
        <v>3668</v>
      </c>
      <c r="AR33" s="152">
        <v>1618</v>
      </c>
      <c r="AS33" s="153">
        <v>0.53055555555555556</v>
      </c>
      <c r="AT33" s="152">
        <v>177</v>
      </c>
      <c r="AU33" s="154">
        <v>0.92708333333333337</v>
      </c>
      <c r="AV33" s="56">
        <f t="shared" si="52"/>
        <v>45927</v>
      </c>
      <c r="AW33" s="169">
        <f t="shared" si="100"/>
        <v>0.45335441608312627</v>
      </c>
      <c r="AX33" s="169">
        <f t="shared" si="101"/>
        <v>0.54664558391687368</v>
      </c>
      <c r="AY33" s="111">
        <f t="shared" si="44"/>
        <v>4427</v>
      </c>
      <c r="AZ33" s="112">
        <v>4427</v>
      </c>
      <c r="BA33" s="170">
        <f t="shared" si="102"/>
        <v>2007</v>
      </c>
      <c r="BB33" s="113">
        <v>2420</v>
      </c>
      <c r="BC33" s="112">
        <v>2170</v>
      </c>
      <c r="BD33" s="114">
        <v>0.67708333333333337</v>
      </c>
      <c r="BE33" s="115">
        <v>0</v>
      </c>
      <c r="BF33" s="114">
        <v>0</v>
      </c>
      <c r="BG33" s="115">
        <v>149</v>
      </c>
      <c r="BH33" s="114">
        <v>0.88541666666666663</v>
      </c>
      <c r="BI33" s="56">
        <f t="shared" si="53"/>
        <v>45927</v>
      </c>
      <c r="BJ33" s="171">
        <f t="shared" si="103"/>
        <v>0.61423039690222647</v>
      </c>
      <c r="BK33" s="76">
        <f t="shared" si="104"/>
        <v>0.38576960309777347</v>
      </c>
      <c r="BL33" s="79">
        <f t="shared" si="105"/>
        <v>22726</v>
      </c>
      <c r="BM33" s="155">
        <v>13959</v>
      </c>
      <c r="BN33" s="155">
        <v>8767</v>
      </c>
      <c r="BO33" s="156">
        <v>2936</v>
      </c>
      <c r="BP33" s="157">
        <v>0.68194444444444446</v>
      </c>
      <c r="BQ33" s="158">
        <v>1909</v>
      </c>
      <c r="BR33" s="157">
        <v>0.68194444444444446</v>
      </c>
    </row>
    <row r="34" spans="1:70" ht="15.75" thickBot="1" x14ac:dyDescent="0.3">
      <c r="A34" s="14"/>
      <c r="B34" s="56">
        <f t="shared" si="49"/>
        <v>45928</v>
      </c>
      <c r="C34" s="164"/>
      <c r="D34" s="87">
        <f t="shared" si="84"/>
        <v>27813</v>
      </c>
      <c r="E34" s="159">
        <f t="shared" si="85"/>
        <v>0.79074533491532739</v>
      </c>
      <c r="F34" s="87">
        <f t="shared" si="86"/>
        <v>21993</v>
      </c>
      <c r="G34" s="159">
        <f t="shared" si="87"/>
        <v>0.20925466508467264</v>
      </c>
      <c r="H34" s="146">
        <f t="shared" si="26"/>
        <v>5820</v>
      </c>
      <c r="I34" s="160">
        <f t="shared" si="88"/>
        <v>6.5508836075563681E-2</v>
      </c>
      <c r="J34" s="159">
        <f t="shared" si="89"/>
        <v>0.15904936014625229</v>
      </c>
      <c r="K34" s="159">
        <f t="shared" si="90"/>
        <v>0.16137877007442225</v>
      </c>
      <c r="L34" s="161">
        <f t="shared" si="91"/>
        <v>0.64990859232175502</v>
      </c>
      <c r="M34" s="146">
        <f t="shared" si="92"/>
        <v>1844.0737355271176</v>
      </c>
      <c r="N34" s="146">
        <f t="shared" si="93"/>
        <v>4477.2394881170021</v>
      </c>
      <c r="O34" s="146">
        <f t="shared" si="94"/>
        <v>4542.8123775949862</v>
      </c>
      <c r="P34" s="146">
        <f t="shared" si="95"/>
        <v>18294.926873857403</v>
      </c>
      <c r="Q34" s="56">
        <f t="shared" si="50"/>
        <v>45928</v>
      </c>
      <c r="R34" s="139">
        <v>27813</v>
      </c>
      <c r="S34" s="140">
        <v>0</v>
      </c>
      <c r="T34" s="140">
        <v>28150</v>
      </c>
      <c r="U34" s="140">
        <v>0</v>
      </c>
      <c r="V34" s="141">
        <v>7980</v>
      </c>
      <c r="W34" s="142">
        <v>0.85416666666666663</v>
      </c>
      <c r="X34" s="141">
        <v>2020</v>
      </c>
      <c r="Y34" s="142">
        <v>0.8125</v>
      </c>
      <c r="Z34" s="141">
        <v>0</v>
      </c>
      <c r="AA34" s="142">
        <v>0</v>
      </c>
      <c r="AB34" s="56">
        <f t="shared" si="51"/>
        <v>45928</v>
      </c>
      <c r="AC34" s="76">
        <f t="shared" si="96"/>
        <v>1</v>
      </c>
      <c r="AD34" s="162">
        <f t="shared" si="97"/>
        <v>0</v>
      </c>
      <c r="AE34" s="163">
        <v>2150</v>
      </c>
      <c r="AF34" s="118">
        <f t="shared" si="37"/>
        <v>2150</v>
      </c>
      <c r="AG34" s="147">
        <v>0</v>
      </c>
      <c r="AH34" s="148">
        <v>2120</v>
      </c>
      <c r="AI34" s="149">
        <v>0.89583333333333337</v>
      </c>
      <c r="AJ34" s="148">
        <v>0</v>
      </c>
      <c r="AK34" s="165">
        <v>0</v>
      </c>
      <c r="AL34" s="56">
        <f t="shared" si="38"/>
        <v>45928</v>
      </c>
      <c r="AM34" s="77">
        <f t="shared" si="98"/>
        <v>0.34291187739463602</v>
      </c>
      <c r="AN34" s="76">
        <f t="shared" si="99"/>
        <v>0.65708812260536398</v>
      </c>
      <c r="AO34" s="150">
        <v>5220</v>
      </c>
      <c r="AP34" s="117">
        <f t="shared" si="41"/>
        <v>1790</v>
      </c>
      <c r="AQ34" s="151">
        <v>3430</v>
      </c>
      <c r="AR34" s="152">
        <v>1650</v>
      </c>
      <c r="AS34" s="153">
        <v>0.60416666666666663</v>
      </c>
      <c r="AT34" s="152">
        <v>174</v>
      </c>
      <c r="AU34" s="154">
        <v>0.89583333333333337</v>
      </c>
      <c r="AV34" s="56">
        <f t="shared" si="52"/>
        <v>45928</v>
      </c>
      <c r="AW34" s="110">
        <f t="shared" si="100"/>
        <v>0.4199029126213592</v>
      </c>
      <c r="AX34" s="110">
        <f t="shared" si="101"/>
        <v>0.58009708737864074</v>
      </c>
      <c r="AY34" s="111">
        <f t="shared" si="44"/>
        <v>4120</v>
      </c>
      <c r="AZ34" s="112">
        <v>4120</v>
      </c>
      <c r="BA34" s="120">
        <f t="shared" si="102"/>
        <v>1730</v>
      </c>
      <c r="BB34" s="113">
        <v>2390</v>
      </c>
      <c r="BC34" s="112">
        <v>1940</v>
      </c>
      <c r="BD34" s="114">
        <v>0.70833333333333337</v>
      </c>
      <c r="BE34" s="115">
        <v>0</v>
      </c>
      <c r="BF34" s="114">
        <v>0</v>
      </c>
      <c r="BG34" s="115">
        <v>145</v>
      </c>
      <c r="BH34" s="114">
        <v>0.85416666666666663</v>
      </c>
      <c r="BI34" s="56">
        <f t="shared" si="53"/>
        <v>45928</v>
      </c>
      <c r="BJ34" s="78">
        <f t="shared" si="103"/>
        <v>0.62587904360056257</v>
      </c>
      <c r="BK34" s="76">
        <f t="shared" si="104"/>
        <v>0.37412095639943743</v>
      </c>
      <c r="BL34" s="79">
        <f t="shared" si="105"/>
        <v>21330</v>
      </c>
      <c r="BM34" s="155">
        <v>13350</v>
      </c>
      <c r="BN34" s="155">
        <v>7980</v>
      </c>
      <c r="BO34" s="156">
        <v>2830</v>
      </c>
      <c r="BP34" s="157">
        <v>0.70833333333333337</v>
      </c>
      <c r="BQ34" s="158">
        <v>1820</v>
      </c>
      <c r="BR34" s="157">
        <v>0.72916666666666663</v>
      </c>
    </row>
    <row r="35" spans="1:70" ht="15.75" thickBot="1" x14ac:dyDescent="0.3">
      <c r="A35" s="14"/>
      <c r="B35" s="56">
        <f t="shared" si="49"/>
        <v>45929</v>
      </c>
      <c r="C35" s="164"/>
      <c r="D35" s="87">
        <f t="shared" si="84"/>
        <v>52734</v>
      </c>
      <c r="E35" s="159">
        <f t="shared" si="85"/>
        <v>0.87964121818940344</v>
      </c>
      <c r="F35" s="87">
        <f t="shared" si="86"/>
        <v>46387</v>
      </c>
      <c r="G35" s="159">
        <f t="shared" si="87"/>
        <v>0.12035878181059657</v>
      </c>
      <c r="H35" s="146">
        <f t="shared" si="26"/>
        <v>6347</v>
      </c>
      <c r="I35" s="160">
        <f t="shared" si="88"/>
        <v>0.11736665588450604</v>
      </c>
      <c r="J35" s="159">
        <f t="shared" si="89"/>
        <v>0.16244743696692146</v>
      </c>
      <c r="K35" s="159">
        <f t="shared" si="90"/>
        <v>0.16590804275029578</v>
      </c>
      <c r="L35" s="161">
        <f t="shared" si="91"/>
        <v>0.57932549073017925</v>
      </c>
      <c r="M35" s="146">
        <f t="shared" si="92"/>
        <v>6090.6252404705565</v>
      </c>
      <c r="N35" s="146">
        <f t="shared" si="93"/>
        <v>8430.0472939614228</v>
      </c>
      <c r="O35" s="146">
        <f t="shared" si="94"/>
        <v>8609.6319704838497</v>
      </c>
      <c r="P35" s="146">
        <f t="shared" si="95"/>
        <v>30063.517015951922</v>
      </c>
      <c r="Q35" s="56">
        <f t="shared" si="50"/>
        <v>45929</v>
      </c>
      <c r="R35" s="139">
        <v>52734</v>
      </c>
      <c r="S35" s="140">
        <v>0</v>
      </c>
      <c r="T35" s="140">
        <v>51894</v>
      </c>
      <c r="U35" s="140">
        <v>0</v>
      </c>
      <c r="V35" s="141">
        <v>14700</v>
      </c>
      <c r="W35" s="142">
        <v>0.78125</v>
      </c>
      <c r="X35" s="141">
        <v>4461</v>
      </c>
      <c r="Y35" s="142">
        <v>0.79166666666666663</v>
      </c>
      <c r="Z35" s="141">
        <v>0</v>
      </c>
      <c r="AA35" s="142">
        <v>0</v>
      </c>
      <c r="AB35" s="56">
        <f t="shared" si="51"/>
        <v>45929</v>
      </c>
      <c r="AC35" s="76">
        <f t="shared" si="96"/>
        <v>1</v>
      </c>
      <c r="AD35" s="162">
        <f t="shared" si="97"/>
        <v>0</v>
      </c>
      <c r="AE35" s="163">
        <v>6894</v>
      </c>
      <c r="AF35" s="118">
        <f t="shared" si="37"/>
        <v>6894</v>
      </c>
      <c r="AG35" s="147">
        <v>0</v>
      </c>
      <c r="AH35" s="148">
        <v>4573</v>
      </c>
      <c r="AI35" s="149">
        <v>0.32916666666666666</v>
      </c>
      <c r="AJ35" s="148">
        <v>0</v>
      </c>
      <c r="AK35" s="165">
        <v>0</v>
      </c>
      <c r="AL35" s="56">
        <f t="shared" si="38"/>
        <v>45929</v>
      </c>
      <c r="AM35" s="77">
        <f t="shared" si="98"/>
        <v>0.59243345210647658</v>
      </c>
      <c r="AN35" s="76">
        <f t="shared" si="99"/>
        <v>0.40756654789352337</v>
      </c>
      <c r="AO35" s="150">
        <v>9542</v>
      </c>
      <c r="AP35" s="117">
        <f t="shared" si="41"/>
        <v>5653</v>
      </c>
      <c r="AQ35" s="151">
        <v>3889</v>
      </c>
      <c r="AR35" s="152">
        <v>4181</v>
      </c>
      <c r="AS35" s="153">
        <v>0.34166666666666667</v>
      </c>
      <c r="AT35" s="152">
        <v>243</v>
      </c>
      <c r="AU35" s="154">
        <v>0.72916666666666663</v>
      </c>
      <c r="AV35" s="56">
        <f t="shared" si="52"/>
        <v>45929</v>
      </c>
      <c r="AW35" s="110">
        <f t="shared" si="100"/>
        <v>0.70292482475223594</v>
      </c>
      <c r="AX35" s="110">
        <f t="shared" si="101"/>
        <v>0.29707517524776406</v>
      </c>
      <c r="AY35" s="111">
        <f t="shared" si="44"/>
        <v>8274</v>
      </c>
      <c r="AZ35" s="112">
        <v>8274</v>
      </c>
      <c r="BA35" s="120">
        <f t="shared" si="102"/>
        <v>5816</v>
      </c>
      <c r="BB35" s="113">
        <v>2458</v>
      </c>
      <c r="BC35" s="112">
        <v>3997</v>
      </c>
      <c r="BD35" s="114">
        <v>0.73958333333333337</v>
      </c>
      <c r="BE35" s="115">
        <v>0</v>
      </c>
      <c r="BF35" s="114">
        <v>0</v>
      </c>
      <c r="BG35" s="115">
        <v>153</v>
      </c>
      <c r="BH35" s="114">
        <v>0.3125</v>
      </c>
      <c r="BI35" s="56">
        <f t="shared" si="53"/>
        <v>45929</v>
      </c>
      <c r="BJ35" s="78">
        <f t="shared" si="103"/>
        <v>0.61053807046930564</v>
      </c>
      <c r="BK35" s="76">
        <f t="shared" si="104"/>
        <v>0.38946192953069442</v>
      </c>
      <c r="BL35" s="79">
        <f t="shared" si="105"/>
        <v>34029</v>
      </c>
      <c r="BM35" s="155">
        <v>20776</v>
      </c>
      <c r="BN35" s="155">
        <v>13253</v>
      </c>
      <c r="BO35" s="156">
        <v>3868</v>
      </c>
      <c r="BP35" s="157">
        <v>0.73402777777777772</v>
      </c>
      <c r="BQ35" s="158">
        <v>2567</v>
      </c>
      <c r="BR35" s="157">
        <v>0.73402777777777772</v>
      </c>
    </row>
    <row r="36" spans="1:70" ht="15.75" thickBot="1" x14ac:dyDescent="0.3">
      <c r="A36" s="14"/>
      <c r="B36" s="56">
        <f t="shared" si="49"/>
        <v>45930</v>
      </c>
      <c r="C36" s="164"/>
      <c r="D36" s="87">
        <f t="shared" si="84"/>
        <v>53750</v>
      </c>
      <c r="E36" s="159">
        <f t="shared" si="85"/>
        <v>0.88269562790697675</v>
      </c>
      <c r="F36" s="87">
        <f t="shared" si="86"/>
        <v>47444.89</v>
      </c>
      <c r="G36" s="159">
        <f t="shared" si="87"/>
        <v>0.11730437209302326</v>
      </c>
      <c r="H36" s="146">
        <f t="shared" si="26"/>
        <v>6305.1100000000006</v>
      </c>
      <c r="I36" s="160">
        <f t="shared" si="88"/>
        <v>0.11608159710591545</v>
      </c>
      <c r="J36" s="159">
        <f t="shared" si="89"/>
        <v>0.16015441816841963</v>
      </c>
      <c r="K36" s="159">
        <f t="shared" si="90"/>
        <v>0.16670145761960234</v>
      </c>
      <c r="L36" s="161">
        <f t="shared" si="91"/>
        <v>0.58185670261941447</v>
      </c>
      <c r="M36" s="146">
        <f>(S36+T36)*I36</f>
        <v>6093.123032089502</v>
      </c>
      <c r="N36" s="146">
        <f>(S36+T36)*J36</f>
        <v>8406.5054096603471</v>
      </c>
      <c r="O36" s="146">
        <f>(S36+T36)*K36</f>
        <v>8750.159510452926</v>
      </c>
      <c r="P36" s="146">
        <f>(S36+T36)*L36</f>
        <v>30541.658320493065</v>
      </c>
      <c r="Q36" s="56">
        <f t="shared" si="50"/>
        <v>45930</v>
      </c>
      <c r="R36" s="139">
        <v>53750</v>
      </c>
      <c r="S36" s="140">
        <v>0</v>
      </c>
      <c r="T36" s="140">
        <v>52490</v>
      </c>
      <c r="U36" s="140">
        <v>0</v>
      </c>
      <c r="V36" s="141">
        <v>13858.11</v>
      </c>
      <c r="W36" s="142">
        <v>0.36458333333333331</v>
      </c>
      <c r="X36" s="141">
        <v>4670.5200000000004</v>
      </c>
      <c r="Y36" s="142">
        <v>0.80208333333333337</v>
      </c>
      <c r="Z36" s="141">
        <v>0</v>
      </c>
      <c r="AA36" s="142">
        <v>0</v>
      </c>
      <c r="AB36" s="56">
        <f t="shared" si="51"/>
        <v>45930</v>
      </c>
      <c r="AC36" s="76">
        <f t="shared" si="96"/>
        <v>1</v>
      </c>
      <c r="AD36" s="162">
        <f t="shared" si="97"/>
        <v>0</v>
      </c>
      <c r="AE36" s="163">
        <v>6931</v>
      </c>
      <c r="AF36" s="118">
        <f t="shared" si="37"/>
        <v>6931</v>
      </c>
      <c r="AG36" s="147">
        <v>0</v>
      </c>
      <c r="AH36" s="148">
        <v>3558.88</v>
      </c>
      <c r="AI36" s="149">
        <v>0.35902777777777778</v>
      </c>
      <c r="AJ36" s="148">
        <v>0</v>
      </c>
      <c r="AK36" s="165">
        <v>0</v>
      </c>
      <c r="AL36" s="56">
        <f t="shared" si="38"/>
        <v>45930</v>
      </c>
      <c r="AM36" s="77">
        <f t="shared" si="98"/>
        <v>0.6012433986928104</v>
      </c>
      <c r="AN36" s="76">
        <f t="shared" si="99"/>
        <v>0.39875660130718954</v>
      </c>
      <c r="AO36" s="150">
        <v>9562.5</v>
      </c>
      <c r="AP36" s="117">
        <f t="shared" si="41"/>
        <v>5749.3899999999994</v>
      </c>
      <c r="AQ36" s="151">
        <v>3813.11</v>
      </c>
      <c r="AR36" s="152">
        <v>3534.51</v>
      </c>
      <c r="AS36" s="153">
        <v>0.72291666666666665</v>
      </c>
      <c r="AT36" s="152">
        <v>185.17</v>
      </c>
      <c r="AU36" s="154">
        <v>0.28125</v>
      </c>
      <c r="AV36" s="56">
        <f t="shared" si="52"/>
        <v>45930</v>
      </c>
      <c r="AW36" s="110">
        <f t="shared" si="100"/>
        <v>0.70588929540894607</v>
      </c>
      <c r="AX36" s="110">
        <f t="shared" si="101"/>
        <v>0.29411070459105393</v>
      </c>
      <c r="AY36" s="111">
        <f t="shared" si="44"/>
        <v>8473</v>
      </c>
      <c r="AZ36" s="112">
        <v>8473</v>
      </c>
      <c r="BA36" s="120">
        <f t="shared" si="102"/>
        <v>5981</v>
      </c>
      <c r="BB36" s="113">
        <v>2492</v>
      </c>
      <c r="BC36" s="112">
        <v>4046.64</v>
      </c>
      <c r="BD36" s="114">
        <v>0.3125</v>
      </c>
      <c r="BE36" s="115">
        <v>0</v>
      </c>
      <c r="BF36" s="114">
        <v>0</v>
      </c>
      <c r="BG36" s="115">
        <v>150.80000000000001</v>
      </c>
      <c r="BH36" s="114">
        <v>0.89583333333333337</v>
      </c>
      <c r="BI36" s="56">
        <f t="shared" si="53"/>
        <v>45930</v>
      </c>
      <c r="BJ36" s="78">
        <f t="shared" si="103"/>
        <v>0.61024998920599283</v>
      </c>
      <c r="BK36" s="76">
        <f t="shared" si="104"/>
        <v>0.38975001079400717</v>
      </c>
      <c r="BL36" s="79">
        <f t="shared" si="105"/>
        <v>34741.5</v>
      </c>
      <c r="BM36" s="155">
        <v>21201</v>
      </c>
      <c r="BN36" s="155">
        <v>13540.5</v>
      </c>
      <c r="BO36" s="156">
        <v>4773.7</v>
      </c>
      <c r="BP36" s="157">
        <v>0.29305555555555557</v>
      </c>
      <c r="BQ36" s="158">
        <v>3130.6</v>
      </c>
      <c r="BR36" s="157">
        <v>0.29305555555555557</v>
      </c>
    </row>
    <row r="38" spans="1:70" x14ac:dyDescent="0.25">
      <c r="R38" s="176" t="e">
        <f>#REF!-S39</f>
        <v>#REF!</v>
      </c>
    </row>
    <row r="39" spans="1:70" x14ac:dyDescent="0.25">
      <c r="S39" s="177">
        <f>R36-T36</f>
        <v>1260</v>
      </c>
      <c r="T39" s="177"/>
      <c r="U39" s="176"/>
    </row>
    <row r="41" spans="1:70" x14ac:dyDescent="0.25">
      <c r="S41" s="177"/>
      <c r="T41" s="176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8"/>
  <sheetViews>
    <sheetView tabSelected="1" topLeftCell="A15" zoomScaleNormal="100" workbookViewId="0">
      <selection activeCell="G46" sqref="G46:H46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0" t="s">
        <v>0</v>
      </c>
      <c r="D2" s="223" t="s">
        <v>38</v>
      </c>
      <c r="E2" s="224"/>
      <c r="F2" s="224"/>
      <c r="G2" s="224"/>
      <c r="H2" s="225"/>
      <c r="J2" s="223" t="s">
        <v>39</v>
      </c>
      <c r="K2" s="224"/>
      <c r="L2" s="225"/>
      <c r="N2" s="223" t="s">
        <v>40</v>
      </c>
      <c r="O2" s="224"/>
      <c r="P2" s="224"/>
      <c r="Q2" s="224"/>
      <c r="R2" s="224"/>
      <c r="S2" s="224"/>
      <c r="T2" s="225"/>
      <c r="V2" s="229" t="s">
        <v>41</v>
      </c>
      <c r="W2" s="230"/>
      <c r="X2" s="231"/>
    </row>
    <row r="3" spans="2:27" ht="15.75" thickBot="1" x14ac:dyDescent="0.3">
      <c r="B3" s="221"/>
      <c r="D3" s="226"/>
      <c r="E3" s="227"/>
      <c r="F3" s="227"/>
      <c r="G3" s="227"/>
      <c r="H3" s="228"/>
      <c r="J3" s="226"/>
      <c r="K3" s="227"/>
      <c r="L3" s="228"/>
      <c r="N3" s="226"/>
      <c r="O3" s="227"/>
      <c r="P3" s="227"/>
      <c r="Q3" s="227"/>
      <c r="R3" s="227"/>
      <c r="S3" s="227"/>
      <c r="T3" s="228"/>
      <c r="V3" s="232"/>
      <c r="W3" s="233"/>
      <c r="X3" s="234"/>
    </row>
    <row r="4" spans="2:27" ht="23.25" customHeight="1" x14ac:dyDescent="0.25">
      <c r="B4" s="221"/>
      <c r="D4" s="235" t="s">
        <v>42</v>
      </c>
      <c r="E4" s="236"/>
      <c r="F4" s="235" t="s">
        <v>43</v>
      </c>
      <c r="G4" s="237"/>
      <c r="H4" s="238"/>
      <c r="J4" s="235" t="s">
        <v>42</v>
      </c>
      <c r="K4" s="236"/>
      <c r="L4" s="16" t="s">
        <v>43</v>
      </c>
      <c r="N4" s="218" t="s">
        <v>42</v>
      </c>
      <c r="O4" s="239"/>
      <c r="P4" s="240"/>
      <c r="Q4" s="241"/>
      <c r="R4" s="235" t="s">
        <v>43</v>
      </c>
      <c r="S4" s="242"/>
      <c r="T4" s="238"/>
      <c r="V4" s="218" t="s">
        <v>42</v>
      </c>
      <c r="W4" s="219"/>
      <c r="X4" s="16" t="s">
        <v>43</v>
      </c>
    </row>
    <row r="5" spans="2:27" ht="23.25" thickBot="1" x14ac:dyDescent="0.3">
      <c r="B5" s="222"/>
      <c r="D5" s="17" t="s">
        <v>44</v>
      </c>
      <c r="E5" s="18" t="s">
        <v>45</v>
      </c>
      <c r="F5" s="17" t="s">
        <v>46</v>
      </c>
      <c r="G5" s="19" t="s">
        <v>47</v>
      </c>
      <c r="H5" s="20" t="s">
        <v>48</v>
      </c>
      <c r="J5" s="17" t="s">
        <v>49</v>
      </c>
      <c r="K5" s="18" t="s">
        <v>45</v>
      </c>
      <c r="L5" s="21" t="s">
        <v>39</v>
      </c>
      <c r="N5" s="17" t="s">
        <v>50</v>
      </c>
      <c r="O5" s="18" t="s">
        <v>45</v>
      </c>
      <c r="P5" s="17" t="s">
        <v>51</v>
      </c>
      <c r="Q5" s="18" t="s">
        <v>45</v>
      </c>
      <c r="R5" s="22" t="s">
        <v>52</v>
      </c>
      <c r="S5" s="23" t="s">
        <v>50</v>
      </c>
      <c r="T5" s="24" t="s">
        <v>51</v>
      </c>
      <c r="V5" s="17" t="s">
        <v>53</v>
      </c>
      <c r="W5" s="18" t="s">
        <v>45</v>
      </c>
      <c r="X5" s="21" t="s">
        <v>41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54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55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45900</v>
      </c>
      <c r="C14" s="13"/>
      <c r="D14" s="172">
        <v>59</v>
      </c>
      <c r="E14" s="173">
        <v>0.86458333333333337</v>
      </c>
      <c r="F14" s="174">
        <v>761</v>
      </c>
      <c r="G14" s="93">
        <f t="shared" ref="G14:G44" si="0">F14-H14</f>
        <v>350</v>
      </c>
      <c r="H14" s="174">
        <v>411</v>
      </c>
      <c r="I14" s="90">
        <f>B14</f>
        <v>45900</v>
      </c>
      <c r="J14" s="172">
        <v>35</v>
      </c>
      <c r="K14" s="173">
        <v>2.0833333333333332E-2</v>
      </c>
      <c r="L14" s="174">
        <v>588</v>
      </c>
      <c r="M14" s="90">
        <f>B14</f>
        <v>45900</v>
      </c>
      <c r="N14" s="172">
        <v>26</v>
      </c>
      <c r="O14" s="173">
        <v>0.70833333333333337</v>
      </c>
      <c r="P14" s="172">
        <v>8</v>
      </c>
      <c r="Q14" s="173">
        <v>0.57291666666666663</v>
      </c>
      <c r="R14" s="92">
        <f t="shared" ref="R14" si="1">S14+T14</f>
        <v>515</v>
      </c>
      <c r="S14" s="174">
        <v>358</v>
      </c>
      <c r="T14" s="174">
        <v>157</v>
      </c>
      <c r="U14" s="90">
        <f>B14</f>
        <v>45900</v>
      </c>
      <c r="V14" s="172">
        <v>26</v>
      </c>
      <c r="W14" s="173">
        <v>0.54166666666666663</v>
      </c>
      <c r="X14" s="174">
        <v>504</v>
      </c>
    </row>
    <row r="15" spans="2:27" s="52" customFormat="1" ht="15.75" thickBot="1" x14ac:dyDescent="0.3">
      <c r="B15" s="55">
        <f t="shared" ref="B15:B16" si="2">B14+1</f>
        <v>45901</v>
      </c>
      <c r="C15" s="13"/>
      <c r="D15" s="172">
        <v>98</v>
      </c>
      <c r="E15" s="173">
        <v>0.4375</v>
      </c>
      <c r="F15" s="174">
        <v>1214</v>
      </c>
      <c r="G15" s="93">
        <f t="shared" si="0"/>
        <v>756</v>
      </c>
      <c r="H15" s="174">
        <v>458</v>
      </c>
      <c r="I15" s="90">
        <f t="shared" ref="I15:I44" si="3">I14+1</f>
        <v>45901</v>
      </c>
      <c r="J15" s="172">
        <v>35</v>
      </c>
      <c r="K15" s="173">
        <v>0.39583333333333331</v>
      </c>
      <c r="L15" s="174">
        <v>577</v>
      </c>
      <c r="M15" s="90">
        <f t="shared" ref="M15:M44" si="4">B15</f>
        <v>45901</v>
      </c>
      <c r="N15" s="172">
        <v>27</v>
      </c>
      <c r="O15" s="173">
        <v>0.35416666666666669</v>
      </c>
      <c r="P15" s="172">
        <v>13</v>
      </c>
      <c r="Q15" s="173">
        <v>0.35416666666666669</v>
      </c>
      <c r="R15" s="92">
        <f t="shared" ref="R15:R25" si="5">S15+T15</f>
        <v>571</v>
      </c>
      <c r="S15" s="174">
        <v>364</v>
      </c>
      <c r="T15" s="174">
        <v>207</v>
      </c>
      <c r="U15" s="90">
        <f t="shared" ref="U15:U44" si="6">U14+1</f>
        <v>45901</v>
      </c>
      <c r="V15" s="172">
        <v>26</v>
      </c>
      <c r="W15" s="173">
        <v>0.26041666666666669</v>
      </c>
      <c r="X15" s="174">
        <v>468</v>
      </c>
    </row>
    <row r="16" spans="2:27" s="52" customFormat="1" ht="15.75" thickBot="1" x14ac:dyDescent="0.3">
      <c r="B16" s="55">
        <f t="shared" si="2"/>
        <v>45902</v>
      </c>
      <c r="C16" s="13"/>
      <c r="D16" s="50">
        <v>113</v>
      </c>
      <c r="E16" s="11">
        <v>0.53125</v>
      </c>
      <c r="F16" s="10">
        <v>1180</v>
      </c>
      <c r="G16" s="93">
        <f t="shared" si="0"/>
        <v>708</v>
      </c>
      <c r="H16" s="10">
        <v>472</v>
      </c>
      <c r="I16" s="90">
        <f t="shared" si="3"/>
        <v>45902</v>
      </c>
      <c r="J16" s="50">
        <v>36</v>
      </c>
      <c r="K16" s="54">
        <v>0.375</v>
      </c>
      <c r="L16" s="53">
        <v>596</v>
      </c>
      <c r="M16" s="90">
        <f t="shared" si="4"/>
        <v>45902</v>
      </c>
      <c r="N16" s="50">
        <v>24</v>
      </c>
      <c r="O16" s="11">
        <v>0.40625</v>
      </c>
      <c r="P16" s="50">
        <v>14</v>
      </c>
      <c r="Q16" s="11">
        <v>0.5</v>
      </c>
      <c r="R16" s="92">
        <f t="shared" si="5"/>
        <v>582</v>
      </c>
      <c r="S16" s="10">
        <v>368</v>
      </c>
      <c r="T16" s="10">
        <v>214</v>
      </c>
      <c r="U16" s="90">
        <f t="shared" si="6"/>
        <v>45902</v>
      </c>
      <c r="V16" s="50">
        <v>29</v>
      </c>
      <c r="W16" s="11">
        <v>0.28125</v>
      </c>
      <c r="X16" s="10">
        <v>499</v>
      </c>
    </row>
    <row r="17" spans="2:24" ht="15.75" thickBot="1" x14ac:dyDescent="0.3">
      <c r="B17" s="55">
        <f t="shared" ref="B17:B44" si="7">B16+1</f>
        <v>45903</v>
      </c>
      <c r="D17" s="50">
        <v>95</v>
      </c>
      <c r="E17" s="54">
        <v>0.5625</v>
      </c>
      <c r="F17" s="53">
        <v>1271</v>
      </c>
      <c r="G17" s="93">
        <f t="shared" si="0"/>
        <v>778</v>
      </c>
      <c r="H17" s="53">
        <v>493</v>
      </c>
      <c r="I17" s="90">
        <f t="shared" si="3"/>
        <v>45903</v>
      </c>
      <c r="J17" s="50">
        <v>29</v>
      </c>
      <c r="K17" s="54">
        <v>0.86458333333333337</v>
      </c>
      <c r="L17" s="53">
        <v>602</v>
      </c>
      <c r="M17" s="90">
        <f t="shared" si="4"/>
        <v>45903</v>
      </c>
      <c r="N17" s="50">
        <v>28</v>
      </c>
      <c r="O17" s="54">
        <v>0.65625</v>
      </c>
      <c r="P17" s="50">
        <v>13</v>
      </c>
      <c r="Q17" s="54">
        <v>0.32291666666666669</v>
      </c>
      <c r="R17" s="92">
        <f t="shared" si="5"/>
        <v>585</v>
      </c>
      <c r="S17" s="53">
        <v>366</v>
      </c>
      <c r="T17" s="53">
        <v>219</v>
      </c>
      <c r="U17" s="90">
        <f t="shared" si="6"/>
        <v>45903</v>
      </c>
      <c r="V17" s="50">
        <v>26</v>
      </c>
      <c r="W17" s="54">
        <v>0.33333333333333331</v>
      </c>
      <c r="X17" s="53">
        <v>474</v>
      </c>
    </row>
    <row r="18" spans="2:24" ht="15.75" thickBot="1" x14ac:dyDescent="0.3">
      <c r="B18" s="55">
        <f t="shared" si="7"/>
        <v>45904</v>
      </c>
      <c r="D18" s="50">
        <v>100</v>
      </c>
      <c r="E18" s="54">
        <v>0.61458333333333337</v>
      </c>
      <c r="F18" s="53">
        <v>1368</v>
      </c>
      <c r="G18" s="93">
        <f t="shared" si="0"/>
        <v>870</v>
      </c>
      <c r="H18" s="53">
        <v>498</v>
      </c>
      <c r="I18" s="90">
        <f t="shared" si="3"/>
        <v>45904</v>
      </c>
      <c r="J18" s="50">
        <v>33</v>
      </c>
      <c r="K18" s="54">
        <v>9.375E-2</v>
      </c>
      <c r="L18" s="53">
        <v>597</v>
      </c>
      <c r="M18" s="90">
        <f t="shared" si="4"/>
        <v>45904</v>
      </c>
      <c r="N18" s="50">
        <v>25</v>
      </c>
      <c r="O18" s="54">
        <v>0.5625</v>
      </c>
      <c r="P18" s="50">
        <v>14</v>
      </c>
      <c r="Q18" s="54">
        <v>0.41666666666666669</v>
      </c>
      <c r="R18" s="51">
        <f t="shared" si="5"/>
        <v>576</v>
      </c>
      <c r="S18" s="53">
        <v>361</v>
      </c>
      <c r="T18" s="53">
        <v>215</v>
      </c>
      <c r="U18" s="90">
        <f t="shared" si="6"/>
        <v>45904</v>
      </c>
      <c r="V18" s="50">
        <v>26</v>
      </c>
      <c r="W18" s="54">
        <v>0.83333333333333337</v>
      </c>
      <c r="X18" s="53">
        <v>448</v>
      </c>
    </row>
    <row r="19" spans="2:24" ht="15.75" thickBot="1" x14ac:dyDescent="0.3">
      <c r="B19" s="90">
        <f t="shared" si="7"/>
        <v>45905</v>
      </c>
      <c r="D19" s="91">
        <v>127</v>
      </c>
      <c r="E19" s="89">
        <v>0.55208333333333337</v>
      </c>
      <c r="F19" s="88">
        <v>1352</v>
      </c>
      <c r="G19" s="93">
        <f t="shared" si="0"/>
        <v>846</v>
      </c>
      <c r="H19" s="88">
        <v>506</v>
      </c>
      <c r="I19" s="90">
        <f t="shared" si="3"/>
        <v>45905</v>
      </c>
      <c r="J19" s="91">
        <v>35</v>
      </c>
      <c r="K19" s="89">
        <v>5.2083333333333336E-2</v>
      </c>
      <c r="L19" s="88">
        <v>610</v>
      </c>
      <c r="M19" s="90">
        <f t="shared" si="4"/>
        <v>45905</v>
      </c>
      <c r="N19" s="91">
        <v>28</v>
      </c>
      <c r="O19" s="89">
        <v>0.5625</v>
      </c>
      <c r="P19" s="91">
        <v>14</v>
      </c>
      <c r="Q19" s="89">
        <v>0.44791666666666669</v>
      </c>
      <c r="R19" s="92">
        <f t="shared" si="5"/>
        <v>571</v>
      </c>
      <c r="S19" s="88">
        <v>358</v>
      </c>
      <c r="T19" s="88">
        <v>213</v>
      </c>
      <c r="U19" s="90">
        <f t="shared" si="6"/>
        <v>45905</v>
      </c>
      <c r="V19" s="91">
        <v>30</v>
      </c>
      <c r="W19" s="89">
        <v>0.58333333333333337</v>
      </c>
      <c r="X19" s="88">
        <v>521</v>
      </c>
    </row>
    <row r="20" spans="2:24" ht="15.75" thickBot="1" x14ac:dyDescent="0.3">
      <c r="B20" s="90">
        <f t="shared" si="7"/>
        <v>45906</v>
      </c>
      <c r="D20" s="172"/>
      <c r="E20" s="173"/>
      <c r="F20" s="174">
        <v>1352.24</v>
      </c>
      <c r="G20" s="93">
        <f t="shared" si="0"/>
        <v>846.5</v>
      </c>
      <c r="H20" s="174">
        <v>505.74</v>
      </c>
      <c r="I20" s="90">
        <f t="shared" si="3"/>
        <v>45906</v>
      </c>
      <c r="J20" s="172"/>
      <c r="K20" s="173"/>
      <c r="L20" s="174">
        <v>609.97</v>
      </c>
      <c r="M20" s="90">
        <f t="shared" si="4"/>
        <v>45906</v>
      </c>
      <c r="N20" s="172"/>
      <c r="O20" s="173"/>
      <c r="P20" s="172"/>
      <c r="Q20" s="173"/>
      <c r="R20" s="92">
        <f t="shared" si="5"/>
        <v>571.24</v>
      </c>
      <c r="S20" s="174">
        <v>357.82</v>
      </c>
      <c r="T20" s="174">
        <v>213.42</v>
      </c>
      <c r="U20" s="175">
        <f t="shared" si="6"/>
        <v>45906</v>
      </c>
      <c r="V20" s="172"/>
      <c r="W20" s="173"/>
      <c r="X20" s="174">
        <v>520.79999999999995</v>
      </c>
    </row>
    <row r="21" spans="2:24" ht="15.75" thickBot="1" x14ac:dyDescent="0.3">
      <c r="B21" s="90">
        <f t="shared" si="7"/>
        <v>45907</v>
      </c>
      <c r="D21" s="172">
        <v>87</v>
      </c>
      <c r="E21" s="173">
        <v>5.4166666666666669E-2</v>
      </c>
      <c r="F21" s="88">
        <v>725</v>
      </c>
      <c r="G21" s="93">
        <f t="shared" si="0"/>
        <v>282</v>
      </c>
      <c r="H21" s="88">
        <v>443</v>
      </c>
      <c r="I21" s="90">
        <f t="shared" si="3"/>
        <v>45907</v>
      </c>
      <c r="J21" s="91">
        <v>36</v>
      </c>
      <c r="K21" s="89">
        <v>8.7499999999999994E-2</v>
      </c>
      <c r="L21" s="88">
        <v>558</v>
      </c>
      <c r="M21" s="90">
        <f t="shared" si="4"/>
        <v>45907</v>
      </c>
      <c r="N21" s="91">
        <v>28</v>
      </c>
      <c r="O21" s="89">
        <v>0.78125</v>
      </c>
      <c r="P21" s="91">
        <v>8</v>
      </c>
      <c r="Q21" s="89">
        <v>0.95416666666666672</v>
      </c>
      <c r="R21" s="92">
        <f t="shared" si="5"/>
        <v>476</v>
      </c>
      <c r="S21" s="88">
        <v>325</v>
      </c>
      <c r="T21" s="88">
        <v>151</v>
      </c>
      <c r="U21" s="90">
        <f t="shared" si="6"/>
        <v>45907</v>
      </c>
      <c r="V21" s="91">
        <v>27</v>
      </c>
      <c r="W21" s="89">
        <v>0.625</v>
      </c>
      <c r="X21" s="88">
        <v>481</v>
      </c>
    </row>
    <row r="22" spans="2:24" ht="15.75" thickBot="1" x14ac:dyDescent="0.3">
      <c r="B22" s="90">
        <f t="shared" si="7"/>
        <v>45908</v>
      </c>
      <c r="D22" s="172">
        <v>113.44</v>
      </c>
      <c r="E22" s="89">
        <v>0.52083333333333337</v>
      </c>
      <c r="F22" s="88">
        <v>1196.21</v>
      </c>
      <c r="G22" s="93">
        <f t="shared" si="0"/>
        <v>713.52</v>
      </c>
      <c r="H22" s="88">
        <v>482.69</v>
      </c>
      <c r="I22" s="90">
        <f t="shared" si="3"/>
        <v>45908</v>
      </c>
      <c r="J22" s="91">
        <v>30.83</v>
      </c>
      <c r="K22" s="89">
        <v>0.90625</v>
      </c>
      <c r="L22" s="88">
        <v>630.62</v>
      </c>
      <c r="M22" s="90">
        <f t="shared" si="4"/>
        <v>45908</v>
      </c>
      <c r="N22" s="91">
        <v>26.79</v>
      </c>
      <c r="O22" s="89">
        <v>0.40625</v>
      </c>
      <c r="P22" s="91">
        <v>13.74</v>
      </c>
      <c r="Q22" s="89">
        <v>0.39583333333333331</v>
      </c>
      <c r="R22" s="92">
        <f t="shared" si="5"/>
        <v>564.9</v>
      </c>
      <c r="S22" s="88">
        <v>350.11</v>
      </c>
      <c r="T22" s="88">
        <v>214.79</v>
      </c>
      <c r="U22" s="90">
        <f t="shared" si="6"/>
        <v>45908</v>
      </c>
      <c r="V22" s="91">
        <v>24.86</v>
      </c>
      <c r="W22" s="89">
        <v>0.23958333333333334</v>
      </c>
      <c r="X22" s="88">
        <v>472.27</v>
      </c>
    </row>
    <row r="23" spans="2:24" ht="15.75" thickBot="1" x14ac:dyDescent="0.3">
      <c r="B23" s="90">
        <f t="shared" si="7"/>
        <v>45909</v>
      </c>
      <c r="D23" s="172">
        <v>105.32</v>
      </c>
      <c r="E23" s="89">
        <v>0.52083333333333337</v>
      </c>
      <c r="F23" s="88">
        <v>1323.06</v>
      </c>
      <c r="G23" s="93">
        <f t="shared" si="0"/>
        <v>806.7399999999999</v>
      </c>
      <c r="H23" s="88">
        <v>516.32000000000005</v>
      </c>
      <c r="I23" s="90">
        <f t="shared" si="3"/>
        <v>45909</v>
      </c>
      <c r="J23" s="91">
        <v>30.8</v>
      </c>
      <c r="K23" s="89">
        <v>0.16666666666666666</v>
      </c>
      <c r="L23" s="88">
        <v>635.48</v>
      </c>
      <c r="M23" s="90">
        <f t="shared" si="4"/>
        <v>45909</v>
      </c>
      <c r="N23" s="91">
        <v>25.37</v>
      </c>
      <c r="O23" s="89">
        <v>0.60416666666666663</v>
      </c>
      <c r="P23" s="91">
        <v>12.85</v>
      </c>
      <c r="Q23" s="89">
        <v>0.70833333333333337</v>
      </c>
      <c r="R23" s="92">
        <f t="shared" si="5"/>
        <v>575.57000000000005</v>
      </c>
      <c r="S23" s="88">
        <v>358.48</v>
      </c>
      <c r="T23" s="88">
        <v>217.09</v>
      </c>
      <c r="U23" s="90">
        <f t="shared" si="6"/>
        <v>45909</v>
      </c>
      <c r="V23" s="91">
        <v>28.58</v>
      </c>
      <c r="W23" s="89">
        <v>0.75</v>
      </c>
      <c r="X23" s="88">
        <v>473.92</v>
      </c>
    </row>
    <row r="24" spans="2:24" ht="15.75" thickBot="1" x14ac:dyDescent="0.3">
      <c r="B24" s="90">
        <f t="shared" si="7"/>
        <v>45910</v>
      </c>
      <c r="D24" s="172">
        <v>109</v>
      </c>
      <c r="E24" s="89">
        <v>0.54166666666666663</v>
      </c>
      <c r="F24" s="88">
        <v>1290</v>
      </c>
      <c r="G24" s="93">
        <f t="shared" si="0"/>
        <v>789</v>
      </c>
      <c r="H24" s="88">
        <v>501</v>
      </c>
      <c r="I24" s="90">
        <f t="shared" si="3"/>
        <v>45910</v>
      </c>
      <c r="J24" s="91">
        <v>32</v>
      </c>
      <c r="K24" s="89">
        <v>0.10416666666666667</v>
      </c>
      <c r="L24" s="88">
        <v>630</v>
      </c>
      <c r="M24" s="90">
        <f t="shared" si="4"/>
        <v>45910</v>
      </c>
      <c r="N24" s="91">
        <v>25</v>
      </c>
      <c r="O24" s="89">
        <v>0.5625</v>
      </c>
      <c r="P24" s="91">
        <v>13</v>
      </c>
      <c r="Q24" s="89">
        <v>0.77083333333333337</v>
      </c>
      <c r="R24" s="92">
        <f t="shared" si="5"/>
        <v>568</v>
      </c>
      <c r="S24" s="88">
        <v>355</v>
      </c>
      <c r="T24" s="88">
        <v>213</v>
      </c>
      <c r="U24" s="90">
        <f t="shared" si="6"/>
        <v>45910</v>
      </c>
      <c r="V24" s="91">
        <v>28</v>
      </c>
      <c r="W24" s="89">
        <v>0.72916666666666663</v>
      </c>
      <c r="X24" s="88">
        <v>481</v>
      </c>
    </row>
    <row r="25" spans="2:24" ht="15.75" thickBot="1" x14ac:dyDescent="0.3">
      <c r="B25" s="90">
        <f t="shared" si="7"/>
        <v>45911</v>
      </c>
      <c r="D25" s="172">
        <v>112</v>
      </c>
      <c r="E25" s="89">
        <v>0.48958333333333331</v>
      </c>
      <c r="F25" s="88">
        <v>1230</v>
      </c>
      <c r="G25" s="93">
        <f t="shared" si="0"/>
        <v>712</v>
      </c>
      <c r="H25" s="88">
        <v>518</v>
      </c>
      <c r="I25" s="90">
        <f t="shared" si="3"/>
        <v>45911</v>
      </c>
      <c r="J25" s="91">
        <v>35</v>
      </c>
      <c r="K25" s="89">
        <v>0.45347222222222222</v>
      </c>
      <c r="L25" s="88">
        <v>633</v>
      </c>
      <c r="M25" s="90">
        <f t="shared" si="4"/>
        <v>45911</v>
      </c>
      <c r="N25" s="91">
        <v>28</v>
      </c>
      <c r="O25" s="89">
        <v>0.625</v>
      </c>
      <c r="P25" s="91">
        <v>14</v>
      </c>
      <c r="Q25" s="89">
        <v>0.38194444444444442</v>
      </c>
      <c r="R25" s="92">
        <f t="shared" si="5"/>
        <v>567</v>
      </c>
      <c r="S25" s="88">
        <v>350</v>
      </c>
      <c r="T25" s="88">
        <v>217</v>
      </c>
      <c r="U25" s="90">
        <f t="shared" si="6"/>
        <v>45911</v>
      </c>
      <c r="V25" s="91">
        <v>30</v>
      </c>
      <c r="W25" s="89">
        <v>0.23125000000000001</v>
      </c>
      <c r="X25" s="88">
        <v>475</v>
      </c>
    </row>
    <row r="26" spans="2:24" ht="15.75" thickBot="1" x14ac:dyDescent="0.3">
      <c r="B26" s="90">
        <f t="shared" si="7"/>
        <v>45912</v>
      </c>
      <c r="D26" s="172">
        <v>115</v>
      </c>
      <c r="E26" s="89">
        <v>0.50347222222222221</v>
      </c>
      <c r="F26" s="88">
        <v>1280</v>
      </c>
      <c r="G26" s="93">
        <f t="shared" si="0"/>
        <v>770</v>
      </c>
      <c r="H26" s="88">
        <v>510</v>
      </c>
      <c r="I26" s="90">
        <f t="shared" si="3"/>
        <v>45912</v>
      </c>
      <c r="J26" s="91">
        <v>34</v>
      </c>
      <c r="K26" s="89">
        <v>0.57638888888888884</v>
      </c>
      <c r="L26" s="88">
        <v>586</v>
      </c>
      <c r="M26" s="90">
        <f t="shared" si="4"/>
        <v>45912</v>
      </c>
      <c r="N26" s="91">
        <v>29</v>
      </c>
      <c r="O26" s="89">
        <v>0.49652777777777779</v>
      </c>
      <c r="P26" s="91">
        <v>15</v>
      </c>
      <c r="Q26" s="89">
        <v>0.3347222222222222</v>
      </c>
      <c r="R26" s="92">
        <f t="shared" ref="R26:R44" si="8">S26+T26</f>
        <v>574</v>
      </c>
      <c r="S26" s="88">
        <v>355</v>
      </c>
      <c r="T26" s="88">
        <v>219</v>
      </c>
      <c r="U26" s="90">
        <f t="shared" si="6"/>
        <v>45912</v>
      </c>
      <c r="V26" s="91">
        <v>30</v>
      </c>
      <c r="W26" s="89">
        <v>0.27430555555555558</v>
      </c>
      <c r="X26" s="88">
        <v>452</v>
      </c>
    </row>
    <row r="27" spans="2:24" ht="15.75" thickBot="1" x14ac:dyDescent="0.3">
      <c r="B27" s="90">
        <f t="shared" si="7"/>
        <v>45913</v>
      </c>
      <c r="D27" s="172">
        <v>78</v>
      </c>
      <c r="E27" s="89">
        <v>0.44791666666666669</v>
      </c>
      <c r="F27" s="88">
        <v>834</v>
      </c>
      <c r="G27" s="93">
        <f t="shared" si="0"/>
        <v>366</v>
      </c>
      <c r="H27" s="88">
        <v>468</v>
      </c>
      <c r="I27" s="90">
        <f t="shared" si="3"/>
        <v>45913</v>
      </c>
      <c r="J27" s="91">
        <v>0</v>
      </c>
      <c r="K27" s="89"/>
      <c r="L27" s="88">
        <v>0</v>
      </c>
      <c r="M27" s="90">
        <f t="shared" si="4"/>
        <v>45913</v>
      </c>
      <c r="N27" s="91">
        <v>25</v>
      </c>
      <c r="O27" s="89">
        <v>0.44791666666666669</v>
      </c>
      <c r="P27" s="91">
        <v>12</v>
      </c>
      <c r="Q27" s="89">
        <v>0.39583333333333331</v>
      </c>
      <c r="R27" s="92">
        <f t="shared" si="8"/>
        <v>542</v>
      </c>
      <c r="S27" s="88">
        <v>348</v>
      </c>
      <c r="T27" s="88">
        <v>194</v>
      </c>
      <c r="U27" s="90">
        <f t="shared" si="6"/>
        <v>45913</v>
      </c>
      <c r="V27" s="91">
        <v>29</v>
      </c>
      <c r="W27" s="89">
        <v>0.15625</v>
      </c>
      <c r="X27" s="88">
        <v>472</v>
      </c>
    </row>
    <row r="28" spans="2:24" ht="15.75" thickBot="1" x14ac:dyDescent="0.3">
      <c r="B28" s="90">
        <f t="shared" si="7"/>
        <v>45914</v>
      </c>
      <c r="D28" s="172">
        <v>71.55</v>
      </c>
      <c r="E28" s="89">
        <v>0.9375</v>
      </c>
      <c r="F28" s="88">
        <v>790.52</v>
      </c>
      <c r="G28" s="93">
        <f t="shared" si="0"/>
        <v>351.35999999999996</v>
      </c>
      <c r="H28" s="88">
        <v>439.16</v>
      </c>
      <c r="I28" s="90">
        <f t="shared" si="3"/>
        <v>45914</v>
      </c>
      <c r="J28" s="91">
        <v>27.49</v>
      </c>
      <c r="K28" s="89">
        <v>0.82291666666666663</v>
      </c>
      <c r="L28" s="88">
        <v>280.02999999999997</v>
      </c>
      <c r="M28" s="90">
        <f t="shared" si="4"/>
        <v>45914</v>
      </c>
      <c r="N28" s="91">
        <v>24.6</v>
      </c>
      <c r="O28" s="89">
        <v>0.61458333333333337</v>
      </c>
      <c r="P28" s="91">
        <v>8.2100000000000009</v>
      </c>
      <c r="Q28" s="89">
        <v>0.875</v>
      </c>
      <c r="R28" s="92">
        <f t="shared" si="8"/>
        <v>492.85</v>
      </c>
      <c r="S28" s="88">
        <v>324.39</v>
      </c>
      <c r="T28" s="88">
        <v>168.46</v>
      </c>
      <c r="U28" s="90">
        <f t="shared" si="6"/>
        <v>45914</v>
      </c>
      <c r="V28" s="91">
        <v>24.72</v>
      </c>
      <c r="W28" s="89">
        <v>0.23958333333333334</v>
      </c>
      <c r="X28" s="88">
        <v>452.79</v>
      </c>
    </row>
    <row r="29" spans="2:24" ht="15.75" thickBot="1" x14ac:dyDescent="0.3">
      <c r="B29" s="90">
        <f t="shared" si="7"/>
        <v>45915</v>
      </c>
      <c r="D29" s="172">
        <v>93</v>
      </c>
      <c r="E29" s="89">
        <v>0.41666666666666669</v>
      </c>
      <c r="F29" s="88">
        <v>1178</v>
      </c>
      <c r="G29" s="93">
        <f t="shared" si="0"/>
        <v>696</v>
      </c>
      <c r="H29" s="88">
        <v>482</v>
      </c>
      <c r="I29" s="90">
        <f t="shared" si="3"/>
        <v>45915</v>
      </c>
      <c r="J29" s="91">
        <v>30</v>
      </c>
      <c r="K29" s="89">
        <v>0.88541666666666663</v>
      </c>
      <c r="L29" s="88">
        <v>595</v>
      </c>
      <c r="M29" s="90">
        <f t="shared" si="4"/>
        <v>45915</v>
      </c>
      <c r="N29" s="91">
        <v>25</v>
      </c>
      <c r="O29" s="89">
        <v>0.39583333333333331</v>
      </c>
      <c r="P29" s="91">
        <v>14</v>
      </c>
      <c r="Q29" s="89">
        <v>0.38541666666666669</v>
      </c>
      <c r="R29" s="92">
        <f t="shared" si="8"/>
        <v>574</v>
      </c>
      <c r="S29" s="88">
        <v>354</v>
      </c>
      <c r="T29" s="88">
        <v>220</v>
      </c>
      <c r="U29" s="90">
        <f t="shared" si="6"/>
        <v>45915</v>
      </c>
      <c r="V29" s="91">
        <v>24</v>
      </c>
      <c r="W29" s="89">
        <v>0.29166666666666669</v>
      </c>
      <c r="X29" s="88">
        <v>454</v>
      </c>
    </row>
    <row r="30" spans="2:24" ht="15.75" thickBot="1" x14ac:dyDescent="0.3">
      <c r="B30" s="90">
        <f t="shared" si="7"/>
        <v>45916</v>
      </c>
      <c r="D30" s="172">
        <v>116</v>
      </c>
      <c r="E30" s="89">
        <v>0.375</v>
      </c>
      <c r="F30" s="88">
        <v>1090</v>
      </c>
      <c r="G30" s="93">
        <f t="shared" si="0"/>
        <v>623</v>
      </c>
      <c r="H30" s="88">
        <v>467</v>
      </c>
      <c r="I30" s="90">
        <f t="shared" si="3"/>
        <v>45916</v>
      </c>
      <c r="J30" s="91">
        <v>31</v>
      </c>
      <c r="K30" s="89">
        <v>0.28125</v>
      </c>
      <c r="L30" s="88">
        <v>592</v>
      </c>
      <c r="M30" s="90">
        <f t="shared" si="4"/>
        <v>45916</v>
      </c>
      <c r="N30" s="91">
        <v>24</v>
      </c>
      <c r="O30" s="89">
        <v>0.46875</v>
      </c>
      <c r="P30" s="91">
        <v>15</v>
      </c>
      <c r="Q30" s="89">
        <v>0.34375</v>
      </c>
      <c r="R30" s="92">
        <f t="shared" si="8"/>
        <v>577</v>
      </c>
      <c r="S30" s="88">
        <v>351</v>
      </c>
      <c r="T30" s="88">
        <v>226</v>
      </c>
      <c r="U30" s="90">
        <f t="shared" si="6"/>
        <v>45916</v>
      </c>
      <c r="V30" s="91">
        <v>27</v>
      </c>
      <c r="W30" s="89">
        <v>5.2083333333333336E-2</v>
      </c>
      <c r="X30" s="88">
        <v>463</v>
      </c>
    </row>
    <row r="31" spans="2:24" ht="15.75" thickBot="1" x14ac:dyDescent="0.3">
      <c r="B31" s="90">
        <f t="shared" si="7"/>
        <v>45917</v>
      </c>
      <c r="D31" s="172">
        <v>117</v>
      </c>
      <c r="E31" s="89">
        <v>0.48958333333333331</v>
      </c>
      <c r="F31" s="88">
        <v>989</v>
      </c>
      <c r="G31" s="93">
        <f t="shared" si="0"/>
        <v>526</v>
      </c>
      <c r="H31" s="88">
        <v>463</v>
      </c>
      <c r="I31" s="90">
        <f t="shared" si="3"/>
        <v>45917</v>
      </c>
      <c r="J31" s="91">
        <v>28</v>
      </c>
      <c r="K31" s="89">
        <v>0.61458333333333337</v>
      </c>
      <c r="L31" s="88">
        <v>556</v>
      </c>
      <c r="M31" s="90">
        <f t="shared" si="4"/>
        <v>45917</v>
      </c>
      <c r="N31" s="91">
        <v>27</v>
      </c>
      <c r="O31" s="89">
        <v>0.51041666666666663</v>
      </c>
      <c r="P31" s="91">
        <v>15</v>
      </c>
      <c r="Q31" s="89">
        <v>0.54166666666666663</v>
      </c>
      <c r="R31" s="92">
        <f t="shared" si="8"/>
        <v>564</v>
      </c>
      <c r="S31" s="88">
        <v>344</v>
      </c>
      <c r="T31" s="88">
        <v>220</v>
      </c>
      <c r="U31" s="90">
        <f t="shared" si="6"/>
        <v>45917</v>
      </c>
      <c r="V31" s="91">
        <v>26</v>
      </c>
      <c r="W31" s="89">
        <v>0.78125</v>
      </c>
      <c r="X31" s="88">
        <v>504</v>
      </c>
    </row>
    <row r="32" spans="2:24" ht="15.75" thickBot="1" x14ac:dyDescent="0.3">
      <c r="B32" s="90">
        <f t="shared" si="7"/>
        <v>45918</v>
      </c>
      <c r="D32" s="172">
        <v>45</v>
      </c>
      <c r="E32" s="89">
        <v>0.82291666666666663</v>
      </c>
      <c r="F32" s="88">
        <v>744</v>
      </c>
      <c r="G32" s="93">
        <f t="shared" si="0"/>
        <v>311</v>
      </c>
      <c r="H32" s="88">
        <v>433</v>
      </c>
      <c r="I32" s="90">
        <f t="shared" si="3"/>
        <v>45918</v>
      </c>
      <c r="J32" s="91">
        <v>27</v>
      </c>
      <c r="K32" s="89">
        <v>0.97916666666666663</v>
      </c>
      <c r="L32" s="88">
        <v>534</v>
      </c>
      <c r="M32" s="90">
        <f t="shared" si="4"/>
        <v>45918</v>
      </c>
      <c r="N32" s="91">
        <v>24</v>
      </c>
      <c r="O32" s="89">
        <v>0.52083333333333337</v>
      </c>
      <c r="P32" s="91">
        <v>11</v>
      </c>
      <c r="Q32" s="89">
        <v>0.52083333333333337</v>
      </c>
      <c r="R32" s="92">
        <f t="shared" si="8"/>
        <v>522</v>
      </c>
      <c r="S32" s="88">
        <v>330</v>
      </c>
      <c r="T32" s="88">
        <v>192</v>
      </c>
      <c r="U32" s="90">
        <f t="shared" si="6"/>
        <v>45918</v>
      </c>
      <c r="V32" s="91">
        <v>24</v>
      </c>
      <c r="W32" s="89">
        <v>0.75</v>
      </c>
      <c r="X32" s="88">
        <v>440</v>
      </c>
    </row>
    <row r="33" spans="2:24" ht="15.75" thickBot="1" x14ac:dyDescent="0.3">
      <c r="B33" s="90">
        <f t="shared" si="7"/>
        <v>45919</v>
      </c>
      <c r="D33" s="172">
        <v>48.62</v>
      </c>
      <c r="E33" s="89">
        <v>0.28125</v>
      </c>
      <c r="F33" s="88">
        <v>743.18</v>
      </c>
      <c r="G33" s="93">
        <f t="shared" si="0"/>
        <v>291.43999999999994</v>
      </c>
      <c r="H33" s="88">
        <v>451.74</v>
      </c>
      <c r="I33" s="90">
        <f t="shared" si="3"/>
        <v>45919</v>
      </c>
      <c r="J33" s="91">
        <v>30.54</v>
      </c>
      <c r="K33" s="89">
        <v>0.94791666666666663</v>
      </c>
      <c r="L33" s="88">
        <v>555.88</v>
      </c>
      <c r="M33" s="90">
        <f t="shared" si="4"/>
        <v>45919</v>
      </c>
      <c r="N33" s="91">
        <v>23.42</v>
      </c>
      <c r="O33" s="89">
        <v>0.78125</v>
      </c>
      <c r="P33" s="91">
        <v>10.15</v>
      </c>
      <c r="Q33" s="89">
        <v>0.57291666666666663</v>
      </c>
      <c r="R33" s="92">
        <f t="shared" si="8"/>
        <v>528.25</v>
      </c>
      <c r="S33" s="88">
        <v>336.25</v>
      </c>
      <c r="T33" s="88">
        <v>192</v>
      </c>
      <c r="U33" s="90">
        <f t="shared" si="6"/>
        <v>45919</v>
      </c>
      <c r="V33" s="91">
        <v>26.14</v>
      </c>
      <c r="W33" s="89">
        <v>0.20833333333333334</v>
      </c>
      <c r="X33" s="88">
        <v>459.13</v>
      </c>
    </row>
    <row r="34" spans="2:24" ht="15.75" thickBot="1" x14ac:dyDescent="0.3">
      <c r="B34" s="90">
        <f t="shared" si="7"/>
        <v>45920</v>
      </c>
      <c r="D34" s="172">
        <v>43.91</v>
      </c>
      <c r="E34" s="89">
        <v>0.29166666666666669</v>
      </c>
      <c r="F34" s="88">
        <v>737.64</v>
      </c>
      <c r="G34" s="93">
        <f t="shared" si="0"/>
        <v>279.33999999999997</v>
      </c>
      <c r="H34" s="88">
        <v>458.3</v>
      </c>
      <c r="I34" s="90">
        <f t="shared" si="3"/>
        <v>45920</v>
      </c>
      <c r="J34" s="91">
        <v>29.11</v>
      </c>
      <c r="K34" s="89">
        <v>0.125</v>
      </c>
      <c r="L34" s="88">
        <v>583.17999999999995</v>
      </c>
      <c r="M34" s="90">
        <f t="shared" si="4"/>
        <v>45920</v>
      </c>
      <c r="N34" s="91">
        <v>22.08</v>
      </c>
      <c r="O34" s="89">
        <v>0.29166666666666669</v>
      </c>
      <c r="P34" s="91">
        <v>11.3</v>
      </c>
      <c r="Q34" s="89">
        <v>0.29166666666666669</v>
      </c>
      <c r="R34" s="92">
        <f t="shared" si="8"/>
        <v>520.25</v>
      </c>
      <c r="S34" s="88">
        <v>337.36</v>
      </c>
      <c r="T34" s="88">
        <v>182.89</v>
      </c>
      <c r="U34" s="90">
        <f t="shared" si="6"/>
        <v>45920</v>
      </c>
      <c r="V34" s="91">
        <v>26.24</v>
      </c>
      <c r="W34" s="89">
        <v>0.16666666666666666</v>
      </c>
      <c r="X34" s="88">
        <v>499.13</v>
      </c>
    </row>
    <row r="35" spans="2:24" ht="15.75" thickBot="1" x14ac:dyDescent="0.3">
      <c r="B35" s="90">
        <f t="shared" si="7"/>
        <v>45921</v>
      </c>
      <c r="D35" s="172">
        <v>48</v>
      </c>
      <c r="E35" s="89">
        <v>0.92708333333333337</v>
      </c>
      <c r="F35" s="88">
        <v>764</v>
      </c>
      <c r="G35" s="93">
        <f t="shared" si="0"/>
        <v>325</v>
      </c>
      <c r="H35" s="88">
        <v>439</v>
      </c>
      <c r="I35" s="90">
        <f t="shared" si="3"/>
        <v>45921</v>
      </c>
      <c r="J35" s="91">
        <v>31</v>
      </c>
      <c r="K35" s="89">
        <v>0.89583333333333337</v>
      </c>
      <c r="L35" s="88">
        <v>588</v>
      </c>
      <c r="M35" s="90">
        <f t="shared" si="4"/>
        <v>45921</v>
      </c>
      <c r="N35" s="91">
        <v>21</v>
      </c>
      <c r="O35" s="89">
        <v>0.67708333333333337</v>
      </c>
      <c r="P35" s="91">
        <v>8</v>
      </c>
      <c r="Q35" s="89">
        <v>0.48958333333333331</v>
      </c>
      <c r="R35" s="92">
        <f t="shared" si="8"/>
        <v>504</v>
      </c>
      <c r="S35" s="88">
        <v>342</v>
      </c>
      <c r="T35" s="88">
        <v>162</v>
      </c>
      <c r="U35" s="90">
        <f t="shared" si="6"/>
        <v>45921</v>
      </c>
      <c r="V35" s="91">
        <v>26</v>
      </c>
      <c r="W35" s="89">
        <v>0.90625</v>
      </c>
      <c r="X35" s="88">
        <v>425</v>
      </c>
    </row>
    <row r="36" spans="2:24" ht="15.75" thickBot="1" x14ac:dyDescent="0.3">
      <c r="B36" s="90">
        <f t="shared" si="7"/>
        <v>45922</v>
      </c>
      <c r="D36" s="172">
        <v>120</v>
      </c>
      <c r="E36" s="89">
        <v>0.37708333333333333</v>
      </c>
      <c r="F36" s="88">
        <v>1249</v>
      </c>
      <c r="G36" s="93">
        <f t="shared" si="0"/>
        <v>741</v>
      </c>
      <c r="H36" s="88">
        <v>508</v>
      </c>
      <c r="I36" s="90">
        <f t="shared" si="3"/>
        <v>45922</v>
      </c>
      <c r="J36" s="91">
        <v>36</v>
      </c>
      <c r="K36" s="89">
        <v>0.5625</v>
      </c>
      <c r="L36" s="88">
        <v>625</v>
      </c>
      <c r="M36" s="90">
        <f t="shared" si="4"/>
        <v>45922</v>
      </c>
      <c r="N36" s="91">
        <v>28</v>
      </c>
      <c r="O36" s="89">
        <v>0.25694444444444442</v>
      </c>
      <c r="P36" s="91">
        <v>14</v>
      </c>
      <c r="Q36" s="89">
        <v>0.72777777777777775</v>
      </c>
      <c r="R36" s="92">
        <f t="shared" si="8"/>
        <v>567</v>
      </c>
      <c r="S36" s="88">
        <v>352</v>
      </c>
      <c r="T36" s="88">
        <v>215</v>
      </c>
      <c r="U36" s="90">
        <f t="shared" si="6"/>
        <v>45922</v>
      </c>
      <c r="V36" s="91">
        <v>30</v>
      </c>
      <c r="W36" s="89">
        <v>0.69305555555555554</v>
      </c>
      <c r="X36" s="88">
        <v>516</v>
      </c>
    </row>
    <row r="37" spans="2:24" ht="15.75" thickBot="1" x14ac:dyDescent="0.3">
      <c r="B37" s="90">
        <f t="shared" si="7"/>
        <v>45923</v>
      </c>
      <c r="D37" s="172">
        <v>122</v>
      </c>
      <c r="E37" s="89">
        <v>0.35416666666666669</v>
      </c>
      <c r="F37" s="88">
        <v>1255</v>
      </c>
      <c r="G37" s="93">
        <f t="shared" si="0"/>
        <v>745</v>
      </c>
      <c r="H37" s="88">
        <v>510</v>
      </c>
      <c r="I37" s="90">
        <f t="shared" si="3"/>
        <v>45923</v>
      </c>
      <c r="J37" s="91">
        <v>35</v>
      </c>
      <c r="K37" s="89">
        <v>0.64583333333333337</v>
      </c>
      <c r="L37" s="88">
        <v>620</v>
      </c>
      <c r="M37" s="90">
        <f t="shared" si="4"/>
        <v>45923</v>
      </c>
      <c r="N37" s="91">
        <v>28</v>
      </c>
      <c r="O37" s="89">
        <v>0.27083333333333331</v>
      </c>
      <c r="P37" s="91">
        <v>14</v>
      </c>
      <c r="Q37" s="89">
        <v>0.77083333333333337</v>
      </c>
      <c r="R37" s="92">
        <f t="shared" si="8"/>
        <v>567</v>
      </c>
      <c r="S37" s="88">
        <v>350</v>
      </c>
      <c r="T37" s="88">
        <v>217</v>
      </c>
      <c r="U37" s="90">
        <f t="shared" si="6"/>
        <v>45923</v>
      </c>
      <c r="V37" s="91">
        <v>30</v>
      </c>
      <c r="W37" s="89">
        <v>0.72916666666666663</v>
      </c>
      <c r="X37" s="88">
        <v>518</v>
      </c>
    </row>
    <row r="38" spans="2:24" ht="15.75" thickBot="1" x14ac:dyDescent="0.3">
      <c r="B38" s="90">
        <f t="shared" si="7"/>
        <v>45924</v>
      </c>
      <c r="D38" s="172">
        <v>108</v>
      </c>
      <c r="E38" s="89">
        <v>0.55208333333333337</v>
      </c>
      <c r="F38" s="88">
        <v>1300</v>
      </c>
      <c r="G38" s="93">
        <f t="shared" si="0"/>
        <v>809</v>
      </c>
      <c r="H38" s="88">
        <v>491</v>
      </c>
      <c r="I38" s="90">
        <f t="shared" si="3"/>
        <v>45924</v>
      </c>
      <c r="J38" s="91">
        <v>32</v>
      </c>
      <c r="K38" s="89">
        <v>0.57291666666666663</v>
      </c>
      <c r="L38" s="88">
        <v>590</v>
      </c>
      <c r="M38" s="90">
        <f t="shared" si="4"/>
        <v>45924</v>
      </c>
      <c r="N38" s="91">
        <v>25</v>
      </c>
      <c r="O38" s="89">
        <v>0.34375</v>
      </c>
      <c r="P38" s="91">
        <v>14</v>
      </c>
      <c r="Q38" s="89">
        <v>0.77083333333333337</v>
      </c>
      <c r="R38" s="92">
        <f t="shared" si="8"/>
        <v>586</v>
      </c>
      <c r="S38" s="88">
        <v>358</v>
      </c>
      <c r="T38" s="88">
        <v>228</v>
      </c>
      <c r="U38" s="90">
        <f t="shared" si="6"/>
        <v>45924</v>
      </c>
      <c r="V38" s="91">
        <v>27</v>
      </c>
      <c r="W38" s="89">
        <v>0.8125</v>
      </c>
      <c r="X38" s="88">
        <v>457</v>
      </c>
    </row>
    <row r="39" spans="2:24" ht="15.75" thickBot="1" x14ac:dyDescent="0.3">
      <c r="B39" s="90">
        <f t="shared" si="7"/>
        <v>45925</v>
      </c>
      <c r="D39" s="172">
        <v>113.88</v>
      </c>
      <c r="E39" s="89">
        <v>0.35416666666666669</v>
      </c>
      <c r="F39" s="88">
        <v>1315.89</v>
      </c>
      <c r="G39" s="93">
        <f t="shared" si="0"/>
        <v>827.31000000000017</v>
      </c>
      <c r="H39" s="88">
        <v>488.58</v>
      </c>
      <c r="I39" s="90">
        <f t="shared" si="3"/>
        <v>45925</v>
      </c>
      <c r="J39" s="91">
        <v>31.77</v>
      </c>
      <c r="K39" s="89">
        <v>0.85416666666666663</v>
      </c>
      <c r="L39" s="88">
        <v>597.15</v>
      </c>
      <c r="M39" s="90">
        <f t="shared" si="4"/>
        <v>45925</v>
      </c>
      <c r="N39" s="91">
        <v>26.63</v>
      </c>
      <c r="O39" s="89">
        <v>0.36458333333333331</v>
      </c>
      <c r="P39" s="91">
        <v>13.26</v>
      </c>
      <c r="Q39" s="89">
        <v>0.76041666666666663</v>
      </c>
      <c r="R39" s="92">
        <f t="shared" si="8"/>
        <v>584.08999999999992</v>
      </c>
      <c r="S39" s="88">
        <v>359.14</v>
      </c>
      <c r="T39" s="88">
        <v>224.95</v>
      </c>
      <c r="U39" s="90">
        <f t="shared" si="6"/>
        <v>45925</v>
      </c>
      <c r="V39" s="91">
        <v>26.81</v>
      </c>
      <c r="W39" s="89">
        <v>0.3125</v>
      </c>
      <c r="X39" s="88">
        <v>514.02</v>
      </c>
    </row>
    <row r="40" spans="2:24" ht="15.75" thickBot="1" x14ac:dyDescent="0.3">
      <c r="B40" s="90">
        <f t="shared" si="7"/>
        <v>45926</v>
      </c>
      <c r="D40" s="172">
        <v>97</v>
      </c>
      <c r="E40" s="173">
        <v>0.48958333333333331</v>
      </c>
      <c r="F40" s="174">
        <v>1340</v>
      </c>
      <c r="G40" s="93">
        <f t="shared" si="0"/>
        <v>852</v>
      </c>
      <c r="H40" s="174">
        <v>488</v>
      </c>
      <c r="I40" s="175">
        <f t="shared" si="3"/>
        <v>45926</v>
      </c>
      <c r="J40" s="172">
        <v>30</v>
      </c>
      <c r="K40" s="173">
        <v>0.51041666666666663</v>
      </c>
      <c r="L40" s="174">
        <v>614</v>
      </c>
      <c r="M40" s="175">
        <f t="shared" si="4"/>
        <v>45926</v>
      </c>
      <c r="N40" s="172">
        <v>27</v>
      </c>
      <c r="O40" s="173">
        <v>0.5625</v>
      </c>
      <c r="P40" s="172">
        <v>15</v>
      </c>
      <c r="Q40" s="173">
        <v>0.76041666666666663</v>
      </c>
      <c r="R40" s="92">
        <f t="shared" si="8"/>
        <v>263</v>
      </c>
      <c r="S40" s="174">
        <v>39</v>
      </c>
      <c r="T40" s="174">
        <v>224</v>
      </c>
      <c r="U40" s="175">
        <f t="shared" si="6"/>
        <v>45926</v>
      </c>
      <c r="V40" s="172">
        <v>29</v>
      </c>
      <c r="W40" s="173">
        <v>0.20833333333333334</v>
      </c>
      <c r="X40" s="174">
        <v>505</v>
      </c>
    </row>
    <row r="41" spans="2:24" ht="15.75" thickBot="1" x14ac:dyDescent="0.3">
      <c r="B41" s="90">
        <f t="shared" si="7"/>
        <v>45927</v>
      </c>
      <c r="D41" s="172">
        <v>99</v>
      </c>
      <c r="E41" s="89">
        <v>0.29166666666666669</v>
      </c>
      <c r="F41" s="88">
        <v>1058</v>
      </c>
      <c r="G41" s="93">
        <f t="shared" si="0"/>
        <v>539</v>
      </c>
      <c r="H41" s="88">
        <v>519</v>
      </c>
      <c r="I41" s="90">
        <f t="shared" si="3"/>
        <v>45927</v>
      </c>
      <c r="J41" s="91">
        <v>30</v>
      </c>
      <c r="K41" s="89">
        <v>0.30208333333333331</v>
      </c>
      <c r="L41" s="88">
        <v>579</v>
      </c>
      <c r="M41" s="90">
        <f t="shared" si="4"/>
        <v>45927</v>
      </c>
      <c r="N41" s="91">
        <v>24</v>
      </c>
      <c r="O41" s="89">
        <v>0.80208333333333337</v>
      </c>
      <c r="P41" s="91">
        <v>12</v>
      </c>
      <c r="Q41" s="89">
        <v>0.51041666666666663</v>
      </c>
      <c r="R41" s="92">
        <f t="shared" si="8"/>
        <v>539</v>
      </c>
      <c r="S41" s="88">
        <v>354</v>
      </c>
      <c r="T41" s="88">
        <v>185</v>
      </c>
      <c r="U41" s="90">
        <f t="shared" si="6"/>
        <v>45927</v>
      </c>
      <c r="V41" s="91">
        <v>26</v>
      </c>
      <c r="W41" s="89">
        <v>0.22916666666666666</v>
      </c>
      <c r="X41" s="88">
        <v>462</v>
      </c>
    </row>
    <row r="42" spans="2:24" ht="15.75" thickBot="1" x14ac:dyDescent="0.3">
      <c r="B42" s="90">
        <f t="shared" si="7"/>
        <v>45928</v>
      </c>
      <c r="D42" s="172">
        <v>70</v>
      </c>
      <c r="E42" s="89">
        <v>0.33333333333333331</v>
      </c>
      <c r="F42" s="88">
        <v>1080</v>
      </c>
      <c r="G42" s="93">
        <f t="shared" si="0"/>
        <v>582</v>
      </c>
      <c r="H42" s="88">
        <v>498</v>
      </c>
      <c r="I42" s="90">
        <f t="shared" si="3"/>
        <v>45928</v>
      </c>
      <c r="J42" s="91">
        <v>29</v>
      </c>
      <c r="K42" s="89">
        <v>0.33333333333333331</v>
      </c>
      <c r="L42" s="88">
        <v>558</v>
      </c>
      <c r="M42" s="90">
        <f t="shared" si="4"/>
        <v>45928</v>
      </c>
      <c r="N42" s="91">
        <v>21</v>
      </c>
      <c r="O42" s="89">
        <v>0.77083333333333337</v>
      </c>
      <c r="P42" s="91">
        <v>12</v>
      </c>
      <c r="Q42" s="89">
        <v>0.5625</v>
      </c>
      <c r="R42" s="92">
        <f t="shared" si="8"/>
        <v>490</v>
      </c>
      <c r="S42" s="88">
        <v>310</v>
      </c>
      <c r="T42" s="88">
        <v>180</v>
      </c>
      <c r="U42" s="90">
        <f t="shared" si="6"/>
        <v>45928</v>
      </c>
      <c r="V42" s="91">
        <v>25</v>
      </c>
      <c r="W42" s="89">
        <v>0.35416666666666669</v>
      </c>
      <c r="X42" s="88">
        <v>460</v>
      </c>
    </row>
    <row r="43" spans="2:24" ht="15.75" thickBot="1" x14ac:dyDescent="0.3">
      <c r="B43" s="90">
        <f t="shared" si="7"/>
        <v>45929</v>
      </c>
      <c r="D43" s="172">
        <v>122</v>
      </c>
      <c r="E43" s="89">
        <v>0.48958333333333331</v>
      </c>
      <c r="F43" s="88">
        <v>1385</v>
      </c>
      <c r="G43" s="93">
        <f t="shared" si="0"/>
        <v>898</v>
      </c>
      <c r="H43" s="88">
        <v>487</v>
      </c>
      <c r="I43" s="90">
        <f t="shared" si="3"/>
        <v>45929</v>
      </c>
      <c r="J43" s="91">
        <v>29</v>
      </c>
      <c r="K43" s="89">
        <v>0.25</v>
      </c>
      <c r="L43" s="88">
        <v>591</v>
      </c>
      <c r="M43" s="175">
        <f t="shared" si="4"/>
        <v>45929</v>
      </c>
      <c r="N43" s="91">
        <v>52</v>
      </c>
      <c r="O43" s="89">
        <v>0.57291666666666663</v>
      </c>
      <c r="P43" s="91">
        <v>56</v>
      </c>
      <c r="Q43" s="89">
        <v>0.72916666666666663</v>
      </c>
      <c r="R43" s="92">
        <f t="shared" si="8"/>
        <v>601</v>
      </c>
      <c r="S43" s="88">
        <v>369</v>
      </c>
      <c r="T43" s="88">
        <v>232</v>
      </c>
      <c r="U43" s="90">
        <f t="shared" si="6"/>
        <v>45929</v>
      </c>
      <c r="V43" s="91">
        <v>28</v>
      </c>
      <c r="W43" s="89">
        <v>0.66666666666666663</v>
      </c>
      <c r="X43" s="88">
        <v>503</v>
      </c>
    </row>
    <row r="44" spans="2:24" x14ac:dyDescent="0.25">
      <c r="B44" s="90">
        <f t="shared" si="7"/>
        <v>45930</v>
      </c>
      <c r="D44" s="172">
        <v>114.62</v>
      </c>
      <c r="E44" s="173">
        <v>0.51041666666666663</v>
      </c>
      <c r="F44" s="174">
        <v>1405.06</v>
      </c>
      <c r="G44" s="93">
        <f t="shared" si="0"/>
        <v>927.93</v>
      </c>
      <c r="H44" s="174">
        <v>477.13</v>
      </c>
      <c r="I44" s="90">
        <f t="shared" si="3"/>
        <v>45930</v>
      </c>
      <c r="J44" s="172">
        <v>31.39</v>
      </c>
      <c r="K44" s="173">
        <v>0.54166666666666663</v>
      </c>
      <c r="L44" s="174">
        <v>605.98</v>
      </c>
      <c r="M44" s="90">
        <f t="shared" si="4"/>
        <v>45930</v>
      </c>
      <c r="N44" s="172">
        <v>23.93</v>
      </c>
      <c r="O44" s="173">
        <v>0.71875</v>
      </c>
      <c r="P44" s="172">
        <v>14.66</v>
      </c>
      <c r="Q44" s="173">
        <v>0.3125</v>
      </c>
      <c r="R44" s="92">
        <f t="shared" si="8"/>
        <v>599.17000000000007</v>
      </c>
      <c r="S44" s="174">
        <v>368.85</v>
      </c>
      <c r="T44" s="174">
        <v>230.32</v>
      </c>
      <c r="U44" s="90">
        <f t="shared" si="6"/>
        <v>45930</v>
      </c>
      <c r="V44" s="172">
        <v>26.75</v>
      </c>
      <c r="W44" s="173">
        <v>0.21875</v>
      </c>
      <c r="X44" s="174">
        <v>455</v>
      </c>
    </row>
    <row r="45" spans="2:24" x14ac:dyDescent="0.25">
      <c r="F45" s="243">
        <f>SUM(F15:F44)</f>
        <v>34039.799999999996</v>
      </c>
      <c r="G45" s="243">
        <f t="shared" ref="G45:H45" si="9">SUM(G15:G44)</f>
        <v>19568.14</v>
      </c>
      <c r="H45" s="243">
        <f t="shared" si="9"/>
        <v>14471.659999999998</v>
      </c>
    </row>
    <row r="46" spans="2:24" x14ac:dyDescent="0.25">
      <c r="G46" s="244">
        <f>G45/F45</f>
        <v>0.57486060435137698</v>
      </c>
      <c r="H46" s="245">
        <f>H45/F45</f>
        <v>0.42513939564862308</v>
      </c>
    </row>
    <row r="47" spans="2:24" x14ac:dyDescent="0.25">
      <c r="E47" s="178" t="s">
        <v>62</v>
      </c>
      <c r="F47" s="178" t="s">
        <v>63</v>
      </c>
      <c r="G47" s="178" t="s">
        <v>64</v>
      </c>
      <c r="H47" s="178" t="s">
        <v>65</v>
      </c>
      <c r="I47" s="178" t="s">
        <v>66</v>
      </c>
      <c r="J47" s="178" t="s">
        <v>67</v>
      </c>
    </row>
    <row r="48" spans="2:24" x14ac:dyDescent="0.25">
      <c r="D48" s="181">
        <v>45838</v>
      </c>
      <c r="E48" s="179">
        <f t="shared" ref="E48:E78" si="10">F14/J48</f>
        <v>0.32136824324324326</v>
      </c>
      <c r="F48" s="179">
        <f t="shared" ref="F48:F78" si="11">L14/J48</f>
        <v>0.2483108108108108</v>
      </c>
      <c r="G48" s="179">
        <f t="shared" ref="G48:G78" si="12">S14/J48</f>
        <v>0.15118243243243243</v>
      </c>
      <c r="H48" s="179">
        <f t="shared" ref="H48:H78" si="13">T14/J48</f>
        <v>6.6300675675675672E-2</v>
      </c>
      <c r="I48" s="179">
        <f t="shared" ref="I48:I78" si="14">X14/J48</f>
        <v>0.21283783783783783</v>
      </c>
      <c r="J48" s="180">
        <f>F14+L14+S14+T14+X14</f>
        <v>2368</v>
      </c>
    </row>
    <row r="49" spans="4:10" x14ac:dyDescent="0.25">
      <c r="D49" s="181">
        <v>45839</v>
      </c>
      <c r="E49" s="179">
        <f t="shared" si="10"/>
        <v>0.42897526501766786</v>
      </c>
      <c r="F49" s="179">
        <f t="shared" si="11"/>
        <v>0.20388692579505299</v>
      </c>
      <c r="G49" s="179">
        <f t="shared" si="12"/>
        <v>0.12862190812720847</v>
      </c>
      <c r="H49" s="179">
        <f t="shared" si="13"/>
        <v>7.3144876325088343E-2</v>
      </c>
      <c r="I49" s="179">
        <f t="shared" si="14"/>
        <v>0.16537102473498233</v>
      </c>
      <c r="J49" s="180">
        <f t="shared" ref="J49:J78" si="15">F15+L15+S15+T15+X15</f>
        <v>2830</v>
      </c>
    </row>
    <row r="50" spans="4:10" x14ac:dyDescent="0.25">
      <c r="D50" s="181">
        <v>45840</v>
      </c>
      <c r="E50" s="179">
        <f t="shared" si="10"/>
        <v>0.41302065103255164</v>
      </c>
      <c r="F50" s="179">
        <f t="shared" si="11"/>
        <v>0.20861043052152609</v>
      </c>
      <c r="G50" s="179">
        <f t="shared" si="12"/>
        <v>0.1288064403220161</v>
      </c>
      <c r="H50" s="179">
        <f t="shared" si="13"/>
        <v>7.4903745187259368E-2</v>
      </c>
      <c r="I50" s="179">
        <f t="shared" si="14"/>
        <v>0.17465873293664683</v>
      </c>
      <c r="J50" s="180">
        <f t="shared" si="15"/>
        <v>2857</v>
      </c>
    </row>
    <row r="51" spans="4:10" x14ac:dyDescent="0.25">
      <c r="D51" s="181">
        <v>45841</v>
      </c>
      <c r="E51" s="179">
        <f t="shared" si="10"/>
        <v>0.43349249658935879</v>
      </c>
      <c r="F51" s="179">
        <f t="shared" si="11"/>
        <v>0.20532060027285129</v>
      </c>
      <c r="G51" s="179">
        <f t="shared" si="12"/>
        <v>0.12482946793997271</v>
      </c>
      <c r="H51" s="179">
        <f t="shared" si="13"/>
        <v>7.4693042291950881E-2</v>
      </c>
      <c r="I51" s="179">
        <f t="shared" si="14"/>
        <v>0.16166439290586632</v>
      </c>
      <c r="J51" s="180">
        <f t="shared" si="15"/>
        <v>2932</v>
      </c>
    </row>
    <row r="52" spans="4:10" x14ac:dyDescent="0.25">
      <c r="D52" s="181">
        <v>45842</v>
      </c>
      <c r="E52" s="179">
        <f t="shared" si="10"/>
        <v>0.45767815322850453</v>
      </c>
      <c r="F52" s="179">
        <f t="shared" si="11"/>
        <v>0.19973235195717631</v>
      </c>
      <c r="G52" s="179">
        <f t="shared" si="12"/>
        <v>0.12077617932418869</v>
      </c>
      <c r="H52" s="179">
        <f t="shared" si="13"/>
        <v>7.1930411508865838E-2</v>
      </c>
      <c r="I52" s="179">
        <f t="shared" si="14"/>
        <v>0.14988290398126464</v>
      </c>
      <c r="J52" s="180">
        <f t="shared" si="15"/>
        <v>2989</v>
      </c>
    </row>
    <row r="53" spans="4:10" x14ac:dyDescent="0.25">
      <c r="D53" s="181">
        <v>45843</v>
      </c>
      <c r="E53" s="179">
        <f t="shared" si="10"/>
        <v>0.44269810085134248</v>
      </c>
      <c r="F53" s="179">
        <f t="shared" si="11"/>
        <v>0.19973804846103471</v>
      </c>
      <c r="G53" s="179">
        <f t="shared" si="12"/>
        <v>0.11722331368696791</v>
      </c>
      <c r="H53" s="179">
        <f t="shared" si="13"/>
        <v>6.9744597249508836E-2</v>
      </c>
      <c r="I53" s="179">
        <f t="shared" si="14"/>
        <v>0.17059593975114604</v>
      </c>
      <c r="J53" s="180">
        <f t="shared" si="15"/>
        <v>3054</v>
      </c>
    </row>
    <row r="54" spans="4:10" x14ac:dyDescent="0.25">
      <c r="D54" s="181">
        <v>45844</v>
      </c>
      <c r="E54" s="179">
        <f t="shared" si="10"/>
        <v>0.44274044364410248</v>
      </c>
      <c r="F54" s="179">
        <f t="shared" si="11"/>
        <v>0.19971187689285422</v>
      </c>
      <c r="G54" s="179">
        <f t="shared" si="12"/>
        <v>0.11715478431693542</v>
      </c>
      <c r="H54" s="179">
        <f t="shared" si="13"/>
        <v>6.9876401735286892E-2</v>
      </c>
      <c r="I54" s="179">
        <f t="shared" si="14"/>
        <v>0.17051649341082098</v>
      </c>
      <c r="J54" s="180">
        <f t="shared" si="15"/>
        <v>3054.25</v>
      </c>
    </row>
    <row r="55" spans="4:10" x14ac:dyDescent="0.25">
      <c r="D55" s="181">
        <v>45845</v>
      </c>
      <c r="E55" s="179">
        <f t="shared" si="10"/>
        <v>0.3236607142857143</v>
      </c>
      <c r="F55" s="179">
        <f t="shared" si="11"/>
        <v>0.24910714285714286</v>
      </c>
      <c r="G55" s="179">
        <f t="shared" si="12"/>
        <v>0.14508928571428573</v>
      </c>
      <c r="H55" s="179">
        <f t="shared" si="13"/>
        <v>6.7410714285714282E-2</v>
      </c>
      <c r="I55" s="179">
        <f t="shared" si="14"/>
        <v>0.21473214285714284</v>
      </c>
      <c r="J55" s="180">
        <f t="shared" si="15"/>
        <v>2240</v>
      </c>
    </row>
    <row r="56" spans="4:10" x14ac:dyDescent="0.25">
      <c r="D56" s="181">
        <v>45846</v>
      </c>
      <c r="E56" s="179">
        <f t="shared" si="10"/>
        <v>0.41767108938547487</v>
      </c>
      <c r="F56" s="179">
        <f t="shared" si="11"/>
        <v>0.22018854748603353</v>
      </c>
      <c r="G56" s="179">
        <f t="shared" si="12"/>
        <v>0.12224511173184358</v>
      </c>
      <c r="H56" s="179">
        <f t="shared" si="13"/>
        <v>7.4996508379888263E-2</v>
      </c>
      <c r="I56" s="179">
        <f t="shared" si="14"/>
        <v>0.16489874301675977</v>
      </c>
      <c r="J56" s="180">
        <f t="shared" si="15"/>
        <v>2864</v>
      </c>
    </row>
    <row r="57" spans="4:10" x14ac:dyDescent="0.25">
      <c r="D57" s="181">
        <v>45847</v>
      </c>
      <c r="E57" s="179">
        <f t="shared" si="10"/>
        <v>0.43984268773915147</v>
      </c>
      <c r="F57" s="179">
        <f t="shared" si="11"/>
        <v>0.21126119087908032</v>
      </c>
      <c r="G57" s="179">
        <f t="shared" si="12"/>
        <v>0.11917434334099061</v>
      </c>
      <c r="H57" s="179">
        <f t="shared" si="13"/>
        <v>7.2170157877414778E-2</v>
      </c>
      <c r="I57" s="179">
        <f t="shared" si="14"/>
        <v>0.15755162016336272</v>
      </c>
      <c r="J57" s="180">
        <f t="shared" si="15"/>
        <v>3008.03</v>
      </c>
    </row>
    <row r="58" spans="4:10" x14ac:dyDescent="0.25">
      <c r="D58" s="181">
        <v>45848</v>
      </c>
      <c r="E58" s="179">
        <f t="shared" si="10"/>
        <v>0.43448972718086898</v>
      </c>
      <c r="F58" s="179">
        <f t="shared" si="11"/>
        <v>0.21219265746042437</v>
      </c>
      <c r="G58" s="179">
        <f t="shared" si="12"/>
        <v>0.11956887841023914</v>
      </c>
      <c r="H58" s="179">
        <f t="shared" si="13"/>
        <v>7.1741327046143485E-2</v>
      </c>
      <c r="I58" s="179">
        <f t="shared" si="14"/>
        <v>0.16200740990232401</v>
      </c>
      <c r="J58" s="180">
        <f t="shared" si="15"/>
        <v>2969</v>
      </c>
    </row>
    <row r="59" spans="4:10" x14ac:dyDescent="0.25">
      <c r="D59" s="181">
        <v>45849</v>
      </c>
      <c r="E59" s="179">
        <f t="shared" si="10"/>
        <v>0.423407917383821</v>
      </c>
      <c r="F59" s="179">
        <f t="shared" si="11"/>
        <v>0.21790017211703958</v>
      </c>
      <c r="G59" s="179">
        <f t="shared" si="12"/>
        <v>0.12048192771084337</v>
      </c>
      <c r="H59" s="179">
        <f t="shared" si="13"/>
        <v>7.4698795180722893E-2</v>
      </c>
      <c r="I59" s="179">
        <f t="shared" si="14"/>
        <v>0.16351118760757316</v>
      </c>
      <c r="J59" s="180">
        <f t="shared" si="15"/>
        <v>2905</v>
      </c>
    </row>
    <row r="60" spans="4:10" x14ac:dyDescent="0.25">
      <c r="D60" s="181">
        <v>45850</v>
      </c>
      <c r="E60" s="179">
        <f t="shared" si="10"/>
        <v>0.44260027662517287</v>
      </c>
      <c r="F60" s="179">
        <f t="shared" si="11"/>
        <v>0.20262793914246197</v>
      </c>
      <c r="G60" s="179">
        <f t="shared" si="12"/>
        <v>0.12275242047026279</v>
      </c>
      <c r="H60" s="179">
        <f t="shared" si="13"/>
        <v>7.5726141078838169E-2</v>
      </c>
      <c r="I60" s="179">
        <f t="shared" si="14"/>
        <v>0.15629322268326418</v>
      </c>
      <c r="J60" s="180">
        <f t="shared" si="15"/>
        <v>2892</v>
      </c>
    </row>
    <row r="61" spans="4:10" x14ac:dyDescent="0.25">
      <c r="D61" s="181">
        <v>45851</v>
      </c>
      <c r="E61" s="179">
        <f t="shared" si="10"/>
        <v>0.45129870129870131</v>
      </c>
      <c r="F61" s="179">
        <f t="shared" si="11"/>
        <v>0</v>
      </c>
      <c r="G61" s="179">
        <f t="shared" si="12"/>
        <v>0.18831168831168832</v>
      </c>
      <c r="H61" s="179">
        <f t="shared" si="13"/>
        <v>0.10497835497835498</v>
      </c>
      <c r="I61" s="179">
        <f t="shared" si="14"/>
        <v>0.25541125541125542</v>
      </c>
      <c r="J61" s="180">
        <f t="shared" si="15"/>
        <v>1848</v>
      </c>
    </row>
    <row r="62" spans="4:10" x14ac:dyDescent="0.25">
      <c r="D62" s="181">
        <v>45852</v>
      </c>
      <c r="E62" s="179">
        <f t="shared" si="10"/>
        <v>0.39208606331744528</v>
      </c>
      <c r="F62" s="179">
        <f t="shared" si="11"/>
        <v>0.13889067994583842</v>
      </c>
      <c r="G62" s="179">
        <f t="shared" si="12"/>
        <v>0.16089257460854384</v>
      </c>
      <c r="H62" s="179">
        <f t="shared" si="13"/>
        <v>8.3553633338127861E-2</v>
      </c>
      <c r="I62" s="179">
        <f t="shared" si="14"/>
        <v>0.22457704879004459</v>
      </c>
      <c r="J62" s="180">
        <f t="shared" si="15"/>
        <v>2016.19</v>
      </c>
    </row>
    <row r="63" spans="4:10" x14ac:dyDescent="0.25">
      <c r="D63" s="181">
        <v>45853</v>
      </c>
      <c r="E63" s="179">
        <f t="shared" si="10"/>
        <v>0.42056408425562297</v>
      </c>
      <c r="F63" s="179">
        <f t="shared" si="11"/>
        <v>0.21242413423777223</v>
      </c>
      <c r="G63" s="179">
        <f t="shared" si="12"/>
        <v>0.12638343448768297</v>
      </c>
      <c r="H63" s="179">
        <f t="shared" si="13"/>
        <v>7.8543377365226708E-2</v>
      </c>
      <c r="I63" s="179">
        <f t="shared" si="14"/>
        <v>0.16208496965369512</v>
      </c>
      <c r="J63" s="180">
        <f t="shared" si="15"/>
        <v>2801</v>
      </c>
    </row>
    <row r="64" spans="4:10" x14ac:dyDescent="0.25">
      <c r="D64" s="181">
        <v>45854</v>
      </c>
      <c r="E64" s="179">
        <f t="shared" si="10"/>
        <v>0.40044085231447463</v>
      </c>
      <c r="F64" s="179">
        <f t="shared" si="11"/>
        <v>0.21748714180749448</v>
      </c>
      <c r="G64" s="179">
        <f t="shared" si="12"/>
        <v>0.12894930198383542</v>
      </c>
      <c r="H64" s="179">
        <f t="shared" si="13"/>
        <v>8.3027185892725938E-2</v>
      </c>
      <c r="I64" s="179">
        <f t="shared" si="14"/>
        <v>0.17009551800146952</v>
      </c>
      <c r="J64" s="180">
        <f t="shared" si="15"/>
        <v>2722</v>
      </c>
    </row>
    <row r="65" spans="4:10" x14ac:dyDescent="0.25">
      <c r="D65" s="181">
        <v>45855</v>
      </c>
      <c r="E65" s="179">
        <f t="shared" si="10"/>
        <v>0.37849215461155761</v>
      </c>
      <c r="F65" s="179">
        <f t="shared" si="11"/>
        <v>0.21278224263298889</v>
      </c>
      <c r="G65" s="179">
        <f t="shared" si="12"/>
        <v>0.13164944508228091</v>
      </c>
      <c r="H65" s="179">
        <f t="shared" si="13"/>
        <v>8.4194412552621514E-2</v>
      </c>
      <c r="I65" s="179">
        <f t="shared" si="14"/>
        <v>0.19288174512055109</v>
      </c>
      <c r="J65" s="180">
        <f t="shared" si="15"/>
        <v>2613</v>
      </c>
    </row>
    <row r="66" spans="4:10" x14ac:dyDescent="0.25">
      <c r="D66" s="181">
        <v>45856</v>
      </c>
      <c r="E66" s="179">
        <f t="shared" si="10"/>
        <v>0.33214285714285713</v>
      </c>
      <c r="F66" s="179">
        <f t="shared" si="11"/>
        <v>0.23839285714285716</v>
      </c>
      <c r="G66" s="179">
        <f t="shared" si="12"/>
        <v>0.14732142857142858</v>
      </c>
      <c r="H66" s="179">
        <f t="shared" si="13"/>
        <v>8.5714285714285715E-2</v>
      </c>
      <c r="I66" s="179">
        <f t="shared" si="14"/>
        <v>0.19642857142857142</v>
      </c>
      <c r="J66" s="180">
        <f t="shared" si="15"/>
        <v>2240</v>
      </c>
    </row>
    <row r="67" spans="4:10" x14ac:dyDescent="0.25">
      <c r="D67" s="181">
        <v>45857</v>
      </c>
      <c r="E67" s="179">
        <f t="shared" si="10"/>
        <v>0.32503805041899192</v>
      </c>
      <c r="F67" s="179">
        <f t="shared" si="11"/>
        <v>0.24312030930179668</v>
      </c>
      <c r="G67" s="179">
        <f t="shared" si="12"/>
        <v>0.14706268259827504</v>
      </c>
      <c r="H67" s="179">
        <f t="shared" si="13"/>
        <v>8.397333846503735E-2</v>
      </c>
      <c r="I67" s="179">
        <f t="shared" si="14"/>
        <v>0.20080561921589896</v>
      </c>
      <c r="J67" s="180">
        <f t="shared" si="15"/>
        <v>2286.44</v>
      </c>
    </row>
    <row r="68" spans="4:10" x14ac:dyDescent="0.25">
      <c r="D68" s="181">
        <v>45858</v>
      </c>
      <c r="E68" s="179">
        <f t="shared" si="10"/>
        <v>0.31520382873258695</v>
      </c>
      <c r="F68" s="179">
        <f t="shared" si="11"/>
        <v>0.24920092299803434</v>
      </c>
      <c r="G68" s="179">
        <f t="shared" si="12"/>
        <v>0.14415861892145973</v>
      </c>
      <c r="H68" s="179">
        <f t="shared" si="13"/>
        <v>7.8151440047859164E-2</v>
      </c>
      <c r="I68" s="179">
        <f t="shared" si="14"/>
        <v>0.21328518930005985</v>
      </c>
      <c r="J68" s="180">
        <f t="shared" si="15"/>
        <v>2340.1999999999998</v>
      </c>
    </row>
    <row r="69" spans="4:10" x14ac:dyDescent="0.25">
      <c r="D69" s="181">
        <v>45859</v>
      </c>
      <c r="E69" s="179">
        <f t="shared" si="10"/>
        <v>0.33494081543182813</v>
      </c>
      <c r="F69" s="179">
        <f t="shared" si="11"/>
        <v>0.25778167470407715</v>
      </c>
      <c r="G69" s="179">
        <f t="shared" si="12"/>
        <v>0.14993423936869793</v>
      </c>
      <c r="H69" s="179">
        <f t="shared" si="13"/>
        <v>7.1021481806225334E-2</v>
      </c>
      <c r="I69" s="179">
        <f t="shared" si="14"/>
        <v>0.1863217886891714</v>
      </c>
      <c r="J69" s="180">
        <f t="shared" si="15"/>
        <v>2281</v>
      </c>
    </row>
    <row r="70" spans="4:10" x14ac:dyDescent="0.25">
      <c r="D70" s="181">
        <v>45860</v>
      </c>
      <c r="E70" s="179">
        <f t="shared" si="10"/>
        <v>0.4223875549543456</v>
      </c>
      <c r="F70" s="179">
        <f t="shared" si="11"/>
        <v>0.21136286777138993</v>
      </c>
      <c r="G70" s="179">
        <f t="shared" si="12"/>
        <v>0.11903956712884681</v>
      </c>
      <c r="H70" s="179">
        <f t="shared" si="13"/>
        <v>7.2708826513358138E-2</v>
      </c>
      <c r="I70" s="179">
        <f t="shared" si="14"/>
        <v>0.17450118363205952</v>
      </c>
      <c r="J70" s="180">
        <f t="shared" si="15"/>
        <v>2957</v>
      </c>
    </row>
    <row r="71" spans="4:10" x14ac:dyDescent="0.25">
      <c r="D71" s="181">
        <v>45861</v>
      </c>
      <c r="E71" s="179">
        <f t="shared" si="10"/>
        <v>0.42398648648648651</v>
      </c>
      <c r="F71" s="179">
        <f t="shared" si="11"/>
        <v>0.20945945945945946</v>
      </c>
      <c r="G71" s="179">
        <f t="shared" si="12"/>
        <v>0.11824324324324324</v>
      </c>
      <c r="H71" s="179">
        <f t="shared" si="13"/>
        <v>7.3310810810810811E-2</v>
      </c>
      <c r="I71" s="179">
        <f t="shared" si="14"/>
        <v>0.17499999999999999</v>
      </c>
      <c r="J71" s="180">
        <f t="shared" si="15"/>
        <v>2960</v>
      </c>
    </row>
    <row r="72" spans="4:10" x14ac:dyDescent="0.25">
      <c r="D72" s="181">
        <v>45862</v>
      </c>
      <c r="E72" s="179">
        <f t="shared" si="10"/>
        <v>0.44323218547562221</v>
      </c>
      <c r="F72" s="179">
        <f t="shared" si="11"/>
        <v>0.20115922263893624</v>
      </c>
      <c r="G72" s="179">
        <f t="shared" si="12"/>
        <v>0.12205932492328674</v>
      </c>
      <c r="H72" s="179">
        <f t="shared" si="13"/>
        <v>7.773610637572452E-2</v>
      </c>
      <c r="I72" s="179">
        <f t="shared" si="14"/>
        <v>0.15581316058643027</v>
      </c>
      <c r="J72" s="180">
        <f t="shared" si="15"/>
        <v>2933</v>
      </c>
    </row>
    <row r="73" spans="4:10" x14ac:dyDescent="0.25">
      <c r="D73" s="181">
        <v>45863</v>
      </c>
      <c r="E73" s="179">
        <f t="shared" si="10"/>
        <v>0.43700579512810728</v>
      </c>
      <c r="F73" s="179">
        <f t="shared" si="11"/>
        <v>0.1983129369177889</v>
      </c>
      <c r="G73" s="179">
        <f t="shared" si="12"/>
        <v>0.11927004632781496</v>
      </c>
      <c r="H73" s="179">
        <f t="shared" si="13"/>
        <v>7.4705677232950865E-2</v>
      </c>
      <c r="I73" s="179">
        <f t="shared" si="14"/>
        <v>0.1707055443933381</v>
      </c>
      <c r="J73" s="180">
        <f t="shared" si="15"/>
        <v>3011.1499999999996</v>
      </c>
    </row>
    <row r="74" spans="4:10" x14ac:dyDescent="0.25">
      <c r="D74" s="181">
        <v>45864</v>
      </c>
      <c r="E74" s="179">
        <f t="shared" si="10"/>
        <v>0.49228508449669361</v>
      </c>
      <c r="F74" s="179">
        <f t="shared" si="11"/>
        <v>0.22556943423952977</v>
      </c>
      <c r="G74" s="179">
        <f t="shared" si="12"/>
        <v>1.4327700220426157E-2</v>
      </c>
      <c r="H74" s="179">
        <f t="shared" si="13"/>
        <v>8.229243203526819E-2</v>
      </c>
      <c r="I74" s="179">
        <f t="shared" si="14"/>
        <v>0.18552534900808229</v>
      </c>
      <c r="J74" s="180">
        <f t="shared" si="15"/>
        <v>2722</v>
      </c>
    </row>
    <row r="75" spans="4:10" x14ac:dyDescent="0.25">
      <c r="D75" s="181">
        <v>45865</v>
      </c>
      <c r="E75" s="179">
        <f t="shared" si="10"/>
        <v>0.40106141015921154</v>
      </c>
      <c r="F75" s="179">
        <f t="shared" si="11"/>
        <v>0.21948445792266869</v>
      </c>
      <c r="G75" s="179">
        <f t="shared" si="12"/>
        <v>0.13419257012888552</v>
      </c>
      <c r="H75" s="179">
        <f t="shared" si="13"/>
        <v>7.0128885519332829E-2</v>
      </c>
      <c r="I75" s="179">
        <f t="shared" si="14"/>
        <v>0.17513267626990145</v>
      </c>
      <c r="J75" s="180">
        <f t="shared" si="15"/>
        <v>2638</v>
      </c>
    </row>
    <row r="76" spans="4:10" x14ac:dyDescent="0.25">
      <c r="D76" s="181">
        <v>45866</v>
      </c>
      <c r="E76" s="179">
        <f t="shared" si="10"/>
        <v>0.41731066460587324</v>
      </c>
      <c r="F76" s="179">
        <f t="shared" si="11"/>
        <v>0.21561051004636786</v>
      </c>
      <c r="G76" s="179">
        <f t="shared" si="12"/>
        <v>0.11978361669242658</v>
      </c>
      <c r="H76" s="179">
        <f t="shared" si="13"/>
        <v>6.9551777434312206E-2</v>
      </c>
      <c r="I76" s="179">
        <f t="shared" si="14"/>
        <v>0.1777434312210201</v>
      </c>
      <c r="J76" s="180">
        <f t="shared" si="15"/>
        <v>2588</v>
      </c>
    </row>
    <row r="77" spans="4:10" x14ac:dyDescent="0.25">
      <c r="D77" s="181">
        <v>45867</v>
      </c>
      <c r="E77" s="179">
        <f t="shared" si="10"/>
        <v>0.44967532467532467</v>
      </c>
      <c r="F77" s="179">
        <f t="shared" si="11"/>
        <v>0.19188311688311688</v>
      </c>
      <c r="G77" s="179">
        <f t="shared" si="12"/>
        <v>0.1198051948051948</v>
      </c>
      <c r="H77" s="179">
        <f t="shared" si="13"/>
        <v>7.5324675324675322E-2</v>
      </c>
      <c r="I77" s="179">
        <f t="shared" si="14"/>
        <v>0.16331168831168832</v>
      </c>
      <c r="J77" s="180">
        <f t="shared" si="15"/>
        <v>3080</v>
      </c>
    </row>
    <row r="78" spans="4:10" x14ac:dyDescent="0.25">
      <c r="D78" s="181">
        <v>45868</v>
      </c>
      <c r="E78" s="179">
        <f t="shared" si="10"/>
        <v>0.45838947413064679</v>
      </c>
      <c r="F78" s="179">
        <f t="shared" si="11"/>
        <v>0.19769607955083013</v>
      </c>
      <c r="G78" s="179">
        <f t="shared" si="12"/>
        <v>0.120334332721086</v>
      </c>
      <c r="H78" s="179">
        <f t="shared" si="13"/>
        <v>7.5140039344775728E-2</v>
      </c>
      <c r="I78" s="179">
        <f t="shared" si="14"/>
        <v>0.14844007425266131</v>
      </c>
      <c r="J78" s="180">
        <f t="shared" si="15"/>
        <v>3065.21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9 L21:L25 L41:L42">
    <cfRule type="cellIs" dxfId="72" priority="205" operator="equal">
      <formula>MAX($L$14:$L$16)</formula>
    </cfRule>
  </conditionalFormatting>
  <conditionalFormatting sqref="T16:T19 T27:T39 T21:T25 T41:T43">
    <cfRule type="cellIs" dxfId="71" priority="206" operator="equal">
      <formula>MAX($T$14:$T$16)</formula>
    </cfRule>
  </conditionalFormatting>
  <conditionalFormatting sqref="X16:X19 X27:X39 X21:X25 X41:X43">
    <cfRule type="cellIs" dxfId="70" priority="207" operator="equal">
      <formula>MAX($X$14:$X$16)</formula>
    </cfRule>
  </conditionalFormatting>
  <conditionalFormatting sqref="J16:J19 J27:J39 J21:J25 J41:J42">
    <cfRule type="cellIs" dxfId="69" priority="208" operator="equal">
      <formula>MAX($J$14:$J$16)</formula>
    </cfRule>
  </conditionalFormatting>
  <conditionalFormatting sqref="V16:V19 V27:V39 V21:V23 V41:V43">
    <cfRule type="cellIs" dxfId="68" priority="209" operator="equal">
      <formula>MAX($V$14:$V$16)</formula>
    </cfRule>
  </conditionalFormatting>
  <conditionalFormatting sqref="D16:D19">
    <cfRule type="cellIs" dxfId="67" priority="210" operator="equal">
      <formula>MAX($D$14:$D$16)</formula>
    </cfRule>
  </conditionalFormatting>
  <conditionalFormatting sqref="S16:S19 S27:S39 S21:S25 S41:S43">
    <cfRule type="cellIs" dxfId="66" priority="211" operator="equal">
      <formula>MAX($S$14:$S$16)</formula>
    </cfRule>
  </conditionalFormatting>
  <conditionalFormatting sqref="N16:N19 N27:N39 N21:N25 N41:N42">
    <cfRule type="cellIs" dxfId="65" priority="212" operator="equal">
      <formula>MAX($N$14:$N$16)</formula>
    </cfRule>
  </conditionalFormatting>
  <conditionalFormatting sqref="P16:P19 P27:P39 P21:P25 P41:P42">
    <cfRule type="cellIs" dxfId="64" priority="213" operator="equal">
      <formula>MAX($P$14:$P$16)</formula>
    </cfRule>
  </conditionalFormatting>
  <conditionalFormatting sqref="L26">
    <cfRule type="cellIs" dxfId="63" priority="137" operator="equal">
      <formula>MAX($L$14:$L$16)</formula>
    </cfRule>
  </conditionalFormatting>
  <conditionalFormatting sqref="T26">
    <cfRule type="cellIs" dxfId="62" priority="138" operator="equal">
      <formula>MAX($T$14:$T$16)</formula>
    </cfRule>
  </conditionalFormatting>
  <conditionalFormatting sqref="X26">
    <cfRule type="cellIs" dxfId="61" priority="139" operator="equal">
      <formula>MAX($X$14:$X$16)</formula>
    </cfRule>
  </conditionalFormatting>
  <conditionalFormatting sqref="J26">
    <cfRule type="cellIs" dxfId="60" priority="140" operator="equal">
      <formula>MAX($J$14:$J$16)</formula>
    </cfRule>
  </conditionalFormatting>
  <conditionalFormatting sqref="V26">
    <cfRule type="cellIs" dxfId="59" priority="141" operator="equal">
      <formula>MAX($V$14:$V$16)</formula>
    </cfRule>
  </conditionalFormatting>
  <conditionalFormatting sqref="S26">
    <cfRule type="cellIs" dxfId="58" priority="143" operator="equal">
      <formula>MAX($S$14:$S$16)</formula>
    </cfRule>
  </conditionalFormatting>
  <conditionalFormatting sqref="N26">
    <cfRule type="cellIs" dxfId="57" priority="144" operator="equal">
      <formula>MAX($N$14:$N$16)</formula>
    </cfRule>
  </conditionalFormatting>
  <conditionalFormatting sqref="P26">
    <cfRule type="cellIs" dxfId="56" priority="145" operator="equal">
      <formula>MAX($P$14:$P$16)</formula>
    </cfRule>
  </conditionalFormatting>
  <conditionalFormatting sqref="L40">
    <cfRule type="cellIs" dxfId="55" priority="127" operator="equal">
      <formula>MAX($L$14:$L$16)</formula>
    </cfRule>
  </conditionalFormatting>
  <conditionalFormatting sqref="T40">
    <cfRule type="cellIs" dxfId="54" priority="128" operator="equal">
      <formula>MAX($T$14:$T$16)</formula>
    </cfRule>
  </conditionalFormatting>
  <conditionalFormatting sqref="X40">
    <cfRule type="cellIs" dxfId="53" priority="129" operator="equal">
      <formula>MAX($X$14:$X$16)</formula>
    </cfRule>
  </conditionalFormatting>
  <conditionalFormatting sqref="J40">
    <cfRule type="cellIs" dxfId="52" priority="130" operator="equal">
      <formula>MAX($J$14:$J$16)</formula>
    </cfRule>
  </conditionalFormatting>
  <conditionalFormatting sqref="V40">
    <cfRule type="cellIs" dxfId="51" priority="131" operator="equal">
      <formula>MAX($V$14:$V$16)</formula>
    </cfRule>
  </conditionalFormatting>
  <conditionalFormatting sqref="S40">
    <cfRule type="cellIs" dxfId="50" priority="133" operator="equal">
      <formula>MAX($S$14:$S$16)</formula>
    </cfRule>
  </conditionalFormatting>
  <conditionalFormatting sqref="N40">
    <cfRule type="cellIs" dxfId="49" priority="134" operator="equal">
      <formula>MAX($N$14:$N$16)</formula>
    </cfRule>
  </conditionalFormatting>
  <conditionalFormatting sqref="P40">
    <cfRule type="cellIs" dxfId="48" priority="135" operator="equal">
      <formula>MAX($P$14:$P$16)</formula>
    </cfRule>
  </conditionalFormatting>
  <conditionalFormatting sqref="D20:D42 D44">
    <cfRule type="cellIs" dxfId="47" priority="123" operator="equal">
      <formula>MAX($D$14:$D$42)</formula>
    </cfRule>
  </conditionalFormatting>
  <conditionalFormatting sqref="L20">
    <cfRule type="cellIs" dxfId="46" priority="114" operator="equal">
      <formula>MAX($L$14:$L$42)</formula>
    </cfRule>
  </conditionalFormatting>
  <conditionalFormatting sqref="T20">
    <cfRule type="cellIs" dxfId="45" priority="115" operator="equal">
      <formula>MAX($T$14:$T$42)</formula>
    </cfRule>
  </conditionalFormatting>
  <conditionalFormatting sqref="X20">
    <cfRule type="cellIs" dxfId="44" priority="116" operator="equal">
      <formula>MAX($X$14:$X$42)</formula>
    </cfRule>
  </conditionalFormatting>
  <conditionalFormatting sqref="J20">
    <cfRule type="cellIs" dxfId="43" priority="117" operator="equal">
      <formula>MAX($J$14:$J$42)</formula>
    </cfRule>
  </conditionalFormatting>
  <conditionalFormatting sqref="V20">
    <cfRule type="cellIs" dxfId="42" priority="118" operator="equal">
      <formula>MAX($V$14:$V$42)</formula>
    </cfRule>
  </conditionalFormatting>
  <conditionalFormatting sqref="S20">
    <cfRule type="cellIs" dxfId="41" priority="119" operator="equal">
      <formula>MAX($S$14:$S$42)</formula>
    </cfRule>
  </conditionalFormatting>
  <conditionalFormatting sqref="N20">
    <cfRule type="cellIs" dxfId="40" priority="120" operator="equal">
      <formula>MAX($N$14:$N$42)</formula>
    </cfRule>
  </conditionalFormatting>
  <conditionalFormatting sqref="P20">
    <cfRule type="cellIs" dxfId="39" priority="121" operator="equal">
      <formula>MAX($P$14:$P$42)</formula>
    </cfRule>
  </conditionalFormatting>
  <conditionalFormatting sqref="E48:E64">
    <cfRule type="top10" dxfId="38" priority="113" rank="2"/>
  </conditionalFormatting>
  <conditionalFormatting sqref="F48:F78">
    <cfRule type="top10" dxfId="37" priority="112" rank="2"/>
  </conditionalFormatting>
  <conditionalFormatting sqref="G48:G64">
    <cfRule type="top10" dxfId="36" priority="111" rank="2"/>
  </conditionalFormatting>
  <conditionalFormatting sqref="H48:H64">
    <cfRule type="top10" dxfId="35" priority="110" rank="2"/>
  </conditionalFormatting>
  <conditionalFormatting sqref="I48:I64">
    <cfRule type="top10" dxfId="34" priority="109" rank="2"/>
  </conditionalFormatting>
  <conditionalFormatting sqref="V24">
    <cfRule type="cellIs" dxfId="33" priority="79" operator="equal">
      <formula>MAX($J$14:$J$16)</formula>
    </cfRule>
  </conditionalFormatting>
  <conditionalFormatting sqref="V25">
    <cfRule type="cellIs" dxfId="32" priority="78" operator="equal">
      <formula>MAX($J$14:$J$16)</formula>
    </cfRule>
  </conditionalFormatting>
  <conditionalFormatting sqref="G14:G44 G46">
    <cfRule type="cellIs" dxfId="31" priority="67" operator="equal">
      <formula>MAX($G$14:$G$16)</formula>
    </cfRule>
  </conditionalFormatting>
  <conditionalFormatting sqref="L44">
    <cfRule type="cellIs" dxfId="30" priority="57" operator="equal">
      <formula>MAX($L$14:$L$16)</formula>
    </cfRule>
  </conditionalFormatting>
  <conditionalFormatting sqref="T44">
    <cfRule type="cellIs" dxfId="29" priority="58" operator="equal">
      <formula>MAX($T$14:$T$16)</formula>
    </cfRule>
  </conditionalFormatting>
  <conditionalFormatting sqref="X44">
    <cfRule type="cellIs" dxfId="28" priority="59" operator="equal">
      <formula>MAX($X$14:$X$16)</formula>
    </cfRule>
  </conditionalFormatting>
  <conditionalFormatting sqref="J44">
    <cfRule type="cellIs" dxfId="27" priority="60" operator="equal">
      <formula>MAX($J$14:$J$16)</formula>
    </cfRule>
  </conditionalFormatting>
  <conditionalFormatting sqref="V44">
    <cfRule type="cellIs" dxfId="26" priority="61" operator="equal">
      <formula>MAX($V$14:$V$16)</formula>
    </cfRule>
  </conditionalFormatting>
  <conditionalFormatting sqref="S44">
    <cfRule type="cellIs" dxfId="25" priority="63" operator="equal">
      <formula>MAX($S$14:$S$16)</formula>
    </cfRule>
  </conditionalFormatting>
  <conditionalFormatting sqref="N44">
    <cfRule type="cellIs" dxfId="24" priority="64" operator="equal">
      <formula>MAX($N$14:$N$16)</formula>
    </cfRule>
  </conditionalFormatting>
  <conditionalFormatting sqref="P44">
    <cfRule type="cellIs" dxfId="23" priority="65" operator="equal">
      <formula>MAX($P$14:$P$16)</formula>
    </cfRule>
  </conditionalFormatting>
  <conditionalFormatting sqref="D15">
    <cfRule type="cellIs" dxfId="22" priority="46" operator="equal">
      <formula>MAX($D$14:$D$16)</formula>
    </cfRule>
  </conditionalFormatting>
  <conditionalFormatting sqref="L15">
    <cfRule type="cellIs" dxfId="21" priority="43" operator="equal">
      <formula>MAX($L$14:$L$16)</formula>
    </cfRule>
  </conditionalFormatting>
  <conditionalFormatting sqref="J15">
    <cfRule type="cellIs" dxfId="20" priority="44" operator="equal">
      <formula>MAX($J$14:$J$16)</formula>
    </cfRule>
  </conditionalFormatting>
  <conditionalFormatting sqref="N15">
    <cfRule type="cellIs" dxfId="19" priority="39" operator="equal">
      <formula>MAX($N$14:$N$16)</formula>
    </cfRule>
  </conditionalFormatting>
  <conditionalFormatting sqref="P15">
    <cfRule type="cellIs" dxfId="18" priority="40" operator="equal">
      <formula>MAX($P$14:$P$16)</formula>
    </cfRule>
  </conditionalFormatting>
  <conditionalFormatting sqref="T15">
    <cfRule type="cellIs" dxfId="17" priority="35" operator="equal">
      <formula>MAX($T$14:$T$16)</formula>
    </cfRule>
  </conditionalFormatting>
  <conditionalFormatting sqref="S15">
    <cfRule type="cellIs" dxfId="16" priority="36" operator="equal">
      <formula>MAX($S$14:$S$16)</formula>
    </cfRule>
  </conditionalFormatting>
  <conditionalFormatting sqref="X15">
    <cfRule type="cellIs" dxfId="15" priority="31" operator="equal">
      <formula>MAX($X$14:$X$16)</formula>
    </cfRule>
  </conditionalFormatting>
  <conditionalFormatting sqref="V15">
    <cfRule type="cellIs" dxfId="14" priority="32" operator="equal">
      <formula>MAX($V$14:$V$16)</formula>
    </cfRule>
  </conditionalFormatting>
  <conditionalFormatting sqref="N43">
    <cfRule type="cellIs" dxfId="13" priority="16" operator="equal">
      <formula>MAX($N$14:$N$16)</formula>
    </cfRule>
  </conditionalFormatting>
  <conditionalFormatting sqref="P43">
    <cfRule type="cellIs" dxfId="12" priority="17" operator="equal">
      <formula>MAX($P$14:$P$16)</formula>
    </cfRule>
  </conditionalFormatting>
  <conditionalFormatting sqref="L43">
    <cfRule type="cellIs" dxfId="11" priority="12" operator="equal">
      <formula>MAX($L$14:$L$16)</formula>
    </cfRule>
  </conditionalFormatting>
  <conditionalFormatting sqref="J43">
    <cfRule type="cellIs" dxfId="10" priority="13" operator="equal">
      <formula>MAX($J$14:$J$16)</formula>
    </cfRule>
  </conditionalFormatting>
  <conditionalFormatting sqref="D43">
    <cfRule type="cellIs" dxfId="9" priority="10" operator="equal">
      <formula>MAX($D$14:$D$42)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685BA602-F39B-4ECF-8E80-0B4ACAF69E97}"/>
</file>

<file path=customXml/itemProps2.xml><?xml version="1.0" encoding="utf-8"?>
<ds:datastoreItem xmlns:ds="http://schemas.openxmlformats.org/officeDocument/2006/customXml" ds:itemID="{BA24D0FA-D7EF-43C3-A5C1-5DAAC00A7787}"/>
</file>

<file path=customXml/itemProps3.xml><?xml version="1.0" encoding="utf-8"?>
<ds:datastoreItem xmlns:ds="http://schemas.openxmlformats.org/officeDocument/2006/customXml" ds:itemID="{91A77A85-7934-46DD-9FF1-DFD40E25F5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SEAT-SERs</vt:lpstr>
      <vt:lpstr>SAFs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2026-02-03T13:37:42Z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