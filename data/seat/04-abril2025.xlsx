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5/Abril/30-04-2025/"/>
    </mc:Choice>
  </mc:AlternateContent>
  <xr:revisionPtr revIDLastSave="5" documentId="13_ncr:1_{B2F78DFD-E4AA-4613-A9E7-EF454BFF2E9D}" xr6:coauthVersionLast="47" xr6:coauthVersionMax="47" xr10:uidLastSave="{11CCA799-B5E6-4DD2-9148-DEFF8F1C58FE}"/>
  <bookViews>
    <workbookView xWindow="-120" yWindow="-120" windowWidth="29040" windowHeight="15720" activeTab="1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2" l="1"/>
  <c r="G47" i="2"/>
  <c r="G46" i="2"/>
  <c r="H46" i="2"/>
  <c r="F46" i="2"/>
  <c r="BB33" i="1"/>
  <c r="BA31" i="1"/>
  <c r="BB28" i="1"/>
  <c r="BB27" i="1"/>
  <c r="AL20" i="1"/>
  <c r="BB16" i="1"/>
  <c r="BB15" i="1"/>
  <c r="AV14" i="1"/>
  <c r="AV15" i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G45" i="2"/>
  <c r="R45" i="2"/>
  <c r="H28" i="1"/>
  <c r="BA17" i="1"/>
  <c r="BA16" i="1"/>
  <c r="AD11" i="1"/>
  <c r="AF7" i="1"/>
  <c r="AF8" i="1"/>
  <c r="AF9" i="1"/>
  <c r="AF10" i="1"/>
  <c r="AF11" i="1"/>
  <c r="AF12" i="1"/>
  <c r="AF13" i="1"/>
  <c r="AF14" i="1"/>
  <c r="AF15" i="1"/>
  <c r="AC15" i="1" s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C38" i="1" s="1"/>
  <c r="AP8" i="1"/>
  <c r="AP9" i="1"/>
  <c r="AP10" i="1"/>
  <c r="AP11" i="1"/>
  <c r="AP12" i="1"/>
  <c r="AP13" i="1"/>
  <c r="AP14" i="1"/>
  <c r="AP15" i="1"/>
  <c r="AM15" i="1" s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M38" i="1" s="1"/>
  <c r="AP7" i="1"/>
  <c r="D38" i="1"/>
  <c r="H38" i="1"/>
  <c r="G38" i="1" s="1"/>
  <c r="AD38" i="1"/>
  <c r="AN38" i="1"/>
  <c r="AX38" i="1"/>
  <c r="BA38" i="1"/>
  <c r="AY38" i="1" s="1"/>
  <c r="BL38" i="1"/>
  <c r="BJ38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7" i="1"/>
  <c r="H33" i="1"/>
  <c r="H30" i="1"/>
  <c r="H31" i="1"/>
  <c r="H32" i="1"/>
  <c r="H34" i="1"/>
  <c r="H35" i="1"/>
  <c r="H36" i="1"/>
  <c r="H37" i="1"/>
  <c r="BA20" i="1"/>
  <c r="BA7" i="1"/>
  <c r="BA8" i="1"/>
  <c r="BA9" i="1"/>
  <c r="BA10" i="1"/>
  <c r="BA11" i="1"/>
  <c r="BA12" i="1"/>
  <c r="BA13" i="1"/>
  <c r="BA14" i="1"/>
  <c r="BA15" i="1"/>
  <c r="AY15" i="1" s="1"/>
  <c r="BA18" i="1"/>
  <c r="BA19" i="1"/>
  <c r="H7" i="1"/>
  <c r="H8" i="1"/>
  <c r="J51" i="2"/>
  <c r="I51" i="2" s="1"/>
  <c r="J52" i="2"/>
  <c r="F52" i="2" s="1"/>
  <c r="J53" i="2"/>
  <c r="G53" i="2" s="1"/>
  <c r="J54" i="2"/>
  <c r="H54" i="2" s="1"/>
  <c r="J55" i="2"/>
  <c r="G55" i="2" s="1"/>
  <c r="J56" i="2"/>
  <c r="I56" i="2" s="1"/>
  <c r="J57" i="2"/>
  <c r="I57" i="2" s="1"/>
  <c r="J58" i="2"/>
  <c r="F58" i="2" s="1"/>
  <c r="J59" i="2"/>
  <c r="I59" i="2" s="1"/>
  <c r="J60" i="2"/>
  <c r="F60" i="2" s="1"/>
  <c r="J61" i="2"/>
  <c r="G61" i="2" s="1"/>
  <c r="J62" i="2"/>
  <c r="H62" i="2" s="1"/>
  <c r="J63" i="2"/>
  <c r="E63" i="2" s="1"/>
  <c r="J64" i="2"/>
  <c r="I64" i="2" s="1"/>
  <c r="J65" i="2"/>
  <c r="I65" i="2" s="1"/>
  <c r="J66" i="2"/>
  <c r="F66" i="2" s="1"/>
  <c r="J67" i="2"/>
  <c r="H67" i="2" s="1"/>
  <c r="J68" i="2"/>
  <c r="G68" i="2" s="1"/>
  <c r="J69" i="2"/>
  <c r="E69" i="2" s="1"/>
  <c r="J70" i="2"/>
  <c r="G70" i="2" s="1"/>
  <c r="J71" i="2"/>
  <c r="G71" i="2" s="1"/>
  <c r="J72" i="2"/>
  <c r="F72" i="2" s="1"/>
  <c r="J73" i="2"/>
  <c r="E73" i="2" s="1"/>
  <c r="J74" i="2"/>
  <c r="I74" i="2" s="1"/>
  <c r="J75" i="2"/>
  <c r="H75" i="2" s="1"/>
  <c r="J76" i="2"/>
  <c r="E76" i="2" s="1"/>
  <c r="J77" i="2"/>
  <c r="F77" i="2" s="1"/>
  <c r="J78" i="2"/>
  <c r="F78" i="2" s="1"/>
  <c r="J79" i="2"/>
  <c r="F79" i="2" s="1"/>
  <c r="J80" i="2"/>
  <c r="E80" i="2" s="1"/>
  <c r="J50" i="2"/>
  <c r="H50" i="2" s="1"/>
  <c r="BL15" i="1"/>
  <c r="BK15" i="1" s="1"/>
  <c r="AX15" i="1"/>
  <c r="AN15" i="1"/>
  <c r="AD15" i="1"/>
  <c r="E50" i="2" l="1"/>
  <c r="I50" i="2"/>
  <c r="F50" i="2"/>
  <c r="AW38" i="1"/>
  <c r="F38" i="1"/>
  <c r="E38" i="1" s="1"/>
  <c r="K38" i="1"/>
  <c r="O38" i="1" s="1"/>
  <c r="L38" i="1"/>
  <c r="P38" i="1" s="1"/>
  <c r="J38" i="1"/>
  <c r="N38" i="1" s="1"/>
  <c r="BK38" i="1"/>
  <c r="I38" i="1"/>
  <c r="M38" i="1" s="1"/>
  <c r="H61" i="2"/>
  <c r="H65" i="2"/>
  <c r="I55" i="2"/>
  <c r="I54" i="2"/>
  <c r="H53" i="2"/>
  <c r="I63" i="2"/>
  <c r="F61" i="2"/>
  <c r="I62" i="2"/>
  <c r="F57" i="2"/>
  <c r="F65" i="2"/>
  <c r="I61" i="2"/>
  <c r="F53" i="2"/>
  <c r="H57" i="2"/>
  <c r="I53" i="2"/>
  <c r="E52" i="2"/>
  <c r="G52" i="2"/>
  <c r="E59" i="2"/>
  <c r="E51" i="2"/>
  <c r="G59" i="2"/>
  <c r="G51" i="2"/>
  <c r="H60" i="2"/>
  <c r="H52" i="2"/>
  <c r="F64" i="2"/>
  <c r="F56" i="2"/>
  <c r="E66" i="2"/>
  <c r="E58" i="2"/>
  <c r="G66" i="2"/>
  <c r="G58" i="2"/>
  <c r="H76" i="2"/>
  <c r="H59" i="2"/>
  <c r="H51" i="2"/>
  <c r="F63" i="2"/>
  <c r="F55" i="2"/>
  <c r="E65" i="2"/>
  <c r="E57" i="2"/>
  <c r="G65" i="2"/>
  <c r="G57" i="2"/>
  <c r="H66" i="2"/>
  <c r="H58" i="2"/>
  <c r="I60" i="2"/>
  <c r="I52" i="2"/>
  <c r="F62" i="2"/>
  <c r="F54" i="2"/>
  <c r="E60" i="2"/>
  <c r="E56" i="2"/>
  <c r="G56" i="2"/>
  <c r="G63" i="2"/>
  <c r="H56" i="2"/>
  <c r="E62" i="2"/>
  <c r="E54" i="2"/>
  <c r="G62" i="2"/>
  <c r="G54" i="2"/>
  <c r="H63" i="2"/>
  <c r="H55" i="2"/>
  <c r="F76" i="2"/>
  <c r="F59" i="2"/>
  <c r="F51" i="2"/>
  <c r="G60" i="2"/>
  <c r="E64" i="2"/>
  <c r="G64" i="2"/>
  <c r="I76" i="2"/>
  <c r="E55" i="2"/>
  <c r="H64" i="2"/>
  <c r="I66" i="2"/>
  <c r="I58" i="2"/>
  <c r="E61" i="2"/>
  <c r="E53" i="2"/>
  <c r="G50" i="2"/>
  <c r="AW15" i="1"/>
  <c r="G80" i="2"/>
  <c r="F80" i="2"/>
  <c r="H80" i="2"/>
  <c r="I80" i="2"/>
  <c r="E79" i="2"/>
  <c r="I79" i="2"/>
  <c r="G79" i="2"/>
  <c r="H79" i="2"/>
  <c r="E78" i="2"/>
  <c r="G78" i="2"/>
  <c r="H78" i="2"/>
  <c r="I78" i="2"/>
  <c r="I72" i="2"/>
  <c r="H72" i="2"/>
  <c r="E72" i="2"/>
  <c r="G72" i="2"/>
  <c r="H71" i="2"/>
  <c r="G77" i="2"/>
  <c r="H77" i="2"/>
  <c r="I77" i="2"/>
  <c r="E77" i="2"/>
  <c r="G76" i="2"/>
  <c r="F75" i="2"/>
  <c r="I75" i="2"/>
  <c r="E75" i="2"/>
  <c r="G75" i="2"/>
  <c r="F74" i="2"/>
  <c r="E74" i="2"/>
  <c r="G74" i="2"/>
  <c r="H74" i="2"/>
  <c r="G73" i="2"/>
  <c r="H73" i="2"/>
  <c r="I73" i="2"/>
  <c r="F73" i="2"/>
  <c r="I71" i="2"/>
  <c r="E71" i="2"/>
  <c r="F71" i="2"/>
  <c r="E70" i="2"/>
  <c r="H70" i="2"/>
  <c r="F70" i="2"/>
  <c r="I70" i="2"/>
  <c r="F69" i="2"/>
  <c r="G69" i="2"/>
  <c r="H69" i="2"/>
  <c r="I69" i="2"/>
  <c r="F68" i="2"/>
  <c r="H68" i="2"/>
  <c r="I68" i="2"/>
  <c r="E68" i="2"/>
  <c r="G67" i="2"/>
  <c r="F67" i="2"/>
  <c r="I67" i="2"/>
  <c r="E67" i="2"/>
  <c r="BJ15" i="1"/>
  <c r="R20" i="2" l="1"/>
  <c r="G20" i="2"/>
  <c r="AY13" i="1"/>
  <c r="AY12" i="1" l="1"/>
  <c r="AY11" i="1"/>
  <c r="S41" i="1" l="1"/>
  <c r="R40" i="1" s="1"/>
  <c r="G44" i="2"/>
  <c r="R44" i="2"/>
  <c r="G43" i="2"/>
  <c r="R43" i="2"/>
  <c r="R41" i="2"/>
  <c r="R42" i="2"/>
  <c r="G42" i="2"/>
  <c r="G41" i="2"/>
  <c r="R40" i="2"/>
  <c r="G40" i="2"/>
  <c r="BL33" i="1"/>
  <c r="BJ33" i="1" s="1"/>
  <c r="BA33" i="1"/>
  <c r="AX33" i="1"/>
  <c r="AM33" i="1"/>
  <c r="AN33" i="1"/>
  <c r="AC33" i="1"/>
  <c r="AD33" i="1"/>
  <c r="G39" i="2"/>
  <c r="R39" i="2"/>
  <c r="AD31" i="1"/>
  <c r="G38" i="2"/>
  <c r="R38" i="2"/>
  <c r="R37" i="2"/>
  <c r="G37" i="2"/>
  <c r="R36" i="2"/>
  <c r="G36" i="2"/>
  <c r="R35" i="2"/>
  <c r="G35" i="2"/>
  <c r="G34" i="2"/>
  <c r="R34" i="2"/>
  <c r="R33" i="2"/>
  <c r="G33" i="2"/>
  <c r="R32" i="2"/>
  <c r="G32" i="2"/>
  <c r="G31" i="2"/>
  <c r="R31" i="2"/>
  <c r="G30" i="2"/>
  <c r="R30" i="2"/>
  <c r="AW33" i="1" l="1"/>
  <c r="AY33" i="1"/>
  <c r="BK33" i="1"/>
  <c r="R29" i="2"/>
  <c r="R25" i="2"/>
  <c r="G25" i="2"/>
  <c r="G29" i="2"/>
  <c r="R28" i="2"/>
  <c r="G28" i="2"/>
  <c r="R27" i="2"/>
  <c r="G27" i="2"/>
  <c r="R26" i="2"/>
  <c r="G26" i="2"/>
  <c r="G24" i="2"/>
  <c r="R24" i="2"/>
  <c r="BL19" i="1"/>
  <c r="BJ19" i="1" s="1"/>
  <c r="AY19" i="1"/>
  <c r="AX19" i="1"/>
  <c r="AM19" i="1"/>
  <c r="AN19" i="1"/>
  <c r="AC19" i="1"/>
  <c r="R23" i="2"/>
  <c r="G23" i="2"/>
  <c r="G22" i="2"/>
  <c r="R22" i="2"/>
  <c r="G21" i="2"/>
  <c r="R21" i="2"/>
  <c r="R19" i="2"/>
  <c r="G19" i="2"/>
  <c r="R18" i="2"/>
  <c r="G18" i="2"/>
  <c r="BI7" i="1"/>
  <c r="AV7" i="1"/>
  <c r="AL7" i="1"/>
  <c r="AB7" i="1"/>
  <c r="D24" i="1"/>
  <c r="H24" i="1"/>
  <c r="AD24" i="1"/>
  <c r="AC24" i="1"/>
  <c r="AN24" i="1"/>
  <c r="AM24" i="1"/>
  <c r="AX24" i="1"/>
  <c r="BA24" i="1"/>
  <c r="BL24" i="1"/>
  <c r="BJ24" i="1" s="1"/>
  <c r="D25" i="1"/>
  <c r="H25" i="1"/>
  <c r="AD25" i="1"/>
  <c r="AC25" i="1"/>
  <c r="AN25" i="1"/>
  <c r="AM25" i="1"/>
  <c r="AX25" i="1"/>
  <c r="BA25" i="1"/>
  <c r="BL25" i="1"/>
  <c r="BK25" i="1" s="1"/>
  <c r="D26" i="1"/>
  <c r="H26" i="1"/>
  <c r="AD26" i="1"/>
  <c r="AC26" i="1"/>
  <c r="AN26" i="1"/>
  <c r="AX26" i="1"/>
  <c r="BA26" i="1"/>
  <c r="BL26" i="1"/>
  <c r="BJ26" i="1" s="1"/>
  <c r="D27" i="1"/>
  <c r="H27" i="1"/>
  <c r="AD27" i="1"/>
  <c r="AC27" i="1"/>
  <c r="AN27" i="1"/>
  <c r="AX27" i="1"/>
  <c r="BA27" i="1"/>
  <c r="BL27" i="1"/>
  <c r="BK27" i="1" s="1"/>
  <c r="D28" i="1"/>
  <c r="AD28" i="1"/>
  <c r="AC28" i="1"/>
  <c r="AN28" i="1"/>
  <c r="AX28" i="1"/>
  <c r="BA28" i="1"/>
  <c r="AY28" i="1" s="1"/>
  <c r="BL28" i="1"/>
  <c r="BJ28" i="1" s="1"/>
  <c r="D29" i="1"/>
  <c r="H29" i="1"/>
  <c r="AD29" i="1"/>
  <c r="AC29" i="1"/>
  <c r="AN29" i="1"/>
  <c r="AX29" i="1"/>
  <c r="BA29" i="1"/>
  <c r="BL29" i="1"/>
  <c r="BK29" i="1" s="1"/>
  <c r="D30" i="1"/>
  <c r="F30" i="1" s="1"/>
  <c r="AD30" i="1"/>
  <c r="AC30" i="1"/>
  <c r="AN30" i="1"/>
  <c r="AX30" i="1"/>
  <c r="BA30" i="1"/>
  <c r="BL30" i="1"/>
  <c r="BJ30" i="1" s="1"/>
  <c r="D31" i="1"/>
  <c r="AC31" i="1"/>
  <c r="AN31" i="1"/>
  <c r="AX31" i="1"/>
  <c r="BL31" i="1"/>
  <c r="BK31" i="1" s="1"/>
  <c r="D32" i="1"/>
  <c r="AD32" i="1"/>
  <c r="AC32" i="1"/>
  <c r="AN32" i="1"/>
  <c r="AX32" i="1"/>
  <c r="BA32" i="1"/>
  <c r="BL32" i="1"/>
  <c r="BJ32" i="1" s="1"/>
  <c r="D33" i="1"/>
  <c r="D34" i="1"/>
  <c r="AD34" i="1"/>
  <c r="AC34" i="1"/>
  <c r="AN34" i="1"/>
  <c r="AX34" i="1"/>
  <c r="BA34" i="1"/>
  <c r="BL34" i="1"/>
  <c r="BK34" i="1" s="1"/>
  <c r="D35" i="1"/>
  <c r="AD35" i="1"/>
  <c r="AC35" i="1"/>
  <c r="AN35" i="1"/>
  <c r="AX35" i="1"/>
  <c r="BA35" i="1"/>
  <c r="BL35" i="1"/>
  <c r="BK35" i="1" s="1"/>
  <c r="D36" i="1"/>
  <c r="AD36" i="1"/>
  <c r="AC36" i="1"/>
  <c r="AN36" i="1"/>
  <c r="AX36" i="1"/>
  <c r="BA36" i="1"/>
  <c r="BL36" i="1"/>
  <c r="BJ36" i="1" s="1"/>
  <c r="D37" i="1"/>
  <c r="AD37" i="1"/>
  <c r="AC37" i="1"/>
  <c r="AN37" i="1"/>
  <c r="AX37" i="1"/>
  <c r="BA37" i="1"/>
  <c r="AY37" i="1" s="1"/>
  <c r="BL37" i="1"/>
  <c r="BK37" i="1" s="1"/>
  <c r="D11" i="1"/>
  <c r="H11" i="1"/>
  <c r="AC11" i="1"/>
  <c r="AN11" i="1"/>
  <c r="AM11" i="1"/>
  <c r="AX11" i="1"/>
  <c r="AW11" i="1"/>
  <c r="BL11" i="1"/>
  <c r="D12" i="1"/>
  <c r="H12" i="1"/>
  <c r="AD12" i="1"/>
  <c r="AC12" i="1"/>
  <c r="AN12" i="1"/>
  <c r="AM12" i="1"/>
  <c r="AX12" i="1"/>
  <c r="AW12" i="1"/>
  <c r="BL12" i="1"/>
  <c r="BK12" i="1" s="1"/>
  <c r="D13" i="1"/>
  <c r="H13" i="1"/>
  <c r="AD13" i="1"/>
  <c r="AC13" i="1"/>
  <c r="AN13" i="1"/>
  <c r="AM13" i="1"/>
  <c r="AX13" i="1"/>
  <c r="AW13" i="1"/>
  <c r="BL13" i="1"/>
  <c r="BK13" i="1" s="1"/>
  <c r="D14" i="1"/>
  <c r="H14" i="1"/>
  <c r="AD14" i="1"/>
  <c r="AC14" i="1"/>
  <c r="AN14" i="1"/>
  <c r="AM14" i="1"/>
  <c r="AX14" i="1"/>
  <c r="BL14" i="1"/>
  <c r="BK14" i="1" s="1"/>
  <c r="D15" i="1"/>
  <c r="H15" i="1"/>
  <c r="D16" i="1"/>
  <c r="H16" i="1"/>
  <c r="AD16" i="1"/>
  <c r="AC16" i="1"/>
  <c r="AN16" i="1"/>
  <c r="AM16" i="1"/>
  <c r="AX16" i="1"/>
  <c r="BL16" i="1"/>
  <c r="BK16" i="1" s="1"/>
  <c r="D17" i="1"/>
  <c r="H17" i="1"/>
  <c r="AD17" i="1"/>
  <c r="AC17" i="1"/>
  <c r="AN17" i="1"/>
  <c r="AM17" i="1"/>
  <c r="AX17" i="1"/>
  <c r="BL17" i="1"/>
  <c r="D18" i="1"/>
  <c r="H18" i="1"/>
  <c r="AD18" i="1"/>
  <c r="AC18" i="1"/>
  <c r="AN18" i="1"/>
  <c r="AM18" i="1"/>
  <c r="AX18" i="1"/>
  <c r="BL18" i="1"/>
  <c r="BK18" i="1" s="1"/>
  <c r="D19" i="1"/>
  <c r="H19" i="1"/>
  <c r="AD19" i="1"/>
  <c r="D20" i="1"/>
  <c r="H20" i="1"/>
  <c r="AD20" i="1"/>
  <c r="AC20" i="1"/>
  <c r="AN20" i="1"/>
  <c r="AM20" i="1"/>
  <c r="AX20" i="1"/>
  <c r="BL20" i="1"/>
  <c r="D21" i="1"/>
  <c r="H21" i="1"/>
  <c r="AD21" i="1"/>
  <c r="AC21" i="1"/>
  <c r="AN21" i="1"/>
  <c r="AM21" i="1"/>
  <c r="AX21" i="1"/>
  <c r="BA21" i="1"/>
  <c r="BL21" i="1"/>
  <c r="D22" i="1"/>
  <c r="H22" i="1"/>
  <c r="AD22" i="1"/>
  <c r="AC22" i="1"/>
  <c r="AN22" i="1"/>
  <c r="AM22" i="1"/>
  <c r="AX22" i="1"/>
  <c r="BA22" i="1"/>
  <c r="BL22" i="1"/>
  <c r="D23" i="1"/>
  <c r="H23" i="1"/>
  <c r="AD23" i="1"/>
  <c r="AC23" i="1"/>
  <c r="AN23" i="1"/>
  <c r="AM23" i="1"/>
  <c r="AX23" i="1"/>
  <c r="BA23" i="1"/>
  <c r="BL23" i="1"/>
  <c r="BK23" i="1" s="1"/>
  <c r="H9" i="1"/>
  <c r="H10" i="1"/>
  <c r="D7" i="1"/>
  <c r="D8" i="1"/>
  <c r="D9" i="1"/>
  <c r="D10" i="1"/>
  <c r="R15" i="2"/>
  <c r="R16" i="2"/>
  <c r="R17" i="2"/>
  <c r="G15" i="2"/>
  <c r="G16" i="2"/>
  <c r="G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Y7" i="1"/>
  <c r="AY8" i="1"/>
  <c r="AX7" i="1"/>
  <c r="AX8" i="1"/>
  <c r="AX9" i="1"/>
  <c r="AX10" i="1"/>
  <c r="AM7" i="1"/>
  <c r="AM8" i="1"/>
  <c r="AM9" i="1"/>
  <c r="AM10" i="1"/>
  <c r="G12" i="1" l="1"/>
  <c r="AW36" i="1"/>
  <c r="AY36" i="1"/>
  <c r="L36" i="1" s="1"/>
  <c r="P36" i="1" s="1"/>
  <c r="AW35" i="1"/>
  <c r="AY35" i="1"/>
  <c r="L35" i="1" s="1"/>
  <c r="P35" i="1" s="1"/>
  <c r="AW34" i="1"/>
  <c r="AY34" i="1"/>
  <c r="I34" i="1" s="1"/>
  <c r="M34" i="1" s="1"/>
  <c r="AW32" i="1"/>
  <c r="AY32" i="1"/>
  <c r="K32" i="1" s="1"/>
  <c r="O32" i="1" s="1"/>
  <c r="AW31" i="1"/>
  <c r="AY31" i="1"/>
  <c r="K31" i="1" s="1"/>
  <c r="O31" i="1" s="1"/>
  <c r="AW30" i="1"/>
  <c r="AY30" i="1"/>
  <c r="L30" i="1" s="1"/>
  <c r="P30" i="1" s="1"/>
  <c r="AW29" i="1"/>
  <c r="AY29" i="1"/>
  <c r="J29" i="1" s="1"/>
  <c r="N29" i="1" s="1"/>
  <c r="AW27" i="1"/>
  <c r="AY27" i="1"/>
  <c r="J27" i="1" s="1"/>
  <c r="N27" i="1" s="1"/>
  <c r="AW26" i="1"/>
  <c r="AY26" i="1"/>
  <c r="I26" i="1" s="1"/>
  <c r="M26" i="1" s="1"/>
  <c r="AW25" i="1"/>
  <c r="AY25" i="1"/>
  <c r="K25" i="1" s="1"/>
  <c r="O25" i="1" s="1"/>
  <c r="AW24" i="1"/>
  <c r="AY24" i="1"/>
  <c r="K24" i="1" s="1"/>
  <c r="O24" i="1" s="1"/>
  <c r="AW23" i="1"/>
  <c r="AY23" i="1"/>
  <c r="I23" i="1" s="1"/>
  <c r="M23" i="1" s="1"/>
  <c r="AW22" i="1"/>
  <c r="AY22" i="1"/>
  <c r="I22" i="1" s="1"/>
  <c r="M22" i="1" s="1"/>
  <c r="AW21" i="1"/>
  <c r="AY21" i="1"/>
  <c r="I21" i="1" s="1"/>
  <c r="M21" i="1" s="1"/>
  <c r="AW20" i="1"/>
  <c r="AY20" i="1"/>
  <c r="K20" i="1" s="1"/>
  <c r="O20" i="1" s="1"/>
  <c r="AW18" i="1"/>
  <c r="AY18" i="1"/>
  <c r="I18" i="1" s="1"/>
  <c r="M18" i="1" s="1"/>
  <c r="AW17" i="1"/>
  <c r="AY17" i="1"/>
  <c r="I17" i="1" s="1"/>
  <c r="M17" i="1" s="1"/>
  <c r="AW16" i="1"/>
  <c r="AY16" i="1"/>
  <c r="I16" i="1" s="1"/>
  <c r="M16" i="1" s="1"/>
  <c r="AW14" i="1"/>
  <c r="AY14" i="1"/>
  <c r="I14" i="1" s="1"/>
  <c r="M14" i="1" s="1"/>
  <c r="AW10" i="1"/>
  <c r="AY10" i="1"/>
  <c r="J10" i="1" s="1"/>
  <c r="N10" i="1" s="1"/>
  <c r="AW9" i="1"/>
  <c r="AY9" i="1"/>
  <c r="I9" i="1" s="1"/>
  <c r="M9" i="1" s="1"/>
  <c r="AW28" i="1"/>
  <c r="L28" i="1"/>
  <c r="P28" i="1" s="1"/>
  <c r="F13" i="1"/>
  <c r="E13" i="1" s="1"/>
  <c r="BK32" i="1"/>
  <c r="G24" i="1"/>
  <c r="I19" i="1"/>
  <c r="M19" i="1" s="1"/>
  <c r="G15" i="1"/>
  <c r="BJ25" i="1"/>
  <c r="BK19" i="1"/>
  <c r="F16" i="1"/>
  <c r="E16" i="1" s="1"/>
  <c r="AW37" i="1"/>
  <c r="J37" i="1"/>
  <c r="N37" i="1" s="1"/>
  <c r="BJ37" i="1"/>
  <c r="F37" i="1"/>
  <c r="E37" i="1" s="1"/>
  <c r="F36" i="1"/>
  <c r="E36" i="1" s="1"/>
  <c r="BK36" i="1"/>
  <c r="BJ35" i="1"/>
  <c r="BJ34" i="1"/>
  <c r="F35" i="1"/>
  <c r="E35" i="1" s="1"/>
  <c r="F34" i="1"/>
  <c r="E34" i="1" s="1"/>
  <c r="F33" i="1"/>
  <c r="E33" i="1" s="1"/>
  <c r="F32" i="1"/>
  <c r="E32" i="1" s="1"/>
  <c r="BJ31" i="1"/>
  <c r="F31" i="1"/>
  <c r="E31" i="1" s="1"/>
  <c r="BK30" i="1"/>
  <c r="E30" i="1"/>
  <c r="BJ29" i="1"/>
  <c r="F29" i="1"/>
  <c r="E29" i="1" s="1"/>
  <c r="BJ27" i="1"/>
  <c r="AW19" i="1"/>
  <c r="G18" i="1"/>
  <c r="F18" i="1"/>
  <c r="E18" i="1" s="1"/>
  <c r="G19" i="1"/>
  <c r="F17" i="1"/>
  <c r="E17" i="1" s="1"/>
  <c r="F19" i="1"/>
  <c r="E19" i="1" s="1"/>
  <c r="G17" i="1"/>
  <c r="G16" i="1"/>
  <c r="F15" i="1"/>
  <c r="E15" i="1" s="1"/>
  <c r="G14" i="1"/>
  <c r="F14" i="1"/>
  <c r="E14" i="1" s="1"/>
  <c r="G13" i="1"/>
  <c r="K12" i="1"/>
  <c r="O12" i="1" s="1"/>
  <c r="L12" i="1"/>
  <c r="P12" i="1" s="1"/>
  <c r="F12" i="1"/>
  <c r="E12" i="1" s="1"/>
  <c r="I11" i="1"/>
  <c r="M11" i="1" s="1"/>
  <c r="F11" i="1"/>
  <c r="E11" i="1" s="1"/>
  <c r="F10" i="1"/>
  <c r="E10" i="1" s="1"/>
  <c r="F9" i="1"/>
  <c r="E9" i="1" s="1"/>
  <c r="G8" i="1"/>
  <c r="I15" i="1"/>
  <c r="M15" i="1" s="1"/>
  <c r="I13" i="1"/>
  <c r="M13" i="1" s="1"/>
  <c r="G37" i="1"/>
  <c r="G35" i="1"/>
  <c r="K33" i="1"/>
  <c r="O33" i="1" s="1"/>
  <c r="G33" i="1"/>
  <c r="G31" i="1"/>
  <c r="G29" i="1"/>
  <c r="F27" i="1"/>
  <c r="E27" i="1" s="1"/>
  <c r="F25" i="1"/>
  <c r="E25" i="1" s="1"/>
  <c r="F8" i="1"/>
  <c r="E8" i="1" s="1"/>
  <c r="F23" i="1"/>
  <c r="E23" i="1" s="1"/>
  <c r="F22" i="1"/>
  <c r="E22" i="1" s="1"/>
  <c r="F21" i="1"/>
  <c r="E21" i="1" s="1"/>
  <c r="F20" i="1"/>
  <c r="E20" i="1" s="1"/>
  <c r="AW8" i="1"/>
  <c r="G11" i="1"/>
  <c r="G36" i="1"/>
  <c r="G34" i="1"/>
  <c r="G32" i="1"/>
  <c r="G30" i="1"/>
  <c r="BK28" i="1"/>
  <c r="F28" i="1"/>
  <c r="E28" i="1" s="1"/>
  <c r="BK26" i="1"/>
  <c r="F26" i="1"/>
  <c r="E26" i="1" s="1"/>
  <c r="BK24" i="1"/>
  <c r="BK22" i="1"/>
  <c r="L19" i="1"/>
  <c r="P19" i="1" s="1"/>
  <c r="BK17" i="1"/>
  <c r="BK21" i="1"/>
  <c r="BK20" i="1"/>
  <c r="BJ10" i="1"/>
  <c r="BK11" i="1"/>
  <c r="F24" i="1"/>
  <c r="E24" i="1" s="1"/>
  <c r="BJ9" i="1"/>
  <c r="L33" i="1"/>
  <c r="P33" i="1" s="1"/>
  <c r="I33" i="1"/>
  <c r="M33" i="1" s="1"/>
  <c r="J33" i="1"/>
  <c r="N33" i="1" s="1"/>
  <c r="AM37" i="1"/>
  <c r="AM36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AW7" i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BI8" i="1"/>
  <c r="BI9" i="1" s="1"/>
  <c r="BI10" i="1" s="1"/>
  <c r="AV8" i="1"/>
  <c r="AV9" i="1" s="1"/>
  <c r="AV10" i="1" s="1"/>
  <c r="AV11" i="1" s="1"/>
  <c r="AV12" i="1" s="1"/>
  <c r="AV13" i="1" s="1"/>
  <c r="AL8" i="1"/>
  <c r="AL9" i="1" s="1"/>
  <c r="AL10" i="1" s="1"/>
  <c r="AL11" i="1" s="1"/>
  <c r="AL12" i="1" s="1"/>
  <c r="AL13" i="1" s="1"/>
  <c r="AL14" i="1" s="1"/>
  <c r="AB8" i="1"/>
  <c r="AB9" i="1" s="1"/>
  <c r="AB10" i="1" s="1"/>
  <c r="AB11" i="1" s="1"/>
  <c r="AB12" i="1" s="1"/>
  <c r="AB13" i="1" s="1"/>
  <c r="AB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AL21" i="1" s="1"/>
  <c r="AL22" i="1" s="1"/>
  <c r="AL23" i="1" s="1"/>
  <c r="AL24" i="1" s="1"/>
  <c r="AL25" i="1" s="1"/>
  <c r="AL26" i="1" s="1"/>
  <c r="AL27" i="1" s="1"/>
  <c r="AL28" i="1" s="1"/>
  <c r="AL29" i="1" s="1"/>
  <c r="BI11" i="1"/>
  <c r="BI12" i="1" s="1"/>
  <c r="BI13" i="1" s="1"/>
  <c r="BI14" i="1" s="1"/>
  <c r="AB15" i="1"/>
  <c r="AB16" i="1" s="1"/>
  <c r="AB17" i="1" s="1"/>
  <c r="AB18" i="1" s="1"/>
  <c r="AB19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K37" i="1"/>
  <c r="O37" i="1" s="1"/>
  <c r="J36" i="1"/>
  <c r="N36" i="1" s="1"/>
  <c r="I36" i="1"/>
  <c r="M36" i="1" s="1"/>
  <c r="K36" i="1"/>
  <c r="O36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I37" i="1"/>
  <c r="M37" i="1" s="1"/>
  <c r="L13" i="1"/>
  <c r="P13" i="1" s="1"/>
  <c r="J22" i="1"/>
  <c r="N22" i="1" s="1"/>
  <c r="L37" i="1"/>
  <c r="P37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AL30" i="1" l="1"/>
  <c r="AL31" i="1" s="1"/>
  <c r="AL32" i="1" s="1"/>
  <c r="AL33" i="1" s="1"/>
  <c r="AL34" i="1" s="1"/>
  <c r="AL35" i="1" s="1"/>
  <c r="AL36" i="1" s="1"/>
  <c r="AL37" i="1" s="1"/>
  <c r="AL38" i="1" s="1"/>
  <c r="AB20" i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BI15" i="1"/>
  <c r="BI16" i="1" s="1"/>
  <c r="BI17" i="1" s="1"/>
  <c r="BI18" i="1" s="1"/>
  <c r="BI19" i="1" s="1"/>
  <c r="BI20" i="1" s="1"/>
  <c r="BI21" i="1" s="1"/>
  <c r="BI22" i="1" s="1"/>
  <c r="BI23" i="1" s="1"/>
  <c r="BI24" i="1" s="1"/>
  <c r="I40" i="2"/>
  <c r="I41" i="2" s="1"/>
  <c r="I42" i="2" s="1"/>
  <c r="I43" i="2" s="1"/>
  <c r="I44" i="2" s="1"/>
  <c r="I45" i="2" s="1"/>
  <c r="U40" i="2"/>
  <c r="U41" i="2" s="1"/>
  <c r="U42" i="2" s="1"/>
  <c r="U43" i="2" s="1"/>
  <c r="U44" i="2" s="1"/>
  <c r="U45" i="2" s="1"/>
  <c r="B15" i="2"/>
  <c r="BI25" i="1" l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16" i="2"/>
  <c r="M15" i="2"/>
  <c r="B17" i="2" l="1"/>
  <c r="M16" i="2"/>
  <c r="B18" i="2" l="1"/>
  <c r="M17" i="2"/>
  <c r="B19" i="2" l="1"/>
  <c r="M18" i="2"/>
  <c r="B20" i="2" l="1"/>
  <c r="M19" i="2"/>
  <c r="M20" i="2" s="1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B42" i="2" s="1"/>
  <c r="B43" i="2" s="1"/>
  <c r="B44" i="2" s="1"/>
  <c r="B45" i="2" s="1"/>
  <c r="M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  <author>Ricardo Arancibia Leon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  <comment ref="S23" authorId="1" shapeId="0" xr:uid="{26FEE496-4046-4364-870D-8323B20F4E1A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AVERIA N°7525 SIN SOLUCIONAR EN EL TABLERO TGSP VIÑA DEL MAR
</t>
        </r>
      </text>
    </comment>
  </commentList>
</comments>
</file>

<file path=xl/sharedStrings.xml><?xml version="1.0" encoding="utf-8"?>
<sst xmlns="http://schemas.openxmlformats.org/spreadsheetml/2006/main" count="124" uniqueCount="71">
  <si>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</si>
  <si>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</si>
  <si>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</si>
  <si>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</si>
  <si>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</si>
  <si>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</si>
  <si>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</si>
  <si>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</si>
  <si>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</si>
  <si>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</si>
  <si>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</si>
  <si>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</si>
  <si>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</si>
  <si>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</si>
  <si>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</si>
  <si>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</si>
  <si>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</si>
  <si>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</si>
  <si>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</si>
  <si>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</si>
  <si>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</si>
  <si>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</si>
  <si>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</si>
  <si>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</si>
  <si>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</si>
  <si>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</si>
  <si>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</si>
  <si>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</si>
  <si>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</si>
  <si>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</si>
  <si>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</si>
  <si>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</si>
  <si>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</si>
  <si>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</si>
  <si>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</si>
  <si>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</si>
  <si>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</si>
  <si>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</si>
  <si>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</si>
  <si>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</si>
  <si>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</si>
  <si>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</si>
  <si>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</si>
  <si>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</si>
  <si>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</si>
  <si>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</si>
  <si>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</si>
  <si>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</si>
  <si>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</si>
  <si>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</si>
  <si>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</si>
  <si>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</si>
  <si>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</si>
  <si>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</si>
  <si>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</si>
  <si>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</si>
  <si>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</si>
  <si>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</si>
  <si>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</si>
  <si>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</si>
  <si>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</si>
  <si>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</si>
  <si>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</si>
  <si>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</si>
  <si>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</si>
  <si>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</si>
  <si>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</si>
  <si>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</si>
  <si>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</si>
  <si>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>21:[00</t>
  </si>
  <si>
    <t>22;45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</si>
</sst>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9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5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20" fontId="4" fillId="5" borderId="37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5" fontId="4" fillId="5" borderId="36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8" xfId="0" applyBorder="1"/>
    <xf numFmtId="0" fontId="0" fillId="5" borderId="34" xfId="0" applyFill="1" applyBorder="1"/>
    <xf numFmtId="0" fontId="0" fillId="5" borderId="37" xfId="0" applyFill="1" applyBorder="1"/>
    <xf numFmtId="0" fontId="0" fillId="5" borderId="36" xfId="0" applyFill="1" applyBorder="1"/>
    <xf numFmtId="0" fontId="0" fillId="5" borderId="5" xfId="0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6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8" xfId="0" applyFill="1" applyBorder="1"/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6" fontId="4" fillId="5" borderId="33" xfId="2" applyNumberFormat="1" applyFont="1" applyFill="1" applyBorder="1" applyAlignment="1">
      <alignment horizontal="center"/>
    </xf>
    <xf numFmtId="0" fontId="0" fillId="0" borderId="0" xfId="0"/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9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9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3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3" xfId="2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5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9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9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9" fontId="8" fillId="3" borderId="48" xfId="2" applyFont="1" applyFill="1" applyBorder="1" applyAlignment="1">
      <alignment horizontal="center"/>
    </xf>
    <xf numFmtId="1" fontId="8" fillId="0" borderId="48" xfId="0" applyNumberFormat="1" applyFont="1" applyFill="1" applyBorder="1" applyAlignment="1">
      <alignment horizontal="center"/>
    </xf>
    <xf numFmtId="1" fontId="8" fillId="3" borderId="48" xfId="0" applyNumberFormat="1" applyFont="1" applyFill="1" applyBorder="1" applyAlignment="1">
      <alignment horizontal="center"/>
    </xf>
    <xf numFmtId="0" fontId="8" fillId="9" borderId="48" xfId="0" applyFont="1" applyFill="1" applyBorder="1" applyAlignment="1">
      <alignment horizontal="center"/>
    </xf>
    <xf numFmtId="1" fontId="8" fillId="9" borderId="48" xfId="0" applyNumberFormat="1" applyFont="1" applyFill="1" applyBorder="1"/>
    <xf numFmtId="168" fontId="8" fillId="9" borderId="48" xfId="0" applyNumberFormat="1" applyFont="1" applyFill="1" applyBorder="1"/>
    <xf numFmtId="9" fontId="8" fillId="0" borderId="48" xfId="0" applyNumberFormat="1" applyFont="1" applyFill="1" applyBorder="1" applyAlignment="1">
      <alignment horizontal="center"/>
    </xf>
    <xf numFmtId="165" fontId="8" fillId="3" borderId="48" xfId="0" applyNumberFormat="1" applyFont="1" applyFill="1" applyBorder="1" applyAlignment="1">
      <alignment horizontal="center"/>
    </xf>
    <xf numFmtId="166" fontId="8" fillId="9" borderId="48" xfId="0" applyNumberFormat="1" applyFont="1" applyFill="1" applyBorder="1" applyAlignment="1">
      <alignment horizontal="center"/>
    </xf>
    <xf numFmtId="165" fontId="8" fillId="9" borderId="48" xfId="0" applyNumberFormat="1" applyFont="1" applyFill="1" applyBorder="1" applyAlignment="1">
      <alignment horizontal="center"/>
    </xf>
    <xf numFmtId="168" fontId="8" fillId="9" borderId="48" xfId="0" applyNumberFormat="1" applyFont="1" applyFill="1" applyBorder="1" applyAlignment="1">
      <alignment horizontal="center"/>
    </xf>
    <xf numFmtId="1" fontId="8" fillId="9" borderId="48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1" xfId="1" applyNumberFormat="1" applyFont="1" applyFill="1" applyBorder="1" applyAlignment="1">
      <alignment horizontal="center"/>
    </xf>
    <xf numFmtId="166" fontId="8" fillId="0" borderId="39" xfId="1" applyNumberFormat="1" applyFont="1" applyFill="1" applyBorder="1" applyAlignment="1">
      <alignment horizontal="center"/>
    </xf>
    <xf numFmtId="165" fontId="8" fillId="0" borderId="51" xfId="0" applyNumberFormat="1" applyFont="1" applyFill="1" applyBorder="1" applyAlignment="1">
      <alignment horizontal="center"/>
    </xf>
    <xf numFmtId="166" fontId="8" fillId="0" borderId="48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/>
    </xf>
    <xf numFmtId="165" fontId="8" fillId="5" borderId="31" xfId="2" applyNumberFormat="1" applyFont="1" applyFill="1" applyBorder="1"/>
    <xf numFmtId="165" fontId="8" fillId="5" borderId="30" xfId="2" applyNumberFormat="1" applyFont="1" applyFill="1" applyBorder="1"/>
    <xf numFmtId="166" fontId="8" fillId="5" borderId="51" xfId="1" applyNumberFormat="1" applyFont="1" applyFill="1" applyBorder="1"/>
    <xf numFmtId="167" fontId="8" fillId="5" borderId="30" xfId="1" applyNumberFormat="1" applyFont="1" applyFill="1" applyBorder="1" applyAlignment="1">
      <alignment horizontal="center"/>
    </xf>
    <xf numFmtId="165" fontId="8" fillId="8" borderId="30" xfId="0" applyNumberFormat="1" applyFont="1" applyFill="1" applyBorder="1"/>
    <xf numFmtId="165" fontId="8" fillId="8" borderId="30" xfId="2" applyNumberFormat="1" applyFont="1" applyFill="1" applyBorder="1" applyAlignment="1">
      <alignment horizontal="center"/>
    </xf>
    <xf numFmtId="166" fontId="8" fillId="8" borderId="30" xfId="1" applyNumberFormat="1" applyFont="1" applyFill="1" applyBorder="1" applyAlignment="1">
      <alignment horizontal="center"/>
    </xf>
    <xf numFmtId="167" fontId="8" fillId="8" borderId="30" xfId="0" applyNumberFormat="1" applyFont="1" applyFill="1" applyBorder="1" applyAlignment="1">
      <alignment horizontal="center"/>
    </xf>
    <xf numFmtId="20" fontId="8" fillId="8" borderId="30" xfId="0" applyNumberFormat="1" applyFont="1" applyFill="1" applyBorder="1" applyAlignment="1">
      <alignment horizontal="center"/>
    </xf>
    <xf numFmtId="165" fontId="8" fillId="7" borderId="51" xfId="2" applyNumberFormat="1" applyFont="1" applyFill="1" applyBorder="1" applyAlignment="1">
      <alignment horizontal="center"/>
    </xf>
    <xf numFmtId="165" fontId="8" fillId="7" borderId="31" xfId="2" applyNumberFormat="1" applyFont="1" applyFill="1" applyBorder="1" applyAlignment="1">
      <alignment horizontal="center"/>
    </xf>
    <xf numFmtId="166" fontId="8" fillId="7" borderId="30" xfId="1" applyNumberFormat="1" applyFont="1" applyFill="1" applyBorder="1" applyAlignment="1">
      <alignment horizontal="center"/>
    </xf>
    <xf numFmtId="167" fontId="8" fillId="7" borderId="51" xfId="0" applyNumberFormat="1" applyFont="1" applyFill="1" applyBorder="1" applyAlignment="1">
      <alignment horizontal="center"/>
    </xf>
    <xf numFmtId="167" fontId="8" fillId="7" borderId="47" xfId="0" applyNumberFormat="1" applyFont="1" applyFill="1" applyBorder="1" applyAlignment="1">
      <alignment horizontal="center"/>
    </xf>
    <xf numFmtId="166" fontId="8" fillId="9" borderId="55" xfId="0" applyNumberFormat="1" applyFont="1" applyFill="1" applyBorder="1" applyAlignment="1">
      <alignment horizontal="center"/>
    </xf>
    <xf numFmtId="165" fontId="8" fillId="9" borderId="55" xfId="0" applyNumberFormat="1" applyFont="1" applyFill="1" applyBorder="1" applyAlignment="1">
      <alignment horizontal="center"/>
    </xf>
    <xf numFmtId="168" fontId="8" fillId="9" borderId="55" xfId="0" applyNumberFormat="1" applyFont="1" applyFill="1" applyBorder="1" applyAlignment="1">
      <alignment horizontal="center"/>
    </xf>
    <xf numFmtId="1" fontId="8" fillId="9" borderId="55" xfId="0" applyNumberFormat="1" applyFont="1" applyFill="1" applyBorder="1" applyAlignment="1">
      <alignment horizontal="center"/>
    </xf>
    <xf numFmtId="165" fontId="8" fillId="5" borderId="30" xfId="2" applyNumberFormat="1" applyFont="1" applyFill="1" applyBorder="1" applyAlignment="1">
      <alignment horizontal="center"/>
    </xf>
    <xf numFmtId="166" fontId="8" fillId="5" borderId="31" xfId="1" applyNumberFormat="1" applyFont="1" applyFill="1" applyBorder="1" applyAlignment="1">
      <alignment horizontal="center"/>
    </xf>
    <xf numFmtId="167" fontId="8" fillId="5" borderId="30" xfId="0" applyNumberFormat="1" applyFont="1" applyFill="1" applyBorder="1" applyAlignment="1">
      <alignment horizontal="center"/>
    </xf>
    <xf numFmtId="166" fontId="8" fillId="5" borderId="51" xfId="1" applyNumberFormat="1" applyFont="1" applyFill="1" applyBorder="1" applyAlignment="1">
      <alignment horizontal="center"/>
    </xf>
    <xf numFmtId="0" fontId="0" fillId="0" borderId="56" xfId="0" applyBorder="1"/>
    <xf numFmtId="0" fontId="4" fillId="3" borderId="58" xfId="0" applyFont="1" applyFill="1" applyBorder="1" applyAlignment="1">
      <alignment horizontal="center"/>
    </xf>
    <xf numFmtId="0" fontId="8" fillId="0" borderId="58" xfId="0" applyFont="1" applyFill="1" applyBorder="1"/>
    <xf numFmtId="0" fontId="8" fillId="0" borderId="58" xfId="0" applyFont="1" applyFill="1" applyBorder="1" applyAlignment="1">
      <alignment horizontal="center" vertical="center" wrapText="1"/>
    </xf>
    <xf numFmtId="0" fontId="8" fillId="0" borderId="58" xfId="0" applyFont="1" applyBorder="1"/>
    <xf numFmtId="0" fontId="4" fillId="0" borderId="58" xfId="0" applyFont="1" applyBorder="1"/>
    <xf numFmtId="0" fontId="0" fillId="0" borderId="58" xfId="0" applyBorder="1"/>
    <xf numFmtId="0" fontId="0" fillId="0" borderId="65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7" xfId="0" applyNumberFormat="1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165" fontId="8" fillId="5" borderId="68" xfId="2" applyNumberFormat="1" applyFont="1" applyFill="1" applyBorder="1"/>
    <xf numFmtId="165" fontId="8" fillId="5" borderId="57" xfId="2" applyNumberFormat="1" applyFont="1" applyFill="1" applyBorder="1"/>
    <xf numFmtId="166" fontId="8" fillId="5" borderId="67" xfId="1" applyNumberFormat="1" applyFont="1" applyFill="1" applyBorder="1"/>
    <xf numFmtId="167" fontId="8" fillId="5" borderId="57" xfId="1" applyNumberFormat="1" applyFont="1" applyFill="1" applyBorder="1" applyAlignment="1">
      <alignment horizontal="center"/>
    </xf>
    <xf numFmtId="9" fontId="8" fillId="3" borderId="57" xfId="2" applyFont="1" applyFill="1" applyBorder="1" applyAlignment="1">
      <alignment horizontal="center"/>
    </xf>
    <xf numFmtId="9" fontId="8" fillId="3" borderId="67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7" xfId="2" applyNumberFormat="1" applyFont="1" applyFill="1" applyBorder="1" applyAlignment="1">
      <alignment horizontal="center"/>
    </xf>
    <xf numFmtId="165" fontId="8" fillId="8" borderId="57" xfId="2" applyNumberFormat="1" applyFont="1" applyFill="1" applyBorder="1" applyAlignment="1">
      <alignment horizontal="center"/>
    </xf>
    <xf numFmtId="166" fontId="8" fillId="8" borderId="57" xfId="1" applyNumberFormat="1" applyFont="1" applyFill="1" applyBorder="1" applyAlignment="1">
      <alignment horizontal="center"/>
    </xf>
    <xf numFmtId="167" fontId="8" fillId="8" borderId="57" xfId="0" applyNumberFormat="1" applyFont="1" applyFill="1" applyBorder="1" applyAlignment="1">
      <alignment horizontal="center"/>
    </xf>
    <xf numFmtId="165" fontId="8" fillId="7" borderId="67" xfId="2" applyNumberFormat="1" applyFont="1" applyFill="1" applyBorder="1" applyAlignment="1">
      <alignment horizontal="center"/>
    </xf>
    <xf numFmtId="165" fontId="8" fillId="7" borderId="68" xfId="2" applyNumberFormat="1" applyFont="1" applyFill="1" applyBorder="1" applyAlignment="1">
      <alignment horizontal="center"/>
    </xf>
    <xf numFmtId="166" fontId="8" fillId="7" borderId="57" xfId="1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7" fontId="8" fillId="7" borderId="69" xfId="0" applyNumberFormat="1" applyFont="1" applyFill="1" applyBorder="1" applyAlignment="1">
      <alignment horizontal="center"/>
    </xf>
    <xf numFmtId="165" fontId="8" fillId="5" borderId="57" xfId="2" applyNumberFormat="1" applyFont="1" applyFill="1" applyBorder="1" applyAlignment="1">
      <alignment horizontal="center"/>
    </xf>
    <xf numFmtId="166" fontId="8" fillId="5" borderId="68" xfId="1" applyNumberFormat="1" applyFont="1" applyFill="1" applyBorder="1" applyAlignment="1">
      <alignment horizontal="center"/>
    </xf>
    <xf numFmtId="167" fontId="8" fillId="5" borderId="57" xfId="0" applyNumberFormat="1" applyFont="1" applyFill="1" applyBorder="1" applyAlignment="1">
      <alignment horizontal="center"/>
    </xf>
    <xf numFmtId="166" fontId="8" fillId="5" borderId="67" xfId="1" applyNumberFormat="1" applyFont="1" applyFill="1" applyBorder="1" applyAlignment="1">
      <alignment horizontal="center"/>
    </xf>
    <xf numFmtId="9" fontId="8" fillId="0" borderId="57" xfId="2" applyFont="1" applyFill="1" applyBorder="1" applyAlignment="1">
      <alignment horizontal="center"/>
    </xf>
    <xf numFmtId="9" fontId="8" fillId="0" borderId="68" xfId="2" applyFont="1" applyFill="1" applyBorder="1" applyAlignment="1">
      <alignment horizontal="center"/>
    </xf>
    <xf numFmtId="9" fontId="8" fillId="0" borderId="69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165" fontId="8" fillId="8" borderId="57" xfId="0" applyNumberFormat="1" applyFont="1" applyFill="1" applyBorder="1"/>
    <xf numFmtId="0" fontId="4" fillId="0" borderId="67" xfId="0" applyFont="1" applyFill="1" applyBorder="1" applyAlignment="1">
      <alignment horizontal="center"/>
    </xf>
    <xf numFmtId="20" fontId="8" fillId="8" borderId="57" xfId="0" applyNumberFormat="1" applyFont="1" applyFill="1" applyBorder="1" applyAlignment="1">
      <alignment horizontal="center"/>
    </xf>
    <xf numFmtId="0" fontId="0" fillId="0" borderId="65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8" xfId="0" applyNumberFormat="1" applyFont="1" applyBorder="1" applyAlignment="1">
      <alignment horizontal="center"/>
    </xf>
    <xf numFmtId="165" fontId="8" fillId="0" borderId="51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60" xfId="2" applyNumberFormat="1" applyFont="1" applyFill="1" applyBorder="1" applyAlignment="1">
      <alignment horizontal="center"/>
    </xf>
    <xf numFmtId="167" fontId="4" fillId="5" borderId="60" xfId="0" applyNumberFormat="1" applyFont="1" applyFill="1" applyBorder="1" applyAlignment="1">
      <alignment horizontal="center"/>
    </xf>
    <xf numFmtId="165" fontId="4" fillId="5" borderId="60" xfId="2" applyNumberFormat="1" applyFont="1" applyFill="1" applyBorder="1" applyAlignment="1">
      <alignment horizontal="center"/>
    </xf>
    <xf numFmtId="165" fontId="4" fillId="0" borderId="60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60" xfId="0" applyBorder="1"/>
    <xf numFmtId="9" fontId="0" fillId="0" borderId="60" xfId="2" applyFont="1" applyBorder="1"/>
    <xf numFmtId="165" fontId="0" fillId="0" borderId="60" xfId="0" applyNumberFormat="1" applyBorder="1"/>
    <xf numFmtId="14" fontId="0" fillId="0" borderId="60" xfId="0" applyNumberFormat="1" applyBorder="1"/>
    <xf numFmtId="165" fontId="9" fillId="9" borderId="48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3" xfId="0" applyFont="1" applyFill="1" applyBorder="1" applyAlignment="1">
      <alignment horizontal="center" vertical="center" wrapText="1"/>
    </xf>
    <xf numFmtId="0" fontId="8" fillId="4" borderId="58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165" fontId="0" fillId="0" borderId="0" xfId="0" applyNumberFormat="1"/>
    <xf numFmtId="9" fontId="4" fillId="0" borderId="0" xfId="2" applyFont="1" applyFill="1" applyBorder="1" applyAlignment="1">
      <alignment horizontal="center"/>
    </xf>
    <xf numFmtId="9" fontId="0" fillId="0" borderId="0" xfId="2" applyFont="1"/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5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54468</c:v>
                </c:pt>
                <c:pt idx="1">
                  <c:v>53906</c:v>
                </c:pt>
                <c:pt idx="2">
                  <c:v>54900</c:v>
                </c:pt>
                <c:pt idx="3">
                  <c:v>52214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55840"/>
        <c:axId val="1408458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140845584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8016"/>
        <c:crosses val="autoZero"/>
        <c:auto val="1"/>
        <c:lblOffset val="100"/>
        <c:baseTimeUnit val="days"/>
      </c:dateAx>
      <c:valAx>
        <c:axId val="14084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48200</c:v>
                </c:pt>
                <c:pt idx="1">
                  <c:v>47624</c:v>
                </c:pt>
                <c:pt idx="2">
                  <c:v>48604</c:v>
                </c:pt>
                <c:pt idx="3">
                  <c:v>45955.01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47680"/>
        <c:axId val="1408452576"/>
      </c:lineChart>
      <c:dateAx>
        <c:axId val="1408447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2576"/>
        <c:crosses val="autoZero"/>
        <c:auto val="1"/>
        <c:lblOffset val="100"/>
        <c:baseTimeUnit val="days"/>
      </c:dateAx>
      <c:valAx>
        <c:axId val="140845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topLeftCell="BF22" zoomScale="110" zoomScaleNormal="110" zoomScaleSheetLayoutView="100" workbookViewId="0">
      <selection activeCell="BM40" sqref="BM40"/>
    </sheetView>
  </sheetViews>
  <sheetFormatPr baseColWidth="10" defaultColWidth="11.42578125" defaultRowHeight="15" x14ac:dyDescent="0.25"/>
  <cols>
    <col min="1" max="1" width="2.28515625" style="157" customWidth="1"/>
    <col min="2" max="2" width="10.42578125" style="14" customWidth="1"/>
    <col min="3" max="3" width="2.28515625" style="190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56" customFormat="1" ht="14.65" customHeight="1" x14ac:dyDescent="0.25">
      <c r="A1" s="150">
        <v>1.1111111E+55</v>
      </c>
      <c r="B1" s="207" t="s">
        <v>0</v>
      </c>
      <c r="C1" s="151"/>
      <c r="D1" s="209" t="s">
        <v>1</v>
      </c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  <c r="P1" s="212"/>
      <c r="Q1" s="152"/>
      <c r="R1" s="217" t="s">
        <v>2</v>
      </c>
      <c r="S1" s="218"/>
      <c r="T1" s="218"/>
      <c r="U1" s="218"/>
      <c r="V1" s="218"/>
      <c r="W1" s="218"/>
      <c r="X1" s="218"/>
      <c r="Y1" s="218"/>
      <c r="Z1" s="218"/>
      <c r="AA1" s="219"/>
      <c r="AB1" s="153"/>
      <c r="AC1" s="217" t="s">
        <v>3</v>
      </c>
      <c r="AD1" s="218"/>
      <c r="AE1" s="218"/>
      <c r="AF1" s="218"/>
      <c r="AG1" s="218"/>
      <c r="AH1" s="218"/>
      <c r="AI1" s="218"/>
      <c r="AJ1" s="218"/>
      <c r="AK1" s="219"/>
      <c r="AL1" s="154"/>
      <c r="AM1" s="217" t="s">
        <v>4</v>
      </c>
      <c r="AN1" s="218"/>
      <c r="AO1" s="218"/>
      <c r="AP1" s="218"/>
      <c r="AQ1" s="218"/>
      <c r="AR1" s="218"/>
      <c r="AS1" s="218"/>
      <c r="AT1" s="218"/>
      <c r="AU1" s="219"/>
      <c r="AV1" s="154"/>
      <c r="AW1" s="217" t="s">
        <v>58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9"/>
      <c r="BI1" s="154"/>
      <c r="BJ1" s="217" t="s">
        <v>5</v>
      </c>
      <c r="BK1" s="218"/>
      <c r="BL1" s="218"/>
      <c r="BM1" s="218"/>
      <c r="BN1" s="218"/>
      <c r="BO1" s="218"/>
      <c r="BP1" s="218"/>
      <c r="BQ1" s="218"/>
      <c r="BR1" s="219"/>
      <c r="BS1" s="155"/>
    </row>
    <row r="2" spans="1:72" ht="15" customHeight="1" thickBot="1" x14ac:dyDescent="0.3">
      <c r="B2" s="207"/>
      <c r="C2" s="1"/>
      <c r="D2" s="213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5"/>
      <c r="P2" s="216"/>
      <c r="Q2" s="59"/>
      <c r="R2" s="220"/>
      <c r="S2" s="221"/>
      <c r="T2" s="221"/>
      <c r="U2" s="221"/>
      <c r="V2" s="221"/>
      <c r="W2" s="221"/>
      <c r="X2" s="221"/>
      <c r="Y2" s="221"/>
      <c r="Z2" s="221"/>
      <c r="AA2" s="222"/>
      <c r="AB2" s="61"/>
      <c r="AC2" s="220"/>
      <c r="AD2" s="221"/>
      <c r="AE2" s="221"/>
      <c r="AF2" s="221"/>
      <c r="AG2" s="221"/>
      <c r="AH2" s="221"/>
      <c r="AI2" s="221"/>
      <c r="AJ2" s="221"/>
      <c r="AK2" s="222"/>
      <c r="AL2" s="60"/>
      <c r="AM2" s="220"/>
      <c r="AN2" s="221"/>
      <c r="AO2" s="221"/>
      <c r="AP2" s="221"/>
      <c r="AQ2" s="221"/>
      <c r="AR2" s="221"/>
      <c r="AS2" s="221"/>
      <c r="AT2" s="221"/>
      <c r="AU2" s="222"/>
      <c r="AV2" s="60"/>
      <c r="AW2" s="220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2"/>
      <c r="BI2" s="60"/>
      <c r="BJ2" s="220"/>
      <c r="BK2" s="221"/>
      <c r="BL2" s="221"/>
      <c r="BM2" s="221"/>
      <c r="BN2" s="221"/>
      <c r="BO2" s="221"/>
      <c r="BP2" s="221"/>
      <c r="BQ2" s="221"/>
      <c r="BR2" s="222"/>
      <c r="BS2" s="158"/>
    </row>
    <row r="3" spans="1:72" ht="30" customHeight="1" thickBot="1" x14ac:dyDescent="0.3">
      <c r="B3" s="207"/>
      <c r="C3" s="1"/>
      <c r="D3" s="226" t="s">
        <v>6</v>
      </c>
      <c r="E3" s="226" t="s">
        <v>7</v>
      </c>
      <c r="F3" s="226" t="s">
        <v>8</v>
      </c>
      <c r="G3" s="226" t="s">
        <v>9</v>
      </c>
      <c r="H3" s="226" t="s">
        <v>10</v>
      </c>
      <c r="I3" s="228" t="s">
        <v>11</v>
      </c>
      <c r="J3" s="229"/>
      <c r="K3" s="230"/>
      <c r="L3" s="231"/>
      <c r="M3" s="228" t="s">
        <v>12</v>
      </c>
      <c r="N3" s="229"/>
      <c r="O3" s="230"/>
      <c r="P3" s="231"/>
      <c r="Q3" s="59"/>
      <c r="R3" s="232" t="s">
        <v>13</v>
      </c>
      <c r="S3" s="224"/>
      <c r="T3" s="233"/>
      <c r="U3" s="233"/>
      <c r="V3" s="232" t="s">
        <v>14</v>
      </c>
      <c r="W3" s="224"/>
      <c r="X3" s="224"/>
      <c r="Y3" s="224"/>
      <c r="Z3" s="224"/>
      <c r="AA3" s="225"/>
      <c r="AB3" s="61"/>
      <c r="AC3" s="234" t="s">
        <v>15</v>
      </c>
      <c r="AD3" s="236" t="s">
        <v>9</v>
      </c>
      <c r="AE3" s="232" t="s">
        <v>13</v>
      </c>
      <c r="AF3" s="224"/>
      <c r="AG3" s="225"/>
      <c r="AH3" s="232" t="s">
        <v>14</v>
      </c>
      <c r="AI3" s="224"/>
      <c r="AJ3" s="224"/>
      <c r="AK3" s="225"/>
      <c r="AL3" s="60"/>
      <c r="AM3" s="237" t="s">
        <v>15</v>
      </c>
      <c r="AN3" s="234" t="s">
        <v>9</v>
      </c>
      <c r="AO3" s="223" t="s">
        <v>13</v>
      </c>
      <c r="AP3" s="224"/>
      <c r="AQ3" s="225"/>
      <c r="AR3" s="232" t="s">
        <v>14</v>
      </c>
      <c r="AS3" s="224"/>
      <c r="AT3" s="224"/>
      <c r="AU3" s="225"/>
      <c r="AV3" s="60"/>
      <c r="AW3" s="234" t="s">
        <v>15</v>
      </c>
      <c r="AX3" s="234" t="s">
        <v>9</v>
      </c>
      <c r="AY3" s="223" t="s">
        <v>13</v>
      </c>
      <c r="AZ3" s="223"/>
      <c r="BA3" s="224"/>
      <c r="BB3" s="225"/>
      <c r="BC3" s="232" t="s">
        <v>14</v>
      </c>
      <c r="BD3" s="223"/>
      <c r="BE3" s="223"/>
      <c r="BF3" s="224"/>
      <c r="BG3" s="224"/>
      <c r="BH3" s="225"/>
      <c r="BI3" s="60"/>
      <c r="BJ3" s="237" t="s">
        <v>16</v>
      </c>
      <c r="BK3" s="234" t="s">
        <v>17</v>
      </c>
      <c r="BL3" s="238" t="s">
        <v>18</v>
      </c>
      <c r="BM3" s="239"/>
      <c r="BN3" s="240"/>
      <c r="BO3" s="223" t="s">
        <v>14</v>
      </c>
      <c r="BP3" s="224"/>
      <c r="BQ3" s="224"/>
      <c r="BR3" s="225"/>
      <c r="BS3" s="158"/>
    </row>
    <row r="4" spans="1:72" ht="56.25" customHeight="1" thickBot="1" x14ac:dyDescent="0.3">
      <c r="B4" s="208"/>
      <c r="C4" s="2"/>
      <c r="D4" s="227"/>
      <c r="E4" s="227"/>
      <c r="F4" s="227"/>
      <c r="G4" s="227"/>
      <c r="H4" s="227"/>
      <c r="I4" s="81" t="s">
        <v>3</v>
      </c>
      <c r="J4" s="82" t="s">
        <v>4</v>
      </c>
      <c r="K4" s="83" t="s">
        <v>58</v>
      </c>
      <c r="L4" s="83" t="s">
        <v>5</v>
      </c>
      <c r="M4" s="82" t="s">
        <v>3</v>
      </c>
      <c r="N4" s="82" t="s">
        <v>4</v>
      </c>
      <c r="O4" s="82" t="s">
        <v>58</v>
      </c>
      <c r="P4" s="82" t="s">
        <v>19</v>
      </c>
      <c r="Q4" s="61"/>
      <c r="R4" s="123" t="s">
        <v>20</v>
      </c>
      <c r="S4" s="63" t="s">
        <v>21</v>
      </c>
      <c r="T4" s="63" t="s">
        <v>60</v>
      </c>
      <c r="U4" s="63" t="s">
        <v>22</v>
      </c>
      <c r="V4" s="124" t="s">
        <v>23</v>
      </c>
      <c r="W4" s="63" t="s">
        <v>24</v>
      </c>
      <c r="X4" s="124" t="s">
        <v>25</v>
      </c>
      <c r="Y4" s="63" t="s">
        <v>24</v>
      </c>
      <c r="Z4" s="126" t="s">
        <v>26</v>
      </c>
      <c r="AA4" s="126" t="s">
        <v>24</v>
      </c>
      <c r="AB4" s="61"/>
      <c r="AC4" s="235"/>
      <c r="AD4" s="218"/>
      <c r="AE4" s="63" t="s">
        <v>27</v>
      </c>
      <c r="AF4" s="123" t="s">
        <v>28</v>
      </c>
      <c r="AG4" s="63" t="s">
        <v>29</v>
      </c>
      <c r="AH4" s="125" t="s">
        <v>30</v>
      </c>
      <c r="AI4" s="63" t="s">
        <v>24</v>
      </c>
      <c r="AJ4" s="63" t="s">
        <v>31</v>
      </c>
      <c r="AK4" s="63" t="s">
        <v>24</v>
      </c>
      <c r="AL4" s="62"/>
      <c r="AM4" s="217"/>
      <c r="AN4" s="235"/>
      <c r="AO4" s="124" t="s">
        <v>27</v>
      </c>
      <c r="AP4" s="63" t="s">
        <v>28</v>
      </c>
      <c r="AQ4" s="123" t="s">
        <v>29</v>
      </c>
      <c r="AR4" s="63" t="s">
        <v>30</v>
      </c>
      <c r="AS4" s="124" t="s">
        <v>24</v>
      </c>
      <c r="AT4" s="63" t="s">
        <v>31</v>
      </c>
      <c r="AU4" s="125" t="s">
        <v>24</v>
      </c>
      <c r="AV4" s="62"/>
      <c r="AW4" s="235"/>
      <c r="AX4" s="235"/>
      <c r="AY4" s="124" t="s">
        <v>27</v>
      </c>
      <c r="AZ4" s="63" t="s">
        <v>59</v>
      </c>
      <c r="BA4" s="124" t="s">
        <v>61</v>
      </c>
      <c r="BB4" s="63" t="s">
        <v>29</v>
      </c>
      <c r="BC4" s="124" t="s">
        <v>56</v>
      </c>
      <c r="BD4" s="63" t="s">
        <v>24</v>
      </c>
      <c r="BE4" s="124" t="s">
        <v>57</v>
      </c>
      <c r="BF4" s="63" t="s">
        <v>24</v>
      </c>
      <c r="BG4" s="124" t="s">
        <v>31</v>
      </c>
      <c r="BH4" s="63" t="s">
        <v>24</v>
      </c>
      <c r="BI4" s="62"/>
      <c r="BJ4" s="217"/>
      <c r="BK4" s="235"/>
      <c r="BL4" s="124" t="s">
        <v>32</v>
      </c>
      <c r="BM4" s="63" t="s">
        <v>33</v>
      </c>
      <c r="BN4" s="63" t="s">
        <v>34</v>
      </c>
      <c r="BO4" s="63" t="s">
        <v>35</v>
      </c>
      <c r="BP4" s="124" t="s">
        <v>24</v>
      </c>
      <c r="BQ4" s="63" t="s">
        <v>36</v>
      </c>
      <c r="BR4" s="125" t="s">
        <v>24</v>
      </c>
      <c r="BS4" s="159"/>
    </row>
    <row r="5" spans="1:72" ht="15.75" thickBot="1" x14ac:dyDescent="0.3">
      <c r="B5" s="160"/>
      <c r="C5" s="161"/>
      <c r="D5" s="84"/>
      <c r="E5" s="72"/>
      <c r="F5" s="84"/>
      <c r="G5" s="72"/>
      <c r="H5" s="85"/>
      <c r="I5" s="86"/>
      <c r="J5" s="72"/>
      <c r="K5" s="87"/>
      <c r="L5" s="87"/>
      <c r="M5" s="85"/>
      <c r="N5" s="85"/>
      <c r="O5" s="85"/>
      <c r="P5" s="85"/>
      <c r="Q5" s="64"/>
      <c r="R5" s="162"/>
      <c r="S5" s="163"/>
      <c r="T5" s="163"/>
      <c r="U5" s="163"/>
      <c r="V5" s="164"/>
      <c r="W5" s="165"/>
      <c r="X5" s="164"/>
      <c r="Y5" s="165"/>
      <c r="Z5" s="164"/>
      <c r="AA5" s="165"/>
      <c r="AB5" s="65"/>
      <c r="AC5" s="166"/>
      <c r="AD5" s="167"/>
      <c r="AE5" s="95"/>
      <c r="AF5" s="120"/>
      <c r="AG5" s="95"/>
      <c r="AH5" s="95"/>
      <c r="AI5" s="96"/>
      <c r="AJ5" s="97"/>
      <c r="AK5" s="98"/>
      <c r="AL5" s="68"/>
      <c r="AM5" s="69"/>
      <c r="AN5" s="70"/>
      <c r="AO5" s="99"/>
      <c r="AP5" s="117"/>
      <c r="AQ5" s="100"/>
      <c r="AR5" s="101"/>
      <c r="AS5" s="102"/>
      <c r="AT5" s="103"/>
      <c r="AU5" s="104"/>
      <c r="AV5" s="68"/>
      <c r="AW5" s="105"/>
      <c r="AX5" s="106"/>
      <c r="AY5" s="107"/>
      <c r="AZ5" s="108"/>
      <c r="BA5" s="122"/>
      <c r="BB5" s="109"/>
      <c r="BC5" s="109"/>
      <c r="BD5" s="110"/>
      <c r="BE5" s="109"/>
      <c r="BF5" s="110"/>
      <c r="BG5" s="109"/>
      <c r="BH5" s="110"/>
      <c r="BI5" s="68"/>
      <c r="BJ5" s="73"/>
      <c r="BK5" s="70"/>
      <c r="BL5" s="74"/>
      <c r="BM5" s="66"/>
      <c r="BN5" s="66"/>
      <c r="BO5" s="71"/>
      <c r="BP5" s="75"/>
      <c r="BQ5" s="76"/>
      <c r="BR5" s="67"/>
      <c r="BS5" s="168"/>
    </row>
    <row r="6" spans="1:72" ht="15.75" thickBot="1" x14ac:dyDescent="0.3">
      <c r="B6" s="57">
        <v>45747</v>
      </c>
      <c r="C6" s="187"/>
      <c r="D6" s="88">
        <v>53828</v>
      </c>
      <c r="E6" s="182">
        <v>0.88242178791706916</v>
      </c>
      <c r="F6" s="88">
        <v>47499</v>
      </c>
      <c r="G6" s="182">
        <v>0.11757821208293082</v>
      </c>
      <c r="H6" s="169">
        <v>6329</v>
      </c>
      <c r="I6" s="183">
        <v>0.11773192417379634</v>
      </c>
      <c r="J6" s="182">
        <v>0.16082872001342058</v>
      </c>
      <c r="K6" s="182">
        <v>0.16338985746376955</v>
      </c>
      <c r="L6" s="184">
        <v>0.58355980540177821</v>
      </c>
      <c r="M6" s="169">
        <v>6146.4305653413858</v>
      </c>
      <c r="N6" s="169">
        <v>8396.3849857406476</v>
      </c>
      <c r="O6" s="169">
        <v>8530.094288611017</v>
      </c>
      <c r="P6" s="169">
        <v>30465.906760610636</v>
      </c>
      <c r="Q6" s="57">
        <v>45747</v>
      </c>
      <c r="R6" s="162">
        <v>53828</v>
      </c>
      <c r="S6" s="163">
        <v>0</v>
      </c>
      <c r="T6" s="163">
        <v>52207</v>
      </c>
      <c r="U6" s="163">
        <v>0</v>
      </c>
      <c r="V6" s="164">
        <v>15544</v>
      </c>
      <c r="W6" s="165">
        <v>0.78125</v>
      </c>
      <c r="X6" s="164">
        <v>4352</v>
      </c>
      <c r="Y6" s="165">
        <v>0.80208333333333337</v>
      </c>
      <c r="Z6" s="164">
        <v>0</v>
      </c>
      <c r="AA6" s="165">
        <v>0</v>
      </c>
      <c r="AB6" s="57">
        <v>45747</v>
      </c>
      <c r="AC6" s="77">
        <v>1</v>
      </c>
      <c r="AD6" s="185">
        <v>0</v>
      </c>
      <c r="AE6" s="186">
        <v>7018</v>
      </c>
      <c r="AF6" s="119">
        <v>7018</v>
      </c>
      <c r="AG6" s="170">
        <v>0</v>
      </c>
      <c r="AH6" s="171">
        <v>4442</v>
      </c>
      <c r="AI6" s="172">
        <v>0.34305555555555556</v>
      </c>
      <c r="AJ6" s="171">
        <v>0</v>
      </c>
      <c r="AK6" s="188">
        <v>0</v>
      </c>
      <c r="AL6" s="57">
        <v>45747</v>
      </c>
      <c r="AM6" s="78">
        <v>0.59580682173776989</v>
      </c>
      <c r="AN6" s="77">
        <v>0.40419317826223011</v>
      </c>
      <c r="AO6" s="173">
        <v>9587</v>
      </c>
      <c r="AP6" s="118">
        <v>5712</v>
      </c>
      <c r="AQ6" s="174">
        <v>3875</v>
      </c>
      <c r="AR6" s="175">
        <v>4308</v>
      </c>
      <c r="AS6" s="176">
        <v>0.73958333333333337</v>
      </c>
      <c r="AT6" s="175">
        <v>185</v>
      </c>
      <c r="AU6" s="177">
        <v>0.33333333333333331</v>
      </c>
      <c r="AV6" s="57">
        <v>45747</v>
      </c>
      <c r="AW6" s="111">
        <v>0.70142353084316822</v>
      </c>
      <c r="AX6" s="111">
        <v>0.29857646915683173</v>
      </c>
      <c r="AY6" s="112">
        <v>8219</v>
      </c>
      <c r="AZ6" s="113">
        <v>8219</v>
      </c>
      <c r="BA6" s="121">
        <v>5765</v>
      </c>
      <c r="BB6" s="114">
        <v>2454</v>
      </c>
      <c r="BC6" s="113">
        <v>4210</v>
      </c>
      <c r="BD6" s="115">
        <v>0.73958333333333337</v>
      </c>
      <c r="BE6" s="116">
        <v>0</v>
      </c>
      <c r="BF6" s="115">
        <v>0</v>
      </c>
      <c r="BG6" s="116">
        <v>151</v>
      </c>
      <c r="BH6" s="115">
        <v>0.85416666666666663</v>
      </c>
      <c r="BI6" s="57">
        <v>45747</v>
      </c>
      <c r="BJ6" s="79">
        <v>0.60757201172885644</v>
      </c>
      <c r="BK6" s="77">
        <v>0.39242798827114356</v>
      </c>
      <c r="BL6" s="80">
        <v>34786</v>
      </c>
      <c r="BM6" s="178">
        <v>21135</v>
      </c>
      <c r="BN6" s="178">
        <v>13651</v>
      </c>
      <c r="BO6" s="179">
        <v>4684</v>
      </c>
      <c r="BP6" s="180">
        <v>0.7006944444444444</v>
      </c>
      <c r="BQ6" s="181">
        <v>3181</v>
      </c>
      <c r="BR6" s="180">
        <v>0.7006944444444444</v>
      </c>
    </row>
    <row r="7" spans="1:72" ht="15.75" thickBot="1" x14ac:dyDescent="0.3">
      <c r="A7" s="189"/>
      <c r="B7" s="57">
        <f>B6+1</f>
        <v>45748</v>
      </c>
      <c r="C7" s="127"/>
      <c r="D7" s="88">
        <f t="shared" ref="D7:D10" si="0">R7</f>
        <v>54468</v>
      </c>
      <c r="E7" s="182">
        <f t="shared" ref="E7:E10" si="1">F7/D7</f>
        <v>0.88492325769259017</v>
      </c>
      <c r="F7" s="88">
        <f t="shared" ref="F7:F10" si="2">D7-H7</f>
        <v>48200</v>
      </c>
      <c r="G7" s="182">
        <f t="shared" ref="G7:G10" si="3">H7/D7</f>
        <v>0.11507674230740986</v>
      </c>
      <c r="H7" s="169">
        <f t="shared" ref="H7:H10" si="4">U7+AG7+AQ7+BB7</f>
        <v>6268</v>
      </c>
      <c r="I7" s="183">
        <f t="shared" ref="I7:I10" si="5">AE7/(AE7+AO7+BL7+AY7)</f>
        <v>0.1162215135206963</v>
      </c>
      <c r="J7" s="182">
        <f t="shared" ref="J7:J10" si="6">AO7/(AE7+AO7+BL7+AY7)</f>
        <v>0.16007242043718026</v>
      </c>
      <c r="K7" s="182">
        <f t="shared" ref="K7:K10" si="7">AY7/(AF7+AP7+BM7+AZ7+AY7)</f>
        <v>0.16168411055932572</v>
      </c>
      <c r="L7" s="184">
        <f t="shared" ref="L7:L10" si="8">BL7/(AE7+AO7+BL7+AY7)</f>
        <v>0.58796757690518897</v>
      </c>
      <c r="M7" s="169">
        <f t="shared" ref="M7:M10" si="9">(S7+T7)*I7</f>
        <v>6157.5320078400109</v>
      </c>
      <c r="N7" s="169">
        <f t="shared" ref="N7:N10" si="10">(S7+T7)*J7</f>
        <v>8480.7969071822481</v>
      </c>
      <c r="O7" s="169">
        <f t="shared" ref="O7:O10" si="11">(S7+T7)*K7</f>
        <v>8566.1858615436358</v>
      </c>
      <c r="P7" s="169">
        <f t="shared" ref="P7:P10" si="12">(S7+T7)*L7</f>
        <v>31151.110192013817</v>
      </c>
      <c r="Q7" s="57">
        <f>Q6+1</f>
        <v>45748</v>
      </c>
      <c r="R7" s="128">
        <v>54468</v>
      </c>
      <c r="S7" s="129">
        <v>0</v>
      </c>
      <c r="T7" s="129">
        <v>52981</v>
      </c>
      <c r="U7" s="129">
        <v>0</v>
      </c>
      <c r="V7" s="130">
        <v>13783</v>
      </c>
      <c r="W7" s="131">
        <v>0.375</v>
      </c>
      <c r="X7" s="130">
        <v>4352</v>
      </c>
      <c r="Y7" s="131">
        <v>0.80208333333333337</v>
      </c>
      <c r="Z7" s="130">
        <v>0</v>
      </c>
      <c r="AA7" s="131">
        <v>0</v>
      </c>
      <c r="AB7" s="57">
        <f>B7</f>
        <v>45748</v>
      </c>
      <c r="AC7" s="77">
        <f t="shared" ref="AC7:AC10" si="13">+AF7/AE7</f>
        <v>1</v>
      </c>
      <c r="AD7" s="185">
        <f t="shared" ref="AD7:AD10" si="14">+AG7/AE7</f>
        <v>0</v>
      </c>
      <c r="AE7" s="132">
        <v>6997</v>
      </c>
      <c r="AF7" s="119">
        <f t="shared" ref="AF7:AF38" si="15">+AE7-AG7</f>
        <v>6997</v>
      </c>
      <c r="AG7" s="133">
        <v>0</v>
      </c>
      <c r="AH7" s="134">
        <v>4258</v>
      </c>
      <c r="AI7" s="135">
        <v>0.77152777777777781</v>
      </c>
      <c r="AJ7" s="134">
        <v>0</v>
      </c>
      <c r="AK7" s="136">
        <v>0</v>
      </c>
      <c r="AL7" s="57">
        <f>B7</f>
        <v>45748</v>
      </c>
      <c r="AM7" s="78">
        <f t="shared" ref="AM7:AM10" si="16">+AP7/AO7</f>
        <v>0.60309224862509081</v>
      </c>
      <c r="AN7" s="77">
        <f t="shared" ref="AN7:AN10" si="17">+AQ7/AO7</f>
        <v>0.39690775137490919</v>
      </c>
      <c r="AO7" s="137">
        <v>9637</v>
      </c>
      <c r="AP7" s="118">
        <f t="shared" ref="AP7:AP38" si="18">AO7-AQ7</f>
        <v>5812</v>
      </c>
      <c r="AQ7" s="138">
        <v>3825</v>
      </c>
      <c r="AR7" s="139">
        <v>3707</v>
      </c>
      <c r="AS7" s="140">
        <v>0.72986111111111107</v>
      </c>
      <c r="AT7" s="139">
        <v>177</v>
      </c>
      <c r="AU7" s="141">
        <v>0.29166666666666669</v>
      </c>
      <c r="AV7" s="57">
        <f>B7</f>
        <v>45748</v>
      </c>
      <c r="AW7" s="111">
        <f t="shared" ref="AW7:AW10" si="19">BA7/AZ7</f>
        <v>0.70105237395986297</v>
      </c>
      <c r="AX7" s="111">
        <f t="shared" ref="AX7:AX10" si="20">BB7/AZ7</f>
        <v>0.29894762604013703</v>
      </c>
      <c r="AY7" s="112">
        <f t="shared" ref="AY7:AY37" si="21">BA7+BB7</f>
        <v>8172</v>
      </c>
      <c r="AZ7" s="142">
        <v>8172</v>
      </c>
      <c r="BA7" s="121">
        <f t="shared" ref="BA7:BA13" si="22">AZ7-BB7</f>
        <v>5729</v>
      </c>
      <c r="BB7" s="143">
        <v>2443</v>
      </c>
      <c r="BC7" s="142">
        <v>3572</v>
      </c>
      <c r="BD7" s="144">
        <v>0.73958333333333337</v>
      </c>
      <c r="BE7" s="145">
        <v>0</v>
      </c>
      <c r="BF7" s="144">
        <v>0</v>
      </c>
      <c r="BG7" s="145">
        <v>149</v>
      </c>
      <c r="BH7" s="144">
        <v>0.84375</v>
      </c>
      <c r="BI7" s="57">
        <f>B7</f>
        <v>45748</v>
      </c>
      <c r="BJ7" s="79">
        <f t="shared" ref="BJ7:BJ10" si="23">+BM7/BL7</f>
        <v>0.60427142776428044</v>
      </c>
      <c r="BK7" s="77">
        <f t="shared" ref="BK7:BK10" si="24">+BN7/BL7</f>
        <v>0.39572857223571956</v>
      </c>
      <c r="BL7" s="80">
        <f t="shared" ref="BL7:BL10" si="25">BM7+BN7</f>
        <v>35398</v>
      </c>
      <c r="BM7" s="146">
        <v>21390</v>
      </c>
      <c r="BN7" s="146">
        <v>14008</v>
      </c>
      <c r="BO7" s="147">
        <v>4328</v>
      </c>
      <c r="BP7" s="148">
        <v>0.82430555555555551</v>
      </c>
      <c r="BQ7" s="149">
        <v>2876</v>
      </c>
      <c r="BR7" s="148">
        <v>0.82430555555555551</v>
      </c>
    </row>
    <row r="8" spans="1:72" ht="15.75" thickBot="1" x14ac:dyDescent="0.3">
      <c r="A8" s="189"/>
      <c r="B8" s="57">
        <f t="shared" ref="B8:B37" si="26">B7+1</f>
        <v>45749</v>
      </c>
      <c r="C8" s="187"/>
      <c r="D8" s="88">
        <f t="shared" si="0"/>
        <v>53906</v>
      </c>
      <c r="E8" s="182">
        <f t="shared" si="1"/>
        <v>0.88346380736838204</v>
      </c>
      <c r="F8" s="88">
        <f t="shared" si="2"/>
        <v>47624</v>
      </c>
      <c r="G8" s="182">
        <f t="shared" si="3"/>
        <v>0.116536192631618</v>
      </c>
      <c r="H8" s="169">
        <f t="shared" si="4"/>
        <v>6282</v>
      </c>
      <c r="I8" s="183">
        <f t="shared" si="5"/>
        <v>0.11804970158815795</v>
      </c>
      <c r="J8" s="182">
        <f t="shared" si="6"/>
        <v>0.16043429881646828</v>
      </c>
      <c r="K8" s="182">
        <f t="shared" si="7"/>
        <v>0.16331552727927495</v>
      </c>
      <c r="L8" s="184">
        <f t="shared" si="8"/>
        <v>0.58389250429915363</v>
      </c>
      <c r="M8" s="169">
        <f t="shared" si="9"/>
        <v>6193.9497926290596</v>
      </c>
      <c r="N8" s="169">
        <f t="shared" si="10"/>
        <v>8417.8272246012748</v>
      </c>
      <c r="O8" s="169">
        <f t="shared" si="11"/>
        <v>8569.0024008162782</v>
      </c>
      <c r="P8" s="169">
        <f t="shared" si="12"/>
        <v>30636.255808072292</v>
      </c>
      <c r="Q8" s="57">
        <f t="shared" ref="Q8:Q37" si="27">Q7+1</f>
        <v>45749</v>
      </c>
      <c r="R8" s="162">
        <v>53906</v>
      </c>
      <c r="S8" s="163">
        <v>0</v>
      </c>
      <c r="T8" s="163">
        <v>52469</v>
      </c>
      <c r="U8" s="163">
        <v>0</v>
      </c>
      <c r="V8" s="164">
        <v>14081</v>
      </c>
      <c r="W8" s="165">
        <v>0.79166666666666663</v>
      </c>
      <c r="X8" s="164">
        <v>4561</v>
      </c>
      <c r="Y8" s="165">
        <v>0.79166666666666663</v>
      </c>
      <c r="Z8" s="164">
        <v>0</v>
      </c>
      <c r="AA8" s="165">
        <v>0</v>
      </c>
      <c r="AB8" s="57">
        <f t="shared" ref="AB8:AB38" si="28">AB7+1</f>
        <v>45749</v>
      </c>
      <c r="AC8" s="77">
        <f t="shared" si="13"/>
        <v>1</v>
      </c>
      <c r="AD8" s="185">
        <f t="shared" si="14"/>
        <v>0</v>
      </c>
      <c r="AE8" s="186">
        <v>7002</v>
      </c>
      <c r="AF8" s="119">
        <f t="shared" si="15"/>
        <v>7002</v>
      </c>
      <c r="AG8" s="170">
        <v>0</v>
      </c>
      <c r="AH8" s="171">
        <v>3491</v>
      </c>
      <c r="AI8" s="172">
        <v>0.34930555555555554</v>
      </c>
      <c r="AJ8" s="171">
        <v>0</v>
      </c>
      <c r="AK8" s="188">
        <v>0</v>
      </c>
      <c r="AL8" s="57">
        <f t="shared" ref="AL8:AL38" si="29">AL7+1</f>
        <v>45749</v>
      </c>
      <c r="AM8" s="78">
        <f t="shared" si="16"/>
        <v>0.59804539722572514</v>
      </c>
      <c r="AN8" s="77">
        <f t="shared" si="17"/>
        <v>0.40195460277427492</v>
      </c>
      <c r="AO8" s="173">
        <v>9516</v>
      </c>
      <c r="AP8" s="118">
        <f t="shared" si="18"/>
        <v>5691</v>
      </c>
      <c r="AQ8" s="174">
        <v>3825</v>
      </c>
      <c r="AR8" s="175">
        <v>3905</v>
      </c>
      <c r="AS8" s="176">
        <v>0.73541666666666672</v>
      </c>
      <c r="AT8" s="175">
        <v>180</v>
      </c>
      <c r="AU8" s="177">
        <v>0.875</v>
      </c>
      <c r="AV8" s="57">
        <f t="shared" ref="AV8:AV38" si="30">AV7+1</f>
        <v>45749</v>
      </c>
      <c r="AW8" s="111">
        <f t="shared" si="19"/>
        <v>0.69900771775082693</v>
      </c>
      <c r="AX8" s="111">
        <f t="shared" si="20"/>
        <v>0.30099228224917307</v>
      </c>
      <c r="AY8" s="112">
        <f t="shared" si="21"/>
        <v>8163</v>
      </c>
      <c r="AZ8" s="113">
        <v>8163</v>
      </c>
      <c r="BA8" s="121">
        <f t="shared" si="22"/>
        <v>5706</v>
      </c>
      <c r="BB8" s="114">
        <v>2457</v>
      </c>
      <c r="BC8" s="113">
        <v>4105</v>
      </c>
      <c r="BD8" s="115">
        <v>0.75</v>
      </c>
      <c r="BE8" s="116">
        <v>0</v>
      </c>
      <c r="BF8" s="115">
        <v>0</v>
      </c>
      <c r="BG8" s="116">
        <v>152</v>
      </c>
      <c r="BH8" s="115" t="s">
        <v>69</v>
      </c>
      <c r="BI8" s="57">
        <f t="shared" ref="BI8:BI38" si="31">BI7+1</f>
        <v>45749</v>
      </c>
      <c r="BJ8" s="79">
        <f t="shared" si="23"/>
        <v>0.60531862674327952</v>
      </c>
      <c r="BK8" s="77">
        <f t="shared" si="24"/>
        <v>0.39468137325672048</v>
      </c>
      <c r="BL8" s="80">
        <f t="shared" si="25"/>
        <v>34633</v>
      </c>
      <c r="BM8" s="178">
        <v>20964</v>
      </c>
      <c r="BN8" s="178">
        <v>13669</v>
      </c>
      <c r="BO8" s="179">
        <v>3764</v>
      </c>
      <c r="BP8" s="180">
        <v>0.83263888888888893</v>
      </c>
      <c r="BQ8" s="181">
        <v>2509</v>
      </c>
      <c r="BR8" s="180">
        <v>0.79791666666666672</v>
      </c>
    </row>
    <row r="9" spans="1:72" ht="15.75" thickBot="1" x14ac:dyDescent="0.3">
      <c r="A9" s="189" t="s">
        <v>68</v>
      </c>
      <c r="B9" s="57">
        <f t="shared" si="26"/>
        <v>45750</v>
      </c>
      <c r="C9" s="187"/>
      <c r="D9" s="88">
        <f t="shared" si="0"/>
        <v>54900</v>
      </c>
      <c r="E9" s="182">
        <f t="shared" si="1"/>
        <v>0.88531876138433518</v>
      </c>
      <c r="F9" s="88">
        <f t="shared" si="2"/>
        <v>48604</v>
      </c>
      <c r="G9" s="182">
        <f t="shared" si="3"/>
        <v>0.11468123861566484</v>
      </c>
      <c r="H9" s="169">
        <f t="shared" si="4"/>
        <v>6296</v>
      </c>
      <c r="I9" s="183">
        <f t="shared" si="5"/>
        <v>0.11661817219944452</v>
      </c>
      <c r="J9" s="182">
        <f t="shared" si="6"/>
        <v>0.16061036899880968</v>
      </c>
      <c r="K9" s="182">
        <f t="shared" si="7"/>
        <v>0.16820379395375026</v>
      </c>
      <c r="L9" s="184">
        <f t="shared" si="8"/>
        <v>0.57955296918397037</v>
      </c>
      <c r="M9" s="169">
        <f t="shared" si="9"/>
        <v>6231.6086496495172</v>
      </c>
      <c r="N9" s="169">
        <f t="shared" si="10"/>
        <v>8582.3756778203933</v>
      </c>
      <c r="O9" s="169">
        <f t="shared" si="11"/>
        <v>8988.1379337126</v>
      </c>
      <c r="P9" s="169">
        <f t="shared" si="12"/>
        <v>30968.99246131464</v>
      </c>
      <c r="Q9" s="57">
        <f t="shared" si="27"/>
        <v>45750</v>
      </c>
      <c r="R9" s="162">
        <v>54900</v>
      </c>
      <c r="S9" s="163">
        <v>0</v>
      </c>
      <c r="T9" s="163">
        <v>53436</v>
      </c>
      <c r="U9" s="163">
        <v>0</v>
      </c>
      <c r="V9" s="164">
        <v>14822</v>
      </c>
      <c r="W9" s="165">
        <v>0.79166666666666663</v>
      </c>
      <c r="X9" s="164">
        <v>4579</v>
      </c>
      <c r="Y9" s="165">
        <v>0.75</v>
      </c>
      <c r="Z9" s="164">
        <v>0</v>
      </c>
      <c r="AA9" s="165">
        <v>0</v>
      </c>
      <c r="AB9" s="57">
        <f t="shared" si="28"/>
        <v>45750</v>
      </c>
      <c r="AC9" s="77">
        <f t="shared" si="13"/>
        <v>1</v>
      </c>
      <c r="AD9" s="185">
        <f t="shared" si="14"/>
        <v>0</v>
      </c>
      <c r="AE9" s="186">
        <v>7054</v>
      </c>
      <c r="AF9" s="119">
        <f t="shared" si="15"/>
        <v>7054</v>
      </c>
      <c r="AG9" s="170">
        <v>0</v>
      </c>
      <c r="AH9" s="171">
        <v>4248</v>
      </c>
      <c r="AI9" s="172">
        <v>0.36249999999999999</v>
      </c>
      <c r="AJ9" s="171">
        <v>0</v>
      </c>
      <c r="AK9" s="188">
        <v>0</v>
      </c>
      <c r="AL9" s="57">
        <f t="shared" si="29"/>
        <v>45750</v>
      </c>
      <c r="AM9" s="78">
        <f t="shared" si="16"/>
        <v>0.60679361811631494</v>
      </c>
      <c r="AN9" s="77">
        <f t="shared" si="17"/>
        <v>0.39320638188368501</v>
      </c>
      <c r="AO9" s="173">
        <v>9715</v>
      </c>
      <c r="AP9" s="118">
        <f t="shared" si="18"/>
        <v>5895</v>
      </c>
      <c r="AQ9" s="174">
        <v>3820</v>
      </c>
      <c r="AR9" s="175">
        <v>4112</v>
      </c>
      <c r="AS9" s="176">
        <v>0.34722222222222221</v>
      </c>
      <c r="AT9" s="175">
        <v>179</v>
      </c>
      <c r="AU9" s="177">
        <v>0.94791666666666663</v>
      </c>
      <c r="AV9" s="57">
        <f t="shared" si="30"/>
        <v>45750</v>
      </c>
      <c r="AW9" s="111">
        <f t="shared" si="19"/>
        <v>0.71418677132633035</v>
      </c>
      <c r="AX9" s="111">
        <f t="shared" si="20"/>
        <v>0.28581322867366965</v>
      </c>
      <c r="AY9" s="112">
        <f t="shared" si="21"/>
        <v>8663</v>
      </c>
      <c r="AZ9" s="113">
        <v>8663</v>
      </c>
      <c r="BA9" s="121">
        <f t="shared" si="22"/>
        <v>6187</v>
      </c>
      <c r="BB9" s="114">
        <v>2476</v>
      </c>
      <c r="BC9" s="113">
        <v>4023</v>
      </c>
      <c r="BD9" s="115">
        <v>0.75</v>
      </c>
      <c r="BE9" s="116">
        <v>0</v>
      </c>
      <c r="BF9" s="115">
        <v>0</v>
      </c>
      <c r="BG9" s="116">
        <v>150</v>
      </c>
      <c r="BH9" s="115">
        <v>0.86458333333333337</v>
      </c>
      <c r="BI9" s="57">
        <f t="shared" si="31"/>
        <v>45750</v>
      </c>
      <c r="BJ9" s="79">
        <f t="shared" si="23"/>
        <v>0.60554541305340026</v>
      </c>
      <c r="BK9" s="77">
        <f t="shared" si="24"/>
        <v>0.39445458694659974</v>
      </c>
      <c r="BL9" s="80">
        <f t="shared" si="25"/>
        <v>35056</v>
      </c>
      <c r="BM9" s="178">
        <v>21228</v>
      </c>
      <c r="BN9" s="178">
        <v>13828</v>
      </c>
      <c r="BO9" s="179">
        <v>4033</v>
      </c>
      <c r="BP9" s="180">
        <v>0.68958333333333333</v>
      </c>
      <c r="BQ9" s="181">
        <v>2696</v>
      </c>
      <c r="BR9" s="180">
        <v>0.68958333333333333</v>
      </c>
    </row>
    <row r="10" spans="1:72" ht="15.75" thickBot="1" x14ac:dyDescent="0.3">
      <c r="B10" s="57">
        <f t="shared" si="26"/>
        <v>45751</v>
      </c>
      <c r="C10" s="187"/>
      <c r="D10" s="88">
        <f t="shared" si="0"/>
        <v>52214</v>
      </c>
      <c r="E10" s="182">
        <f t="shared" si="1"/>
        <v>0.88012812655609607</v>
      </c>
      <c r="F10" s="88">
        <f t="shared" si="2"/>
        <v>45955.01</v>
      </c>
      <c r="G10" s="182">
        <f t="shared" si="3"/>
        <v>0.11987187344390393</v>
      </c>
      <c r="H10" s="169">
        <f t="shared" si="4"/>
        <v>6258.99</v>
      </c>
      <c r="I10" s="183">
        <f t="shared" si="5"/>
        <v>0.11592065481896616</v>
      </c>
      <c r="J10" s="182">
        <f t="shared" si="6"/>
        <v>0.16079848354060303</v>
      </c>
      <c r="K10" s="182">
        <f t="shared" si="7"/>
        <v>0.16460912556443227</v>
      </c>
      <c r="L10" s="184">
        <f t="shared" si="8"/>
        <v>0.58465235515340275</v>
      </c>
      <c r="M10" s="169">
        <f t="shared" si="9"/>
        <v>5894.6093473932597</v>
      </c>
      <c r="N10" s="169">
        <f t="shared" si="10"/>
        <v>8176.6639914634088</v>
      </c>
      <c r="O10" s="169">
        <f t="shared" si="11"/>
        <v>8370.436586419095</v>
      </c>
      <c r="P10" s="169">
        <f t="shared" si="12"/>
        <v>29729.794427445486</v>
      </c>
      <c r="Q10" s="57">
        <f t="shared" si="27"/>
        <v>45751</v>
      </c>
      <c r="R10" s="162">
        <v>52214</v>
      </c>
      <c r="S10" s="163">
        <v>0</v>
      </c>
      <c r="T10" s="163">
        <v>50850.38</v>
      </c>
      <c r="U10" s="163">
        <v>0</v>
      </c>
      <c r="V10" s="164">
        <v>12453</v>
      </c>
      <c r="W10" s="165">
        <v>0.40625</v>
      </c>
      <c r="X10" s="164">
        <v>4187.6499999999996</v>
      </c>
      <c r="Y10" s="165">
        <v>0.41666666666666669</v>
      </c>
      <c r="Z10" s="164">
        <v>0</v>
      </c>
      <c r="AA10" s="165">
        <v>0</v>
      </c>
      <c r="AB10" s="57">
        <f t="shared" si="28"/>
        <v>45751</v>
      </c>
      <c r="AC10" s="77">
        <f t="shared" si="13"/>
        <v>1</v>
      </c>
      <c r="AD10" s="185">
        <f t="shared" si="14"/>
        <v>0</v>
      </c>
      <c r="AE10" s="186">
        <v>6681</v>
      </c>
      <c r="AF10" s="119">
        <f t="shared" si="15"/>
        <v>6681</v>
      </c>
      <c r="AG10" s="170">
        <v>0</v>
      </c>
      <c r="AH10" s="171">
        <v>3535.3</v>
      </c>
      <c r="AI10" s="172">
        <v>0.73333333333333328</v>
      </c>
      <c r="AJ10" s="171">
        <v>0</v>
      </c>
      <c r="AK10" s="188">
        <v>0</v>
      </c>
      <c r="AL10" s="57">
        <f t="shared" si="29"/>
        <v>45751</v>
      </c>
      <c r="AM10" s="78">
        <f t="shared" si="16"/>
        <v>0.5883150795791745</v>
      </c>
      <c r="AN10" s="77">
        <f t="shared" si="17"/>
        <v>0.41168492042082544</v>
      </c>
      <c r="AO10" s="173">
        <v>9267.5</v>
      </c>
      <c r="AP10" s="118">
        <f t="shared" si="18"/>
        <v>5452.21</v>
      </c>
      <c r="AQ10" s="174">
        <v>3815.29</v>
      </c>
      <c r="AR10" s="175">
        <v>3550</v>
      </c>
      <c r="AS10" s="176">
        <v>0.73611111111111116</v>
      </c>
      <c r="AT10" s="175">
        <v>184</v>
      </c>
      <c r="AU10" s="177">
        <v>0.3125</v>
      </c>
      <c r="AV10" s="57">
        <f t="shared" si="30"/>
        <v>45751</v>
      </c>
      <c r="AW10" s="111">
        <f t="shared" si="19"/>
        <v>0.69414562408085356</v>
      </c>
      <c r="AX10" s="111">
        <f t="shared" si="20"/>
        <v>0.30585437591914638</v>
      </c>
      <c r="AY10" s="112">
        <f t="shared" si="21"/>
        <v>7989.75</v>
      </c>
      <c r="AZ10" s="113">
        <v>7989.75</v>
      </c>
      <c r="BA10" s="121">
        <f t="shared" si="22"/>
        <v>5546.05</v>
      </c>
      <c r="BB10" s="114">
        <v>2443.6999999999998</v>
      </c>
      <c r="BC10" s="113">
        <v>3561.2</v>
      </c>
      <c r="BD10" s="115">
        <v>0.76041666666666663</v>
      </c>
      <c r="BE10" s="116">
        <v>0</v>
      </c>
      <c r="BF10" s="115">
        <v>0</v>
      </c>
      <c r="BG10" s="116">
        <v>144.85</v>
      </c>
      <c r="BH10" s="115">
        <v>0.98958333333333337</v>
      </c>
      <c r="BI10" s="57">
        <f t="shared" si="31"/>
        <v>45751</v>
      </c>
      <c r="BJ10" s="79">
        <f t="shared" si="23"/>
        <v>0.60615503323836661</v>
      </c>
      <c r="BK10" s="77">
        <f t="shared" si="24"/>
        <v>0.39384496676163344</v>
      </c>
      <c r="BL10" s="80">
        <f t="shared" si="25"/>
        <v>33696</v>
      </c>
      <c r="BM10" s="178">
        <v>20425</v>
      </c>
      <c r="BN10" s="178">
        <v>13271</v>
      </c>
      <c r="BO10" s="179">
        <v>3658</v>
      </c>
      <c r="BP10" s="180">
        <v>0.80486111111111114</v>
      </c>
      <c r="BQ10" s="181">
        <v>2440.25</v>
      </c>
      <c r="BR10" s="180">
        <v>0.80486111111111114</v>
      </c>
    </row>
    <row r="11" spans="1:72" ht="15.75" thickBot="1" x14ac:dyDescent="0.3">
      <c r="B11" s="57">
        <f t="shared" si="26"/>
        <v>45752</v>
      </c>
      <c r="C11" s="187"/>
      <c r="D11" s="88">
        <f t="shared" ref="D11:D24" si="32">R11</f>
        <v>31470</v>
      </c>
      <c r="E11" s="182">
        <f t="shared" ref="E11:E24" si="33">F11/D11</f>
        <v>0.7974461391801716</v>
      </c>
      <c r="F11" s="88">
        <f t="shared" ref="F11:F24" si="34">D11-H11</f>
        <v>25095.63</v>
      </c>
      <c r="G11" s="182">
        <f t="shared" ref="G11:G24" si="35">H11/D11</f>
        <v>0.2025538608198284</v>
      </c>
      <c r="H11" s="169">
        <f t="shared" ref="H11:H24" si="36">U11+AG11+AQ11+BB11</f>
        <v>6374.37</v>
      </c>
      <c r="I11" s="183">
        <f t="shared" ref="I11:I24" si="37">AE11/(AE11+AO11+BL11+AY11)</f>
        <v>7.0631811158603355E-2</v>
      </c>
      <c r="J11" s="182">
        <f t="shared" ref="J11:J24" si="38">AO11/(AE11+AO11+BL11+AY11)</f>
        <v>0.16716098259155862</v>
      </c>
      <c r="K11" s="182">
        <f t="shared" ref="K11:K24" si="39">AY11/(AF11+AP11+BM11+AZ11+AY11)</f>
        <v>0.16408299374643215</v>
      </c>
      <c r="L11" s="184">
        <f t="shared" ref="L11:L24" si="40">BL11/(AE11+AO11+BL11+AY11)</f>
        <v>0.63651257033702668</v>
      </c>
      <c r="M11" s="169">
        <f t="shared" ref="M11:M24" si="41">(S11+T11)*I11</f>
        <v>2164.9448259578021</v>
      </c>
      <c r="N11" s="169">
        <f t="shared" ref="N11:N24" si="42">(S11+T11)*J11</f>
        <v>5123.6730083416005</v>
      </c>
      <c r="O11" s="169">
        <f t="shared" ref="O11:O24" si="43">(S11+T11)*K11</f>
        <v>5029.3291721110791</v>
      </c>
      <c r="P11" s="169">
        <f t="shared" ref="P11:P24" si="44">(S11+T11)*L11</f>
        <v>19509.829540034349</v>
      </c>
      <c r="Q11" s="57">
        <f t="shared" si="27"/>
        <v>45752</v>
      </c>
      <c r="R11" s="162">
        <v>31470</v>
      </c>
      <c r="S11" s="163">
        <v>0</v>
      </c>
      <c r="T11" s="163">
        <v>30651.13</v>
      </c>
      <c r="U11" s="163">
        <v>0</v>
      </c>
      <c r="V11" s="164">
        <v>6033.5</v>
      </c>
      <c r="W11" s="165">
        <v>0.88541666666666663</v>
      </c>
      <c r="X11" s="164">
        <v>1852.25</v>
      </c>
      <c r="Y11" s="165">
        <v>0.57291666666666663</v>
      </c>
      <c r="Z11" s="164">
        <v>0</v>
      </c>
      <c r="AA11" s="165">
        <v>0</v>
      </c>
      <c r="AB11" s="57">
        <f t="shared" si="28"/>
        <v>45752</v>
      </c>
      <c r="AC11" s="77">
        <f t="shared" ref="AC11:AC24" si="45">+AF11/AE11</f>
        <v>1</v>
      </c>
      <c r="AD11" s="185">
        <f t="shared" ref="AD11:AD24" si="46">+AG11/AE11</f>
        <v>0</v>
      </c>
      <c r="AE11" s="186">
        <v>2426</v>
      </c>
      <c r="AF11" s="119">
        <f t="shared" si="15"/>
        <v>2426</v>
      </c>
      <c r="AG11" s="170">
        <v>0</v>
      </c>
      <c r="AH11" s="171">
        <v>1481.18</v>
      </c>
      <c r="AI11" s="172">
        <v>0.61944444444444446</v>
      </c>
      <c r="AJ11" s="171">
        <v>0</v>
      </c>
      <c r="AK11" s="188">
        <v>0</v>
      </c>
      <c r="AL11" s="57">
        <f t="shared" si="29"/>
        <v>45752</v>
      </c>
      <c r="AM11" s="78">
        <f t="shared" ref="AM11:AM24" si="47">+AP11/AO11</f>
        <v>0.3311643298789515</v>
      </c>
      <c r="AN11" s="77">
        <f t="shared" ref="AN11:AN24" si="48">+AQ11/AO11</f>
        <v>0.6688356701210485</v>
      </c>
      <c r="AO11" s="173">
        <v>5741.5</v>
      </c>
      <c r="AP11" s="118">
        <f t="shared" si="18"/>
        <v>1901.38</v>
      </c>
      <c r="AQ11" s="174">
        <v>3840.12</v>
      </c>
      <c r="AR11" s="175">
        <v>1657.25</v>
      </c>
      <c r="AS11" s="176">
        <v>0.83819444444444446</v>
      </c>
      <c r="AT11" s="175">
        <v>175.43</v>
      </c>
      <c r="AU11" s="177">
        <v>0.30208333333333331</v>
      </c>
      <c r="AV11" s="57">
        <f t="shared" si="30"/>
        <v>45752</v>
      </c>
      <c r="AW11" s="111">
        <f t="shared" ref="AW11:AW24" si="49">BA11/AZ11</f>
        <v>0.41299438299843649</v>
      </c>
      <c r="AX11" s="111">
        <f t="shared" ref="AX11:AX24" si="50">BB11/AZ11</f>
        <v>0.58700561700156351</v>
      </c>
      <c r="AY11" s="112">
        <f t="shared" si="21"/>
        <v>4317.25</v>
      </c>
      <c r="AZ11" s="113">
        <v>4317.25</v>
      </c>
      <c r="BA11" s="193">
        <f t="shared" si="22"/>
        <v>1783</v>
      </c>
      <c r="BB11" s="114">
        <v>2534.25</v>
      </c>
      <c r="BC11" s="113">
        <v>1432.25</v>
      </c>
      <c r="BD11" s="115">
        <v>0.51041666666666663</v>
      </c>
      <c r="BE11" s="116">
        <v>0</v>
      </c>
      <c r="BF11" s="115">
        <v>0</v>
      </c>
      <c r="BG11" s="116">
        <v>136.44</v>
      </c>
      <c r="BH11" s="115">
        <v>0.96875</v>
      </c>
      <c r="BI11" s="57">
        <f t="shared" si="31"/>
        <v>45752</v>
      </c>
      <c r="BJ11" s="79">
        <f t="shared" ref="BJ11:BJ24" si="51">+BM11/BL11</f>
        <v>0.61061512973427423</v>
      </c>
      <c r="BK11" s="77">
        <f t="shared" ref="BK11:BK24" si="52">+BN11/BL11</f>
        <v>0.38938487026572588</v>
      </c>
      <c r="BL11" s="80">
        <f t="shared" ref="BL11:BL24" si="53">BM11+BN11</f>
        <v>21862.379999999997</v>
      </c>
      <c r="BM11" s="178">
        <v>13349.5</v>
      </c>
      <c r="BN11" s="178">
        <v>8512.8799999999992</v>
      </c>
      <c r="BO11" s="179">
        <v>2430.87</v>
      </c>
      <c r="BP11" s="180">
        <v>0.4597222222222222</v>
      </c>
      <c r="BQ11" s="181">
        <v>1615.78</v>
      </c>
      <c r="BR11" s="180">
        <v>0.4597222222222222</v>
      </c>
    </row>
    <row r="12" spans="1:72" ht="15.75" thickBot="1" x14ac:dyDescent="0.3">
      <c r="B12" s="57">
        <f t="shared" si="26"/>
        <v>45753</v>
      </c>
      <c r="C12" s="187"/>
      <c r="D12" s="88">
        <f t="shared" si="32"/>
        <v>27350</v>
      </c>
      <c r="E12" s="182">
        <f t="shared" si="33"/>
        <v>0.78365630712979895</v>
      </c>
      <c r="F12" s="88">
        <f t="shared" si="34"/>
        <v>21433</v>
      </c>
      <c r="G12" s="182">
        <f>H12/D12</f>
        <v>0.21634369287020111</v>
      </c>
      <c r="H12" s="169">
        <f t="shared" si="36"/>
        <v>5917</v>
      </c>
      <c r="I12" s="183">
        <f t="shared" si="37"/>
        <v>6.3490992510626815E-2</v>
      </c>
      <c r="J12" s="182">
        <f t="shared" si="38"/>
        <v>0.17320018892112543</v>
      </c>
      <c r="K12" s="182">
        <f t="shared" si="39"/>
        <v>0.17203214897448285</v>
      </c>
      <c r="L12" s="184">
        <f t="shared" si="40"/>
        <v>0.63116523851292083</v>
      </c>
      <c r="M12" s="169">
        <f t="shared" si="41"/>
        <v>1606.068146548816</v>
      </c>
      <c r="N12" s="169">
        <f t="shared" si="42"/>
        <v>4381.2719789487892</v>
      </c>
      <c r="O12" s="169">
        <f t="shared" si="43"/>
        <v>4351.7252404585179</v>
      </c>
      <c r="P12" s="169">
        <f t="shared" si="44"/>
        <v>15965.955873422845</v>
      </c>
      <c r="Q12" s="57">
        <f t="shared" si="27"/>
        <v>45753</v>
      </c>
      <c r="R12" s="162">
        <v>27350</v>
      </c>
      <c r="S12" s="163">
        <v>0</v>
      </c>
      <c r="T12" s="163">
        <v>25296</v>
      </c>
      <c r="U12" s="163">
        <v>0</v>
      </c>
      <c r="V12" s="164">
        <v>6675</v>
      </c>
      <c r="W12" s="165">
        <v>0.80486111111111114</v>
      </c>
      <c r="X12" s="164">
        <v>1843</v>
      </c>
      <c r="Y12" s="165">
        <v>0.83333333333333337</v>
      </c>
      <c r="Z12" s="164">
        <v>0</v>
      </c>
      <c r="AA12" s="165">
        <v>0</v>
      </c>
      <c r="AB12" s="57">
        <f t="shared" si="28"/>
        <v>45753</v>
      </c>
      <c r="AC12" s="77">
        <f t="shared" si="45"/>
        <v>1</v>
      </c>
      <c r="AD12" s="185">
        <f t="shared" si="46"/>
        <v>0</v>
      </c>
      <c r="AE12" s="186">
        <v>1882</v>
      </c>
      <c r="AF12" s="119">
        <f t="shared" si="15"/>
        <v>1882</v>
      </c>
      <c r="AG12" s="170">
        <v>0</v>
      </c>
      <c r="AH12" s="171">
        <v>1473</v>
      </c>
      <c r="AI12" s="172">
        <v>0.76666666666666672</v>
      </c>
      <c r="AJ12" s="171">
        <v>0</v>
      </c>
      <c r="AK12" s="188">
        <v>0</v>
      </c>
      <c r="AL12" s="57">
        <f t="shared" si="29"/>
        <v>45753</v>
      </c>
      <c r="AM12" s="78">
        <f t="shared" si="47"/>
        <v>0.30794701986754969</v>
      </c>
      <c r="AN12" s="77">
        <f t="shared" si="48"/>
        <v>0.69205298013245031</v>
      </c>
      <c r="AO12" s="173">
        <v>5134</v>
      </c>
      <c r="AP12" s="118">
        <f t="shared" si="18"/>
        <v>1581</v>
      </c>
      <c r="AQ12" s="174">
        <v>3553</v>
      </c>
      <c r="AR12" s="175">
        <v>1730</v>
      </c>
      <c r="AS12" s="176">
        <v>0.38958333333333334</v>
      </c>
      <c r="AT12" s="175">
        <v>176</v>
      </c>
      <c r="AU12" s="177">
        <v>0.90625</v>
      </c>
      <c r="AV12" s="57">
        <f t="shared" si="30"/>
        <v>45753</v>
      </c>
      <c r="AW12" s="111">
        <f t="shared" si="49"/>
        <v>0.39647689558335458</v>
      </c>
      <c r="AX12" s="111">
        <f t="shared" si="50"/>
        <v>0.60352310441664536</v>
      </c>
      <c r="AY12" s="112">
        <f t="shared" si="21"/>
        <v>3917</v>
      </c>
      <c r="AZ12" s="113">
        <v>3917</v>
      </c>
      <c r="BA12" s="193">
        <f t="shared" si="22"/>
        <v>1553</v>
      </c>
      <c r="BB12" s="114">
        <v>2364</v>
      </c>
      <c r="BC12" s="113">
        <v>1566</v>
      </c>
      <c r="BD12" s="115">
        <v>0.95833333333333337</v>
      </c>
      <c r="BE12" s="116">
        <v>0</v>
      </c>
      <c r="BF12" s="115">
        <v>0</v>
      </c>
      <c r="BG12" s="116">
        <v>137</v>
      </c>
      <c r="BH12" s="115">
        <v>0.91666666666666663</v>
      </c>
      <c r="BI12" s="57">
        <f t="shared" si="31"/>
        <v>45753</v>
      </c>
      <c r="BJ12" s="79">
        <f t="shared" si="51"/>
        <v>0.61318082206424718</v>
      </c>
      <c r="BK12" s="77">
        <f t="shared" si="52"/>
        <v>0.38681917793575282</v>
      </c>
      <c r="BL12" s="80">
        <f t="shared" si="53"/>
        <v>18709</v>
      </c>
      <c r="BM12" s="178">
        <v>11472</v>
      </c>
      <c r="BN12" s="178">
        <v>7237</v>
      </c>
      <c r="BO12" s="179">
        <v>2411</v>
      </c>
      <c r="BP12" s="180">
        <v>0.75416666666666665</v>
      </c>
      <c r="BQ12" s="181">
        <v>1526</v>
      </c>
      <c r="BR12" s="180">
        <v>0.75486111111111109</v>
      </c>
      <c r="BT12" s="14" t="s">
        <v>37</v>
      </c>
    </row>
    <row r="13" spans="1:72" ht="15.75" thickBot="1" x14ac:dyDescent="0.3">
      <c r="B13" s="57">
        <f t="shared" si="26"/>
        <v>45754</v>
      </c>
      <c r="C13" s="187"/>
      <c r="D13" s="88">
        <f t="shared" si="32"/>
        <v>53728</v>
      </c>
      <c r="E13" s="182">
        <f t="shared" si="33"/>
        <v>0.88450658874329968</v>
      </c>
      <c r="F13" s="88">
        <f t="shared" si="34"/>
        <v>47522.770000000004</v>
      </c>
      <c r="G13" s="182">
        <f t="shared" si="35"/>
        <v>0.11549341125670042</v>
      </c>
      <c r="H13" s="169">
        <f t="shared" si="36"/>
        <v>6205.23</v>
      </c>
      <c r="I13" s="183">
        <f t="shared" si="37"/>
        <v>0.11742723921423401</v>
      </c>
      <c r="J13" s="182">
        <f t="shared" si="38"/>
        <v>0.16027572508290269</v>
      </c>
      <c r="K13" s="182">
        <f t="shared" si="39"/>
        <v>0.16669605950194319</v>
      </c>
      <c r="L13" s="184">
        <f t="shared" si="40"/>
        <v>0.58084905819179555</v>
      </c>
      <c r="M13" s="169">
        <f t="shared" si="41"/>
        <v>6133.9586244045313</v>
      </c>
      <c r="N13" s="169">
        <f t="shared" si="42"/>
        <v>8372.2028443617764</v>
      </c>
      <c r="O13" s="169">
        <f t="shared" si="43"/>
        <v>8707.5770381583807</v>
      </c>
      <c r="P13" s="169">
        <f t="shared" si="44"/>
        <v>30341.376615971181</v>
      </c>
      <c r="Q13" s="57">
        <f t="shared" si="27"/>
        <v>45754</v>
      </c>
      <c r="R13" s="162">
        <v>53728</v>
      </c>
      <c r="S13" s="163">
        <v>0</v>
      </c>
      <c r="T13" s="163">
        <v>52236.25</v>
      </c>
      <c r="U13" s="163">
        <v>0</v>
      </c>
      <c r="V13" s="164">
        <v>13119.55</v>
      </c>
      <c r="W13" s="165">
        <v>0.79166666666666663</v>
      </c>
      <c r="X13" s="164">
        <v>4466.1099999999997</v>
      </c>
      <c r="Y13" s="165">
        <v>0.78125</v>
      </c>
      <c r="Z13" s="164">
        <v>0</v>
      </c>
      <c r="AA13" s="165">
        <v>0</v>
      </c>
      <c r="AB13" s="57">
        <f t="shared" si="28"/>
        <v>45754</v>
      </c>
      <c r="AC13" s="77">
        <f t="shared" si="45"/>
        <v>1</v>
      </c>
      <c r="AD13" s="185">
        <f t="shared" si="46"/>
        <v>0</v>
      </c>
      <c r="AE13" s="186">
        <v>6976</v>
      </c>
      <c r="AF13" s="119">
        <f t="shared" si="15"/>
        <v>6976</v>
      </c>
      <c r="AG13" s="170">
        <v>0</v>
      </c>
      <c r="AH13" s="171">
        <v>3922.96</v>
      </c>
      <c r="AI13" s="172">
        <v>0.79166666666666663</v>
      </c>
      <c r="AJ13" s="171">
        <v>0</v>
      </c>
      <c r="AK13" s="188">
        <v>0</v>
      </c>
      <c r="AL13" s="57">
        <f t="shared" si="29"/>
        <v>45754</v>
      </c>
      <c r="AM13" s="78">
        <f t="shared" si="47"/>
        <v>0.60574594339127241</v>
      </c>
      <c r="AN13" s="77">
        <f t="shared" si="48"/>
        <v>0.39425405660872759</v>
      </c>
      <c r="AO13" s="173">
        <v>9521.5</v>
      </c>
      <c r="AP13" s="118">
        <f t="shared" si="18"/>
        <v>5767.6100000000006</v>
      </c>
      <c r="AQ13" s="174">
        <v>3753.89</v>
      </c>
      <c r="AR13" s="175">
        <v>3994.31</v>
      </c>
      <c r="AS13" s="176">
        <v>0.73888888888888893</v>
      </c>
      <c r="AT13" s="175">
        <v>181.76</v>
      </c>
      <c r="AU13" s="177">
        <v>0.88541666666666663</v>
      </c>
      <c r="AV13" s="57">
        <f t="shared" si="30"/>
        <v>45754</v>
      </c>
      <c r="AW13" s="111">
        <f t="shared" si="49"/>
        <v>0.70827799595382601</v>
      </c>
      <c r="AX13" s="111">
        <f t="shared" si="50"/>
        <v>0.29172200404617399</v>
      </c>
      <c r="AY13" s="112">
        <f t="shared" si="21"/>
        <v>8403</v>
      </c>
      <c r="AZ13" s="113">
        <v>8403</v>
      </c>
      <c r="BA13" s="193">
        <f t="shared" si="22"/>
        <v>5951.66</v>
      </c>
      <c r="BB13" s="114">
        <v>2451.34</v>
      </c>
      <c r="BC13" s="113">
        <v>4115.49</v>
      </c>
      <c r="BD13" s="115">
        <v>0.3125</v>
      </c>
      <c r="BE13" s="116">
        <v>0</v>
      </c>
      <c r="BF13" s="115">
        <v>0</v>
      </c>
      <c r="BG13" s="116">
        <v>143.13</v>
      </c>
      <c r="BH13" s="115">
        <v>0.83333333333333337</v>
      </c>
      <c r="BI13" s="57">
        <f t="shared" si="31"/>
        <v>45754</v>
      </c>
      <c r="BJ13" s="79">
        <f t="shared" si="51"/>
        <v>0.60450929535015141</v>
      </c>
      <c r="BK13" s="77">
        <f t="shared" si="52"/>
        <v>0.39549070464984859</v>
      </c>
      <c r="BL13" s="80">
        <f t="shared" si="53"/>
        <v>34506.5</v>
      </c>
      <c r="BM13" s="178">
        <v>20859.5</v>
      </c>
      <c r="BN13" s="178">
        <v>13647</v>
      </c>
      <c r="BO13" s="179">
        <v>3815.3</v>
      </c>
      <c r="BP13" s="180">
        <v>0.77916666666666667</v>
      </c>
      <c r="BQ13" s="181">
        <v>2559.33</v>
      </c>
      <c r="BR13" s="180">
        <v>0.77916666666666667</v>
      </c>
    </row>
    <row r="14" spans="1:72" ht="15.75" thickBot="1" x14ac:dyDescent="0.3">
      <c r="B14" s="57">
        <f t="shared" si="26"/>
        <v>45755</v>
      </c>
      <c r="C14" s="187"/>
      <c r="D14" s="88">
        <f t="shared" si="32"/>
        <v>51918</v>
      </c>
      <c r="E14" s="182">
        <f t="shared" si="33"/>
        <v>0.87582341384490925</v>
      </c>
      <c r="F14" s="88">
        <f t="shared" si="34"/>
        <v>45471</v>
      </c>
      <c r="G14" s="182">
        <f t="shared" si="35"/>
        <v>0.12417658615509072</v>
      </c>
      <c r="H14" s="169">
        <f t="shared" si="36"/>
        <v>6447</v>
      </c>
      <c r="I14" s="183">
        <f t="shared" si="37"/>
        <v>0.11555888606183123</v>
      </c>
      <c r="J14" s="182">
        <f t="shared" si="38"/>
        <v>0.1627165313164407</v>
      </c>
      <c r="K14" s="182">
        <f t="shared" si="39"/>
        <v>0.16518245454168909</v>
      </c>
      <c r="L14" s="184">
        <f t="shared" si="40"/>
        <v>0.58272629047436475</v>
      </c>
      <c r="M14" s="169">
        <f t="shared" si="41"/>
        <v>5835.7237461224777</v>
      </c>
      <c r="N14" s="169">
        <f t="shared" si="42"/>
        <v>8217.1848314802555</v>
      </c>
      <c r="O14" s="169">
        <f t="shared" si="43"/>
        <v>8341.7139543552985</v>
      </c>
      <c r="P14" s="169">
        <f t="shared" si="44"/>
        <v>29427.677668955421</v>
      </c>
      <c r="Q14" s="57">
        <f t="shared" si="27"/>
        <v>45755</v>
      </c>
      <c r="R14" s="162">
        <v>51918</v>
      </c>
      <c r="S14" s="163">
        <v>0</v>
      </c>
      <c r="T14" s="163">
        <v>50500</v>
      </c>
      <c r="U14" s="163">
        <v>0</v>
      </c>
      <c r="V14" s="164">
        <v>13208</v>
      </c>
      <c r="W14" s="165">
        <v>0.38541666666666669</v>
      </c>
      <c r="X14" s="164">
        <v>4323</v>
      </c>
      <c r="Y14" s="165">
        <v>0.79166666666666663</v>
      </c>
      <c r="Z14" s="164">
        <v>0</v>
      </c>
      <c r="AA14" s="165">
        <v>0</v>
      </c>
      <c r="AB14" s="57">
        <f t="shared" si="28"/>
        <v>45755</v>
      </c>
      <c r="AC14" s="77">
        <f t="shared" si="45"/>
        <v>1</v>
      </c>
      <c r="AD14" s="185">
        <f t="shared" si="46"/>
        <v>0</v>
      </c>
      <c r="AE14" s="186">
        <v>6631</v>
      </c>
      <c r="AF14" s="119">
        <f t="shared" si="15"/>
        <v>6631</v>
      </c>
      <c r="AG14" s="170">
        <v>0</v>
      </c>
      <c r="AH14" s="171">
        <v>4199</v>
      </c>
      <c r="AI14" s="172">
        <v>0.33819444444444446</v>
      </c>
      <c r="AJ14" s="171">
        <v>0</v>
      </c>
      <c r="AK14" s="188">
        <v>0</v>
      </c>
      <c r="AL14" s="57">
        <f t="shared" si="29"/>
        <v>45755</v>
      </c>
      <c r="AM14" s="78">
        <f t="shared" si="47"/>
        <v>0.5821998500589054</v>
      </c>
      <c r="AN14" s="77">
        <f t="shared" si="48"/>
        <v>0.41780014994109455</v>
      </c>
      <c r="AO14" s="173">
        <v>9337</v>
      </c>
      <c r="AP14" s="118">
        <f t="shared" si="18"/>
        <v>5436</v>
      </c>
      <c r="AQ14" s="174">
        <v>3901</v>
      </c>
      <c r="AR14" s="175">
        <v>3510</v>
      </c>
      <c r="AS14" s="176">
        <v>0.35694444444444445</v>
      </c>
      <c r="AT14" s="175">
        <v>196</v>
      </c>
      <c r="AU14" s="177">
        <v>0.79166666666666663</v>
      </c>
      <c r="AV14" s="57">
        <f t="shared" si="30"/>
        <v>45755</v>
      </c>
      <c r="AW14" s="111">
        <f t="shared" si="49"/>
        <v>0.68079237713139418</v>
      </c>
      <c r="AX14" s="111">
        <f t="shared" si="50"/>
        <v>0.31920762286860582</v>
      </c>
      <c r="AY14" s="112">
        <f t="shared" si="21"/>
        <v>7976</v>
      </c>
      <c r="AZ14" s="113">
        <v>7976</v>
      </c>
      <c r="BA14" s="121">
        <f t="shared" ref="BA14:BA24" si="54">AZ14-BB14</f>
        <v>5430</v>
      </c>
      <c r="BB14" s="114">
        <v>2546</v>
      </c>
      <c r="BC14" s="113">
        <v>3590</v>
      </c>
      <c r="BD14" s="115">
        <v>0.67708333333333337</v>
      </c>
      <c r="BE14" s="116">
        <v>0</v>
      </c>
      <c r="BF14" s="115">
        <v>0</v>
      </c>
      <c r="BG14" s="116">
        <v>148</v>
      </c>
      <c r="BH14" s="115">
        <v>0.82291666666666663</v>
      </c>
      <c r="BI14" s="57">
        <f t="shared" si="31"/>
        <v>45755</v>
      </c>
      <c r="BJ14" s="79">
        <f t="shared" si="51"/>
        <v>0.60610682457084752</v>
      </c>
      <c r="BK14" s="77">
        <f t="shared" si="52"/>
        <v>0.39389317542915248</v>
      </c>
      <c r="BL14" s="80">
        <f t="shared" si="53"/>
        <v>33438</v>
      </c>
      <c r="BM14" s="178">
        <v>20267</v>
      </c>
      <c r="BN14" s="178">
        <v>13171</v>
      </c>
      <c r="BO14" s="179">
        <v>3849</v>
      </c>
      <c r="BP14" s="180">
        <v>0.67638888888888893</v>
      </c>
      <c r="BQ14" s="181">
        <v>2575</v>
      </c>
      <c r="BR14" s="180">
        <v>0.67638888888888893</v>
      </c>
    </row>
    <row r="15" spans="1:72" ht="15.75" thickBot="1" x14ac:dyDescent="0.3">
      <c r="B15" s="57">
        <f t="shared" si="26"/>
        <v>45756</v>
      </c>
      <c r="C15" s="187"/>
      <c r="D15" s="88">
        <f t="shared" si="32"/>
        <v>52398</v>
      </c>
      <c r="E15" s="182">
        <f t="shared" si="33"/>
        <v>0.87646475056299855</v>
      </c>
      <c r="F15" s="88">
        <f t="shared" si="34"/>
        <v>45925</v>
      </c>
      <c r="G15" s="182">
        <f t="shared" si="35"/>
        <v>0.12353524943700141</v>
      </c>
      <c r="H15" s="169">
        <f t="shared" si="36"/>
        <v>6473</v>
      </c>
      <c r="I15" s="183">
        <f t="shared" si="37"/>
        <v>0.11626451568041166</v>
      </c>
      <c r="J15" s="182">
        <f t="shared" si="38"/>
        <v>0.1616194979486823</v>
      </c>
      <c r="K15" s="182">
        <f t="shared" si="39"/>
        <v>0.16286435905929117</v>
      </c>
      <c r="L15" s="184">
        <f t="shared" si="40"/>
        <v>0.58535567763020657</v>
      </c>
      <c r="M15" s="169">
        <f t="shared" si="41"/>
        <v>5924.8397190737778</v>
      </c>
      <c r="N15" s="169">
        <f t="shared" si="42"/>
        <v>8236.1296154648498</v>
      </c>
      <c r="O15" s="169">
        <f t="shared" si="43"/>
        <v>8299.5677376614785</v>
      </c>
      <c r="P15" s="169">
        <f t="shared" si="44"/>
        <v>29829.725332035327</v>
      </c>
      <c r="Q15" s="57">
        <f t="shared" si="27"/>
        <v>45756</v>
      </c>
      <c r="R15" s="162">
        <v>52398</v>
      </c>
      <c r="S15" s="163">
        <v>0</v>
      </c>
      <c r="T15" s="163">
        <v>50960</v>
      </c>
      <c r="U15" s="163">
        <v>0</v>
      </c>
      <c r="V15" s="164">
        <v>12487</v>
      </c>
      <c r="W15" s="165">
        <v>0.375</v>
      </c>
      <c r="X15" s="164">
        <v>4218</v>
      </c>
      <c r="Y15" s="165">
        <v>0.79166666666666663</v>
      </c>
      <c r="Z15" s="164">
        <v>0</v>
      </c>
      <c r="AA15" s="165">
        <v>0</v>
      </c>
      <c r="AB15" s="191">
        <f t="shared" si="28"/>
        <v>45756</v>
      </c>
      <c r="AC15" s="77">
        <f t="shared" si="45"/>
        <v>1</v>
      </c>
      <c r="AD15" s="185">
        <f t="shared" si="46"/>
        <v>0</v>
      </c>
      <c r="AE15" s="186">
        <v>6688</v>
      </c>
      <c r="AF15" s="119">
        <f t="shared" si="15"/>
        <v>6688</v>
      </c>
      <c r="AG15" s="170">
        <v>0</v>
      </c>
      <c r="AH15" s="171">
        <v>4261</v>
      </c>
      <c r="AI15" s="172">
        <v>0.32708333333333334</v>
      </c>
      <c r="AJ15" s="171">
        <v>0</v>
      </c>
      <c r="AK15" s="188">
        <v>0</v>
      </c>
      <c r="AL15" s="191">
        <f t="shared" si="29"/>
        <v>45756</v>
      </c>
      <c r="AM15" s="78">
        <f t="shared" si="47"/>
        <v>0.58943745294180916</v>
      </c>
      <c r="AN15" s="77">
        <f t="shared" si="48"/>
        <v>0.41056254705819084</v>
      </c>
      <c r="AO15" s="173">
        <v>9297</v>
      </c>
      <c r="AP15" s="118">
        <f t="shared" si="18"/>
        <v>5480</v>
      </c>
      <c r="AQ15" s="174">
        <v>3817</v>
      </c>
      <c r="AR15" s="175">
        <v>3713</v>
      </c>
      <c r="AS15" s="176">
        <v>0.34791666666666665</v>
      </c>
      <c r="AT15" s="175">
        <v>182</v>
      </c>
      <c r="AU15" s="177">
        <v>0.29166666666666669</v>
      </c>
      <c r="AV15" s="57">
        <f t="shared" si="30"/>
        <v>45756</v>
      </c>
      <c r="AW15" s="192">
        <f t="shared" si="49"/>
        <v>0.66238718698360244</v>
      </c>
      <c r="AX15" s="192">
        <f t="shared" si="50"/>
        <v>0.33761281301639762</v>
      </c>
      <c r="AY15" s="112">
        <f t="shared" si="21"/>
        <v>7867</v>
      </c>
      <c r="AZ15" s="113">
        <v>7867</v>
      </c>
      <c r="BA15" s="193">
        <f t="shared" si="54"/>
        <v>5211</v>
      </c>
      <c r="BB15" s="114">
        <f>1571+1085</f>
        <v>2656</v>
      </c>
      <c r="BC15" s="113">
        <v>3448</v>
      </c>
      <c r="BD15" s="115">
        <v>0.30208333333333331</v>
      </c>
      <c r="BE15" s="116">
        <v>0</v>
      </c>
      <c r="BF15" s="115">
        <v>0</v>
      </c>
      <c r="BG15" s="116">
        <v>143</v>
      </c>
      <c r="BH15" s="115">
        <v>0.78125</v>
      </c>
      <c r="BI15" s="191">
        <f t="shared" si="31"/>
        <v>45756</v>
      </c>
      <c r="BJ15" s="194">
        <f t="shared" si="51"/>
        <v>0.60590401520551196</v>
      </c>
      <c r="BK15" s="77">
        <f t="shared" si="52"/>
        <v>0.39409598479448799</v>
      </c>
      <c r="BL15" s="80">
        <f t="shared" si="53"/>
        <v>33672</v>
      </c>
      <c r="BM15" s="178">
        <v>20402</v>
      </c>
      <c r="BN15" s="178">
        <v>13270</v>
      </c>
      <c r="BO15" s="179">
        <v>4145</v>
      </c>
      <c r="BP15" s="180">
        <v>0.80486111111111114</v>
      </c>
      <c r="BQ15" s="181">
        <v>2794</v>
      </c>
      <c r="BR15" s="180">
        <v>0.80486111111111114</v>
      </c>
    </row>
    <row r="16" spans="1:72" ht="15.75" thickBot="1" x14ac:dyDescent="0.3">
      <c r="B16" s="57">
        <f t="shared" si="26"/>
        <v>45757</v>
      </c>
      <c r="C16" s="187"/>
      <c r="D16" s="88">
        <f t="shared" si="32"/>
        <v>52198</v>
      </c>
      <c r="E16" s="182">
        <f t="shared" si="33"/>
        <v>0.87767730564389446</v>
      </c>
      <c r="F16" s="88">
        <f t="shared" si="34"/>
        <v>45813</v>
      </c>
      <c r="G16" s="182">
        <f t="shared" si="35"/>
        <v>0.1223226943561056</v>
      </c>
      <c r="H16" s="169">
        <f t="shared" si="36"/>
        <v>6385</v>
      </c>
      <c r="I16" s="183">
        <f t="shared" si="37"/>
        <v>0.11630003293636348</v>
      </c>
      <c r="J16" s="182">
        <f t="shared" si="38"/>
        <v>0.15915197531506231</v>
      </c>
      <c r="K16" s="182">
        <f t="shared" si="39"/>
        <v>0.16218333230268175</v>
      </c>
      <c r="L16" s="184">
        <f t="shared" si="40"/>
        <v>0.58815677709015901</v>
      </c>
      <c r="M16" s="169">
        <f t="shared" si="41"/>
        <v>5910.7165739248012</v>
      </c>
      <c r="N16" s="169">
        <f t="shared" si="42"/>
        <v>8088.5808414374114</v>
      </c>
      <c r="O16" s="169">
        <f t="shared" si="43"/>
        <v>8242.643497619194</v>
      </c>
      <c r="P16" s="169">
        <f t="shared" si="44"/>
        <v>29891.891882053151</v>
      </c>
      <c r="Q16" s="57">
        <f t="shared" si="27"/>
        <v>45757</v>
      </c>
      <c r="R16" s="162">
        <v>52198</v>
      </c>
      <c r="S16" s="163">
        <v>0</v>
      </c>
      <c r="T16" s="163">
        <v>50823</v>
      </c>
      <c r="U16" s="163">
        <v>0</v>
      </c>
      <c r="V16" s="164">
        <v>12253</v>
      </c>
      <c r="W16" s="165">
        <v>0.8125</v>
      </c>
      <c r="X16" s="164">
        <v>4402</v>
      </c>
      <c r="Y16" s="165">
        <v>0.79166666666666663</v>
      </c>
      <c r="Z16" s="164">
        <v>0</v>
      </c>
      <c r="AA16" s="165">
        <v>0</v>
      </c>
      <c r="AB16" s="57">
        <f t="shared" si="28"/>
        <v>45757</v>
      </c>
      <c r="AC16" s="77">
        <f t="shared" si="45"/>
        <v>1</v>
      </c>
      <c r="AD16" s="185">
        <f t="shared" si="46"/>
        <v>0</v>
      </c>
      <c r="AE16" s="186">
        <v>6709</v>
      </c>
      <c r="AF16" s="119">
        <f t="shared" si="15"/>
        <v>6709</v>
      </c>
      <c r="AG16" s="170">
        <v>0</v>
      </c>
      <c r="AH16" s="171">
        <v>3828</v>
      </c>
      <c r="AI16" s="172">
        <v>0.33402777777777776</v>
      </c>
      <c r="AJ16" s="171">
        <v>0</v>
      </c>
      <c r="AK16" s="188">
        <v>0</v>
      </c>
      <c r="AL16" s="57">
        <f t="shared" si="29"/>
        <v>45757</v>
      </c>
      <c r="AM16" s="78">
        <f t="shared" si="47"/>
        <v>0.59187452347238867</v>
      </c>
      <c r="AN16" s="77">
        <f t="shared" si="48"/>
        <v>0.40812547652761139</v>
      </c>
      <c r="AO16" s="173">
        <v>9181</v>
      </c>
      <c r="AP16" s="118">
        <f t="shared" si="18"/>
        <v>5434</v>
      </c>
      <c r="AQ16" s="174">
        <v>3747</v>
      </c>
      <c r="AR16" s="175">
        <v>3604</v>
      </c>
      <c r="AS16" s="176">
        <v>0.34652777777777777</v>
      </c>
      <c r="AT16" s="175">
        <v>179</v>
      </c>
      <c r="AU16" s="177">
        <v>0.27083333333333331</v>
      </c>
      <c r="AV16" s="57">
        <f t="shared" si="30"/>
        <v>45757</v>
      </c>
      <c r="AW16" s="111">
        <f t="shared" si="49"/>
        <v>0.66471784443314696</v>
      </c>
      <c r="AX16" s="111">
        <f t="shared" si="50"/>
        <v>0.33528215556685309</v>
      </c>
      <c r="AY16" s="112">
        <f t="shared" si="21"/>
        <v>7868</v>
      </c>
      <c r="AZ16" s="113">
        <v>7868</v>
      </c>
      <c r="BA16" s="121">
        <f t="shared" si="54"/>
        <v>5230</v>
      </c>
      <c r="BB16" s="114">
        <f>1571+1067</f>
        <v>2638</v>
      </c>
      <c r="BC16" s="113">
        <v>3503</v>
      </c>
      <c r="BD16" s="115">
        <v>0.3125</v>
      </c>
      <c r="BE16" s="116">
        <v>0</v>
      </c>
      <c r="BF16" s="115">
        <v>0</v>
      </c>
      <c r="BG16" s="116">
        <v>148</v>
      </c>
      <c r="BH16" s="115">
        <v>0.78125</v>
      </c>
      <c r="BI16" s="57">
        <f t="shared" si="31"/>
        <v>45757</v>
      </c>
      <c r="BJ16" s="79">
        <f t="shared" si="51"/>
        <v>0.60815231807598225</v>
      </c>
      <c r="BK16" s="77">
        <f t="shared" si="52"/>
        <v>0.39184768192401781</v>
      </c>
      <c r="BL16" s="80">
        <f t="shared" si="53"/>
        <v>33929</v>
      </c>
      <c r="BM16" s="178">
        <v>20634</v>
      </c>
      <c r="BN16" s="178">
        <v>13295</v>
      </c>
      <c r="BO16" s="179">
        <v>4171</v>
      </c>
      <c r="BP16" s="180">
        <v>0.74722222222222223</v>
      </c>
      <c r="BQ16" s="181">
        <v>2789</v>
      </c>
      <c r="BR16" s="180">
        <v>0.74722222222222223</v>
      </c>
    </row>
    <row r="17" spans="1:70" ht="15.75" thickBot="1" x14ac:dyDescent="0.3">
      <c r="B17" s="57">
        <f t="shared" si="26"/>
        <v>45758</v>
      </c>
      <c r="C17" s="187"/>
      <c r="D17" s="88">
        <f t="shared" si="32"/>
        <v>52912</v>
      </c>
      <c r="E17" s="182">
        <f t="shared" si="33"/>
        <v>0.88327789537345025</v>
      </c>
      <c r="F17" s="88">
        <f t="shared" si="34"/>
        <v>46736</v>
      </c>
      <c r="G17" s="182">
        <f t="shared" si="35"/>
        <v>0.11672210462654975</v>
      </c>
      <c r="H17" s="169">
        <f t="shared" si="36"/>
        <v>6176</v>
      </c>
      <c r="I17" s="183">
        <f t="shared" si="37"/>
        <v>0.11817323375397029</v>
      </c>
      <c r="J17" s="182">
        <f t="shared" si="38"/>
        <v>0.15994505966177355</v>
      </c>
      <c r="K17" s="182">
        <f t="shared" si="39"/>
        <v>0.16598460291734199</v>
      </c>
      <c r="L17" s="184">
        <f t="shared" si="40"/>
        <v>0.58121727186882999</v>
      </c>
      <c r="M17" s="169">
        <f t="shared" si="41"/>
        <v>6092.1847197184306</v>
      </c>
      <c r="N17" s="169">
        <f t="shared" si="42"/>
        <v>8245.6476607434124</v>
      </c>
      <c r="O17" s="169">
        <f t="shared" si="43"/>
        <v>8557.0042341977314</v>
      </c>
      <c r="P17" s="169">
        <f t="shared" si="44"/>
        <v>29963.494016653793</v>
      </c>
      <c r="Q17" s="57">
        <f t="shared" si="27"/>
        <v>45758</v>
      </c>
      <c r="R17" s="162">
        <v>52912</v>
      </c>
      <c r="S17" s="163">
        <v>0</v>
      </c>
      <c r="T17" s="163">
        <v>51553</v>
      </c>
      <c r="U17" s="163">
        <v>0</v>
      </c>
      <c r="V17" s="164">
        <v>13632</v>
      </c>
      <c r="W17" s="165">
        <v>0.41666666666666669</v>
      </c>
      <c r="X17" s="164">
        <v>4228</v>
      </c>
      <c r="Y17" s="165">
        <v>0.40625</v>
      </c>
      <c r="Z17" s="164">
        <v>0</v>
      </c>
      <c r="AA17" s="165">
        <v>0</v>
      </c>
      <c r="AB17" s="57">
        <f t="shared" si="28"/>
        <v>45758</v>
      </c>
      <c r="AC17" s="77">
        <f t="shared" si="45"/>
        <v>1</v>
      </c>
      <c r="AD17" s="185">
        <f t="shared" si="46"/>
        <v>0</v>
      </c>
      <c r="AE17" s="186">
        <v>6883</v>
      </c>
      <c r="AF17" s="119">
        <f t="shared" si="15"/>
        <v>6883</v>
      </c>
      <c r="AG17" s="170">
        <v>0</v>
      </c>
      <c r="AH17" s="171">
        <v>3724</v>
      </c>
      <c r="AI17" s="172">
        <v>0.3659722222222222</v>
      </c>
      <c r="AJ17" s="171">
        <v>0</v>
      </c>
      <c r="AK17" s="188">
        <v>0</v>
      </c>
      <c r="AL17" s="57">
        <f t="shared" si="29"/>
        <v>45758</v>
      </c>
      <c r="AM17" s="78">
        <f t="shared" si="47"/>
        <v>0.59961356805495925</v>
      </c>
      <c r="AN17" s="77">
        <f t="shared" si="48"/>
        <v>0.40038643194504081</v>
      </c>
      <c r="AO17" s="173">
        <v>9316</v>
      </c>
      <c r="AP17" s="118">
        <f t="shared" si="18"/>
        <v>5586</v>
      </c>
      <c r="AQ17" s="174">
        <v>3730</v>
      </c>
      <c r="AR17" s="175">
        <v>4577</v>
      </c>
      <c r="AS17" s="176">
        <v>0.36249999999999999</v>
      </c>
      <c r="AT17" s="175">
        <v>187</v>
      </c>
      <c r="AU17" s="177">
        <v>0.8125</v>
      </c>
      <c r="AV17" s="57">
        <f t="shared" si="30"/>
        <v>45758</v>
      </c>
      <c r="AW17" s="111">
        <f t="shared" si="49"/>
        <v>0.70145245941657508</v>
      </c>
      <c r="AX17" s="111">
        <f t="shared" si="50"/>
        <v>0.29854754058342486</v>
      </c>
      <c r="AY17" s="112">
        <f t="shared" si="21"/>
        <v>8193</v>
      </c>
      <c r="AZ17" s="113">
        <v>8193</v>
      </c>
      <c r="BA17" s="121">
        <f t="shared" si="54"/>
        <v>5747</v>
      </c>
      <c r="BB17" s="114">
        <v>2446</v>
      </c>
      <c r="BC17" s="113">
        <v>3816</v>
      </c>
      <c r="BD17" s="115">
        <v>0.38541666666666669</v>
      </c>
      <c r="BE17" s="116">
        <v>0</v>
      </c>
      <c r="BF17" s="115">
        <v>0</v>
      </c>
      <c r="BG17" s="116">
        <v>147</v>
      </c>
      <c r="BH17" s="115">
        <v>0.875</v>
      </c>
      <c r="BI17" s="57">
        <f t="shared" si="31"/>
        <v>45758</v>
      </c>
      <c r="BJ17" s="79">
        <f t="shared" si="51"/>
        <v>0.60570702744217642</v>
      </c>
      <c r="BK17" s="77">
        <f t="shared" si="52"/>
        <v>0.39429297255782353</v>
      </c>
      <c r="BL17" s="80">
        <f t="shared" si="53"/>
        <v>33853</v>
      </c>
      <c r="BM17" s="178">
        <v>20505</v>
      </c>
      <c r="BN17" s="178">
        <v>13348</v>
      </c>
      <c r="BO17" s="179">
        <v>3703</v>
      </c>
      <c r="BP17" s="180">
        <v>0.3840277777777778</v>
      </c>
      <c r="BQ17" s="181">
        <v>2462</v>
      </c>
      <c r="BR17" s="180">
        <v>0.3840277777777778</v>
      </c>
    </row>
    <row r="18" spans="1:70" ht="15.75" thickBot="1" x14ac:dyDescent="0.3">
      <c r="B18" s="57">
        <f t="shared" si="26"/>
        <v>45759</v>
      </c>
      <c r="C18" s="187"/>
      <c r="D18" s="88">
        <f t="shared" si="32"/>
        <v>32780</v>
      </c>
      <c r="E18" s="182">
        <f t="shared" si="33"/>
        <v>0.81543624161073824</v>
      </c>
      <c r="F18" s="88">
        <f t="shared" si="34"/>
        <v>26730</v>
      </c>
      <c r="G18" s="182">
        <f t="shared" si="35"/>
        <v>0.18456375838926176</v>
      </c>
      <c r="H18" s="169">
        <f t="shared" si="36"/>
        <v>6050</v>
      </c>
      <c r="I18" s="183">
        <f t="shared" si="37"/>
        <v>7.9417659503396063E-2</v>
      </c>
      <c r="J18" s="182">
        <f t="shared" si="38"/>
        <v>0.16050551163567531</v>
      </c>
      <c r="K18" s="182">
        <f t="shared" si="39"/>
        <v>0.16125902770292119</v>
      </c>
      <c r="L18" s="184">
        <f t="shared" si="40"/>
        <v>0.63514642022046541</v>
      </c>
      <c r="M18" s="169">
        <f t="shared" si="41"/>
        <v>2491.1731433025275</v>
      </c>
      <c r="N18" s="169">
        <f t="shared" si="42"/>
        <v>5034.7368889878635</v>
      </c>
      <c r="O18" s="169">
        <f t="shared" si="43"/>
        <v>5058.3731809852316</v>
      </c>
      <c r="P18" s="169">
        <f t="shared" si="44"/>
        <v>19923.27290947556</v>
      </c>
      <c r="Q18" s="57">
        <f t="shared" si="27"/>
        <v>45759</v>
      </c>
      <c r="R18" s="162">
        <v>32780</v>
      </c>
      <c r="S18" s="163">
        <v>0</v>
      </c>
      <c r="T18" s="163">
        <v>31368</v>
      </c>
      <c r="U18" s="163">
        <v>0</v>
      </c>
      <c r="V18" s="164">
        <v>6512</v>
      </c>
      <c r="W18" s="165">
        <v>0.61458333333333337</v>
      </c>
      <c r="X18" s="164">
        <v>2197</v>
      </c>
      <c r="Y18" s="165">
        <v>0.65625</v>
      </c>
      <c r="Z18" s="164">
        <v>0</v>
      </c>
      <c r="AA18" s="165">
        <v>0</v>
      </c>
      <c r="AB18" s="57">
        <f t="shared" si="28"/>
        <v>45759</v>
      </c>
      <c r="AC18" s="77">
        <f t="shared" si="45"/>
        <v>1</v>
      </c>
      <c r="AD18" s="185">
        <f t="shared" si="46"/>
        <v>0</v>
      </c>
      <c r="AE18" s="186">
        <v>2853</v>
      </c>
      <c r="AF18" s="119">
        <f t="shared" si="15"/>
        <v>2853</v>
      </c>
      <c r="AG18" s="170">
        <v>0</v>
      </c>
      <c r="AH18" s="171">
        <v>1804</v>
      </c>
      <c r="AI18" s="172">
        <v>0.6020833333333333</v>
      </c>
      <c r="AJ18" s="171">
        <v>0</v>
      </c>
      <c r="AK18" s="188">
        <v>0</v>
      </c>
      <c r="AL18" s="57">
        <f t="shared" si="29"/>
        <v>45759</v>
      </c>
      <c r="AM18" s="78">
        <f t="shared" si="47"/>
        <v>0.36853971557405479</v>
      </c>
      <c r="AN18" s="77">
        <f t="shared" si="48"/>
        <v>0.63146028442594515</v>
      </c>
      <c r="AO18" s="173">
        <v>5766</v>
      </c>
      <c r="AP18" s="118">
        <f t="shared" si="18"/>
        <v>2125</v>
      </c>
      <c r="AQ18" s="174">
        <v>3641</v>
      </c>
      <c r="AR18" s="175">
        <v>1986</v>
      </c>
      <c r="AS18" s="176">
        <v>0.35138888888888886</v>
      </c>
      <c r="AT18" s="175">
        <v>176</v>
      </c>
      <c r="AU18" s="177">
        <v>0.8125</v>
      </c>
      <c r="AV18" s="57">
        <f t="shared" si="30"/>
        <v>45759</v>
      </c>
      <c r="AW18" s="111">
        <f t="shared" si="49"/>
        <v>0.46323529411764708</v>
      </c>
      <c r="AX18" s="111">
        <f t="shared" si="50"/>
        <v>0.53676470588235292</v>
      </c>
      <c r="AY18" s="112">
        <f t="shared" si="21"/>
        <v>4488</v>
      </c>
      <c r="AZ18" s="113">
        <v>4488</v>
      </c>
      <c r="BA18" s="121">
        <f t="shared" si="54"/>
        <v>2079</v>
      </c>
      <c r="BB18" s="114">
        <v>2409</v>
      </c>
      <c r="BC18" s="113">
        <v>1749</v>
      </c>
      <c r="BD18" s="115">
        <v>0.57291666666666663</v>
      </c>
      <c r="BE18" s="116">
        <v>0</v>
      </c>
      <c r="BF18" s="115">
        <v>0</v>
      </c>
      <c r="BG18" s="116">
        <v>159</v>
      </c>
      <c r="BH18" s="115">
        <v>0.8125</v>
      </c>
      <c r="BI18" s="57">
        <f t="shared" si="31"/>
        <v>45759</v>
      </c>
      <c r="BJ18" s="79">
        <f t="shared" si="51"/>
        <v>0.60818687820484729</v>
      </c>
      <c r="BK18" s="77">
        <f t="shared" si="52"/>
        <v>0.39181312179515276</v>
      </c>
      <c r="BL18" s="80">
        <f t="shared" si="53"/>
        <v>22817</v>
      </c>
      <c r="BM18" s="178">
        <v>13877</v>
      </c>
      <c r="BN18" s="178">
        <v>8940</v>
      </c>
      <c r="BO18" s="179">
        <v>2950</v>
      </c>
      <c r="BP18" s="180">
        <v>0.62569444444444444</v>
      </c>
      <c r="BQ18" s="181">
        <v>1964</v>
      </c>
      <c r="BR18" s="180">
        <v>0.62569444444444444</v>
      </c>
    </row>
    <row r="19" spans="1:70" ht="15.75" thickBot="1" x14ac:dyDescent="0.3">
      <c r="B19" s="57">
        <f t="shared" si="26"/>
        <v>45760</v>
      </c>
      <c r="C19" s="187"/>
      <c r="D19" s="88">
        <f t="shared" si="32"/>
        <v>27462</v>
      </c>
      <c r="E19" s="182">
        <f t="shared" si="33"/>
        <v>0.78348263054402445</v>
      </c>
      <c r="F19" s="88">
        <f t="shared" si="34"/>
        <v>21516</v>
      </c>
      <c r="G19" s="182">
        <f t="shared" si="35"/>
        <v>0.21651736945597552</v>
      </c>
      <c r="H19" s="169">
        <f t="shared" si="36"/>
        <v>5946</v>
      </c>
      <c r="I19" s="183">
        <f t="shared" si="37"/>
        <v>6.321955160573621E-2</v>
      </c>
      <c r="J19" s="182">
        <f t="shared" si="38"/>
        <v>0.17137951928903253</v>
      </c>
      <c r="K19" s="182">
        <f t="shared" si="39"/>
        <v>0.17265776059061347</v>
      </c>
      <c r="L19" s="184">
        <f t="shared" si="40"/>
        <v>0.63313808658183535</v>
      </c>
      <c r="M19" s="169">
        <f t="shared" si="41"/>
        <v>1653.1280549383962</v>
      </c>
      <c r="N19" s="169">
        <f t="shared" si="42"/>
        <v>4481.4030498889115</v>
      </c>
      <c r="O19" s="169">
        <f t="shared" si="43"/>
        <v>4514.8277816839518</v>
      </c>
      <c r="P19" s="169">
        <f t="shared" si="44"/>
        <v>16555.927826028412</v>
      </c>
      <c r="Q19" s="57">
        <f t="shared" si="27"/>
        <v>45760</v>
      </c>
      <c r="R19" s="162">
        <v>27462</v>
      </c>
      <c r="S19" s="163">
        <v>0</v>
      </c>
      <c r="T19" s="163">
        <v>26149</v>
      </c>
      <c r="U19" s="163">
        <v>0</v>
      </c>
      <c r="V19" s="164">
        <v>6051</v>
      </c>
      <c r="W19" s="165">
        <v>0.79166666666666663</v>
      </c>
      <c r="X19" s="164">
        <v>1929</v>
      </c>
      <c r="Y19" s="165">
        <v>0.79166666666666663</v>
      </c>
      <c r="Z19" s="164">
        <v>0</v>
      </c>
      <c r="AA19" s="165">
        <v>0</v>
      </c>
      <c r="AB19" s="57">
        <f t="shared" si="28"/>
        <v>45760</v>
      </c>
      <c r="AC19" s="77">
        <f t="shared" si="45"/>
        <v>1</v>
      </c>
      <c r="AD19" s="185">
        <f t="shared" si="46"/>
        <v>0</v>
      </c>
      <c r="AE19" s="186">
        <v>1878</v>
      </c>
      <c r="AF19" s="119">
        <f t="shared" si="15"/>
        <v>1878</v>
      </c>
      <c r="AG19" s="170">
        <v>0</v>
      </c>
      <c r="AH19" s="171">
        <v>1672</v>
      </c>
      <c r="AI19" s="172">
        <v>0.93125000000000002</v>
      </c>
      <c r="AJ19" s="171">
        <v>0</v>
      </c>
      <c r="AK19" s="188">
        <v>0</v>
      </c>
      <c r="AL19" s="57">
        <f t="shared" si="29"/>
        <v>45760</v>
      </c>
      <c r="AM19" s="78">
        <f t="shared" ref="AM19" si="55">+AP19/AO19</f>
        <v>0.29994107248084856</v>
      </c>
      <c r="AN19" s="77">
        <f t="shared" ref="AN19" si="56">+AQ19/AO19</f>
        <v>0.70005892751915144</v>
      </c>
      <c r="AO19" s="173">
        <v>5091</v>
      </c>
      <c r="AP19" s="118">
        <f t="shared" si="18"/>
        <v>1527</v>
      </c>
      <c r="AQ19" s="174">
        <v>3564</v>
      </c>
      <c r="AR19" s="175">
        <v>1541</v>
      </c>
      <c r="AS19" s="176">
        <v>0.81805555555555554</v>
      </c>
      <c r="AT19" s="175">
        <v>178</v>
      </c>
      <c r="AU19" s="177">
        <v>0.79166666666666663</v>
      </c>
      <c r="AV19" s="57">
        <f t="shared" si="30"/>
        <v>45760</v>
      </c>
      <c r="AW19" s="111">
        <f t="shared" ref="AW19" si="57">BA19/AZ19</f>
        <v>0.39373886485110715</v>
      </c>
      <c r="AX19" s="111">
        <f t="shared" ref="AX19" si="58">BB19/AZ19</f>
        <v>0.60626113514889279</v>
      </c>
      <c r="AY19" s="112">
        <f t="shared" si="21"/>
        <v>3929</v>
      </c>
      <c r="AZ19" s="113">
        <v>3929</v>
      </c>
      <c r="BA19" s="121">
        <f t="shared" ref="BA19:BA20" si="59">AZ19-BB19</f>
        <v>1547</v>
      </c>
      <c r="BB19" s="114">
        <v>2382</v>
      </c>
      <c r="BC19" s="113">
        <v>1378</v>
      </c>
      <c r="BD19" s="115">
        <v>0.66666666666666663</v>
      </c>
      <c r="BE19" s="116">
        <v>0</v>
      </c>
      <c r="BF19" s="115">
        <v>0</v>
      </c>
      <c r="BG19" s="116">
        <v>144</v>
      </c>
      <c r="BH19" s="115">
        <v>0.80208333333333337</v>
      </c>
      <c r="BI19" s="57">
        <f t="shared" si="31"/>
        <v>45760</v>
      </c>
      <c r="BJ19" s="79">
        <f t="shared" ref="BJ19" si="60">+BM19/BL19</f>
        <v>0.61106975754997872</v>
      </c>
      <c r="BK19" s="77">
        <f t="shared" ref="BK19" si="61">+BN19/BL19</f>
        <v>0.38893024245002128</v>
      </c>
      <c r="BL19" s="80">
        <f t="shared" ref="BL19" si="62">BM19+BN19</f>
        <v>18808</v>
      </c>
      <c r="BM19" s="178">
        <v>11493</v>
      </c>
      <c r="BN19" s="178">
        <v>7315</v>
      </c>
      <c r="BO19" s="179">
        <v>2559</v>
      </c>
      <c r="BP19" s="180">
        <v>0.74583333333333335</v>
      </c>
      <c r="BQ19" s="181">
        <v>1676</v>
      </c>
      <c r="BR19" s="180">
        <v>0.74583333333333335</v>
      </c>
    </row>
    <row r="20" spans="1:70" ht="15.75" thickBot="1" x14ac:dyDescent="0.3">
      <c r="B20" s="57">
        <f t="shared" si="26"/>
        <v>45761</v>
      </c>
      <c r="C20" s="187"/>
      <c r="D20" s="88">
        <f t="shared" si="32"/>
        <v>54082</v>
      </c>
      <c r="E20" s="182">
        <f t="shared" si="33"/>
        <v>0.88484153692540957</v>
      </c>
      <c r="F20" s="88">
        <f t="shared" si="34"/>
        <v>47854</v>
      </c>
      <c r="G20" s="182">
        <f t="shared" si="35"/>
        <v>0.11515846307459043</v>
      </c>
      <c r="H20" s="169">
        <f t="shared" si="36"/>
        <v>6228</v>
      </c>
      <c r="I20" s="183">
        <f t="shared" si="37"/>
        <v>0.11614110726759246</v>
      </c>
      <c r="J20" s="182">
        <f t="shared" si="38"/>
        <v>0.15880416436891095</v>
      </c>
      <c r="K20" s="182">
        <f t="shared" si="39"/>
        <v>0.16386887322828411</v>
      </c>
      <c r="L20" s="184">
        <f t="shared" si="40"/>
        <v>0.58672147858491674</v>
      </c>
      <c r="M20" s="169">
        <f t="shared" si="41"/>
        <v>6135.9669791614442</v>
      </c>
      <c r="N20" s="169">
        <f t="shared" si="42"/>
        <v>8389.941611938304</v>
      </c>
      <c r="O20" s="169">
        <f t="shared" si="43"/>
        <v>8657.5203103967069</v>
      </c>
      <c r="P20" s="169">
        <f t="shared" si="44"/>
        <v>30997.66915659832</v>
      </c>
      <c r="Q20" s="57">
        <f t="shared" si="27"/>
        <v>45761</v>
      </c>
      <c r="R20" s="162">
        <v>54082</v>
      </c>
      <c r="S20" s="163">
        <v>0</v>
      </c>
      <c r="T20" s="163">
        <v>52832</v>
      </c>
      <c r="U20" s="163">
        <v>0</v>
      </c>
      <c r="V20" s="164">
        <v>13046</v>
      </c>
      <c r="W20" s="165">
        <v>0.38541666666666669</v>
      </c>
      <c r="X20" s="164">
        <v>4386</v>
      </c>
      <c r="Y20" s="165">
        <v>0.8125</v>
      </c>
      <c r="Z20" s="164">
        <v>0</v>
      </c>
      <c r="AA20" s="165">
        <v>0</v>
      </c>
      <c r="AB20" s="57">
        <f t="shared" si="28"/>
        <v>45761</v>
      </c>
      <c r="AC20" s="77">
        <f t="shared" si="45"/>
        <v>1</v>
      </c>
      <c r="AD20" s="185">
        <f t="shared" si="46"/>
        <v>0</v>
      </c>
      <c r="AE20" s="186">
        <v>6950</v>
      </c>
      <c r="AF20" s="119">
        <f t="shared" si="15"/>
        <v>6950</v>
      </c>
      <c r="AG20" s="170">
        <v>0</v>
      </c>
      <c r="AH20" s="171">
        <v>3696</v>
      </c>
      <c r="AI20" s="172">
        <v>0.76111111111111107</v>
      </c>
      <c r="AJ20" s="171">
        <v>0</v>
      </c>
      <c r="AK20" s="188">
        <v>0</v>
      </c>
      <c r="AL20" s="57">
        <f t="shared" si="29"/>
        <v>45761</v>
      </c>
      <c r="AM20" s="78">
        <f t="shared" si="47"/>
        <v>0.60296748395243605</v>
      </c>
      <c r="AN20" s="77">
        <f t="shared" si="48"/>
        <v>0.39703251604756395</v>
      </c>
      <c r="AO20" s="173">
        <v>9503</v>
      </c>
      <c r="AP20" s="118">
        <f t="shared" si="18"/>
        <v>5730</v>
      </c>
      <c r="AQ20" s="174">
        <v>3773</v>
      </c>
      <c r="AR20" s="175">
        <v>3670</v>
      </c>
      <c r="AS20" s="176">
        <v>0.33888888888888891</v>
      </c>
      <c r="AT20" s="175">
        <v>182</v>
      </c>
      <c r="AU20" s="177">
        <v>0.78125</v>
      </c>
      <c r="AV20" s="57">
        <f t="shared" si="30"/>
        <v>45761</v>
      </c>
      <c r="AW20" s="111">
        <f t="shared" si="49"/>
        <v>0.70343078038173468</v>
      </c>
      <c r="AX20" s="111">
        <f t="shared" si="50"/>
        <v>0.29656921961826527</v>
      </c>
      <c r="AY20" s="112">
        <f t="shared" si="21"/>
        <v>8278</v>
      </c>
      <c r="AZ20" s="113">
        <v>8278</v>
      </c>
      <c r="BA20" s="121">
        <f t="shared" si="59"/>
        <v>5823</v>
      </c>
      <c r="BB20" s="114">
        <v>2455</v>
      </c>
      <c r="BC20" s="113">
        <v>3914</v>
      </c>
      <c r="BD20" s="115">
        <v>0.33541666666666664</v>
      </c>
      <c r="BE20" s="116">
        <v>0</v>
      </c>
      <c r="BF20" s="115">
        <v>0</v>
      </c>
      <c r="BG20" s="116">
        <v>149</v>
      </c>
      <c r="BH20" s="115">
        <v>0.85416666666666663</v>
      </c>
      <c r="BI20" s="57">
        <f t="shared" si="31"/>
        <v>45761</v>
      </c>
      <c r="BJ20" s="79">
        <f t="shared" si="51"/>
        <v>0.60609512959270861</v>
      </c>
      <c r="BK20" s="77">
        <f t="shared" si="52"/>
        <v>0.39390487040729139</v>
      </c>
      <c r="BL20" s="80">
        <f t="shared" si="53"/>
        <v>35110</v>
      </c>
      <c r="BM20" s="178">
        <v>21280</v>
      </c>
      <c r="BN20" s="178">
        <v>13830</v>
      </c>
      <c r="BO20" s="179">
        <v>4018</v>
      </c>
      <c r="BP20" s="180">
        <v>0.36180555555555555</v>
      </c>
      <c r="BQ20" s="181">
        <v>2681</v>
      </c>
      <c r="BR20" s="180">
        <v>0.36180555555555555</v>
      </c>
    </row>
    <row r="21" spans="1:70" ht="15.75" thickBot="1" x14ac:dyDescent="0.3">
      <c r="A21" s="14"/>
      <c r="B21" s="57">
        <f t="shared" si="26"/>
        <v>45762</v>
      </c>
      <c r="C21" s="187"/>
      <c r="D21" s="88">
        <f t="shared" si="32"/>
        <v>53606</v>
      </c>
      <c r="E21" s="182">
        <f t="shared" si="33"/>
        <v>0.88762451964332356</v>
      </c>
      <c r="F21" s="88">
        <f t="shared" si="34"/>
        <v>47582</v>
      </c>
      <c r="G21" s="182">
        <f t="shared" si="35"/>
        <v>0.11237548035667649</v>
      </c>
      <c r="H21" s="169">
        <f t="shared" si="36"/>
        <v>6024</v>
      </c>
      <c r="I21" s="183">
        <f t="shared" si="37"/>
        <v>0.11294017819261773</v>
      </c>
      <c r="J21" s="182">
        <f t="shared" si="38"/>
        <v>0.15607976240984303</v>
      </c>
      <c r="K21" s="182">
        <f t="shared" si="39"/>
        <v>0.16003583499613144</v>
      </c>
      <c r="L21" s="184">
        <f t="shared" si="40"/>
        <v>0.59759015697921081</v>
      </c>
      <c r="M21" s="169">
        <f t="shared" si="41"/>
        <v>5848.381247348324</v>
      </c>
      <c r="N21" s="169">
        <f t="shared" si="42"/>
        <v>8082.2783368689015</v>
      </c>
      <c r="O21" s="169">
        <f t="shared" si="43"/>
        <v>8287.1356436046754</v>
      </c>
      <c r="P21" s="169">
        <f t="shared" si="44"/>
        <v>30945.011098854473</v>
      </c>
      <c r="Q21" s="57">
        <f t="shared" si="27"/>
        <v>45762</v>
      </c>
      <c r="R21" s="162">
        <v>53606</v>
      </c>
      <c r="S21" s="163">
        <v>0</v>
      </c>
      <c r="T21" s="163">
        <v>51783</v>
      </c>
      <c r="U21" s="163">
        <v>265</v>
      </c>
      <c r="V21" s="164">
        <v>12623</v>
      </c>
      <c r="W21" s="165">
        <v>0.46875</v>
      </c>
      <c r="X21" s="164">
        <v>4598</v>
      </c>
      <c r="Y21" s="165">
        <v>0.78125</v>
      </c>
      <c r="Z21" s="164">
        <v>145</v>
      </c>
      <c r="AA21" s="165">
        <v>1.0416666666666666E-2</v>
      </c>
      <c r="AB21" s="57">
        <f t="shared" si="28"/>
        <v>45762</v>
      </c>
      <c r="AC21" s="77">
        <f t="shared" si="45"/>
        <v>1</v>
      </c>
      <c r="AD21" s="185">
        <f t="shared" si="46"/>
        <v>0</v>
      </c>
      <c r="AE21" s="186">
        <v>6655</v>
      </c>
      <c r="AF21" s="119">
        <f t="shared" si="15"/>
        <v>6655</v>
      </c>
      <c r="AG21" s="170">
        <v>0</v>
      </c>
      <c r="AH21" s="171">
        <v>3889</v>
      </c>
      <c r="AI21" s="172">
        <v>0.72569444444444442</v>
      </c>
      <c r="AJ21" s="171">
        <v>0</v>
      </c>
      <c r="AK21" s="188">
        <v>0</v>
      </c>
      <c r="AL21" s="57">
        <f t="shared" si="29"/>
        <v>45762</v>
      </c>
      <c r="AM21" s="78">
        <f t="shared" si="47"/>
        <v>0.59149722735674681</v>
      </c>
      <c r="AN21" s="77">
        <f t="shared" si="48"/>
        <v>0.40850277264325324</v>
      </c>
      <c r="AO21" s="173">
        <v>9197</v>
      </c>
      <c r="AP21" s="118">
        <f t="shared" si="18"/>
        <v>5440</v>
      </c>
      <c r="AQ21" s="174">
        <v>3757</v>
      </c>
      <c r="AR21" s="175">
        <v>3705</v>
      </c>
      <c r="AS21" s="176">
        <v>0.4236111111111111</v>
      </c>
      <c r="AT21" s="175">
        <v>183</v>
      </c>
      <c r="AU21" s="177">
        <v>0.78125</v>
      </c>
      <c r="AV21" s="57">
        <f t="shared" si="30"/>
        <v>45762</v>
      </c>
      <c r="AW21" s="111">
        <f t="shared" si="49"/>
        <v>0.74529262086513992</v>
      </c>
      <c r="AX21" s="111">
        <f t="shared" si="50"/>
        <v>0.25470737913486002</v>
      </c>
      <c r="AY21" s="112">
        <f t="shared" si="21"/>
        <v>7860</v>
      </c>
      <c r="AZ21" s="113">
        <v>7860</v>
      </c>
      <c r="BA21" s="121">
        <f t="shared" si="54"/>
        <v>5858</v>
      </c>
      <c r="BB21" s="114">
        <v>2002</v>
      </c>
      <c r="BC21" s="113">
        <v>3595</v>
      </c>
      <c r="BD21" s="115">
        <v>0.73958333333333337</v>
      </c>
      <c r="BE21" s="116">
        <v>0</v>
      </c>
      <c r="BF21" s="115">
        <v>0</v>
      </c>
      <c r="BG21" s="116">
        <v>193</v>
      </c>
      <c r="BH21" s="115">
        <v>9.375E-2</v>
      </c>
      <c r="BI21" s="57">
        <f t="shared" si="31"/>
        <v>45762</v>
      </c>
      <c r="BJ21" s="79">
        <f t="shared" si="51"/>
        <v>0.60486184079743277</v>
      </c>
      <c r="BK21" s="77">
        <f t="shared" si="52"/>
        <v>0.39513815920256723</v>
      </c>
      <c r="BL21" s="80">
        <f t="shared" si="53"/>
        <v>35213</v>
      </c>
      <c r="BM21" s="178">
        <v>21299</v>
      </c>
      <c r="BN21" s="178">
        <v>13914</v>
      </c>
      <c r="BO21" s="179">
        <v>4626</v>
      </c>
      <c r="BP21" s="180">
        <v>0.3</v>
      </c>
      <c r="BQ21" s="181">
        <v>3028</v>
      </c>
      <c r="BR21" s="180">
        <v>0.3</v>
      </c>
    </row>
    <row r="22" spans="1:70" ht="15.75" thickBot="1" x14ac:dyDescent="0.3">
      <c r="A22" s="14"/>
      <c r="B22" s="57">
        <f t="shared" si="26"/>
        <v>45763</v>
      </c>
      <c r="C22" s="187"/>
      <c r="D22" s="88">
        <f t="shared" si="32"/>
        <v>52926</v>
      </c>
      <c r="E22" s="182">
        <f t="shared" si="33"/>
        <v>0.88489589237803723</v>
      </c>
      <c r="F22" s="88">
        <f t="shared" si="34"/>
        <v>46834</v>
      </c>
      <c r="G22" s="182">
        <f t="shared" si="35"/>
        <v>0.11510410762196274</v>
      </c>
      <c r="H22" s="169">
        <f t="shared" si="36"/>
        <v>6092</v>
      </c>
      <c r="I22" s="183">
        <f t="shared" si="37"/>
        <v>0.11645829765370783</v>
      </c>
      <c r="J22" s="182">
        <f t="shared" si="38"/>
        <v>0.16067819832163041</v>
      </c>
      <c r="K22" s="182">
        <f t="shared" si="39"/>
        <v>0.164614321710152</v>
      </c>
      <c r="L22" s="184">
        <f t="shared" si="40"/>
        <v>0.58412399383456071</v>
      </c>
      <c r="M22" s="169">
        <f t="shared" si="41"/>
        <v>5999.5821202260659</v>
      </c>
      <c r="N22" s="169">
        <f t="shared" si="42"/>
        <v>8277.6587429354331</v>
      </c>
      <c r="O22" s="169">
        <f t="shared" si="43"/>
        <v>8480.4360115419004</v>
      </c>
      <c r="P22" s="169">
        <f t="shared" si="44"/>
        <v>30092.315790375065</v>
      </c>
      <c r="Q22" s="57">
        <f t="shared" si="27"/>
        <v>45763</v>
      </c>
      <c r="R22" s="162">
        <v>52926</v>
      </c>
      <c r="S22" s="163">
        <v>0</v>
      </c>
      <c r="T22" s="163">
        <v>51517</v>
      </c>
      <c r="U22" s="163">
        <v>0</v>
      </c>
      <c r="V22" s="164">
        <v>15201</v>
      </c>
      <c r="W22" s="165">
        <v>0.38541666666666669</v>
      </c>
      <c r="X22" s="164">
        <v>4385</v>
      </c>
      <c r="Y22" s="165">
        <v>0.79166666666666663</v>
      </c>
      <c r="Z22" s="164">
        <v>0</v>
      </c>
      <c r="AA22" s="165">
        <v>0</v>
      </c>
      <c r="AB22" s="57">
        <f t="shared" si="28"/>
        <v>45763</v>
      </c>
      <c r="AC22" s="77">
        <f t="shared" si="45"/>
        <v>1</v>
      </c>
      <c r="AD22" s="185">
        <f t="shared" si="46"/>
        <v>0</v>
      </c>
      <c r="AE22" s="186">
        <v>6800</v>
      </c>
      <c r="AF22" s="119">
        <f t="shared" si="15"/>
        <v>6800</v>
      </c>
      <c r="AG22" s="170">
        <v>0</v>
      </c>
      <c r="AH22" s="171">
        <v>3647</v>
      </c>
      <c r="AI22" s="172">
        <v>0.73958333333333337</v>
      </c>
      <c r="AJ22" s="171">
        <v>0</v>
      </c>
      <c r="AK22" s="188">
        <v>0</v>
      </c>
      <c r="AL22" s="57">
        <f t="shared" si="29"/>
        <v>45763</v>
      </c>
      <c r="AM22" s="78">
        <f t="shared" si="47"/>
        <v>0.58793434235770625</v>
      </c>
      <c r="AN22" s="77">
        <f t="shared" si="48"/>
        <v>0.41206565764229375</v>
      </c>
      <c r="AO22" s="173">
        <v>9382</v>
      </c>
      <c r="AP22" s="118">
        <f t="shared" si="18"/>
        <v>5516</v>
      </c>
      <c r="AQ22" s="174">
        <v>3866</v>
      </c>
      <c r="AR22" s="175">
        <v>3672</v>
      </c>
      <c r="AS22" s="176">
        <v>0.77638888888888891</v>
      </c>
      <c r="AT22" s="175">
        <v>180</v>
      </c>
      <c r="AU22" s="177">
        <v>0.80208333333333337</v>
      </c>
      <c r="AV22" s="57">
        <f t="shared" si="30"/>
        <v>45763</v>
      </c>
      <c r="AW22" s="111">
        <f t="shared" si="49"/>
        <v>0.7252191087520059</v>
      </c>
      <c r="AX22" s="111">
        <f t="shared" si="50"/>
        <v>0.2747808912479941</v>
      </c>
      <c r="AY22" s="112">
        <f t="shared" si="21"/>
        <v>8101</v>
      </c>
      <c r="AZ22" s="113">
        <v>8101</v>
      </c>
      <c r="BA22" s="121">
        <f t="shared" si="54"/>
        <v>5875</v>
      </c>
      <c r="BB22" s="114">
        <v>2226</v>
      </c>
      <c r="BC22" s="113">
        <v>3647</v>
      </c>
      <c r="BD22" s="115">
        <v>0.73958333333333337</v>
      </c>
      <c r="BE22" s="116">
        <v>0</v>
      </c>
      <c r="BF22" s="115">
        <v>0</v>
      </c>
      <c r="BG22" s="116">
        <v>139</v>
      </c>
      <c r="BH22" s="115">
        <v>0.27083333333333331</v>
      </c>
      <c r="BI22" s="57">
        <f t="shared" si="31"/>
        <v>45763</v>
      </c>
      <c r="BJ22" s="79">
        <f t="shared" si="51"/>
        <v>0.60673761984343388</v>
      </c>
      <c r="BK22" s="77">
        <f t="shared" si="52"/>
        <v>0.39326238015656612</v>
      </c>
      <c r="BL22" s="80">
        <f t="shared" si="53"/>
        <v>34107</v>
      </c>
      <c r="BM22" s="178">
        <v>20694</v>
      </c>
      <c r="BN22" s="178">
        <v>13413</v>
      </c>
      <c r="BO22" s="179">
        <v>4023</v>
      </c>
      <c r="BP22" s="180">
        <v>0.80208333333333337</v>
      </c>
      <c r="BQ22" s="181">
        <v>2684</v>
      </c>
      <c r="BR22" s="180">
        <v>0.80208333333333337</v>
      </c>
    </row>
    <row r="23" spans="1:70" ht="15.75" thickBot="1" x14ac:dyDescent="0.3">
      <c r="A23" s="14"/>
      <c r="B23" s="57">
        <f t="shared" si="26"/>
        <v>45764</v>
      </c>
      <c r="C23" s="187"/>
      <c r="D23" s="88">
        <f t="shared" si="32"/>
        <v>54432</v>
      </c>
      <c r="E23" s="182">
        <f t="shared" si="33"/>
        <v>0.88798868312757206</v>
      </c>
      <c r="F23" s="88">
        <f t="shared" si="34"/>
        <v>48335</v>
      </c>
      <c r="G23" s="182">
        <f t="shared" si="35"/>
        <v>0.11201131687242798</v>
      </c>
      <c r="H23" s="169">
        <f t="shared" si="36"/>
        <v>6097</v>
      </c>
      <c r="I23" s="183">
        <f t="shared" si="37"/>
        <v>0.12000266969231796</v>
      </c>
      <c r="J23" s="182">
        <f t="shared" si="38"/>
        <v>0.15999799773076154</v>
      </c>
      <c r="K23" s="182">
        <f t="shared" si="39"/>
        <v>0.16530339376302647</v>
      </c>
      <c r="L23" s="184">
        <f t="shared" si="40"/>
        <v>0.57972368684509112</v>
      </c>
      <c r="M23" s="169">
        <f t="shared" si="41"/>
        <v>6334.8209303877729</v>
      </c>
      <c r="N23" s="169">
        <f t="shared" si="42"/>
        <v>8446.1343022091714</v>
      </c>
      <c r="O23" s="169">
        <f t="shared" si="43"/>
        <v>8726.200853356404</v>
      </c>
      <c r="P23" s="169">
        <f t="shared" si="44"/>
        <v>30603.033704865516</v>
      </c>
      <c r="Q23" s="57">
        <f t="shared" si="27"/>
        <v>45764</v>
      </c>
      <c r="R23" s="162">
        <v>54432</v>
      </c>
      <c r="S23" s="163">
        <v>0</v>
      </c>
      <c r="T23" s="163">
        <v>52789</v>
      </c>
      <c r="U23" s="163">
        <v>0</v>
      </c>
      <c r="V23" s="164">
        <v>13908</v>
      </c>
      <c r="W23" s="165">
        <v>0.78125</v>
      </c>
      <c r="X23" s="164">
        <v>4143</v>
      </c>
      <c r="Y23" s="165">
        <v>0.41666666666666669</v>
      </c>
      <c r="Z23" s="164">
        <v>0</v>
      </c>
      <c r="AA23" s="165">
        <v>0</v>
      </c>
      <c r="AB23" s="57">
        <f t="shared" si="28"/>
        <v>45764</v>
      </c>
      <c r="AC23" s="77">
        <f t="shared" si="45"/>
        <v>1</v>
      </c>
      <c r="AD23" s="185">
        <f t="shared" si="46"/>
        <v>0</v>
      </c>
      <c r="AE23" s="186">
        <v>7192</v>
      </c>
      <c r="AF23" s="119">
        <f t="shared" si="15"/>
        <v>7192</v>
      </c>
      <c r="AG23" s="170">
        <v>0</v>
      </c>
      <c r="AH23" s="171">
        <v>4297</v>
      </c>
      <c r="AI23" s="172">
        <v>0.73333333333333328</v>
      </c>
      <c r="AJ23" s="171">
        <v>0</v>
      </c>
      <c r="AK23" s="188">
        <v>0</v>
      </c>
      <c r="AL23" s="57">
        <f t="shared" si="29"/>
        <v>45764</v>
      </c>
      <c r="AM23" s="78">
        <f t="shared" si="47"/>
        <v>0.60089686098654704</v>
      </c>
      <c r="AN23" s="77">
        <f t="shared" si="48"/>
        <v>0.3991031390134529</v>
      </c>
      <c r="AO23" s="173">
        <v>9589</v>
      </c>
      <c r="AP23" s="118">
        <f t="shared" si="18"/>
        <v>5762</v>
      </c>
      <c r="AQ23" s="174">
        <v>3827</v>
      </c>
      <c r="AR23" s="175">
        <v>3295</v>
      </c>
      <c r="AS23" s="176">
        <v>0.33958333333333335</v>
      </c>
      <c r="AT23" s="175">
        <v>182</v>
      </c>
      <c r="AU23" s="177">
        <v>0.86458333333333337</v>
      </c>
      <c r="AV23" s="57">
        <f t="shared" si="30"/>
        <v>45764</v>
      </c>
      <c r="AW23" s="111">
        <f t="shared" si="49"/>
        <v>0.72998691566551688</v>
      </c>
      <c r="AX23" s="111">
        <f t="shared" si="50"/>
        <v>0.27001308433448318</v>
      </c>
      <c r="AY23" s="112">
        <f t="shared" si="21"/>
        <v>8407</v>
      </c>
      <c r="AZ23" s="113">
        <v>8407</v>
      </c>
      <c r="BA23" s="121">
        <f t="shared" si="54"/>
        <v>6137</v>
      </c>
      <c r="BB23" s="114">
        <v>2270</v>
      </c>
      <c r="BC23" s="113">
        <v>4198</v>
      </c>
      <c r="BD23" s="115">
        <v>0.375</v>
      </c>
      <c r="BE23" s="116">
        <v>0</v>
      </c>
      <c r="BF23" s="115">
        <v>0</v>
      </c>
      <c r="BG23" s="116">
        <v>220</v>
      </c>
      <c r="BH23" s="115">
        <v>8.3333333333333329E-2</v>
      </c>
      <c r="BI23" s="57">
        <f t="shared" si="31"/>
        <v>45764</v>
      </c>
      <c r="BJ23" s="79">
        <f t="shared" si="51"/>
        <v>0.60701128252360115</v>
      </c>
      <c r="BK23" s="77">
        <f t="shared" si="52"/>
        <v>0.3929887174763988</v>
      </c>
      <c r="BL23" s="80">
        <f t="shared" si="53"/>
        <v>34744</v>
      </c>
      <c r="BM23" s="178">
        <v>21090</v>
      </c>
      <c r="BN23" s="178">
        <v>13654</v>
      </c>
      <c r="BO23" s="179">
        <v>4384</v>
      </c>
      <c r="BP23" s="180">
        <v>0.60902777777777772</v>
      </c>
      <c r="BQ23" s="181">
        <v>2916</v>
      </c>
      <c r="BR23" s="180">
        <v>0.60902777777777772</v>
      </c>
    </row>
    <row r="24" spans="1:70" ht="15.75" thickBot="1" x14ac:dyDescent="0.3">
      <c r="A24" s="14"/>
      <c r="B24" s="57">
        <f t="shared" si="26"/>
        <v>45765</v>
      </c>
      <c r="C24" s="187"/>
      <c r="D24" s="88">
        <f t="shared" si="32"/>
        <v>27304</v>
      </c>
      <c r="E24" s="182">
        <f t="shared" si="33"/>
        <v>0.78358482273659535</v>
      </c>
      <c r="F24" s="88">
        <f t="shared" si="34"/>
        <v>21395</v>
      </c>
      <c r="G24" s="182">
        <f t="shared" si="35"/>
        <v>0.21641517726340462</v>
      </c>
      <c r="H24" s="169">
        <f t="shared" si="36"/>
        <v>5909</v>
      </c>
      <c r="I24" s="183">
        <f t="shared" si="37"/>
        <v>5.8926148478387286E-2</v>
      </c>
      <c r="J24" s="182">
        <f t="shared" si="38"/>
        <v>0.19608451250242295</v>
      </c>
      <c r="K24" s="182">
        <f t="shared" si="39"/>
        <v>0.19399561141033314</v>
      </c>
      <c r="L24" s="184">
        <f t="shared" si="40"/>
        <v>0.59418491955805386</v>
      </c>
      <c r="M24" s="169">
        <f t="shared" si="41"/>
        <v>1543.2758286489629</v>
      </c>
      <c r="N24" s="169">
        <f t="shared" si="42"/>
        <v>5135.4533824384571</v>
      </c>
      <c r="O24" s="169">
        <f t="shared" si="43"/>
        <v>5080.745062836625</v>
      </c>
      <c r="P24" s="169">
        <f t="shared" si="44"/>
        <v>15561.703043225431</v>
      </c>
      <c r="Q24" s="57">
        <f t="shared" si="27"/>
        <v>45765</v>
      </c>
      <c r="R24" s="162">
        <v>27304</v>
      </c>
      <c r="S24" s="163">
        <v>0</v>
      </c>
      <c r="T24" s="163">
        <v>26190</v>
      </c>
      <c r="U24" s="163">
        <v>0</v>
      </c>
      <c r="V24" s="164">
        <v>6050</v>
      </c>
      <c r="W24" s="165">
        <v>0.77083333333333337</v>
      </c>
      <c r="X24" s="164">
        <v>1950</v>
      </c>
      <c r="Y24" s="165">
        <v>0.77083333333333337</v>
      </c>
      <c r="Z24" s="164">
        <v>0</v>
      </c>
      <c r="AA24" s="165">
        <v>0</v>
      </c>
      <c r="AB24" s="57">
        <f t="shared" si="28"/>
        <v>45765</v>
      </c>
      <c r="AC24" s="77">
        <f t="shared" si="45"/>
        <v>1</v>
      </c>
      <c r="AD24" s="185">
        <f t="shared" si="46"/>
        <v>0</v>
      </c>
      <c r="AE24" s="186">
        <v>1520</v>
      </c>
      <c r="AF24" s="119">
        <f t="shared" si="15"/>
        <v>1520</v>
      </c>
      <c r="AG24" s="170">
        <v>0</v>
      </c>
      <c r="AH24" s="171">
        <v>1776</v>
      </c>
      <c r="AI24" s="172">
        <v>0.92361111111111116</v>
      </c>
      <c r="AJ24" s="171">
        <v>0</v>
      </c>
      <c r="AK24" s="188">
        <v>0</v>
      </c>
      <c r="AL24" s="57">
        <f t="shared" si="29"/>
        <v>45765</v>
      </c>
      <c r="AM24" s="78">
        <f t="shared" si="47"/>
        <v>0.28252273625939106</v>
      </c>
      <c r="AN24" s="77">
        <f t="shared" si="48"/>
        <v>0.71747726374060894</v>
      </c>
      <c r="AO24" s="173">
        <v>5058</v>
      </c>
      <c r="AP24" s="118">
        <f t="shared" si="18"/>
        <v>1429</v>
      </c>
      <c r="AQ24" s="174">
        <v>3629</v>
      </c>
      <c r="AR24" s="175">
        <v>1575</v>
      </c>
      <c r="AS24" s="176">
        <v>0.93055555555555558</v>
      </c>
      <c r="AT24" s="175">
        <v>181</v>
      </c>
      <c r="AU24" s="177">
        <v>0.70833333333333337</v>
      </c>
      <c r="AV24" s="57">
        <f t="shared" si="30"/>
        <v>45765</v>
      </c>
      <c r="AW24" s="111">
        <f t="shared" si="49"/>
        <v>0.41388174807197942</v>
      </c>
      <c r="AX24" s="111">
        <f t="shared" si="50"/>
        <v>0.58611825192802058</v>
      </c>
      <c r="AY24" s="112">
        <f t="shared" si="21"/>
        <v>3890</v>
      </c>
      <c r="AZ24" s="113">
        <v>3890</v>
      </c>
      <c r="BA24" s="121">
        <f t="shared" si="54"/>
        <v>1610</v>
      </c>
      <c r="BB24" s="114">
        <v>2280</v>
      </c>
      <c r="BC24" s="113">
        <v>1450</v>
      </c>
      <c r="BD24" s="115">
        <v>0.70833333333333337</v>
      </c>
      <c r="BE24" s="116">
        <v>0</v>
      </c>
      <c r="BF24" s="115">
        <v>0</v>
      </c>
      <c r="BG24" s="116">
        <v>150</v>
      </c>
      <c r="BH24" s="115">
        <v>0.875</v>
      </c>
      <c r="BI24" s="57">
        <f t="shared" si="31"/>
        <v>45765</v>
      </c>
      <c r="BJ24" s="79">
        <f t="shared" si="51"/>
        <v>0.60827298231878379</v>
      </c>
      <c r="BK24" s="77">
        <f t="shared" si="52"/>
        <v>0.39172701768121615</v>
      </c>
      <c r="BL24" s="80">
        <f t="shared" si="53"/>
        <v>15327</v>
      </c>
      <c r="BM24" s="178">
        <v>9323</v>
      </c>
      <c r="BN24" s="178">
        <v>6004</v>
      </c>
      <c r="BO24" s="179">
        <v>2441</v>
      </c>
      <c r="BP24" s="180">
        <v>0.4152777777777778</v>
      </c>
      <c r="BQ24" s="181">
        <v>1711</v>
      </c>
      <c r="BR24" s="180">
        <v>0.41597222222222224</v>
      </c>
    </row>
    <row r="25" spans="1:70" ht="15.75" thickBot="1" x14ac:dyDescent="0.3">
      <c r="A25" s="14"/>
      <c r="B25" s="57">
        <f t="shared" si="26"/>
        <v>45766</v>
      </c>
      <c r="C25" s="187"/>
      <c r="D25" s="88">
        <f t="shared" ref="D25:D37" si="63">R25</f>
        <v>26678</v>
      </c>
      <c r="E25" s="182">
        <f t="shared" ref="E25:E37" si="64">F25/D25</f>
        <v>0.78461653797136222</v>
      </c>
      <c r="F25" s="88">
        <f t="shared" ref="F25:F37" si="65">D25-H25</f>
        <v>20932</v>
      </c>
      <c r="G25" s="182">
        <f t="shared" ref="G25:G37" si="66">H25/D25</f>
        <v>0.21538346202863784</v>
      </c>
      <c r="H25" s="169">
        <f t="shared" ref="H25:H37" si="67">U25+AG25+AQ25+BB25</f>
        <v>5746</v>
      </c>
      <c r="I25" s="183">
        <f t="shared" ref="I25:I37" si="68">AE25/(AE25+AO25+BL25+AY25)</f>
        <v>6.01772725466036E-2</v>
      </c>
      <c r="J25" s="182">
        <f t="shared" ref="J25:J37" si="69">AO25/(AE25+AO25+BL25+AY25)</f>
        <v>0.20124011288207003</v>
      </c>
      <c r="K25" s="182">
        <f t="shared" ref="K25:K37" si="70">AY25/(AF25+AP25+BM25+AZ25+AY25)</f>
        <v>0.18953207663464997</v>
      </c>
      <c r="L25" s="184">
        <f t="shared" ref="L25:L37" si="71">BL25/(AE25+AO25+BL25+AY25)</f>
        <v>0.59191541794188962</v>
      </c>
      <c r="M25" s="169">
        <f t="shared" ref="M25:M37" si="72">(S25+T25)*I25</f>
        <v>1571.830358917286</v>
      </c>
      <c r="N25" s="169">
        <f t="shared" ref="N25:N37" si="73">(S25+T25)*J25</f>
        <v>5256.3917484796693</v>
      </c>
      <c r="O25" s="169">
        <f t="shared" ref="O25:O37" si="74">(S25+T25)*K25</f>
        <v>4950.577841697057</v>
      </c>
      <c r="P25" s="169">
        <f t="shared" ref="P25:P37" si="75">(S25+T25)*L25</f>
        <v>15460.830716642156</v>
      </c>
      <c r="Q25" s="57">
        <f t="shared" si="27"/>
        <v>45766</v>
      </c>
      <c r="R25" s="162">
        <v>26678</v>
      </c>
      <c r="S25" s="163">
        <v>0</v>
      </c>
      <c r="T25" s="163">
        <v>26120</v>
      </c>
      <c r="U25" s="163">
        <v>0</v>
      </c>
      <c r="V25" s="164">
        <v>6045</v>
      </c>
      <c r="W25" s="165">
        <v>0.73958333333333337</v>
      </c>
      <c r="X25" s="164">
        <v>1920</v>
      </c>
      <c r="Y25" s="165">
        <v>0.75</v>
      </c>
      <c r="Z25" s="164">
        <v>0</v>
      </c>
      <c r="AA25" s="165">
        <v>0</v>
      </c>
      <c r="AB25" s="57">
        <f t="shared" si="28"/>
        <v>45766</v>
      </c>
      <c r="AC25" s="77">
        <f t="shared" ref="AC25:AC37" si="76">+AF25/AE25</f>
        <v>1</v>
      </c>
      <c r="AD25" s="185">
        <f t="shared" ref="AD25:AD37" si="77">+AG25/AE25</f>
        <v>0</v>
      </c>
      <c r="AE25" s="186">
        <v>1514</v>
      </c>
      <c r="AF25" s="119">
        <f t="shared" si="15"/>
        <v>1514</v>
      </c>
      <c r="AG25" s="170">
        <v>0</v>
      </c>
      <c r="AH25" s="171">
        <v>1499</v>
      </c>
      <c r="AI25" s="172">
        <v>0.38472222222222224</v>
      </c>
      <c r="AJ25" s="171">
        <v>0</v>
      </c>
      <c r="AK25" s="188">
        <v>0</v>
      </c>
      <c r="AL25" s="57">
        <f t="shared" si="29"/>
        <v>45766</v>
      </c>
      <c r="AM25" s="78">
        <f t="shared" ref="AM25:AM37" si="78">+AP25/AO25</f>
        <v>0.29172427414576341</v>
      </c>
      <c r="AN25" s="77">
        <f t="shared" ref="AN25:AN37" si="79">+AQ25/AO25</f>
        <v>0.70827572585423659</v>
      </c>
      <c r="AO25" s="173">
        <v>5063</v>
      </c>
      <c r="AP25" s="118">
        <f t="shared" si="18"/>
        <v>1477</v>
      </c>
      <c r="AQ25" s="174">
        <v>3586</v>
      </c>
      <c r="AR25" s="175">
        <v>1583</v>
      </c>
      <c r="AS25" s="176">
        <v>0.62986111111111109</v>
      </c>
      <c r="AT25" s="175">
        <v>181</v>
      </c>
      <c r="AU25" s="177">
        <v>0.16250000000000001</v>
      </c>
      <c r="AV25" s="57">
        <f t="shared" si="30"/>
        <v>45766</v>
      </c>
      <c r="AW25" s="111">
        <f t="shared" ref="AW25:AW37" si="80">BA25/AZ25</f>
        <v>0.41463414634146339</v>
      </c>
      <c r="AX25" s="111">
        <f t="shared" ref="AX25:AX37" si="81">BB25/AZ25</f>
        <v>0.58536585365853655</v>
      </c>
      <c r="AY25" s="112">
        <f t="shared" si="21"/>
        <v>3690</v>
      </c>
      <c r="AZ25" s="113">
        <v>3690</v>
      </c>
      <c r="BA25" s="121">
        <f t="shared" ref="BA25:BA37" si="82">AZ25-BB25</f>
        <v>1530</v>
      </c>
      <c r="BB25" s="114">
        <v>2160</v>
      </c>
      <c r="BC25" s="113">
        <v>1390</v>
      </c>
      <c r="BD25" s="115">
        <v>0.77083333333333337</v>
      </c>
      <c r="BE25" s="116">
        <v>0</v>
      </c>
      <c r="BF25" s="115">
        <v>0</v>
      </c>
      <c r="BG25" s="116">
        <v>142</v>
      </c>
      <c r="BH25" s="115">
        <v>0.85416666666666663</v>
      </c>
      <c r="BI25" s="57">
        <f t="shared" si="31"/>
        <v>45766</v>
      </c>
      <c r="BJ25" s="79">
        <f t="shared" ref="BJ25:BJ37" si="83">+BM25/BL25</f>
        <v>0.61093204405049695</v>
      </c>
      <c r="BK25" s="77">
        <f t="shared" ref="BK25:BK37" si="84">+BN25/BL25</f>
        <v>0.38906795594950311</v>
      </c>
      <c r="BL25" s="80">
        <f t="shared" ref="BL25:BL37" si="85">BM25+BN25</f>
        <v>14892</v>
      </c>
      <c r="BM25" s="178">
        <v>9098</v>
      </c>
      <c r="BN25" s="178">
        <v>5794</v>
      </c>
      <c r="BO25" s="179">
        <v>2538</v>
      </c>
      <c r="BP25" s="180">
        <v>0.41249999999999998</v>
      </c>
      <c r="BQ25" s="181">
        <v>1679</v>
      </c>
      <c r="BR25" s="180">
        <v>0.41249999999999998</v>
      </c>
    </row>
    <row r="26" spans="1:70" ht="15.75" thickBot="1" x14ac:dyDescent="0.3">
      <c r="A26" s="14"/>
      <c r="B26" s="57">
        <f t="shared" si="26"/>
        <v>45767</v>
      </c>
      <c r="C26" s="187"/>
      <c r="D26" s="88">
        <f t="shared" si="63"/>
        <v>27412</v>
      </c>
      <c r="E26" s="182">
        <f t="shared" si="64"/>
        <v>0.78549540347293156</v>
      </c>
      <c r="F26" s="88">
        <f t="shared" si="65"/>
        <v>21532</v>
      </c>
      <c r="G26" s="182">
        <f t="shared" si="66"/>
        <v>0.21450459652706844</v>
      </c>
      <c r="H26" s="169">
        <f t="shared" si="67"/>
        <v>5880</v>
      </c>
      <c r="I26" s="183">
        <f t="shared" si="68"/>
        <v>6.2735468245425183E-2</v>
      </c>
      <c r="J26" s="182">
        <f t="shared" si="69"/>
        <v>0.17310279870828849</v>
      </c>
      <c r="K26" s="182">
        <f t="shared" si="70"/>
        <v>0.17340505268727127</v>
      </c>
      <c r="L26" s="184">
        <f t="shared" si="71"/>
        <v>0.63186221743810544</v>
      </c>
      <c r="M26" s="169">
        <f t="shared" si="72"/>
        <v>1621.2099703982776</v>
      </c>
      <c r="N26" s="169">
        <f t="shared" si="73"/>
        <v>4473.3225242195913</v>
      </c>
      <c r="O26" s="169">
        <f t="shared" si="74"/>
        <v>4481.1333715444644</v>
      </c>
      <c r="P26" s="169">
        <f t="shared" si="75"/>
        <v>16328.583423035521</v>
      </c>
      <c r="Q26" s="57">
        <f t="shared" si="27"/>
        <v>45767</v>
      </c>
      <c r="R26" s="162">
        <v>27412</v>
      </c>
      <c r="S26" s="163">
        <v>0</v>
      </c>
      <c r="T26" s="163">
        <v>25842</v>
      </c>
      <c r="U26" s="163">
        <v>0</v>
      </c>
      <c r="V26" s="164">
        <v>7120</v>
      </c>
      <c r="W26" s="165">
        <v>0.78125</v>
      </c>
      <c r="X26" s="164">
        <v>1961</v>
      </c>
      <c r="Y26" s="165">
        <v>0.78125</v>
      </c>
      <c r="Z26" s="164">
        <v>0</v>
      </c>
      <c r="AA26" s="165">
        <v>0</v>
      </c>
      <c r="AB26" s="57">
        <f t="shared" si="28"/>
        <v>45767</v>
      </c>
      <c r="AC26" s="77">
        <f t="shared" si="76"/>
        <v>1</v>
      </c>
      <c r="AD26" s="185">
        <f t="shared" si="77"/>
        <v>0</v>
      </c>
      <c r="AE26" s="186">
        <v>1865</v>
      </c>
      <c r="AF26" s="119">
        <f t="shared" si="15"/>
        <v>1865</v>
      </c>
      <c r="AG26" s="170">
        <v>0</v>
      </c>
      <c r="AH26" s="171">
        <v>1397</v>
      </c>
      <c r="AI26" s="172">
        <v>0.93333333333333335</v>
      </c>
      <c r="AJ26" s="171">
        <v>0</v>
      </c>
      <c r="AK26" s="188">
        <v>0</v>
      </c>
      <c r="AL26" s="57">
        <f t="shared" si="29"/>
        <v>45767</v>
      </c>
      <c r="AM26" s="78">
        <f t="shared" si="78"/>
        <v>0.28876797512631169</v>
      </c>
      <c r="AN26" s="77">
        <f t="shared" si="79"/>
        <v>0.71123202487368831</v>
      </c>
      <c r="AO26" s="173">
        <v>5146</v>
      </c>
      <c r="AP26" s="118">
        <f t="shared" si="18"/>
        <v>1486</v>
      </c>
      <c r="AQ26" s="174">
        <v>3660</v>
      </c>
      <c r="AR26" s="175">
        <v>1505</v>
      </c>
      <c r="AS26" s="176">
        <v>0.73402777777777772</v>
      </c>
      <c r="AT26" s="175">
        <v>172</v>
      </c>
      <c r="AU26" s="177">
        <v>0.80208333333333337</v>
      </c>
      <c r="AV26" s="57">
        <f t="shared" si="30"/>
        <v>45767</v>
      </c>
      <c r="AW26" s="111">
        <f t="shared" si="80"/>
        <v>0.43554538520213576</v>
      </c>
      <c r="AX26" s="111">
        <f t="shared" si="81"/>
        <v>0.56445461479786418</v>
      </c>
      <c r="AY26" s="112">
        <f t="shared" si="21"/>
        <v>3933</v>
      </c>
      <c r="AZ26" s="113">
        <v>3933</v>
      </c>
      <c r="BA26" s="121">
        <f t="shared" si="82"/>
        <v>1713</v>
      </c>
      <c r="BB26" s="114">
        <v>2220</v>
      </c>
      <c r="BC26" s="113">
        <v>1807</v>
      </c>
      <c r="BD26" s="115">
        <v>0.73958333333333337</v>
      </c>
      <c r="BE26" s="116">
        <v>0</v>
      </c>
      <c r="BF26" s="115">
        <v>0</v>
      </c>
      <c r="BG26" s="116">
        <v>128</v>
      </c>
      <c r="BH26" s="115">
        <v>0.84375</v>
      </c>
      <c r="BI26" s="57">
        <f t="shared" si="31"/>
        <v>45767</v>
      </c>
      <c r="BJ26" s="79">
        <f t="shared" si="83"/>
        <v>0.61030664395229983</v>
      </c>
      <c r="BK26" s="77">
        <f t="shared" si="84"/>
        <v>0.38969335604770017</v>
      </c>
      <c r="BL26" s="80">
        <f t="shared" si="85"/>
        <v>18784</v>
      </c>
      <c r="BM26" s="178">
        <v>11464</v>
      </c>
      <c r="BN26" s="178">
        <v>7320</v>
      </c>
      <c r="BO26" s="179">
        <v>3042</v>
      </c>
      <c r="BP26" s="180">
        <v>0.73333333333333328</v>
      </c>
      <c r="BQ26" s="181">
        <v>2011</v>
      </c>
      <c r="BR26" s="180">
        <v>0.73333333333333328</v>
      </c>
    </row>
    <row r="27" spans="1:70" ht="15.75" thickBot="1" x14ac:dyDescent="0.3">
      <c r="A27" s="14"/>
      <c r="B27" s="57">
        <f t="shared" si="26"/>
        <v>45768</v>
      </c>
      <c r="C27" s="187"/>
      <c r="D27" s="88">
        <f t="shared" si="63"/>
        <v>53468</v>
      </c>
      <c r="E27" s="182">
        <f t="shared" si="64"/>
        <v>0.87643076232512906</v>
      </c>
      <c r="F27" s="88">
        <f t="shared" si="65"/>
        <v>46861</v>
      </c>
      <c r="G27" s="182">
        <f t="shared" si="66"/>
        <v>0.12356923767487095</v>
      </c>
      <c r="H27" s="169">
        <f t="shared" si="67"/>
        <v>6607</v>
      </c>
      <c r="I27" s="183">
        <f t="shared" si="68"/>
        <v>0.11605726054221951</v>
      </c>
      <c r="J27" s="182">
        <f t="shared" si="69"/>
        <v>0.16043755697356427</v>
      </c>
      <c r="K27" s="182">
        <f t="shared" si="70"/>
        <v>0.16379310344827586</v>
      </c>
      <c r="L27" s="184">
        <f t="shared" si="71"/>
        <v>0.58590769438536072</v>
      </c>
      <c r="M27" s="169">
        <f t="shared" si="72"/>
        <v>6020.5864478881795</v>
      </c>
      <c r="N27" s="169">
        <f t="shared" si="73"/>
        <v>8322.8587055606204</v>
      </c>
      <c r="O27" s="169">
        <f t="shared" si="74"/>
        <v>8496.9310344827591</v>
      </c>
      <c r="P27" s="169">
        <f t="shared" si="75"/>
        <v>30394.547553934972</v>
      </c>
      <c r="Q27" s="57">
        <f t="shared" si="27"/>
        <v>45768</v>
      </c>
      <c r="R27" s="162">
        <v>53468</v>
      </c>
      <c r="S27" s="163">
        <v>0</v>
      </c>
      <c r="T27" s="163">
        <v>51876</v>
      </c>
      <c r="U27" s="163">
        <v>0</v>
      </c>
      <c r="V27" s="164">
        <v>12441</v>
      </c>
      <c r="W27" s="165">
        <v>0.80208333333333337</v>
      </c>
      <c r="X27" s="164">
        <v>4419</v>
      </c>
      <c r="Y27" s="165">
        <v>0.40625</v>
      </c>
      <c r="Z27" s="164">
        <v>0</v>
      </c>
      <c r="AA27" s="165">
        <v>0</v>
      </c>
      <c r="AB27" s="57">
        <f t="shared" si="28"/>
        <v>45768</v>
      </c>
      <c r="AC27" s="77">
        <f t="shared" si="76"/>
        <v>1</v>
      </c>
      <c r="AD27" s="185">
        <f t="shared" si="77"/>
        <v>0</v>
      </c>
      <c r="AE27" s="186">
        <v>6875</v>
      </c>
      <c r="AF27" s="119">
        <f t="shared" si="15"/>
        <v>6875</v>
      </c>
      <c r="AG27" s="170">
        <v>0</v>
      </c>
      <c r="AH27" s="171">
        <v>3870</v>
      </c>
      <c r="AI27" s="172">
        <v>0.34722222222222221</v>
      </c>
      <c r="AJ27" s="171">
        <v>0</v>
      </c>
      <c r="AK27" s="188">
        <v>0</v>
      </c>
      <c r="AL27" s="57">
        <f t="shared" si="29"/>
        <v>45768</v>
      </c>
      <c r="AM27" s="78">
        <f t="shared" si="78"/>
        <v>0.58354377104377109</v>
      </c>
      <c r="AN27" s="77">
        <f t="shared" si="79"/>
        <v>0.41645622895622897</v>
      </c>
      <c r="AO27" s="173">
        <v>9504</v>
      </c>
      <c r="AP27" s="118">
        <f t="shared" si="18"/>
        <v>5546</v>
      </c>
      <c r="AQ27" s="174">
        <v>3958</v>
      </c>
      <c r="AR27" s="175">
        <v>3566</v>
      </c>
      <c r="AS27" s="176">
        <v>0.34722222222222221</v>
      </c>
      <c r="AT27" s="175">
        <v>195</v>
      </c>
      <c r="AU27" s="177">
        <v>0.79166666666666663</v>
      </c>
      <c r="AV27" s="57">
        <f t="shared" si="30"/>
        <v>45768</v>
      </c>
      <c r="AW27" s="111">
        <f t="shared" si="80"/>
        <v>0.67500920132499076</v>
      </c>
      <c r="AX27" s="111">
        <f t="shared" si="81"/>
        <v>0.32499079867500918</v>
      </c>
      <c r="AY27" s="112">
        <f t="shared" si="21"/>
        <v>8151</v>
      </c>
      <c r="AZ27" s="113">
        <v>8151</v>
      </c>
      <c r="BA27" s="121">
        <f t="shared" si="82"/>
        <v>5502</v>
      </c>
      <c r="BB27" s="114">
        <f>1556+1093</f>
        <v>2649</v>
      </c>
      <c r="BC27" s="113">
        <v>3921</v>
      </c>
      <c r="BD27" s="115">
        <v>0.76041666666666663</v>
      </c>
      <c r="BE27" s="116">
        <v>0</v>
      </c>
      <c r="BF27" s="115">
        <v>0</v>
      </c>
      <c r="BG27" s="116">
        <v>133</v>
      </c>
      <c r="BH27" s="115">
        <v>0.82291666666666663</v>
      </c>
      <c r="BI27" s="57">
        <f t="shared" si="31"/>
        <v>45768</v>
      </c>
      <c r="BJ27" s="79">
        <f t="shared" si="83"/>
        <v>0.60622911144404745</v>
      </c>
      <c r="BK27" s="77">
        <f t="shared" si="84"/>
        <v>0.39377088855595249</v>
      </c>
      <c r="BL27" s="80">
        <f t="shared" si="85"/>
        <v>34708</v>
      </c>
      <c r="BM27" s="178">
        <v>21041</v>
      </c>
      <c r="BN27" s="178">
        <v>13667</v>
      </c>
      <c r="BO27" s="179">
        <v>4415</v>
      </c>
      <c r="BP27" s="180">
        <v>0.76527777777777772</v>
      </c>
      <c r="BQ27" s="181">
        <v>2941</v>
      </c>
      <c r="BR27" s="180">
        <v>0.76527777777777772</v>
      </c>
    </row>
    <row r="28" spans="1:70" ht="15.75" thickBot="1" x14ac:dyDescent="0.3">
      <c r="A28" s="14"/>
      <c r="B28" s="57">
        <f t="shared" si="26"/>
        <v>45769</v>
      </c>
      <c r="C28" s="187"/>
      <c r="D28" s="88">
        <f t="shared" si="63"/>
        <v>53754</v>
      </c>
      <c r="E28" s="182">
        <f t="shared" si="64"/>
        <v>0.87688358075678086</v>
      </c>
      <c r="F28" s="88">
        <f t="shared" si="65"/>
        <v>47136</v>
      </c>
      <c r="G28" s="182">
        <f t="shared" si="66"/>
        <v>0.1231164192432191</v>
      </c>
      <c r="H28" s="169">
        <f>U28+AG28+AQ28+BB28</f>
        <v>6618</v>
      </c>
      <c r="I28" s="183">
        <f t="shared" si="68"/>
        <v>0.11572280429875687</v>
      </c>
      <c r="J28" s="182">
        <f t="shared" si="69"/>
        <v>0.16187716874978944</v>
      </c>
      <c r="K28" s="182">
        <f t="shared" si="70"/>
        <v>0.16332946217612429</v>
      </c>
      <c r="L28" s="184">
        <f t="shared" si="71"/>
        <v>0.58499814708755848</v>
      </c>
      <c r="M28" s="169">
        <f t="shared" si="72"/>
        <v>6031.7040056598053</v>
      </c>
      <c r="N28" s="169">
        <f t="shared" si="73"/>
        <v>8437.3617895765256</v>
      </c>
      <c r="O28" s="169">
        <f t="shared" si="74"/>
        <v>8513.0582275439501</v>
      </c>
      <c r="P28" s="169">
        <f t="shared" si="75"/>
        <v>30491.273422497725</v>
      </c>
      <c r="Q28" s="57">
        <f t="shared" si="27"/>
        <v>45769</v>
      </c>
      <c r="R28" s="162">
        <v>53754</v>
      </c>
      <c r="S28" s="163">
        <v>0</v>
      </c>
      <c r="T28" s="163">
        <v>52122</v>
      </c>
      <c r="U28" s="163">
        <v>0</v>
      </c>
      <c r="V28" s="164">
        <v>13603</v>
      </c>
      <c r="W28" s="165">
        <v>0.84375</v>
      </c>
      <c r="X28" s="164">
        <v>4340</v>
      </c>
      <c r="Y28" s="165">
        <v>0.8125</v>
      </c>
      <c r="Z28" s="164">
        <v>0</v>
      </c>
      <c r="AA28" s="165">
        <v>0</v>
      </c>
      <c r="AB28" s="57">
        <f t="shared" si="28"/>
        <v>45769</v>
      </c>
      <c r="AC28" s="77">
        <f t="shared" si="76"/>
        <v>1</v>
      </c>
      <c r="AD28" s="185">
        <f t="shared" si="77"/>
        <v>0</v>
      </c>
      <c r="AE28" s="186">
        <v>6870</v>
      </c>
      <c r="AF28" s="119">
        <f t="shared" si="15"/>
        <v>6870</v>
      </c>
      <c r="AG28" s="170">
        <v>0</v>
      </c>
      <c r="AH28" s="171">
        <v>3731</v>
      </c>
      <c r="AI28" s="172">
        <v>0.7270833333333333</v>
      </c>
      <c r="AJ28" s="171">
        <v>0</v>
      </c>
      <c r="AK28" s="188">
        <v>0</v>
      </c>
      <c r="AL28" s="57">
        <f t="shared" si="29"/>
        <v>45769</v>
      </c>
      <c r="AM28" s="78">
        <f t="shared" si="78"/>
        <v>0.5854318418314256</v>
      </c>
      <c r="AN28" s="77">
        <f t="shared" si="79"/>
        <v>0.4145681581685744</v>
      </c>
      <c r="AO28" s="173">
        <v>9610</v>
      </c>
      <c r="AP28" s="118">
        <f t="shared" si="18"/>
        <v>5626</v>
      </c>
      <c r="AQ28" s="174">
        <v>3984</v>
      </c>
      <c r="AR28" s="175">
        <v>3529</v>
      </c>
      <c r="AS28" s="176">
        <v>0.73888888888888893</v>
      </c>
      <c r="AT28" s="175">
        <v>196</v>
      </c>
      <c r="AU28" s="177">
        <v>0.27083333333333331</v>
      </c>
      <c r="AV28" s="57">
        <f t="shared" si="30"/>
        <v>45769</v>
      </c>
      <c r="AW28" s="111">
        <f t="shared" si="80"/>
        <v>0.677087164398676</v>
      </c>
      <c r="AX28" s="111">
        <f t="shared" si="81"/>
        <v>0.322912835601324</v>
      </c>
      <c r="AY28" s="112">
        <f t="shared" si="21"/>
        <v>8157</v>
      </c>
      <c r="AZ28" s="113">
        <v>8157</v>
      </c>
      <c r="BA28" s="121">
        <f t="shared" si="82"/>
        <v>5523</v>
      </c>
      <c r="BB28" s="114">
        <f>1077+1557</f>
        <v>2634</v>
      </c>
      <c r="BC28" s="113">
        <v>3343</v>
      </c>
      <c r="BD28" s="115">
        <v>0.73958333333333337</v>
      </c>
      <c r="BE28" s="116">
        <v>0</v>
      </c>
      <c r="BF28" s="115">
        <v>0</v>
      </c>
      <c r="BG28" s="116">
        <v>139</v>
      </c>
      <c r="BH28" s="115">
        <v>0.28125</v>
      </c>
      <c r="BI28" s="57">
        <f t="shared" si="31"/>
        <v>45769</v>
      </c>
      <c r="BJ28" s="79">
        <f t="shared" si="83"/>
        <v>0.60848282415272537</v>
      </c>
      <c r="BK28" s="77">
        <f t="shared" si="84"/>
        <v>0.39151717584727463</v>
      </c>
      <c r="BL28" s="80">
        <f t="shared" si="85"/>
        <v>34729</v>
      </c>
      <c r="BM28" s="178">
        <v>21132</v>
      </c>
      <c r="BN28" s="178">
        <v>13597</v>
      </c>
      <c r="BO28" s="179">
        <v>4173</v>
      </c>
      <c r="BP28" s="180">
        <v>0.81597222222222221</v>
      </c>
      <c r="BQ28" s="181">
        <v>2788</v>
      </c>
      <c r="BR28" s="180">
        <v>0.69236111111111109</v>
      </c>
    </row>
    <row r="29" spans="1:70" ht="15.75" thickBot="1" x14ac:dyDescent="0.3">
      <c r="A29" s="14"/>
      <c r="B29" s="57">
        <f t="shared" si="26"/>
        <v>45770</v>
      </c>
      <c r="C29" s="187"/>
      <c r="D29" s="88">
        <f t="shared" si="63"/>
        <v>53104</v>
      </c>
      <c r="E29" s="182">
        <f t="shared" si="64"/>
        <v>0.87612985839108171</v>
      </c>
      <c r="F29" s="88">
        <f t="shared" si="65"/>
        <v>46526</v>
      </c>
      <c r="G29" s="182">
        <f t="shared" si="66"/>
        <v>0.12387014160891835</v>
      </c>
      <c r="H29" s="169">
        <f t="shared" si="67"/>
        <v>6578</v>
      </c>
      <c r="I29" s="183">
        <f t="shared" si="68"/>
        <v>0.1068809703119426</v>
      </c>
      <c r="J29" s="182">
        <f t="shared" si="69"/>
        <v>0.16215466328431566</v>
      </c>
      <c r="K29" s="182">
        <f t="shared" si="70"/>
        <v>0.18610331210481865</v>
      </c>
      <c r="L29" s="184">
        <f t="shared" si="71"/>
        <v>0.56938443854294662</v>
      </c>
      <c r="M29" s="169">
        <f t="shared" si="72"/>
        <v>5552.4664077054185</v>
      </c>
      <c r="N29" s="169">
        <f t="shared" si="73"/>
        <v>8423.9347576201981</v>
      </c>
      <c r="O29" s="169">
        <f t="shared" si="74"/>
        <v>9668.0670638453284</v>
      </c>
      <c r="P29" s="169">
        <f t="shared" si="75"/>
        <v>29579.521582306079</v>
      </c>
      <c r="Q29" s="57">
        <f t="shared" si="27"/>
        <v>45770</v>
      </c>
      <c r="R29" s="162">
        <v>53104</v>
      </c>
      <c r="S29" s="163">
        <v>0</v>
      </c>
      <c r="T29" s="163">
        <v>51950</v>
      </c>
      <c r="U29" s="163">
        <v>0</v>
      </c>
      <c r="V29" s="164">
        <v>12320</v>
      </c>
      <c r="W29" s="165">
        <v>0.875</v>
      </c>
      <c r="X29" s="164">
        <v>4350</v>
      </c>
      <c r="Y29" s="165">
        <v>0.89583333333333337</v>
      </c>
      <c r="Z29" s="164">
        <v>0</v>
      </c>
      <c r="AA29" s="165">
        <v>0</v>
      </c>
      <c r="AB29" s="57">
        <f t="shared" si="28"/>
        <v>45770</v>
      </c>
      <c r="AC29" s="77">
        <f t="shared" si="76"/>
        <v>1</v>
      </c>
      <c r="AD29" s="185">
        <f t="shared" si="77"/>
        <v>0</v>
      </c>
      <c r="AE29" s="186">
        <v>5393</v>
      </c>
      <c r="AF29" s="119">
        <f t="shared" si="15"/>
        <v>5393</v>
      </c>
      <c r="AG29" s="170">
        <v>0</v>
      </c>
      <c r="AH29" s="171">
        <v>4182</v>
      </c>
      <c r="AI29" s="172">
        <v>0.77569444444444446</v>
      </c>
      <c r="AJ29" s="171">
        <v>0</v>
      </c>
      <c r="AK29" s="188">
        <v>0</v>
      </c>
      <c r="AL29" s="57">
        <f t="shared" si="29"/>
        <v>45770</v>
      </c>
      <c r="AM29" s="78">
        <f t="shared" si="78"/>
        <v>0.51931068198484476</v>
      </c>
      <c r="AN29" s="77">
        <f t="shared" si="79"/>
        <v>0.48068931801515524</v>
      </c>
      <c r="AO29" s="173">
        <v>8182</v>
      </c>
      <c r="AP29" s="118">
        <f t="shared" si="18"/>
        <v>4249</v>
      </c>
      <c r="AQ29" s="174">
        <v>3933</v>
      </c>
      <c r="AR29" s="175">
        <v>3685</v>
      </c>
      <c r="AS29" s="176">
        <v>0.77222222222222225</v>
      </c>
      <c r="AT29" s="175">
        <v>199</v>
      </c>
      <c r="AU29" s="177">
        <v>0.33333333333333331</v>
      </c>
      <c r="AV29" s="57">
        <f t="shared" si="30"/>
        <v>45770</v>
      </c>
      <c r="AW29" s="111">
        <f t="shared" si="80"/>
        <v>0.67557954127315101</v>
      </c>
      <c r="AX29" s="111">
        <f t="shared" si="81"/>
        <v>0.32442045872684899</v>
      </c>
      <c r="AY29" s="112">
        <f t="shared" si="21"/>
        <v>8153</v>
      </c>
      <c r="AZ29" s="113">
        <v>8153</v>
      </c>
      <c r="BA29" s="121">
        <f t="shared" si="82"/>
        <v>5508</v>
      </c>
      <c r="BB29" s="206">
        <v>2645</v>
      </c>
      <c r="BC29" s="113">
        <v>3450</v>
      </c>
      <c r="BD29" s="115">
        <v>0.77083333333333337</v>
      </c>
      <c r="BE29" s="116">
        <v>0</v>
      </c>
      <c r="BF29" s="115">
        <v>0</v>
      </c>
      <c r="BG29" s="116">
        <v>135</v>
      </c>
      <c r="BH29" s="115">
        <v>0.3125</v>
      </c>
      <c r="BI29" s="57">
        <f t="shared" si="31"/>
        <v>45770</v>
      </c>
      <c r="BJ29" s="79">
        <f t="shared" si="83"/>
        <v>0.62168465019143748</v>
      </c>
      <c r="BK29" s="77">
        <f t="shared" si="84"/>
        <v>0.37831534980856246</v>
      </c>
      <c r="BL29" s="80">
        <f t="shared" si="85"/>
        <v>28730</v>
      </c>
      <c r="BM29" s="178">
        <v>17861</v>
      </c>
      <c r="BN29" s="178">
        <v>10869</v>
      </c>
      <c r="BO29" s="179">
        <v>3979</v>
      </c>
      <c r="BP29" s="180">
        <v>0.38333333333333336</v>
      </c>
      <c r="BQ29" s="181">
        <v>2675</v>
      </c>
      <c r="BR29" s="180">
        <v>0.3840277777777778</v>
      </c>
    </row>
    <row r="30" spans="1:70" ht="15.75" thickBot="1" x14ac:dyDescent="0.3">
      <c r="A30" s="14"/>
      <c r="B30" s="57">
        <f t="shared" si="26"/>
        <v>45771</v>
      </c>
      <c r="C30" s="187"/>
      <c r="D30" s="88">
        <f t="shared" si="63"/>
        <v>51524</v>
      </c>
      <c r="E30" s="182">
        <f t="shared" si="64"/>
        <v>0.87514556323266823</v>
      </c>
      <c r="F30" s="88">
        <f t="shared" si="65"/>
        <v>45091</v>
      </c>
      <c r="G30" s="182">
        <f t="shared" si="66"/>
        <v>0.12485443676733173</v>
      </c>
      <c r="H30" s="169">
        <f t="shared" si="67"/>
        <v>6433</v>
      </c>
      <c r="I30" s="183">
        <f t="shared" si="68"/>
        <v>0.11156914620890503</v>
      </c>
      <c r="J30" s="182">
        <f t="shared" si="69"/>
        <v>0.16704608379991387</v>
      </c>
      <c r="K30" s="182">
        <f t="shared" si="70"/>
        <v>0.19165098777046097</v>
      </c>
      <c r="L30" s="184">
        <f t="shared" si="71"/>
        <v>0.55425665005434899</v>
      </c>
      <c r="M30" s="169">
        <f t="shared" si="72"/>
        <v>5736.8854980618962</v>
      </c>
      <c r="N30" s="169">
        <f t="shared" si="73"/>
        <v>8589.5096289915709</v>
      </c>
      <c r="O30" s="169">
        <f t="shared" si="74"/>
        <v>9854.6937911571022</v>
      </c>
      <c r="P30" s="169">
        <f t="shared" si="75"/>
        <v>28499.876945794625</v>
      </c>
      <c r="Q30" s="57">
        <f t="shared" si="27"/>
        <v>45771</v>
      </c>
      <c r="R30" s="162">
        <v>51524</v>
      </c>
      <c r="S30" s="163">
        <v>0</v>
      </c>
      <c r="T30" s="163">
        <v>51420</v>
      </c>
      <c r="U30" s="163">
        <v>0</v>
      </c>
      <c r="V30" s="164">
        <v>12350</v>
      </c>
      <c r="W30" s="165">
        <v>0.89583333333333337</v>
      </c>
      <c r="X30" s="164">
        <v>4370</v>
      </c>
      <c r="Y30" s="165">
        <v>0.85416666666666663</v>
      </c>
      <c r="Z30" s="164">
        <v>0</v>
      </c>
      <c r="AA30" s="165">
        <v>0</v>
      </c>
      <c r="AB30" s="57">
        <f t="shared" si="28"/>
        <v>45771</v>
      </c>
      <c r="AC30" s="77">
        <f t="shared" si="76"/>
        <v>1</v>
      </c>
      <c r="AD30" s="185">
        <f t="shared" si="77"/>
        <v>0</v>
      </c>
      <c r="AE30" s="186">
        <v>5440</v>
      </c>
      <c r="AF30" s="119">
        <f t="shared" si="15"/>
        <v>5440</v>
      </c>
      <c r="AG30" s="170">
        <v>0</v>
      </c>
      <c r="AH30" s="171">
        <v>3935</v>
      </c>
      <c r="AI30" s="172">
        <v>0.75555555555555554</v>
      </c>
      <c r="AJ30" s="171">
        <v>0</v>
      </c>
      <c r="AK30" s="188">
        <v>0</v>
      </c>
      <c r="AL30" s="57">
        <f t="shared" si="29"/>
        <v>45771</v>
      </c>
      <c r="AM30" s="78">
        <f t="shared" si="78"/>
        <v>0.53370165745856357</v>
      </c>
      <c r="AN30" s="77">
        <f t="shared" si="79"/>
        <v>0.46629834254143648</v>
      </c>
      <c r="AO30" s="173">
        <v>8145</v>
      </c>
      <c r="AP30" s="118">
        <f t="shared" si="18"/>
        <v>4347</v>
      </c>
      <c r="AQ30" s="174">
        <v>3798</v>
      </c>
      <c r="AR30" s="175">
        <v>3730</v>
      </c>
      <c r="AS30" s="176">
        <v>0.34652777777777777</v>
      </c>
      <c r="AT30" s="175">
        <v>194</v>
      </c>
      <c r="AU30" s="177">
        <v>0.28541666666666665</v>
      </c>
      <c r="AV30" s="57">
        <f t="shared" si="30"/>
        <v>45771</v>
      </c>
      <c r="AW30" s="111">
        <f t="shared" si="80"/>
        <v>0.67664744140385324</v>
      </c>
      <c r="AX30" s="111">
        <f t="shared" si="81"/>
        <v>0.32335255859614676</v>
      </c>
      <c r="AY30" s="112">
        <f t="shared" si="21"/>
        <v>8149</v>
      </c>
      <c r="AZ30" s="113">
        <v>8149</v>
      </c>
      <c r="BA30" s="121">
        <f t="shared" si="82"/>
        <v>5514</v>
      </c>
      <c r="BB30" s="114">
        <v>2635</v>
      </c>
      <c r="BC30" s="113">
        <v>3390</v>
      </c>
      <c r="BD30" s="115">
        <v>0.79166666666666663</v>
      </c>
      <c r="BE30" s="116">
        <v>0</v>
      </c>
      <c r="BF30" s="115">
        <v>0</v>
      </c>
      <c r="BG30" s="116">
        <v>134</v>
      </c>
      <c r="BH30" s="115">
        <v>0.33333333333333331</v>
      </c>
      <c r="BI30" s="57">
        <f t="shared" si="31"/>
        <v>45771</v>
      </c>
      <c r="BJ30" s="79">
        <f t="shared" si="83"/>
        <v>0.60814061054579094</v>
      </c>
      <c r="BK30" s="77">
        <f t="shared" si="84"/>
        <v>0.39185938945420906</v>
      </c>
      <c r="BL30" s="80">
        <f t="shared" si="85"/>
        <v>27025</v>
      </c>
      <c r="BM30" s="178">
        <v>16435</v>
      </c>
      <c r="BN30" s="178">
        <v>10590</v>
      </c>
      <c r="BO30" s="179">
        <v>4244</v>
      </c>
      <c r="BP30" s="180">
        <v>0.69930555555555551</v>
      </c>
      <c r="BQ30" s="181">
        <v>2830</v>
      </c>
      <c r="BR30" s="180">
        <v>0.69930555555555551</v>
      </c>
    </row>
    <row r="31" spans="1:70" ht="15.75" thickBot="1" x14ac:dyDescent="0.3">
      <c r="A31" s="14"/>
      <c r="B31" s="57">
        <f t="shared" si="26"/>
        <v>45772</v>
      </c>
      <c r="C31" s="187"/>
      <c r="D31" s="88">
        <f t="shared" si="63"/>
        <v>54136</v>
      </c>
      <c r="E31" s="182">
        <f t="shared" si="64"/>
        <v>0.88582458992167878</v>
      </c>
      <c r="F31" s="88">
        <f t="shared" si="65"/>
        <v>47955</v>
      </c>
      <c r="G31" s="182">
        <f t="shared" si="66"/>
        <v>0.11417541007832127</v>
      </c>
      <c r="H31" s="169">
        <f t="shared" si="67"/>
        <v>6181</v>
      </c>
      <c r="I31" s="183">
        <f t="shared" si="68"/>
        <v>0.11618897479329834</v>
      </c>
      <c r="J31" s="182">
        <f t="shared" si="69"/>
        <v>0.15803243497073474</v>
      </c>
      <c r="K31" s="182">
        <f t="shared" si="70"/>
        <v>0.16567273591821369</v>
      </c>
      <c r="L31" s="184">
        <f t="shared" si="71"/>
        <v>0.58554010766934439</v>
      </c>
      <c r="M31" s="169">
        <f t="shared" si="72"/>
        <v>6111.1915072031134</v>
      </c>
      <c r="N31" s="169">
        <f t="shared" si="73"/>
        <v>8312.031982155735</v>
      </c>
      <c r="O31" s="169">
        <f t="shared" si="74"/>
        <v>8713.8888910902861</v>
      </c>
      <c r="P31" s="169">
        <f t="shared" si="75"/>
        <v>30797.653043084505</v>
      </c>
      <c r="Q31" s="57">
        <f t="shared" si="27"/>
        <v>45772</v>
      </c>
      <c r="R31" s="162">
        <v>54136</v>
      </c>
      <c r="S31" s="163">
        <v>0</v>
      </c>
      <c r="T31" s="163">
        <v>52597</v>
      </c>
      <c r="U31" s="163">
        <v>0</v>
      </c>
      <c r="V31" s="164">
        <v>13894</v>
      </c>
      <c r="W31" s="165">
        <v>0.78125</v>
      </c>
      <c r="X31" s="164">
        <v>4298</v>
      </c>
      <c r="Y31" s="165">
        <v>0.40625</v>
      </c>
      <c r="Z31" s="164">
        <v>0</v>
      </c>
      <c r="AA31" s="165">
        <v>0</v>
      </c>
      <c r="AB31" s="57">
        <f t="shared" si="28"/>
        <v>45772</v>
      </c>
      <c r="AC31" s="77">
        <f t="shared" si="76"/>
        <v>1</v>
      </c>
      <c r="AD31" s="185">
        <f t="shared" si="77"/>
        <v>0</v>
      </c>
      <c r="AE31" s="186">
        <v>6928</v>
      </c>
      <c r="AF31" s="119">
        <f t="shared" si="15"/>
        <v>6928</v>
      </c>
      <c r="AG31" s="170">
        <v>0</v>
      </c>
      <c r="AH31" s="171">
        <v>4878</v>
      </c>
      <c r="AI31" s="172">
        <v>0.74027777777777781</v>
      </c>
      <c r="AJ31" s="171">
        <v>0</v>
      </c>
      <c r="AK31" s="188">
        <v>0</v>
      </c>
      <c r="AL31" s="57">
        <f t="shared" si="29"/>
        <v>45772</v>
      </c>
      <c r="AM31" s="78">
        <f t="shared" si="78"/>
        <v>0.59184972938554603</v>
      </c>
      <c r="AN31" s="77">
        <f t="shared" si="79"/>
        <v>0.40815027061445397</v>
      </c>
      <c r="AO31" s="173">
        <v>9423</v>
      </c>
      <c r="AP31" s="118">
        <f t="shared" si="18"/>
        <v>5577</v>
      </c>
      <c r="AQ31" s="174">
        <v>3846</v>
      </c>
      <c r="AR31" s="175">
        <v>4405</v>
      </c>
      <c r="AS31" s="176">
        <v>0.32083333333333336</v>
      </c>
      <c r="AT31" s="175">
        <v>180</v>
      </c>
      <c r="AU31" s="177">
        <v>0.88541666666666663</v>
      </c>
      <c r="AV31" s="57">
        <f t="shared" si="30"/>
        <v>45772</v>
      </c>
      <c r="AW31" s="111">
        <f t="shared" si="80"/>
        <v>0.72076058359244199</v>
      </c>
      <c r="AX31" s="111">
        <f t="shared" si="81"/>
        <v>0.27923941640755801</v>
      </c>
      <c r="AY31" s="112">
        <f t="shared" si="21"/>
        <v>8362</v>
      </c>
      <c r="AZ31" s="113">
        <v>8362</v>
      </c>
      <c r="BA31" s="121">
        <f t="shared" si="82"/>
        <v>6027</v>
      </c>
      <c r="BB31" s="114">
        <v>2335</v>
      </c>
      <c r="BC31" s="113">
        <v>3635</v>
      </c>
      <c r="BD31" s="115">
        <v>0.73958333333333337</v>
      </c>
      <c r="BE31" s="116">
        <v>0</v>
      </c>
      <c r="BF31" s="115">
        <v>0</v>
      </c>
      <c r="BG31" s="116">
        <v>140</v>
      </c>
      <c r="BH31" s="115">
        <v>0.17708333333333334</v>
      </c>
      <c r="BI31" s="57">
        <f t="shared" si="31"/>
        <v>45772</v>
      </c>
      <c r="BJ31" s="79">
        <f t="shared" si="83"/>
        <v>0.60846651772927762</v>
      </c>
      <c r="BK31" s="77">
        <f t="shared" si="84"/>
        <v>0.39153348227072232</v>
      </c>
      <c r="BL31" s="80">
        <f t="shared" si="85"/>
        <v>34914</v>
      </c>
      <c r="BM31" s="178">
        <v>21244</v>
      </c>
      <c r="BN31" s="178">
        <v>13670</v>
      </c>
      <c r="BO31" s="179">
        <v>3793</v>
      </c>
      <c r="BP31" s="180">
        <v>0.69861111111111107</v>
      </c>
      <c r="BQ31" s="181">
        <v>2754</v>
      </c>
      <c r="BR31" s="180">
        <v>0.69861111111111107</v>
      </c>
    </row>
    <row r="32" spans="1:70" ht="15.75" thickBot="1" x14ac:dyDescent="0.3">
      <c r="A32" s="14"/>
      <c r="B32" s="57">
        <f t="shared" si="26"/>
        <v>45773</v>
      </c>
      <c r="C32" s="187"/>
      <c r="D32" s="88">
        <f t="shared" si="63"/>
        <v>33106</v>
      </c>
      <c r="E32" s="182">
        <f t="shared" si="64"/>
        <v>0.82078777260919467</v>
      </c>
      <c r="F32" s="88">
        <f t="shared" si="65"/>
        <v>27173</v>
      </c>
      <c r="G32" s="182">
        <f t="shared" si="66"/>
        <v>0.17921222739080528</v>
      </c>
      <c r="H32" s="169">
        <f t="shared" si="67"/>
        <v>5933</v>
      </c>
      <c r="I32" s="183">
        <f t="shared" si="68"/>
        <v>8.004407106459166E-2</v>
      </c>
      <c r="J32" s="182">
        <f t="shared" si="69"/>
        <v>0.15953725382178763</v>
      </c>
      <c r="K32" s="182">
        <f t="shared" si="70"/>
        <v>0.15991478785726967</v>
      </c>
      <c r="L32" s="184">
        <f t="shared" si="71"/>
        <v>0.63635862828811462</v>
      </c>
      <c r="M32" s="169">
        <f t="shared" si="72"/>
        <v>2518.5066519763118</v>
      </c>
      <c r="N32" s="169">
        <f t="shared" si="73"/>
        <v>5019.6801542487256</v>
      </c>
      <c r="O32" s="169">
        <f t="shared" si="74"/>
        <v>5031.558885141133</v>
      </c>
      <c r="P32" s="169">
        <f t="shared" si="75"/>
        <v>20022.387880457238</v>
      </c>
      <c r="Q32" s="57">
        <f t="shared" si="27"/>
        <v>45773</v>
      </c>
      <c r="R32" s="162">
        <v>33106</v>
      </c>
      <c r="S32" s="163">
        <v>0</v>
      </c>
      <c r="T32" s="163">
        <v>31464</v>
      </c>
      <c r="U32" s="163">
        <v>0</v>
      </c>
      <c r="V32" s="164">
        <v>7232</v>
      </c>
      <c r="W32" s="165">
        <v>0.80208333333333337</v>
      </c>
      <c r="X32" s="164">
        <v>2230</v>
      </c>
      <c r="Y32" s="165">
        <v>0.78125</v>
      </c>
      <c r="Z32" s="164">
        <v>0</v>
      </c>
      <c r="AA32" s="165">
        <v>0</v>
      </c>
      <c r="AB32" s="57">
        <f t="shared" si="28"/>
        <v>45773</v>
      </c>
      <c r="AC32" s="77">
        <f t="shared" si="76"/>
        <v>1</v>
      </c>
      <c r="AD32" s="185">
        <f t="shared" si="77"/>
        <v>0</v>
      </c>
      <c r="AE32" s="186">
        <v>2906</v>
      </c>
      <c r="AF32" s="119">
        <f t="shared" si="15"/>
        <v>2906</v>
      </c>
      <c r="AG32" s="170">
        <v>0</v>
      </c>
      <c r="AH32" s="171">
        <v>1919</v>
      </c>
      <c r="AI32" s="172">
        <v>0.72083333333333333</v>
      </c>
      <c r="AJ32" s="171">
        <v>0</v>
      </c>
      <c r="AK32" s="188">
        <v>0</v>
      </c>
      <c r="AL32" s="57">
        <f t="shared" si="29"/>
        <v>45773</v>
      </c>
      <c r="AM32" s="78">
        <f t="shared" si="78"/>
        <v>0.37310082872928174</v>
      </c>
      <c r="AN32" s="77">
        <f t="shared" si="79"/>
        <v>0.62689917127071826</v>
      </c>
      <c r="AO32" s="173">
        <v>5792</v>
      </c>
      <c r="AP32" s="118">
        <f t="shared" si="18"/>
        <v>2161</v>
      </c>
      <c r="AQ32" s="174">
        <v>3631</v>
      </c>
      <c r="AR32" s="175">
        <v>1908</v>
      </c>
      <c r="AS32" s="176">
        <v>0.72777777777777775</v>
      </c>
      <c r="AT32" s="175">
        <v>178</v>
      </c>
      <c r="AU32" s="177">
        <v>0.89583333333333337</v>
      </c>
      <c r="AV32" s="57">
        <f t="shared" si="30"/>
        <v>45773</v>
      </c>
      <c r="AW32" s="111">
        <f t="shared" si="80"/>
        <v>0.488898756660746</v>
      </c>
      <c r="AX32" s="111">
        <f t="shared" si="81"/>
        <v>0.511101243339254</v>
      </c>
      <c r="AY32" s="112">
        <f t="shared" si="21"/>
        <v>4504</v>
      </c>
      <c r="AZ32" s="113">
        <v>4504</v>
      </c>
      <c r="BA32" s="121">
        <f t="shared" si="82"/>
        <v>2202</v>
      </c>
      <c r="BB32" s="114">
        <v>2302</v>
      </c>
      <c r="BC32" s="113">
        <v>1946</v>
      </c>
      <c r="BD32" s="115">
        <v>0.71875</v>
      </c>
      <c r="BE32" s="116">
        <v>0</v>
      </c>
      <c r="BF32" s="115">
        <v>0</v>
      </c>
      <c r="BG32" s="116">
        <v>141</v>
      </c>
      <c r="BH32" s="115">
        <v>0.89930555555555558</v>
      </c>
      <c r="BI32" s="57">
        <f t="shared" si="31"/>
        <v>45773</v>
      </c>
      <c r="BJ32" s="79">
        <f t="shared" si="83"/>
        <v>0.60987750508591954</v>
      </c>
      <c r="BK32" s="77">
        <f t="shared" si="84"/>
        <v>0.39012249491408041</v>
      </c>
      <c r="BL32" s="80">
        <f t="shared" si="85"/>
        <v>23103</v>
      </c>
      <c r="BM32" s="178">
        <v>14090</v>
      </c>
      <c r="BN32" s="178">
        <v>9013</v>
      </c>
      <c r="BO32" s="179">
        <v>3070</v>
      </c>
      <c r="BP32" s="180">
        <v>0.75</v>
      </c>
      <c r="BQ32" s="181">
        <v>2031</v>
      </c>
      <c r="BR32" s="180">
        <v>0.75</v>
      </c>
    </row>
    <row r="33" spans="1:70" ht="15.75" thickBot="1" x14ac:dyDescent="0.3">
      <c r="A33" s="14"/>
      <c r="B33" s="57">
        <f t="shared" si="26"/>
        <v>45774</v>
      </c>
      <c r="C33" s="187"/>
      <c r="D33" s="88">
        <f t="shared" si="63"/>
        <v>30510</v>
      </c>
      <c r="E33" s="182">
        <f t="shared" si="64"/>
        <v>0.79518190757128815</v>
      </c>
      <c r="F33" s="88">
        <f t="shared" si="65"/>
        <v>24261</v>
      </c>
      <c r="G33" s="182">
        <f t="shared" si="66"/>
        <v>0.20481809242871191</v>
      </c>
      <c r="H33" s="169">
        <f t="shared" si="67"/>
        <v>6249</v>
      </c>
      <c r="I33" s="183">
        <f t="shared" si="68"/>
        <v>7.7608412376132613E-2</v>
      </c>
      <c r="J33" s="182">
        <f t="shared" si="69"/>
        <v>0.16785357132034304</v>
      </c>
      <c r="K33" s="182">
        <f t="shared" si="70"/>
        <v>0.17111180027911305</v>
      </c>
      <c r="L33" s="184">
        <f t="shared" si="71"/>
        <v>0.62077638716324735</v>
      </c>
      <c r="M33" s="169">
        <f t="shared" si="72"/>
        <v>2255.455680475166</v>
      </c>
      <c r="N33" s="169">
        <f t="shared" si="73"/>
        <v>4878.1604897118095</v>
      </c>
      <c r="O33" s="169">
        <f t="shared" si="74"/>
        <v>4972.8511397115835</v>
      </c>
      <c r="P33" s="169">
        <f t="shared" si="75"/>
        <v>18041.003363738295</v>
      </c>
      <c r="Q33" s="57">
        <f t="shared" si="27"/>
        <v>45774</v>
      </c>
      <c r="R33" s="162">
        <v>30510</v>
      </c>
      <c r="S33" s="163">
        <v>0</v>
      </c>
      <c r="T33" s="163">
        <v>29062</v>
      </c>
      <c r="U33" s="163">
        <v>0</v>
      </c>
      <c r="V33" s="164">
        <v>8709</v>
      </c>
      <c r="W33" s="165">
        <v>0.78125</v>
      </c>
      <c r="X33" s="164">
        <v>2393</v>
      </c>
      <c r="Y33" s="165">
        <v>0.78125</v>
      </c>
      <c r="Z33" s="164">
        <v>0</v>
      </c>
      <c r="AA33" s="165">
        <v>0</v>
      </c>
      <c r="AB33" s="191">
        <f t="shared" si="28"/>
        <v>45774</v>
      </c>
      <c r="AC33" s="77">
        <f t="shared" si="76"/>
        <v>1</v>
      </c>
      <c r="AD33" s="185">
        <f t="shared" si="77"/>
        <v>0</v>
      </c>
      <c r="AE33" s="186">
        <v>2561</v>
      </c>
      <c r="AF33" s="119">
        <f t="shared" si="15"/>
        <v>2561</v>
      </c>
      <c r="AG33" s="170">
        <v>0</v>
      </c>
      <c r="AH33" s="171">
        <v>2264</v>
      </c>
      <c r="AI33" s="172">
        <v>0.87291666666666667</v>
      </c>
      <c r="AJ33" s="171">
        <v>0</v>
      </c>
      <c r="AK33" s="188">
        <v>0</v>
      </c>
      <c r="AL33" s="191">
        <f t="shared" si="29"/>
        <v>45774</v>
      </c>
      <c r="AM33" s="78">
        <f t="shared" si="78"/>
        <v>0.35403502437263046</v>
      </c>
      <c r="AN33" s="77">
        <f t="shared" si="79"/>
        <v>0.64596497562736954</v>
      </c>
      <c r="AO33" s="173">
        <v>5539</v>
      </c>
      <c r="AP33" s="118">
        <f t="shared" si="18"/>
        <v>1961</v>
      </c>
      <c r="AQ33" s="174">
        <v>3578</v>
      </c>
      <c r="AR33" s="175">
        <v>2394</v>
      </c>
      <c r="AS33" s="176">
        <v>0.85902777777777772</v>
      </c>
      <c r="AT33" s="175">
        <v>171</v>
      </c>
      <c r="AU33" s="177">
        <v>0.90625</v>
      </c>
      <c r="AV33" s="57">
        <f t="shared" si="30"/>
        <v>45774</v>
      </c>
      <c r="AW33" s="192">
        <f t="shared" si="80"/>
        <v>0.39487992750339829</v>
      </c>
      <c r="AX33" s="192">
        <f t="shared" si="81"/>
        <v>0.60512007249660171</v>
      </c>
      <c r="AY33" s="112">
        <f t="shared" si="21"/>
        <v>4414</v>
      </c>
      <c r="AZ33" s="113">
        <v>4414</v>
      </c>
      <c r="BA33" s="193">
        <f t="shared" si="82"/>
        <v>1743</v>
      </c>
      <c r="BB33" s="114">
        <f>1603+1068</f>
        <v>2671</v>
      </c>
      <c r="BC33" s="113">
        <v>2085</v>
      </c>
      <c r="BD33" s="115">
        <v>0.75</v>
      </c>
      <c r="BE33" s="116">
        <v>0</v>
      </c>
      <c r="BF33" s="115">
        <v>0</v>
      </c>
      <c r="BG33" s="116">
        <v>148</v>
      </c>
      <c r="BH33" s="115">
        <v>0.88541666666666663</v>
      </c>
      <c r="BI33" s="191">
        <f t="shared" si="31"/>
        <v>45774</v>
      </c>
      <c r="BJ33" s="194">
        <f t="shared" si="83"/>
        <v>0.60756651208201118</v>
      </c>
      <c r="BK33" s="77">
        <f t="shared" si="84"/>
        <v>0.39243348791798877</v>
      </c>
      <c r="BL33" s="80">
        <f t="shared" si="85"/>
        <v>20485</v>
      </c>
      <c r="BM33" s="178">
        <v>12446</v>
      </c>
      <c r="BN33" s="178">
        <v>8039</v>
      </c>
      <c r="BO33" s="179">
        <v>2734</v>
      </c>
      <c r="BP33" s="180">
        <v>0.75763888888888886</v>
      </c>
      <c r="BQ33" s="181">
        <v>1812</v>
      </c>
      <c r="BR33" s="180">
        <v>0.67291666666666672</v>
      </c>
    </row>
    <row r="34" spans="1:70" ht="15.75" thickBot="1" x14ac:dyDescent="0.3">
      <c r="A34" s="14"/>
      <c r="B34" s="57">
        <f t="shared" si="26"/>
        <v>45775</v>
      </c>
      <c r="C34" s="187"/>
      <c r="D34" s="88">
        <f t="shared" si="63"/>
        <v>53706</v>
      </c>
      <c r="E34" s="182">
        <f t="shared" si="64"/>
        <v>0.88688414702267904</v>
      </c>
      <c r="F34" s="88">
        <f t="shared" si="65"/>
        <v>47631</v>
      </c>
      <c r="G34" s="182">
        <f t="shared" si="66"/>
        <v>0.11311585297732096</v>
      </c>
      <c r="H34" s="169">
        <f t="shared" si="67"/>
        <v>6075</v>
      </c>
      <c r="I34" s="183">
        <f t="shared" si="68"/>
        <v>0.11604124266227103</v>
      </c>
      <c r="J34" s="182">
        <f t="shared" si="69"/>
        <v>0.15825946546011135</v>
      </c>
      <c r="K34" s="182">
        <f t="shared" si="70"/>
        <v>0.16712567613084742</v>
      </c>
      <c r="L34" s="184">
        <f t="shared" si="71"/>
        <v>0.58382251526415829</v>
      </c>
      <c r="M34" s="169">
        <f t="shared" si="72"/>
        <v>6037.8579382032867</v>
      </c>
      <c r="N34" s="169">
        <f t="shared" si="73"/>
        <v>8234.5565068205142</v>
      </c>
      <c r="O34" s="169">
        <f t="shared" si="74"/>
        <v>8695.8831804402525</v>
      </c>
      <c r="P34" s="169">
        <f t="shared" si="75"/>
        <v>30377.453114224685</v>
      </c>
      <c r="Q34" s="57">
        <f t="shared" si="27"/>
        <v>45775</v>
      </c>
      <c r="R34" s="162">
        <v>53706</v>
      </c>
      <c r="S34" s="163">
        <v>0</v>
      </c>
      <c r="T34" s="163">
        <v>52032</v>
      </c>
      <c r="U34" s="163">
        <v>0</v>
      </c>
      <c r="V34" s="164">
        <v>14227</v>
      </c>
      <c r="W34" s="165">
        <v>0.40625</v>
      </c>
      <c r="X34" s="164">
        <v>4426</v>
      </c>
      <c r="Y34" s="165">
        <v>0.40625</v>
      </c>
      <c r="Z34" s="164">
        <v>0</v>
      </c>
      <c r="AA34" s="165">
        <v>0</v>
      </c>
      <c r="AB34" s="57">
        <f t="shared" si="28"/>
        <v>45775</v>
      </c>
      <c r="AC34" s="77">
        <f t="shared" si="76"/>
        <v>1</v>
      </c>
      <c r="AD34" s="185">
        <f t="shared" si="77"/>
        <v>0</v>
      </c>
      <c r="AE34" s="186">
        <v>6899</v>
      </c>
      <c r="AF34" s="119">
        <f t="shared" si="15"/>
        <v>6899</v>
      </c>
      <c r="AG34" s="170">
        <v>0</v>
      </c>
      <c r="AH34" s="171">
        <v>4113</v>
      </c>
      <c r="AI34" s="172">
        <v>0.36249999999999999</v>
      </c>
      <c r="AJ34" s="171">
        <v>0</v>
      </c>
      <c r="AK34" s="188">
        <v>0</v>
      </c>
      <c r="AL34" s="57">
        <f t="shared" si="29"/>
        <v>45775</v>
      </c>
      <c r="AM34" s="78">
        <f t="shared" si="78"/>
        <v>0.60048889361249869</v>
      </c>
      <c r="AN34" s="77">
        <f t="shared" si="79"/>
        <v>0.39951110638750131</v>
      </c>
      <c r="AO34" s="173">
        <v>9409</v>
      </c>
      <c r="AP34" s="118">
        <f t="shared" si="18"/>
        <v>5650</v>
      </c>
      <c r="AQ34" s="174">
        <v>3759</v>
      </c>
      <c r="AR34" s="175">
        <v>4012</v>
      </c>
      <c r="AS34" s="176">
        <v>0.35972222222222222</v>
      </c>
      <c r="AT34" s="175">
        <v>185</v>
      </c>
      <c r="AU34" s="177">
        <v>0.85416666666666663</v>
      </c>
      <c r="AV34" s="57">
        <f t="shared" si="30"/>
        <v>45775</v>
      </c>
      <c r="AW34" s="111">
        <f t="shared" si="80"/>
        <v>0.72542975696502665</v>
      </c>
      <c r="AX34" s="111">
        <f t="shared" si="81"/>
        <v>0.27457024303497335</v>
      </c>
      <c r="AY34" s="112">
        <f t="shared" si="21"/>
        <v>8435</v>
      </c>
      <c r="AZ34" s="113">
        <v>8435</v>
      </c>
      <c r="BA34" s="121">
        <f t="shared" si="82"/>
        <v>6119</v>
      </c>
      <c r="BB34" s="114">
        <v>2316</v>
      </c>
      <c r="BC34" s="113">
        <v>4395</v>
      </c>
      <c r="BD34" s="115">
        <v>0.39583333333333331</v>
      </c>
      <c r="BE34" s="116">
        <v>0</v>
      </c>
      <c r="BF34" s="115">
        <v>0</v>
      </c>
      <c r="BG34" s="116">
        <v>144</v>
      </c>
      <c r="BH34" s="115">
        <v>0.80208333333333337</v>
      </c>
      <c r="BI34" s="57">
        <f t="shared" si="31"/>
        <v>45775</v>
      </c>
      <c r="BJ34" s="79">
        <f t="shared" si="83"/>
        <v>0.60651109190435037</v>
      </c>
      <c r="BK34" s="77">
        <f t="shared" si="84"/>
        <v>0.39348890809564968</v>
      </c>
      <c r="BL34" s="80">
        <f t="shared" si="85"/>
        <v>34710</v>
      </c>
      <c r="BM34" s="178">
        <v>21052</v>
      </c>
      <c r="BN34" s="178">
        <v>13658</v>
      </c>
      <c r="BO34" s="179">
        <v>4192</v>
      </c>
      <c r="BP34" s="180">
        <v>0.82638888888888884</v>
      </c>
      <c r="BQ34" s="181">
        <v>2756</v>
      </c>
      <c r="BR34" s="180">
        <v>0.82638888888888884</v>
      </c>
    </row>
    <row r="35" spans="1:70" ht="15.75" thickBot="1" x14ac:dyDescent="0.3">
      <c r="A35" s="14"/>
      <c r="B35" s="57">
        <f t="shared" si="26"/>
        <v>45776</v>
      </c>
      <c r="C35" s="187"/>
      <c r="D35" s="88">
        <f t="shared" si="63"/>
        <v>51710</v>
      </c>
      <c r="E35" s="182">
        <f t="shared" si="64"/>
        <v>0.87774124927480179</v>
      </c>
      <c r="F35" s="88">
        <f t="shared" si="65"/>
        <v>45388</v>
      </c>
      <c r="G35" s="182">
        <f t="shared" si="66"/>
        <v>0.12225875072519822</v>
      </c>
      <c r="H35" s="169">
        <f t="shared" si="67"/>
        <v>6322</v>
      </c>
      <c r="I35" s="183">
        <f t="shared" si="68"/>
        <v>0.1152096057025208</v>
      </c>
      <c r="J35" s="182">
        <f t="shared" si="69"/>
        <v>0.15846294918597206</v>
      </c>
      <c r="K35" s="182">
        <f t="shared" si="70"/>
        <v>0.16356150283067422</v>
      </c>
      <c r="L35" s="184">
        <f t="shared" si="71"/>
        <v>0.58886831952109897</v>
      </c>
      <c r="M35" s="169">
        <f t="shared" si="72"/>
        <v>5841.5878475406143</v>
      </c>
      <c r="N35" s="169">
        <f t="shared" si="73"/>
        <v>8034.7053755255274</v>
      </c>
      <c r="O35" s="169">
        <f t="shared" si="74"/>
        <v>8293.2224395265057</v>
      </c>
      <c r="P35" s="169">
        <f t="shared" si="75"/>
        <v>29857.979272997803</v>
      </c>
      <c r="Q35" s="57">
        <f t="shared" si="27"/>
        <v>45776</v>
      </c>
      <c r="R35" s="162">
        <v>51710</v>
      </c>
      <c r="S35" s="163">
        <v>0</v>
      </c>
      <c r="T35" s="163">
        <v>50704</v>
      </c>
      <c r="U35" s="163">
        <v>0</v>
      </c>
      <c r="V35" s="164">
        <v>13044</v>
      </c>
      <c r="W35" s="165">
        <v>0.40625</v>
      </c>
      <c r="X35" s="164">
        <v>4354</v>
      </c>
      <c r="Y35" s="165">
        <v>0.79166666666666663</v>
      </c>
      <c r="Z35" s="164">
        <v>0</v>
      </c>
      <c r="AA35" s="165">
        <v>0</v>
      </c>
      <c r="AB35" s="57">
        <f t="shared" si="28"/>
        <v>45776</v>
      </c>
      <c r="AC35" s="77">
        <f t="shared" si="76"/>
        <v>1</v>
      </c>
      <c r="AD35" s="185">
        <f t="shared" si="77"/>
        <v>0</v>
      </c>
      <c r="AE35" s="186">
        <v>6659</v>
      </c>
      <c r="AF35" s="119">
        <f t="shared" si="15"/>
        <v>6659</v>
      </c>
      <c r="AG35" s="170">
        <v>0</v>
      </c>
      <c r="AH35" s="171">
        <v>3525</v>
      </c>
      <c r="AI35" s="172">
        <v>0.36319444444444443</v>
      </c>
      <c r="AJ35" s="171">
        <v>0</v>
      </c>
      <c r="AK35" s="188">
        <v>0</v>
      </c>
      <c r="AL35" s="57">
        <f t="shared" si="29"/>
        <v>45776</v>
      </c>
      <c r="AM35" s="78">
        <f t="shared" si="78"/>
        <v>0.58379735779015174</v>
      </c>
      <c r="AN35" s="77">
        <f t="shared" si="79"/>
        <v>0.41620264220984826</v>
      </c>
      <c r="AO35" s="173">
        <v>9159</v>
      </c>
      <c r="AP35" s="118">
        <f t="shared" si="18"/>
        <v>5347</v>
      </c>
      <c r="AQ35" s="174">
        <v>3812</v>
      </c>
      <c r="AR35" s="175">
        <v>3423</v>
      </c>
      <c r="AS35" s="176">
        <v>0.36041666666666666</v>
      </c>
      <c r="AT35" s="175">
        <v>187</v>
      </c>
      <c r="AU35" s="177">
        <v>0.80208333333333337</v>
      </c>
      <c r="AV35" s="57">
        <f t="shared" si="30"/>
        <v>45776</v>
      </c>
      <c r="AW35" s="111">
        <f t="shared" si="80"/>
        <v>0.68407803650094401</v>
      </c>
      <c r="AX35" s="111">
        <f t="shared" si="81"/>
        <v>0.31592196349905599</v>
      </c>
      <c r="AY35" s="112">
        <f t="shared" si="21"/>
        <v>7945</v>
      </c>
      <c r="AZ35" s="113">
        <v>7945</v>
      </c>
      <c r="BA35" s="121">
        <f t="shared" si="82"/>
        <v>5435</v>
      </c>
      <c r="BB35" s="114">
        <v>2510</v>
      </c>
      <c r="BC35" s="113">
        <v>3457</v>
      </c>
      <c r="BD35" s="115">
        <v>0.75</v>
      </c>
      <c r="BE35" s="116">
        <v>0</v>
      </c>
      <c r="BF35" s="115">
        <v>0</v>
      </c>
      <c r="BG35" s="116">
        <v>167</v>
      </c>
      <c r="BH35" s="115">
        <v>1.0416666666666666E-2</v>
      </c>
      <c r="BI35" s="57">
        <f t="shared" si="31"/>
        <v>45776</v>
      </c>
      <c r="BJ35" s="79">
        <f t="shared" si="83"/>
        <v>0.60756258079680336</v>
      </c>
      <c r="BK35" s="77">
        <f t="shared" si="84"/>
        <v>0.39243741920319664</v>
      </c>
      <c r="BL35" s="80">
        <f t="shared" si="85"/>
        <v>34036</v>
      </c>
      <c r="BM35" s="178">
        <v>20679</v>
      </c>
      <c r="BN35" s="178">
        <v>13357</v>
      </c>
      <c r="BO35" s="179">
        <v>3851</v>
      </c>
      <c r="BP35" s="180">
        <v>0.80972222222222223</v>
      </c>
      <c r="BQ35" s="181">
        <v>2570</v>
      </c>
      <c r="BR35" s="180">
        <v>0.77430555555555558</v>
      </c>
    </row>
    <row r="36" spans="1:70" ht="15.75" thickBot="1" x14ac:dyDescent="0.3">
      <c r="A36" s="14"/>
      <c r="B36" s="57">
        <f t="shared" si="26"/>
        <v>45777</v>
      </c>
      <c r="C36" s="187"/>
      <c r="D36" s="88">
        <f t="shared" si="63"/>
        <v>53228</v>
      </c>
      <c r="E36" s="182">
        <f t="shared" si="64"/>
        <v>0.88203577064702787</v>
      </c>
      <c r="F36" s="88">
        <f t="shared" si="65"/>
        <v>46949</v>
      </c>
      <c r="G36" s="182">
        <f t="shared" si="66"/>
        <v>0.11796422935297211</v>
      </c>
      <c r="H36" s="169">
        <f t="shared" si="67"/>
        <v>6279</v>
      </c>
      <c r="I36" s="183">
        <f t="shared" si="68"/>
        <v>0.11688179000783298</v>
      </c>
      <c r="J36" s="182">
        <f t="shared" si="69"/>
        <v>0.16033784013895039</v>
      </c>
      <c r="K36" s="182">
        <f t="shared" si="70"/>
        <v>0.16541866581012987</v>
      </c>
      <c r="L36" s="184">
        <f t="shared" si="71"/>
        <v>0.58246773149882503</v>
      </c>
      <c r="M36" s="169">
        <f>(S36+T36)*I36</f>
        <v>6385.4859517079312</v>
      </c>
      <c r="N36" s="169">
        <f>(S36+T36)*J36</f>
        <v>8759.5768824711377</v>
      </c>
      <c r="O36" s="169">
        <f>(S36+T36)*K36</f>
        <v>9037.1525505390146</v>
      </c>
      <c r="P36" s="169">
        <f>(S36+T36)*L36</f>
        <v>31821.37710724381</v>
      </c>
      <c r="Q36" s="57">
        <f t="shared" si="27"/>
        <v>45777</v>
      </c>
      <c r="R36" s="162">
        <v>53228</v>
      </c>
      <c r="S36" s="163">
        <v>0</v>
      </c>
      <c r="T36" s="163">
        <v>54632</v>
      </c>
      <c r="U36" s="163">
        <v>0</v>
      </c>
      <c r="V36" s="164">
        <v>14250</v>
      </c>
      <c r="W36" s="165">
        <v>0.79166666666666663</v>
      </c>
      <c r="X36" s="164">
        <v>4396</v>
      </c>
      <c r="Y36" s="165">
        <v>0.79166666666666663</v>
      </c>
      <c r="Z36" s="164">
        <v>0</v>
      </c>
      <c r="AA36" s="165">
        <v>0</v>
      </c>
      <c r="AB36" s="57">
        <f t="shared" si="28"/>
        <v>45777</v>
      </c>
      <c r="AC36" s="77">
        <f t="shared" si="76"/>
        <v>1</v>
      </c>
      <c r="AD36" s="185">
        <f t="shared" si="77"/>
        <v>0</v>
      </c>
      <c r="AE36" s="186">
        <v>6864</v>
      </c>
      <c r="AF36" s="119">
        <f t="shared" si="15"/>
        <v>6864</v>
      </c>
      <c r="AG36" s="170">
        <v>0</v>
      </c>
      <c r="AH36" s="171">
        <v>3951</v>
      </c>
      <c r="AI36" s="172">
        <v>0.34166666666666667</v>
      </c>
      <c r="AJ36" s="171">
        <v>0</v>
      </c>
      <c r="AK36" s="188">
        <v>0</v>
      </c>
      <c r="AL36" s="57">
        <f t="shared" si="29"/>
        <v>45777</v>
      </c>
      <c r="AM36" s="78">
        <f t="shared" si="78"/>
        <v>0.59590059473237045</v>
      </c>
      <c r="AN36" s="77">
        <f t="shared" si="79"/>
        <v>0.40409940526762955</v>
      </c>
      <c r="AO36" s="173">
        <v>9416</v>
      </c>
      <c r="AP36" s="118">
        <f t="shared" si="18"/>
        <v>5611</v>
      </c>
      <c r="AQ36" s="174">
        <v>3805</v>
      </c>
      <c r="AR36" s="175">
        <v>3962</v>
      </c>
      <c r="AS36" s="176">
        <v>0.74375000000000002</v>
      </c>
      <c r="AT36" s="175">
        <v>184</v>
      </c>
      <c r="AU36" s="177">
        <v>0.77083333333333337</v>
      </c>
      <c r="AV36" s="57">
        <f t="shared" si="30"/>
        <v>45777</v>
      </c>
      <c r="AW36" s="111">
        <f t="shared" si="80"/>
        <v>0.699757281553398</v>
      </c>
      <c r="AX36" s="111">
        <f t="shared" si="81"/>
        <v>0.30024271844660194</v>
      </c>
      <c r="AY36" s="112">
        <f t="shared" si="21"/>
        <v>8240</v>
      </c>
      <c r="AZ36" s="113">
        <v>8240</v>
      </c>
      <c r="BA36" s="121">
        <f t="shared" si="82"/>
        <v>5766</v>
      </c>
      <c r="BB36" s="114">
        <v>2474</v>
      </c>
      <c r="BC36" s="113">
        <v>4005</v>
      </c>
      <c r="BD36" s="115">
        <v>0.75</v>
      </c>
      <c r="BE36" s="116">
        <v>0</v>
      </c>
      <c r="BF36" s="115">
        <v>0</v>
      </c>
      <c r="BG36" s="116">
        <v>146</v>
      </c>
      <c r="BH36" s="115">
        <v>0.875</v>
      </c>
      <c r="BI36" s="57">
        <f t="shared" si="31"/>
        <v>45777</v>
      </c>
      <c r="BJ36" s="79">
        <f t="shared" si="83"/>
        <v>0.60977606267906215</v>
      </c>
      <c r="BK36" s="77">
        <f t="shared" si="84"/>
        <v>0.39022393732093785</v>
      </c>
      <c r="BL36" s="80">
        <f t="shared" si="85"/>
        <v>34206</v>
      </c>
      <c r="BM36" s="178">
        <v>20858</v>
      </c>
      <c r="BN36" s="178">
        <v>13348</v>
      </c>
      <c r="BO36" s="179">
        <v>4323</v>
      </c>
      <c r="BP36" s="180">
        <v>0.7006944444444444</v>
      </c>
      <c r="BQ36" s="181">
        <v>2864</v>
      </c>
      <c r="BR36" s="180">
        <v>0.7006944444444444</v>
      </c>
    </row>
    <row r="37" spans="1:70" ht="15.75" thickBot="1" x14ac:dyDescent="0.3">
      <c r="A37" s="14"/>
      <c r="B37" s="57">
        <f t="shared" si="26"/>
        <v>45778</v>
      </c>
      <c r="C37" s="187"/>
      <c r="D37" s="88">
        <f t="shared" si="63"/>
        <v>0</v>
      </c>
      <c r="E37" s="182" t="e">
        <f t="shared" si="64"/>
        <v>#DIV/0!</v>
      </c>
      <c r="F37" s="88">
        <f t="shared" si="65"/>
        <v>0</v>
      </c>
      <c r="G37" s="182" t="e">
        <f t="shared" si="66"/>
        <v>#DIV/0!</v>
      </c>
      <c r="H37" s="169">
        <f t="shared" si="67"/>
        <v>0</v>
      </c>
      <c r="I37" s="183" t="e">
        <f t="shared" si="68"/>
        <v>#DIV/0!</v>
      </c>
      <c r="J37" s="182" t="e">
        <f t="shared" si="69"/>
        <v>#DIV/0!</v>
      </c>
      <c r="K37" s="182" t="e">
        <f t="shared" si="70"/>
        <v>#DIV/0!</v>
      </c>
      <c r="L37" s="184" t="e">
        <f t="shared" si="71"/>
        <v>#DIV/0!</v>
      </c>
      <c r="M37" s="169" t="e">
        <f t="shared" si="72"/>
        <v>#DIV/0!</v>
      </c>
      <c r="N37" s="169" t="e">
        <f t="shared" si="73"/>
        <v>#DIV/0!</v>
      </c>
      <c r="O37" s="169" t="e">
        <f t="shared" si="74"/>
        <v>#DIV/0!</v>
      </c>
      <c r="P37" s="169" t="e">
        <f t="shared" si="75"/>
        <v>#DIV/0!</v>
      </c>
      <c r="Q37" s="57">
        <f t="shared" si="27"/>
        <v>45778</v>
      </c>
      <c r="R37" s="162"/>
      <c r="S37" s="163"/>
      <c r="T37" s="163"/>
      <c r="U37" s="163"/>
      <c r="V37" s="164"/>
      <c r="W37" s="165"/>
      <c r="X37" s="164"/>
      <c r="Y37" s="165"/>
      <c r="Z37" s="164"/>
      <c r="AA37" s="165"/>
      <c r="AB37" s="57">
        <f t="shared" si="28"/>
        <v>45778</v>
      </c>
      <c r="AC37" s="77" t="e">
        <f t="shared" si="76"/>
        <v>#DIV/0!</v>
      </c>
      <c r="AD37" s="185" t="e">
        <f t="shared" si="77"/>
        <v>#DIV/0!</v>
      </c>
      <c r="AE37" s="186"/>
      <c r="AF37" s="119">
        <f t="shared" si="15"/>
        <v>0</v>
      </c>
      <c r="AG37" s="170"/>
      <c r="AH37" s="171"/>
      <c r="AI37" s="172"/>
      <c r="AJ37" s="171"/>
      <c r="AK37" s="188"/>
      <c r="AL37" s="57">
        <f t="shared" si="29"/>
        <v>45778</v>
      </c>
      <c r="AM37" s="78" t="e">
        <f t="shared" si="78"/>
        <v>#DIV/0!</v>
      </c>
      <c r="AN37" s="77" t="e">
        <f t="shared" si="79"/>
        <v>#DIV/0!</v>
      </c>
      <c r="AO37" s="173"/>
      <c r="AP37" s="118">
        <f t="shared" si="18"/>
        <v>0</v>
      </c>
      <c r="AQ37" s="174"/>
      <c r="AR37" s="175"/>
      <c r="AS37" s="176"/>
      <c r="AT37" s="175"/>
      <c r="AU37" s="177"/>
      <c r="AV37" s="57">
        <f t="shared" si="30"/>
        <v>45778</v>
      </c>
      <c r="AW37" s="111" t="e">
        <f t="shared" si="80"/>
        <v>#DIV/0!</v>
      </c>
      <c r="AX37" s="111" t="e">
        <f t="shared" si="81"/>
        <v>#DIV/0!</v>
      </c>
      <c r="AY37" s="112">
        <f t="shared" si="21"/>
        <v>0</v>
      </c>
      <c r="AZ37" s="113"/>
      <c r="BA37" s="121">
        <f t="shared" si="82"/>
        <v>0</v>
      </c>
      <c r="BB37" s="114"/>
      <c r="BC37" s="113"/>
      <c r="BD37" s="115"/>
      <c r="BE37" s="116"/>
      <c r="BF37" s="115"/>
      <c r="BG37" s="116"/>
      <c r="BH37" s="115"/>
      <c r="BI37" s="57">
        <f t="shared" si="31"/>
        <v>45778</v>
      </c>
      <c r="BJ37" s="79" t="e">
        <f t="shared" si="83"/>
        <v>#DIV/0!</v>
      </c>
      <c r="BK37" s="77" t="e">
        <f t="shared" si="84"/>
        <v>#DIV/0!</v>
      </c>
      <c r="BL37" s="80">
        <f t="shared" si="85"/>
        <v>0</v>
      </c>
      <c r="BM37" s="178"/>
      <c r="BN37" s="178"/>
      <c r="BO37" s="179"/>
      <c r="BP37" s="180"/>
      <c r="BQ37" s="181"/>
      <c r="BR37" s="180"/>
    </row>
    <row r="38" spans="1:70" ht="15.75" thickBot="1" x14ac:dyDescent="0.3">
      <c r="A38" s="14"/>
      <c r="B38" s="57">
        <f t="shared" ref="B38" si="86">B37+1</f>
        <v>45779</v>
      </c>
      <c r="C38" s="187"/>
      <c r="D38" s="88">
        <f t="shared" ref="D38" si="87">R38</f>
        <v>0</v>
      </c>
      <c r="E38" s="182" t="e">
        <f t="shared" ref="E38" si="88">F38/D38</f>
        <v>#DIV/0!</v>
      </c>
      <c r="F38" s="88">
        <f t="shared" ref="F38" si="89">D38-H38</f>
        <v>0</v>
      </c>
      <c r="G38" s="182" t="e">
        <f t="shared" ref="G38" si="90">H38/D38</f>
        <v>#DIV/0!</v>
      </c>
      <c r="H38" s="169">
        <f t="shared" ref="H38" si="91">U38+AG38+AQ38+BB38</f>
        <v>0</v>
      </c>
      <c r="I38" s="183" t="e">
        <f t="shared" ref="I38" si="92">AE38/(AE38+AO38+BL38+AY38)</f>
        <v>#DIV/0!</v>
      </c>
      <c r="J38" s="182" t="e">
        <f t="shared" ref="J38" si="93">AO38/(AE38+AO38+BL38+AY38)</f>
        <v>#DIV/0!</v>
      </c>
      <c r="K38" s="182" t="e">
        <f t="shared" ref="K38" si="94">AY38/(AF38+AP38+BM38+AZ38+AY38)</f>
        <v>#DIV/0!</v>
      </c>
      <c r="L38" s="184" t="e">
        <f t="shared" ref="L38" si="95">BL38/(AE38+AO38+BL38+AY38)</f>
        <v>#DIV/0!</v>
      </c>
      <c r="M38" s="169" t="e">
        <f t="shared" ref="M38" si="96">(S38+T38)*I38</f>
        <v>#DIV/0!</v>
      </c>
      <c r="N38" s="169" t="e">
        <f t="shared" ref="N38" si="97">(S38+T38)*J38</f>
        <v>#DIV/0!</v>
      </c>
      <c r="O38" s="169" t="e">
        <f t="shared" ref="O38" si="98">(S38+T38)*K38</f>
        <v>#DIV/0!</v>
      </c>
      <c r="P38" s="169" t="e">
        <f t="shared" ref="P38" si="99">(S38+T38)*L38</f>
        <v>#DIV/0!</v>
      </c>
      <c r="Q38" s="57">
        <f t="shared" ref="Q38" si="100">Q37+1</f>
        <v>45779</v>
      </c>
      <c r="R38" s="162"/>
      <c r="S38" s="163"/>
      <c r="T38" s="163"/>
      <c r="U38" s="163"/>
      <c r="V38" s="164"/>
      <c r="W38" s="165"/>
      <c r="X38" s="164"/>
      <c r="Y38" s="165"/>
      <c r="Z38" s="164"/>
      <c r="AA38" s="165"/>
      <c r="AB38" s="57">
        <f t="shared" si="28"/>
        <v>45779</v>
      </c>
      <c r="AC38" s="77" t="e">
        <f t="shared" ref="AC38" si="101">+AF38/AE38</f>
        <v>#DIV/0!</v>
      </c>
      <c r="AD38" s="185" t="e">
        <f t="shared" ref="AD38" si="102">+AG38/AE38</f>
        <v>#DIV/0!</v>
      </c>
      <c r="AE38" s="186"/>
      <c r="AF38" s="119">
        <f t="shared" si="15"/>
        <v>0</v>
      </c>
      <c r="AG38" s="170"/>
      <c r="AH38" s="171"/>
      <c r="AI38" s="172"/>
      <c r="AJ38" s="171"/>
      <c r="AK38" s="188"/>
      <c r="AL38" s="57">
        <f t="shared" si="29"/>
        <v>45779</v>
      </c>
      <c r="AM38" s="78" t="e">
        <f t="shared" ref="AM38" si="103">+AP38/AO38</f>
        <v>#DIV/0!</v>
      </c>
      <c r="AN38" s="77" t="e">
        <f t="shared" ref="AN38" si="104">+AQ38/AO38</f>
        <v>#DIV/0!</v>
      </c>
      <c r="AO38" s="173"/>
      <c r="AP38" s="118">
        <f t="shared" si="18"/>
        <v>0</v>
      </c>
      <c r="AQ38" s="174"/>
      <c r="AR38" s="175"/>
      <c r="AS38" s="176"/>
      <c r="AT38" s="175"/>
      <c r="AU38" s="177"/>
      <c r="AV38" s="57">
        <f t="shared" si="30"/>
        <v>45779</v>
      </c>
      <c r="AW38" s="111" t="e">
        <f t="shared" ref="AW38" si="105">BA38/AZ38</f>
        <v>#DIV/0!</v>
      </c>
      <c r="AX38" s="111" t="e">
        <f t="shared" ref="AX38" si="106">BB38/AZ38</f>
        <v>#DIV/0!</v>
      </c>
      <c r="AY38" s="112">
        <f t="shared" ref="AY38" si="107">BA38+BB38</f>
        <v>0</v>
      </c>
      <c r="AZ38" s="113"/>
      <c r="BA38" s="121">
        <f t="shared" ref="BA38" si="108">AZ38-BB38</f>
        <v>0</v>
      </c>
      <c r="BB38" s="114"/>
      <c r="BC38" s="113"/>
      <c r="BD38" s="115"/>
      <c r="BE38" s="116"/>
      <c r="BF38" s="115"/>
      <c r="BG38" s="116"/>
      <c r="BH38" s="115"/>
      <c r="BI38" s="57">
        <f t="shared" si="31"/>
        <v>45779</v>
      </c>
      <c r="BJ38" s="79" t="e">
        <f t="shared" ref="BJ38" si="109">+BM38/BL38</f>
        <v>#DIV/0!</v>
      </c>
      <c r="BK38" s="77" t="e">
        <f t="shared" ref="BK38" si="110">+BN38/BL38</f>
        <v>#DIV/0!</v>
      </c>
      <c r="BL38" s="80">
        <f t="shared" ref="BL38" si="111">BM38+BN38</f>
        <v>0</v>
      </c>
      <c r="BM38" s="178"/>
      <c r="BN38" s="178"/>
      <c r="BO38" s="179"/>
      <c r="BP38" s="180"/>
      <c r="BQ38" s="181"/>
      <c r="BR38" s="180"/>
    </row>
    <row r="40" spans="1:70" x14ac:dyDescent="0.25">
      <c r="R40" s="200">
        <f>R37-S41</f>
        <v>1404</v>
      </c>
    </row>
    <row r="41" spans="1:70" x14ac:dyDescent="0.25">
      <c r="S41" s="201">
        <f>R36-T36</f>
        <v>-1404</v>
      </c>
      <c r="T41" s="201"/>
      <c r="U41" s="200"/>
    </row>
    <row r="43" spans="1:70" x14ac:dyDescent="0.25">
      <c r="S43" s="201"/>
      <c r="T43" s="200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80"/>
  <sheetViews>
    <sheetView tabSelected="1" topLeftCell="A28" zoomScale="140" zoomScaleNormal="140" workbookViewId="0">
      <selection activeCell="G47" sqref="G47:H47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43" t="s">
        <v>0</v>
      </c>
      <c r="D2" s="246" t="s">
        <v>38</v>
      </c>
      <c r="E2" s="247"/>
      <c r="F2" s="247"/>
      <c r="G2" s="247"/>
      <c r="H2" s="248"/>
      <c r="J2" s="246" t="s">
        <v>39</v>
      </c>
      <c r="K2" s="247"/>
      <c r="L2" s="248"/>
      <c r="N2" s="246" t="s">
        <v>40</v>
      </c>
      <c r="O2" s="247"/>
      <c r="P2" s="247"/>
      <c r="Q2" s="247"/>
      <c r="R2" s="247"/>
      <c r="S2" s="247"/>
      <c r="T2" s="248"/>
      <c r="V2" s="252" t="s">
        <v>41</v>
      </c>
      <c r="W2" s="253"/>
      <c r="X2" s="254"/>
    </row>
    <row r="3" spans="2:27" ht="15.75" thickBot="1" x14ac:dyDescent="0.3">
      <c r="B3" s="244"/>
      <c r="D3" s="249"/>
      <c r="E3" s="250"/>
      <c r="F3" s="250"/>
      <c r="G3" s="250"/>
      <c r="H3" s="251"/>
      <c r="J3" s="249"/>
      <c r="K3" s="250"/>
      <c r="L3" s="251"/>
      <c r="N3" s="249"/>
      <c r="O3" s="250"/>
      <c r="P3" s="250"/>
      <c r="Q3" s="250"/>
      <c r="R3" s="250"/>
      <c r="S3" s="250"/>
      <c r="T3" s="251"/>
      <c r="V3" s="255"/>
      <c r="W3" s="256"/>
      <c r="X3" s="257"/>
    </row>
    <row r="4" spans="2:27" ht="23.25" customHeight="1" x14ac:dyDescent="0.25">
      <c r="B4" s="244"/>
      <c r="D4" s="258" t="s">
        <v>42</v>
      </c>
      <c r="E4" s="259"/>
      <c r="F4" s="258" t="s">
        <v>43</v>
      </c>
      <c r="G4" s="260"/>
      <c r="H4" s="261"/>
      <c r="J4" s="258" t="s">
        <v>42</v>
      </c>
      <c r="K4" s="259"/>
      <c r="L4" s="16" t="s">
        <v>43</v>
      </c>
      <c r="N4" s="241" t="s">
        <v>42</v>
      </c>
      <c r="O4" s="262"/>
      <c r="P4" s="263"/>
      <c r="Q4" s="264"/>
      <c r="R4" s="258" t="s">
        <v>43</v>
      </c>
      <c r="S4" s="265"/>
      <c r="T4" s="261"/>
      <c r="V4" s="241" t="s">
        <v>42</v>
      </c>
      <c r="W4" s="242"/>
      <c r="X4" s="16" t="s">
        <v>43</v>
      </c>
    </row>
    <row r="5" spans="2:27" ht="23.25" thickBot="1" x14ac:dyDescent="0.3">
      <c r="B5" s="245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8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3" customFormat="1" ht="15.75" thickBot="1" x14ac:dyDescent="0.3">
      <c r="B14" s="91">
        <v>45747</v>
      </c>
      <c r="C14" s="13"/>
      <c r="D14" s="92">
        <v>114</v>
      </c>
      <c r="E14" s="90">
        <v>0.70833333333333337</v>
      </c>
      <c r="F14" s="89">
        <v>1270</v>
      </c>
      <c r="G14" s="94">
        <v>755</v>
      </c>
      <c r="H14" s="89">
        <v>515</v>
      </c>
      <c r="I14" s="91">
        <v>45747</v>
      </c>
      <c r="J14" s="92">
        <v>29</v>
      </c>
      <c r="K14" s="90">
        <v>0.55208333333333337</v>
      </c>
      <c r="L14" s="89">
        <v>574</v>
      </c>
      <c r="M14" s="91">
        <v>45654</v>
      </c>
      <c r="N14" s="92">
        <v>2</v>
      </c>
      <c r="O14" s="90">
        <v>0.35416666666666669</v>
      </c>
      <c r="P14" s="92">
        <v>35</v>
      </c>
      <c r="Q14" s="90">
        <v>0.76041666666666663</v>
      </c>
      <c r="R14" s="93">
        <v>517</v>
      </c>
      <c r="S14" s="89">
        <v>44</v>
      </c>
      <c r="T14" s="89">
        <v>473</v>
      </c>
      <c r="U14" s="91">
        <v>45747</v>
      </c>
      <c r="V14" s="92">
        <v>29</v>
      </c>
      <c r="W14" s="90">
        <v>0.76041666666666663</v>
      </c>
      <c r="X14" s="89">
        <v>530</v>
      </c>
    </row>
    <row r="15" spans="2:27" s="53" customFormat="1" ht="15.75" thickBot="1" x14ac:dyDescent="0.3">
      <c r="B15" s="56">
        <f t="shared" ref="B15:B16" si="0">B14+1</f>
        <v>45748</v>
      </c>
      <c r="C15" s="13"/>
      <c r="D15" s="25">
        <v>108</v>
      </c>
      <c r="E15" s="11">
        <v>0.5</v>
      </c>
      <c r="F15" s="10">
        <v>1383</v>
      </c>
      <c r="G15" s="94">
        <f t="shared" ref="G15:G25" si="1">F15-H15</f>
        <v>876</v>
      </c>
      <c r="H15" s="10">
        <v>507</v>
      </c>
      <c r="I15" s="91">
        <f t="shared" ref="I15:I45" si="2">I14+1</f>
        <v>45748</v>
      </c>
      <c r="J15" s="25">
        <v>30</v>
      </c>
      <c r="K15" s="55">
        <v>0.5</v>
      </c>
      <c r="L15" s="54">
        <v>573</v>
      </c>
      <c r="M15" s="91">
        <f t="shared" ref="M15:M40" si="3">B15</f>
        <v>45748</v>
      </c>
      <c r="N15" s="50">
        <v>4</v>
      </c>
      <c r="O15" s="11">
        <v>0.69791666666666663</v>
      </c>
      <c r="P15" s="52">
        <v>31</v>
      </c>
      <c r="Q15" s="11">
        <v>0.73958333333333337</v>
      </c>
      <c r="R15" s="93">
        <f t="shared" ref="R15:R25" si="4">S15+T15</f>
        <v>521</v>
      </c>
      <c r="S15" s="10">
        <v>43</v>
      </c>
      <c r="T15" s="10">
        <v>478</v>
      </c>
      <c r="U15" s="91">
        <f t="shared" ref="U15:U45" si="5">U14+1</f>
        <v>45748</v>
      </c>
      <c r="V15" s="25">
        <v>30</v>
      </c>
      <c r="W15" s="11">
        <v>1145</v>
      </c>
      <c r="X15" s="10">
        <v>496</v>
      </c>
    </row>
    <row r="16" spans="2:27" s="53" customFormat="1" ht="15.75" thickBot="1" x14ac:dyDescent="0.3">
      <c r="B16" s="56">
        <f t="shared" si="0"/>
        <v>45749</v>
      </c>
      <c r="C16" s="13"/>
      <c r="D16" s="50">
        <v>95</v>
      </c>
      <c r="E16" s="11">
        <v>0.16666666666666666</v>
      </c>
      <c r="F16" s="10">
        <v>1422</v>
      </c>
      <c r="G16" s="94">
        <f t="shared" si="1"/>
        <v>899</v>
      </c>
      <c r="H16" s="10">
        <v>523</v>
      </c>
      <c r="I16" s="91">
        <f t="shared" si="2"/>
        <v>45749</v>
      </c>
      <c r="J16" s="50">
        <v>30</v>
      </c>
      <c r="K16" s="55">
        <v>0.72916666666666663</v>
      </c>
      <c r="L16" s="54">
        <v>570</v>
      </c>
      <c r="M16" s="91">
        <f t="shared" si="3"/>
        <v>45749</v>
      </c>
      <c r="N16" s="50">
        <v>2</v>
      </c>
      <c r="O16" s="11">
        <v>0.78125</v>
      </c>
      <c r="P16" s="50">
        <v>36</v>
      </c>
      <c r="Q16" s="11">
        <v>0.36458333333333331</v>
      </c>
      <c r="R16" s="93">
        <f t="shared" si="4"/>
        <v>509</v>
      </c>
      <c r="S16" s="10">
        <v>41</v>
      </c>
      <c r="T16" s="10">
        <v>468</v>
      </c>
      <c r="U16" s="91">
        <f t="shared" si="5"/>
        <v>45749</v>
      </c>
      <c r="V16" s="50">
        <v>27</v>
      </c>
      <c r="W16" s="11">
        <v>0.20833333333333334</v>
      </c>
      <c r="X16" s="10">
        <v>484</v>
      </c>
    </row>
    <row r="17" spans="2:24" ht="15.75" thickBot="1" x14ac:dyDescent="0.3">
      <c r="B17" s="56">
        <f t="shared" ref="B17:B45" si="6">B16+1</f>
        <v>45750</v>
      </c>
      <c r="D17" s="50">
        <v>121</v>
      </c>
      <c r="E17" s="55">
        <v>0.6875</v>
      </c>
      <c r="F17" s="54">
        <v>1377</v>
      </c>
      <c r="G17" s="94">
        <f t="shared" si="1"/>
        <v>824</v>
      </c>
      <c r="H17" s="54">
        <v>553</v>
      </c>
      <c r="I17" s="91">
        <f t="shared" si="2"/>
        <v>45750</v>
      </c>
      <c r="J17" s="50">
        <v>30</v>
      </c>
      <c r="K17" s="55">
        <v>0.73958333333333337</v>
      </c>
      <c r="L17" s="54">
        <v>581</v>
      </c>
      <c r="M17" s="91">
        <f t="shared" si="3"/>
        <v>45750</v>
      </c>
      <c r="N17" s="50">
        <v>17</v>
      </c>
      <c r="O17" s="55" t="s">
        <v>70</v>
      </c>
      <c r="P17" s="50">
        <v>30</v>
      </c>
      <c r="Q17" s="55">
        <v>0.45833333333333331</v>
      </c>
      <c r="R17" s="93">
        <f t="shared" si="4"/>
        <v>462</v>
      </c>
      <c r="S17" s="54">
        <v>126</v>
      </c>
      <c r="T17" s="54">
        <v>336</v>
      </c>
      <c r="U17" s="91">
        <f t="shared" si="5"/>
        <v>45750</v>
      </c>
      <c r="V17" s="50">
        <v>26</v>
      </c>
      <c r="W17" s="55">
        <v>0.11458333333333333</v>
      </c>
      <c r="X17" s="54">
        <v>0.11458333333333333</v>
      </c>
    </row>
    <row r="18" spans="2:24" ht="15.75" thickBot="1" x14ac:dyDescent="0.3">
      <c r="B18" s="56">
        <f t="shared" si="6"/>
        <v>45751</v>
      </c>
      <c r="D18" s="50">
        <v>117.34</v>
      </c>
      <c r="E18" s="55">
        <v>0.65625</v>
      </c>
      <c r="F18" s="54">
        <v>1229.22</v>
      </c>
      <c r="G18" s="94">
        <f t="shared" si="1"/>
        <v>722.07</v>
      </c>
      <c r="H18" s="54">
        <v>507.15</v>
      </c>
      <c r="I18" s="91">
        <f t="shared" si="2"/>
        <v>45751</v>
      </c>
      <c r="J18" s="50">
        <v>28.59</v>
      </c>
      <c r="K18" s="55">
        <v>0.53125</v>
      </c>
      <c r="L18" s="54">
        <v>543.72</v>
      </c>
      <c r="M18" s="91">
        <f t="shared" si="3"/>
        <v>45751</v>
      </c>
      <c r="N18" s="50">
        <v>17.260000000000002</v>
      </c>
      <c r="O18" s="55">
        <v>0.92708333333333337</v>
      </c>
      <c r="P18" s="50">
        <v>15.76</v>
      </c>
      <c r="Q18" s="55">
        <v>0.32291666666666669</v>
      </c>
      <c r="R18" s="51">
        <f t="shared" si="4"/>
        <v>441.46</v>
      </c>
      <c r="S18" s="54">
        <v>220.29</v>
      </c>
      <c r="T18" s="54">
        <v>221.17</v>
      </c>
      <c r="U18" s="91">
        <f t="shared" si="5"/>
        <v>45751</v>
      </c>
      <c r="V18" s="50">
        <v>29.65</v>
      </c>
      <c r="W18" s="55">
        <v>0.53125</v>
      </c>
      <c r="X18" s="54">
        <v>528.47</v>
      </c>
    </row>
    <row r="19" spans="2:24" ht="15.75" thickBot="1" x14ac:dyDescent="0.3">
      <c r="B19" s="91">
        <f t="shared" si="6"/>
        <v>45752</v>
      </c>
      <c r="D19" s="92">
        <v>93.77</v>
      </c>
      <c r="E19" s="90">
        <v>0.32291666666666669</v>
      </c>
      <c r="F19" s="89">
        <v>880.03</v>
      </c>
      <c r="G19" s="94">
        <f t="shared" si="1"/>
        <v>398.48999999999995</v>
      </c>
      <c r="H19" s="89">
        <v>481.54</v>
      </c>
      <c r="I19" s="91">
        <f t="shared" si="2"/>
        <v>45752</v>
      </c>
      <c r="J19" s="92">
        <v>28.56</v>
      </c>
      <c r="K19" s="90">
        <v>0.84375</v>
      </c>
      <c r="L19" s="89">
        <v>549.14</v>
      </c>
      <c r="M19" s="91">
        <f t="shared" si="3"/>
        <v>45752</v>
      </c>
      <c r="N19" s="92">
        <v>16.3</v>
      </c>
      <c r="O19" s="90">
        <v>0.54166666666666663</v>
      </c>
      <c r="P19" s="92">
        <v>12.25</v>
      </c>
      <c r="Q19" s="90">
        <v>0.32291666666666669</v>
      </c>
      <c r="R19" s="93">
        <f t="shared" si="4"/>
        <v>418.01</v>
      </c>
      <c r="S19" s="89">
        <v>220.84</v>
      </c>
      <c r="T19" s="89">
        <v>197.17</v>
      </c>
      <c r="U19" s="91">
        <f t="shared" si="5"/>
        <v>45752</v>
      </c>
      <c r="V19" s="92">
        <v>27.3</v>
      </c>
      <c r="W19" s="90">
        <v>0.17708333333333334</v>
      </c>
      <c r="X19" s="89">
        <v>547.94000000000005</v>
      </c>
    </row>
    <row r="20" spans="2:24" ht="15.75" thickBot="1" x14ac:dyDescent="0.3">
      <c r="B20" s="91">
        <f t="shared" si="6"/>
        <v>45753</v>
      </c>
      <c r="D20" s="195">
        <v>67</v>
      </c>
      <c r="E20" s="196">
        <v>0.96875</v>
      </c>
      <c r="F20" s="197">
        <v>787</v>
      </c>
      <c r="G20" s="198">
        <f t="shared" si="1"/>
        <v>316</v>
      </c>
      <c r="H20" s="197">
        <v>471</v>
      </c>
      <c r="I20" s="91">
        <f t="shared" si="2"/>
        <v>45753</v>
      </c>
      <c r="J20" s="195">
        <v>27</v>
      </c>
      <c r="K20" s="196">
        <v>0.63541666666666663</v>
      </c>
      <c r="L20" s="197">
        <v>530</v>
      </c>
      <c r="M20" s="199">
        <f t="shared" ref="M20" si="7">M19+1</f>
        <v>45753</v>
      </c>
      <c r="N20" s="195">
        <v>19</v>
      </c>
      <c r="O20" s="196">
        <v>0.60416666666666663</v>
      </c>
      <c r="P20" s="195">
        <v>9</v>
      </c>
      <c r="Q20" s="196">
        <v>0.90625</v>
      </c>
      <c r="R20" s="93">
        <f t="shared" si="4"/>
        <v>377</v>
      </c>
      <c r="S20" s="197">
        <v>212</v>
      </c>
      <c r="T20" s="197">
        <v>165</v>
      </c>
      <c r="U20" s="199">
        <f t="shared" si="5"/>
        <v>45753</v>
      </c>
      <c r="V20" s="195">
        <v>27</v>
      </c>
      <c r="W20" s="196">
        <v>0.21875</v>
      </c>
      <c r="X20" s="197">
        <v>457</v>
      </c>
    </row>
    <row r="21" spans="2:24" ht="15.75" thickBot="1" x14ac:dyDescent="0.3">
      <c r="B21" s="91">
        <f t="shared" si="6"/>
        <v>45754</v>
      </c>
      <c r="D21" s="92">
        <v>92.5</v>
      </c>
      <c r="E21" s="90">
        <v>0.55208333333333337</v>
      </c>
      <c r="F21" s="89">
        <v>1262.07</v>
      </c>
      <c r="G21" s="94">
        <f t="shared" si="1"/>
        <v>726.68999999999994</v>
      </c>
      <c r="H21" s="89">
        <v>535.38</v>
      </c>
      <c r="I21" s="91">
        <f t="shared" si="2"/>
        <v>45754</v>
      </c>
      <c r="J21" s="92">
        <v>29.79</v>
      </c>
      <c r="K21" s="90">
        <v>0.58333333333333337</v>
      </c>
      <c r="L21" s="89">
        <v>570.82000000000005</v>
      </c>
      <c r="M21" s="91">
        <f t="shared" si="3"/>
        <v>45754</v>
      </c>
      <c r="N21" s="92">
        <v>16.37</v>
      </c>
      <c r="O21" s="90">
        <v>0.52083333333333337</v>
      </c>
      <c r="P21" s="92">
        <v>14.61</v>
      </c>
      <c r="Q21" s="90">
        <v>0.65625</v>
      </c>
      <c r="R21" s="93">
        <f t="shared" si="4"/>
        <v>436.68</v>
      </c>
      <c r="S21" s="89">
        <v>220.84</v>
      </c>
      <c r="T21" s="89">
        <v>215.84</v>
      </c>
      <c r="U21" s="91">
        <f t="shared" si="5"/>
        <v>45754</v>
      </c>
      <c r="V21" s="92">
        <v>26.65</v>
      </c>
      <c r="W21" s="90">
        <v>0.20833333333333334</v>
      </c>
      <c r="X21" s="89">
        <v>477.56</v>
      </c>
    </row>
    <row r="22" spans="2:24" ht="15.75" thickBot="1" x14ac:dyDescent="0.3">
      <c r="B22" s="91">
        <f t="shared" si="6"/>
        <v>45755</v>
      </c>
      <c r="D22" s="92">
        <v>95</v>
      </c>
      <c r="E22" s="90">
        <v>0.67708333333333337</v>
      </c>
      <c r="F22" s="89">
        <v>1174</v>
      </c>
      <c r="G22" s="94">
        <f t="shared" si="1"/>
        <v>689</v>
      </c>
      <c r="H22" s="89">
        <v>485</v>
      </c>
      <c r="I22" s="91">
        <f t="shared" si="2"/>
        <v>45755</v>
      </c>
      <c r="J22" s="92">
        <v>31</v>
      </c>
      <c r="K22" s="90">
        <v>0.625</v>
      </c>
      <c r="L22" s="89">
        <v>568</v>
      </c>
      <c r="M22" s="91">
        <f t="shared" si="3"/>
        <v>45755</v>
      </c>
      <c r="N22" s="92">
        <v>16</v>
      </c>
      <c r="O22" s="90">
        <v>0.79166666666666663</v>
      </c>
      <c r="P22" s="92">
        <v>14</v>
      </c>
      <c r="Q22" s="90">
        <v>0.67708333333333337</v>
      </c>
      <c r="R22" s="93">
        <f t="shared" si="4"/>
        <v>441</v>
      </c>
      <c r="S22" s="89">
        <v>219</v>
      </c>
      <c r="T22" s="89">
        <v>222</v>
      </c>
      <c r="U22" s="91">
        <f t="shared" si="5"/>
        <v>45755</v>
      </c>
      <c r="V22" s="92">
        <v>28</v>
      </c>
      <c r="W22" s="90">
        <v>0.30208333333333331</v>
      </c>
      <c r="X22" s="89">
        <v>536</v>
      </c>
    </row>
    <row r="23" spans="2:24" ht="15.75" thickBot="1" x14ac:dyDescent="0.3">
      <c r="B23" s="91">
        <f t="shared" si="6"/>
        <v>45756</v>
      </c>
      <c r="D23" s="92">
        <v>97</v>
      </c>
      <c r="E23" s="90">
        <v>0.55208333333333337</v>
      </c>
      <c r="F23" s="89">
        <v>1087</v>
      </c>
      <c r="G23" s="94">
        <f t="shared" si="1"/>
        <v>607</v>
      </c>
      <c r="H23" s="89">
        <v>480</v>
      </c>
      <c r="I23" s="91">
        <f t="shared" si="2"/>
        <v>45756</v>
      </c>
      <c r="J23" s="92">
        <v>27</v>
      </c>
      <c r="K23" s="90">
        <v>0.82291666666666663</v>
      </c>
      <c r="L23" s="89">
        <v>548</v>
      </c>
      <c r="M23" s="91">
        <f t="shared" si="3"/>
        <v>45756</v>
      </c>
      <c r="N23" s="92">
        <v>18</v>
      </c>
      <c r="O23" s="90">
        <v>0.52083333333333337</v>
      </c>
      <c r="P23" s="92">
        <v>13</v>
      </c>
      <c r="Q23" s="90">
        <v>0.4375</v>
      </c>
      <c r="R23" s="93">
        <f t="shared" si="4"/>
        <v>438</v>
      </c>
      <c r="S23" s="89">
        <v>219</v>
      </c>
      <c r="T23" s="89">
        <v>219</v>
      </c>
      <c r="U23" s="91">
        <f t="shared" si="5"/>
        <v>45756</v>
      </c>
      <c r="V23" s="92">
        <v>29</v>
      </c>
      <c r="W23" s="90">
        <v>0.6875</v>
      </c>
      <c r="X23" s="89">
        <v>539</v>
      </c>
    </row>
    <row r="24" spans="2:24" ht="15.75" thickBot="1" x14ac:dyDescent="0.3">
      <c r="B24" s="91">
        <f t="shared" si="6"/>
        <v>45757</v>
      </c>
      <c r="D24" s="92">
        <v>123</v>
      </c>
      <c r="E24" s="90">
        <v>0.54166666666666663</v>
      </c>
      <c r="F24" s="89">
        <v>1203</v>
      </c>
      <c r="G24" s="94">
        <f t="shared" si="1"/>
        <v>709</v>
      </c>
      <c r="H24" s="89">
        <v>494</v>
      </c>
      <c r="I24" s="91">
        <f t="shared" si="2"/>
        <v>45757</v>
      </c>
      <c r="J24" s="92">
        <v>27</v>
      </c>
      <c r="K24" s="90">
        <v>0.28125</v>
      </c>
      <c r="L24" s="89">
        <v>550</v>
      </c>
      <c r="M24" s="91">
        <f t="shared" si="3"/>
        <v>45757</v>
      </c>
      <c r="N24" s="92">
        <v>18</v>
      </c>
      <c r="O24" s="90">
        <v>0.82291666666666663</v>
      </c>
      <c r="P24" s="92">
        <v>13</v>
      </c>
      <c r="Q24" s="90">
        <v>0.77083333333333337</v>
      </c>
      <c r="R24" s="93">
        <f t="shared" si="4"/>
        <v>437</v>
      </c>
      <c r="S24" s="89">
        <v>219</v>
      </c>
      <c r="T24" s="89">
        <v>218</v>
      </c>
      <c r="U24" s="91">
        <f t="shared" si="5"/>
        <v>45757</v>
      </c>
      <c r="V24" s="92">
        <v>28</v>
      </c>
      <c r="W24" s="90">
        <v>0.71875</v>
      </c>
      <c r="X24" s="89">
        <v>487</v>
      </c>
    </row>
    <row r="25" spans="2:24" ht="15.75" thickBot="1" x14ac:dyDescent="0.3">
      <c r="B25" s="91">
        <f t="shared" si="6"/>
        <v>45758</v>
      </c>
      <c r="D25" s="92">
        <v>95</v>
      </c>
      <c r="E25" s="90">
        <v>0.5625</v>
      </c>
      <c r="F25" s="89">
        <v>1172</v>
      </c>
      <c r="G25" s="94">
        <f t="shared" si="1"/>
        <v>680</v>
      </c>
      <c r="H25" s="89">
        <v>492</v>
      </c>
      <c r="I25" s="91">
        <f t="shared" si="2"/>
        <v>45758</v>
      </c>
      <c r="J25" s="92">
        <v>27</v>
      </c>
      <c r="K25" s="90">
        <v>0.95833333333333337</v>
      </c>
      <c r="L25" s="89">
        <v>545</v>
      </c>
      <c r="M25" s="91">
        <f t="shared" si="3"/>
        <v>45758</v>
      </c>
      <c r="N25" s="92">
        <v>18</v>
      </c>
      <c r="O25" s="90">
        <v>0.69791666666666663</v>
      </c>
      <c r="P25" s="92">
        <v>13</v>
      </c>
      <c r="Q25" s="90">
        <v>0.28125</v>
      </c>
      <c r="R25" s="93">
        <f t="shared" si="4"/>
        <v>438</v>
      </c>
      <c r="S25" s="89">
        <v>219</v>
      </c>
      <c r="T25" s="89">
        <v>219</v>
      </c>
      <c r="U25" s="91">
        <f t="shared" si="5"/>
        <v>45758</v>
      </c>
      <c r="V25" s="92">
        <v>28</v>
      </c>
      <c r="W25" s="90">
        <v>0.79166666666666663</v>
      </c>
      <c r="X25" s="89">
        <v>490</v>
      </c>
    </row>
    <row r="26" spans="2:24" ht="15.75" thickBot="1" x14ac:dyDescent="0.3">
      <c r="B26" s="91">
        <f t="shared" si="6"/>
        <v>45759</v>
      </c>
      <c r="D26" s="92">
        <v>86</v>
      </c>
      <c r="E26" s="90">
        <v>0.88541666666666663</v>
      </c>
      <c r="F26" s="89">
        <v>908</v>
      </c>
      <c r="G26" s="94">
        <f t="shared" ref="G26:G44" si="8">F26-H26</f>
        <v>420</v>
      </c>
      <c r="H26" s="89">
        <v>488</v>
      </c>
      <c r="I26" s="91">
        <f t="shared" si="2"/>
        <v>45759</v>
      </c>
      <c r="J26" s="92">
        <v>26</v>
      </c>
      <c r="K26" s="90">
        <v>0.83333333333333337</v>
      </c>
      <c r="L26" s="89">
        <v>525</v>
      </c>
      <c r="M26" s="91">
        <f t="shared" si="3"/>
        <v>45759</v>
      </c>
      <c r="N26" s="92">
        <v>15</v>
      </c>
      <c r="O26" s="90">
        <v>0.6875</v>
      </c>
      <c r="P26" s="92">
        <v>11</v>
      </c>
      <c r="Q26" s="90">
        <v>0.35416666666666669</v>
      </c>
      <c r="R26" s="93">
        <f t="shared" ref="R26:R44" si="9">S26+T26</f>
        <v>404</v>
      </c>
      <c r="S26" s="89">
        <v>212</v>
      </c>
      <c r="T26" s="89">
        <v>192</v>
      </c>
      <c r="U26" s="91">
        <f t="shared" si="5"/>
        <v>45759</v>
      </c>
      <c r="V26" s="92">
        <v>26</v>
      </c>
      <c r="W26" s="90">
        <v>0.20833333333333334</v>
      </c>
      <c r="X26" s="89">
        <v>474</v>
      </c>
    </row>
    <row r="27" spans="2:24" ht="15.75" thickBot="1" x14ac:dyDescent="0.3">
      <c r="B27" s="91">
        <f t="shared" si="6"/>
        <v>45760</v>
      </c>
      <c r="D27" s="92">
        <v>63</v>
      </c>
      <c r="E27" s="90">
        <v>0.80208333333333337</v>
      </c>
      <c r="F27" s="89">
        <v>786</v>
      </c>
      <c r="G27" s="94">
        <f t="shared" si="8"/>
        <v>339</v>
      </c>
      <c r="H27" s="89">
        <v>447</v>
      </c>
      <c r="I27" s="91">
        <f t="shared" si="2"/>
        <v>45760</v>
      </c>
      <c r="J27" s="92">
        <v>26</v>
      </c>
      <c r="K27" s="90">
        <v>0.86458333333333337</v>
      </c>
      <c r="L27" s="89">
        <v>520</v>
      </c>
      <c r="M27" s="91">
        <f t="shared" si="3"/>
        <v>45760</v>
      </c>
      <c r="N27" s="92">
        <v>17</v>
      </c>
      <c r="O27" s="90">
        <v>0.42708333333333331</v>
      </c>
      <c r="P27" s="92">
        <v>8</v>
      </c>
      <c r="Q27" s="90">
        <v>0.82291666666666663</v>
      </c>
      <c r="R27" s="93">
        <f t="shared" si="9"/>
        <v>372</v>
      </c>
      <c r="S27" s="89">
        <v>209</v>
      </c>
      <c r="T27" s="89">
        <v>163</v>
      </c>
      <c r="U27" s="91">
        <f t="shared" si="5"/>
        <v>45760</v>
      </c>
      <c r="V27" s="92">
        <v>179</v>
      </c>
      <c r="W27" s="90">
        <v>0.79166666666666663</v>
      </c>
      <c r="X27" s="89">
        <v>462</v>
      </c>
    </row>
    <row r="28" spans="2:24" ht="15.75" thickBot="1" x14ac:dyDescent="0.3">
      <c r="B28" s="91">
        <f t="shared" si="6"/>
        <v>45761</v>
      </c>
      <c r="D28" s="92">
        <v>88</v>
      </c>
      <c r="E28" s="90">
        <v>0.20833333333333334</v>
      </c>
      <c r="F28" s="89">
        <v>1234</v>
      </c>
      <c r="G28" s="94">
        <f t="shared" si="8"/>
        <v>754</v>
      </c>
      <c r="H28" s="89">
        <v>480</v>
      </c>
      <c r="I28" s="91">
        <f t="shared" si="2"/>
        <v>45761</v>
      </c>
      <c r="J28" s="92">
        <v>27</v>
      </c>
      <c r="K28" s="90">
        <v>0.10416666666666667</v>
      </c>
      <c r="L28" s="89">
        <v>559</v>
      </c>
      <c r="M28" s="91">
        <f t="shared" si="3"/>
        <v>45761</v>
      </c>
      <c r="N28" s="92">
        <v>15</v>
      </c>
      <c r="O28" s="90">
        <v>0.78125</v>
      </c>
      <c r="P28" s="92">
        <v>13</v>
      </c>
      <c r="Q28" s="90">
        <v>0.4375</v>
      </c>
      <c r="R28" s="93">
        <f t="shared" si="9"/>
        <v>432</v>
      </c>
      <c r="S28" s="89">
        <v>216</v>
      </c>
      <c r="T28" s="89">
        <v>216</v>
      </c>
      <c r="U28" s="91">
        <f t="shared" si="5"/>
        <v>45761</v>
      </c>
      <c r="V28" s="92">
        <v>28</v>
      </c>
      <c r="W28" s="90">
        <v>0.14583333333333334</v>
      </c>
      <c r="X28" s="89">
        <v>501</v>
      </c>
    </row>
    <row r="29" spans="2:24" ht="15.75" thickBot="1" x14ac:dyDescent="0.3">
      <c r="B29" s="91">
        <f t="shared" si="6"/>
        <v>45762</v>
      </c>
      <c r="D29" s="92">
        <v>87</v>
      </c>
      <c r="E29" s="90">
        <v>0.42708333333333331</v>
      </c>
      <c r="F29" s="89">
        <v>1297</v>
      </c>
      <c r="G29" s="94">
        <f t="shared" si="8"/>
        <v>784</v>
      </c>
      <c r="H29" s="89">
        <v>513</v>
      </c>
      <c r="I29" s="91">
        <f t="shared" si="2"/>
        <v>45762</v>
      </c>
      <c r="J29" s="92">
        <v>32</v>
      </c>
      <c r="K29" s="90">
        <v>0.63541666666666663</v>
      </c>
      <c r="L29" s="89">
        <v>561</v>
      </c>
      <c r="M29" s="91">
        <f t="shared" si="3"/>
        <v>45762</v>
      </c>
      <c r="N29" s="92">
        <v>15</v>
      </c>
      <c r="O29" s="90">
        <v>0.83333333333333337</v>
      </c>
      <c r="P29" s="92">
        <v>13</v>
      </c>
      <c r="Q29" s="90">
        <v>0.85416666666666663</v>
      </c>
      <c r="R29" s="93">
        <f t="shared" si="9"/>
        <v>438</v>
      </c>
      <c r="S29" s="89">
        <v>219</v>
      </c>
      <c r="T29" s="89">
        <v>219</v>
      </c>
      <c r="U29" s="91">
        <f t="shared" si="5"/>
        <v>45762</v>
      </c>
      <c r="V29" s="92">
        <v>29</v>
      </c>
      <c r="W29" s="90">
        <v>0</v>
      </c>
      <c r="X29" s="89">
        <v>479</v>
      </c>
    </row>
    <row r="30" spans="2:24" ht="15.75" thickBot="1" x14ac:dyDescent="0.3">
      <c r="B30" s="91">
        <f t="shared" si="6"/>
        <v>45763</v>
      </c>
      <c r="D30" s="92">
        <v>107</v>
      </c>
      <c r="E30" s="90">
        <v>0.5625</v>
      </c>
      <c r="F30" s="89">
        <v>1288</v>
      </c>
      <c r="G30" s="94">
        <f t="shared" si="8"/>
        <v>765</v>
      </c>
      <c r="H30" s="89">
        <v>523</v>
      </c>
      <c r="I30" s="91">
        <f t="shared" si="2"/>
        <v>45763</v>
      </c>
      <c r="J30" s="92">
        <v>29</v>
      </c>
      <c r="K30" s="90">
        <v>0.64583333333333337</v>
      </c>
      <c r="L30" s="89">
        <v>576</v>
      </c>
      <c r="M30" s="91">
        <f t="shared" si="3"/>
        <v>45763</v>
      </c>
      <c r="N30" s="92">
        <v>25</v>
      </c>
      <c r="O30" s="90">
        <v>0.51041666666666663</v>
      </c>
      <c r="P30" s="92">
        <v>13</v>
      </c>
      <c r="Q30" s="90">
        <v>18</v>
      </c>
      <c r="R30" s="93">
        <f t="shared" si="9"/>
        <v>442</v>
      </c>
      <c r="S30" s="89">
        <v>218</v>
      </c>
      <c r="T30" s="89">
        <v>224</v>
      </c>
      <c r="U30" s="91">
        <f t="shared" si="5"/>
        <v>45763</v>
      </c>
      <c r="V30" s="92">
        <v>28</v>
      </c>
      <c r="W30" s="90">
        <v>9.375E-2</v>
      </c>
      <c r="X30" s="89">
        <v>499</v>
      </c>
    </row>
    <row r="31" spans="2:24" ht="15.75" thickBot="1" x14ac:dyDescent="0.3">
      <c r="B31" s="91">
        <f t="shared" si="6"/>
        <v>45764</v>
      </c>
      <c r="D31" s="92">
        <v>102</v>
      </c>
      <c r="E31" s="90">
        <v>0.61458333333333337</v>
      </c>
      <c r="F31" s="89">
        <v>1213</v>
      </c>
      <c r="G31" s="94">
        <f t="shared" si="8"/>
        <v>688</v>
      </c>
      <c r="H31" s="89">
        <v>525</v>
      </c>
      <c r="I31" s="91">
        <f t="shared" si="2"/>
        <v>45764</v>
      </c>
      <c r="J31" s="92">
        <v>31</v>
      </c>
      <c r="K31" s="90">
        <v>0.16666666666666666</v>
      </c>
      <c r="L31" s="89">
        <v>569</v>
      </c>
      <c r="M31" s="91">
        <f t="shared" si="3"/>
        <v>45764</v>
      </c>
      <c r="N31" s="92">
        <v>15</v>
      </c>
      <c r="O31" s="90">
        <v>0.73958333333333337</v>
      </c>
      <c r="P31" s="92">
        <v>13</v>
      </c>
      <c r="Q31" s="90">
        <v>0.6875</v>
      </c>
      <c r="R31" s="93">
        <f t="shared" si="9"/>
        <v>443</v>
      </c>
      <c r="S31" s="89">
        <v>219</v>
      </c>
      <c r="T31" s="89">
        <v>224</v>
      </c>
      <c r="U31" s="91">
        <f t="shared" si="5"/>
        <v>45764</v>
      </c>
      <c r="V31" s="92">
        <v>23</v>
      </c>
      <c r="W31" s="90">
        <v>0.25</v>
      </c>
      <c r="X31" s="89">
        <v>501</v>
      </c>
    </row>
    <row r="32" spans="2:24" ht="15.75" thickBot="1" x14ac:dyDescent="0.3">
      <c r="B32" s="91">
        <f t="shared" si="6"/>
        <v>45765</v>
      </c>
      <c r="D32" s="92">
        <v>85</v>
      </c>
      <c r="E32" s="90">
        <v>0.80208333333333337</v>
      </c>
      <c r="F32" s="89">
        <v>804</v>
      </c>
      <c r="G32" s="94">
        <f t="shared" si="8"/>
        <v>321</v>
      </c>
      <c r="H32" s="89">
        <v>483</v>
      </c>
      <c r="I32" s="91">
        <f t="shared" si="2"/>
        <v>45765</v>
      </c>
      <c r="J32" s="92">
        <v>29</v>
      </c>
      <c r="K32" s="90">
        <v>3.888888888888889E-2</v>
      </c>
      <c r="L32" s="89">
        <v>540</v>
      </c>
      <c r="M32" s="91">
        <f t="shared" si="3"/>
        <v>45765</v>
      </c>
      <c r="N32" s="92">
        <v>18</v>
      </c>
      <c r="O32" s="90">
        <v>0.54374999999999996</v>
      </c>
      <c r="P32" s="92">
        <v>14</v>
      </c>
      <c r="Q32" s="90">
        <v>0.36666666666666664</v>
      </c>
      <c r="R32" s="93">
        <f t="shared" si="9"/>
        <v>408</v>
      </c>
      <c r="S32" s="89">
        <v>209</v>
      </c>
      <c r="T32" s="89">
        <v>199</v>
      </c>
      <c r="U32" s="91">
        <f t="shared" si="5"/>
        <v>45765</v>
      </c>
      <c r="V32" s="92">
        <v>28</v>
      </c>
      <c r="W32" s="90">
        <v>0.75208333333333333</v>
      </c>
      <c r="X32" s="89">
        <v>477</v>
      </c>
    </row>
    <row r="33" spans="2:24" ht="15.75" thickBot="1" x14ac:dyDescent="0.3">
      <c r="B33" s="91">
        <f t="shared" si="6"/>
        <v>45766</v>
      </c>
      <c r="D33" s="92">
        <v>86</v>
      </c>
      <c r="E33" s="90">
        <v>0.82291666666666663</v>
      </c>
      <c r="F33" s="89">
        <v>861</v>
      </c>
      <c r="G33" s="94">
        <f t="shared" si="8"/>
        <v>383</v>
      </c>
      <c r="H33" s="89">
        <v>478</v>
      </c>
      <c r="I33" s="91">
        <f t="shared" si="2"/>
        <v>45766</v>
      </c>
      <c r="J33" s="92">
        <v>28</v>
      </c>
      <c r="K33" s="90">
        <v>0.98472222222222228</v>
      </c>
      <c r="L33" s="89">
        <v>531</v>
      </c>
      <c r="M33" s="91">
        <f t="shared" si="3"/>
        <v>45766</v>
      </c>
      <c r="N33" s="92">
        <v>18</v>
      </c>
      <c r="O33" s="90">
        <v>0.46736111111111112</v>
      </c>
      <c r="P33" s="92">
        <v>12</v>
      </c>
      <c r="Q33" s="90">
        <v>0.52638888888888891</v>
      </c>
      <c r="R33" s="93">
        <f t="shared" si="9"/>
        <v>399</v>
      </c>
      <c r="S33" s="89">
        <v>209</v>
      </c>
      <c r="T33" s="89">
        <v>190</v>
      </c>
      <c r="U33" s="91">
        <f t="shared" si="5"/>
        <v>45766</v>
      </c>
      <c r="V33" s="92">
        <v>28</v>
      </c>
      <c r="W33" s="90">
        <v>0.20416666666666666</v>
      </c>
      <c r="X33" s="89">
        <v>466</v>
      </c>
    </row>
    <row r="34" spans="2:24" ht="15.75" thickBot="1" x14ac:dyDescent="0.3">
      <c r="B34" s="91">
        <f t="shared" si="6"/>
        <v>45767</v>
      </c>
      <c r="D34" s="92">
        <v>68</v>
      </c>
      <c r="E34" s="90">
        <v>0.38541666666666669</v>
      </c>
      <c r="F34" s="89">
        <v>882</v>
      </c>
      <c r="G34" s="94">
        <f t="shared" si="8"/>
        <v>404</v>
      </c>
      <c r="H34" s="89">
        <v>478</v>
      </c>
      <c r="I34" s="91">
        <f t="shared" si="2"/>
        <v>45767</v>
      </c>
      <c r="J34" s="92">
        <v>30</v>
      </c>
      <c r="K34" s="90">
        <v>0.15625</v>
      </c>
      <c r="L34" s="89">
        <v>540</v>
      </c>
      <c r="M34" s="91">
        <f t="shared" si="3"/>
        <v>45767</v>
      </c>
      <c r="N34" s="92">
        <v>20</v>
      </c>
      <c r="O34" s="90">
        <v>0.625</v>
      </c>
      <c r="P34" s="92">
        <v>9</v>
      </c>
      <c r="Q34" s="90">
        <v>0.77083333333333337</v>
      </c>
      <c r="R34" s="93">
        <f t="shared" si="9"/>
        <v>384</v>
      </c>
      <c r="S34" s="89">
        <v>210</v>
      </c>
      <c r="T34" s="89">
        <v>174</v>
      </c>
      <c r="U34" s="91">
        <f t="shared" si="5"/>
        <v>45767</v>
      </c>
      <c r="V34" s="92">
        <v>26</v>
      </c>
      <c r="W34" s="90">
        <v>0.89652777777777781</v>
      </c>
      <c r="X34" s="89">
        <v>507</v>
      </c>
    </row>
    <row r="35" spans="2:24" ht="15.75" thickBot="1" x14ac:dyDescent="0.3">
      <c r="B35" s="91">
        <f t="shared" si="6"/>
        <v>45768</v>
      </c>
      <c r="D35" s="92">
        <v>111</v>
      </c>
      <c r="E35" s="90">
        <v>5.2083333333333336E-2</v>
      </c>
      <c r="F35" s="89">
        <v>1424</v>
      </c>
      <c r="G35" s="94">
        <f t="shared" si="8"/>
        <v>916</v>
      </c>
      <c r="H35" s="89">
        <v>508</v>
      </c>
      <c r="I35" s="91">
        <f t="shared" si="2"/>
        <v>45768</v>
      </c>
      <c r="J35" s="92">
        <v>29</v>
      </c>
      <c r="K35" s="90">
        <v>6.25E-2</v>
      </c>
      <c r="L35" s="89">
        <v>573</v>
      </c>
      <c r="M35" s="91">
        <f t="shared" si="3"/>
        <v>45768</v>
      </c>
      <c r="N35" s="92">
        <v>14.5</v>
      </c>
      <c r="O35" s="90">
        <v>0.90625</v>
      </c>
      <c r="P35" s="92">
        <v>12.7</v>
      </c>
      <c r="Q35" s="90">
        <v>0.79166666666666663</v>
      </c>
      <c r="R35" s="93">
        <f t="shared" si="9"/>
        <v>429</v>
      </c>
      <c r="S35" s="89">
        <v>218</v>
      </c>
      <c r="T35" s="89">
        <v>211</v>
      </c>
      <c r="U35" s="91">
        <f t="shared" si="5"/>
        <v>45768</v>
      </c>
      <c r="V35" s="92">
        <v>28</v>
      </c>
      <c r="W35" s="90">
        <v>0.75</v>
      </c>
      <c r="X35" s="89">
        <v>535</v>
      </c>
    </row>
    <row r="36" spans="2:24" ht="15.75" thickBot="1" x14ac:dyDescent="0.3">
      <c r="B36" s="91">
        <f t="shared" si="6"/>
        <v>45769</v>
      </c>
      <c r="D36" s="92">
        <v>110</v>
      </c>
      <c r="E36" s="90">
        <v>0.16666666666666666</v>
      </c>
      <c r="F36" s="89">
        <v>1484</v>
      </c>
      <c r="G36" s="94">
        <f t="shared" si="8"/>
        <v>984</v>
      </c>
      <c r="H36" s="89">
        <v>500</v>
      </c>
      <c r="I36" s="91">
        <f t="shared" si="2"/>
        <v>45769</v>
      </c>
      <c r="J36" s="92">
        <v>30</v>
      </c>
      <c r="K36" s="90">
        <v>0.29166666666666669</v>
      </c>
      <c r="L36" s="89">
        <v>579</v>
      </c>
      <c r="M36" s="91">
        <f t="shared" si="3"/>
        <v>45769</v>
      </c>
      <c r="N36" s="92">
        <v>15</v>
      </c>
      <c r="O36" s="90">
        <v>0.77083333333333337</v>
      </c>
      <c r="P36" s="92">
        <v>13</v>
      </c>
      <c r="Q36" s="90">
        <v>0.8125</v>
      </c>
      <c r="R36" s="93">
        <f t="shared" si="9"/>
        <v>432</v>
      </c>
      <c r="S36" s="89">
        <v>217</v>
      </c>
      <c r="T36" s="89">
        <v>215</v>
      </c>
      <c r="U36" s="91">
        <f t="shared" si="5"/>
        <v>45769</v>
      </c>
      <c r="V36" s="92">
        <v>28</v>
      </c>
      <c r="W36" s="90">
        <v>0.11458333333333333</v>
      </c>
      <c r="X36" s="89">
        <v>492</v>
      </c>
    </row>
    <row r="37" spans="2:24" ht="15.75" thickBot="1" x14ac:dyDescent="0.3">
      <c r="B37" s="91">
        <f t="shared" si="6"/>
        <v>45770</v>
      </c>
      <c r="D37" s="92">
        <v>123</v>
      </c>
      <c r="E37" s="90">
        <v>0.43958333333333333</v>
      </c>
      <c r="F37" s="89">
        <v>1371</v>
      </c>
      <c r="G37" s="94">
        <f t="shared" si="8"/>
        <v>873</v>
      </c>
      <c r="H37" s="89">
        <v>498</v>
      </c>
      <c r="I37" s="91">
        <f t="shared" si="2"/>
        <v>45770</v>
      </c>
      <c r="J37" s="92">
        <v>29</v>
      </c>
      <c r="K37" s="90">
        <v>0.29583333333333334</v>
      </c>
      <c r="L37" s="89">
        <v>566</v>
      </c>
      <c r="M37" s="91">
        <f t="shared" si="3"/>
        <v>45770</v>
      </c>
      <c r="N37" s="92">
        <v>22</v>
      </c>
      <c r="O37" s="90">
        <v>0.42708333333333331</v>
      </c>
      <c r="P37" s="92">
        <v>14</v>
      </c>
      <c r="Q37" s="90">
        <v>0.3347222222222222</v>
      </c>
      <c r="R37" s="93">
        <f t="shared" si="9"/>
        <v>434</v>
      </c>
      <c r="S37" s="89">
        <v>216</v>
      </c>
      <c r="T37" s="89">
        <v>218</v>
      </c>
      <c r="U37" s="91">
        <f t="shared" si="5"/>
        <v>45770</v>
      </c>
      <c r="V37" s="92">
        <v>31</v>
      </c>
      <c r="W37" s="90">
        <v>0.53888888888888886</v>
      </c>
      <c r="X37" s="89">
        <v>557</v>
      </c>
    </row>
    <row r="38" spans="2:24" ht="15.75" thickBot="1" x14ac:dyDescent="0.3">
      <c r="B38" s="91">
        <f t="shared" si="6"/>
        <v>45771</v>
      </c>
      <c r="D38" s="92">
        <v>117</v>
      </c>
      <c r="E38" s="90">
        <v>0.54722222222222228</v>
      </c>
      <c r="F38" s="89">
        <v>1385</v>
      </c>
      <c r="G38" s="94">
        <f t="shared" si="8"/>
        <v>877</v>
      </c>
      <c r="H38" s="89">
        <v>508</v>
      </c>
      <c r="I38" s="91">
        <f t="shared" si="2"/>
        <v>45771</v>
      </c>
      <c r="J38" s="92">
        <v>32</v>
      </c>
      <c r="K38" s="90">
        <v>0.2722222222222222</v>
      </c>
      <c r="L38" s="89">
        <v>569</v>
      </c>
      <c r="M38" s="91">
        <f t="shared" si="3"/>
        <v>45771</v>
      </c>
      <c r="N38" s="92">
        <v>20</v>
      </c>
      <c r="O38" s="90">
        <v>0.65277777777777779</v>
      </c>
      <c r="P38" s="92">
        <v>14</v>
      </c>
      <c r="Q38" s="90">
        <v>0.63124999999999998</v>
      </c>
      <c r="R38" s="93">
        <f t="shared" si="9"/>
        <v>437</v>
      </c>
      <c r="S38" s="89">
        <v>218</v>
      </c>
      <c r="T38" s="89">
        <v>219</v>
      </c>
      <c r="U38" s="91">
        <f t="shared" si="5"/>
        <v>45771</v>
      </c>
      <c r="V38" s="92">
        <v>32</v>
      </c>
      <c r="W38" s="90">
        <v>0.25</v>
      </c>
      <c r="X38" s="89">
        <v>526</v>
      </c>
    </row>
    <row r="39" spans="2:24" ht="15.75" thickBot="1" x14ac:dyDescent="0.3">
      <c r="B39" s="91">
        <f t="shared" si="6"/>
        <v>45772</v>
      </c>
      <c r="D39" s="92">
        <v>110</v>
      </c>
      <c r="E39" s="90">
        <v>0.48958333333333331</v>
      </c>
      <c r="F39" s="89">
        <v>1362</v>
      </c>
      <c r="G39" s="94">
        <f t="shared" si="8"/>
        <v>845</v>
      </c>
      <c r="H39" s="89">
        <v>517</v>
      </c>
      <c r="I39" s="91">
        <f t="shared" si="2"/>
        <v>45772</v>
      </c>
      <c r="J39" s="92">
        <v>28</v>
      </c>
      <c r="K39" s="90">
        <v>0.84375</v>
      </c>
      <c r="L39" s="89">
        <v>562</v>
      </c>
      <c r="M39" s="91">
        <f t="shared" si="3"/>
        <v>45772</v>
      </c>
      <c r="N39" s="92">
        <v>19</v>
      </c>
      <c r="O39" s="90">
        <v>0.32291666666666669</v>
      </c>
      <c r="P39" s="92">
        <v>12</v>
      </c>
      <c r="Q39" s="90">
        <v>0.27083333333333331</v>
      </c>
      <c r="R39" s="93">
        <f t="shared" si="9"/>
        <v>444</v>
      </c>
      <c r="S39" s="89">
        <v>223</v>
      </c>
      <c r="T39" s="89">
        <v>221</v>
      </c>
      <c r="U39" s="91">
        <f t="shared" si="5"/>
        <v>45772</v>
      </c>
      <c r="V39" s="92">
        <v>27</v>
      </c>
      <c r="W39" s="90">
        <v>0.6875</v>
      </c>
      <c r="X39" s="89">
        <v>557</v>
      </c>
    </row>
    <row r="40" spans="2:24" ht="15.75" thickBot="1" x14ac:dyDescent="0.3">
      <c r="B40" s="91">
        <f t="shared" si="6"/>
        <v>45773</v>
      </c>
      <c r="D40" s="195">
        <v>93</v>
      </c>
      <c r="E40" s="196">
        <v>0.14583333333333334</v>
      </c>
      <c r="F40" s="197">
        <v>908</v>
      </c>
      <c r="G40" s="198">
        <f t="shared" si="8"/>
        <v>433</v>
      </c>
      <c r="H40" s="197">
        <v>475</v>
      </c>
      <c r="I40" s="199">
        <f t="shared" si="2"/>
        <v>45773</v>
      </c>
      <c r="J40" s="195">
        <v>28</v>
      </c>
      <c r="K40" s="196">
        <v>0.80208333333333337</v>
      </c>
      <c r="L40" s="197">
        <v>563</v>
      </c>
      <c r="M40" s="199">
        <f t="shared" si="3"/>
        <v>45773</v>
      </c>
      <c r="N40" s="195">
        <v>15</v>
      </c>
      <c r="O40" s="196">
        <v>0.59375</v>
      </c>
      <c r="P40" s="195">
        <v>12</v>
      </c>
      <c r="Q40" s="196">
        <v>0.44791666666666669</v>
      </c>
      <c r="R40" s="93">
        <f t="shared" si="9"/>
        <v>402</v>
      </c>
      <c r="S40" s="197">
        <v>212</v>
      </c>
      <c r="T40" s="197">
        <v>190</v>
      </c>
      <c r="U40" s="199">
        <f t="shared" si="5"/>
        <v>45773</v>
      </c>
      <c r="V40" s="195">
        <v>27</v>
      </c>
      <c r="W40" s="196">
        <v>3.125E-2</v>
      </c>
      <c r="X40" s="197">
        <v>477</v>
      </c>
    </row>
    <row r="41" spans="2:24" ht="15.75" thickBot="1" x14ac:dyDescent="0.3">
      <c r="B41" s="91">
        <f t="shared" si="6"/>
        <v>45774</v>
      </c>
      <c r="D41" s="92">
        <v>68</v>
      </c>
      <c r="E41" s="90">
        <v>3.125E-2</v>
      </c>
      <c r="F41" s="89">
        <v>948</v>
      </c>
      <c r="G41" s="94">
        <f t="shared" si="8"/>
        <v>446</v>
      </c>
      <c r="H41" s="89">
        <v>502</v>
      </c>
      <c r="I41" s="91">
        <f t="shared" si="2"/>
        <v>45774</v>
      </c>
      <c r="J41" s="92">
        <v>29</v>
      </c>
      <c r="K41" s="90">
        <v>0.6875</v>
      </c>
      <c r="L41" s="89">
        <v>557</v>
      </c>
      <c r="M41" s="91">
        <v>45650</v>
      </c>
      <c r="N41" s="92">
        <v>16</v>
      </c>
      <c r="O41" s="90">
        <v>0.45833333333333331</v>
      </c>
      <c r="P41" s="92">
        <v>8</v>
      </c>
      <c r="Q41" s="90">
        <v>0.80208333333333337</v>
      </c>
      <c r="R41" s="93">
        <f t="shared" si="9"/>
        <v>378</v>
      </c>
      <c r="S41" s="89">
        <v>213</v>
      </c>
      <c r="T41" s="89">
        <v>165</v>
      </c>
      <c r="U41" s="91">
        <f t="shared" si="5"/>
        <v>45774</v>
      </c>
      <c r="V41" s="92">
        <v>26</v>
      </c>
      <c r="W41" s="90">
        <v>0.125</v>
      </c>
      <c r="X41" s="89">
        <v>461</v>
      </c>
    </row>
    <row r="42" spans="2:24" ht="15.75" thickBot="1" x14ac:dyDescent="0.3">
      <c r="B42" s="91">
        <f t="shared" si="6"/>
        <v>45775</v>
      </c>
      <c r="D42" s="92">
        <v>100</v>
      </c>
      <c r="E42" s="90">
        <v>0.55208333333333337</v>
      </c>
      <c r="F42" s="89">
        <v>1395</v>
      </c>
      <c r="G42" s="94">
        <f t="shared" si="8"/>
        <v>895</v>
      </c>
      <c r="H42" s="89">
        <v>500</v>
      </c>
      <c r="I42" s="91">
        <f t="shared" si="2"/>
        <v>45775</v>
      </c>
      <c r="J42" s="92">
        <v>30</v>
      </c>
      <c r="K42" s="90">
        <v>0.73958333333333337</v>
      </c>
      <c r="L42" s="89">
        <v>579</v>
      </c>
      <c r="M42" s="91">
        <v>45651</v>
      </c>
      <c r="N42" s="92">
        <v>16</v>
      </c>
      <c r="O42" s="90">
        <v>0.61458333333333337</v>
      </c>
      <c r="P42" s="92">
        <v>14</v>
      </c>
      <c r="Q42" s="90">
        <v>0.75</v>
      </c>
      <c r="R42" s="93">
        <f t="shared" si="9"/>
        <v>433</v>
      </c>
      <c r="S42" s="89">
        <v>220</v>
      </c>
      <c r="T42" s="89">
        <v>213</v>
      </c>
      <c r="U42" s="91">
        <f t="shared" si="5"/>
        <v>45775</v>
      </c>
      <c r="V42" s="92">
        <v>27</v>
      </c>
      <c r="W42" s="90">
        <v>0.26041666666666669</v>
      </c>
      <c r="X42" s="89">
        <v>474</v>
      </c>
    </row>
    <row r="43" spans="2:24" ht="15.75" thickBot="1" x14ac:dyDescent="0.3">
      <c r="B43" s="91">
        <f t="shared" si="6"/>
        <v>45776</v>
      </c>
      <c r="D43" s="92">
        <v>102</v>
      </c>
      <c r="E43" s="90">
        <v>0.30208333333333331</v>
      </c>
      <c r="F43" s="89">
        <v>1438</v>
      </c>
      <c r="G43" s="94">
        <f t="shared" si="8"/>
        <v>947</v>
      </c>
      <c r="H43" s="89">
        <v>491</v>
      </c>
      <c r="I43" s="91">
        <f t="shared" si="2"/>
        <v>45776</v>
      </c>
      <c r="J43" s="92">
        <v>33</v>
      </c>
      <c r="K43" s="90">
        <v>0.17708333333333334</v>
      </c>
      <c r="L43" s="89">
        <v>577</v>
      </c>
      <c r="M43" s="91">
        <v>45652</v>
      </c>
      <c r="N43" s="92">
        <v>23</v>
      </c>
      <c r="O43" s="90">
        <v>0.44791666666666669</v>
      </c>
      <c r="P43" s="92">
        <v>26</v>
      </c>
      <c r="Q43" s="90">
        <v>0.33333333333333331</v>
      </c>
      <c r="R43" s="93">
        <f t="shared" si="9"/>
        <v>461</v>
      </c>
      <c r="S43" s="89">
        <v>165</v>
      </c>
      <c r="T43" s="89">
        <v>296</v>
      </c>
      <c r="U43" s="91">
        <f t="shared" si="5"/>
        <v>45776</v>
      </c>
      <c r="V43" s="92">
        <v>27</v>
      </c>
      <c r="W43" s="90">
        <v>0.61458333333333337</v>
      </c>
      <c r="X43" s="89">
        <v>536</v>
      </c>
    </row>
    <row r="44" spans="2:24" ht="15.75" thickBot="1" x14ac:dyDescent="0.3">
      <c r="B44" s="91">
        <f t="shared" si="6"/>
        <v>45777</v>
      </c>
      <c r="D44" s="92">
        <v>104</v>
      </c>
      <c r="E44" s="90">
        <v>0.52083333333333337</v>
      </c>
      <c r="F44" s="89">
        <v>1371</v>
      </c>
      <c r="G44" s="94">
        <f t="shared" si="8"/>
        <v>882</v>
      </c>
      <c r="H44" s="89">
        <v>489</v>
      </c>
      <c r="I44" s="91">
        <f t="shared" si="2"/>
        <v>45777</v>
      </c>
      <c r="J44" s="92">
        <v>30</v>
      </c>
      <c r="K44" s="90">
        <v>0.46875</v>
      </c>
      <c r="L44" s="89">
        <v>573</v>
      </c>
      <c r="M44" s="91">
        <v>45653</v>
      </c>
      <c r="N44" s="92">
        <v>17</v>
      </c>
      <c r="O44" s="90">
        <v>0.53125</v>
      </c>
      <c r="P44" s="92">
        <v>13</v>
      </c>
      <c r="Q44" s="90">
        <v>0.75</v>
      </c>
      <c r="R44" s="93">
        <f t="shared" si="9"/>
        <v>431</v>
      </c>
      <c r="S44" s="89">
        <v>216</v>
      </c>
      <c r="T44" s="89">
        <v>215</v>
      </c>
      <c r="U44" s="91">
        <f t="shared" si="5"/>
        <v>45777</v>
      </c>
      <c r="V44" s="92">
        <v>29</v>
      </c>
      <c r="W44" s="90">
        <v>0.4375</v>
      </c>
      <c r="X44" s="89">
        <v>541</v>
      </c>
    </row>
    <row r="45" spans="2:24" x14ac:dyDescent="0.25">
      <c r="B45" s="91">
        <f t="shared" si="6"/>
        <v>45778</v>
      </c>
      <c r="D45" s="92"/>
      <c r="E45" s="90"/>
      <c r="F45" s="89"/>
      <c r="G45" s="94">
        <f t="shared" ref="G45" si="10">F45-H45</f>
        <v>0</v>
      </c>
      <c r="H45" s="89"/>
      <c r="I45" s="91">
        <f t="shared" si="2"/>
        <v>45778</v>
      </c>
      <c r="J45" s="92"/>
      <c r="K45" s="90"/>
      <c r="L45" s="89"/>
      <c r="M45" s="91">
        <v>45654</v>
      </c>
      <c r="N45" s="92"/>
      <c r="O45" s="90"/>
      <c r="P45" s="92"/>
      <c r="Q45" s="90"/>
      <c r="R45" s="93">
        <f t="shared" ref="R45" si="11">S45+T45</f>
        <v>0</v>
      </c>
      <c r="S45" s="89"/>
      <c r="T45" s="89"/>
      <c r="U45" s="91">
        <f t="shared" si="5"/>
        <v>45778</v>
      </c>
      <c r="V45" s="92"/>
      <c r="W45" s="90"/>
      <c r="X45" s="89"/>
    </row>
    <row r="46" spans="2:24" x14ac:dyDescent="0.25">
      <c r="F46" s="266">
        <f>SUM(F15:F44)</f>
        <v>35335.32</v>
      </c>
      <c r="G46" s="266">
        <f t="shared" ref="G46:H46" si="12">SUM(G15:G44)</f>
        <v>20403.25</v>
      </c>
      <c r="H46" s="266">
        <f t="shared" si="12"/>
        <v>14932.07</v>
      </c>
    </row>
    <row r="47" spans="2:24" x14ac:dyDescent="0.25">
      <c r="G47" s="267">
        <f>G46/F46</f>
        <v>0.57741800555364997</v>
      </c>
      <c r="H47" s="268">
        <f>H46/F46</f>
        <v>0.42258199444634997</v>
      </c>
    </row>
    <row r="49" spans="4:10" x14ac:dyDescent="0.25">
      <c r="E49" s="202" t="s">
        <v>62</v>
      </c>
      <c r="F49" s="202" t="s">
        <v>63</v>
      </c>
      <c r="G49" s="202" t="s">
        <v>64</v>
      </c>
      <c r="H49" s="202" t="s">
        <v>65</v>
      </c>
      <c r="I49" s="202" t="s">
        <v>66</v>
      </c>
      <c r="J49" s="202" t="s">
        <v>67</v>
      </c>
    </row>
    <row r="50" spans="4:10" x14ac:dyDescent="0.25">
      <c r="D50" s="205">
        <v>45658</v>
      </c>
      <c r="E50" s="203">
        <f>F14/J50</f>
        <v>0.43929436181252163</v>
      </c>
      <c r="F50" s="203">
        <f>L14/J50</f>
        <v>0.19854721549636803</v>
      </c>
      <c r="G50" s="203">
        <f>S14/J50</f>
        <v>1.5219647180906262E-2</v>
      </c>
      <c r="H50" s="203">
        <f>T14/J50</f>
        <v>0.16361120719474231</v>
      </c>
      <c r="I50" s="203">
        <f>X14/J50</f>
        <v>0.18332756831546176</v>
      </c>
      <c r="J50" s="204">
        <f>F14+L14+S14+T14+X14</f>
        <v>2891</v>
      </c>
    </row>
    <row r="51" spans="4:10" x14ac:dyDescent="0.25">
      <c r="D51" s="205">
        <v>45659</v>
      </c>
      <c r="E51" s="203">
        <f t="shared" ref="E51:E80" si="13">F15/J51</f>
        <v>0.46518668012108982</v>
      </c>
      <c r="F51" s="203">
        <f t="shared" ref="F51:F80" si="14">L15/J51</f>
        <v>0.1927346115035318</v>
      </c>
      <c r="G51" s="203">
        <f t="shared" ref="G51:G80" si="15">S15/J51</f>
        <v>1.4463504877228389E-2</v>
      </c>
      <c r="H51" s="203">
        <f t="shared" ref="H51:H80" si="16">T15/J51</f>
        <v>0.16078035654221326</v>
      </c>
      <c r="I51" s="203">
        <f t="shared" ref="I51:I80" si="17">X15/J51</f>
        <v>0.16683484695593676</v>
      </c>
      <c r="J51" s="204">
        <f t="shared" ref="J51:J80" si="18">F15+L15+S15+T15+X15</f>
        <v>2973</v>
      </c>
    </row>
    <row r="52" spans="4:10" x14ac:dyDescent="0.25">
      <c r="D52" s="205">
        <v>45660</v>
      </c>
      <c r="E52" s="203">
        <f t="shared" si="13"/>
        <v>0.47638190954773868</v>
      </c>
      <c r="F52" s="203">
        <f t="shared" si="14"/>
        <v>0.19095477386934673</v>
      </c>
      <c r="G52" s="203">
        <f t="shared" si="15"/>
        <v>1.373534338358459E-2</v>
      </c>
      <c r="H52" s="203">
        <f t="shared" si="16"/>
        <v>0.15678391959798996</v>
      </c>
      <c r="I52" s="203">
        <f t="shared" si="17"/>
        <v>0.16214405360134004</v>
      </c>
      <c r="J52" s="204">
        <f t="shared" si="18"/>
        <v>2985</v>
      </c>
    </row>
    <row r="53" spans="4:10" x14ac:dyDescent="0.25">
      <c r="D53" s="205">
        <v>45661</v>
      </c>
      <c r="E53" s="203">
        <f t="shared" si="13"/>
        <v>0.56898132405920865</v>
      </c>
      <c r="F53" s="203">
        <f t="shared" si="14"/>
        <v>0.24007127761684835</v>
      </c>
      <c r="G53" s="203">
        <f t="shared" si="15"/>
        <v>5.2063650567509286E-2</v>
      </c>
      <c r="H53" s="203">
        <f t="shared" si="16"/>
        <v>0.13883640151335808</v>
      </c>
      <c r="I53" s="203">
        <f t="shared" si="17"/>
        <v>4.7346243075611943E-5</v>
      </c>
      <c r="J53" s="204">
        <f t="shared" si="18"/>
        <v>2420.1145833333335</v>
      </c>
    </row>
    <row r="54" spans="4:10" x14ac:dyDescent="0.25">
      <c r="D54" s="205">
        <v>45662</v>
      </c>
      <c r="E54" s="203">
        <f t="shared" si="13"/>
        <v>0.44815102429207365</v>
      </c>
      <c r="F54" s="203">
        <f t="shared" si="14"/>
        <v>0.19823032079537128</v>
      </c>
      <c r="G54" s="203">
        <f t="shared" si="15"/>
        <v>8.0313686029596737E-2</v>
      </c>
      <c r="H54" s="203">
        <f t="shared" si="16"/>
        <v>8.0634517859030863E-2</v>
      </c>
      <c r="I54" s="203">
        <f t="shared" si="17"/>
        <v>0.19267045102392752</v>
      </c>
      <c r="J54" s="204">
        <f t="shared" si="18"/>
        <v>2742.87</v>
      </c>
    </row>
    <row r="55" spans="4:10" x14ac:dyDescent="0.25">
      <c r="D55" s="205">
        <v>45663</v>
      </c>
      <c r="E55" s="203">
        <f t="shared" si="13"/>
        <v>0.36742626674237616</v>
      </c>
      <c r="F55" s="203">
        <f t="shared" si="14"/>
        <v>0.22927452486723005</v>
      </c>
      <c r="G55" s="203">
        <f t="shared" si="15"/>
        <v>9.2204148435151484E-2</v>
      </c>
      <c r="H55" s="203">
        <f t="shared" si="16"/>
        <v>8.23215538261131E-2</v>
      </c>
      <c r="I55" s="203">
        <f t="shared" si="17"/>
        <v>0.22877350612912925</v>
      </c>
      <c r="J55" s="204">
        <f t="shared" si="18"/>
        <v>2395.12</v>
      </c>
    </row>
    <row r="56" spans="4:10" x14ac:dyDescent="0.25">
      <c r="D56" s="205">
        <v>45664</v>
      </c>
      <c r="E56" s="203">
        <f t="shared" si="13"/>
        <v>0.36587633658763363</v>
      </c>
      <c r="F56" s="203">
        <f t="shared" si="14"/>
        <v>0.24639702463970248</v>
      </c>
      <c r="G56" s="203">
        <f t="shared" si="15"/>
        <v>9.8558809855880988E-2</v>
      </c>
      <c r="H56" s="203">
        <f t="shared" si="16"/>
        <v>7.6708507670850773E-2</v>
      </c>
      <c r="I56" s="203">
        <f t="shared" si="17"/>
        <v>0.21245932124593211</v>
      </c>
      <c r="J56" s="204">
        <f t="shared" si="18"/>
        <v>2151</v>
      </c>
    </row>
    <row r="57" spans="4:10" x14ac:dyDescent="0.25">
      <c r="D57" s="205">
        <v>45665</v>
      </c>
      <c r="E57" s="203">
        <f t="shared" si="13"/>
        <v>0.45941400661781562</v>
      </c>
      <c r="F57" s="203">
        <f t="shared" si="14"/>
        <v>0.20778776395729362</v>
      </c>
      <c r="G57" s="203">
        <f t="shared" si="15"/>
        <v>8.0389351796238254E-2</v>
      </c>
      <c r="H57" s="203">
        <f t="shared" si="16"/>
        <v>7.8569270475004824E-2</v>
      </c>
      <c r="I57" s="203">
        <f t="shared" si="17"/>
        <v>0.17383960715364763</v>
      </c>
      <c r="J57" s="204">
        <f t="shared" si="18"/>
        <v>2747.13</v>
      </c>
    </row>
    <row r="58" spans="4:10" x14ac:dyDescent="0.25">
      <c r="D58" s="205">
        <v>45666</v>
      </c>
      <c r="E58" s="203">
        <f t="shared" si="13"/>
        <v>0.43177638837808019</v>
      </c>
      <c r="F58" s="203">
        <f t="shared" si="14"/>
        <v>0.20890033100404559</v>
      </c>
      <c r="G58" s="203">
        <f t="shared" si="15"/>
        <v>8.054431776388378E-2</v>
      </c>
      <c r="H58" s="203">
        <f t="shared" si="16"/>
        <v>8.1647664582567114E-2</v>
      </c>
      <c r="I58" s="203">
        <f t="shared" si="17"/>
        <v>0.19713129827142331</v>
      </c>
      <c r="J58" s="204">
        <f t="shared" si="18"/>
        <v>2719</v>
      </c>
    </row>
    <row r="59" spans="4:10" x14ac:dyDescent="0.25">
      <c r="D59" s="205">
        <v>45667</v>
      </c>
      <c r="E59" s="203">
        <f t="shared" si="13"/>
        <v>0.41615620214395099</v>
      </c>
      <c r="F59" s="203">
        <f t="shared" si="14"/>
        <v>0.20980091883614088</v>
      </c>
      <c r="G59" s="203">
        <f t="shared" si="15"/>
        <v>8.3843797856049007E-2</v>
      </c>
      <c r="H59" s="203">
        <f t="shared" si="16"/>
        <v>8.3843797856049007E-2</v>
      </c>
      <c r="I59" s="203">
        <f t="shared" si="17"/>
        <v>0.20635528330781011</v>
      </c>
      <c r="J59" s="204">
        <f t="shared" si="18"/>
        <v>2612</v>
      </c>
    </row>
    <row r="60" spans="4:10" x14ac:dyDescent="0.25">
      <c r="D60" s="205">
        <v>45668</v>
      </c>
      <c r="E60" s="203">
        <f t="shared" si="13"/>
        <v>0.44938363840119538</v>
      </c>
      <c r="F60" s="203">
        <f t="shared" si="14"/>
        <v>0.20545386626821069</v>
      </c>
      <c r="G60" s="203">
        <f t="shared" si="15"/>
        <v>8.180799402316026E-2</v>
      </c>
      <c r="H60" s="203">
        <f t="shared" si="16"/>
        <v>8.1434441539036229E-2</v>
      </c>
      <c r="I60" s="203">
        <f t="shared" si="17"/>
        <v>0.18192005976839745</v>
      </c>
      <c r="J60" s="204">
        <f t="shared" si="18"/>
        <v>2677</v>
      </c>
    </row>
    <row r="61" spans="4:10" x14ac:dyDescent="0.25">
      <c r="D61" s="205">
        <v>45669</v>
      </c>
      <c r="E61" s="203">
        <f t="shared" si="13"/>
        <v>0.4431001890359168</v>
      </c>
      <c r="F61" s="203">
        <f t="shared" si="14"/>
        <v>0.20604914933837429</v>
      </c>
      <c r="G61" s="203">
        <f t="shared" si="15"/>
        <v>8.2797731568998112E-2</v>
      </c>
      <c r="H61" s="203">
        <f t="shared" si="16"/>
        <v>8.2797731568998112E-2</v>
      </c>
      <c r="I61" s="203">
        <f t="shared" si="17"/>
        <v>0.18525519848771266</v>
      </c>
      <c r="J61" s="204">
        <f t="shared" si="18"/>
        <v>2645</v>
      </c>
    </row>
    <row r="62" spans="4:10" x14ac:dyDescent="0.25">
      <c r="D62" s="205">
        <v>45670</v>
      </c>
      <c r="E62" s="203">
        <f t="shared" si="13"/>
        <v>0.3929035049762008</v>
      </c>
      <c r="F62" s="203">
        <f t="shared" si="14"/>
        <v>0.22717438338381654</v>
      </c>
      <c r="G62" s="203">
        <f t="shared" si="15"/>
        <v>9.1735179575941156E-2</v>
      </c>
      <c r="H62" s="203">
        <f t="shared" si="16"/>
        <v>8.3080917351795763E-2</v>
      </c>
      <c r="I62" s="203">
        <f t="shared" si="17"/>
        <v>0.20510601471224579</v>
      </c>
      <c r="J62" s="204">
        <f t="shared" si="18"/>
        <v>2311</v>
      </c>
    </row>
    <row r="63" spans="4:10" x14ac:dyDescent="0.25">
      <c r="D63" s="205">
        <v>45671</v>
      </c>
      <c r="E63" s="203">
        <f t="shared" si="13"/>
        <v>0.36728971962616824</v>
      </c>
      <c r="F63" s="203">
        <f t="shared" si="14"/>
        <v>0.24299065420560748</v>
      </c>
      <c r="G63" s="203">
        <f t="shared" si="15"/>
        <v>9.7663551401869164E-2</v>
      </c>
      <c r="H63" s="203">
        <f t="shared" si="16"/>
        <v>7.6168224299065418E-2</v>
      </c>
      <c r="I63" s="203">
        <f t="shared" si="17"/>
        <v>0.21588785046728973</v>
      </c>
      <c r="J63" s="204">
        <f t="shared" si="18"/>
        <v>2140</v>
      </c>
    </row>
    <row r="64" spans="4:10" x14ac:dyDescent="0.25">
      <c r="D64" s="205">
        <v>45672</v>
      </c>
      <c r="E64" s="203">
        <f t="shared" si="13"/>
        <v>0.45267791636096844</v>
      </c>
      <c r="F64" s="203">
        <f t="shared" si="14"/>
        <v>0.20506236243580336</v>
      </c>
      <c r="G64" s="203">
        <f t="shared" si="15"/>
        <v>7.9236977256052818E-2</v>
      </c>
      <c r="H64" s="203">
        <f t="shared" si="16"/>
        <v>7.9236977256052818E-2</v>
      </c>
      <c r="I64" s="203">
        <f t="shared" si="17"/>
        <v>0.18378576669112254</v>
      </c>
      <c r="J64" s="204">
        <f t="shared" si="18"/>
        <v>2726</v>
      </c>
    </row>
    <row r="65" spans="4:10" x14ac:dyDescent="0.25">
      <c r="D65" s="205">
        <v>45673</v>
      </c>
      <c r="E65" s="203">
        <f t="shared" si="13"/>
        <v>0.46738738738738739</v>
      </c>
      <c r="F65" s="203">
        <f t="shared" si="14"/>
        <v>0.20216216216216215</v>
      </c>
      <c r="G65" s="203">
        <f t="shared" si="15"/>
        <v>7.8918918918918918E-2</v>
      </c>
      <c r="H65" s="203">
        <f t="shared" si="16"/>
        <v>7.8918918918918918E-2</v>
      </c>
      <c r="I65" s="203">
        <f t="shared" si="17"/>
        <v>0.17261261261261263</v>
      </c>
      <c r="J65" s="204">
        <f t="shared" si="18"/>
        <v>2775</v>
      </c>
    </row>
    <row r="66" spans="4:10" x14ac:dyDescent="0.25">
      <c r="D66" s="205">
        <v>45674</v>
      </c>
      <c r="E66" s="203">
        <f t="shared" si="13"/>
        <v>0.45918003565062387</v>
      </c>
      <c r="F66" s="203">
        <f t="shared" si="14"/>
        <v>0.20534759358288771</v>
      </c>
      <c r="G66" s="203">
        <f t="shared" si="15"/>
        <v>7.7718360071301243E-2</v>
      </c>
      <c r="H66" s="203">
        <f t="shared" si="16"/>
        <v>7.9857397504456334E-2</v>
      </c>
      <c r="I66" s="203">
        <f t="shared" si="17"/>
        <v>0.17789661319073083</v>
      </c>
      <c r="J66" s="204">
        <f t="shared" si="18"/>
        <v>2805</v>
      </c>
    </row>
    <row r="67" spans="4:10" x14ac:dyDescent="0.25">
      <c r="D67" s="205">
        <v>45675</v>
      </c>
      <c r="E67" s="203">
        <f t="shared" si="13"/>
        <v>0.44497432134996334</v>
      </c>
      <c r="F67" s="203">
        <f t="shared" si="14"/>
        <v>0.20873074101247249</v>
      </c>
      <c r="G67" s="203">
        <f t="shared" si="15"/>
        <v>8.0337490829053559E-2</v>
      </c>
      <c r="H67" s="203">
        <f t="shared" si="16"/>
        <v>8.217168011738811E-2</v>
      </c>
      <c r="I67" s="203">
        <f t="shared" si="17"/>
        <v>0.18378576669112254</v>
      </c>
      <c r="J67" s="204">
        <f t="shared" si="18"/>
        <v>2726</v>
      </c>
    </row>
    <row r="68" spans="4:10" x14ac:dyDescent="0.25">
      <c r="D68" s="205">
        <v>45676</v>
      </c>
      <c r="E68" s="203">
        <f t="shared" si="13"/>
        <v>0.36069986541049798</v>
      </c>
      <c r="F68" s="203">
        <f t="shared" si="14"/>
        <v>0.24226110363391656</v>
      </c>
      <c r="G68" s="203">
        <f t="shared" si="15"/>
        <v>9.3764019739793633E-2</v>
      </c>
      <c r="H68" s="203">
        <f t="shared" si="16"/>
        <v>8.927770300583221E-2</v>
      </c>
      <c r="I68" s="203">
        <f t="shared" si="17"/>
        <v>0.21399730820995963</v>
      </c>
      <c r="J68" s="204">
        <f t="shared" si="18"/>
        <v>2229</v>
      </c>
    </row>
    <row r="69" spans="4:10" x14ac:dyDescent="0.25">
      <c r="D69" s="205">
        <v>45677</v>
      </c>
      <c r="E69" s="203">
        <f t="shared" si="13"/>
        <v>0.38147984049623396</v>
      </c>
      <c r="F69" s="203">
        <f t="shared" si="14"/>
        <v>0.2352680549401861</v>
      </c>
      <c r="G69" s="203">
        <f t="shared" si="15"/>
        <v>9.2600797518830311E-2</v>
      </c>
      <c r="H69" s="203">
        <f t="shared" si="16"/>
        <v>8.4182543198936644E-2</v>
      </c>
      <c r="I69" s="203">
        <f t="shared" si="17"/>
        <v>0.20646876384581303</v>
      </c>
      <c r="J69" s="204">
        <f t="shared" si="18"/>
        <v>2257</v>
      </c>
    </row>
    <row r="70" spans="4:10" x14ac:dyDescent="0.25">
      <c r="D70" s="205">
        <v>45678</v>
      </c>
      <c r="E70" s="203">
        <f t="shared" si="13"/>
        <v>0.38132295719844356</v>
      </c>
      <c r="F70" s="203">
        <f t="shared" si="14"/>
        <v>0.23346303501945526</v>
      </c>
      <c r="G70" s="203">
        <f t="shared" si="15"/>
        <v>9.0791180285343706E-2</v>
      </c>
      <c r="H70" s="203">
        <f t="shared" si="16"/>
        <v>7.5226977950713356E-2</v>
      </c>
      <c r="I70" s="203">
        <f t="shared" si="17"/>
        <v>0.2191958495460441</v>
      </c>
      <c r="J70" s="204">
        <f t="shared" si="18"/>
        <v>2313</v>
      </c>
    </row>
    <row r="71" spans="4:10" x14ac:dyDescent="0.25">
      <c r="D71" s="205">
        <v>45679</v>
      </c>
      <c r="E71" s="203">
        <f t="shared" si="13"/>
        <v>0.48091860857818303</v>
      </c>
      <c r="F71" s="203">
        <f t="shared" si="14"/>
        <v>0.19351570415400202</v>
      </c>
      <c r="G71" s="203">
        <f t="shared" si="15"/>
        <v>7.3623775751435319E-2</v>
      </c>
      <c r="H71" s="203">
        <f t="shared" si="16"/>
        <v>7.1259709557581902E-2</v>
      </c>
      <c r="I71" s="203">
        <f t="shared" si="17"/>
        <v>0.18068220195879769</v>
      </c>
      <c r="J71" s="204">
        <f t="shared" si="18"/>
        <v>2961</v>
      </c>
    </row>
    <row r="72" spans="4:10" x14ac:dyDescent="0.25">
      <c r="D72" s="205">
        <v>45680</v>
      </c>
      <c r="E72" s="203">
        <f t="shared" si="13"/>
        <v>0.49681955138935385</v>
      </c>
      <c r="F72" s="203">
        <f t="shared" si="14"/>
        <v>0.19383997321727486</v>
      </c>
      <c r="G72" s="203">
        <f t="shared" si="15"/>
        <v>7.2648141948443254E-2</v>
      </c>
      <c r="H72" s="203">
        <f t="shared" si="16"/>
        <v>7.1978573819886177E-2</v>
      </c>
      <c r="I72" s="203">
        <f t="shared" si="17"/>
        <v>0.16471375962504184</v>
      </c>
      <c r="J72" s="204">
        <f t="shared" si="18"/>
        <v>2987</v>
      </c>
    </row>
    <row r="73" spans="4:10" x14ac:dyDescent="0.25">
      <c r="D73" s="205">
        <v>45681</v>
      </c>
      <c r="E73" s="203">
        <f t="shared" si="13"/>
        <v>0.46823770491803279</v>
      </c>
      <c r="F73" s="203">
        <f t="shared" si="14"/>
        <v>0.19330601092896174</v>
      </c>
      <c r="G73" s="203">
        <f t="shared" si="15"/>
        <v>7.3770491803278687E-2</v>
      </c>
      <c r="H73" s="203">
        <f t="shared" si="16"/>
        <v>7.4453551912568305E-2</v>
      </c>
      <c r="I73" s="203">
        <f t="shared" si="17"/>
        <v>0.19023224043715847</v>
      </c>
      <c r="J73" s="204">
        <f t="shared" si="18"/>
        <v>2928</v>
      </c>
    </row>
    <row r="74" spans="4:10" x14ac:dyDescent="0.25">
      <c r="D74" s="205">
        <v>45682</v>
      </c>
      <c r="E74" s="203">
        <f t="shared" si="13"/>
        <v>0.47480287967089474</v>
      </c>
      <c r="F74" s="203">
        <f t="shared" si="14"/>
        <v>0.19506342132327734</v>
      </c>
      <c r="G74" s="203">
        <f t="shared" si="15"/>
        <v>7.4734316078162499E-2</v>
      </c>
      <c r="H74" s="203">
        <f t="shared" si="16"/>
        <v>7.5077134041823798E-2</v>
      </c>
      <c r="I74" s="203">
        <f t="shared" si="17"/>
        <v>0.18032224888584161</v>
      </c>
      <c r="J74" s="204">
        <f t="shared" si="18"/>
        <v>2917</v>
      </c>
    </row>
    <row r="75" spans="4:10" x14ac:dyDescent="0.25">
      <c r="D75" s="205">
        <v>45683</v>
      </c>
      <c r="E75" s="203">
        <f t="shared" si="13"/>
        <v>0.46564102564102566</v>
      </c>
      <c r="F75" s="203">
        <f t="shared" si="14"/>
        <v>0.19213675213675213</v>
      </c>
      <c r="G75" s="203">
        <f t="shared" si="15"/>
        <v>7.6239316239316235E-2</v>
      </c>
      <c r="H75" s="203">
        <f t="shared" si="16"/>
        <v>7.5555555555555556E-2</v>
      </c>
      <c r="I75" s="203">
        <f t="shared" si="17"/>
        <v>0.19042735042735043</v>
      </c>
      <c r="J75" s="204">
        <f t="shared" si="18"/>
        <v>2925</v>
      </c>
    </row>
    <row r="76" spans="4:10" x14ac:dyDescent="0.25">
      <c r="D76" s="205">
        <v>45684</v>
      </c>
      <c r="E76" s="203">
        <f t="shared" si="13"/>
        <v>0.38638297872340427</v>
      </c>
      <c r="F76" s="203">
        <f t="shared" si="14"/>
        <v>0.23957446808510638</v>
      </c>
      <c r="G76" s="203">
        <f t="shared" si="15"/>
        <v>9.0212765957446803E-2</v>
      </c>
      <c r="H76" s="203">
        <f t="shared" si="16"/>
        <v>8.085106382978724E-2</v>
      </c>
      <c r="I76" s="203">
        <f t="shared" si="17"/>
        <v>0.20297872340425532</v>
      </c>
      <c r="J76" s="204">
        <f t="shared" si="18"/>
        <v>2350</v>
      </c>
    </row>
    <row r="77" spans="4:10" x14ac:dyDescent="0.25">
      <c r="D77" s="205">
        <v>45685</v>
      </c>
      <c r="E77" s="203">
        <f t="shared" si="13"/>
        <v>0.40443686006825941</v>
      </c>
      <c r="F77" s="203">
        <f t="shared" si="14"/>
        <v>0.23762798634812288</v>
      </c>
      <c r="G77" s="203">
        <f t="shared" si="15"/>
        <v>9.0870307167235501E-2</v>
      </c>
      <c r="H77" s="203">
        <f t="shared" si="16"/>
        <v>7.0392491467576798E-2</v>
      </c>
      <c r="I77" s="203">
        <f t="shared" si="17"/>
        <v>0.19667235494880547</v>
      </c>
      <c r="J77" s="204">
        <f t="shared" si="18"/>
        <v>2344</v>
      </c>
    </row>
    <row r="78" spans="4:10" x14ac:dyDescent="0.25">
      <c r="D78" s="205">
        <v>45686</v>
      </c>
      <c r="E78" s="203">
        <f t="shared" si="13"/>
        <v>0.48420687261367579</v>
      </c>
      <c r="F78" s="203">
        <f t="shared" si="14"/>
        <v>0.20097188476223535</v>
      </c>
      <c r="G78" s="203">
        <f t="shared" si="15"/>
        <v>7.6362374175633463E-2</v>
      </c>
      <c r="H78" s="203">
        <f t="shared" si="16"/>
        <v>7.3932662270045121E-2</v>
      </c>
      <c r="I78" s="203">
        <f t="shared" si="17"/>
        <v>0.16452620617841027</v>
      </c>
      <c r="J78" s="204">
        <f t="shared" si="18"/>
        <v>2881</v>
      </c>
    </row>
    <row r="79" spans="4:10" x14ac:dyDescent="0.25">
      <c r="D79" s="205">
        <v>45687</v>
      </c>
      <c r="E79" s="203">
        <f t="shared" si="13"/>
        <v>0.47742363877822047</v>
      </c>
      <c r="F79" s="203">
        <f t="shared" si="14"/>
        <v>0.19156706507304117</v>
      </c>
      <c r="G79" s="203">
        <f t="shared" si="15"/>
        <v>5.4780876494023904E-2</v>
      </c>
      <c r="H79" s="203">
        <f t="shared" si="16"/>
        <v>9.8273572377158031E-2</v>
      </c>
      <c r="I79" s="203">
        <f t="shared" si="17"/>
        <v>0.17795484727755645</v>
      </c>
      <c r="J79" s="204">
        <f t="shared" si="18"/>
        <v>3012</v>
      </c>
    </row>
    <row r="80" spans="4:10" x14ac:dyDescent="0.25">
      <c r="D80" s="205">
        <v>45688</v>
      </c>
      <c r="E80" s="203">
        <f t="shared" si="13"/>
        <v>0.47016460905349794</v>
      </c>
      <c r="F80" s="203">
        <f t="shared" si="14"/>
        <v>0.19650205761316872</v>
      </c>
      <c r="G80" s="203">
        <f t="shared" si="15"/>
        <v>7.407407407407407E-2</v>
      </c>
      <c r="H80" s="203">
        <f t="shared" si="16"/>
        <v>7.3731138545953367E-2</v>
      </c>
      <c r="I80" s="203">
        <f t="shared" si="17"/>
        <v>0.18552812071330591</v>
      </c>
      <c r="J80" s="204">
        <f t="shared" si="18"/>
        <v>2916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G15:G18">
    <cfRule type="cellIs" dxfId="58" priority="368" operator="equal">
      <formula>MAX($G$14:$G$16)</formula>
    </cfRule>
  </conditionalFormatting>
  <conditionalFormatting sqref="G19 G27:G39 G21:G25 G41:G45 G47">
    <cfRule type="cellIs" dxfId="57" priority="128" operator="equal">
      <formula>MAX($G$14:$G$16)</formula>
    </cfRule>
  </conditionalFormatting>
  <conditionalFormatting sqref="L15:L19 L27:L39 L21:L25 L41:L45">
    <cfRule type="cellIs" dxfId="56" priority="129" operator="equal">
      <formula>MAX($L$14:$L$16)</formula>
    </cfRule>
  </conditionalFormatting>
  <conditionalFormatting sqref="T15:T19 T27:T39 T21:T25 T41:T45">
    <cfRule type="cellIs" dxfId="55" priority="130" operator="equal">
      <formula>MAX($T$14:$T$16)</formula>
    </cfRule>
  </conditionalFormatting>
  <conditionalFormatting sqref="X15:X19 X27:X39 X21:X25 X41:X45">
    <cfRule type="cellIs" dxfId="54" priority="131" operator="equal">
      <formula>MAX($X$14:$X$16)</formula>
    </cfRule>
  </conditionalFormatting>
  <conditionalFormatting sqref="J15:J19 J27:J39 J21:J25 J41:J45">
    <cfRule type="cellIs" dxfId="53" priority="132" operator="equal">
      <formula>MAX($J$14:$J$16)</formula>
    </cfRule>
  </conditionalFormatting>
  <conditionalFormatting sqref="V15:V19 V27:V39 V21:V23 V41:V45">
    <cfRule type="cellIs" dxfId="52" priority="133" operator="equal">
      <formula>MAX($V$14:$V$16)</formula>
    </cfRule>
  </conditionalFormatting>
  <conditionalFormatting sqref="D15:D19 D27:D39 D41 D21:D25 D43:D45">
    <cfRule type="cellIs" dxfId="51" priority="134" operator="equal">
      <formula>MAX($D$14:$D$16)</formula>
    </cfRule>
  </conditionalFormatting>
  <conditionalFormatting sqref="S15:S19 S27:S39 S21:S25 S41:S45">
    <cfRule type="cellIs" dxfId="50" priority="135" operator="equal">
      <formula>MAX($S$14:$S$16)</formula>
    </cfRule>
  </conditionalFormatting>
  <conditionalFormatting sqref="N15:N19 N27:N39 N21:N25 N41:N45">
    <cfRule type="cellIs" dxfId="49" priority="136" operator="equal">
      <formula>MAX($N$14:$N$16)</formula>
    </cfRule>
  </conditionalFormatting>
  <conditionalFormatting sqref="P15:P19 P27:P39 P21:P25 P41:P45">
    <cfRule type="cellIs" dxfId="48" priority="137" operator="equal">
      <formula>MAX($P$14:$P$16)</formula>
    </cfRule>
  </conditionalFormatting>
  <conditionalFormatting sqref="G26">
    <cfRule type="cellIs" dxfId="47" priority="60" operator="equal">
      <formula>MAX($G$14:$G$16)</formula>
    </cfRule>
  </conditionalFormatting>
  <conditionalFormatting sqref="L26">
    <cfRule type="cellIs" dxfId="46" priority="61" operator="equal">
      <formula>MAX($L$14:$L$16)</formula>
    </cfRule>
  </conditionalFormatting>
  <conditionalFormatting sqref="T26">
    <cfRule type="cellIs" dxfId="45" priority="62" operator="equal">
      <formula>MAX($T$14:$T$16)</formula>
    </cfRule>
  </conditionalFormatting>
  <conditionalFormatting sqref="X26">
    <cfRule type="cellIs" dxfId="44" priority="63" operator="equal">
      <formula>MAX($X$14:$X$16)</formula>
    </cfRule>
  </conditionalFormatting>
  <conditionalFormatting sqref="J26">
    <cfRule type="cellIs" dxfId="43" priority="64" operator="equal">
      <formula>MAX($J$14:$J$16)</formula>
    </cfRule>
  </conditionalFormatting>
  <conditionalFormatting sqref="V26">
    <cfRule type="cellIs" dxfId="42" priority="65" operator="equal">
      <formula>MAX($V$14:$V$16)</formula>
    </cfRule>
  </conditionalFormatting>
  <conditionalFormatting sqref="D26">
    <cfRule type="cellIs" dxfId="41" priority="66" operator="equal">
      <formula>MAX($D$14:$D$16)</formula>
    </cfRule>
  </conditionalFormatting>
  <conditionalFormatting sqref="S26">
    <cfRule type="cellIs" dxfId="40" priority="67" operator="equal">
      <formula>MAX($S$14:$S$16)</formula>
    </cfRule>
  </conditionalFormatting>
  <conditionalFormatting sqref="N26">
    <cfRule type="cellIs" dxfId="39" priority="68" operator="equal">
      <formula>MAX($N$14:$N$16)</formula>
    </cfRule>
  </conditionalFormatting>
  <conditionalFormatting sqref="P26">
    <cfRule type="cellIs" dxfId="38" priority="69" operator="equal">
      <formula>MAX($P$14:$P$16)</formula>
    </cfRule>
  </conditionalFormatting>
  <conditionalFormatting sqref="G40">
    <cfRule type="cellIs" dxfId="37" priority="50" operator="equal">
      <formula>MAX($G$14:$G$16)</formula>
    </cfRule>
  </conditionalFormatting>
  <conditionalFormatting sqref="L40">
    <cfRule type="cellIs" dxfId="36" priority="51" operator="equal">
      <formula>MAX($L$14:$L$16)</formula>
    </cfRule>
  </conditionalFormatting>
  <conditionalFormatting sqref="T40">
    <cfRule type="cellIs" dxfId="35" priority="52" operator="equal">
      <formula>MAX($T$14:$T$16)</formula>
    </cfRule>
  </conditionalFormatting>
  <conditionalFormatting sqref="X40">
    <cfRule type="cellIs" dxfId="34" priority="53" operator="equal">
      <formula>MAX($X$14:$X$16)</formula>
    </cfRule>
  </conditionalFormatting>
  <conditionalFormatting sqref="J40">
    <cfRule type="cellIs" dxfId="33" priority="54" operator="equal">
      <formula>MAX($J$14:$J$16)</formula>
    </cfRule>
  </conditionalFormatting>
  <conditionalFormatting sqref="V40">
    <cfRule type="cellIs" dxfId="32" priority="55" operator="equal">
      <formula>MAX($V$14:$V$16)</formula>
    </cfRule>
  </conditionalFormatting>
  <conditionalFormatting sqref="D40">
    <cfRule type="cellIs" dxfId="31" priority="56" operator="equal">
      <formula>MAX($D$14:$D$16)</formula>
    </cfRule>
  </conditionalFormatting>
  <conditionalFormatting sqref="S40">
    <cfRule type="cellIs" dxfId="30" priority="57" operator="equal">
      <formula>MAX($S$14:$S$16)</formula>
    </cfRule>
  </conditionalFormatting>
  <conditionalFormatting sqref="N40">
    <cfRule type="cellIs" dxfId="29" priority="58" operator="equal">
      <formula>MAX($N$14:$N$16)</formula>
    </cfRule>
  </conditionalFormatting>
  <conditionalFormatting sqref="P40">
    <cfRule type="cellIs" dxfId="28" priority="59" operator="equal">
      <formula>MAX($P$14:$P$16)</formula>
    </cfRule>
  </conditionalFormatting>
  <conditionalFormatting sqref="G20">
    <cfRule type="cellIs" dxfId="27" priority="46" operator="equal">
      <formula>MAX($G$14:$G$42)</formula>
    </cfRule>
  </conditionalFormatting>
  <conditionalFormatting sqref="D20">
    <cfRule type="cellIs" dxfId="26" priority="47" operator="equal">
      <formula>MAX($D$14:$D$42)</formula>
    </cfRule>
  </conditionalFormatting>
  <conditionalFormatting sqref="L20">
    <cfRule type="cellIs" dxfId="25" priority="38" operator="equal">
      <formula>MAX($L$14:$L$42)</formula>
    </cfRule>
  </conditionalFormatting>
  <conditionalFormatting sqref="T20">
    <cfRule type="cellIs" dxfId="24" priority="39" operator="equal">
      <formula>MAX($T$14:$T$42)</formula>
    </cfRule>
  </conditionalFormatting>
  <conditionalFormatting sqref="X20">
    <cfRule type="cellIs" dxfId="23" priority="40" operator="equal">
      <formula>MAX($X$14:$X$42)</formula>
    </cfRule>
  </conditionalFormatting>
  <conditionalFormatting sqref="J20">
    <cfRule type="cellIs" dxfId="22" priority="41" operator="equal">
      <formula>MAX($J$14:$J$42)</formula>
    </cfRule>
  </conditionalFormatting>
  <conditionalFormatting sqref="V20">
    <cfRule type="cellIs" dxfId="21" priority="42" operator="equal">
      <formula>MAX($V$14:$V$42)</formula>
    </cfRule>
  </conditionalFormatting>
  <conditionalFormatting sqref="S20">
    <cfRule type="cellIs" dxfId="20" priority="43" operator="equal">
      <formula>MAX($S$14:$S$42)</formula>
    </cfRule>
  </conditionalFormatting>
  <conditionalFormatting sqref="N20">
    <cfRule type="cellIs" dxfId="19" priority="44" operator="equal">
      <formula>MAX($N$14:$N$42)</formula>
    </cfRule>
  </conditionalFormatting>
  <conditionalFormatting sqref="P20">
    <cfRule type="cellIs" dxfId="18" priority="45" operator="equal">
      <formula>MAX($P$14:$P$42)</formula>
    </cfRule>
  </conditionalFormatting>
  <conditionalFormatting sqref="E50:E66">
    <cfRule type="top10" dxfId="17" priority="37" rank="2"/>
  </conditionalFormatting>
  <conditionalFormatting sqref="F50:F80">
    <cfRule type="top10" dxfId="16" priority="36" rank="2"/>
  </conditionalFormatting>
  <conditionalFormatting sqref="G50:G66">
    <cfRule type="top10" dxfId="15" priority="35" rank="2"/>
  </conditionalFormatting>
  <conditionalFormatting sqref="H50:H66">
    <cfRule type="top10" dxfId="14" priority="34" rank="2"/>
  </conditionalFormatting>
  <conditionalFormatting sqref="I50:I66">
    <cfRule type="top10" dxfId="13" priority="33" rank="2"/>
  </conditionalFormatting>
  <conditionalFormatting sqref="G14">
    <cfRule type="cellIs" dxfId="12" priority="13" operator="equal">
      <formula>MAX($G$14:$G$16)</formula>
    </cfRule>
  </conditionalFormatting>
  <conditionalFormatting sqref="D14">
    <cfRule type="cellIs" dxfId="11" priority="12" operator="equal">
      <formula>MAX($D$14:$D$16)</formula>
    </cfRule>
  </conditionalFormatting>
  <conditionalFormatting sqref="L14">
    <cfRule type="cellIs" dxfId="10" priority="10" operator="equal">
      <formula>MAX($L$14:$L$16)</formula>
    </cfRule>
  </conditionalFormatting>
  <conditionalFormatting sqref="J14">
    <cfRule type="cellIs" dxfId="9" priority="11" operator="equal">
      <formula>MAX($J$14:$J$16)</formula>
    </cfRule>
  </conditionalFormatting>
  <conditionalFormatting sqref="N14">
    <cfRule type="cellIs" dxfId="8" priority="8" operator="equal">
      <formula>MAX($N$14:$N$16)</formula>
    </cfRule>
  </conditionalFormatting>
  <conditionalFormatting sqref="P14">
    <cfRule type="cellIs" dxfId="7" priority="9" operator="equal">
      <formula>MAX($P$14:$P$16)</formula>
    </cfRule>
  </conditionalFormatting>
  <conditionalFormatting sqref="T14">
    <cfRule type="cellIs" dxfId="6" priority="6" operator="equal">
      <formula>MAX($T$14:$T$16)</formula>
    </cfRule>
  </conditionalFormatting>
  <conditionalFormatting sqref="S14">
    <cfRule type="cellIs" dxfId="5" priority="7" operator="equal">
      <formula>MAX($S$14:$S$16)</formula>
    </cfRule>
  </conditionalFormatting>
  <conditionalFormatting sqref="X14">
    <cfRule type="cellIs" dxfId="4" priority="4" operator="equal">
      <formula>MAX($X$14:$X$16)</formula>
    </cfRule>
  </conditionalFormatting>
  <conditionalFormatting sqref="V14">
    <cfRule type="cellIs" dxfId="3" priority="5" operator="equal">
      <formula>MAX($V$14:$V$16)</formula>
    </cfRule>
  </conditionalFormatting>
  <conditionalFormatting sqref="V24">
    <cfRule type="cellIs" dxfId="2" priority="3" operator="equal">
      <formula>MAX($J$14:$J$16)</formula>
    </cfRule>
  </conditionalFormatting>
  <conditionalFormatting sqref="V25">
    <cfRule type="cellIs" dxfId="1" priority="2" operator="equal">
      <formula>MAX($J$14:$J$16)</formula>
    </cfRule>
  </conditionalFormatting>
  <conditionalFormatting sqref="D42">
    <cfRule type="cellIs" dxfId="0" priority="1" operator="equal">
      <formula>MAX($J$14:$J$16)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465932-7B7F-4889-B864-E9C7A098B929}"/>
</file>

<file path=customXml/itemProps2.xml><?xml version="1.0" encoding="utf-8"?>
<ds:datastoreItem xmlns:ds="http://schemas.openxmlformats.org/officeDocument/2006/customXml" ds:itemID="{FCD57BA9-6A34-4E41-A21B-0DD694AEDD55}"/>
</file>

<file path=customXml/itemProps3.xml><?xml version="1.0" encoding="utf-8"?>
<ds:datastoreItem xmlns:ds="http://schemas.openxmlformats.org/officeDocument/2006/customXml" ds:itemID="{33F79ED6-28A5-48AF-B12E-ABEBF887D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2026-02-03T13:12:45Z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