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SEAT/"/>
    </mc:Choice>
  </mc:AlternateContent>
  <xr:revisionPtr revIDLastSave="0" documentId="8_{C571D28E-CAB2-418C-9003-A9EB4AB6D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7" i="1" l="1"/>
  <c r="R44" i="2"/>
  <c r="G44" i="2"/>
  <c r="BL36" i="1"/>
  <c r="L36" i="1"/>
  <c r="P36" i="1"/>
  <c r="BA36" i="1"/>
  <c r="AY36" i="1"/>
  <c r="AX36" i="1"/>
  <c r="AW36" i="1"/>
  <c r="AP36" i="1"/>
  <c r="AN36" i="1"/>
  <c r="AM36" i="1"/>
  <c r="AF36" i="1"/>
  <c r="K36" i="1"/>
  <c r="O36" i="1"/>
  <c r="AD36" i="1"/>
  <c r="AC36" i="1"/>
  <c r="H36" i="1"/>
  <c r="D36" i="1"/>
  <c r="F36" i="1"/>
  <c r="E36" i="1"/>
  <c r="G36" i="1"/>
  <c r="I36" i="1"/>
  <c r="M36" i="1"/>
  <c r="J36" i="1"/>
  <c r="N36" i="1"/>
  <c r="BJ36" i="1"/>
  <c r="BK36" i="1"/>
  <c r="BB28" i="1"/>
  <c r="BB27" i="1"/>
  <c r="H22" i="1"/>
  <c r="BB11" i="1"/>
  <c r="BB9" i="1"/>
  <c r="BB8" i="1"/>
  <c r="BI6" i="1"/>
  <c r="AV6" i="1"/>
  <c r="AL6" i="1"/>
  <c r="AB6" i="1"/>
  <c r="Q6" i="1"/>
  <c r="BL6" i="1"/>
  <c r="BJ6" i="1"/>
  <c r="BK6" i="1"/>
  <c r="BA6" i="1"/>
  <c r="AW6" i="1"/>
  <c r="AY6" i="1"/>
  <c r="K6" i="1"/>
  <c r="O6" i="1"/>
  <c r="AX6" i="1"/>
  <c r="AP6" i="1"/>
  <c r="AN6" i="1"/>
  <c r="AM6" i="1"/>
  <c r="AF6" i="1"/>
  <c r="AD6" i="1"/>
  <c r="AC6" i="1"/>
  <c r="L6" i="1"/>
  <c r="P6" i="1"/>
  <c r="H6" i="1"/>
  <c r="D6" i="1"/>
  <c r="F6" i="1"/>
  <c r="E6" i="1"/>
  <c r="J6" i="1"/>
  <c r="N6" i="1"/>
  <c r="G6" i="1"/>
  <c r="I6" i="1"/>
  <c r="M6" i="1"/>
  <c r="U14" i="2"/>
  <c r="M14" i="2"/>
  <c r="I14" i="2"/>
  <c r="G46" i="2"/>
  <c r="R46" i="2"/>
  <c r="R14" i="2"/>
  <c r="G14" i="2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L7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A31" i="1"/>
  <c r="G45" i="2"/>
  <c r="R45" i="2"/>
  <c r="H28" i="1"/>
  <c r="BA17" i="1"/>
  <c r="BA16" i="1"/>
  <c r="AD11" i="1"/>
  <c r="AF7" i="1"/>
  <c r="AF8" i="1"/>
  <c r="AF9" i="1"/>
  <c r="AF10" i="1"/>
  <c r="AF11" i="1"/>
  <c r="AF12" i="1"/>
  <c r="AF13" i="1"/>
  <c r="AF14" i="1"/>
  <c r="AF15" i="1"/>
  <c r="AC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7" i="1"/>
  <c r="AF38" i="1"/>
  <c r="AC38" i="1"/>
  <c r="AP8" i="1"/>
  <c r="AP9" i="1"/>
  <c r="AP10" i="1"/>
  <c r="AP11" i="1"/>
  <c r="AP12" i="1"/>
  <c r="AP13" i="1"/>
  <c r="AP14" i="1"/>
  <c r="AP15" i="1"/>
  <c r="AM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7" i="1"/>
  <c r="AP38" i="1"/>
  <c r="AM38" i="1"/>
  <c r="AP7" i="1"/>
  <c r="D38" i="1"/>
  <c r="H38" i="1"/>
  <c r="AD38" i="1"/>
  <c r="AN38" i="1"/>
  <c r="AX38" i="1"/>
  <c r="BA38" i="1"/>
  <c r="AY38" i="1"/>
  <c r="BL38" i="1"/>
  <c r="BJ38" i="1"/>
  <c r="H33" i="1"/>
  <c r="H30" i="1"/>
  <c r="H31" i="1"/>
  <c r="H32" i="1"/>
  <c r="H34" i="1"/>
  <c r="H35" i="1"/>
  <c r="H37" i="1"/>
  <c r="BA20" i="1"/>
  <c r="BA7" i="1"/>
  <c r="BA8" i="1"/>
  <c r="BA9" i="1"/>
  <c r="BA10" i="1"/>
  <c r="BA11" i="1"/>
  <c r="BA12" i="1"/>
  <c r="BA13" i="1"/>
  <c r="BA14" i="1"/>
  <c r="BA15" i="1"/>
  <c r="AY15" i="1"/>
  <c r="BA18" i="1"/>
  <c r="BA19" i="1"/>
  <c r="H7" i="1"/>
  <c r="H8" i="1"/>
  <c r="J51" i="2"/>
  <c r="I51" i="2"/>
  <c r="J52" i="2"/>
  <c r="F52" i="2"/>
  <c r="J53" i="2"/>
  <c r="G53" i="2"/>
  <c r="J54" i="2"/>
  <c r="H54" i="2"/>
  <c r="J55" i="2"/>
  <c r="G55" i="2"/>
  <c r="J56" i="2"/>
  <c r="I56" i="2"/>
  <c r="J57" i="2"/>
  <c r="I57" i="2"/>
  <c r="J58" i="2"/>
  <c r="F58" i="2"/>
  <c r="J59" i="2"/>
  <c r="I59" i="2"/>
  <c r="J60" i="2"/>
  <c r="F60" i="2"/>
  <c r="J61" i="2"/>
  <c r="G61" i="2"/>
  <c r="J62" i="2"/>
  <c r="H62" i="2"/>
  <c r="J63" i="2"/>
  <c r="E63" i="2"/>
  <c r="J64" i="2"/>
  <c r="I64" i="2"/>
  <c r="J65" i="2"/>
  <c r="I65" i="2"/>
  <c r="J66" i="2"/>
  <c r="F66" i="2"/>
  <c r="J67" i="2"/>
  <c r="H67" i="2"/>
  <c r="J68" i="2"/>
  <c r="G68" i="2"/>
  <c r="J69" i="2"/>
  <c r="E69" i="2"/>
  <c r="J70" i="2"/>
  <c r="G70" i="2"/>
  <c r="J71" i="2"/>
  <c r="G71" i="2"/>
  <c r="J72" i="2"/>
  <c r="F72" i="2"/>
  <c r="J73" i="2"/>
  <c r="E73" i="2"/>
  <c r="J74" i="2"/>
  <c r="I74" i="2"/>
  <c r="J75" i="2"/>
  <c r="H75" i="2"/>
  <c r="J76" i="2"/>
  <c r="E76" i="2"/>
  <c r="J77" i="2"/>
  <c r="F77" i="2"/>
  <c r="J78" i="2"/>
  <c r="F78" i="2"/>
  <c r="J79" i="2"/>
  <c r="F79" i="2"/>
  <c r="J80" i="2"/>
  <c r="E80" i="2"/>
  <c r="J50" i="2"/>
  <c r="H50" i="2"/>
  <c r="BL15" i="1"/>
  <c r="BK15" i="1"/>
  <c r="AX15" i="1"/>
  <c r="AN15" i="1"/>
  <c r="AD15" i="1"/>
  <c r="AB36" i="1"/>
  <c r="AB37" i="1"/>
  <c r="AB38" i="1"/>
  <c r="G38" i="1"/>
  <c r="Q37" i="1"/>
  <c r="Q38" i="1"/>
  <c r="Q36" i="1"/>
  <c r="BI36" i="1"/>
  <c r="BI37" i="1"/>
  <c r="BI38" i="1"/>
  <c r="AV37" i="1"/>
  <c r="AV38" i="1"/>
  <c r="AV36" i="1"/>
  <c r="B37" i="1"/>
  <c r="B38" i="1"/>
  <c r="E50" i="2"/>
  <c r="I50" i="2"/>
  <c r="F50" i="2"/>
  <c r="AW38" i="1"/>
  <c r="F38" i="1"/>
  <c r="E38" i="1"/>
  <c r="K38" i="1"/>
  <c r="O38" i="1"/>
  <c r="L38" i="1"/>
  <c r="P38" i="1"/>
  <c r="J38" i="1"/>
  <c r="N38" i="1"/>
  <c r="BK38" i="1"/>
  <c r="I38" i="1"/>
  <c r="M38" i="1"/>
  <c r="H61" i="2"/>
  <c r="H65" i="2"/>
  <c r="I55" i="2"/>
  <c r="I54" i="2"/>
  <c r="H53" i="2"/>
  <c r="I63" i="2"/>
  <c r="F61" i="2"/>
  <c r="I62" i="2"/>
  <c r="F57" i="2"/>
  <c r="F65" i="2"/>
  <c r="I61" i="2"/>
  <c r="F53" i="2"/>
  <c r="H57" i="2"/>
  <c r="I53" i="2"/>
  <c r="E52" i="2"/>
  <c r="G52" i="2"/>
  <c r="E59" i="2"/>
  <c r="E51" i="2"/>
  <c r="G59" i="2"/>
  <c r="G51" i="2"/>
  <c r="H60" i="2"/>
  <c r="H52" i="2"/>
  <c r="F64" i="2"/>
  <c r="F56" i="2"/>
  <c r="E66" i="2"/>
  <c r="E58" i="2"/>
  <c r="G66" i="2"/>
  <c r="G58" i="2"/>
  <c r="H76" i="2"/>
  <c r="H59" i="2"/>
  <c r="H51" i="2"/>
  <c r="F63" i="2"/>
  <c r="F55" i="2"/>
  <c r="E65" i="2"/>
  <c r="E57" i="2"/>
  <c r="G65" i="2"/>
  <c r="G57" i="2"/>
  <c r="H66" i="2"/>
  <c r="H58" i="2"/>
  <c r="I60" i="2"/>
  <c r="I52" i="2"/>
  <c r="F62" i="2"/>
  <c r="F54" i="2"/>
  <c r="E60" i="2"/>
  <c r="E56" i="2"/>
  <c r="G56" i="2"/>
  <c r="G63" i="2"/>
  <c r="H56" i="2"/>
  <c r="E62" i="2"/>
  <c r="E54" i="2"/>
  <c r="G62" i="2"/>
  <c r="G54" i="2"/>
  <c r="H63" i="2"/>
  <c r="H55" i="2"/>
  <c r="F76" i="2"/>
  <c r="F59" i="2"/>
  <c r="F51" i="2"/>
  <c r="G60" i="2"/>
  <c r="E64" i="2"/>
  <c r="G64" i="2"/>
  <c r="I76" i="2"/>
  <c r="E55" i="2"/>
  <c r="H64" i="2"/>
  <c r="I66" i="2"/>
  <c r="I58" i="2"/>
  <c r="E61" i="2"/>
  <c r="E53" i="2"/>
  <c r="G50" i="2"/>
  <c r="AW15" i="1"/>
  <c r="G80" i="2"/>
  <c r="F80" i="2"/>
  <c r="H80" i="2"/>
  <c r="I80" i="2"/>
  <c r="E79" i="2"/>
  <c r="I79" i="2"/>
  <c r="G79" i="2"/>
  <c r="H79" i="2"/>
  <c r="E78" i="2"/>
  <c r="G78" i="2"/>
  <c r="H78" i="2"/>
  <c r="I78" i="2"/>
  <c r="I72" i="2"/>
  <c r="H72" i="2"/>
  <c r="E72" i="2"/>
  <c r="G72" i="2"/>
  <c r="H71" i="2"/>
  <c r="G77" i="2"/>
  <c r="H77" i="2"/>
  <c r="I77" i="2"/>
  <c r="E77" i="2"/>
  <c r="G76" i="2"/>
  <c r="F75" i="2"/>
  <c r="I75" i="2"/>
  <c r="E75" i="2"/>
  <c r="G75" i="2"/>
  <c r="F74" i="2"/>
  <c r="E74" i="2"/>
  <c r="G74" i="2"/>
  <c r="H74" i="2"/>
  <c r="G73" i="2"/>
  <c r="H73" i="2"/>
  <c r="I73" i="2"/>
  <c r="F73" i="2"/>
  <c r="I71" i="2"/>
  <c r="E71" i="2"/>
  <c r="F71" i="2"/>
  <c r="E70" i="2"/>
  <c r="H70" i="2"/>
  <c r="F70" i="2"/>
  <c r="I70" i="2"/>
  <c r="F69" i="2"/>
  <c r="G69" i="2"/>
  <c r="H69" i="2"/>
  <c r="I69" i="2"/>
  <c r="F68" i="2"/>
  <c r="H68" i="2"/>
  <c r="I68" i="2"/>
  <c r="E68" i="2"/>
  <c r="G67" i="2"/>
  <c r="F67" i="2"/>
  <c r="I67" i="2"/>
  <c r="E67" i="2"/>
  <c r="BJ15" i="1"/>
  <c r="R20" i="2"/>
  <c r="G20" i="2"/>
  <c r="AY13" i="1"/>
  <c r="AY12" i="1"/>
  <c r="AY11" i="1"/>
  <c r="S41" i="1"/>
  <c r="R40" i="1"/>
  <c r="G43" i="2"/>
  <c r="R43" i="2"/>
  <c r="R41" i="2"/>
  <c r="R42" i="2"/>
  <c r="G42" i="2"/>
  <c r="G41" i="2"/>
  <c r="R40" i="2"/>
  <c r="G40" i="2"/>
  <c r="BL33" i="1"/>
  <c r="BJ33" i="1"/>
  <c r="BA33" i="1"/>
  <c r="AX33" i="1"/>
  <c r="AM33" i="1"/>
  <c r="AN33" i="1"/>
  <c r="AC33" i="1"/>
  <c r="AD33" i="1"/>
  <c r="G39" i="2"/>
  <c r="R39" i="2"/>
  <c r="AD31" i="1"/>
  <c r="G38" i="2"/>
  <c r="R38" i="2"/>
  <c r="R37" i="2"/>
  <c r="G37" i="2"/>
  <c r="R36" i="2"/>
  <c r="G36" i="2"/>
  <c r="R35" i="2"/>
  <c r="G35" i="2"/>
  <c r="G34" i="2"/>
  <c r="R34" i="2"/>
  <c r="R33" i="2"/>
  <c r="G33" i="2"/>
  <c r="R32" i="2"/>
  <c r="G32" i="2"/>
  <c r="G31" i="2"/>
  <c r="R31" i="2"/>
  <c r="G30" i="2"/>
  <c r="R30" i="2"/>
  <c r="AW33" i="1"/>
  <c r="AY33" i="1"/>
  <c r="BK33" i="1"/>
  <c r="R29" i="2"/>
  <c r="R25" i="2"/>
  <c r="G25" i="2"/>
  <c r="G29" i="2"/>
  <c r="R28" i="2"/>
  <c r="G28" i="2"/>
  <c r="R27" i="2"/>
  <c r="G27" i="2"/>
  <c r="R26" i="2"/>
  <c r="G26" i="2"/>
  <c r="G24" i="2"/>
  <c r="R24" i="2"/>
  <c r="BL19" i="1"/>
  <c r="BJ19" i="1"/>
  <c r="AY19" i="1"/>
  <c r="AX19" i="1"/>
  <c r="AM19" i="1"/>
  <c r="AN19" i="1"/>
  <c r="AC19" i="1"/>
  <c r="R23" i="2"/>
  <c r="G23" i="2"/>
  <c r="G22" i="2"/>
  <c r="R22" i="2"/>
  <c r="G21" i="2"/>
  <c r="R21" i="2"/>
  <c r="R19" i="2"/>
  <c r="G19" i="2"/>
  <c r="R18" i="2"/>
  <c r="G18" i="2"/>
  <c r="D24" i="1"/>
  <c r="H24" i="1"/>
  <c r="AD24" i="1"/>
  <c r="AC24" i="1"/>
  <c r="AN24" i="1"/>
  <c r="AM24" i="1"/>
  <c r="AX24" i="1"/>
  <c r="BA24" i="1"/>
  <c r="BL24" i="1"/>
  <c r="BJ24" i="1"/>
  <c r="D25" i="1"/>
  <c r="H25" i="1"/>
  <c r="AD25" i="1"/>
  <c r="AC25" i="1"/>
  <c r="AN25" i="1"/>
  <c r="AM25" i="1"/>
  <c r="AX25" i="1"/>
  <c r="BA25" i="1"/>
  <c r="BL25" i="1"/>
  <c r="BK25" i="1"/>
  <c r="D26" i="1"/>
  <c r="H26" i="1"/>
  <c r="AD26" i="1"/>
  <c r="AC26" i="1"/>
  <c r="AN26" i="1"/>
  <c r="AX26" i="1"/>
  <c r="BA26" i="1"/>
  <c r="BL26" i="1"/>
  <c r="BJ26" i="1"/>
  <c r="D27" i="1"/>
  <c r="H27" i="1"/>
  <c r="AD27" i="1"/>
  <c r="AC27" i="1"/>
  <c r="AN27" i="1"/>
  <c r="AX27" i="1"/>
  <c r="BA27" i="1"/>
  <c r="BL27" i="1"/>
  <c r="BK27" i="1"/>
  <c r="D28" i="1"/>
  <c r="AD28" i="1"/>
  <c r="AC28" i="1"/>
  <c r="AN28" i="1"/>
  <c r="AX28" i="1"/>
  <c r="BA28" i="1"/>
  <c r="AY28" i="1"/>
  <c r="BL28" i="1"/>
  <c r="BJ28" i="1"/>
  <c r="D29" i="1"/>
  <c r="H29" i="1"/>
  <c r="AD29" i="1"/>
  <c r="AC29" i="1"/>
  <c r="AN29" i="1"/>
  <c r="AX29" i="1"/>
  <c r="BA29" i="1"/>
  <c r="BL29" i="1"/>
  <c r="BK29" i="1"/>
  <c r="D30" i="1"/>
  <c r="F30" i="1"/>
  <c r="AD30" i="1"/>
  <c r="AC30" i="1"/>
  <c r="AN30" i="1"/>
  <c r="AX30" i="1"/>
  <c r="BA30" i="1"/>
  <c r="BL30" i="1"/>
  <c r="BJ30" i="1"/>
  <c r="D31" i="1"/>
  <c r="AC31" i="1"/>
  <c r="AN31" i="1"/>
  <c r="AX31" i="1"/>
  <c r="BL31" i="1"/>
  <c r="BK31" i="1"/>
  <c r="D32" i="1"/>
  <c r="AD32" i="1"/>
  <c r="AC32" i="1"/>
  <c r="AN32" i="1"/>
  <c r="AX32" i="1"/>
  <c r="BA32" i="1"/>
  <c r="BL32" i="1"/>
  <c r="BJ32" i="1"/>
  <c r="D33" i="1"/>
  <c r="D34" i="1"/>
  <c r="AD34" i="1"/>
  <c r="AC34" i="1"/>
  <c r="AN34" i="1"/>
  <c r="AX34" i="1"/>
  <c r="BA34" i="1"/>
  <c r="BL34" i="1"/>
  <c r="BK34" i="1"/>
  <c r="D35" i="1"/>
  <c r="AD35" i="1"/>
  <c r="AC35" i="1"/>
  <c r="AN35" i="1"/>
  <c r="AX35" i="1"/>
  <c r="BA35" i="1"/>
  <c r="BL35" i="1"/>
  <c r="BK35" i="1"/>
  <c r="D37" i="1"/>
  <c r="AD37" i="1"/>
  <c r="AC37" i="1"/>
  <c r="AN37" i="1"/>
  <c r="AX37" i="1"/>
  <c r="BA37" i="1"/>
  <c r="AY37" i="1"/>
  <c r="BL37" i="1"/>
  <c r="BK37" i="1"/>
  <c r="D11" i="1"/>
  <c r="H11" i="1"/>
  <c r="AC11" i="1"/>
  <c r="AN11" i="1"/>
  <c r="AM11" i="1"/>
  <c r="AX11" i="1"/>
  <c r="AW11" i="1"/>
  <c r="BL11" i="1"/>
  <c r="D12" i="1"/>
  <c r="H12" i="1"/>
  <c r="AD12" i="1"/>
  <c r="AC12" i="1"/>
  <c r="AN12" i="1"/>
  <c r="AM12" i="1"/>
  <c r="AX12" i="1"/>
  <c r="AW12" i="1"/>
  <c r="BL12" i="1"/>
  <c r="BK12" i="1"/>
  <c r="H13" i="1"/>
  <c r="AD13" i="1"/>
  <c r="AC13" i="1"/>
  <c r="AN13" i="1"/>
  <c r="AM13" i="1"/>
  <c r="AX13" i="1"/>
  <c r="AW13" i="1"/>
  <c r="BL13" i="1"/>
  <c r="BK13" i="1"/>
  <c r="D14" i="1"/>
  <c r="H14" i="1"/>
  <c r="AD14" i="1"/>
  <c r="AC14" i="1"/>
  <c r="AN14" i="1"/>
  <c r="AM14" i="1"/>
  <c r="AX14" i="1"/>
  <c r="BL14" i="1"/>
  <c r="BK14" i="1"/>
  <c r="D15" i="1"/>
  <c r="H15" i="1"/>
  <c r="D16" i="1"/>
  <c r="H16" i="1"/>
  <c r="AD16" i="1"/>
  <c r="AC16" i="1"/>
  <c r="AN16" i="1"/>
  <c r="AM16" i="1"/>
  <c r="AX16" i="1"/>
  <c r="BL16" i="1"/>
  <c r="BK16" i="1"/>
  <c r="D17" i="1"/>
  <c r="H17" i="1"/>
  <c r="AD17" i="1"/>
  <c r="AC17" i="1"/>
  <c r="AN17" i="1"/>
  <c r="AM17" i="1"/>
  <c r="AX17" i="1"/>
  <c r="BL17" i="1"/>
  <c r="D18" i="1"/>
  <c r="H18" i="1"/>
  <c r="AD18" i="1"/>
  <c r="AC18" i="1"/>
  <c r="AN18" i="1"/>
  <c r="AM18" i="1"/>
  <c r="AX18" i="1"/>
  <c r="BL18" i="1"/>
  <c r="BK18" i="1"/>
  <c r="D19" i="1"/>
  <c r="H19" i="1"/>
  <c r="AD19" i="1"/>
  <c r="D20" i="1"/>
  <c r="H20" i="1"/>
  <c r="AD20" i="1"/>
  <c r="AC20" i="1"/>
  <c r="AN20" i="1"/>
  <c r="AM20" i="1"/>
  <c r="AX20" i="1"/>
  <c r="BL20" i="1"/>
  <c r="D21" i="1"/>
  <c r="H21" i="1"/>
  <c r="AD21" i="1"/>
  <c r="AC21" i="1"/>
  <c r="AN21" i="1"/>
  <c r="AM21" i="1"/>
  <c r="AX21" i="1"/>
  <c r="BA21" i="1"/>
  <c r="BL21" i="1"/>
  <c r="D22" i="1"/>
  <c r="AD22" i="1"/>
  <c r="AC22" i="1"/>
  <c r="AN22" i="1"/>
  <c r="AM22" i="1"/>
  <c r="AX22" i="1"/>
  <c r="BA22" i="1"/>
  <c r="BL22" i="1"/>
  <c r="D23" i="1"/>
  <c r="H23" i="1"/>
  <c r="AD23" i="1"/>
  <c r="AC23" i="1"/>
  <c r="AN23" i="1"/>
  <c r="AM23" i="1"/>
  <c r="AX23" i="1"/>
  <c r="BA23" i="1"/>
  <c r="BL23" i="1"/>
  <c r="BK23" i="1"/>
  <c r="H9" i="1"/>
  <c r="H10" i="1"/>
  <c r="D7" i="1"/>
  <c r="D8" i="1"/>
  <c r="D9" i="1"/>
  <c r="D10" i="1"/>
  <c r="R15" i="2"/>
  <c r="R16" i="2"/>
  <c r="R17" i="2"/>
  <c r="G15" i="2"/>
  <c r="G16" i="2"/>
  <c r="G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/>
  <c r="BL8" i="1"/>
  <c r="BK8" i="1"/>
  <c r="BL9" i="1"/>
  <c r="BK9" i="1"/>
  <c r="BL10" i="1"/>
  <c r="BK10" i="1"/>
  <c r="AY7" i="1"/>
  <c r="AY8" i="1"/>
  <c r="AX7" i="1"/>
  <c r="AX8" i="1"/>
  <c r="AX9" i="1"/>
  <c r="AX10" i="1"/>
  <c r="AM7" i="1"/>
  <c r="AM8" i="1"/>
  <c r="AM9" i="1"/>
  <c r="AM10" i="1"/>
  <c r="G12" i="1"/>
  <c r="AW35" i="1"/>
  <c r="AY35" i="1"/>
  <c r="L35" i="1"/>
  <c r="P35" i="1"/>
  <c r="AW34" i="1"/>
  <c r="AY34" i="1"/>
  <c r="I34" i="1"/>
  <c r="M34" i="1"/>
  <c r="AW32" i="1"/>
  <c r="AY32" i="1"/>
  <c r="K32" i="1"/>
  <c r="O32" i="1"/>
  <c r="AW31" i="1"/>
  <c r="AY31" i="1"/>
  <c r="K31" i="1"/>
  <c r="O31" i="1"/>
  <c r="AW30" i="1"/>
  <c r="AY30" i="1"/>
  <c r="L30" i="1"/>
  <c r="P30" i="1"/>
  <c r="AW29" i="1"/>
  <c r="AY29" i="1"/>
  <c r="J29" i="1"/>
  <c r="N29" i="1"/>
  <c r="AW27" i="1"/>
  <c r="AY27" i="1"/>
  <c r="J27" i="1"/>
  <c r="N27" i="1"/>
  <c r="AW26" i="1"/>
  <c r="AY26" i="1"/>
  <c r="I26" i="1"/>
  <c r="M26" i="1"/>
  <c r="AW25" i="1"/>
  <c r="AY25" i="1"/>
  <c r="K25" i="1"/>
  <c r="O25" i="1"/>
  <c r="AW24" i="1"/>
  <c r="AY24" i="1"/>
  <c r="K24" i="1"/>
  <c r="O24" i="1"/>
  <c r="AW23" i="1"/>
  <c r="AY23" i="1"/>
  <c r="I23" i="1"/>
  <c r="M23" i="1"/>
  <c r="AW22" i="1"/>
  <c r="AY22" i="1"/>
  <c r="I22" i="1"/>
  <c r="M22" i="1"/>
  <c r="AW21" i="1"/>
  <c r="AY21" i="1"/>
  <c r="I21" i="1"/>
  <c r="M21" i="1"/>
  <c r="AW20" i="1"/>
  <c r="AY20" i="1"/>
  <c r="K20" i="1"/>
  <c r="O20" i="1"/>
  <c r="AW18" i="1"/>
  <c r="AY18" i="1"/>
  <c r="I18" i="1"/>
  <c r="M18" i="1"/>
  <c r="AW17" i="1"/>
  <c r="AY17" i="1"/>
  <c r="I17" i="1"/>
  <c r="M17" i="1"/>
  <c r="AW16" i="1"/>
  <c r="AY16" i="1"/>
  <c r="I16" i="1"/>
  <c r="M16" i="1"/>
  <c r="AW14" i="1"/>
  <c r="AY14" i="1"/>
  <c r="I14" i="1"/>
  <c r="M14" i="1"/>
  <c r="AW10" i="1"/>
  <c r="AY10" i="1"/>
  <c r="J10" i="1"/>
  <c r="N10" i="1"/>
  <c r="AW9" i="1"/>
  <c r="AY9" i="1"/>
  <c r="I9" i="1"/>
  <c r="M9" i="1"/>
  <c r="AW28" i="1"/>
  <c r="L28" i="1"/>
  <c r="P28" i="1"/>
  <c r="F13" i="1"/>
  <c r="E13" i="1"/>
  <c r="BK32" i="1"/>
  <c r="G24" i="1"/>
  <c r="I19" i="1"/>
  <c r="M19" i="1"/>
  <c r="G15" i="1"/>
  <c r="BJ25" i="1"/>
  <c r="BK19" i="1"/>
  <c r="F16" i="1"/>
  <c r="E16" i="1"/>
  <c r="AW37" i="1"/>
  <c r="J37" i="1"/>
  <c r="N37" i="1"/>
  <c r="BJ37" i="1"/>
  <c r="F37" i="1"/>
  <c r="E37" i="1"/>
  <c r="BJ35" i="1"/>
  <c r="BJ34" i="1"/>
  <c r="F35" i="1"/>
  <c r="E35" i="1"/>
  <c r="F34" i="1"/>
  <c r="E34" i="1"/>
  <c r="F33" i="1"/>
  <c r="E33" i="1"/>
  <c r="F32" i="1"/>
  <c r="E32" i="1"/>
  <c r="BJ31" i="1"/>
  <c r="F31" i="1"/>
  <c r="E31" i="1"/>
  <c r="BK30" i="1"/>
  <c r="E30" i="1"/>
  <c r="BJ29" i="1"/>
  <c r="F29" i="1"/>
  <c r="E29" i="1"/>
  <c r="BJ27" i="1"/>
  <c r="AW19" i="1"/>
  <c r="G18" i="1"/>
  <c r="F18" i="1"/>
  <c r="E18" i="1"/>
  <c r="G19" i="1"/>
  <c r="F17" i="1"/>
  <c r="E17" i="1"/>
  <c r="F19" i="1"/>
  <c r="E19" i="1"/>
  <c r="G17" i="1"/>
  <c r="G16" i="1"/>
  <c r="F15" i="1"/>
  <c r="E15" i="1"/>
  <c r="G14" i="1"/>
  <c r="F14" i="1"/>
  <c r="E14" i="1"/>
  <c r="G13" i="1"/>
  <c r="K12" i="1"/>
  <c r="O12" i="1"/>
  <c r="L12" i="1"/>
  <c r="P12" i="1"/>
  <c r="F12" i="1"/>
  <c r="E12" i="1"/>
  <c r="I11" i="1"/>
  <c r="M11" i="1"/>
  <c r="F11" i="1"/>
  <c r="E11" i="1"/>
  <c r="F10" i="1"/>
  <c r="E10" i="1"/>
  <c r="F9" i="1"/>
  <c r="E9" i="1"/>
  <c r="G8" i="1"/>
  <c r="I15" i="1"/>
  <c r="M15" i="1"/>
  <c r="I13" i="1"/>
  <c r="M13" i="1"/>
  <c r="G37" i="1"/>
  <c r="G35" i="1"/>
  <c r="K33" i="1"/>
  <c r="O33" i="1"/>
  <c r="G33" i="1"/>
  <c r="G31" i="1"/>
  <c r="G29" i="1"/>
  <c r="F27" i="1"/>
  <c r="E27" i="1"/>
  <c r="F25" i="1"/>
  <c r="E25" i="1"/>
  <c r="F8" i="1"/>
  <c r="E8" i="1"/>
  <c r="F23" i="1"/>
  <c r="E23" i="1"/>
  <c r="F22" i="1"/>
  <c r="E22" i="1"/>
  <c r="F21" i="1"/>
  <c r="E21" i="1"/>
  <c r="F20" i="1"/>
  <c r="E20" i="1"/>
  <c r="AW8" i="1"/>
  <c r="G11" i="1"/>
  <c r="G34" i="1"/>
  <c r="G32" i="1"/>
  <c r="G30" i="1"/>
  <c r="BK28" i="1"/>
  <c r="F28" i="1"/>
  <c r="E28" i="1"/>
  <c r="BK26" i="1"/>
  <c r="F26" i="1"/>
  <c r="E26" i="1"/>
  <c r="BK24" i="1"/>
  <c r="BK22" i="1"/>
  <c r="L19" i="1"/>
  <c r="P19" i="1"/>
  <c r="BK17" i="1"/>
  <c r="BK21" i="1"/>
  <c r="BK20" i="1"/>
  <c r="BJ10" i="1"/>
  <c r="BK11" i="1"/>
  <c r="F24" i="1"/>
  <c r="E24" i="1"/>
  <c r="BJ9" i="1"/>
  <c r="L33" i="1"/>
  <c r="P33" i="1"/>
  <c r="I33" i="1"/>
  <c r="M33" i="1"/>
  <c r="J33" i="1"/>
  <c r="N33" i="1"/>
  <c r="AM37" i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/>
  <c r="J19" i="1"/>
  <c r="N19" i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/>
  <c r="L8" i="1"/>
  <c r="P8" i="1"/>
  <c r="K8" i="1"/>
  <c r="O8" i="1"/>
  <c r="G10" i="1"/>
  <c r="I8" i="1"/>
  <c r="M8" i="1"/>
  <c r="G9" i="1"/>
  <c r="I7" i="1"/>
  <c r="M7" i="1"/>
  <c r="J7" i="1"/>
  <c r="N7" i="1"/>
  <c r="L7" i="1"/>
  <c r="P7" i="1"/>
  <c r="AW7" i="1"/>
  <c r="K7" i="1"/>
  <c r="O7" i="1"/>
  <c r="AC7" i="1"/>
  <c r="G7" i="1"/>
  <c r="F7" i="1"/>
  <c r="E7" i="1"/>
  <c r="BJ8" i="1"/>
  <c r="BJ7" i="1"/>
  <c r="U15" i="2"/>
  <c r="U16" i="2"/>
  <c r="U17" i="2"/>
  <c r="U18" i="2"/>
  <c r="U19" i="2"/>
  <c r="I15" i="2"/>
  <c r="I16" i="2"/>
  <c r="I17" i="2"/>
  <c r="I18" i="2"/>
  <c r="I19" i="2"/>
  <c r="I20" i="2"/>
  <c r="I21" i="2"/>
  <c r="I22" i="2"/>
  <c r="I23" i="2"/>
  <c r="I24" i="2"/>
  <c r="I25" i="2"/>
  <c r="AL8" i="1"/>
  <c r="AL9" i="1"/>
  <c r="AL10" i="1"/>
  <c r="AL11" i="1"/>
  <c r="AL12" i="1"/>
  <c r="AL13" i="1"/>
  <c r="AL14" i="1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I32" i="1"/>
  <c r="M32" i="1"/>
  <c r="L34" i="1"/>
  <c r="P34" i="1"/>
  <c r="J35" i="1"/>
  <c r="N35" i="1"/>
  <c r="K34" i="1"/>
  <c r="O34" i="1"/>
  <c r="J34" i="1"/>
  <c r="N34" i="1"/>
  <c r="AL15" i="1"/>
  <c r="AL16" i="1"/>
  <c r="AL17" i="1"/>
  <c r="AL18" i="1"/>
  <c r="AL19" i="1"/>
  <c r="K22" i="1"/>
  <c r="O22" i="1"/>
  <c r="L9" i="1"/>
  <c r="P9" i="1"/>
  <c r="K9" i="1"/>
  <c r="O9" i="1"/>
  <c r="J9" i="1"/>
  <c r="N9" i="1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K11" i="1"/>
  <c r="O11" i="1"/>
  <c r="K23" i="1"/>
  <c r="O23" i="1"/>
  <c r="J24" i="1"/>
  <c r="N24" i="1"/>
  <c r="K18" i="1"/>
  <c r="O18" i="1"/>
  <c r="J26" i="1"/>
  <c r="N26" i="1"/>
  <c r="L26" i="1"/>
  <c r="P26" i="1"/>
  <c r="K35" i="1"/>
  <c r="O35" i="1"/>
  <c r="K37" i="1"/>
  <c r="O37" i="1"/>
  <c r="I35" i="1"/>
  <c r="M35" i="1"/>
  <c r="J30" i="1"/>
  <c r="N30" i="1"/>
  <c r="L29" i="1"/>
  <c r="P29" i="1"/>
  <c r="I29" i="1"/>
  <c r="M29" i="1"/>
  <c r="K29" i="1"/>
  <c r="O29" i="1"/>
  <c r="I28" i="1"/>
  <c r="M28" i="1"/>
  <c r="K26" i="1"/>
  <c r="O26" i="1"/>
  <c r="I25" i="1"/>
  <c r="M25" i="1"/>
  <c r="L25" i="1"/>
  <c r="P25" i="1"/>
  <c r="I20" i="1"/>
  <c r="M20" i="1"/>
  <c r="J20" i="1"/>
  <c r="N20" i="1"/>
  <c r="L20" i="1"/>
  <c r="P20" i="1"/>
  <c r="L24" i="1"/>
  <c r="P24" i="1"/>
  <c r="J18" i="1"/>
  <c r="N18" i="1"/>
  <c r="L18" i="1"/>
  <c r="P18" i="1"/>
  <c r="L21" i="1"/>
  <c r="P21" i="1"/>
  <c r="K21" i="1"/>
  <c r="O21" i="1"/>
  <c r="K17" i="1"/>
  <c r="O17" i="1"/>
  <c r="J17" i="1"/>
  <c r="N17" i="1"/>
  <c r="J16" i="1"/>
  <c r="N16" i="1"/>
  <c r="K16" i="1"/>
  <c r="O16" i="1"/>
  <c r="L16" i="1"/>
  <c r="P16" i="1"/>
  <c r="L15" i="1"/>
  <c r="P15" i="1"/>
  <c r="K15" i="1"/>
  <c r="O15" i="1"/>
  <c r="J15" i="1"/>
  <c r="N15" i="1"/>
  <c r="L14" i="1"/>
  <c r="P14" i="1"/>
  <c r="J14" i="1"/>
  <c r="N14" i="1"/>
  <c r="K14" i="1"/>
  <c r="O14" i="1"/>
  <c r="K13" i="1"/>
  <c r="O13" i="1"/>
  <c r="J12" i="1"/>
  <c r="N12" i="1"/>
  <c r="I12" i="1"/>
  <c r="M12" i="1"/>
  <c r="L11" i="1"/>
  <c r="P11" i="1"/>
  <c r="J11" i="1"/>
  <c r="N11" i="1"/>
  <c r="L10" i="1"/>
  <c r="P10" i="1"/>
  <c r="I10" i="1"/>
  <c r="M10" i="1"/>
  <c r="K10" i="1"/>
  <c r="O10" i="1"/>
  <c r="L32" i="1"/>
  <c r="P32" i="1"/>
  <c r="K27" i="1"/>
  <c r="O27" i="1"/>
  <c r="J32" i="1"/>
  <c r="N32" i="1"/>
  <c r="I27" i="1"/>
  <c r="M27" i="1"/>
  <c r="L22" i="1"/>
  <c r="P22" i="1"/>
  <c r="J25" i="1"/>
  <c r="N25" i="1"/>
  <c r="L27" i="1"/>
  <c r="P27" i="1"/>
  <c r="I24" i="1"/>
  <c r="M24" i="1"/>
  <c r="K28" i="1"/>
  <c r="O28" i="1"/>
  <c r="J31" i="1"/>
  <c r="N31" i="1"/>
  <c r="J13" i="1"/>
  <c r="N13" i="1"/>
  <c r="I37" i="1"/>
  <c r="M37" i="1"/>
  <c r="L13" i="1"/>
  <c r="P13" i="1"/>
  <c r="J22" i="1"/>
  <c r="N22" i="1"/>
  <c r="L37" i="1"/>
  <c r="P37" i="1"/>
  <c r="L23" i="1"/>
  <c r="P23" i="1"/>
  <c r="J23" i="1"/>
  <c r="N23" i="1"/>
  <c r="J28" i="1"/>
  <c r="N28" i="1"/>
  <c r="I31" i="1"/>
  <c r="M31" i="1"/>
  <c r="L17" i="1"/>
  <c r="P17" i="1"/>
  <c r="I30" i="1"/>
  <c r="M30" i="1"/>
  <c r="J21" i="1"/>
  <c r="N21" i="1"/>
  <c r="L31" i="1"/>
  <c r="P31" i="1"/>
  <c r="K30" i="1"/>
  <c r="O30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I40" i="2"/>
  <c r="I41" i="2"/>
  <c r="I42" i="2"/>
  <c r="I43" i="2"/>
  <c r="U40" i="2"/>
  <c r="U41" i="2"/>
  <c r="U42" i="2"/>
  <c r="U43" i="2"/>
  <c r="B15" i="2"/>
  <c r="U45" i="2"/>
  <c r="U46" i="2"/>
  <c r="U44" i="2"/>
  <c r="I44" i="2"/>
  <c r="I45" i="2"/>
  <c r="I46" i="2"/>
  <c r="AL36" i="1"/>
  <c r="AL37" i="1"/>
  <c r="AL38" i="1"/>
  <c r="B16" i="2"/>
  <c r="M15" i="2"/>
  <c r="B17" i="2"/>
  <c r="M16" i="2"/>
  <c r="B18" i="2"/>
  <c r="M17" i="2"/>
  <c r="B19" i="2"/>
  <c r="M18" i="2"/>
  <c r="B20" i="2"/>
  <c r="M19" i="2"/>
  <c r="M20" i="2"/>
  <c r="B21" i="2"/>
  <c r="B22" i="2"/>
  <c r="M21" i="2"/>
  <c r="B23" i="2"/>
  <c r="M22" i="2"/>
  <c r="B24" i="2"/>
  <c r="M23" i="2"/>
  <c r="B25" i="2"/>
  <c r="M24" i="2"/>
  <c r="B26" i="2"/>
  <c r="M25" i="2"/>
  <c r="B27" i="2"/>
  <c r="M26" i="2"/>
  <c r="B28" i="2"/>
  <c r="M27" i="2"/>
  <c r="B29" i="2"/>
  <c r="M28" i="2"/>
  <c r="B30" i="2"/>
  <c r="M29" i="2"/>
  <c r="B31" i="2"/>
  <c r="M30" i="2"/>
  <c r="B32" i="2"/>
  <c r="M31" i="2"/>
  <c r="B33" i="2"/>
  <c r="M32" i="2"/>
  <c r="B34" i="2"/>
  <c r="M33" i="2"/>
  <c r="B35" i="2"/>
  <c r="M34" i="2"/>
  <c r="B36" i="2"/>
  <c r="M35" i="2"/>
  <c r="B37" i="2"/>
  <c r="M36" i="2"/>
  <c r="B38" i="2"/>
  <c r="M37" i="2"/>
  <c r="B39" i="2"/>
  <c r="M38" i="2"/>
  <c r="B40" i="2"/>
  <c r="M39" i="2"/>
  <c r="B41" i="2"/>
  <c r="B42" i="2"/>
  <c r="B43" i="2"/>
  <c r="M40" i="2"/>
  <c r="B45" i="2"/>
  <c r="B46" i="2"/>
  <c r="B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<sst xmlns="http://schemas.openxmlformats.org/spreadsheetml/2006/main" count="125" uniqueCount="72">
  <si>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</si>
  <si>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</si>
  <si>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</si>
  <si>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</si>
  <si>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</si>
  <si>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</si>
  <si>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</si>
  <si>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</si>
  <si>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</si>
  <si>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</si>
  <si>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</si>
  <si>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</si>
  <si>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</si>
  <si>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</si>
  <si>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</si>
  <si>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</si>
  <si>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</si>
  <si>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</si>
  <si>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</si>
  <si>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</si>
  <si>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</si>
  <si>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</si>
  <si>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</si>
  <si>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</si>
  <si>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</si>
  <si>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</si>
  <si>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</si>
  <si>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</si>
  <si>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</si>
  <si>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</si>
  <si>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</si>
  <si>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</si>
  <si>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</si>
  <si>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</si>
  <si>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</si>
  <si>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</si>
  <si>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</si>
  <si>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</si>
  <si>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</si>
  <si>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</si>
  <si>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</si>
  <si>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</si>
  <si>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</si>
  <si>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</si>
  <si>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</si>
  <si>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</si>
  <si>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</si>
  <si>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</si>
  <si>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</si>
  <si>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</si>
  <si>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</si>
  <si>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</si>
  <si>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</si>
  <si>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</si>
  <si>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</si>
  <si>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</si>
  <si>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</si>
  <si>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</si>
  <si>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</si>
  <si>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</si>
  <si>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</si>
  <si>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</si>
  <si>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</si>
  <si>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</si>
  <si>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</si>
  <si>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</si>
  <si>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</si>
  <si>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</si>
  <si>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</si>
  <si>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>15_05</t>
  </si>
  <si>
    <t>0.00</t>
  </si>
  <si>
    <t>06.50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</si>
</sst>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7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5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20" fontId="4" fillId="5" borderId="37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5" fontId="4" fillId="5" borderId="36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8" xfId="0" applyBorder="1"/>
    <xf numFmtId="0" fontId="0" fillId="5" borderId="34" xfId="0" applyFill="1" applyBorder="1"/>
    <xf numFmtId="0" fontId="0" fillId="5" borderId="37" xfId="0" applyFill="1" applyBorder="1"/>
    <xf numFmtId="0" fontId="0" fillId="5" borderId="36" xfId="0" applyFill="1" applyBorder="1"/>
    <xf numFmtId="0" fontId="0" fillId="5" borderId="5" xfId="0" applyFill="1" applyBorder="1"/>
    <xf numFmtId="0" fontId="0" fillId="5" borderId="35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6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8" xfId="0" applyFill="1" applyBorder="1"/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6" fontId="4" fillId="5" borderId="33" xfId="2" applyNumberFormat="1" applyFont="1" applyFill="1" applyBorder="1" applyAlignment="1">
      <alignment horizontal="center"/>
    </xf>
    <xf numFmtId="0" fontId="0" fillId="0" borderId="0" xfId="0"/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9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9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3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3" xfId="2" applyNumberFormat="1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5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9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9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40" xfId="0" applyFont="1" applyFill="1" applyBorder="1" applyAlignment="1">
      <alignment horizontal="center"/>
    </xf>
    <xf numFmtId="9" fontId="8" fillId="3" borderId="48" xfId="2" applyFont="1" applyFill="1" applyBorder="1" applyAlignment="1">
      <alignment horizontal="center"/>
    </xf>
    <xf numFmtId="1" fontId="8" fillId="0" borderId="48" xfId="0" applyNumberFormat="1" applyFont="1" applyFill="1" applyBorder="1" applyAlignment="1">
      <alignment horizontal="center"/>
    </xf>
    <xf numFmtId="1" fontId="8" fillId="3" borderId="48" xfId="0" applyNumberFormat="1" applyFont="1" applyFill="1" applyBorder="1" applyAlignment="1">
      <alignment horizontal="center"/>
    </xf>
    <xf numFmtId="0" fontId="8" fillId="9" borderId="48" xfId="0" applyFont="1" applyFill="1" applyBorder="1" applyAlignment="1">
      <alignment horizontal="center"/>
    </xf>
    <xf numFmtId="1" fontId="8" fillId="9" borderId="48" xfId="0" applyNumberFormat="1" applyFont="1" applyFill="1" applyBorder="1"/>
    <xf numFmtId="168" fontId="8" fillId="9" borderId="48" xfId="0" applyNumberFormat="1" applyFont="1" applyFill="1" applyBorder="1"/>
    <xf numFmtId="9" fontId="8" fillId="0" borderId="48" xfId="0" applyNumberFormat="1" applyFont="1" applyFill="1" applyBorder="1" applyAlignment="1">
      <alignment horizontal="center"/>
    </xf>
    <xf numFmtId="165" fontId="8" fillId="3" borderId="48" xfId="0" applyNumberFormat="1" applyFont="1" applyFill="1" applyBorder="1" applyAlignment="1">
      <alignment horizontal="center"/>
    </xf>
    <xf numFmtId="166" fontId="8" fillId="9" borderId="48" xfId="0" applyNumberFormat="1" applyFont="1" applyFill="1" applyBorder="1" applyAlignment="1">
      <alignment horizontal="center"/>
    </xf>
    <xf numFmtId="165" fontId="8" fillId="9" borderId="48" xfId="0" applyNumberFormat="1" applyFont="1" applyFill="1" applyBorder="1" applyAlignment="1">
      <alignment horizontal="center"/>
    </xf>
    <xf numFmtId="168" fontId="8" fillId="9" borderId="48" xfId="0" applyNumberFormat="1" applyFont="1" applyFill="1" applyBorder="1" applyAlignment="1">
      <alignment horizontal="center"/>
    </xf>
    <xf numFmtId="1" fontId="8" fillId="9" borderId="48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1" xfId="1" applyNumberFormat="1" applyFont="1" applyFill="1" applyBorder="1" applyAlignment="1">
      <alignment horizontal="center"/>
    </xf>
    <xf numFmtId="166" fontId="8" fillId="0" borderId="39" xfId="1" applyNumberFormat="1" applyFont="1" applyFill="1" applyBorder="1" applyAlignment="1">
      <alignment horizontal="center"/>
    </xf>
    <xf numFmtId="165" fontId="8" fillId="0" borderId="51" xfId="0" applyNumberFormat="1" applyFont="1" applyFill="1" applyBorder="1" applyAlignment="1">
      <alignment horizontal="center"/>
    </xf>
    <xf numFmtId="166" fontId="8" fillId="0" borderId="48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/>
    </xf>
    <xf numFmtId="165" fontId="8" fillId="5" borderId="31" xfId="2" applyNumberFormat="1" applyFont="1" applyFill="1" applyBorder="1"/>
    <xf numFmtId="165" fontId="8" fillId="5" borderId="30" xfId="2" applyNumberFormat="1" applyFont="1" applyFill="1" applyBorder="1"/>
    <xf numFmtId="166" fontId="8" fillId="5" borderId="51" xfId="1" applyNumberFormat="1" applyFont="1" applyFill="1" applyBorder="1"/>
    <xf numFmtId="167" fontId="8" fillId="5" borderId="30" xfId="1" applyNumberFormat="1" applyFont="1" applyFill="1" applyBorder="1" applyAlignment="1">
      <alignment horizontal="center"/>
    </xf>
    <xf numFmtId="165" fontId="8" fillId="8" borderId="30" xfId="0" applyNumberFormat="1" applyFont="1" applyFill="1" applyBorder="1"/>
    <xf numFmtId="165" fontId="8" fillId="8" borderId="30" xfId="2" applyNumberFormat="1" applyFont="1" applyFill="1" applyBorder="1" applyAlignment="1">
      <alignment horizontal="center"/>
    </xf>
    <xf numFmtId="166" fontId="8" fillId="8" borderId="30" xfId="1" applyNumberFormat="1" applyFont="1" applyFill="1" applyBorder="1" applyAlignment="1">
      <alignment horizontal="center"/>
    </xf>
    <xf numFmtId="167" fontId="8" fillId="8" borderId="30" xfId="0" applyNumberFormat="1" applyFont="1" applyFill="1" applyBorder="1" applyAlignment="1">
      <alignment horizontal="center"/>
    </xf>
    <xf numFmtId="20" fontId="8" fillId="8" borderId="30" xfId="0" applyNumberFormat="1" applyFont="1" applyFill="1" applyBorder="1" applyAlignment="1">
      <alignment horizontal="center"/>
    </xf>
    <xf numFmtId="165" fontId="8" fillId="7" borderId="51" xfId="2" applyNumberFormat="1" applyFont="1" applyFill="1" applyBorder="1" applyAlignment="1">
      <alignment horizontal="center"/>
    </xf>
    <xf numFmtId="165" fontId="8" fillId="7" borderId="31" xfId="2" applyNumberFormat="1" applyFont="1" applyFill="1" applyBorder="1" applyAlignment="1">
      <alignment horizontal="center"/>
    </xf>
    <xf numFmtId="166" fontId="8" fillId="7" borderId="30" xfId="1" applyNumberFormat="1" applyFont="1" applyFill="1" applyBorder="1" applyAlignment="1">
      <alignment horizontal="center"/>
    </xf>
    <xf numFmtId="167" fontId="8" fillId="7" borderId="51" xfId="0" applyNumberFormat="1" applyFont="1" applyFill="1" applyBorder="1" applyAlignment="1">
      <alignment horizontal="center"/>
    </xf>
    <xf numFmtId="167" fontId="8" fillId="7" borderId="47" xfId="0" applyNumberFormat="1" applyFont="1" applyFill="1" applyBorder="1" applyAlignment="1">
      <alignment horizontal="center"/>
    </xf>
    <xf numFmtId="166" fontId="8" fillId="9" borderId="55" xfId="0" applyNumberFormat="1" applyFont="1" applyFill="1" applyBorder="1" applyAlignment="1">
      <alignment horizontal="center"/>
    </xf>
    <xf numFmtId="165" fontId="8" fillId="9" borderId="55" xfId="0" applyNumberFormat="1" applyFont="1" applyFill="1" applyBorder="1" applyAlignment="1">
      <alignment horizontal="center"/>
    </xf>
    <xf numFmtId="168" fontId="8" fillId="9" borderId="55" xfId="0" applyNumberFormat="1" applyFont="1" applyFill="1" applyBorder="1" applyAlignment="1">
      <alignment horizontal="center"/>
    </xf>
    <xf numFmtId="1" fontId="8" fillId="9" borderId="55" xfId="0" applyNumberFormat="1" applyFont="1" applyFill="1" applyBorder="1" applyAlignment="1">
      <alignment horizontal="center"/>
    </xf>
    <xf numFmtId="165" fontId="8" fillId="5" borderId="30" xfId="2" applyNumberFormat="1" applyFont="1" applyFill="1" applyBorder="1" applyAlignment="1">
      <alignment horizontal="center"/>
    </xf>
    <xf numFmtId="166" fontId="8" fillId="5" borderId="31" xfId="1" applyNumberFormat="1" applyFont="1" applyFill="1" applyBorder="1" applyAlignment="1">
      <alignment horizontal="center"/>
    </xf>
    <xf numFmtId="167" fontId="8" fillId="5" borderId="30" xfId="0" applyNumberFormat="1" applyFont="1" applyFill="1" applyBorder="1" applyAlignment="1">
      <alignment horizontal="center"/>
    </xf>
    <xf numFmtId="166" fontId="8" fillId="5" borderId="51" xfId="1" applyNumberFormat="1" applyFont="1" applyFill="1" applyBorder="1" applyAlignment="1">
      <alignment horizontal="center"/>
    </xf>
    <xf numFmtId="0" fontId="0" fillId="0" borderId="56" xfId="0" applyBorder="1"/>
    <xf numFmtId="0" fontId="4" fillId="3" borderId="58" xfId="0" applyFont="1" applyFill="1" applyBorder="1" applyAlignment="1">
      <alignment horizontal="center"/>
    </xf>
    <xf numFmtId="0" fontId="8" fillId="0" borderId="58" xfId="0" applyFont="1" applyFill="1" applyBorder="1"/>
    <xf numFmtId="0" fontId="8" fillId="0" borderId="58" xfId="0" applyFont="1" applyFill="1" applyBorder="1" applyAlignment="1">
      <alignment horizontal="center" vertical="center" wrapText="1"/>
    </xf>
    <xf numFmtId="0" fontId="8" fillId="0" borderId="58" xfId="0" applyFont="1" applyBorder="1"/>
    <xf numFmtId="0" fontId="4" fillId="0" borderId="58" xfId="0" applyFont="1" applyBorder="1"/>
    <xf numFmtId="0" fontId="0" fillId="0" borderId="58" xfId="0" applyBorder="1"/>
    <xf numFmtId="0" fontId="0" fillId="0" borderId="65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7" xfId="0" applyNumberFormat="1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165" fontId="8" fillId="5" borderId="68" xfId="2" applyNumberFormat="1" applyFont="1" applyFill="1" applyBorder="1"/>
    <xf numFmtId="165" fontId="8" fillId="5" borderId="57" xfId="2" applyNumberFormat="1" applyFont="1" applyFill="1" applyBorder="1"/>
    <xf numFmtId="166" fontId="8" fillId="5" borderId="67" xfId="1" applyNumberFormat="1" applyFont="1" applyFill="1" applyBorder="1"/>
    <xf numFmtId="167" fontId="8" fillId="5" borderId="57" xfId="1" applyNumberFormat="1" applyFont="1" applyFill="1" applyBorder="1" applyAlignment="1">
      <alignment horizontal="center"/>
    </xf>
    <xf numFmtId="9" fontId="8" fillId="3" borderId="57" xfId="2" applyFont="1" applyFill="1" applyBorder="1" applyAlignment="1">
      <alignment horizontal="center"/>
    </xf>
    <xf numFmtId="9" fontId="8" fillId="3" borderId="67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7" xfId="2" applyNumberFormat="1" applyFont="1" applyFill="1" applyBorder="1" applyAlignment="1">
      <alignment horizontal="center"/>
    </xf>
    <xf numFmtId="165" fontId="8" fillId="8" borderId="57" xfId="2" applyNumberFormat="1" applyFont="1" applyFill="1" applyBorder="1" applyAlignment="1">
      <alignment horizontal="center"/>
    </xf>
    <xf numFmtId="166" fontId="8" fillId="8" borderId="57" xfId="1" applyNumberFormat="1" applyFont="1" applyFill="1" applyBorder="1" applyAlignment="1">
      <alignment horizontal="center"/>
    </xf>
    <xf numFmtId="167" fontId="8" fillId="8" borderId="57" xfId="0" applyNumberFormat="1" applyFont="1" applyFill="1" applyBorder="1" applyAlignment="1">
      <alignment horizontal="center"/>
    </xf>
    <xf numFmtId="165" fontId="8" fillId="7" borderId="67" xfId="2" applyNumberFormat="1" applyFont="1" applyFill="1" applyBorder="1" applyAlignment="1">
      <alignment horizontal="center"/>
    </xf>
    <xf numFmtId="165" fontId="8" fillId="7" borderId="68" xfId="2" applyNumberFormat="1" applyFont="1" applyFill="1" applyBorder="1" applyAlignment="1">
      <alignment horizontal="center"/>
    </xf>
    <xf numFmtId="166" fontId="8" fillId="7" borderId="57" xfId="1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7" fontId="8" fillId="7" borderId="69" xfId="0" applyNumberFormat="1" applyFont="1" applyFill="1" applyBorder="1" applyAlignment="1">
      <alignment horizontal="center"/>
    </xf>
    <xf numFmtId="165" fontId="8" fillId="5" borderId="57" xfId="2" applyNumberFormat="1" applyFont="1" applyFill="1" applyBorder="1" applyAlignment="1">
      <alignment horizontal="center"/>
    </xf>
    <xf numFmtId="166" fontId="8" fillId="5" borderId="68" xfId="1" applyNumberFormat="1" applyFont="1" applyFill="1" applyBorder="1" applyAlignment="1">
      <alignment horizontal="center"/>
    </xf>
    <xf numFmtId="167" fontId="8" fillId="5" borderId="57" xfId="0" applyNumberFormat="1" applyFont="1" applyFill="1" applyBorder="1" applyAlignment="1">
      <alignment horizontal="center"/>
    </xf>
    <xf numFmtId="166" fontId="8" fillId="5" borderId="67" xfId="1" applyNumberFormat="1" applyFont="1" applyFill="1" applyBorder="1" applyAlignment="1">
      <alignment horizontal="center"/>
    </xf>
    <xf numFmtId="9" fontId="8" fillId="0" borderId="57" xfId="2" applyFont="1" applyFill="1" applyBorder="1" applyAlignment="1">
      <alignment horizontal="center"/>
    </xf>
    <xf numFmtId="9" fontId="8" fillId="0" borderId="68" xfId="2" applyFont="1" applyFill="1" applyBorder="1" applyAlignment="1">
      <alignment horizontal="center"/>
    </xf>
    <xf numFmtId="9" fontId="8" fillId="0" borderId="69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165" fontId="8" fillId="8" borderId="57" xfId="0" applyNumberFormat="1" applyFont="1" applyFill="1" applyBorder="1"/>
    <xf numFmtId="0" fontId="4" fillId="0" borderId="67" xfId="0" applyFont="1" applyFill="1" applyBorder="1" applyAlignment="1">
      <alignment horizontal="center"/>
    </xf>
    <xf numFmtId="20" fontId="8" fillId="8" borderId="57" xfId="0" applyNumberFormat="1" applyFont="1" applyFill="1" applyBorder="1" applyAlignment="1">
      <alignment horizontal="center"/>
    </xf>
    <xf numFmtId="0" fontId="0" fillId="0" borderId="65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8" xfId="0" applyNumberFormat="1" applyFont="1" applyBorder="1" applyAlignment="1">
      <alignment horizontal="center"/>
    </xf>
    <xf numFmtId="165" fontId="8" fillId="0" borderId="51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60" xfId="2" applyNumberFormat="1" applyFont="1" applyFill="1" applyBorder="1" applyAlignment="1">
      <alignment horizontal="center"/>
    </xf>
    <xf numFmtId="167" fontId="4" fillId="5" borderId="60" xfId="0" applyNumberFormat="1" applyFont="1" applyFill="1" applyBorder="1" applyAlignment="1">
      <alignment horizontal="center"/>
    </xf>
    <xf numFmtId="165" fontId="4" fillId="5" borderId="60" xfId="2" applyNumberFormat="1" applyFont="1" applyFill="1" applyBorder="1" applyAlignment="1">
      <alignment horizontal="center"/>
    </xf>
    <xf numFmtId="165" fontId="4" fillId="0" borderId="60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60" xfId="0" applyBorder="1"/>
    <xf numFmtId="9" fontId="0" fillId="0" borderId="60" xfId="2" applyFont="1" applyBorder="1"/>
    <xf numFmtId="165" fontId="0" fillId="0" borderId="60" xfId="0" applyNumberFormat="1" applyBorder="1"/>
    <xf numFmtId="14" fontId="0" fillId="0" borderId="60" xfId="0" applyNumberFormat="1" applyBorder="1"/>
    <xf numFmtId="165" fontId="9" fillId="9" borderId="48" xfId="0" applyNumberFormat="1" applyFont="1" applyFill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3" fillId="2" borderId="57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3" xfId="0" applyFont="1" applyFill="1" applyBorder="1" applyAlignment="1">
      <alignment horizontal="center" vertical="center" wrapText="1"/>
    </xf>
    <xf numFmtId="0" fontId="8" fillId="4" borderId="58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4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26669</c:v>
                </c:pt>
                <c:pt idx="1">
                  <c:v>53542</c:v>
                </c:pt>
                <c:pt idx="2">
                  <c:v>31842</c:v>
                </c:pt>
                <c:pt idx="3">
                  <c:v>27356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20718</c:v>
                </c:pt>
                <c:pt idx="1">
                  <c:v>47111</c:v>
                </c:pt>
                <c:pt idx="2">
                  <c:v>25650</c:v>
                </c:pt>
                <c:pt idx="3">
                  <c:v>21410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41</xdr:row>
      <xdr:rowOff>42862</xdr:rowOff>
    </xdr:from>
    <xdr:to>
      <xdr:col>7</xdr:col>
      <xdr:colOff>495300</xdr:colOff>
      <xdr:row>56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42862</xdr:rowOff>
    </xdr:from>
    <xdr:to>
      <xdr:col>16</xdr:col>
      <xdr:colOff>104775</xdr:colOff>
      <xdr:row>56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tabSelected="1" zoomScale="124" zoomScaleNormal="124" zoomScaleSheetLayoutView="100" workbookViewId="0">
      <selection activeCell="BB38" sqref="BB38"/>
    </sheetView>
  </sheetViews>
  <sheetFormatPr baseColWidth="10" defaultColWidth="11.42578125" defaultRowHeight="15" x14ac:dyDescent="0.25"/>
  <cols>
    <col min="1" max="1" width="2.28515625" style="157" customWidth="1"/>
    <col min="2" max="2" width="10.28515625" style="14" customWidth="1"/>
    <col min="3" max="3" width="2.28515625" style="190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285156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28515625" style="14" customWidth="1"/>
    <col min="53" max="53" width="10.5703125" style="14" customWidth="1"/>
    <col min="54" max="61" width="10.285156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9" width="10.285156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2" s="156" customFormat="1" ht="14.65" customHeight="1" x14ac:dyDescent="0.25">
      <c r="A1" s="150">
        <v>1.1111111E+55</v>
      </c>
      <c r="B1" s="208" t="s">
        <v>0</v>
      </c>
      <c r="C1" s="151"/>
      <c r="D1" s="210" t="s">
        <v>1</v>
      </c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2"/>
      <c r="P1" s="213"/>
      <c r="Q1" s="152"/>
      <c r="R1" s="218" t="s">
        <v>2</v>
      </c>
      <c r="S1" s="219"/>
      <c r="T1" s="219"/>
      <c r="U1" s="219"/>
      <c r="V1" s="219"/>
      <c r="W1" s="219"/>
      <c r="X1" s="219"/>
      <c r="Y1" s="219"/>
      <c r="Z1" s="219"/>
      <c r="AA1" s="220"/>
      <c r="AB1" s="153"/>
      <c r="AC1" s="218" t="s">
        <v>3</v>
      </c>
      <c r="AD1" s="219"/>
      <c r="AE1" s="219"/>
      <c r="AF1" s="219"/>
      <c r="AG1" s="219"/>
      <c r="AH1" s="219"/>
      <c r="AI1" s="219"/>
      <c r="AJ1" s="219"/>
      <c r="AK1" s="220"/>
      <c r="AL1" s="154"/>
      <c r="AM1" s="218" t="s">
        <v>4</v>
      </c>
      <c r="AN1" s="219"/>
      <c r="AO1" s="219"/>
      <c r="AP1" s="219"/>
      <c r="AQ1" s="219"/>
      <c r="AR1" s="219"/>
      <c r="AS1" s="219"/>
      <c r="AT1" s="219"/>
      <c r="AU1" s="220"/>
      <c r="AV1" s="154"/>
      <c r="AW1" s="218" t="s">
        <v>58</v>
      </c>
      <c r="AX1" s="219"/>
      <c r="AY1" s="219"/>
      <c r="AZ1" s="219"/>
      <c r="BA1" s="219"/>
      <c r="BB1" s="219"/>
      <c r="BC1" s="219"/>
      <c r="BD1" s="219"/>
      <c r="BE1" s="219"/>
      <c r="BF1" s="219"/>
      <c r="BG1" s="219"/>
      <c r="BH1" s="220"/>
      <c r="BI1" s="154"/>
      <c r="BJ1" s="218" t="s">
        <v>5</v>
      </c>
      <c r="BK1" s="219"/>
      <c r="BL1" s="219"/>
      <c r="BM1" s="219"/>
      <c r="BN1" s="219"/>
      <c r="BO1" s="219"/>
      <c r="BP1" s="219"/>
      <c r="BQ1" s="219"/>
      <c r="BR1" s="220"/>
      <c r="BS1" s="155"/>
    </row>
    <row r="2" spans="1:72" ht="15" customHeight="1" thickBot="1" x14ac:dyDescent="0.3">
      <c r="B2" s="208"/>
      <c r="C2" s="1"/>
      <c r="D2" s="214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6"/>
      <c r="P2" s="217"/>
      <c r="Q2" s="59"/>
      <c r="R2" s="221"/>
      <c r="S2" s="222"/>
      <c r="T2" s="222"/>
      <c r="U2" s="222"/>
      <c r="V2" s="222"/>
      <c r="W2" s="222"/>
      <c r="X2" s="222"/>
      <c r="Y2" s="222"/>
      <c r="Z2" s="222"/>
      <c r="AA2" s="223"/>
      <c r="AB2" s="61"/>
      <c r="AC2" s="221"/>
      <c r="AD2" s="222"/>
      <c r="AE2" s="222"/>
      <c r="AF2" s="222"/>
      <c r="AG2" s="222"/>
      <c r="AH2" s="222"/>
      <c r="AI2" s="222"/>
      <c r="AJ2" s="222"/>
      <c r="AK2" s="223"/>
      <c r="AL2" s="60"/>
      <c r="AM2" s="221"/>
      <c r="AN2" s="222"/>
      <c r="AO2" s="222"/>
      <c r="AP2" s="222"/>
      <c r="AQ2" s="222"/>
      <c r="AR2" s="222"/>
      <c r="AS2" s="222"/>
      <c r="AT2" s="222"/>
      <c r="AU2" s="223"/>
      <c r="AV2" s="60"/>
      <c r="AW2" s="221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3"/>
      <c r="BI2" s="60"/>
      <c r="BJ2" s="221"/>
      <c r="BK2" s="222"/>
      <c r="BL2" s="222"/>
      <c r="BM2" s="222"/>
      <c r="BN2" s="222"/>
      <c r="BO2" s="222"/>
      <c r="BP2" s="222"/>
      <c r="BQ2" s="222"/>
      <c r="BR2" s="223"/>
      <c r="BS2" s="158"/>
    </row>
    <row r="3" spans="1:72" ht="30" customHeight="1" thickBot="1" x14ac:dyDescent="0.3">
      <c r="B3" s="208"/>
      <c r="C3" s="1"/>
      <c r="D3" s="227" t="s">
        <v>6</v>
      </c>
      <c r="E3" s="227" t="s">
        <v>7</v>
      </c>
      <c r="F3" s="227" t="s">
        <v>8</v>
      </c>
      <c r="G3" s="227" t="s">
        <v>9</v>
      </c>
      <c r="H3" s="227" t="s">
        <v>10</v>
      </c>
      <c r="I3" s="229" t="s">
        <v>11</v>
      </c>
      <c r="J3" s="230"/>
      <c r="K3" s="231"/>
      <c r="L3" s="232"/>
      <c r="M3" s="229" t="s">
        <v>12</v>
      </c>
      <c r="N3" s="230"/>
      <c r="O3" s="231"/>
      <c r="P3" s="232"/>
      <c r="Q3" s="59"/>
      <c r="R3" s="233" t="s">
        <v>13</v>
      </c>
      <c r="S3" s="225"/>
      <c r="T3" s="234"/>
      <c r="U3" s="234"/>
      <c r="V3" s="233" t="s">
        <v>14</v>
      </c>
      <c r="W3" s="225"/>
      <c r="X3" s="225"/>
      <c r="Y3" s="225"/>
      <c r="Z3" s="225"/>
      <c r="AA3" s="226"/>
      <c r="AB3" s="61"/>
      <c r="AC3" s="235" t="s">
        <v>15</v>
      </c>
      <c r="AD3" s="237" t="s">
        <v>9</v>
      </c>
      <c r="AE3" s="233" t="s">
        <v>13</v>
      </c>
      <c r="AF3" s="225"/>
      <c r="AG3" s="226"/>
      <c r="AH3" s="233" t="s">
        <v>14</v>
      </c>
      <c r="AI3" s="225"/>
      <c r="AJ3" s="225"/>
      <c r="AK3" s="226"/>
      <c r="AL3" s="60"/>
      <c r="AM3" s="238" t="s">
        <v>15</v>
      </c>
      <c r="AN3" s="235" t="s">
        <v>9</v>
      </c>
      <c r="AO3" s="224" t="s">
        <v>13</v>
      </c>
      <c r="AP3" s="225"/>
      <c r="AQ3" s="226"/>
      <c r="AR3" s="233" t="s">
        <v>14</v>
      </c>
      <c r="AS3" s="225"/>
      <c r="AT3" s="225"/>
      <c r="AU3" s="226"/>
      <c r="AV3" s="60"/>
      <c r="AW3" s="235" t="s">
        <v>15</v>
      </c>
      <c r="AX3" s="235" t="s">
        <v>9</v>
      </c>
      <c r="AY3" s="224" t="s">
        <v>13</v>
      </c>
      <c r="AZ3" s="224"/>
      <c r="BA3" s="225"/>
      <c r="BB3" s="226"/>
      <c r="BC3" s="233" t="s">
        <v>14</v>
      </c>
      <c r="BD3" s="224"/>
      <c r="BE3" s="224"/>
      <c r="BF3" s="225"/>
      <c r="BG3" s="225"/>
      <c r="BH3" s="226"/>
      <c r="BI3" s="60"/>
      <c r="BJ3" s="238" t="s">
        <v>16</v>
      </c>
      <c r="BK3" s="235" t="s">
        <v>17</v>
      </c>
      <c r="BL3" s="239" t="s">
        <v>18</v>
      </c>
      <c r="BM3" s="240"/>
      <c r="BN3" s="241"/>
      <c r="BO3" s="224" t="s">
        <v>14</v>
      </c>
      <c r="BP3" s="225"/>
      <c r="BQ3" s="225"/>
      <c r="BR3" s="226"/>
      <c r="BS3" s="158"/>
    </row>
    <row r="4" spans="1:72" ht="56.25" customHeight="1" thickBot="1" x14ac:dyDescent="0.3">
      <c r="B4" s="209"/>
      <c r="C4" s="2"/>
      <c r="D4" s="228"/>
      <c r="E4" s="228"/>
      <c r="F4" s="228"/>
      <c r="G4" s="228"/>
      <c r="H4" s="228"/>
      <c r="I4" s="81" t="s">
        <v>3</v>
      </c>
      <c r="J4" s="82" t="s">
        <v>4</v>
      </c>
      <c r="K4" s="83" t="s">
        <v>58</v>
      </c>
      <c r="L4" s="83" t="s">
        <v>5</v>
      </c>
      <c r="M4" s="82" t="s">
        <v>3</v>
      </c>
      <c r="N4" s="82" t="s">
        <v>4</v>
      </c>
      <c r="O4" s="82" t="s">
        <v>58</v>
      </c>
      <c r="P4" s="82" t="s">
        <v>19</v>
      </c>
      <c r="Q4" s="61"/>
      <c r="R4" s="123" t="s">
        <v>20</v>
      </c>
      <c r="S4" s="63" t="s">
        <v>21</v>
      </c>
      <c r="T4" s="63" t="s">
        <v>60</v>
      </c>
      <c r="U4" s="63" t="s">
        <v>22</v>
      </c>
      <c r="V4" s="124" t="s">
        <v>23</v>
      </c>
      <c r="W4" s="63" t="s">
        <v>24</v>
      </c>
      <c r="X4" s="124" t="s">
        <v>25</v>
      </c>
      <c r="Y4" s="63" t="s">
        <v>24</v>
      </c>
      <c r="Z4" s="126" t="s">
        <v>26</v>
      </c>
      <c r="AA4" s="126" t="s">
        <v>24</v>
      </c>
      <c r="AB4" s="61"/>
      <c r="AC4" s="236"/>
      <c r="AD4" s="219"/>
      <c r="AE4" s="63" t="s">
        <v>27</v>
      </c>
      <c r="AF4" s="123" t="s">
        <v>28</v>
      </c>
      <c r="AG4" s="63" t="s">
        <v>29</v>
      </c>
      <c r="AH4" s="125" t="s">
        <v>30</v>
      </c>
      <c r="AI4" s="63" t="s">
        <v>24</v>
      </c>
      <c r="AJ4" s="63" t="s">
        <v>31</v>
      </c>
      <c r="AK4" s="63" t="s">
        <v>24</v>
      </c>
      <c r="AL4" s="62"/>
      <c r="AM4" s="218"/>
      <c r="AN4" s="236"/>
      <c r="AO4" s="124" t="s">
        <v>27</v>
      </c>
      <c r="AP4" s="63" t="s">
        <v>28</v>
      </c>
      <c r="AQ4" s="123" t="s">
        <v>29</v>
      </c>
      <c r="AR4" s="63" t="s">
        <v>30</v>
      </c>
      <c r="AS4" s="124" t="s">
        <v>24</v>
      </c>
      <c r="AT4" s="63" t="s">
        <v>31</v>
      </c>
      <c r="AU4" s="125" t="s">
        <v>24</v>
      </c>
      <c r="AV4" s="62"/>
      <c r="AW4" s="236"/>
      <c r="AX4" s="236"/>
      <c r="AY4" s="124" t="s">
        <v>27</v>
      </c>
      <c r="AZ4" s="63" t="s">
        <v>59</v>
      </c>
      <c r="BA4" s="124" t="s">
        <v>61</v>
      </c>
      <c r="BB4" s="63" t="s">
        <v>29</v>
      </c>
      <c r="BC4" s="124" t="s">
        <v>56</v>
      </c>
      <c r="BD4" s="63" t="s">
        <v>24</v>
      </c>
      <c r="BE4" s="124" t="s">
        <v>57</v>
      </c>
      <c r="BF4" s="63" t="s">
        <v>24</v>
      </c>
      <c r="BG4" s="124" t="s">
        <v>31</v>
      </c>
      <c r="BH4" s="63" t="s">
        <v>24</v>
      </c>
      <c r="BI4" s="62"/>
      <c r="BJ4" s="218"/>
      <c r="BK4" s="236"/>
      <c r="BL4" s="124" t="s">
        <v>32</v>
      </c>
      <c r="BM4" s="63" t="s">
        <v>33</v>
      </c>
      <c r="BN4" s="63" t="s">
        <v>34</v>
      </c>
      <c r="BO4" s="63" t="s">
        <v>35</v>
      </c>
      <c r="BP4" s="124" t="s">
        <v>24</v>
      </c>
      <c r="BQ4" s="63" t="s">
        <v>36</v>
      </c>
      <c r="BR4" s="125" t="s">
        <v>24</v>
      </c>
      <c r="BS4" s="159"/>
    </row>
    <row r="5" spans="1:72" ht="15.75" thickBot="1" x14ac:dyDescent="0.3">
      <c r="B5" s="160"/>
      <c r="C5" s="161"/>
      <c r="D5" s="84"/>
      <c r="E5" s="72"/>
      <c r="F5" s="84"/>
      <c r="G5" s="72"/>
      <c r="H5" s="85"/>
      <c r="I5" s="86"/>
      <c r="J5" s="72"/>
      <c r="K5" s="87"/>
      <c r="L5" s="87"/>
      <c r="M5" s="85"/>
      <c r="N5" s="85"/>
      <c r="O5" s="85"/>
      <c r="P5" s="85"/>
      <c r="Q5" s="64"/>
      <c r="R5" s="162"/>
      <c r="S5" s="163"/>
      <c r="T5" s="163"/>
      <c r="U5" s="163"/>
      <c r="V5" s="164"/>
      <c r="W5" s="165"/>
      <c r="X5" s="164"/>
      <c r="Y5" s="165"/>
      <c r="Z5" s="164"/>
      <c r="AA5" s="165"/>
      <c r="AB5" s="65"/>
      <c r="AC5" s="166"/>
      <c r="AD5" s="167"/>
      <c r="AE5" s="95"/>
      <c r="AF5" s="120"/>
      <c r="AG5" s="95"/>
      <c r="AH5" s="95"/>
      <c r="AI5" s="96"/>
      <c r="AJ5" s="97"/>
      <c r="AK5" s="98"/>
      <c r="AL5" s="68"/>
      <c r="AM5" s="69"/>
      <c r="AN5" s="70"/>
      <c r="AO5" s="99"/>
      <c r="AP5" s="117"/>
      <c r="AQ5" s="100"/>
      <c r="AR5" s="101"/>
      <c r="AS5" s="102"/>
      <c r="AT5" s="103"/>
      <c r="AU5" s="104"/>
      <c r="AV5" s="68"/>
      <c r="AW5" s="105"/>
      <c r="AX5" s="106"/>
      <c r="AY5" s="107"/>
      <c r="AZ5" s="108"/>
      <c r="BA5" s="122"/>
      <c r="BB5" s="109"/>
      <c r="BC5" s="109"/>
      <c r="BD5" s="110"/>
      <c r="BE5" s="109"/>
      <c r="BF5" s="110"/>
      <c r="BG5" s="109"/>
      <c r="BH5" s="110"/>
      <c r="BI5" s="68"/>
      <c r="BJ5" s="73"/>
      <c r="BK5" s="70"/>
      <c r="BL5" s="74"/>
      <c r="BM5" s="66"/>
      <c r="BN5" s="66"/>
      <c r="BO5" s="71"/>
      <c r="BP5" s="75"/>
      <c r="BQ5" s="76"/>
      <c r="BR5" s="67"/>
      <c r="BS5" s="168"/>
    </row>
    <row r="6" spans="1:72" ht="15.75" thickBot="1" x14ac:dyDescent="0.3">
      <c r="B6" s="191">
        <v>45777</v>
      </c>
      <c r="C6" s="207"/>
      <c r="D6" s="88">
        <f t="shared" ref="D6" si="0">R6</f>
        <v>53228</v>
      </c>
      <c r="E6" s="182">
        <f t="shared" ref="E6" si="1">F6/D6</f>
        <v>0.88203577064702787</v>
      </c>
      <c r="F6" s="88">
        <f t="shared" ref="F6" si="2">D6-H6</f>
        <v>46949</v>
      </c>
      <c r="G6" s="182">
        <f t="shared" ref="G6" si="3">H6/D6</f>
        <v>0.11796422935297211</v>
      </c>
      <c r="H6" s="169">
        <f t="shared" ref="H6" si="4">U6+AG6+AQ6+BB6</f>
        <v>6279</v>
      </c>
      <c r="I6" s="183">
        <f t="shared" ref="I6" si="5">AE6/(AE6+AO6+BL6+AY6)</f>
        <v>0.11688179000783298</v>
      </c>
      <c r="J6" s="182">
        <f t="shared" ref="J6" si="6">AO6/(AE6+AO6+BL6+AY6)</f>
        <v>0.16033784013895039</v>
      </c>
      <c r="K6" s="182">
        <f t="shared" ref="K6" si="7">AY6/(AF6+AP6+BM6+AZ6+AY6)</f>
        <v>0.16541866581012987</v>
      </c>
      <c r="L6" s="184">
        <f t="shared" ref="L6" si="8">BL6/(AE6+AO6+BL6+AY6)</f>
        <v>0.58246773149882503</v>
      </c>
      <c r="M6" s="169">
        <f>(S6+T6)*I6</f>
        <v>6385.4859517079312</v>
      </c>
      <c r="N6" s="169">
        <f>(S6+T6)*J6</f>
        <v>8759.5768824711377</v>
      </c>
      <c r="O6" s="169">
        <f>(S6+T6)*K6</f>
        <v>9037.1525505390146</v>
      </c>
      <c r="P6" s="169">
        <f>(S6+T6)*L6</f>
        <v>31821.37710724381</v>
      </c>
      <c r="Q6" s="191">
        <f>B6</f>
        <v>45777</v>
      </c>
      <c r="R6" s="162">
        <v>53228</v>
      </c>
      <c r="S6" s="163">
        <v>0</v>
      </c>
      <c r="T6" s="163">
        <v>54632</v>
      </c>
      <c r="U6" s="163">
        <v>0</v>
      </c>
      <c r="V6" s="164">
        <v>14250</v>
      </c>
      <c r="W6" s="165">
        <v>0.79166666666666663</v>
      </c>
      <c r="X6" s="164">
        <v>4396</v>
      </c>
      <c r="Y6" s="165">
        <v>0.79166666666666663</v>
      </c>
      <c r="Z6" s="164">
        <v>0</v>
      </c>
      <c r="AA6" s="165">
        <v>0</v>
      </c>
      <c r="AB6" s="191">
        <f>B6</f>
        <v>45777</v>
      </c>
      <c r="AC6" s="77">
        <f t="shared" ref="AC6" si="9">+AF6/AE6</f>
        <v>1</v>
      </c>
      <c r="AD6" s="185">
        <f t="shared" ref="AD6" si="10">+AG6/AE6</f>
        <v>0</v>
      </c>
      <c r="AE6" s="186">
        <v>6864</v>
      </c>
      <c r="AF6" s="119">
        <f t="shared" ref="AF6" si="11">+AE6-AG6</f>
        <v>6864</v>
      </c>
      <c r="AG6" s="170">
        <v>0</v>
      </c>
      <c r="AH6" s="171">
        <v>3951</v>
      </c>
      <c r="AI6" s="172">
        <v>0.34166666666666667</v>
      </c>
      <c r="AJ6" s="171">
        <v>0</v>
      </c>
      <c r="AK6" s="188">
        <v>0</v>
      </c>
      <c r="AL6" s="191">
        <f>B6</f>
        <v>45777</v>
      </c>
      <c r="AM6" s="78">
        <f t="shared" ref="AM6" si="12">+AP6/AO6</f>
        <v>0.59590059473237045</v>
      </c>
      <c r="AN6" s="77">
        <f t="shared" ref="AN6" si="13">+AQ6/AO6</f>
        <v>0.40409940526762955</v>
      </c>
      <c r="AO6" s="173">
        <v>9416</v>
      </c>
      <c r="AP6" s="118">
        <f t="shared" ref="AP6" si="14">AO6-AQ6</f>
        <v>5611</v>
      </c>
      <c r="AQ6" s="174">
        <v>3805</v>
      </c>
      <c r="AR6" s="175">
        <v>3962</v>
      </c>
      <c r="AS6" s="176">
        <v>0.74375000000000002</v>
      </c>
      <c r="AT6" s="175">
        <v>184</v>
      </c>
      <c r="AU6" s="177">
        <v>0.77083333333333337</v>
      </c>
      <c r="AV6" s="191">
        <f>B6</f>
        <v>45777</v>
      </c>
      <c r="AW6" s="192">
        <f t="shared" ref="AW6" si="15">BA6/AZ6</f>
        <v>0.699757281553398</v>
      </c>
      <c r="AX6" s="192">
        <f t="shared" ref="AX6" si="16">BB6/AZ6</f>
        <v>0.30024271844660194</v>
      </c>
      <c r="AY6" s="112">
        <f t="shared" ref="AY6" si="17">BA6+BB6</f>
        <v>8240</v>
      </c>
      <c r="AZ6" s="113">
        <v>8240</v>
      </c>
      <c r="BA6" s="193">
        <f t="shared" ref="BA6" si="18">AZ6-BB6</f>
        <v>5766</v>
      </c>
      <c r="BB6" s="114">
        <v>2474</v>
      </c>
      <c r="BC6" s="113">
        <v>4005</v>
      </c>
      <c r="BD6" s="115">
        <v>0.75</v>
      </c>
      <c r="BE6" s="116">
        <v>0</v>
      </c>
      <c r="BF6" s="115">
        <v>0</v>
      </c>
      <c r="BG6" s="116">
        <v>146</v>
      </c>
      <c r="BH6" s="115">
        <v>0.875</v>
      </c>
      <c r="BI6" s="191">
        <f>B6</f>
        <v>45777</v>
      </c>
      <c r="BJ6" s="194">
        <f t="shared" ref="BJ6" si="19">+BM6/BL6</f>
        <v>0.60977606267906215</v>
      </c>
      <c r="BK6" s="77">
        <f t="shared" ref="BK6" si="20">+BN6/BL6</f>
        <v>0.39022393732093785</v>
      </c>
      <c r="BL6" s="80">
        <f t="shared" ref="BL6" si="21">BM6+BN6</f>
        <v>34206</v>
      </c>
      <c r="BM6" s="178">
        <v>20858</v>
      </c>
      <c r="BN6" s="178">
        <v>13348</v>
      </c>
      <c r="BO6" s="179">
        <v>4323</v>
      </c>
      <c r="BP6" s="180">
        <v>0.7006944444444444</v>
      </c>
      <c r="BQ6" s="181">
        <v>2864</v>
      </c>
      <c r="BR6" s="180">
        <v>0.7006944444444444</v>
      </c>
    </row>
    <row r="7" spans="1:72" ht="15.75" thickBot="1" x14ac:dyDescent="0.3">
      <c r="A7" s="189"/>
      <c r="B7" s="57">
        <f>B6+1</f>
        <v>45778</v>
      </c>
      <c r="C7" s="127"/>
      <c r="D7" s="88">
        <f t="shared" ref="D7:D10" si="22">R7</f>
        <v>26669</v>
      </c>
      <c r="E7" s="182">
        <f t="shared" ref="E7:E10" si="23">F7/D7</f>
        <v>0.77685702501031162</v>
      </c>
      <c r="F7" s="88">
        <f t="shared" ref="F7:F10" si="24">D7-H7</f>
        <v>20718</v>
      </c>
      <c r="G7" s="182">
        <f t="shared" ref="G7:G10" si="25">H7/D7</f>
        <v>0.22314297498968841</v>
      </c>
      <c r="H7" s="169">
        <f t="shared" ref="H7:H10" si="26">U7+AG7+AQ7+BB7</f>
        <v>5951</v>
      </c>
      <c r="I7" s="183">
        <f t="shared" ref="I7:I10" si="27">AE7/(AE7+AO7+BL7+AY7)</f>
        <v>6.5194678554015464E-2</v>
      </c>
      <c r="J7" s="182">
        <f t="shared" ref="J7:J10" si="28">AO7/(AE7+AO7+BL7+AY7)</f>
        <v>0.17841471059413527</v>
      </c>
      <c r="K7" s="182">
        <f t="shared" ref="K7:K10" si="29">AY7/(AF7+AP7+BM7+AZ7+AY7)</f>
        <v>0.17492526496965305</v>
      </c>
      <c r="L7" s="184">
        <f t="shared" ref="L7:L10" si="30">BL7/(AE7+AO7+BL7+AY7)</f>
        <v>0.62189176011701608</v>
      </c>
      <c r="M7" s="169">
        <f t="shared" ref="M7:M10" si="31">(S7+T7)*I7</f>
        <v>1637.4947412412064</v>
      </c>
      <c r="N7" s="169">
        <f t="shared" ref="N7:N10" si="32">(S7+T7)*J7</f>
        <v>4481.2422859928956</v>
      </c>
      <c r="O7" s="169">
        <f t="shared" ref="O7:O10" si="33">(S7+T7)*K7</f>
        <v>4393.5978802427753</v>
      </c>
      <c r="P7" s="169">
        <f t="shared" ref="P7:P10" si="34">(S7+T7)*L7</f>
        <v>15620.055338859092</v>
      </c>
      <c r="Q7" s="57">
        <f>Q6+1</f>
        <v>45778</v>
      </c>
      <c r="R7" s="128">
        <v>26669</v>
      </c>
      <c r="S7" s="129">
        <v>0</v>
      </c>
      <c r="T7" s="129">
        <v>25117</v>
      </c>
      <c r="U7" s="129">
        <v>0</v>
      </c>
      <c r="V7" s="130">
        <v>5709</v>
      </c>
      <c r="W7" s="131">
        <v>0.57291666666666663</v>
      </c>
      <c r="X7" s="130">
        <v>1807</v>
      </c>
      <c r="Y7" s="131">
        <v>0.45833333333333331</v>
      </c>
      <c r="Z7" s="130">
        <v>0</v>
      </c>
      <c r="AA7" s="131">
        <v>0</v>
      </c>
      <c r="AB7" s="57">
        <f>AB6+1</f>
        <v>45778</v>
      </c>
      <c r="AC7" s="77">
        <f t="shared" ref="AC7:AC10" si="35">+AF7/AE7</f>
        <v>1</v>
      </c>
      <c r="AD7" s="185">
        <f t="shared" ref="AD7:AD10" si="36">+AG7/AE7</f>
        <v>0</v>
      </c>
      <c r="AE7" s="132">
        <v>1872</v>
      </c>
      <c r="AF7" s="119">
        <f t="shared" ref="AF7:AF38" si="37">+AE7-AG7</f>
        <v>1872</v>
      </c>
      <c r="AG7" s="133">
        <v>0</v>
      </c>
      <c r="AH7" s="134">
        <v>1694</v>
      </c>
      <c r="AI7" s="135">
        <v>0.93333333333333335</v>
      </c>
      <c r="AJ7" s="134">
        <v>0</v>
      </c>
      <c r="AK7" s="136">
        <v>0</v>
      </c>
      <c r="AL7" s="57">
        <f t="shared" ref="AL7:AL38" si="38">AL6+1</f>
        <v>45778</v>
      </c>
      <c r="AM7" s="78">
        <f t="shared" ref="AM7:AM10" si="39">+AP7/AO7</f>
        <v>0.29767714229943393</v>
      </c>
      <c r="AN7" s="77">
        <f t="shared" ref="AN7:AN10" si="40">+AQ7/AO7</f>
        <v>0.70232285770056613</v>
      </c>
      <c r="AO7" s="137">
        <v>5123</v>
      </c>
      <c r="AP7" s="118">
        <f t="shared" ref="AP7:AP38" si="41">AO7-AQ7</f>
        <v>1525</v>
      </c>
      <c r="AQ7" s="138">
        <v>3598</v>
      </c>
      <c r="AR7" s="139">
        <v>1754</v>
      </c>
      <c r="AS7" s="140">
        <v>0.39374999999999999</v>
      </c>
      <c r="AT7" s="139">
        <v>177</v>
      </c>
      <c r="AU7" s="141">
        <v>0.80208333333333337</v>
      </c>
      <c r="AV7" s="57">
        <f>AV6+1</f>
        <v>45778</v>
      </c>
      <c r="AW7" s="111">
        <f t="shared" ref="AW7:AW10" si="42">BA7/AZ7</f>
        <v>0.39073019161056449</v>
      </c>
      <c r="AX7" s="111">
        <f t="shared" ref="AX7:AX10" si="43">BB7/AZ7</f>
        <v>0.60926980838943556</v>
      </c>
      <c r="AY7" s="112">
        <f t="shared" ref="AY7:AY37" si="44">BA7+BB7</f>
        <v>3862</v>
      </c>
      <c r="AZ7" s="142">
        <v>3862</v>
      </c>
      <c r="BA7" s="121">
        <f t="shared" ref="BA7:BA13" si="45">AZ7-BB7</f>
        <v>1509</v>
      </c>
      <c r="BB7" s="143">
        <v>2353</v>
      </c>
      <c r="BC7" s="142">
        <v>1435</v>
      </c>
      <c r="BD7" s="144">
        <v>0.53125</v>
      </c>
      <c r="BE7" s="145">
        <v>0</v>
      </c>
      <c r="BF7" s="144">
        <v>0</v>
      </c>
      <c r="BG7" s="145">
        <v>140</v>
      </c>
      <c r="BH7" s="144">
        <v>0.89583333333333337</v>
      </c>
      <c r="BI7" s="57">
        <f>BI6+1</f>
        <v>45778</v>
      </c>
      <c r="BJ7" s="79">
        <f t="shared" ref="BJ7:BJ10" si="46">+BM7/BL7</f>
        <v>0.61359690877527018</v>
      </c>
      <c r="BK7" s="77">
        <f t="shared" ref="BK7:BK10" si="47">+BN7/BL7</f>
        <v>0.38640309122472982</v>
      </c>
      <c r="BL7" s="80">
        <f t="shared" ref="BL7:BL10" si="48">BM7+BN7</f>
        <v>17857</v>
      </c>
      <c r="BM7" s="146">
        <v>10957</v>
      </c>
      <c r="BN7" s="146">
        <v>6900</v>
      </c>
      <c r="BO7" s="147">
        <v>2352</v>
      </c>
      <c r="BP7" s="148">
        <v>0.41111111111111109</v>
      </c>
      <c r="BQ7" s="149">
        <v>1549</v>
      </c>
      <c r="BR7" s="148">
        <v>0.41111111111111109</v>
      </c>
    </row>
    <row r="8" spans="1:72" ht="15.75" thickBot="1" x14ac:dyDescent="0.3">
      <c r="A8" s="189"/>
      <c r="B8" s="57">
        <f t="shared" ref="B8:B36" si="49">B7+1</f>
        <v>45779</v>
      </c>
      <c r="C8" s="187"/>
      <c r="D8" s="88">
        <f t="shared" si="22"/>
        <v>53542</v>
      </c>
      <c r="E8" s="182">
        <f t="shared" si="23"/>
        <v>0.87988868551791122</v>
      </c>
      <c r="F8" s="88">
        <f t="shared" si="24"/>
        <v>47111</v>
      </c>
      <c r="G8" s="182">
        <f t="shared" si="25"/>
        <v>0.12011131448208882</v>
      </c>
      <c r="H8" s="169">
        <f t="shared" si="26"/>
        <v>6431</v>
      </c>
      <c r="I8" s="183">
        <f t="shared" si="27"/>
        <v>0.11754891551645685</v>
      </c>
      <c r="J8" s="182">
        <f t="shared" si="28"/>
        <v>0.1571869154153395</v>
      </c>
      <c r="K8" s="182">
        <f t="shared" si="29"/>
        <v>0.16564062717908873</v>
      </c>
      <c r="L8" s="184">
        <f t="shared" si="30"/>
        <v>0.58514923235080973</v>
      </c>
      <c r="M8" s="169">
        <f t="shared" si="31"/>
        <v>6101.6115577127257</v>
      </c>
      <c r="N8" s="169">
        <f t="shared" si="32"/>
        <v>8159.1012184640276</v>
      </c>
      <c r="O8" s="169">
        <f t="shared" si="33"/>
        <v>8597.9080349849592</v>
      </c>
      <c r="P8" s="169">
        <f t="shared" si="34"/>
        <v>30373.341203633481</v>
      </c>
      <c r="Q8" s="57">
        <f t="shared" ref="Q8:Q37" si="50">Q7+1</f>
        <v>45779</v>
      </c>
      <c r="R8" s="162">
        <v>53542</v>
      </c>
      <c r="S8" s="163">
        <v>0</v>
      </c>
      <c r="T8" s="163">
        <v>51907</v>
      </c>
      <c r="U8" s="163">
        <v>0</v>
      </c>
      <c r="V8" s="164">
        <v>13256</v>
      </c>
      <c r="W8" s="165">
        <v>0.71875</v>
      </c>
      <c r="X8" s="164">
        <v>4425</v>
      </c>
      <c r="Y8" s="165">
        <v>0.39583333333333331</v>
      </c>
      <c r="Z8" s="164">
        <v>0</v>
      </c>
      <c r="AA8" s="165">
        <v>0</v>
      </c>
      <c r="AB8" s="57">
        <f t="shared" ref="AB8:AB38" si="51">AB7+1</f>
        <v>45779</v>
      </c>
      <c r="AC8" s="77">
        <f t="shared" si="35"/>
        <v>1</v>
      </c>
      <c r="AD8" s="185">
        <f t="shared" si="36"/>
        <v>0</v>
      </c>
      <c r="AE8" s="186">
        <v>6975</v>
      </c>
      <c r="AF8" s="119">
        <f t="shared" si="37"/>
        <v>6975</v>
      </c>
      <c r="AG8" s="170">
        <v>0</v>
      </c>
      <c r="AH8" s="171">
        <v>4517</v>
      </c>
      <c r="AI8" s="172">
        <v>0.34027777777777779</v>
      </c>
      <c r="AJ8" s="171">
        <v>0</v>
      </c>
      <c r="AK8" s="188">
        <v>0</v>
      </c>
      <c r="AL8" s="57">
        <f t="shared" si="38"/>
        <v>45779</v>
      </c>
      <c r="AM8" s="78">
        <f t="shared" si="39"/>
        <v>0.59397448268467889</v>
      </c>
      <c r="AN8" s="77">
        <f t="shared" si="40"/>
        <v>0.40602551731532111</v>
      </c>
      <c r="AO8" s="173">
        <v>9327</v>
      </c>
      <c r="AP8" s="118">
        <f t="shared" si="41"/>
        <v>5540</v>
      </c>
      <c r="AQ8" s="174">
        <v>3787</v>
      </c>
      <c r="AR8" s="175">
        <v>3884</v>
      </c>
      <c r="AS8" s="176">
        <v>0.35486111111111113</v>
      </c>
      <c r="AT8" s="175">
        <v>181</v>
      </c>
      <c r="AU8" s="177">
        <v>0.84375</v>
      </c>
      <c r="AV8" s="57">
        <f t="shared" ref="AV8:AV38" si="52">AV7+1</f>
        <v>45779</v>
      </c>
      <c r="AW8" s="111">
        <f t="shared" si="42"/>
        <v>0.68198219870098631</v>
      </c>
      <c r="AX8" s="111">
        <f t="shared" si="43"/>
        <v>0.31801780129901369</v>
      </c>
      <c r="AY8" s="112">
        <f t="shared" si="44"/>
        <v>8314</v>
      </c>
      <c r="AZ8" s="113">
        <v>8314</v>
      </c>
      <c r="BA8" s="121">
        <f t="shared" si="45"/>
        <v>5670</v>
      </c>
      <c r="BB8" s="114">
        <f>1086+1558</f>
        <v>2644</v>
      </c>
      <c r="BC8" s="113">
        <v>4214</v>
      </c>
      <c r="BD8" s="115">
        <v>0.69791666666666663</v>
      </c>
      <c r="BE8" s="116">
        <v>0</v>
      </c>
      <c r="BF8" s="115">
        <v>0</v>
      </c>
      <c r="BG8" s="116">
        <v>146</v>
      </c>
      <c r="BH8" s="115">
        <v>0.84375</v>
      </c>
      <c r="BI8" s="57">
        <f t="shared" ref="BI8:BI38" si="53">BI7+1</f>
        <v>45779</v>
      </c>
      <c r="BJ8" s="79">
        <f t="shared" si="46"/>
        <v>0.606261340399182</v>
      </c>
      <c r="BK8" s="77">
        <f t="shared" si="47"/>
        <v>0.39373865960081794</v>
      </c>
      <c r="BL8" s="80">
        <f t="shared" si="48"/>
        <v>34721</v>
      </c>
      <c r="BM8" s="178">
        <v>21050</v>
      </c>
      <c r="BN8" s="178">
        <v>13671</v>
      </c>
      <c r="BO8" s="179">
        <v>4217</v>
      </c>
      <c r="BP8" s="180">
        <v>0.74722222222222223</v>
      </c>
      <c r="BQ8" s="181">
        <v>2824</v>
      </c>
      <c r="BR8" s="180">
        <v>0.74722222222222223</v>
      </c>
    </row>
    <row r="9" spans="1:72" ht="15.75" thickBot="1" x14ac:dyDescent="0.3">
      <c r="A9" s="189" t="s">
        <v>68</v>
      </c>
      <c r="B9" s="57">
        <f t="shared" si="49"/>
        <v>45780</v>
      </c>
      <c r="C9" s="187"/>
      <c r="D9" s="88">
        <f t="shared" si="22"/>
        <v>31842</v>
      </c>
      <c r="E9" s="182">
        <f t="shared" si="23"/>
        <v>0.80553985302430753</v>
      </c>
      <c r="F9" s="88">
        <f t="shared" si="24"/>
        <v>25650</v>
      </c>
      <c r="G9" s="182">
        <f t="shared" si="25"/>
        <v>0.19446014697569247</v>
      </c>
      <c r="H9" s="169">
        <f t="shared" si="26"/>
        <v>6192</v>
      </c>
      <c r="I9" s="183">
        <f t="shared" si="27"/>
        <v>7.7696893270663758E-2</v>
      </c>
      <c r="J9" s="182">
        <f t="shared" si="28"/>
        <v>0.16092514043333717</v>
      </c>
      <c r="K9" s="182">
        <f t="shared" si="29"/>
        <v>0.15930652182000818</v>
      </c>
      <c r="L9" s="184">
        <f t="shared" si="30"/>
        <v>0.63865642554167146</v>
      </c>
      <c r="M9" s="169">
        <f t="shared" si="31"/>
        <v>2354.2935629943827</v>
      </c>
      <c r="N9" s="169">
        <f t="shared" si="32"/>
        <v>4876.1926802705493</v>
      </c>
      <c r="O9" s="169">
        <f t="shared" si="33"/>
        <v>4827.1469176680675</v>
      </c>
      <c r="P9" s="169">
        <f t="shared" si="34"/>
        <v>19351.928350338188</v>
      </c>
      <c r="Q9" s="57">
        <f t="shared" si="50"/>
        <v>45780</v>
      </c>
      <c r="R9" s="162">
        <v>31842</v>
      </c>
      <c r="S9" s="163">
        <v>0</v>
      </c>
      <c r="T9" s="163">
        <v>30301</v>
      </c>
      <c r="U9" s="163">
        <v>0</v>
      </c>
      <c r="V9" s="164">
        <v>6265</v>
      </c>
      <c r="W9" s="165">
        <v>0.65625</v>
      </c>
      <c r="X9" s="164">
        <v>1961</v>
      </c>
      <c r="Y9" s="165">
        <v>0.63541666666666663</v>
      </c>
      <c r="Z9" s="164">
        <v>0</v>
      </c>
      <c r="AA9" s="165">
        <v>0</v>
      </c>
      <c r="AB9" s="57">
        <f t="shared" si="51"/>
        <v>45780</v>
      </c>
      <c r="AC9" s="77">
        <f t="shared" si="35"/>
        <v>1</v>
      </c>
      <c r="AD9" s="185">
        <f t="shared" si="36"/>
        <v>0</v>
      </c>
      <c r="AE9" s="186">
        <v>2711</v>
      </c>
      <c r="AF9" s="119">
        <f t="shared" si="37"/>
        <v>2711</v>
      </c>
      <c r="AG9" s="170">
        <v>0</v>
      </c>
      <c r="AH9" s="171">
        <v>1387</v>
      </c>
      <c r="AI9" s="172">
        <v>0.59444444444444444</v>
      </c>
      <c r="AJ9" s="171">
        <v>0</v>
      </c>
      <c r="AK9" s="188">
        <v>0</v>
      </c>
      <c r="AL9" s="57">
        <f t="shared" si="38"/>
        <v>45780</v>
      </c>
      <c r="AM9" s="78">
        <f t="shared" si="39"/>
        <v>0.35707925200356189</v>
      </c>
      <c r="AN9" s="77">
        <f t="shared" si="40"/>
        <v>0.64292074799643806</v>
      </c>
      <c r="AO9" s="173">
        <v>5615</v>
      </c>
      <c r="AP9" s="118">
        <f t="shared" si="41"/>
        <v>2005</v>
      </c>
      <c r="AQ9" s="174">
        <v>3610</v>
      </c>
      <c r="AR9" s="175">
        <v>1752</v>
      </c>
      <c r="AS9" s="176">
        <v>0.95138888888888884</v>
      </c>
      <c r="AT9" s="175">
        <v>178</v>
      </c>
      <c r="AU9" s="177">
        <v>0.76041666666666663</v>
      </c>
      <c r="AV9" s="57">
        <f t="shared" si="52"/>
        <v>45780</v>
      </c>
      <c r="AW9" s="111">
        <f t="shared" si="42"/>
        <v>0.39701074264362446</v>
      </c>
      <c r="AX9" s="111">
        <f t="shared" si="43"/>
        <v>0.60298925735637554</v>
      </c>
      <c r="AY9" s="112">
        <f t="shared" si="44"/>
        <v>4282</v>
      </c>
      <c r="AZ9" s="113">
        <v>4282</v>
      </c>
      <c r="BA9" s="121">
        <f t="shared" si="45"/>
        <v>1700</v>
      </c>
      <c r="BB9" s="114">
        <f>1515+1067</f>
        <v>2582</v>
      </c>
      <c r="BC9" s="113">
        <v>1592</v>
      </c>
      <c r="BD9" s="115">
        <v>0.61458333333333337</v>
      </c>
      <c r="BE9" s="116">
        <v>0</v>
      </c>
      <c r="BF9" s="115">
        <v>0</v>
      </c>
      <c r="BG9" s="116">
        <v>138</v>
      </c>
      <c r="BH9" s="115">
        <v>0.77083333333333337</v>
      </c>
      <c r="BI9" s="57">
        <f t="shared" si="53"/>
        <v>45780</v>
      </c>
      <c r="BJ9" s="79">
        <f t="shared" si="46"/>
        <v>0.61025848142164785</v>
      </c>
      <c r="BK9" s="77">
        <f t="shared" si="47"/>
        <v>0.38974151857835221</v>
      </c>
      <c r="BL9" s="80">
        <f t="shared" si="48"/>
        <v>22284</v>
      </c>
      <c r="BM9" s="178">
        <v>13599</v>
      </c>
      <c r="BN9" s="178">
        <v>8685</v>
      </c>
      <c r="BO9" s="179">
        <v>2643</v>
      </c>
      <c r="BP9" s="180">
        <v>0.86875000000000002</v>
      </c>
      <c r="BQ9" s="181">
        <v>1743</v>
      </c>
      <c r="BR9" s="180">
        <v>0.86875000000000002</v>
      </c>
    </row>
    <row r="10" spans="1:72" ht="15.75" thickBot="1" x14ac:dyDescent="0.3">
      <c r="B10" s="57">
        <f t="shared" si="49"/>
        <v>45781</v>
      </c>
      <c r="C10" s="187"/>
      <c r="D10" s="88">
        <f t="shared" si="22"/>
        <v>27356</v>
      </c>
      <c r="E10" s="182">
        <f t="shared" si="23"/>
        <v>0.7826436613539991</v>
      </c>
      <c r="F10" s="88">
        <f t="shared" si="24"/>
        <v>21410</v>
      </c>
      <c r="G10" s="182">
        <f t="shared" si="25"/>
        <v>0.21735633864600087</v>
      </c>
      <c r="H10" s="169">
        <f t="shared" si="26"/>
        <v>5946</v>
      </c>
      <c r="I10" s="183">
        <f t="shared" si="27"/>
        <v>6.6616766467065866E-2</v>
      </c>
      <c r="J10" s="182">
        <f t="shared" si="28"/>
        <v>0.17559199782253673</v>
      </c>
      <c r="K10" s="182">
        <f t="shared" si="29"/>
        <v>0.17432330660523634</v>
      </c>
      <c r="L10" s="184">
        <f t="shared" si="30"/>
        <v>0.62391126837234623</v>
      </c>
      <c r="M10" s="169">
        <f t="shared" si="31"/>
        <v>1727.9723053892214</v>
      </c>
      <c r="N10" s="169">
        <f t="shared" si="32"/>
        <v>4554.68083151878</v>
      </c>
      <c r="O10" s="169">
        <f t="shared" si="33"/>
        <v>4521.7722500332256</v>
      </c>
      <c r="P10" s="169">
        <f t="shared" si="34"/>
        <v>16183.634390310288</v>
      </c>
      <c r="Q10" s="57">
        <f t="shared" si="50"/>
        <v>45781</v>
      </c>
      <c r="R10" s="162">
        <v>27356</v>
      </c>
      <c r="S10" s="163">
        <v>0</v>
      </c>
      <c r="T10" s="163">
        <v>25939</v>
      </c>
      <c r="U10" s="163">
        <v>0</v>
      </c>
      <c r="V10" s="164">
        <v>6836</v>
      </c>
      <c r="W10" s="165">
        <v>0.46875</v>
      </c>
      <c r="X10" s="164">
        <v>1891</v>
      </c>
      <c r="Y10" s="165">
        <v>0.45833333333333331</v>
      </c>
      <c r="Z10" s="164">
        <v>0</v>
      </c>
      <c r="AA10" s="165">
        <v>0</v>
      </c>
      <c r="AB10" s="57">
        <f t="shared" si="51"/>
        <v>45781</v>
      </c>
      <c r="AC10" s="77">
        <f t="shared" si="35"/>
        <v>1</v>
      </c>
      <c r="AD10" s="185">
        <f t="shared" si="36"/>
        <v>0</v>
      </c>
      <c r="AE10" s="186">
        <v>1958</v>
      </c>
      <c r="AF10" s="119">
        <f t="shared" si="37"/>
        <v>1958</v>
      </c>
      <c r="AG10" s="170">
        <v>0</v>
      </c>
      <c r="AH10" s="171">
        <v>1803</v>
      </c>
      <c r="AI10" s="172">
        <v>0.93333333333333335</v>
      </c>
      <c r="AJ10" s="171">
        <v>0</v>
      </c>
      <c r="AK10" s="188">
        <v>0</v>
      </c>
      <c r="AL10" s="57">
        <f t="shared" si="38"/>
        <v>45781</v>
      </c>
      <c r="AM10" s="78">
        <f t="shared" si="39"/>
        <v>0.30459213330749857</v>
      </c>
      <c r="AN10" s="77">
        <f t="shared" si="40"/>
        <v>0.69540786669250143</v>
      </c>
      <c r="AO10" s="173">
        <v>5161</v>
      </c>
      <c r="AP10" s="118">
        <f t="shared" si="41"/>
        <v>1572</v>
      </c>
      <c r="AQ10" s="174">
        <v>3589</v>
      </c>
      <c r="AR10" s="175">
        <v>1688</v>
      </c>
      <c r="AS10" s="176">
        <v>0.3923611111111111</v>
      </c>
      <c r="AT10" s="175">
        <v>174</v>
      </c>
      <c r="AU10" s="177">
        <v>6.25E-2</v>
      </c>
      <c r="AV10" s="57">
        <f t="shared" si="52"/>
        <v>45781</v>
      </c>
      <c r="AW10" s="111">
        <f t="shared" si="42"/>
        <v>0.40101651842439645</v>
      </c>
      <c r="AX10" s="111">
        <f t="shared" si="43"/>
        <v>0.59898348157560355</v>
      </c>
      <c r="AY10" s="112">
        <f t="shared" si="44"/>
        <v>3935</v>
      </c>
      <c r="AZ10" s="113">
        <v>3935</v>
      </c>
      <c r="BA10" s="121">
        <f t="shared" si="45"/>
        <v>1578</v>
      </c>
      <c r="BB10" s="114">
        <v>2357</v>
      </c>
      <c r="BC10" s="113">
        <v>1455</v>
      </c>
      <c r="BD10" s="115">
        <v>0.65625</v>
      </c>
      <c r="BE10" s="116">
        <v>0</v>
      </c>
      <c r="BF10" s="115">
        <v>0</v>
      </c>
      <c r="BG10" s="116">
        <v>141</v>
      </c>
      <c r="BH10" s="115">
        <v>0.79166666666666663</v>
      </c>
      <c r="BI10" s="57">
        <f t="shared" si="53"/>
        <v>45781</v>
      </c>
      <c r="BJ10" s="79">
        <f t="shared" si="46"/>
        <v>0.60928127385756348</v>
      </c>
      <c r="BK10" s="77">
        <f t="shared" si="47"/>
        <v>0.39071872614243647</v>
      </c>
      <c r="BL10" s="80">
        <f t="shared" si="48"/>
        <v>18338</v>
      </c>
      <c r="BM10" s="178">
        <v>11173</v>
      </c>
      <c r="BN10" s="178">
        <v>7165</v>
      </c>
      <c r="BO10" s="179">
        <v>3160</v>
      </c>
      <c r="BP10" s="180">
        <v>0.41805555555555557</v>
      </c>
      <c r="BQ10" s="181">
        <v>2084</v>
      </c>
      <c r="BR10" s="180">
        <v>0.41805555555555557</v>
      </c>
    </row>
    <row r="11" spans="1:72" ht="15.75" thickBot="1" x14ac:dyDescent="0.3">
      <c r="B11" s="57">
        <f t="shared" si="49"/>
        <v>45782</v>
      </c>
      <c r="C11" s="187"/>
      <c r="D11" s="88">
        <f t="shared" ref="D11:D24" si="54">R11</f>
        <v>53572</v>
      </c>
      <c r="E11" s="182">
        <f t="shared" ref="E11:E24" si="55">F11/D11</f>
        <v>0.87937728664227577</v>
      </c>
      <c r="F11" s="88">
        <f t="shared" ref="F11:F24" si="56">D11-H11</f>
        <v>47110</v>
      </c>
      <c r="G11" s="182">
        <f t="shared" ref="G11:G24" si="57">H11/D11</f>
        <v>0.12062271335772419</v>
      </c>
      <c r="H11" s="169">
        <f t="shared" ref="H11:H24" si="58">U11+AG11+AQ11+BB11</f>
        <v>6462</v>
      </c>
      <c r="I11" s="183">
        <f t="shared" ref="I11:I24" si="59">AE11/(AE11+AO11+BL11+AY11)</f>
        <v>0.11731391585760517</v>
      </c>
      <c r="J11" s="182">
        <f t="shared" ref="J11:J24" si="60">AO11/(AE11+AO11+BL11+AY11)</f>
        <v>0.16058185005393744</v>
      </c>
      <c r="K11" s="182">
        <f t="shared" ref="K11:K24" si="61">AY11/(AF11+AP11+BM11+AZ11+AY11)</f>
        <v>0.16616650436234276</v>
      </c>
      <c r="L11" s="184">
        <f t="shared" ref="L11:L24" si="62">BL11/(AE11+AO11+BL11+AY11)</f>
        <v>0.58117583603020495</v>
      </c>
      <c r="M11" s="169">
        <f t="shared" ref="M11:M24" si="63">(S11+T11)*I11</f>
        <v>6101.8487055016176</v>
      </c>
      <c r="N11" s="169">
        <f t="shared" ref="N11:N24" si="64">(S11+T11)*J11</f>
        <v>8352.343766855447</v>
      </c>
      <c r="O11" s="169">
        <f t="shared" ref="O11:O24" si="65">(S11+T11)*K11</f>
        <v>8642.818391398534</v>
      </c>
      <c r="P11" s="169">
        <f t="shared" ref="P11:P24" si="66">(S11+T11)*L11</f>
        <v>30228.698759439048</v>
      </c>
      <c r="Q11" s="57">
        <f t="shared" si="50"/>
        <v>45782</v>
      </c>
      <c r="R11" s="162">
        <v>53572</v>
      </c>
      <c r="S11" s="163">
        <v>0</v>
      </c>
      <c r="T11" s="163">
        <v>52013</v>
      </c>
      <c r="U11" s="163">
        <v>0</v>
      </c>
      <c r="V11" s="164">
        <v>13413</v>
      </c>
      <c r="W11" s="165">
        <v>0.39583333333333331</v>
      </c>
      <c r="X11" s="164">
        <v>4455</v>
      </c>
      <c r="Y11" s="165">
        <v>0.79166666666666663</v>
      </c>
      <c r="Z11" s="164">
        <v>0</v>
      </c>
      <c r="AA11" s="165">
        <v>0</v>
      </c>
      <c r="AB11" s="57">
        <f t="shared" si="51"/>
        <v>45782</v>
      </c>
      <c r="AC11" s="77">
        <f t="shared" ref="AC11:AC24" si="67">+AF11/AE11</f>
        <v>1</v>
      </c>
      <c r="AD11" s="185">
        <f t="shared" ref="AD11:AD24" si="68">+AG11/AE11</f>
        <v>0</v>
      </c>
      <c r="AE11" s="186">
        <v>6960</v>
      </c>
      <c r="AF11" s="119">
        <f t="shared" si="37"/>
        <v>6960</v>
      </c>
      <c r="AG11" s="170">
        <v>0</v>
      </c>
      <c r="AH11" s="171">
        <v>1803</v>
      </c>
      <c r="AI11" s="172">
        <v>0.97499999999999998</v>
      </c>
      <c r="AJ11" s="171">
        <v>0</v>
      </c>
      <c r="AK11" s="188">
        <v>0</v>
      </c>
      <c r="AL11" s="57">
        <f t="shared" si="38"/>
        <v>45782</v>
      </c>
      <c r="AM11" s="78">
        <f t="shared" ref="AM11:AM24" si="69">+AP11/AO11</f>
        <v>0.59913928833840668</v>
      </c>
      <c r="AN11" s="77">
        <f t="shared" ref="AN11:AN24" si="70">+AQ11/AO11</f>
        <v>0.40086071166159337</v>
      </c>
      <c r="AO11" s="173">
        <v>9527</v>
      </c>
      <c r="AP11" s="118">
        <f t="shared" si="41"/>
        <v>5708</v>
      </c>
      <c r="AQ11" s="174">
        <v>3819</v>
      </c>
      <c r="AR11" s="175">
        <v>3534</v>
      </c>
      <c r="AS11" s="176">
        <v>0.35555555555555557</v>
      </c>
      <c r="AT11" s="175">
        <v>189</v>
      </c>
      <c r="AU11" s="177">
        <v>0.82291666666666663</v>
      </c>
      <c r="AV11" s="57">
        <f t="shared" si="52"/>
        <v>45782</v>
      </c>
      <c r="AW11" s="111">
        <f t="shared" ref="AW11:AW24" si="71">BA11/AZ11</f>
        <v>0.68388948690348039</v>
      </c>
      <c r="AX11" s="111">
        <f t="shared" ref="AX11:AX24" si="72">BB11/AZ11</f>
        <v>0.31611051309651955</v>
      </c>
      <c r="AY11" s="112">
        <f t="shared" si="44"/>
        <v>8361</v>
      </c>
      <c r="AZ11" s="113">
        <v>8361</v>
      </c>
      <c r="BA11" s="193">
        <f t="shared" si="45"/>
        <v>5718</v>
      </c>
      <c r="BB11" s="114">
        <f>1558+1085</f>
        <v>2643</v>
      </c>
      <c r="BC11" s="113">
        <v>3960</v>
      </c>
      <c r="BD11" s="115">
        <v>0.75</v>
      </c>
      <c r="BE11" s="116">
        <v>0</v>
      </c>
      <c r="BF11" s="115">
        <v>0</v>
      </c>
      <c r="BG11" s="116">
        <v>143</v>
      </c>
      <c r="BH11" s="115">
        <v>0.79166666666666663</v>
      </c>
      <c r="BI11" s="57">
        <f t="shared" si="53"/>
        <v>45782</v>
      </c>
      <c r="BJ11" s="79">
        <f t="shared" ref="BJ11:BJ24" si="73">+BM11/BL11</f>
        <v>0.60693155452436198</v>
      </c>
      <c r="BK11" s="77">
        <f t="shared" ref="BK11:BK24" si="74">+BN11/BL11</f>
        <v>0.39306844547563807</v>
      </c>
      <c r="BL11" s="80">
        <f t="shared" ref="BL11:BL24" si="75">BM11+BN11</f>
        <v>34480</v>
      </c>
      <c r="BM11" s="178">
        <v>20927</v>
      </c>
      <c r="BN11" s="178">
        <v>13553</v>
      </c>
      <c r="BO11" s="179">
        <v>4040</v>
      </c>
      <c r="BP11" s="180">
        <v>0.74861111111111112</v>
      </c>
      <c r="BQ11" s="181">
        <v>2678</v>
      </c>
      <c r="BR11" s="180">
        <v>0.74861111111111112</v>
      </c>
    </row>
    <row r="12" spans="1:72" ht="15.75" thickBot="1" x14ac:dyDescent="0.3">
      <c r="B12" s="57">
        <f t="shared" si="49"/>
        <v>45783</v>
      </c>
      <c r="C12" s="187"/>
      <c r="D12" s="88">
        <f t="shared" si="54"/>
        <v>53748</v>
      </c>
      <c r="E12" s="182">
        <f t="shared" si="55"/>
        <v>0.88027461486939051</v>
      </c>
      <c r="F12" s="88">
        <f t="shared" si="56"/>
        <v>47313</v>
      </c>
      <c r="G12" s="182">
        <f>H12/D12</f>
        <v>0.11972538513060951</v>
      </c>
      <c r="H12" s="169">
        <f t="shared" si="58"/>
        <v>6435</v>
      </c>
      <c r="I12" s="183">
        <f t="shared" si="59"/>
        <v>0.1182299328700181</v>
      </c>
      <c r="J12" s="182">
        <f t="shared" si="60"/>
        <v>0.16231251796614754</v>
      </c>
      <c r="K12" s="182">
        <f t="shared" si="61"/>
        <v>0.16596663866554662</v>
      </c>
      <c r="L12" s="184">
        <f t="shared" si="62"/>
        <v>0.57914405045739703</v>
      </c>
      <c r="M12" s="169">
        <f t="shared" si="63"/>
        <v>6192.1745041343274</v>
      </c>
      <c r="N12" s="169">
        <f t="shared" si="64"/>
        <v>8500.9558159590106</v>
      </c>
      <c r="O12" s="169">
        <f t="shared" si="65"/>
        <v>8692.3367334693394</v>
      </c>
      <c r="P12" s="169">
        <f t="shared" si="66"/>
        <v>30332.090498655711</v>
      </c>
      <c r="Q12" s="57">
        <f t="shared" si="50"/>
        <v>45783</v>
      </c>
      <c r="R12" s="162">
        <v>53748</v>
      </c>
      <c r="S12" s="163">
        <v>0</v>
      </c>
      <c r="T12" s="163">
        <v>52374</v>
      </c>
      <c r="U12" s="163">
        <v>0</v>
      </c>
      <c r="V12" s="164">
        <v>13589</v>
      </c>
      <c r="W12" s="165">
        <v>0.39583333333333331</v>
      </c>
      <c r="X12" s="164">
        <v>4624</v>
      </c>
      <c r="Y12" s="165">
        <v>0.41666666666666669</v>
      </c>
      <c r="Z12" s="164">
        <v>0</v>
      </c>
      <c r="AA12" s="165">
        <v>0</v>
      </c>
      <c r="AB12" s="57">
        <f t="shared" si="51"/>
        <v>45783</v>
      </c>
      <c r="AC12" s="77">
        <f t="shared" si="67"/>
        <v>1</v>
      </c>
      <c r="AD12" s="185">
        <f t="shared" si="68"/>
        <v>0</v>
      </c>
      <c r="AE12" s="186">
        <v>6992</v>
      </c>
      <c r="AF12" s="119">
        <f t="shared" si="37"/>
        <v>6992</v>
      </c>
      <c r="AG12" s="170">
        <v>0</v>
      </c>
      <c r="AH12" s="171">
        <v>3266</v>
      </c>
      <c r="AI12" s="172">
        <v>0.34097222222222223</v>
      </c>
      <c r="AJ12" s="171">
        <v>0</v>
      </c>
      <c r="AK12" s="188">
        <v>0</v>
      </c>
      <c r="AL12" s="57">
        <f t="shared" si="38"/>
        <v>45783</v>
      </c>
      <c r="AM12" s="78">
        <f t="shared" si="69"/>
        <v>0.58391499114491097</v>
      </c>
      <c r="AN12" s="77">
        <f t="shared" si="70"/>
        <v>0.41608500885508909</v>
      </c>
      <c r="AO12" s="173">
        <v>9599</v>
      </c>
      <c r="AP12" s="118">
        <f t="shared" si="41"/>
        <v>5605</v>
      </c>
      <c r="AQ12" s="174">
        <v>3994</v>
      </c>
      <c r="AR12" s="175">
        <v>3819</v>
      </c>
      <c r="AS12" s="176">
        <v>0.36249999999999999</v>
      </c>
      <c r="AT12" s="175">
        <v>194</v>
      </c>
      <c r="AU12" s="177">
        <v>0.4375</v>
      </c>
      <c r="AV12" s="57">
        <f t="shared" si="52"/>
        <v>45783</v>
      </c>
      <c r="AW12" s="111">
        <f t="shared" si="71"/>
        <v>0.70583273077850084</v>
      </c>
      <c r="AX12" s="111">
        <f t="shared" si="72"/>
        <v>0.29416726922149916</v>
      </c>
      <c r="AY12" s="112">
        <f t="shared" si="44"/>
        <v>8298</v>
      </c>
      <c r="AZ12" s="113">
        <v>8298</v>
      </c>
      <c r="BA12" s="193">
        <f t="shared" si="45"/>
        <v>5857</v>
      </c>
      <c r="BB12" s="114">
        <v>2441</v>
      </c>
      <c r="BC12" s="113">
        <v>4298</v>
      </c>
      <c r="BD12" s="115">
        <v>0.36458333333333331</v>
      </c>
      <c r="BE12" s="116">
        <v>0</v>
      </c>
      <c r="BF12" s="115">
        <v>0</v>
      </c>
      <c r="BG12" s="116">
        <v>143</v>
      </c>
      <c r="BH12" s="115">
        <v>0.79166666666666663</v>
      </c>
      <c r="BI12" s="57">
        <f t="shared" si="53"/>
        <v>45783</v>
      </c>
      <c r="BJ12" s="79">
        <f t="shared" si="73"/>
        <v>0.60744525547445261</v>
      </c>
      <c r="BK12" s="77">
        <f t="shared" si="74"/>
        <v>0.39255474452554745</v>
      </c>
      <c r="BL12" s="80">
        <f t="shared" si="75"/>
        <v>34250</v>
      </c>
      <c r="BM12" s="178">
        <v>20805</v>
      </c>
      <c r="BN12" s="178">
        <v>13445</v>
      </c>
      <c r="BO12" s="179">
        <v>3735</v>
      </c>
      <c r="BP12" s="180">
        <v>0.37361111111111112</v>
      </c>
      <c r="BQ12" s="181">
        <v>2532</v>
      </c>
      <c r="BR12" s="180">
        <v>0.37361111111111112</v>
      </c>
      <c r="BT12" s="14" t="s">
        <v>37</v>
      </c>
    </row>
    <row r="13" spans="1:72" ht="15.75" thickBot="1" x14ac:dyDescent="0.3">
      <c r="B13" s="57">
        <f t="shared" si="49"/>
        <v>45784</v>
      </c>
      <c r="C13" s="187"/>
      <c r="D13" s="88">
        <v>52810</v>
      </c>
      <c r="E13" s="182">
        <f t="shared" si="55"/>
        <v>0.87759893959477375</v>
      </c>
      <c r="F13" s="88">
        <f t="shared" si="56"/>
        <v>46346</v>
      </c>
      <c r="G13" s="182">
        <f t="shared" si="57"/>
        <v>0.12240106040522629</v>
      </c>
      <c r="H13" s="169">
        <f t="shared" si="58"/>
        <v>6464</v>
      </c>
      <c r="I13" s="183">
        <f t="shared" si="59"/>
        <v>0.10781492140801417</v>
      </c>
      <c r="J13" s="182">
        <f t="shared" si="60"/>
        <v>0.16420794171513675</v>
      </c>
      <c r="K13" s="182">
        <f t="shared" si="61"/>
        <v>0.1922136017334172</v>
      </c>
      <c r="L13" s="184">
        <f t="shared" si="62"/>
        <v>0.56193773019099569</v>
      </c>
      <c r="M13" s="169">
        <f t="shared" si="63"/>
        <v>5603.1414655744966</v>
      </c>
      <c r="N13" s="169">
        <f t="shared" si="64"/>
        <v>8533.8867309356574</v>
      </c>
      <c r="O13" s="169">
        <f t="shared" si="65"/>
        <v>9989.3408820856912</v>
      </c>
      <c r="P13" s="169">
        <f t="shared" si="66"/>
        <v>29203.903838026046</v>
      </c>
      <c r="Q13" s="57">
        <f t="shared" si="50"/>
        <v>45784</v>
      </c>
      <c r="R13" s="162">
        <v>52810</v>
      </c>
      <c r="S13" s="163">
        <v>0</v>
      </c>
      <c r="T13" s="163">
        <v>51970</v>
      </c>
      <c r="U13" s="163">
        <v>0</v>
      </c>
      <c r="V13" s="164">
        <v>13360</v>
      </c>
      <c r="W13" s="165">
        <v>0.35416666666666669</v>
      </c>
      <c r="X13" s="164">
        <v>4200</v>
      </c>
      <c r="Y13" s="165">
        <v>0.39583333333333331</v>
      </c>
      <c r="Z13" s="164">
        <v>0</v>
      </c>
      <c r="AA13" s="165">
        <v>0</v>
      </c>
      <c r="AB13" s="57">
        <f t="shared" si="51"/>
        <v>45784</v>
      </c>
      <c r="AC13" s="77">
        <f t="shared" si="67"/>
        <v>1</v>
      </c>
      <c r="AD13" s="185">
        <f t="shared" si="68"/>
        <v>0</v>
      </c>
      <c r="AE13" s="186">
        <v>5357</v>
      </c>
      <c r="AF13" s="119">
        <f t="shared" si="37"/>
        <v>5357</v>
      </c>
      <c r="AG13" s="170">
        <v>0</v>
      </c>
      <c r="AH13" s="171">
        <v>3933</v>
      </c>
      <c r="AI13" s="172">
        <v>0.35416666666666669</v>
      </c>
      <c r="AJ13" s="171">
        <v>0</v>
      </c>
      <c r="AK13" s="188">
        <v>0</v>
      </c>
      <c r="AL13" s="57">
        <f t="shared" si="38"/>
        <v>45784</v>
      </c>
      <c r="AM13" s="78">
        <f t="shared" si="69"/>
        <v>0.50067410221840913</v>
      </c>
      <c r="AN13" s="77">
        <f t="shared" si="70"/>
        <v>0.49932589778159087</v>
      </c>
      <c r="AO13" s="173">
        <v>8159</v>
      </c>
      <c r="AP13" s="118">
        <f t="shared" si="41"/>
        <v>4085</v>
      </c>
      <c r="AQ13" s="174">
        <v>4074</v>
      </c>
      <c r="AR13" s="175">
        <v>3236</v>
      </c>
      <c r="AS13" s="176">
        <v>0.36805555555555558</v>
      </c>
      <c r="AT13" s="175">
        <v>200</v>
      </c>
      <c r="AU13" s="177">
        <v>0.34375</v>
      </c>
      <c r="AV13" s="57">
        <f t="shared" si="52"/>
        <v>45784</v>
      </c>
      <c r="AW13" s="111">
        <f t="shared" si="71"/>
        <v>0.71030303030303032</v>
      </c>
      <c r="AX13" s="111">
        <f t="shared" si="72"/>
        <v>0.28969696969696968</v>
      </c>
      <c r="AY13" s="112">
        <f t="shared" si="44"/>
        <v>8250</v>
      </c>
      <c r="AZ13" s="113">
        <v>8250</v>
      </c>
      <c r="BA13" s="193">
        <f t="shared" si="45"/>
        <v>5860</v>
      </c>
      <c r="BB13" s="114">
        <v>2390</v>
      </c>
      <c r="BC13" s="113">
        <v>3980</v>
      </c>
      <c r="BD13" s="115">
        <v>0.35416666666666669</v>
      </c>
      <c r="BE13" s="116">
        <v>0</v>
      </c>
      <c r="BF13" s="115">
        <v>0</v>
      </c>
      <c r="BG13" s="116">
        <v>142</v>
      </c>
      <c r="BH13" s="115">
        <v>0.77083333333333337</v>
      </c>
      <c r="BI13" s="57">
        <f t="shared" si="53"/>
        <v>45784</v>
      </c>
      <c r="BJ13" s="79">
        <f t="shared" si="73"/>
        <v>0.60810859209913681</v>
      </c>
      <c r="BK13" s="77">
        <f t="shared" si="74"/>
        <v>0.39189140790086313</v>
      </c>
      <c r="BL13" s="80">
        <f t="shared" si="75"/>
        <v>27921</v>
      </c>
      <c r="BM13" s="178">
        <v>16979</v>
      </c>
      <c r="BN13" s="178">
        <v>10942</v>
      </c>
      <c r="BO13" s="179">
        <v>4341</v>
      </c>
      <c r="BP13" s="180">
        <v>0.81388888888888888</v>
      </c>
      <c r="BQ13" s="181">
        <v>2892</v>
      </c>
      <c r="BR13" s="180">
        <v>0.81388888888888888</v>
      </c>
    </row>
    <row r="14" spans="1:72" ht="15.75" thickBot="1" x14ac:dyDescent="0.3">
      <c r="B14" s="57">
        <f t="shared" si="49"/>
        <v>45785</v>
      </c>
      <c r="C14" s="187"/>
      <c r="D14" s="88">
        <f t="shared" si="54"/>
        <v>46782</v>
      </c>
      <c r="E14" s="182">
        <f t="shared" si="55"/>
        <v>0.86593134111410375</v>
      </c>
      <c r="F14" s="88">
        <f t="shared" si="56"/>
        <v>40510</v>
      </c>
      <c r="G14" s="182">
        <f t="shared" si="57"/>
        <v>0.13406865888589628</v>
      </c>
      <c r="H14" s="169">
        <f t="shared" si="58"/>
        <v>6272</v>
      </c>
      <c r="I14" s="183">
        <f t="shared" si="59"/>
        <v>9.0231916927934544E-2</v>
      </c>
      <c r="J14" s="182">
        <f t="shared" si="60"/>
        <v>0.15280279278678319</v>
      </c>
      <c r="K14" s="182">
        <f t="shared" si="61"/>
        <v>0.20671433012123097</v>
      </c>
      <c r="L14" s="184">
        <f t="shared" si="62"/>
        <v>0.579525493073622</v>
      </c>
      <c r="M14" s="169">
        <f t="shared" si="63"/>
        <v>4313.0856291552709</v>
      </c>
      <c r="N14" s="169">
        <f t="shared" si="64"/>
        <v>7303.9734952082363</v>
      </c>
      <c r="O14" s="169">
        <f t="shared" si="65"/>
        <v>9880.94497979484</v>
      </c>
      <c r="P14" s="169">
        <f t="shared" si="66"/>
        <v>27701.31856891913</v>
      </c>
      <c r="Q14" s="57">
        <f t="shared" si="50"/>
        <v>45785</v>
      </c>
      <c r="R14" s="162">
        <v>46782</v>
      </c>
      <c r="S14" s="163">
        <v>0</v>
      </c>
      <c r="T14" s="163">
        <v>47800</v>
      </c>
      <c r="U14" s="163">
        <v>0</v>
      </c>
      <c r="V14" s="164">
        <v>12900</v>
      </c>
      <c r="W14" s="165">
        <v>0.39583333333333331</v>
      </c>
      <c r="X14" s="164">
        <v>4008</v>
      </c>
      <c r="Y14" s="165">
        <v>0.36458333333333331</v>
      </c>
      <c r="Z14" s="164">
        <v>0</v>
      </c>
      <c r="AA14" s="165">
        <v>0</v>
      </c>
      <c r="AB14" s="57">
        <f t="shared" si="51"/>
        <v>45785</v>
      </c>
      <c r="AC14" s="77">
        <f t="shared" si="67"/>
        <v>1</v>
      </c>
      <c r="AD14" s="185">
        <f t="shared" si="68"/>
        <v>0</v>
      </c>
      <c r="AE14" s="186">
        <v>4058</v>
      </c>
      <c r="AF14" s="119">
        <f t="shared" si="37"/>
        <v>4058</v>
      </c>
      <c r="AG14" s="170">
        <v>0</v>
      </c>
      <c r="AH14" s="171">
        <v>2546</v>
      </c>
      <c r="AI14" s="172">
        <v>0.74236111111111114</v>
      </c>
      <c r="AJ14" s="171">
        <v>0</v>
      </c>
      <c r="AK14" s="188">
        <v>0</v>
      </c>
      <c r="AL14" s="57">
        <f t="shared" si="38"/>
        <v>45785</v>
      </c>
      <c r="AM14" s="78">
        <f t="shared" si="69"/>
        <v>0.40017462165308498</v>
      </c>
      <c r="AN14" s="77">
        <f t="shared" si="70"/>
        <v>0.59982537834691507</v>
      </c>
      <c r="AO14" s="173">
        <v>6872</v>
      </c>
      <c r="AP14" s="118">
        <f t="shared" si="41"/>
        <v>2750</v>
      </c>
      <c r="AQ14" s="174">
        <v>4122</v>
      </c>
      <c r="AR14" s="175">
        <v>6232</v>
      </c>
      <c r="AS14" s="176">
        <v>0.32777777777777778</v>
      </c>
      <c r="AT14" s="175">
        <v>214</v>
      </c>
      <c r="AU14" s="177">
        <v>0.45833333333333331</v>
      </c>
      <c r="AV14" s="57">
        <f t="shared" si="52"/>
        <v>45785</v>
      </c>
      <c r="AW14" s="111">
        <f t="shared" si="71"/>
        <v>0.73057644110275688</v>
      </c>
      <c r="AX14" s="111">
        <f t="shared" si="72"/>
        <v>0.26942355889724312</v>
      </c>
      <c r="AY14" s="112">
        <f t="shared" si="44"/>
        <v>7980</v>
      </c>
      <c r="AZ14" s="113">
        <v>7980</v>
      </c>
      <c r="BA14" s="121">
        <f t="shared" ref="BA14:BA24" si="76">AZ14-BB14</f>
        <v>5830</v>
      </c>
      <c r="BB14" s="114">
        <v>2150</v>
      </c>
      <c r="BC14" s="113">
        <v>3250</v>
      </c>
      <c r="BD14" s="115">
        <v>0.375</v>
      </c>
      <c r="BE14" s="116">
        <v>0</v>
      </c>
      <c r="BF14" s="115">
        <v>0</v>
      </c>
      <c r="BG14" s="116">
        <v>140</v>
      </c>
      <c r="BH14" s="115">
        <v>0.8125</v>
      </c>
      <c r="BI14" s="57">
        <f t="shared" si="53"/>
        <v>45785</v>
      </c>
      <c r="BJ14" s="79">
        <f t="shared" si="73"/>
        <v>0.60760465027049837</v>
      </c>
      <c r="BK14" s="77">
        <f t="shared" si="74"/>
        <v>0.39239534972950157</v>
      </c>
      <c r="BL14" s="80">
        <f t="shared" si="75"/>
        <v>26063</v>
      </c>
      <c r="BM14" s="178">
        <v>15836</v>
      </c>
      <c r="BN14" s="178">
        <v>10227</v>
      </c>
      <c r="BO14" s="179">
        <v>3814</v>
      </c>
      <c r="BP14" s="180">
        <v>0.75</v>
      </c>
      <c r="BQ14" s="181">
        <v>2541</v>
      </c>
      <c r="BR14" s="180">
        <v>0.75</v>
      </c>
    </row>
    <row r="15" spans="1:72" ht="15.75" thickBot="1" x14ac:dyDescent="0.3">
      <c r="B15" s="57">
        <f t="shared" si="49"/>
        <v>45786</v>
      </c>
      <c r="C15" s="187"/>
      <c r="D15" s="88">
        <f t="shared" si="54"/>
        <v>53944</v>
      </c>
      <c r="E15" s="182">
        <f t="shared" si="55"/>
        <v>0.88113599288150679</v>
      </c>
      <c r="F15" s="88">
        <f t="shared" si="56"/>
        <v>47532</v>
      </c>
      <c r="G15" s="182">
        <f t="shared" si="57"/>
        <v>0.11886400711849325</v>
      </c>
      <c r="H15" s="169">
        <f t="shared" si="58"/>
        <v>6412</v>
      </c>
      <c r="I15" s="183">
        <f t="shared" si="59"/>
        <v>0.10843492521388631</v>
      </c>
      <c r="J15" s="182">
        <f t="shared" si="60"/>
        <v>0.15866116061725713</v>
      </c>
      <c r="K15" s="182">
        <f t="shared" si="61"/>
        <v>0.18882262187118612</v>
      </c>
      <c r="L15" s="184">
        <f t="shared" si="62"/>
        <v>0.57088379996443461</v>
      </c>
      <c r="M15" s="169">
        <f t="shared" si="63"/>
        <v>5684.1587797119209</v>
      </c>
      <c r="N15" s="169">
        <f t="shared" si="64"/>
        <v>8317.0180395566185</v>
      </c>
      <c r="O15" s="169">
        <f t="shared" si="65"/>
        <v>9898.0818384875765</v>
      </c>
      <c r="P15" s="169">
        <f t="shared" si="66"/>
        <v>29925.728794135663</v>
      </c>
      <c r="Q15" s="57">
        <f t="shared" si="50"/>
        <v>45786</v>
      </c>
      <c r="R15" s="162">
        <v>53944</v>
      </c>
      <c r="S15" s="163">
        <v>0</v>
      </c>
      <c r="T15" s="163">
        <v>52420</v>
      </c>
      <c r="U15" s="163">
        <v>0</v>
      </c>
      <c r="V15" s="164">
        <v>13450</v>
      </c>
      <c r="W15" s="165">
        <v>0.33333333333333331</v>
      </c>
      <c r="X15" s="164">
        <v>4710</v>
      </c>
      <c r="Y15" s="165">
        <v>0.39583333333333331</v>
      </c>
      <c r="Z15" s="164">
        <v>0</v>
      </c>
      <c r="AA15" s="165">
        <v>0</v>
      </c>
      <c r="AB15" s="57">
        <f t="shared" si="51"/>
        <v>45786</v>
      </c>
      <c r="AC15" s="77">
        <f t="shared" si="67"/>
        <v>1</v>
      </c>
      <c r="AD15" s="185">
        <f t="shared" si="68"/>
        <v>0</v>
      </c>
      <c r="AE15" s="186">
        <v>5488</v>
      </c>
      <c r="AF15" s="119">
        <f t="shared" si="37"/>
        <v>5488</v>
      </c>
      <c r="AG15" s="170">
        <v>0</v>
      </c>
      <c r="AH15" s="171">
        <v>3428</v>
      </c>
      <c r="AI15" s="172">
        <v>0.35555555555555557</v>
      </c>
      <c r="AJ15" s="171">
        <v>0</v>
      </c>
      <c r="AK15" s="188">
        <v>0</v>
      </c>
      <c r="AL15" s="191">
        <f t="shared" si="38"/>
        <v>45786</v>
      </c>
      <c r="AM15" s="78">
        <f t="shared" si="69"/>
        <v>0.50286425902864262</v>
      </c>
      <c r="AN15" s="77">
        <f t="shared" si="70"/>
        <v>0.49713574097135743</v>
      </c>
      <c r="AO15" s="173">
        <v>8030</v>
      </c>
      <c r="AP15" s="118">
        <f t="shared" si="41"/>
        <v>4038</v>
      </c>
      <c r="AQ15" s="174">
        <v>3992</v>
      </c>
      <c r="AR15" s="175">
        <v>3621</v>
      </c>
      <c r="AS15" s="176">
        <v>0.34722222222222221</v>
      </c>
      <c r="AT15" s="175">
        <v>202</v>
      </c>
      <c r="AU15" s="177">
        <v>0.3125</v>
      </c>
      <c r="AV15" s="57">
        <f t="shared" si="52"/>
        <v>45786</v>
      </c>
      <c r="AW15" s="192">
        <f t="shared" si="71"/>
        <v>0.70487804878048776</v>
      </c>
      <c r="AX15" s="192">
        <f t="shared" si="72"/>
        <v>0.29512195121951218</v>
      </c>
      <c r="AY15" s="112">
        <f t="shared" si="44"/>
        <v>8200</v>
      </c>
      <c r="AZ15" s="113">
        <v>8200</v>
      </c>
      <c r="BA15" s="193">
        <f t="shared" si="76"/>
        <v>5780</v>
      </c>
      <c r="BB15" s="114">
        <v>2420</v>
      </c>
      <c r="BC15" s="113">
        <v>3950</v>
      </c>
      <c r="BD15" s="115">
        <v>0.35416666666666669</v>
      </c>
      <c r="BE15" s="116">
        <v>0</v>
      </c>
      <c r="BF15" s="115">
        <v>0</v>
      </c>
      <c r="BG15" s="116">
        <v>141</v>
      </c>
      <c r="BH15" s="115">
        <v>0.85416666666666663</v>
      </c>
      <c r="BI15" s="57">
        <f t="shared" si="53"/>
        <v>45786</v>
      </c>
      <c r="BJ15" s="194">
        <f t="shared" si="73"/>
        <v>0.60571764787318727</v>
      </c>
      <c r="BK15" s="77">
        <f t="shared" si="74"/>
        <v>0.39428235212681273</v>
      </c>
      <c r="BL15" s="80">
        <f t="shared" si="75"/>
        <v>28893</v>
      </c>
      <c r="BM15" s="178">
        <v>17501</v>
      </c>
      <c r="BN15" s="178">
        <v>11392</v>
      </c>
      <c r="BO15" s="179">
        <v>4813</v>
      </c>
      <c r="BP15" s="180">
        <v>0.81180555555555556</v>
      </c>
      <c r="BQ15" s="181">
        <v>3218</v>
      </c>
      <c r="BR15" s="180">
        <v>0.81180555555555556</v>
      </c>
    </row>
    <row r="16" spans="1:72" ht="15.75" thickBot="1" x14ac:dyDescent="0.3">
      <c r="B16" s="57">
        <f t="shared" si="49"/>
        <v>45787</v>
      </c>
      <c r="C16" s="187"/>
      <c r="D16" s="88">
        <f t="shared" si="54"/>
        <v>32494</v>
      </c>
      <c r="E16" s="182">
        <f t="shared" si="55"/>
        <v>0.7980550255431772</v>
      </c>
      <c r="F16" s="88">
        <f t="shared" si="56"/>
        <v>25932</v>
      </c>
      <c r="G16" s="182">
        <f t="shared" si="57"/>
        <v>0.2019449744568228</v>
      </c>
      <c r="H16" s="169">
        <f t="shared" si="58"/>
        <v>6562</v>
      </c>
      <c r="I16" s="183">
        <f t="shared" si="59"/>
        <v>8.3614709313033331E-2</v>
      </c>
      <c r="J16" s="182">
        <f t="shared" si="60"/>
        <v>0.17487261342009947</v>
      </c>
      <c r="K16" s="182">
        <f t="shared" si="61"/>
        <v>6.8125727590221188E-2</v>
      </c>
      <c r="L16" s="184">
        <f t="shared" si="62"/>
        <v>0.69660507090674684</v>
      </c>
      <c r="M16" s="169">
        <f t="shared" si="63"/>
        <v>2338.2017312296639</v>
      </c>
      <c r="N16" s="169">
        <f t="shared" si="64"/>
        <v>4890.1377616796617</v>
      </c>
      <c r="O16" s="169">
        <f t="shared" si="65"/>
        <v>1905.0678463329452</v>
      </c>
      <c r="P16" s="169">
        <f t="shared" si="66"/>
        <v>19479.86420283627</v>
      </c>
      <c r="Q16" s="57">
        <f t="shared" si="50"/>
        <v>45787</v>
      </c>
      <c r="R16" s="162">
        <v>32494</v>
      </c>
      <c r="S16" s="163">
        <v>0</v>
      </c>
      <c r="T16" s="163">
        <v>27964</v>
      </c>
      <c r="U16" s="163">
        <v>2892</v>
      </c>
      <c r="V16" s="164">
        <v>6245</v>
      </c>
      <c r="W16" s="165">
        <v>0.75</v>
      </c>
      <c r="X16" s="164">
        <v>2050</v>
      </c>
      <c r="Y16" s="165">
        <v>0.65625</v>
      </c>
      <c r="Z16" s="164">
        <v>151</v>
      </c>
      <c r="AA16" s="165">
        <v>0.84375</v>
      </c>
      <c r="AB16" s="57">
        <f t="shared" si="51"/>
        <v>45787</v>
      </c>
      <c r="AC16" s="77">
        <f t="shared" si="67"/>
        <v>1</v>
      </c>
      <c r="AD16" s="185">
        <f t="shared" si="68"/>
        <v>0</v>
      </c>
      <c r="AE16" s="186">
        <v>2724</v>
      </c>
      <c r="AF16" s="119">
        <f t="shared" si="37"/>
        <v>2724</v>
      </c>
      <c r="AG16" s="170">
        <v>0</v>
      </c>
      <c r="AH16" s="171">
        <v>1716</v>
      </c>
      <c r="AI16" s="172">
        <v>0.35347222222222224</v>
      </c>
      <c r="AJ16" s="171">
        <v>0</v>
      </c>
      <c r="AK16" s="188">
        <v>0</v>
      </c>
      <c r="AL16" s="57">
        <f t="shared" si="38"/>
        <v>45787</v>
      </c>
      <c r="AM16" s="78">
        <f t="shared" si="69"/>
        <v>0.35580129892926099</v>
      </c>
      <c r="AN16" s="77">
        <f t="shared" si="70"/>
        <v>0.64419870107073895</v>
      </c>
      <c r="AO16" s="173">
        <v>5697</v>
      </c>
      <c r="AP16" s="118">
        <f t="shared" si="41"/>
        <v>2027</v>
      </c>
      <c r="AQ16" s="174">
        <v>3670</v>
      </c>
      <c r="AR16" s="175">
        <v>1965</v>
      </c>
      <c r="AS16" s="176">
        <v>0</v>
      </c>
      <c r="AT16" s="175">
        <v>178</v>
      </c>
      <c r="AU16" s="177">
        <v>0.76041666666666663</v>
      </c>
      <c r="AV16" s="57">
        <f t="shared" si="52"/>
        <v>45787</v>
      </c>
      <c r="AW16" s="111">
        <f t="shared" si="71"/>
        <v>1</v>
      </c>
      <c r="AX16" s="111">
        <f t="shared" si="72"/>
        <v>0</v>
      </c>
      <c r="AY16" s="112">
        <f t="shared" si="44"/>
        <v>1463</v>
      </c>
      <c r="AZ16" s="113">
        <v>1463</v>
      </c>
      <c r="BA16" s="121">
        <f t="shared" si="76"/>
        <v>1463</v>
      </c>
      <c r="BB16" s="114">
        <v>0</v>
      </c>
      <c r="BC16" s="113">
        <v>1575</v>
      </c>
      <c r="BD16" s="115">
        <v>0.36458333333333331</v>
      </c>
      <c r="BE16" s="116">
        <v>0</v>
      </c>
      <c r="BF16" s="115">
        <v>0</v>
      </c>
      <c r="BG16" s="116">
        <v>0</v>
      </c>
      <c r="BH16" s="115">
        <v>0</v>
      </c>
      <c r="BI16" s="57">
        <f t="shared" si="53"/>
        <v>45787</v>
      </c>
      <c r="BJ16" s="79">
        <f t="shared" si="73"/>
        <v>0.60800211509650126</v>
      </c>
      <c r="BK16" s="77">
        <f t="shared" si="74"/>
        <v>0.39199788490349874</v>
      </c>
      <c r="BL16" s="80">
        <f t="shared" si="75"/>
        <v>22694</v>
      </c>
      <c r="BM16" s="178">
        <v>13798</v>
      </c>
      <c r="BN16" s="178">
        <v>8896</v>
      </c>
      <c r="BO16" s="179">
        <v>2559</v>
      </c>
      <c r="BP16" s="180">
        <v>0.37708333333333333</v>
      </c>
      <c r="BQ16" s="181">
        <v>1678</v>
      </c>
      <c r="BR16" s="180">
        <v>0.37708333333333333</v>
      </c>
    </row>
    <row r="17" spans="1:70" ht="15.75" thickBot="1" x14ac:dyDescent="0.3">
      <c r="B17" s="57">
        <f t="shared" si="49"/>
        <v>45788</v>
      </c>
      <c r="C17" s="187"/>
      <c r="D17" s="88">
        <f t="shared" si="54"/>
        <v>27104</v>
      </c>
      <c r="E17" s="182">
        <f t="shared" si="55"/>
        <v>0.76180932703659987</v>
      </c>
      <c r="F17" s="88">
        <f t="shared" si="56"/>
        <v>20648.080000000002</v>
      </c>
      <c r="G17" s="182">
        <f t="shared" si="57"/>
        <v>0.23819067296340024</v>
      </c>
      <c r="H17" s="169">
        <f t="shared" si="58"/>
        <v>6455.92</v>
      </c>
      <c r="I17" s="183">
        <f t="shared" si="59"/>
        <v>6.7431932454226351E-2</v>
      </c>
      <c r="J17" s="182">
        <f t="shared" si="60"/>
        <v>0.19201214306043071</v>
      </c>
      <c r="K17" s="182">
        <f t="shared" si="61"/>
        <v>5.6095164804780266E-2</v>
      </c>
      <c r="L17" s="184">
        <f t="shared" si="62"/>
        <v>0.70575846693862065</v>
      </c>
      <c r="M17" s="169">
        <f t="shared" si="63"/>
        <v>1550.0915472915283</v>
      </c>
      <c r="N17" s="169">
        <f t="shared" si="64"/>
        <v>4413.879138601651</v>
      </c>
      <c r="O17" s="169">
        <f t="shared" si="65"/>
        <v>1289.4876009498864</v>
      </c>
      <c r="P17" s="169">
        <f t="shared" si="66"/>
        <v>16223.622758751542</v>
      </c>
      <c r="Q17" s="57">
        <f t="shared" si="50"/>
        <v>45788</v>
      </c>
      <c r="R17" s="162">
        <v>27104</v>
      </c>
      <c r="S17" s="163">
        <v>0</v>
      </c>
      <c r="T17" s="163">
        <v>22987.5</v>
      </c>
      <c r="U17" s="163">
        <v>2828.14</v>
      </c>
      <c r="V17" s="164">
        <v>5893.62</v>
      </c>
      <c r="W17" s="165">
        <v>0.625</v>
      </c>
      <c r="X17" s="164">
        <v>1831.82</v>
      </c>
      <c r="Y17" s="165">
        <v>0.70833333333333337</v>
      </c>
      <c r="Z17" s="164">
        <v>147.72</v>
      </c>
      <c r="AA17" s="165">
        <v>0.3125</v>
      </c>
      <c r="AB17" s="57">
        <f t="shared" si="51"/>
        <v>45788</v>
      </c>
      <c r="AC17" s="77">
        <f t="shared" si="67"/>
        <v>1</v>
      </c>
      <c r="AD17" s="185">
        <f t="shared" si="68"/>
        <v>0</v>
      </c>
      <c r="AE17" s="186">
        <v>1777</v>
      </c>
      <c r="AF17" s="119">
        <f t="shared" si="37"/>
        <v>1777</v>
      </c>
      <c r="AG17" s="170">
        <v>0</v>
      </c>
      <c r="AH17" s="171">
        <v>1507.78</v>
      </c>
      <c r="AI17" s="172">
        <v>0.78263888888888888</v>
      </c>
      <c r="AJ17" s="171">
        <v>0</v>
      </c>
      <c r="AK17" s="188">
        <v>0</v>
      </c>
      <c r="AL17" s="57">
        <f t="shared" si="38"/>
        <v>45788</v>
      </c>
      <c r="AM17" s="78">
        <f t="shared" si="69"/>
        <v>0.28304743083003947</v>
      </c>
      <c r="AN17" s="77">
        <f t="shared" si="70"/>
        <v>0.71695256916996053</v>
      </c>
      <c r="AO17" s="173">
        <v>5060</v>
      </c>
      <c r="AP17" s="118">
        <f t="shared" si="41"/>
        <v>1432.2199999999998</v>
      </c>
      <c r="AQ17" s="174">
        <v>3627.78</v>
      </c>
      <c r="AR17" s="175">
        <v>1833.26</v>
      </c>
      <c r="AS17" s="176">
        <v>0.93402777777777779</v>
      </c>
      <c r="AT17" s="175">
        <v>186.39</v>
      </c>
      <c r="AU17" s="177">
        <v>0.78125</v>
      </c>
      <c r="AV17" s="57">
        <f t="shared" si="52"/>
        <v>45788</v>
      </c>
      <c r="AW17" s="111">
        <f t="shared" si="71"/>
        <v>1</v>
      </c>
      <c r="AX17" s="111">
        <f t="shared" si="72"/>
        <v>0</v>
      </c>
      <c r="AY17" s="112">
        <f t="shared" si="44"/>
        <v>917</v>
      </c>
      <c r="AZ17" s="113">
        <v>917</v>
      </c>
      <c r="BA17" s="121">
        <f t="shared" si="76"/>
        <v>917</v>
      </c>
      <c r="BB17" s="114">
        <v>0</v>
      </c>
      <c r="BC17" s="113">
        <v>1230</v>
      </c>
      <c r="BD17" s="115">
        <v>0.59375</v>
      </c>
      <c r="BE17" s="116">
        <v>0</v>
      </c>
      <c r="BF17" s="115">
        <v>0</v>
      </c>
      <c r="BG17" s="116">
        <v>0</v>
      </c>
      <c r="BH17" s="115">
        <v>0</v>
      </c>
      <c r="BI17" s="57">
        <f t="shared" si="53"/>
        <v>45788</v>
      </c>
      <c r="BJ17" s="79">
        <f t="shared" si="73"/>
        <v>0.60779095088313573</v>
      </c>
      <c r="BK17" s="77">
        <f t="shared" si="74"/>
        <v>0.39220904911686427</v>
      </c>
      <c r="BL17" s="80">
        <f t="shared" si="75"/>
        <v>18598.5</v>
      </c>
      <c r="BM17" s="178">
        <v>11304</v>
      </c>
      <c r="BN17" s="178">
        <v>7294.5</v>
      </c>
      <c r="BO17" s="179">
        <v>2456.89</v>
      </c>
      <c r="BP17" s="180">
        <v>0.66874999999999996</v>
      </c>
      <c r="BQ17" s="181">
        <v>1613.76</v>
      </c>
      <c r="BR17" s="180">
        <v>0.66874999999999996</v>
      </c>
    </row>
    <row r="18" spans="1:70" ht="15.75" thickBot="1" x14ac:dyDescent="0.3">
      <c r="B18" s="57">
        <f t="shared" si="49"/>
        <v>45789</v>
      </c>
      <c r="C18" s="187"/>
      <c r="D18" s="88">
        <f t="shared" si="54"/>
        <v>53828</v>
      </c>
      <c r="E18" s="182">
        <f t="shared" si="55"/>
        <v>0.87352307349334923</v>
      </c>
      <c r="F18" s="88">
        <f t="shared" si="56"/>
        <v>47020</v>
      </c>
      <c r="G18" s="182">
        <f t="shared" si="57"/>
        <v>0.12647692650665082</v>
      </c>
      <c r="H18" s="169">
        <f t="shared" si="58"/>
        <v>6808</v>
      </c>
      <c r="I18" s="183">
        <f t="shared" si="59"/>
        <v>0.12350354482634839</v>
      </c>
      <c r="J18" s="182">
        <f t="shared" si="60"/>
        <v>0.1684286098896168</v>
      </c>
      <c r="K18" s="182">
        <f t="shared" si="61"/>
        <v>0.11884690478925003</v>
      </c>
      <c r="L18" s="184">
        <f t="shared" si="62"/>
        <v>0.61520236920039484</v>
      </c>
      <c r="M18" s="169">
        <f t="shared" si="63"/>
        <v>6001.2842502019212</v>
      </c>
      <c r="N18" s="169">
        <f t="shared" si="64"/>
        <v>8184.2830117562598</v>
      </c>
      <c r="O18" s="169">
        <f t="shared" si="65"/>
        <v>5775.0087975192373</v>
      </c>
      <c r="P18" s="169">
        <f t="shared" si="66"/>
        <v>29893.913524185587</v>
      </c>
      <c r="Q18" s="57">
        <f t="shared" si="50"/>
        <v>45789</v>
      </c>
      <c r="R18" s="162">
        <v>53828</v>
      </c>
      <c r="S18" s="163">
        <v>0</v>
      </c>
      <c r="T18" s="163">
        <v>48592</v>
      </c>
      <c r="U18" s="163">
        <v>2929</v>
      </c>
      <c r="V18" s="164">
        <v>13626</v>
      </c>
      <c r="W18" s="165">
        <v>0.38541666666666669</v>
      </c>
      <c r="X18" s="164">
        <v>4623</v>
      </c>
      <c r="Y18" s="165">
        <v>0.80208333333333337</v>
      </c>
      <c r="Z18" s="164">
        <v>152</v>
      </c>
      <c r="AA18" s="165">
        <v>0.77083333333333337</v>
      </c>
      <c r="AB18" s="57">
        <f t="shared" si="51"/>
        <v>45789</v>
      </c>
      <c r="AC18" s="77">
        <f t="shared" si="67"/>
        <v>1</v>
      </c>
      <c r="AD18" s="185">
        <f t="shared" si="68"/>
        <v>0</v>
      </c>
      <c r="AE18" s="186">
        <v>6881</v>
      </c>
      <c r="AF18" s="119">
        <f t="shared" si="37"/>
        <v>6881</v>
      </c>
      <c r="AG18" s="170">
        <v>0</v>
      </c>
      <c r="AH18" s="171">
        <v>3768</v>
      </c>
      <c r="AI18" s="172">
        <v>0.38750000000000001</v>
      </c>
      <c r="AJ18" s="171">
        <v>0</v>
      </c>
      <c r="AK18" s="188">
        <v>0</v>
      </c>
      <c r="AL18" s="57">
        <f t="shared" si="38"/>
        <v>45789</v>
      </c>
      <c r="AM18" s="78">
        <f t="shared" si="69"/>
        <v>0.58663682864450128</v>
      </c>
      <c r="AN18" s="77">
        <f t="shared" si="70"/>
        <v>0.41336317135549872</v>
      </c>
      <c r="AO18" s="173">
        <v>9384</v>
      </c>
      <c r="AP18" s="118">
        <f t="shared" si="41"/>
        <v>5505</v>
      </c>
      <c r="AQ18" s="174">
        <v>3879</v>
      </c>
      <c r="AR18" s="175">
        <v>3609</v>
      </c>
      <c r="AS18" s="176">
        <v>0.6875</v>
      </c>
      <c r="AT18" s="175">
        <v>182</v>
      </c>
      <c r="AU18" s="177">
        <v>0.80208333333333337</v>
      </c>
      <c r="AV18" s="57">
        <f t="shared" si="52"/>
        <v>45789</v>
      </c>
      <c r="AW18" s="111">
        <f t="shared" si="71"/>
        <v>1</v>
      </c>
      <c r="AX18" s="111">
        <f t="shared" si="72"/>
        <v>0</v>
      </c>
      <c r="AY18" s="112">
        <f t="shared" si="44"/>
        <v>5174</v>
      </c>
      <c r="AZ18" s="113">
        <v>5174</v>
      </c>
      <c r="BA18" s="121">
        <f t="shared" si="76"/>
        <v>5174</v>
      </c>
      <c r="BB18" s="114">
        <v>0</v>
      </c>
      <c r="BC18" s="113">
        <v>3610</v>
      </c>
      <c r="BD18" s="115">
        <v>0.6875</v>
      </c>
      <c r="BE18" s="116">
        <v>0</v>
      </c>
      <c r="BF18" s="115">
        <v>0</v>
      </c>
      <c r="BG18" s="116">
        <v>0</v>
      </c>
      <c r="BH18" s="115">
        <v>0</v>
      </c>
      <c r="BI18" s="57">
        <f t="shared" si="53"/>
        <v>45789</v>
      </c>
      <c r="BJ18" s="79">
        <f t="shared" si="73"/>
        <v>0.60686777920410784</v>
      </c>
      <c r="BK18" s="77">
        <f t="shared" si="74"/>
        <v>0.39313222079589216</v>
      </c>
      <c r="BL18" s="80">
        <f t="shared" si="75"/>
        <v>34276</v>
      </c>
      <c r="BM18" s="178">
        <v>20801</v>
      </c>
      <c r="BN18" s="178">
        <v>13475</v>
      </c>
      <c r="BO18" s="179">
        <v>4018</v>
      </c>
      <c r="BP18" s="180">
        <v>0.65555555555555556</v>
      </c>
      <c r="BQ18" s="181">
        <v>2670</v>
      </c>
      <c r="BR18" s="180">
        <v>0.65555555555555556</v>
      </c>
    </row>
    <row r="19" spans="1:70" ht="15.75" thickBot="1" x14ac:dyDescent="0.3">
      <c r="B19" s="57">
        <f t="shared" si="49"/>
        <v>45790</v>
      </c>
      <c r="C19" s="187"/>
      <c r="D19" s="88">
        <f t="shared" si="54"/>
        <v>52560</v>
      </c>
      <c r="E19" s="182">
        <f t="shared" si="55"/>
        <v>0.86982496194824965</v>
      </c>
      <c r="F19" s="88">
        <f t="shared" si="56"/>
        <v>45718</v>
      </c>
      <c r="G19" s="182">
        <f t="shared" si="57"/>
        <v>0.13017503805175037</v>
      </c>
      <c r="H19" s="169">
        <f t="shared" si="58"/>
        <v>6842</v>
      </c>
      <c r="I19" s="183">
        <f t="shared" si="59"/>
        <v>0.12232649498035793</v>
      </c>
      <c r="J19" s="182">
        <f t="shared" si="60"/>
        <v>0.16730321548086716</v>
      </c>
      <c r="K19" s="182">
        <f t="shared" si="61"/>
        <v>0.11545142964458426</v>
      </c>
      <c r="L19" s="184">
        <f t="shared" si="62"/>
        <v>0.62092608758911683</v>
      </c>
      <c r="M19" s="169">
        <f t="shared" si="63"/>
        <v>5891.3663247490185</v>
      </c>
      <c r="N19" s="169">
        <f t="shared" si="64"/>
        <v>8057.490160774043</v>
      </c>
      <c r="O19" s="169">
        <f t="shared" si="65"/>
        <v>5560.256303112822</v>
      </c>
      <c r="P19" s="169">
        <f t="shared" si="66"/>
        <v>29904.421304379455</v>
      </c>
      <c r="Q19" s="57">
        <f t="shared" si="50"/>
        <v>45790</v>
      </c>
      <c r="R19" s="162">
        <v>52560</v>
      </c>
      <c r="S19" s="163">
        <v>0</v>
      </c>
      <c r="T19" s="163">
        <v>48161</v>
      </c>
      <c r="U19" s="163">
        <v>2952</v>
      </c>
      <c r="V19" s="164">
        <v>13199</v>
      </c>
      <c r="W19" s="165">
        <v>0.80208333333333337</v>
      </c>
      <c r="X19" s="164">
        <v>4412</v>
      </c>
      <c r="Y19" s="165">
        <v>0.79166666666666663</v>
      </c>
      <c r="Z19" s="164">
        <v>149</v>
      </c>
      <c r="AA19" s="165">
        <v>0.8125</v>
      </c>
      <c r="AB19" s="57">
        <f t="shared" si="51"/>
        <v>45790</v>
      </c>
      <c r="AC19" s="77">
        <f t="shared" si="67"/>
        <v>1</v>
      </c>
      <c r="AD19" s="185">
        <f t="shared" si="68"/>
        <v>0</v>
      </c>
      <c r="AE19" s="186">
        <v>6726</v>
      </c>
      <c r="AF19" s="119">
        <f t="shared" si="37"/>
        <v>6726</v>
      </c>
      <c r="AG19" s="170">
        <v>0</v>
      </c>
      <c r="AH19" s="171">
        <v>3955</v>
      </c>
      <c r="AI19" s="172">
        <v>0.7583333333333333</v>
      </c>
      <c r="AJ19" s="171">
        <v>0</v>
      </c>
      <c r="AK19" s="188">
        <v>0</v>
      </c>
      <c r="AL19" s="57">
        <f t="shared" si="38"/>
        <v>45790</v>
      </c>
      <c r="AM19" s="78">
        <f t="shared" ref="AM19" si="77">+AP19/AO19</f>
        <v>0.577127948690075</v>
      </c>
      <c r="AN19" s="77">
        <f t="shared" ref="AN19" si="78">+AQ19/AO19</f>
        <v>0.422872051309925</v>
      </c>
      <c r="AO19" s="173">
        <v>9199</v>
      </c>
      <c r="AP19" s="118">
        <f t="shared" si="41"/>
        <v>5309</v>
      </c>
      <c r="AQ19" s="174">
        <v>3890</v>
      </c>
      <c r="AR19" s="175">
        <v>4075</v>
      </c>
      <c r="AS19" s="176">
        <v>0.75486111111111109</v>
      </c>
      <c r="AT19" s="175">
        <v>187</v>
      </c>
      <c r="AU19" s="177">
        <v>0.8125</v>
      </c>
      <c r="AV19" s="57">
        <f t="shared" si="52"/>
        <v>45790</v>
      </c>
      <c r="AW19" s="111">
        <f t="shared" ref="AW19" si="79">BA19/AZ19</f>
        <v>1</v>
      </c>
      <c r="AX19" s="111">
        <f t="shared" ref="AX19" si="80">BB19/AZ19</f>
        <v>0</v>
      </c>
      <c r="AY19" s="112">
        <f t="shared" si="44"/>
        <v>4918</v>
      </c>
      <c r="AZ19" s="113">
        <v>4918</v>
      </c>
      <c r="BA19" s="121">
        <f t="shared" ref="BA19:BA20" si="81">AZ19-BB19</f>
        <v>4918</v>
      </c>
      <c r="BB19" s="114">
        <v>0</v>
      </c>
      <c r="BC19" s="113">
        <v>3483</v>
      </c>
      <c r="BD19" s="115">
        <v>0.73958333333333337</v>
      </c>
      <c r="BE19" s="116">
        <v>0</v>
      </c>
      <c r="BF19" s="115">
        <v>0</v>
      </c>
      <c r="BG19" s="116">
        <v>0</v>
      </c>
      <c r="BH19" s="115">
        <v>0</v>
      </c>
      <c r="BI19" s="57">
        <f t="shared" si="53"/>
        <v>45790</v>
      </c>
      <c r="BJ19" s="79">
        <f t="shared" ref="BJ19" si="82">+BM19/BL19</f>
        <v>0.60709996778067421</v>
      </c>
      <c r="BK19" s="77">
        <f t="shared" ref="BK19" si="83">+BN19/BL19</f>
        <v>0.39290003221932573</v>
      </c>
      <c r="BL19" s="80">
        <f t="shared" ref="BL19" si="84">BM19+BN19</f>
        <v>34141</v>
      </c>
      <c r="BM19" s="178">
        <v>20727</v>
      </c>
      <c r="BN19" s="178">
        <v>13414</v>
      </c>
      <c r="BO19" s="179">
        <v>4106</v>
      </c>
      <c r="BP19" s="180">
        <v>0.82499999999999996</v>
      </c>
      <c r="BQ19" s="181">
        <v>2743</v>
      </c>
      <c r="BR19" s="180">
        <v>0.82499999999999996</v>
      </c>
    </row>
    <row r="20" spans="1:70" ht="15.75" thickBot="1" x14ac:dyDescent="0.3">
      <c r="B20" s="57">
        <f t="shared" si="49"/>
        <v>45791</v>
      </c>
      <c r="C20" s="187"/>
      <c r="D20" s="88">
        <f t="shared" si="54"/>
        <v>53890</v>
      </c>
      <c r="E20" s="182">
        <f t="shared" si="55"/>
        <v>0.87416960475041749</v>
      </c>
      <c r="F20" s="88">
        <f t="shared" si="56"/>
        <v>47109</v>
      </c>
      <c r="G20" s="182">
        <f t="shared" si="57"/>
        <v>0.12583039524958248</v>
      </c>
      <c r="H20" s="169">
        <f t="shared" si="58"/>
        <v>6781</v>
      </c>
      <c r="I20" s="183">
        <f t="shared" si="59"/>
        <v>0.12265137581593277</v>
      </c>
      <c r="J20" s="182">
        <f t="shared" si="60"/>
        <v>0.16828951639078221</v>
      </c>
      <c r="K20" s="182">
        <f t="shared" si="61"/>
        <v>0.11998431878977954</v>
      </c>
      <c r="L20" s="184">
        <f t="shared" si="62"/>
        <v>0.61524036207580513</v>
      </c>
      <c r="M20" s="169">
        <f t="shared" si="63"/>
        <v>5970.5463233437913</v>
      </c>
      <c r="N20" s="169">
        <f t="shared" si="64"/>
        <v>8192.1653683868881</v>
      </c>
      <c r="O20" s="169">
        <f t="shared" si="65"/>
        <v>5840.7166543676785</v>
      </c>
      <c r="P20" s="169">
        <f t="shared" si="66"/>
        <v>29949.285585488116</v>
      </c>
      <c r="Q20" s="57">
        <f t="shared" si="50"/>
        <v>45791</v>
      </c>
      <c r="R20" s="162">
        <v>53890</v>
      </c>
      <c r="S20" s="163">
        <v>0</v>
      </c>
      <c r="T20" s="163">
        <v>48679</v>
      </c>
      <c r="U20" s="163">
        <v>2936</v>
      </c>
      <c r="V20" s="164">
        <v>13553</v>
      </c>
      <c r="W20" s="165">
        <v>0.80208333333333337</v>
      </c>
      <c r="X20" s="164">
        <v>4562</v>
      </c>
      <c r="Y20" s="165">
        <v>0.80208333333333337</v>
      </c>
      <c r="Z20" s="164">
        <v>161</v>
      </c>
      <c r="AA20" s="165">
        <v>0.8125</v>
      </c>
      <c r="AB20" s="57">
        <f t="shared" si="51"/>
        <v>45791</v>
      </c>
      <c r="AC20" s="77">
        <f t="shared" si="67"/>
        <v>1</v>
      </c>
      <c r="AD20" s="185">
        <f t="shared" si="68"/>
        <v>0</v>
      </c>
      <c r="AE20" s="186">
        <v>6802</v>
      </c>
      <c r="AF20" s="119">
        <f t="shared" si="37"/>
        <v>6802</v>
      </c>
      <c r="AG20" s="170">
        <v>0</v>
      </c>
      <c r="AH20" s="171">
        <v>4063</v>
      </c>
      <c r="AI20" s="172">
        <v>0.75277777777777777</v>
      </c>
      <c r="AJ20" s="171">
        <v>0</v>
      </c>
      <c r="AK20" s="188">
        <v>0</v>
      </c>
      <c r="AL20" s="57">
        <f t="shared" si="38"/>
        <v>45791</v>
      </c>
      <c r="AM20" s="78">
        <f t="shared" si="69"/>
        <v>0.58802100075002683</v>
      </c>
      <c r="AN20" s="77">
        <f t="shared" si="70"/>
        <v>0.41197899924997322</v>
      </c>
      <c r="AO20" s="173">
        <v>9333</v>
      </c>
      <c r="AP20" s="118">
        <f t="shared" si="41"/>
        <v>5488</v>
      </c>
      <c r="AQ20" s="174">
        <v>3845</v>
      </c>
      <c r="AR20" s="175">
        <v>3823</v>
      </c>
      <c r="AS20" s="176">
        <v>0.35208333333333336</v>
      </c>
      <c r="AT20" s="175">
        <v>192</v>
      </c>
      <c r="AU20" s="177">
        <v>0.76041666666666663</v>
      </c>
      <c r="AV20" s="57">
        <f t="shared" si="52"/>
        <v>45791</v>
      </c>
      <c r="AW20" s="111">
        <f t="shared" si="71"/>
        <v>1</v>
      </c>
      <c r="AX20" s="111">
        <f t="shared" si="72"/>
        <v>0</v>
      </c>
      <c r="AY20" s="112">
        <f t="shared" si="44"/>
        <v>5203</v>
      </c>
      <c r="AZ20" s="113">
        <v>5203</v>
      </c>
      <c r="BA20" s="121">
        <f t="shared" si="81"/>
        <v>5203</v>
      </c>
      <c r="BB20" s="114">
        <v>0</v>
      </c>
      <c r="BC20" s="113">
        <v>3695</v>
      </c>
      <c r="BD20" s="115">
        <v>0.73958333333333337</v>
      </c>
      <c r="BE20" s="116">
        <v>0</v>
      </c>
      <c r="BF20" s="115">
        <v>0</v>
      </c>
      <c r="BG20" s="116">
        <v>0</v>
      </c>
      <c r="BH20" s="115">
        <v>0</v>
      </c>
      <c r="BI20" s="57">
        <f t="shared" si="53"/>
        <v>45791</v>
      </c>
      <c r="BJ20" s="79">
        <f t="shared" si="73"/>
        <v>0.60574443141852286</v>
      </c>
      <c r="BK20" s="77">
        <f t="shared" si="74"/>
        <v>0.39425556858147714</v>
      </c>
      <c r="BL20" s="80">
        <f t="shared" si="75"/>
        <v>34120</v>
      </c>
      <c r="BM20" s="178">
        <v>20668</v>
      </c>
      <c r="BN20" s="178">
        <v>13452</v>
      </c>
      <c r="BO20" s="179">
        <v>4257</v>
      </c>
      <c r="BP20" s="180">
        <v>0.28125</v>
      </c>
      <c r="BQ20" s="181">
        <v>2831</v>
      </c>
      <c r="BR20" s="180">
        <v>0.28125</v>
      </c>
    </row>
    <row r="21" spans="1:70" ht="15.75" thickBot="1" x14ac:dyDescent="0.3">
      <c r="A21" s="14"/>
      <c r="B21" s="57">
        <f t="shared" si="49"/>
        <v>45792</v>
      </c>
      <c r="C21" s="187"/>
      <c r="D21" s="88">
        <f t="shared" si="54"/>
        <v>53826</v>
      </c>
      <c r="E21" s="182">
        <f t="shared" si="55"/>
        <v>0.87076877345520753</v>
      </c>
      <c r="F21" s="88">
        <f t="shared" si="56"/>
        <v>46870</v>
      </c>
      <c r="G21" s="182">
        <f t="shared" si="57"/>
        <v>0.12923122654479247</v>
      </c>
      <c r="H21" s="169">
        <f t="shared" si="58"/>
        <v>6956</v>
      </c>
      <c r="I21" s="183">
        <f t="shared" si="59"/>
        <v>0.12303079761566846</v>
      </c>
      <c r="J21" s="182">
        <f t="shared" si="60"/>
        <v>0.16601617939256316</v>
      </c>
      <c r="K21" s="182">
        <f t="shared" si="61"/>
        <v>0.11694505293902885</v>
      </c>
      <c r="L21" s="184">
        <f t="shared" si="62"/>
        <v>0.62003264263411861</v>
      </c>
      <c r="M21" s="169">
        <f t="shared" si="63"/>
        <v>6061.1122445359069</v>
      </c>
      <c r="N21" s="169">
        <f t="shared" si="64"/>
        <v>8178.7870777746239</v>
      </c>
      <c r="O21" s="169">
        <f t="shared" si="65"/>
        <v>5761.2980330412565</v>
      </c>
      <c r="P21" s="169">
        <f t="shared" si="66"/>
        <v>30545.908139369854</v>
      </c>
      <c r="Q21" s="57">
        <f t="shared" si="50"/>
        <v>45792</v>
      </c>
      <c r="R21" s="162">
        <v>53826</v>
      </c>
      <c r="S21" s="163">
        <v>0</v>
      </c>
      <c r="T21" s="163">
        <v>49265</v>
      </c>
      <c r="U21" s="163">
        <v>3015</v>
      </c>
      <c r="V21" s="164">
        <v>15220</v>
      </c>
      <c r="W21" s="165">
        <v>0.80208333333333337</v>
      </c>
      <c r="X21" s="164">
        <v>4349</v>
      </c>
      <c r="Y21" s="165">
        <v>0.80208333333333337</v>
      </c>
      <c r="Z21" s="164">
        <v>158</v>
      </c>
      <c r="AA21" s="165">
        <v>0.27083333333333331</v>
      </c>
      <c r="AB21" s="57">
        <f t="shared" si="51"/>
        <v>45792</v>
      </c>
      <c r="AC21" s="77">
        <f t="shared" si="67"/>
        <v>1</v>
      </c>
      <c r="AD21" s="185">
        <f t="shared" si="68"/>
        <v>0</v>
      </c>
      <c r="AE21" s="186">
        <v>6935</v>
      </c>
      <c r="AF21" s="119">
        <f t="shared" si="37"/>
        <v>6935</v>
      </c>
      <c r="AG21" s="170">
        <v>0</v>
      </c>
      <c r="AH21" s="171">
        <v>4157</v>
      </c>
      <c r="AI21" s="172">
        <v>0.75069444444444444</v>
      </c>
      <c r="AJ21" s="171">
        <v>0</v>
      </c>
      <c r="AK21" s="188">
        <v>0</v>
      </c>
      <c r="AL21" s="57">
        <f t="shared" si="38"/>
        <v>45792</v>
      </c>
      <c r="AM21" s="78">
        <f t="shared" si="69"/>
        <v>0.57886300491558029</v>
      </c>
      <c r="AN21" s="77">
        <f t="shared" si="70"/>
        <v>0.42113699508441976</v>
      </c>
      <c r="AO21" s="173">
        <v>9358</v>
      </c>
      <c r="AP21" s="118">
        <f t="shared" si="41"/>
        <v>5417</v>
      </c>
      <c r="AQ21" s="174">
        <v>3941</v>
      </c>
      <c r="AR21" s="175">
        <v>4291</v>
      </c>
      <c r="AS21" s="176">
        <v>0.74305555555555558</v>
      </c>
      <c r="AT21" s="175">
        <v>199</v>
      </c>
      <c r="AU21" s="177">
        <v>0.35416666666666669</v>
      </c>
      <c r="AV21" s="57">
        <f t="shared" si="52"/>
        <v>45792</v>
      </c>
      <c r="AW21" s="111">
        <f t="shared" si="71"/>
        <v>1</v>
      </c>
      <c r="AX21" s="111">
        <f t="shared" si="72"/>
        <v>0</v>
      </c>
      <c r="AY21" s="112">
        <f t="shared" si="44"/>
        <v>5125</v>
      </c>
      <c r="AZ21" s="113">
        <v>5125</v>
      </c>
      <c r="BA21" s="121">
        <f t="shared" si="76"/>
        <v>5125</v>
      </c>
      <c r="BB21" s="114">
        <v>0</v>
      </c>
      <c r="BC21" s="113">
        <v>3802</v>
      </c>
      <c r="BD21" s="115">
        <v>0.36458333333333331</v>
      </c>
      <c r="BE21" s="116">
        <v>0</v>
      </c>
      <c r="BF21" s="115">
        <v>0</v>
      </c>
      <c r="BG21" s="116">
        <v>0</v>
      </c>
      <c r="BH21" s="115">
        <v>0</v>
      </c>
      <c r="BI21" s="57">
        <f t="shared" si="53"/>
        <v>45792</v>
      </c>
      <c r="BJ21" s="79">
        <f t="shared" si="73"/>
        <v>0.60721030042918456</v>
      </c>
      <c r="BK21" s="77">
        <f t="shared" si="74"/>
        <v>0.39278969957081544</v>
      </c>
      <c r="BL21" s="80">
        <f t="shared" si="75"/>
        <v>34950</v>
      </c>
      <c r="BM21" s="178">
        <v>21222</v>
      </c>
      <c r="BN21" s="178">
        <v>13728</v>
      </c>
      <c r="BO21" s="179">
        <v>3852</v>
      </c>
      <c r="BP21" s="180">
        <v>0.42222222222222222</v>
      </c>
      <c r="BQ21" s="181">
        <v>2578</v>
      </c>
      <c r="BR21" s="180">
        <v>0.42222222222222222</v>
      </c>
    </row>
    <row r="22" spans="1:70" ht="15.75" thickBot="1" x14ac:dyDescent="0.3">
      <c r="A22" s="14"/>
      <c r="B22" s="57">
        <f t="shared" si="49"/>
        <v>45793</v>
      </c>
      <c r="C22" s="187"/>
      <c r="D22" s="88">
        <f t="shared" si="54"/>
        <v>53152</v>
      </c>
      <c r="E22" s="182">
        <f t="shared" si="55"/>
        <v>0.8766962673088502</v>
      </c>
      <c r="F22" s="88">
        <f t="shared" si="56"/>
        <v>46598.16</v>
      </c>
      <c r="G22" s="182">
        <f t="shared" si="57"/>
        <v>0.12330373269114991</v>
      </c>
      <c r="H22" s="169">
        <f>U22+AG22+AQ22+BB22</f>
        <v>6553.84</v>
      </c>
      <c r="I22" s="183">
        <f t="shared" si="59"/>
        <v>0.11683126707291448</v>
      </c>
      <c r="J22" s="182">
        <f t="shared" si="60"/>
        <v>0.1632138461604436</v>
      </c>
      <c r="K22" s="182">
        <f t="shared" si="61"/>
        <v>0.16001827196485213</v>
      </c>
      <c r="L22" s="184">
        <f t="shared" si="62"/>
        <v>0.5862576171464593</v>
      </c>
      <c r="M22" s="169">
        <f t="shared" si="63"/>
        <v>5954.1886951040133</v>
      </c>
      <c r="N22" s="169">
        <f t="shared" si="64"/>
        <v>8318.0304557208474</v>
      </c>
      <c r="O22" s="169">
        <f t="shared" si="65"/>
        <v>8155.1712124167243</v>
      </c>
      <c r="P22" s="169">
        <f t="shared" si="66"/>
        <v>29878.03320025215</v>
      </c>
      <c r="Q22" s="57">
        <f t="shared" si="50"/>
        <v>45793</v>
      </c>
      <c r="R22" s="162">
        <v>53152</v>
      </c>
      <c r="S22" s="163">
        <v>0</v>
      </c>
      <c r="T22" s="163">
        <v>50964</v>
      </c>
      <c r="U22" s="163">
        <v>353.68</v>
      </c>
      <c r="V22" s="164">
        <v>12313.06</v>
      </c>
      <c r="W22" s="165">
        <v>0.45833333333333331</v>
      </c>
      <c r="X22" s="164">
        <v>4277.8900000000003</v>
      </c>
      <c r="Y22" s="165">
        <v>0.78125</v>
      </c>
      <c r="Z22" s="164">
        <v>147</v>
      </c>
      <c r="AA22" s="165">
        <v>3.125E-2</v>
      </c>
      <c r="AB22" s="57">
        <f t="shared" si="51"/>
        <v>45793</v>
      </c>
      <c r="AC22" s="77">
        <f t="shared" si="67"/>
        <v>1</v>
      </c>
      <c r="AD22" s="185">
        <f t="shared" si="68"/>
        <v>0</v>
      </c>
      <c r="AE22" s="186">
        <v>6811</v>
      </c>
      <c r="AF22" s="119">
        <f t="shared" si="37"/>
        <v>6811</v>
      </c>
      <c r="AG22" s="170">
        <v>0</v>
      </c>
      <c r="AH22" s="171">
        <v>4115.97</v>
      </c>
      <c r="AI22" s="172">
        <v>0.32916666666666666</v>
      </c>
      <c r="AJ22" s="171">
        <v>0</v>
      </c>
      <c r="AK22" s="188">
        <v>0</v>
      </c>
      <c r="AL22" s="57">
        <f t="shared" si="38"/>
        <v>45793</v>
      </c>
      <c r="AM22" s="78">
        <f t="shared" si="69"/>
        <v>0.5717288491854966</v>
      </c>
      <c r="AN22" s="77">
        <f t="shared" si="70"/>
        <v>0.4282711508145034</v>
      </c>
      <c r="AO22" s="173">
        <v>9515</v>
      </c>
      <c r="AP22" s="118">
        <f t="shared" si="41"/>
        <v>5440</v>
      </c>
      <c r="AQ22" s="174">
        <v>4075</v>
      </c>
      <c r="AR22" s="175">
        <v>3645.88</v>
      </c>
      <c r="AS22" s="176">
        <v>0.75902777777777775</v>
      </c>
      <c r="AT22" s="175">
        <v>189</v>
      </c>
      <c r="AU22" s="177">
        <v>0.78125</v>
      </c>
      <c r="AV22" s="57">
        <f t="shared" si="52"/>
        <v>45793</v>
      </c>
      <c r="AW22" s="111">
        <f t="shared" si="71"/>
        <v>0.7273425922956025</v>
      </c>
      <c r="AX22" s="111">
        <f t="shared" si="72"/>
        <v>0.27265740770439745</v>
      </c>
      <c r="AY22" s="112">
        <f t="shared" si="44"/>
        <v>7794.25</v>
      </c>
      <c r="AZ22" s="113">
        <v>7794.25</v>
      </c>
      <c r="BA22" s="121">
        <f t="shared" si="76"/>
        <v>5669.09</v>
      </c>
      <c r="BB22" s="114">
        <v>2125.16</v>
      </c>
      <c r="BC22" s="113">
        <v>4489.8999999999996</v>
      </c>
      <c r="BD22" s="115">
        <v>0.375</v>
      </c>
      <c r="BE22" s="116">
        <v>0</v>
      </c>
      <c r="BF22" s="115">
        <v>0</v>
      </c>
      <c r="BG22" s="116">
        <v>139.74</v>
      </c>
      <c r="BH22" s="115">
        <v>0.8125</v>
      </c>
      <c r="BI22" s="57">
        <f t="shared" si="53"/>
        <v>45793</v>
      </c>
      <c r="BJ22" s="79">
        <f t="shared" si="73"/>
        <v>0.61060639309487241</v>
      </c>
      <c r="BK22" s="77">
        <f t="shared" si="74"/>
        <v>0.38939360690512764</v>
      </c>
      <c r="BL22" s="80">
        <f t="shared" si="75"/>
        <v>34177.5</v>
      </c>
      <c r="BM22" s="178">
        <v>20869</v>
      </c>
      <c r="BN22" s="178">
        <v>13308.5</v>
      </c>
      <c r="BO22" s="179">
        <v>4293.22</v>
      </c>
      <c r="BP22" s="180">
        <v>0.37222222222222223</v>
      </c>
      <c r="BQ22" s="181">
        <v>2876</v>
      </c>
      <c r="BR22" s="180">
        <v>0.37291666666666667</v>
      </c>
    </row>
    <row r="23" spans="1:70" ht="15.75" thickBot="1" x14ac:dyDescent="0.3">
      <c r="A23" s="14"/>
      <c r="B23" s="57">
        <f t="shared" si="49"/>
        <v>45794</v>
      </c>
      <c r="C23" s="187"/>
      <c r="D23" s="88">
        <f t="shared" si="54"/>
        <v>32032</v>
      </c>
      <c r="E23" s="182">
        <f t="shared" si="55"/>
        <v>0.79786338661338663</v>
      </c>
      <c r="F23" s="88">
        <f t="shared" si="56"/>
        <v>25557.16</v>
      </c>
      <c r="G23" s="182">
        <f t="shared" si="57"/>
        <v>0.2021366133866134</v>
      </c>
      <c r="H23" s="169">
        <f t="shared" si="58"/>
        <v>6474.84</v>
      </c>
      <c r="I23" s="183">
        <f t="shared" si="59"/>
        <v>7.0066975785677485E-2</v>
      </c>
      <c r="J23" s="182">
        <f t="shared" si="60"/>
        <v>0.16761119697750301</v>
      </c>
      <c r="K23" s="182">
        <f t="shared" si="61"/>
        <v>0.16332640725349451</v>
      </c>
      <c r="L23" s="184">
        <f t="shared" si="62"/>
        <v>0.63858120098460125</v>
      </c>
      <c r="M23" s="169">
        <f t="shared" si="63"/>
        <v>2133.5744461617724</v>
      </c>
      <c r="N23" s="169">
        <f t="shared" si="64"/>
        <v>5103.8447535634559</v>
      </c>
      <c r="O23" s="169">
        <f t="shared" si="65"/>
        <v>4973.3707640725343</v>
      </c>
      <c r="P23" s="169">
        <f t="shared" si="66"/>
        <v>19445.116860581602</v>
      </c>
      <c r="Q23" s="57">
        <f t="shared" si="50"/>
        <v>45794</v>
      </c>
      <c r="R23" s="162">
        <v>32032</v>
      </c>
      <c r="S23" s="163">
        <v>0</v>
      </c>
      <c r="T23" s="163">
        <v>30450.5</v>
      </c>
      <c r="U23" s="163">
        <v>0</v>
      </c>
      <c r="V23" s="164">
        <v>6388.79</v>
      </c>
      <c r="W23" s="165">
        <v>0.45833333333333331</v>
      </c>
      <c r="X23" s="164">
        <v>2013</v>
      </c>
      <c r="Y23" s="165">
        <v>0.80208333333333337</v>
      </c>
      <c r="Z23" s="164">
        <v>0</v>
      </c>
      <c r="AA23" s="165">
        <v>0</v>
      </c>
      <c r="AB23" s="57">
        <f t="shared" si="51"/>
        <v>45794</v>
      </c>
      <c r="AC23" s="77">
        <f t="shared" si="67"/>
        <v>1</v>
      </c>
      <c r="AD23" s="185">
        <f t="shared" si="68"/>
        <v>0</v>
      </c>
      <c r="AE23" s="186">
        <v>2448</v>
      </c>
      <c r="AF23" s="119">
        <f t="shared" si="37"/>
        <v>2448</v>
      </c>
      <c r="AG23" s="170">
        <v>0</v>
      </c>
      <c r="AH23" s="171">
        <v>1515.11</v>
      </c>
      <c r="AI23" s="172">
        <v>0.94166666666666665</v>
      </c>
      <c r="AJ23" s="171">
        <v>0</v>
      </c>
      <c r="AK23" s="188">
        <v>0</v>
      </c>
      <c r="AL23" s="57">
        <f t="shared" si="38"/>
        <v>45794</v>
      </c>
      <c r="AM23" s="78">
        <f t="shared" si="69"/>
        <v>0.30515710382513661</v>
      </c>
      <c r="AN23" s="77">
        <f t="shared" si="70"/>
        <v>0.69484289617486339</v>
      </c>
      <c r="AO23" s="173">
        <v>5856</v>
      </c>
      <c r="AP23" s="118">
        <f t="shared" si="41"/>
        <v>1787</v>
      </c>
      <c r="AQ23" s="174">
        <v>4069</v>
      </c>
      <c r="AR23" s="175">
        <v>1723.99</v>
      </c>
      <c r="AS23" s="176">
        <v>0.62986111111111109</v>
      </c>
      <c r="AT23" s="175">
        <v>195.3</v>
      </c>
      <c r="AU23" s="177">
        <v>0.30208333333333331</v>
      </c>
      <c r="AV23" s="57">
        <f t="shared" si="52"/>
        <v>45794</v>
      </c>
      <c r="AW23" s="111">
        <f t="shared" si="71"/>
        <v>0.4435112473255074</v>
      </c>
      <c r="AX23" s="111">
        <f t="shared" si="72"/>
        <v>0.5564887526744926</v>
      </c>
      <c r="AY23" s="112">
        <f t="shared" si="44"/>
        <v>4323.25</v>
      </c>
      <c r="AZ23" s="113">
        <v>4323.25</v>
      </c>
      <c r="BA23" s="121">
        <f t="shared" si="76"/>
        <v>1917.4099999999999</v>
      </c>
      <c r="BB23" s="114">
        <v>2405.84</v>
      </c>
      <c r="BC23" s="113">
        <v>1357.25</v>
      </c>
      <c r="BD23" s="115">
        <v>0.41666666666666669</v>
      </c>
      <c r="BE23" s="116">
        <v>0</v>
      </c>
      <c r="BF23" s="115">
        <v>0</v>
      </c>
      <c r="BG23" s="116">
        <v>135.02000000000001</v>
      </c>
      <c r="BH23" s="115">
        <v>0.86458333333333337</v>
      </c>
      <c r="BI23" s="57">
        <f t="shared" si="53"/>
        <v>45794</v>
      </c>
      <c r="BJ23" s="79">
        <f t="shared" si="73"/>
        <v>0.60905617247291099</v>
      </c>
      <c r="BK23" s="77">
        <f t="shared" si="74"/>
        <v>0.39094382752708895</v>
      </c>
      <c r="BL23" s="80">
        <f t="shared" si="75"/>
        <v>22310.75</v>
      </c>
      <c r="BM23" s="178">
        <v>13588.5</v>
      </c>
      <c r="BN23" s="178">
        <v>8722.25</v>
      </c>
      <c r="BO23" s="179">
        <v>2471.86</v>
      </c>
      <c r="BP23" s="180">
        <v>0.46041666666666664</v>
      </c>
      <c r="BQ23" s="181">
        <v>1624.99</v>
      </c>
      <c r="BR23" s="180">
        <v>0.46041666666666664</v>
      </c>
    </row>
    <row r="24" spans="1:70" ht="15.75" thickBot="1" x14ac:dyDescent="0.3">
      <c r="A24" s="14"/>
      <c r="B24" s="57">
        <f t="shared" si="49"/>
        <v>45795</v>
      </c>
      <c r="C24" s="187"/>
      <c r="D24" s="88">
        <f t="shared" si="54"/>
        <v>27080</v>
      </c>
      <c r="E24" s="182">
        <f t="shared" si="55"/>
        <v>0.7700147710487445</v>
      </c>
      <c r="F24" s="88">
        <f t="shared" si="56"/>
        <v>20852</v>
      </c>
      <c r="G24" s="182">
        <f t="shared" si="57"/>
        <v>0.22998522895125553</v>
      </c>
      <c r="H24" s="169">
        <f t="shared" si="58"/>
        <v>6228</v>
      </c>
      <c r="I24" s="183">
        <f t="shared" si="59"/>
        <v>5.6488078925733078E-2</v>
      </c>
      <c r="J24" s="182">
        <f t="shared" si="60"/>
        <v>0.17840504247739106</v>
      </c>
      <c r="K24" s="182">
        <f t="shared" si="61"/>
        <v>0.17725191531801079</v>
      </c>
      <c r="L24" s="184">
        <f t="shared" si="62"/>
        <v>0.63116607289668403</v>
      </c>
      <c r="M24" s="169">
        <f t="shared" si="63"/>
        <v>1458.1832693888737</v>
      </c>
      <c r="N24" s="169">
        <f t="shared" si="64"/>
        <v>4605.3477665113724</v>
      </c>
      <c r="O24" s="169">
        <f t="shared" si="65"/>
        <v>4575.5809420191308</v>
      </c>
      <c r="P24" s="169">
        <f t="shared" si="66"/>
        <v>16292.921005755001</v>
      </c>
      <c r="Q24" s="57">
        <f t="shared" si="50"/>
        <v>45795</v>
      </c>
      <c r="R24" s="162">
        <v>27080</v>
      </c>
      <c r="S24" s="163">
        <v>0</v>
      </c>
      <c r="T24" s="163">
        <v>25814</v>
      </c>
      <c r="U24" s="163">
        <v>0</v>
      </c>
      <c r="V24" s="164">
        <v>5699</v>
      </c>
      <c r="W24" s="165">
        <v>0.67708333333333337</v>
      </c>
      <c r="X24" s="164">
        <v>1850</v>
      </c>
      <c r="Y24" s="165">
        <v>0.86458333333333337</v>
      </c>
      <c r="Z24" s="164">
        <v>0</v>
      </c>
      <c r="AA24" s="165">
        <v>0</v>
      </c>
      <c r="AB24" s="57">
        <f t="shared" si="51"/>
        <v>45795</v>
      </c>
      <c r="AC24" s="77">
        <f t="shared" si="67"/>
        <v>1</v>
      </c>
      <c r="AD24" s="185">
        <f t="shared" si="68"/>
        <v>0</v>
      </c>
      <c r="AE24" s="186">
        <v>1649</v>
      </c>
      <c r="AF24" s="119">
        <f t="shared" si="37"/>
        <v>1649</v>
      </c>
      <c r="AG24" s="170">
        <v>0</v>
      </c>
      <c r="AH24" s="171">
        <v>1394</v>
      </c>
      <c r="AI24" s="172">
        <v>0.92361111111111116</v>
      </c>
      <c r="AJ24" s="171">
        <v>0</v>
      </c>
      <c r="AK24" s="188">
        <v>0</v>
      </c>
      <c r="AL24" s="57">
        <f t="shared" si="38"/>
        <v>45795</v>
      </c>
      <c r="AM24" s="78">
        <f t="shared" si="69"/>
        <v>0.25518433179723504</v>
      </c>
      <c r="AN24" s="77">
        <f t="shared" si="70"/>
        <v>0.74481566820276501</v>
      </c>
      <c r="AO24" s="173">
        <v>5208</v>
      </c>
      <c r="AP24" s="118">
        <f t="shared" si="41"/>
        <v>1329</v>
      </c>
      <c r="AQ24" s="174">
        <v>3879</v>
      </c>
      <c r="AR24" s="175">
        <v>1454</v>
      </c>
      <c r="AS24" s="176">
        <v>0.39374999999999999</v>
      </c>
      <c r="AT24" s="175">
        <v>195</v>
      </c>
      <c r="AU24" s="177">
        <v>0.77083333333333337</v>
      </c>
      <c r="AV24" s="57">
        <f t="shared" si="52"/>
        <v>45795</v>
      </c>
      <c r="AW24" s="111">
        <f t="shared" si="71"/>
        <v>0.39923273657289005</v>
      </c>
      <c r="AX24" s="111">
        <f t="shared" si="72"/>
        <v>0.60076726342710995</v>
      </c>
      <c r="AY24" s="112">
        <f t="shared" si="44"/>
        <v>3910</v>
      </c>
      <c r="AZ24" s="113">
        <v>3910</v>
      </c>
      <c r="BA24" s="121">
        <f t="shared" si="76"/>
        <v>1561</v>
      </c>
      <c r="BB24" s="114">
        <v>2349</v>
      </c>
      <c r="BC24" s="113">
        <v>1258</v>
      </c>
      <c r="BD24" s="115">
        <v>0.80208333333333337</v>
      </c>
      <c r="BE24" s="116">
        <v>0</v>
      </c>
      <c r="BF24" s="115">
        <v>0</v>
      </c>
      <c r="BG24" s="116">
        <v>130</v>
      </c>
      <c r="BH24" s="115">
        <v>0.8125</v>
      </c>
      <c r="BI24" s="57">
        <f t="shared" si="53"/>
        <v>45795</v>
      </c>
      <c r="BJ24" s="79">
        <f t="shared" si="73"/>
        <v>0.61118046132971504</v>
      </c>
      <c r="BK24" s="77">
        <f t="shared" si="74"/>
        <v>0.38881953867028496</v>
      </c>
      <c r="BL24" s="80">
        <f t="shared" si="75"/>
        <v>18425</v>
      </c>
      <c r="BM24" s="178">
        <v>11261</v>
      </c>
      <c r="BN24" s="178">
        <v>7164</v>
      </c>
      <c r="BO24" s="179">
        <v>2388</v>
      </c>
      <c r="BP24" s="180">
        <v>0.94791666666666663</v>
      </c>
      <c r="BQ24" s="181">
        <v>1585</v>
      </c>
      <c r="BR24" s="180">
        <v>0.94791666666666663</v>
      </c>
    </row>
    <row r="25" spans="1:70" ht="15.75" thickBot="1" x14ac:dyDescent="0.3">
      <c r="A25" s="14"/>
      <c r="B25" s="57">
        <f t="shared" si="49"/>
        <v>45796</v>
      </c>
      <c r="C25" s="187"/>
      <c r="D25" s="88">
        <f t="shared" ref="D25:D37" si="85">R25</f>
        <v>53000</v>
      </c>
      <c r="E25" s="182">
        <f t="shared" ref="E25:E37" si="86">F25/D25</f>
        <v>0.87756603773584907</v>
      </c>
      <c r="F25" s="88">
        <f t="shared" ref="F25:F37" si="87">D25-H25</f>
        <v>46511</v>
      </c>
      <c r="G25" s="182">
        <f t="shared" ref="G25:G37" si="88">H25/D25</f>
        <v>0.12243396226415094</v>
      </c>
      <c r="H25" s="169">
        <f t="shared" ref="H25:H37" si="89">U25+AG25+AQ25+BB25</f>
        <v>6489</v>
      </c>
      <c r="I25" s="183">
        <f t="shared" ref="I25:I37" si="90">AE25/(AE25+AO25+BL25+AY25)</f>
        <v>0.11826476157686348</v>
      </c>
      <c r="J25" s="182">
        <f t="shared" ref="J25:J37" si="91">AO25/(AE25+AO25+BL25+AY25)</f>
        <v>0.17668703735582716</v>
      </c>
      <c r="K25" s="182">
        <f t="shared" ref="K25:K37" si="92">AY25/(AF25+AP25+BM25+AZ25+AY25)</f>
        <v>0.13847782997094682</v>
      </c>
      <c r="L25" s="184">
        <f t="shared" ref="L25:L37" si="93">BL25/(AE25+AO25+BL25+AY25)</f>
        <v>0.59530469960406263</v>
      </c>
      <c r="M25" s="169">
        <f t="shared" ref="M25:M37" si="94">(S25+T25)*I25</f>
        <v>5753.5806507144089</v>
      </c>
      <c r="N25" s="169">
        <f t="shared" ref="N25:N37" si="95">(S25+T25)*J25</f>
        <v>8595.8243673609923</v>
      </c>
      <c r="O25" s="169">
        <f t="shared" ref="O25:O37" si="96">(S25+T25)*K25</f>
        <v>6736.9464280865632</v>
      </c>
      <c r="P25" s="169">
        <f t="shared" ref="P25:P37" si="97">(S25+T25)*L25</f>
        <v>28961.573635737648</v>
      </c>
      <c r="Q25" s="57">
        <f t="shared" si="50"/>
        <v>45796</v>
      </c>
      <c r="R25" s="162">
        <v>53000</v>
      </c>
      <c r="S25" s="163">
        <v>0</v>
      </c>
      <c r="T25" s="163">
        <v>48650</v>
      </c>
      <c r="U25" s="163">
        <v>0</v>
      </c>
      <c r="V25" s="164">
        <v>13650</v>
      </c>
      <c r="W25" s="165">
        <v>0.79166666666666663</v>
      </c>
      <c r="X25" s="164">
        <v>4520</v>
      </c>
      <c r="Y25" s="165">
        <v>0.8125</v>
      </c>
      <c r="Z25" s="164">
        <v>0</v>
      </c>
      <c r="AA25" s="165">
        <v>0</v>
      </c>
      <c r="AB25" s="57">
        <f t="shared" si="51"/>
        <v>45796</v>
      </c>
      <c r="AC25" s="77">
        <f t="shared" ref="AC25:AC37" si="98">+AF25/AE25</f>
        <v>1</v>
      </c>
      <c r="AD25" s="185">
        <f t="shared" ref="AD25:AD37" si="99">+AG25/AE25</f>
        <v>0</v>
      </c>
      <c r="AE25" s="186">
        <v>5496</v>
      </c>
      <c r="AF25" s="119">
        <f t="shared" si="37"/>
        <v>5496</v>
      </c>
      <c r="AG25" s="170">
        <v>0</v>
      </c>
      <c r="AH25" s="171">
        <v>3525</v>
      </c>
      <c r="AI25" s="172">
        <v>0.32569444444444445</v>
      </c>
      <c r="AJ25" s="171">
        <v>0</v>
      </c>
      <c r="AK25" s="188">
        <v>0</v>
      </c>
      <c r="AL25" s="57">
        <f t="shared" si="38"/>
        <v>45796</v>
      </c>
      <c r="AM25" s="78">
        <f t="shared" ref="AM25:AM37" si="100">+AP25/AO25</f>
        <v>0.52514919011082695</v>
      </c>
      <c r="AN25" s="77">
        <f t="shared" ref="AN25:AN37" si="101">+AQ25/AO25</f>
        <v>0.47485080988917305</v>
      </c>
      <c r="AO25" s="173">
        <v>8211</v>
      </c>
      <c r="AP25" s="118">
        <f t="shared" si="41"/>
        <v>4312</v>
      </c>
      <c r="AQ25" s="174">
        <v>3899</v>
      </c>
      <c r="AR25" s="175">
        <v>4104</v>
      </c>
      <c r="AS25" s="176">
        <v>0.73958333333333337</v>
      </c>
      <c r="AT25" s="175">
        <v>196</v>
      </c>
      <c r="AU25" s="177">
        <v>0.81736111111111109</v>
      </c>
      <c r="AV25" s="57">
        <f t="shared" si="52"/>
        <v>45796</v>
      </c>
      <c r="AW25" s="111">
        <f t="shared" ref="AW25:AW37" si="102">BA25/AZ25</f>
        <v>0.49215686274509801</v>
      </c>
      <c r="AX25" s="111">
        <f t="shared" ref="AX25:AX37" si="103">BB25/AZ25</f>
        <v>0.50784313725490193</v>
      </c>
      <c r="AY25" s="112">
        <f t="shared" si="44"/>
        <v>5100</v>
      </c>
      <c r="AZ25" s="113">
        <v>5100</v>
      </c>
      <c r="BA25" s="121">
        <f t="shared" ref="BA25:BA37" si="104">AZ25-BB25</f>
        <v>2510</v>
      </c>
      <c r="BB25" s="114">
        <v>2590</v>
      </c>
      <c r="BC25" s="113">
        <v>3690</v>
      </c>
      <c r="BD25" s="115">
        <v>0.77083333333333337</v>
      </c>
      <c r="BE25" s="116">
        <v>0</v>
      </c>
      <c r="BF25" s="115">
        <v>0</v>
      </c>
      <c r="BG25" s="116">
        <v>140</v>
      </c>
      <c r="BH25" s="115">
        <v>0.77083333333333337</v>
      </c>
      <c r="BI25" s="57">
        <f t="shared" si="53"/>
        <v>45796</v>
      </c>
      <c r="BJ25" s="79">
        <f t="shared" ref="BJ25:BJ37" si="105">+BM25/BL25</f>
        <v>0.60802457979396352</v>
      </c>
      <c r="BK25" s="77">
        <f t="shared" ref="BK25:BK37" si="106">+BN25/BL25</f>
        <v>0.39197542020603648</v>
      </c>
      <c r="BL25" s="80">
        <f t="shared" ref="BL25:BL37" si="107">BM25+BN25</f>
        <v>27665</v>
      </c>
      <c r="BM25" s="178">
        <v>16821</v>
      </c>
      <c r="BN25" s="178">
        <v>10844</v>
      </c>
      <c r="BO25" s="179">
        <v>3824</v>
      </c>
      <c r="BP25" s="180">
        <v>0.67708333333333337</v>
      </c>
      <c r="BQ25" s="181">
        <v>2519</v>
      </c>
      <c r="BR25" s="180">
        <v>0.67708333333333337</v>
      </c>
    </row>
    <row r="26" spans="1:70" ht="15.75" thickBot="1" x14ac:dyDescent="0.3">
      <c r="A26" s="14"/>
      <c r="B26" s="57">
        <f t="shared" si="49"/>
        <v>45797</v>
      </c>
      <c r="C26" s="187"/>
      <c r="D26" s="88">
        <f t="shared" si="85"/>
        <v>52320</v>
      </c>
      <c r="E26" s="182">
        <f t="shared" si="86"/>
        <v>0.87729357798165142</v>
      </c>
      <c r="F26" s="88">
        <f t="shared" si="87"/>
        <v>45900</v>
      </c>
      <c r="G26" s="182">
        <f t="shared" si="88"/>
        <v>0.12270642201834862</v>
      </c>
      <c r="H26" s="169">
        <f t="shared" si="89"/>
        <v>6420</v>
      </c>
      <c r="I26" s="183">
        <f t="shared" si="90"/>
        <v>0.11467206132879046</v>
      </c>
      <c r="J26" s="182">
        <f t="shared" si="91"/>
        <v>0.17078364565587734</v>
      </c>
      <c r="K26" s="182">
        <f t="shared" si="92"/>
        <v>0.15235893663969738</v>
      </c>
      <c r="L26" s="184">
        <f t="shared" si="93"/>
        <v>0.59103492333901197</v>
      </c>
      <c r="M26" s="169">
        <f t="shared" si="94"/>
        <v>5544.3941652470185</v>
      </c>
      <c r="N26" s="169">
        <f t="shared" si="95"/>
        <v>8257.3892674616691</v>
      </c>
      <c r="O26" s="169">
        <f t="shared" si="96"/>
        <v>7366.554586529368</v>
      </c>
      <c r="P26" s="169">
        <f t="shared" si="97"/>
        <v>28576.538543441227</v>
      </c>
      <c r="Q26" s="57">
        <f t="shared" si="50"/>
        <v>45797</v>
      </c>
      <c r="R26" s="162">
        <v>52320</v>
      </c>
      <c r="S26" s="163">
        <v>0</v>
      </c>
      <c r="T26" s="163">
        <v>48350</v>
      </c>
      <c r="U26" s="163">
        <v>0</v>
      </c>
      <c r="V26" s="164">
        <v>13260</v>
      </c>
      <c r="W26" s="165">
        <v>0.75</v>
      </c>
      <c r="X26" s="164">
        <v>4425</v>
      </c>
      <c r="Y26" s="165">
        <v>0.77083333333333337</v>
      </c>
      <c r="Z26" s="164">
        <v>0</v>
      </c>
      <c r="AA26" s="165">
        <v>0</v>
      </c>
      <c r="AB26" s="57">
        <f t="shared" si="51"/>
        <v>45797</v>
      </c>
      <c r="AC26" s="77">
        <f t="shared" si="98"/>
        <v>1</v>
      </c>
      <c r="AD26" s="185">
        <f t="shared" si="99"/>
        <v>0</v>
      </c>
      <c r="AE26" s="186">
        <v>5385</v>
      </c>
      <c r="AF26" s="119">
        <f t="shared" si="37"/>
        <v>5385</v>
      </c>
      <c r="AG26" s="170">
        <v>0</v>
      </c>
      <c r="AH26" s="171">
        <v>3322</v>
      </c>
      <c r="AI26" s="172">
        <v>0.74097222222222225</v>
      </c>
      <c r="AJ26" s="171">
        <v>0</v>
      </c>
      <c r="AK26" s="188" t="s">
        <v>70</v>
      </c>
      <c r="AL26" s="57">
        <f t="shared" si="38"/>
        <v>45797</v>
      </c>
      <c r="AM26" s="78">
        <f t="shared" si="100"/>
        <v>0.52618453865336656</v>
      </c>
      <c r="AN26" s="77">
        <f t="shared" si="101"/>
        <v>0.47381546134663344</v>
      </c>
      <c r="AO26" s="173">
        <v>8020</v>
      </c>
      <c r="AP26" s="118">
        <f t="shared" si="41"/>
        <v>4220</v>
      </c>
      <c r="AQ26" s="174">
        <v>3800</v>
      </c>
      <c r="AR26" s="175">
        <v>3358</v>
      </c>
      <c r="AS26" s="176">
        <v>0.34375</v>
      </c>
      <c r="AT26" s="175">
        <v>193</v>
      </c>
      <c r="AU26" s="177" t="s">
        <v>71</v>
      </c>
      <c r="AV26" s="57">
        <f t="shared" si="52"/>
        <v>45797</v>
      </c>
      <c r="AW26" s="111">
        <f t="shared" si="102"/>
        <v>0.5482758620689655</v>
      </c>
      <c r="AX26" s="111">
        <f t="shared" si="103"/>
        <v>0.4517241379310345</v>
      </c>
      <c r="AY26" s="112">
        <f t="shared" si="44"/>
        <v>5800</v>
      </c>
      <c r="AZ26" s="113">
        <v>5800</v>
      </c>
      <c r="BA26" s="121">
        <f t="shared" si="104"/>
        <v>3180</v>
      </c>
      <c r="BB26" s="114">
        <v>2620</v>
      </c>
      <c r="BC26" s="113">
        <v>3698</v>
      </c>
      <c r="BD26" s="115">
        <v>0.72916666666666663</v>
      </c>
      <c r="BE26" s="116">
        <v>0</v>
      </c>
      <c r="BF26" s="115">
        <v>0</v>
      </c>
      <c r="BG26" s="116">
        <v>141</v>
      </c>
      <c r="BH26" s="115">
        <v>0.79166666666666663</v>
      </c>
      <c r="BI26" s="57">
        <f t="shared" si="53"/>
        <v>45797</v>
      </c>
      <c r="BJ26" s="79">
        <f t="shared" si="105"/>
        <v>0.60756620428751573</v>
      </c>
      <c r="BK26" s="77">
        <f t="shared" si="106"/>
        <v>0.39243379571248421</v>
      </c>
      <c r="BL26" s="80">
        <f t="shared" si="107"/>
        <v>27755</v>
      </c>
      <c r="BM26" s="178">
        <v>16863</v>
      </c>
      <c r="BN26" s="178">
        <v>10892</v>
      </c>
      <c r="BO26" s="179">
        <v>3958</v>
      </c>
      <c r="BP26" s="180">
        <v>0.7006944444444444</v>
      </c>
      <c r="BQ26" s="181">
        <v>2632</v>
      </c>
      <c r="BR26" s="180">
        <v>0.7006944444444444</v>
      </c>
    </row>
    <row r="27" spans="1:70" ht="15.75" thickBot="1" x14ac:dyDescent="0.3">
      <c r="A27" s="14"/>
      <c r="B27" s="57">
        <f t="shared" si="49"/>
        <v>45798</v>
      </c>
      <c r="C27" s="187"/>
      <c r="D27" s="88">
        <f t="shared" si="85"/>
        <v>29270</v>
      </c>
      <c r="E27" s="182">
        <f t="shared" si="86"/>
        <v>0.7826443457464981</v>
      </c>
      <c r="F27" s="88">
        <f t="shared" si="87"/>
        <v>22908</v>
      </c>
      <c r="G27" s="182">
        <f t="shared" si="88"/>
        <v>0.21735565425350187</v>
      </c>
      <c r="H27" s="169">
        <f t="shared" si="89"/>
        <v>6362</v>
      </c>
      <c r="I27" s="183">
        <f t="shared" si="90"/>
        <v>6.6346214660679276E-2</v>
      </c>
      <c r="J27" s="182">
        <f t="shared" si="91"/>
        <v>0.17051419897539688</v>
      </c>
      <c r="K27" s="182">
        <f t="shared" si="92"/>
        <v>0.17215649090984045</v>
      </c>
      <c r="L27" s="184">
        <f t="shared" si="93"/>
        <v>0.63107962810701412</v>
      </c>
      <c r="M27" s="169">
        <f t="shared" si="94"/>
        <v>1854.0449686926825</v>
      </c>
      <c r="N27" s="169">
        <f t="shared" si="95"/>
        <v>4765.0192903674661</v>
      </c>
      <c r="O27" s="169">
        <f t="shared" si="96"/>
        <v>4810.913138475491</v>
      </c>
      <c r="P27" s="169">
        <f t="shared" si="97"/>
        <v>17635.52020745051</v>
      </c>
      <c r="Q27" s="57">
        <f t="shared" si="50"/>
        <v>45798</v>
      </c>
      <c r="R27" s="162">
        <v>29270</v>
      </c>
      <c r="S27" s="163">
        <v>0</v>
      </c>
      <c r="T27" s="163">
        <v>27945</v>
      </c>
      <c r="U27" s="163">
        <v>0</v>
      </c>
      <c r="V27" s="164">
        <v>7841</v>
      </c>
      <c r="W27" s="165">
        <v>0.67708333333333337</v>
      </c>
      <c r="X27" s="164">
        <v>2432</v>
      </c>
      <c r="Y27" s="165">
        <v>0.67708333333333337</v>
      </c>
      <c r="Z27" s="164">
        <v>0</v>
      </c>
      <c r="AA27" s="165">
        <v>0</v>
      </c>
      <c r="AB27" s="57">
        <f t="shared" si="51"/>
        <v>45798</v>
      </c>
      <c r="AC27" s="77">
        <f t="shared" si="98"/>
        <v>1</v>
      </c>
      <c r="AD27" s="185">
        <f t="shared" si="99"/>
        <v>0</v>
      </c>
      <c r="AE27" s="186">
        <v>2098</v>
      </c>
      <c r="AF27" s="119">
        <f t="shared" si="37"/>
        <v>2098</v>
      </c>
      <c r="AG27" s="170">
        <v>0</v>
      </c>
      <c r="AH27" s="171">
        <v>1850</v>
      </c>
      <c r="AI27" s="172">
        <v>0.63124999999999998</v>
      </c>
      <c r="AJ27" s="171">
        <v>0</v>
      </c>
      <c r="AK27" s="188">
        <v>0</v>
      </c>
      <c r="AL27" s="57">
        <f t="shared" si="38"/>
        <v>45798</v>
      </c>
      <c r="AM27" s="78">
        <f t="shared" si="100"/>
        <v>0.31472551928783382</v>
      </c>
      <c r="AN27" s="77">
        <f t="shared" si="101"/>
        <v>0.68527448071216612</v>
      </c>
      <c r="AO27" s="173">
        <v>5392</v>
      </c>
      <c r="AP27" s="118">
        <f t="shared" si="41"/>
        <v>1697</v>
      </c>
      <c r="AQ27" s="174">
        <v>3695</v>
      </c>
      <c r="AR27" s="175">
        <v>2210</v>
      </c>
      <c r="AS27" s="176">
        <v>0.61944444444444446</v>
      </c>
      <c r="AT27" s="175">
        <v>188</v>
      </c>
      <c r="AU27" s="177">
        <v>0.84375</v>
      </c>
      <c r="AV27" s="57">
        <f t="shared" si="52"/>
        <v>45798</v>
      </c>
      <c r="AW27" s="111">
        <f t="shared" si="102"/>
        <v>0.3613505747126437</v>
      </c>
      <c r="AX27" s="111">
        <f t="shared" si="103"/>
        <v>0.63864942528735635</v>
      </c>
      <c r="AY27" s="112">
        <f t="shared" si="44"/>
        <v>4176</v>
      </c>
      <c r="AZ27" s="113">
        <v>4176</v>
      </c>
      <c r="BA27" s="121">
        <f t="shared" si="104"/>
        <v>1509</v>
      </c>
      <c r="BB27" s="114">
        <f>1131+1536</f>
        <v>2667</v>
      </c>
      <c r="BC27" s="113">
        <v>2054</v>
      </c>
      <c r="BD27" s="115">
        <v>0.61458333333333337</v>
      </c>
      <c r="BE27" s="116">
        <v>0</v>
      </c>
      <c r="BF27" s="115">
        <v>0</v>
      </c>
      <c r="BG27" s="116">
        <v>140</v>
      </c>
      <c r="BH27" s="115">
        <v>0.79166666666666663</v>
      </c>
      <c r="BI27" s="57">
        <f t="shared" si="53"/>
        <v>45798</v>
      </c>
      <c r="BJ27" s="79">
        <f t="shared" si="105"/>
        <v>0.60683503708157949</v>
      </c>
      <c r="BK27" s="77">
        <f t="shared" si="106"/>
        <v>0.39316496291842051</v>
      </c>
      <c r="BL27" s="80">
        <f t="shared" si="107"/>
        <v>19956</v>
      </c>
      <c r="BM27" s="178">
        <v>12110</v>
      </c>
      <c r="BN27" s="178">
        <v>7846</v>
      </c>
      <c r="BO27" s="179">
        <v>3430</v>
      </c>
      <c r="BP27" s="180">
        <v>0.62638888888888888</v>
      </c>
      <c r="BQ27" s="181">
        <v>2283</v>
      </c>
      <c r="BR27" s="180">
        <v>0.62638888888888888</v>
      </c>
    </row>
    <row r="28" spans="1:70" ht="15.75" thickBot="1" x14ac:dyDescent="0.3">
      <c r="A28" s="14"/>
      <c r="B28" s="57">
        <f t="shared" si="49"/>
        <v>45799</v>
      </c>
      <c r="C28" s="187"/>
      <c r="D28" s="88">
        <f t="shared" si="85"/>
        <v>53898</v>
      </c>
      <c r="E28" s="182">
        <f t="shared" si="86"/>
        <v>0.8790493153734833</v>
      </c>
      <c r="F28" s="88">
        <f t="shared" si="87"/>
        <v>47379</v>
      </c>
      <c r="G28" s="182">
        <f t="shared" si="88"/>
        <v>0.12095068462651676</v>
      </c>
      <c r="H28" s="169">
        <f>U28+AG28+AQ28+BB28</f>
        <v>6519</v>
      </c>
      <c r="I28" s="183">
        <f t="shared" si="90"/>
        <v>0.11345668488525631</v>
      </c>
      <c r="J28" s="182">
        <f t="shared" si="91"/>
        <v>0.15657958515101372</v>
      </c>
      <c r="K28" s="182">
        <f t="shared" si="92"/>
        <v>0.16645569620253164</v>
      </c>
      <c r="L28" s="184">
        <f t="shared" si="93"/>
        <v>0.58929616072473212</v>
      </c>
      <c r="M28" s="169">
        <f t="shared" si="94"/>
        <v>5927.3175884604452</v>
      </c>
      <c r="N28" s="169">
        <f t="shared" si="95"/>
        <v>8180.18726704441</v>
      </c>
      <c r="O28" s="169">
        <f t="shared" si="96"/>
        <v>8696.1449367088608</v>
      </c>
      <c r="P28" s="169">
        <f t="shared" si="97"/>
        <v>30786.599324742179</v>
      </c>
      <c r="Q28" s="57">
        <f t="shared" si="50"/>
        <v>45799</v>
      </c>
      <c r="R28" s="162">
        <v>53898</v>
      </c>
      <c r="S28" s="163">
        <v>0</v>
      </c>
      <c r="T28" s="163">
        <v>52243</v>
      </c>
      <c r="U28" s="163">
        <v>0</v>
      </c>
      <c r="V28" s="164">
        <v>12528</v>
      </c>
      <c r="W28" s="165">
        <v>0.4375</v>
      </c>
      <c r="X28" s="164">
        <v>4371</v>
      </c>
      <c r="Y28" s="165">
        <v>0.39583333333333331</v>
      </c>
      <c r="Z28" s="164">
        <v>0</v>
      </c>
      <c r="AA28" s="165">
        <v>0</v>
      </c>
      <c r="AB28" s="57">
        <f t="shared" si="51"/>
        <v>45799</v>
      </c>
      <c r="AC28" s="77">
        <f t="shared" si="98"/>
        <v>1</v>
      </c>
      <c r="AD28" s="185">
        <f t="shared" si="99"/>
        <v>0</v>
      </c>
      <c r="AE28" s="186">
        <v>6788</v>
      </c>
      <c r="AF28" s="119">
        <f t="shared" si="37"/>
        <v>6788</v>
      </c>
      <c r="AG28" s="170">
        <v>0</v>
      </c>
      <c r="AH28" s="171">
        <v>4008</v>
      </c>
      <c r="AI28" s="172">
        <v>0.73541666666666672</v>
      </c>
      <c r="AJ28" s="171">
        <v>0</v>
      </c>
      <c r="AK28" s="188">
        <v>0</v>
      </c>
      <c r="AL28" s="57">
        <f t="shared" si="38"/>
        <v>45799</v>
      </c>
      <c r="AM28" s="78">
        <f t="shared" si="100"/>
        <v>0.59084116140051235</v>
      </c>
      <c r="AN28" s="77">
        <f t="shared" si="101"/>
        <v>0.4091588385994876</v>
      </c>
      <c r="AO28" s="173">
        <v>9368</v>
      </c>
      <c r="AP28" s="118">
        <f t="shared" si="41"/>
        <v>5535</v>
      </c>
      <c r="AQ28" s="174">
        <v>3833</v>
      </c>
      <c r="AR28" s="175">
        <v>3658</v>
      </c>
      <c r="AS28" s="176">
        <v>0.3576388888888889</v>
      </c>
      <c r="AT28" s="175">
        <v>188</v>
      </c>
      <c r="AU28" s="177">
        <v>0.8125</v>
      </c>
      <c r="AV28" s="57">
        <f t="shared" si="52"/>
        <v>45799</v>
      </c>
      <c r="AW28" s="111">
        <f t="shared" si="102"/>
        <v>0.68084600760456271</v>
      </c>
      <c r="AX28" s="111">
        <f t="shared" si="103"/>
        <v>0.31915399239543724</v>
      </c>
      <c r="AY28" s="112">
        <f t="shared" si="44"/>
        <v>8416</v>
      </c>
      <c r="AZ28" s="113">
        <v>8416</v>
      </c>
      <c r="BA28" s="121">
        <f t="shared" si="104"/>
        <v>5730</v>
      </c>
      <c r="BB28" s="114">
        <f>1116+1570</f>
        <v>2686</v>
      </c>
      <c r="BC28" s="113">
        <v>4219</v>
      </c>
      <c r="BD28" s="115">
        <v>0.39583333333333331</v>
      </c>
      <c r="BE28" s="116">
        <v>0</v>
      </c>
      <c r="BF28" s="115">
        <v>0</v>
      </c>
      <c r="BG28" s="116">
        <v>142</v>
      </c>
      <c r="BH28" s="115">
        <v>0.30208333333333331</v>
      </c>
      <c r="BI28" s="57">
        <f t="shared" si="53"/>
        <v>45799</v>
      </c>
      <c r="BJ28" s="79">
        <f t="shared" si="105"/>
        <v>0.60711348101086304</v>
      </c>
      <c r="BK28" s="77">
        <f t="shared" si="106"/>
        <v>0.3928865189891369</v>
      </c>
      <c r="BL28" s="80">
        <f t="shared" si="107"/>
        <v>35257</v>
      </c>
      <c r="BM28" s="178">
        <v>21405</v>
      </c>
      <c r="BN28" s="178">
        <v>13852</v>
      </c>
      <c r="BO28" s="179">
        <v>3913</v>
      </c>
      <c r="BP28" s="180">
        <v>0.80069444444444449</v>
      </c>
      <c r="BQ28" s="181">
        <v>2633</v>
      </c>
      <c r="BR28" s="180">
        <v>0.80069444444444449</v>
      </c>
    </row>
    <row r="29" spans="1:70" ht="15.75" thickBot="1" x14ac:dyDescent="0.3">
      <c r="A29" s="14"/>
      <c r="B29" s="57">
        <f t="shared" si="49"/>
        <v>45800</v>
      </c>
      <c r="C29" s="187"/>
      <c r="D29" s="88">
        <f t="shared" si="85"/>
        <v>53018</v>
      </c>
      <c r="E29" s="182">
        <f t="shared" si="86"/>
        <v>0.88032366366139803</v>
      </c>
      <c r="F29" s="88">
        <f t="shared" si="87"/>
        <v>46673</v>
      </c>
      <c r="G29" s="182">
        <f t="shared" si="88"/>
        <v>0.11967633633860199</v>
      </c>
      <c r="H29" s="169">
        <f t="shared" si="89"/>
        <v>6345</v>
      </c>
      <c r="I29" s="183">
        <f t="shared" si="90"/>
        <v>0.1177085296284241</v>
      </c>
      <c r="J29" s="182">
        <f t="shared" si="91"/>
        <v>0.15878916622411046</v>
      </c>
      <c r="K29" s="182">
        <f t="shared" si="92"/>
        <v>0.16375461273420458</v>
      </c>
      <c r="L29" s="184">
        <f t="shared" si="93"/>
        <v>0.58590444212221404</v>
      </c>
      <c r="M29" s="169">
        <f t="shared" si="94"/>
        <v>6039.0361125862983</v>
      </c>
      <c r="N29" s="169">
        <f t="shared" si="95"/>
        <v>8146.6781731279871</v>
      </c>
      <c r="O29" s="169">
        <f t="shared" si="96"/>
        <v>8401.4304063283653</v>
      </c>
      <c r="P29" s="169">
        <f t="shared" si="97"/>
        <v>30059.827403080191</v>
      </c>
      <c r="Q29" s="57">
        <f t="shared" si="50"/>
        <v>45800</v>
      </c>
      <c r="R29" s="162">
        <v>53018</v>
      </c>
      <c r="S29" s="163">
        <v>0</v>
      </c>
      <c r="T29" s="163">
        <v>51305</v>
      </c>
      <c r="U29" s="163">
        <v>0</v>
      </c>
      <c r="V29" s="164">
        <v>12700</v>
      </c>
      <c r="W29" s="165">
        <v>0.78125</v>
      </c>
      <c r="X29" s="164">
        <v>4364</v>
      </c>
      <c r="Y29" s="165">
        <v>0.42708333333333331</v>
      </c>
      <c r="Z29" s="164">
        <v>0</v>
      </c>
      <c r="AA29" s="165">
        <v>0</v>
      </c>
      <c r="AB29" s="57">
        <f t="shared" si="51"/>
        <v>45800</v>
      </c>
      <c r="AC29" s="77">
        <f t="shared" si="98"/>
        <v>1</v>
      </c>
      <c r="AD29" s="185">
        <f t="shared" si="99"/>
        <v>0</v>
      </c>
      <c r="AE29" s="186">
        <v>6871</v>
      </c>
      <c r="AF29" s="119">
        <f t="shared" si="37"/>
        <v>6871</v>
      </c>
      <c r="AG29" s="170">
        <v>0</v>
      </c>
      <c r="AH29" s="171">
        <v>3476</v>
      </c>
      <c r="AI29" s="172">
        <v>0.33888888888888891</v>
      </c>
      <c r="AJ29" s="171">
        <v>0</v>
      </c>
      <c r="AK29" s="188">
        <v>0</v>
      </c>
      <c r="AL29" s="57">
        <f t="shared" si="38"/>
        <v>45800</v>
      </c>
      <c r="AM29" s="78">
        <f t="shared" si="100"/>
        <v>0.58377386988887692</v>
      </c>
      <c r="AN29" s="77">
        <f t="shared" si="101"/>
        <v>0.41622613011112308</v>
      </c>
      <c r="AO29" s="173">
        <v>9269</v>
      </c>
      <c r="AP29" s="118">
        <f t="shared" si="41"/>
        <v>5411</v>
      </c>
      <c r="AQ29" s="174">
        <v>3858</v>
      </c>
      <c r="AR29" s="175">
        <v>3751</v>
      </c>
      <c r="AS29" s="176">
        <v>0.75208333333333333</v>
      </c>
      <c r="AT29" s="175">
        <v>185</v>
      </c>
      <c r="AU29" s="177">
        <v>0.33333333333333331</v>
      </c>
      <c r="AV29" s="57">
        <f t="shared" si="52"/>
        <v>45800</v>
      </c>
      <c r="AW29" s="111">
        <f t="shared" si="102"/>
        <v>0.69036354581673309</v>
      </c>
      <c r="AX29" s="111">
        <f t="shared" si="103"/>
        <v>0.30963645418326691</v>
      </c>
      <c r="AY29" s="112">
        <f t="shared" si="44"/>
        <v>8032</v>
      </c>
      <c r="AZ29" s="113">
        <v>8032</v>
      </c>
      <c r="BA29" s="121">
        <f t="shared" si="104"/>
        <v>5545</v>
      </c>
      <c r="BB29" s="206">
        <v>2487</v>
      </c>
      <c r="BC29" s="113">
        <v>3747</v>
      </c>
      <c r="BD29" s="115">
        <v>0.38541666666666669</v>
      </c>
      <c r="BE29" s="116">
        <v>0</v>
      </c>
      <c r="BF29" s="115">
        <v>0</v>
      </c>
      <c r="BG29" s="116">
        <v>147</v>
      </c>
      <c r="BH29" s="115">
        <v>0.96875</v>
      </c>
      <c r="BI29" s="57">
        <f t="shared" si="53"/>
        <v>45800</v>
      </c>
      <c r="BJ29" s="79">
        <f t="shared" si="105"/>
        <v>0.60533317739247394</v>
      </c>
      <c r="BK29" s="77">
        <f t="shared" si="106"/>
        <v>0.39466682260752611</v>
      </c>
      <c r="BL29" s="80">
        <f t="shared" si="107"/>
        <v>34201</v>
      </c>
      <c r="BM29" s="178">
        <v>20703</v>
      </c>
      <c r="BN29" s="178">
        <v>13498</v>
      </c>
      <c r="BO29" s="179">
        <v>4236</v>
      </c>
      <c r="BP29" s="180">
        <v>0.38472222222222224</v>
      </c>
      <c r="BQ29" s="181">
        <v>2807</v>
      </c>
      <c r="BR29" s="180">
        <v>0.38472222222222224</v>
      </c>
    </row>
    <row r="30" spans="1:70" ht="15.75" thickBot="1" x14ac:dyDescent="0.3">
      <c r="A30" s="14"/>
      <c r="B30" s="57">
        <f t="shared" si="49"/>
        <v>45801</v>
      </c>
      <c r="C30" s="187"/>
      <c r="D30" s="88">
        <f t="shared" si="85"/>
        <v>32006</v>
      </c>
      <c r="E30" s="182">
        <f t="shared" si="86"/>
        <v>0.80991064175467098</v>
      </c>
      <c r="F30" s="88">
        <f t="shared" si="87"/>
        <v>25922</v>
      </c>
      <c r="G30" s="182">
        <f t="shared" si="88"/>
        <v>0.19008935824532899</v>
      </c>
      <c r="H30" s="169">
        <f t="shared" si="89"/>
        <v>6084</v>
      </c>
      <c r="I30" s="183">
        <f t="shared" si="90"/>
        <v>7.9240528079269165E-2</v>
      </c>
      <c r="J30" s="182">
        <f t="shared" si="91"/>
        <v>0.16211804461754345</v>
      </c>
      <c r="K30" s="182">
        <f t="shared" si="92"/>
        <v>0.16383198994305997</v>
      </c>
      <c r="L30" s="184">
        <f t="shared" si="93"/>
        <v>0.63174775909963055</v>
      </c>
      <c r="M30" s="169">
        <f t="shared" si="94"/>
        <v>2383.6343251524959</v>
      </c>
      <c r="N30" s="169">
        <f t="shared" si="95"/>
        <v>4876.6729001403246</v>
      </c>
      <c r="O30" s="169">
        <f t="shared" si="96"/>
        <v>4928.230089477187</v>
      </c>
      <c r="P30" s="169">
        <f t="shared" si="97"/>
        <v>19003.604341475988</v>
      </c>
      <c r="Q30" s="57">
        <f t="shared" si="50"/>
        <v>45801</v>
      </c>
      <c r="R30" s="162">
        <v>32006</v>
      </c>
      <c r="S30" s="163">
        <v>0</v>
      </c>
      <c r="T30" s="163">
        <v>30081</v>
      </c>
      <c r="U30" s="163">
        <v>0</v>
      </c>
      <c r="V30" s="164">
        <v>6510</v>
      </c>
      <c r="W30" s="165">
        <v>0.54166666666666663</v>
      </c>
      <c r="X30" s="164">
        <v>2081</v>
      </c>
      <c r="Y30" s="165">
        <v>0.63541666666666663</v>
      </c>
      <c r="Z30" s="164">
        <v>0</v>
      </c>
      <c r="AA30" s="165">
        <v>0</v>
      </c>
      <c r="AB30" s="57">
        <f t="shared" si="51"/>
        <v>45801</v>
      </c>
      <c r="AC30" s="77">
        <f t="shared" si="98"/>
        <v>1</v>
      </c>
      <c r="AD30" s="185">
        <f t="shared" si="99"/>
        <v>0</v>
      </c>
      <c r="AE30" s="186">
        <v>2767</v>
      </c>
      <c r="AF30" s="119">
        <f t="shared" si="37"/>
        <v>2767</v>
      </c>
      <c r="AG30" s="170">
        <v>0</v>
      </c>
      <c r="AH30" s="171">
        <v>1582</v>
      </c>
      <c r="AI30" s="172">
        <v>0.87638888888888888</v>
      </c>
      <c r="AJ30" s="171">
        <v>0</v>
      </c>
      <c r="AK30" s="188">
        <v>0</v>
      </c>
      <c r="AL30" s="57">
        <f t="shared" si="38"/>
        <v>45801</v>
      </c>
      <c r="AM30" s="78">
        <f t="shared" si="100"/>
        <v>0.3515279985868221</v>
      </c>
      <c r="AN30" s="77">
        <f t="shared" si="101"/>
        <v>0.64847200141317785</v>
      </c>
      <c r="AO30" s="173">
        <v>5661</v>
      </c>
      <c r="AP30" s="118">
        <f t="shared" si="41"/>
        <v>1990</v>
      </c>
      <c r="AQ30" s="174">
        <v>3671</v>
      </c>
      <c r="AR30" s="175">
        <v>1691</v>
      </c>
      <c r="AS30" s="176">
        <v>0.95138888888888884</v>
      </c>
      <c r="AT30" s="175">
        <v>177</v>
      </c>
      <c r="AU30" s="177">
        <v>0.77083333333333337</v>
      </c>
      <c r="AV30" s="57">
        <f t="shared" si="52"/>
        <v>45801</v>
      </c>
      <c r="AW30" s="111">
        <f t="shared" si="102"/>
        <v>0.45542766869781087</v>
      </c>
      <c r="AX30" s="111">
        <f t="shared" si="103"/>
        <v>0.54457233130218907</v>
      </c>
      <c r="AY30" s="112">
        <f t="shared" si="44"/>
        <v>4431</v>
      </c>
      <c r="AZ30" s="113">
        <v>4431</v>
      </c>
      <c r="BA30" s="121">
        <f t="shared" si="104"/>
        <v>2018</v>
      </c>
      <c r="BB30" s="114">
        <v>2413</v>
      </c>
      <c r="BC30" s="113">
        <v>1570</v>
      </c>
      <c r="BD30" s="115">
        <v>0.5</v>
      </c>
      <c r="BE30" s="116">
        <v>0</v>
      </c>
      <c r="BF30" s="115">
        <v>0</v>
      </c>
      <c r="BG30" s="116">
        <v>146</v>
      </c>
      <c r="BH30" s="115">
        <v>0.8125</v>
      </c>
      <c r="BI30" s="57">
        <f t="shared" si="53"/>
        <v>45801</v>
      </c>
      <c r="BJ30" s="79">
        <f t="shared" si="105"/>
        <v>0.60865820489573885</v>
      </c>
      <c r="BK30" s="77">
        <f t="shared" si="106"/>
        <v>0.39134179510426109</v>
      </c>
      <c r="BL30" s="80">
        <f t="shared" si="107"/>
        <v>22060</v>
      </c>
      <c r="BM30" s="178">
        <v>13427</v>
      </c>
      <c r="BN30" s="178">
        <v>8633</v>
      </c>
      <c r="BO30" s="179">
        <v>2712</v>
      </c>
      <c r="BP30" s="180">
        <v>0.50555555555555554</v>
      </c>
      <c r="BQ30" s="181">
        <v>1765</v>
      </c>
      <c r="BR30" s="180">
        <v>0.50555555555555554</v>
      </c>
    </row>
    <row r="31" spans="1:70" ht="15.75" thickBot="1" x14ac:dyDescent="0.3">
      <c r="A31" s="14"/>
      <c r="B31" s="57">
        <f t="shared" si="49"/>
        <v>45802</v>
      </c>
      <c r="C31" s="187"/>
      <c r="D31" s="88">
        <f t="shared" si="85"/>
        <v>27624</v>
      </c>
      <c r="E31" s="182">
        <f t="shared" si="86"/>
        <v>0.78439038517231396</v>
      </c>
      <c r="F31" s="88">
        <f t="shared" si="87"/>
        <v>21668</v>
      </c>
      <c r="G31" s="182">
        <f t="shared" si="88"/>
        <v>0.21560961482768606</v>
      </c>
      <c r="H31" s="169">
        <f t="shared" si="89"/>
        <v>5956</v>
      </c>
      <c r="I31" s="183">
        <f t="shared" si="90"/>
        <v>6.3193494452044377E-2</v>
      </c>
      <c r="J31" s="182">
        <f t="shared" si="91"/>
        <v>0.19976440188478492</v>
      </c>
      <c r="K31" s="182">
        <f t="shared" si="92"/>
        <v>0.19090289276322198</v>
      </c>
      <c r="L31" s="184">
        <f t="shared" si="93"/>
        <v>0.58808329533363735</v>
      </c>
      <c r="M31" s="169">
        <f t="shared" si="94"/>
        <v>1631.6560267517857</v>
      </c>
      <c r="N31" s="169">
        <f t="shared" si="95"/>
        <v>5157.916856665147</v>
      </c>
      <c r="O31" s="169">
        <f t="shared" si="96"/>
        <v>4929.1126911463916</v>
      </c>
      <c r="P31" s="169">
        <f t="shared" si="97"/>
        <v>15184.310685514516</v>
      </c>
      <c r="Q31" s="57">
        <f t="shared" si="50"/>
        <v>45802</v>
      </c>
      <c r="R31" s="162">
        <v>27624</v>
      </c>
      <c r="S31" s="163">
        <v>0</v>
      </c>
      <c r="T31" s="163">
        <v>25820</v>
      </c>
      <c r="U31" s="163">
        <v>0</v>
      </c>
      <c r="V31" s="164">
        <v>5700</v>
      </c>
      <c r="W31" s="165">
        <v>0.70833333333333337</v>
      </c>
      <c r="X31" s="164">
        <v>1890</v>
      </c>
      <c r="Y31" s="165">
        <v>0.83333333333333337</v>
      </c>
      <c r="Z31" s="164">
        <v>0</v>
      </c>
      <c r="AA31" s="165">
        <v>0</v>
      </c>
      <c r="AB31" s="57">
        <f t="shared" si="51"/>
        <v>45802</v>
      </c>
      <c r="AC31" s="77">
        <f t="shared" si="98"/>
        <v>1</v>
      </c>
      <c r="AD31" s="185">
        <f t="shared" si="99"/>
        <v>0</v>
      </c>
      <c r="AE31" s="186">
        <v>1663</v>
      </c>
      <c r="AF31" s="119">
        <f t="shared" si="37"/>
        <v>1663</v>
      </c>
      <c r="AG31" s="170">
        <v>0</v>
      </c>
      <c r="AH31" s="171">
        <v>1348</v>
      </c>
      <c r="AI31" s="172">
        <v>0.76180555555555551</v>
      </c>
      <c r="AJ31" s="171">
        <v>0</v>
      </c>
      <c r="AK31" s="188">
        <v>0</v>
      </c>
      <c r="AL31" s="57">
        <f t="shared" si="38"/>
        <v>45802</v>
      </c>
      <c r="AM31" s="78">
        <f t="shared" si="100"/>
        <v>0.30454631919345632</v>
      </c>
      <c r="AN31" s="77">
        <f t="shared" si="101"/>
        <v>0.69545368080654368</v>
      </c>
      <c r="AO31" s="173">
        <v>5257</v>
      </c>
      <c r="AP31" s="118">
        <f t="shared" si="41"/>
        <v>1601</v>
      </c>
      <c r="AQ31" s="174">
        <v>3656</v>
      </c>
      <c r="AR31" s="175">
        <v>1468</v>
      </c>
      <c r="AS31" s="176">
        <v>0.76527777777777772</v>
      </c>
      <c r="AT31" s="175">
        <v>186</v>
      </c>
      <c r="AU31" s="177">
        <v>0.7729166666666667</v>
      </c>
      <c r="AV31" s="57">
        <f t="shared" si="52"/>
        <v>45802</v>
      </c>
      <c r="AW31" s="111">
        <f t="shared" si="102"/>
        <v>0.41326530612244899</v>
      </c>
      <c r="AX31" s="111">
        <f t="shared" si="103"/>
        <v>0.58673469387755106</v>
      </c>
      <c r="AY31" s="112">
        <f t="shared" si="44"/>
        <v>3920</v>
      </c>
      <c r="AZ31" s="113">
        <v>3920</v>
      </c>
      <c r="BA31" s="121">
        <f t="shared" si="104"/>
        <v>1620</v>
      </c>
      <c r="BB31" s="114">
        <v>2300</v>
      </c>
      <c r="BC31" s="113">
        <v>1300</v>
      </c>
      <c r="BD31" s="115">
        <v>0.70833333333333337</v>
      </c>
      <c r="BE31" s="116">
        <v>0</v>
      </c>
      <c r="BF31" s="115">
        <v>0</v>
      </c>
      <c r="BG31" s="116">
        <v>141</v>
      </c>
      <c r="BH31" s="115">
        <v>0.75</v>
      </c>
      <c r="BI31" s="57">
        <f t="shared" si="53"/>
        <v>45802</v>
      </c>
      <c r="BJ31" s="79">
        <f t="shared" si="105"/>
        <v>0.6093305763763246</v>
      </c>
      <c r="BK31" s="77">
        <f t="shared" si="106"/>
        <v>0.39066942362367535</v>
      </c>
      <c r="BL31" s="80">
        <f t="shared" si="107"/>
        <v>15476</v>
      </c>
      <c r="BM31" s="178">
        <v>9430</v>
      </c>
      <c r="BN31" s="178">
        <v>6046</v>
      </c>
      <c r="BO31" s="179">
        <v>2415</v>
      </c>
      <c r="BP31" s="180">
        <v>0.41666666666666669</v>
      </c>
      <c r="BQ31" s="181">
        <v>1629</v>
      </c>
      <c r="BR31" s="180">
        <v>0.41666666666666669</v>
      </c>
    </row>
    <row r="32" spans="1:70" ht="15.75" thickBot="1" x14ac:dyDescent="0.3">
      <c r="A32" s="14"/>
      <c r="B32" s="57">
        <f t="shared" si="49"/>
        <v>45803</v>
      </c>
      <c r="C32" s="187"/>
      <c r="D32" s="88">
        <f t="shared" si="85"/>
        <v>50854</v>
      </c>
      <c r="E32" s="182">
        <f t="shared" si="86"/>
        <v>0.87491642741967202</v>
      </c>
      <c r="F32" s="88">
        <f t="shared" si="87"/>
        <v>44493</v>
      </c>
      <c r="G32" s="182">
        <f t="shared" si="88"/>
        <v>0.12508357258032798</v>
      </c>
      <c r="H32" s="169">
        <f t="shared" si="89"/>
        <v>6361</v>
      </c>
      <c r="I32" s="183">
        <f t="shared" si="90"/>
        <v>0.11018010548783715</v>
      </c>
      <c r="J32" s="182">
        <f t="shared" si="91"/>
        <v>0.15401577025525234</v>
      </c>
      <c r="K32" s="182">
        <f t="shared" si="92"/>
        <v>0.16182007700653067</v>
      </c>
      <c r="L32" s="184">
        <f t="shared" si="93"/>
        <v>0.6016158337596359</v>
      </c>
      <c r="M32" s="169">
        <f t="shared" si="94"/>
        <v>5416.7845260985378</v>
      </c>
      <c r="N32" s="169">
        <f t="shared" si="95"/>
        <v>7571.8773130589707</v>
      </c>
      <c r="O32" s="169">
        <f t="shared" si="96"/>
        <v>7955.5604458720672</v>
      </c>
      <c r="P32" s="169">
        <f t="shared" si="97"/>
        <v>29577.23923512498</v>
      </c>
      <c r="Q32" s="57">
        <f t="shared" si="50"/>
        <v>45803</v>
      </c>
      <c r="R32" s="162">
        <v>50854</v>
      </c>
      <c r="S32" s="163">
        <v>0</v>
      </c>
      <c r="T32" s="163">
        <v>49163</v>
      </c>
      <c r="U32" s="163">
        <v>0</v>
      </c>
      <c r="V32" s="164">
        <v>15217</v>
      </c>
      <c r="W32" s="165">
        <v>0.78125</v>
      </c>
      <c r="X32" s="164">
        <v>4192</v>
      </c>
      <c r="Y32" s="165">
        <v>0.38541666666666669</v>
      </c>
      <c r="Z32" s="164">
        <v>0</v>
      </c>
      <c r="AA32" s="165">
        <v>0</v>
      </c>
      <c r="AB32" s="57">
        <f t="shared" si="51"/>
        <v>45803</v>
      </c>
      <c r="AC32" s="77">
        <f t="shared" si="98"/>
        <v>1</v>
      </c>
      <c r="AD32" s="185">
        <f t="shared" si="99"/>
        <v>0</v>
      </c>
      <c r="AE32" s="186">
        <v>6246</v>
      </c>
      <c r="AF32" s="119">
        <f t="shared" si="37"/>
        <v>6246</v>
      </c>
      <c r="AG32" s="170">
        <v>0</v>
      </c>
      <c r="AH32" s="171">
        <v>4457</v>
      </c>
      <c r="AI32" s="172">
        <v>0.7416666666666667</v>
      </c>
      <c r="AJ32" s="171">
        <v>0</v>
      </c>
      <c r="AK32" s="188">
        <v>0</v>
      </c>
      <c r="AL32" s="57">
        <f t="shared" si="38"/>
        <v>45803</v>
      </c>
      <c r="AM32" s="78">
        <f t="shared" si="100"/>
        <v>0.55285763371893248</v>
      </c>
      <c r="AN32" s="77">
        <f t="shared" si="101"/>
        <v>0.44714236628106746</v>
      </c>
      <c r="AO32" s="173">
        <v>8731</v>
      </c>
      <c r="AP32" s="118">
        <f t="shared" si="41"/>
        <v>4827</v>
      </c>
      <c r="AQ32" s="174">
        <v>3904</v>
      </c>
      <c r="AR32" s="175">
        <v>3905</v>
      </c>
      <c r="AS32" s="176">
        <v>0.73888888888888893</v>
      </c>
      <c r="AT32" s="175">
        <v>193</v>
      </c>
      <c r="AU32" s="177">
        <v>0.76041666666666663</v>
      </c>
      <c r="AV32" s="57">
        <f t="shared" si="52"/>
        <v>45803</v>
      </c>
      <c r="AW32" s="111">
        <f t="shared" si="102"/>
        <v>0.67700801892993301</v>
      </c>
      <c r="AX32" s="111">
        <f t="shared" si="103"/>
        <v>0.32299198107006705</v>
      </c>
      <c r="AY32" s="112">
        <f t="shared" si="44"/>
        <v>7607</v>
      </c>
      <c r="AZ32" s="113">
        <v>7607</v>
      </c>
      <c r="BA32" s="121">
        <f t="shared" si="104"/>
        <v>5150</v>
      </c>
      <c r="BB32" s="114">
        <v>2457</v>
      </c>
      <c r="BC32" s="113">
        <v>3801</v>
      </c>
      <c r="BD32" s="115">
        <v>0.40625</v>
      </c>
      <c r="BE32" s="116">
        <v>0</v>
      </c>
      <c r="BF32" s="115">
        <v>0</v>
      </c>
      <c r="BG32" s="113">
        <v>140</v>
      </c>
      <c r="BH32" s="115">
        <v>0.79166666666666663</v>
      </c>
      <c r="BI32" s="57">
        <f t="shared" si="53"/>
        <v>45803</v>
      </c>
      <c r="BJ32" s="79">
        <f t="shared" si="105"/>
        <v>0.60759419439964812</v>
      </c>
      <c r="BK32" s="77">
        <f t="shared" si="106"/>
        <v>0.39240580560035188</v>
      </c>
      <c r="BL32" s="80">
        <f t="shared" si="107"/>
        <v>34105</v>
      </c>
      <c r="BM32" s="178">
        <v>20722</v>
      </c>
      <c r="BN32" s="178">
        <v>13383</v>
      </c>
      <c r="BO32" s="179">
        <v>3783</v>
      </c>
      <c r="BP32" s="180">
        <v>0.80138888888888893</v>
      </c>
      <c r="BQ32" s="181">
        <v>2503</v>
      </c>
      <c r="BR32" s="180">
        <v>0.80138888888888893</v>
      </c>
    </row>
    <row r="33" spans="1:70" ht="15.75" thickBot="1" x14ac:dyDescent="0.3">
      <c r="A33" s="14"/>
      <c r="B33" s="57">
        <f t="shared" si="49"/>
        <v>45804</v>
      </c>
      <c r="C33" s="187"/>
      <c r="D33" s="88">
        <f t="shared" si="85"/>
        <v>53442</v>
      </c>
      <c r="E33" s="182">
        <f t="shared" si="86"/>
        <v>0.87950656786796899</v>
      </c>
      <c r="F33" s="88">
        <f t="shared" si="87"/>
        <v>47002.59</v>
      </c>
      <c r="G33" s="182">
        <f t="shared" si="88"/>
        <v>0.12049343213203098</v>
      </c>
      <c r="H33" s="169">
        <f t="shared" si="89"/>
        <v>6439.41</v>
      </c>
      <c r="I33" s="183">
        <f t="shared" si="90"/>
        <v>0.11366515837104073</v>
      </c>
      <c r="J33" s="182">
        <f t="shared" si="91"/>
        <v>0.1565400399873724</v>
      </c>
      <c r="K33" s="182">
        <f t="shared" si="92"/>
        <v>0.16520988670232517</v>
      </c>
      <c r="L33" s="184">
        <f t="shared" si="93"/>
        <v>0.59120277807008315</v>
      </c>
      <c r="M33" s="169">
        <f t="shared" si="94"/>
        <v>5901.438190045249</v>
      </c>
      <c r="N33" s="169">
        <f t="shared" si="95"/>
        <v>8127.4806061243817</v>
      </c>
      <c r="O33" s="169">
        <f t="shared" si="96"/>
        <v>8577.6147126413725</v>
      </c>
      <c r="P33" s="169">
        <f t="shared" si="97"/>
        <v>30694.952636009682</v>
      </c>
      <c r="Q33" s="57">
        <f t="shared" si="50"/>
        <v>45804</v>
      </c>
      <c r="R33" s="162">
        <v>53442</v>
      </c>
      <c r="S33" s="163">
        <v>0</v>
      </c>
      <c r="T33" s="163">
        <v>51919.5</v>
      </c>
      <c r="U33" s="163">
        <v>0</v>
      </c>
      <c r="V33" s="164">
        <v>13948.04</v>
      </c>
      <c r="W33" s="165">
        <v>0.83333333333333337</v>
      </c>
      <c r="X33" s="164">
        <v>4349.8999999999996</v>
      </c>
      <c r="Y33" s="165">
        <v>0.40625</v>
      </c>
      <c r="Z33" s="164">
        <v>0</v>
      </c>
      <c r="AA33" s="165">
        <v>0</v>
      </c>
      <c r="AB33" s="57">
        <f t="shared" si="51"/>
        <v>45804</v>
      </c>
      <c r="AC33" s="77">
        <f t="shared" si="98"/>
        <v>1</v>
      </c>
      <c r="AD33" s="185">
        <f t="shared" si="99"/>
        <v>0</v>
      </c>
      <c r="AE33" s="186">
        <v>6751</v>
      </c>
      <c r="AF33" s="119">
        <f t="shared" si="37"/>
        <v>6751</v>
      </c>
      <c r="AG33" s="170">
        <v>0</v>
      </c>
      <c r="AH33" s="171">
        <v>3667.64</v>
      </c>
      <c r="AI33" s="172">
        <v>0.75208333333333333</v>
      </c>
      <c r="AJ33" s="171">
        <v>0</v>
      </c>
      <c r="AK33" s="188">
        <v>0</v>
      </c>
      <c r="AL33" s="191">
        <f t="shared" si="38"/>
        <v>45804</v>
      </c>
      <c r="AM33" s="78">
        <f t="shared" si="100"/>
        <v>0.57128260285022858</v>
      </c>
      <c r="AN33" s="77">
        <f t="shared" si="101"/>
        <v>0.42871739714977142</v>
      </c>
      <c r="AO33" s="173">
        <v>9297.5</v>
      </c>
      <c r="AP33" s="118">
        <f t="shared" si="41"/>
        <v>5311.5</v>
      </c>
      <c r="AQ33" s="174">
        <v>3986</v>
      </c>
      <c r="AR33" s="175">
        <v>3953.21</v>
      </c>
      <c r="AS33" s="176">
        <v>0.31944444444444442</v>
      </c>
      <c r="AT33" s="175">
        <v>197.3</v>
      </c>
      <c r="AU33" s="177">
        <v>0.375</v>
      </c>
      <c r="AV33" s="57">
        <f t="shared" si="52"/>
        <v>45804</v>
      </c>
      <c r="AW33" s="192">
        <f t="shared" si="102"/>
        <v>0.70194861203911807</v>
      </c>
      <c r="AX33" s="192">
        <f t="shared" si="103"/>
        <v>0.29805138796088199</v>
      </c>
      <c r="AY33" s="112">
        <f t="shared" si="44"/>
        <v>8231.5</v>
      </c>
      <c r="AZ33" s="113">
        <v>8231.5</v>
      </c>
      <c r="BA33" s="193">
        <f t="shared" si="104"/>
        <v>5778.09</v>
      </c>
      <c r="BB33" s="114">
        <v>2453.41</v>
      </c>
      <c r="BC33" s="113">
        <v>3611.77</v>
      </c>
      <c r="BD33" s="115">
        <v>0.73958333333333337</v>
      </c>
      <c r="BE33" s="116">
        <v>0</v>
      </c>
      <c r="BF33" s="115">
        <v>0</v>
      </c>
      <c r="BG33" s="116">
        <v>144.38</v>
      </c>
      <c r="BH33" s="115">
        <v>0.30208333333333331</v>
      </c>
      <c r="BI33" s="57">
        <f t="shared" si="53"/>
        <v>45804</v>
      </c>
      <c r="BJ33" s="194">
        <f t="shared" si="105"/>
        <v>0.60657149976860913</v>
      </c>
      <c r="BK33" s="77">
        <f t="shared" si="106"/>
        <v>0.39342850023139081</v>
      </c>
      <c r="BL33" s="80">
        <f t="shared" si="107"/>
        <v>35113.75</v>
      </c>
      <c r="BM33" s="178">
        <v>21299</v>
      </c>
      <c r="BN33" s="178">
        <v>13814.75</v>
      </c>
      <c r="BO33" s="179">
        <v>4032.9</v>
      </c>
      <c r="BP33" s="180">
        <v>0.66805555555555551</v>
      </c>
      <c r="BQ33" s="181">
        <v>2738.29</v>
      </c>
      <c r="BR33" s="180">
        <v>0.66805555555555551</v>
      </c>
    </row>
    <row r="34" spans="1:70" ht="15.75" thickBot="1" x14ac:dyDescent="0.3">
      <c r="A34" s="14"/>
      <c r="B34" s="57">
        <f t="shared" si="49"/>
        <v>45805</v>
      </c>
      <c r="C34" s="187"/>
      <c r="D34" s="88">
        <f t="shared" si="85"/>
        <v>53420</v>
      </c>
      <c r="E34" s="182">
        <f t="shared" si="86"/>
        <v>0.87830400599026581</v>
      </c>
      <c r="F34" s="88">
        <f t="shared" si="87"/>
        <v>46919</v>
      </c>
      <c r="G34" s="182">
        <f t="shared" si="88"/>
        <v>0.12169599400973419</v>
      </c>
      <c r="H34" s="169">
        <f t="shared" si="89"/>
        <v>6501</v>
      </c>
      <c r="I34" s="183">
        <f t="shared" si="90"/>
        <v>0.11486680034374105</v>
      </c>
      <c r="J34" s="182">
        <f t="shared" si="91"/>
        <v>0.15741318011019934</v>
      </c>
      <c r="K34" s="182">
        <f t="shared" si="92"/>
        <v>0.16585786476297426</v>
      </c>
      <c r="L34" s="184">
        <f t="shared" si="93"/>
        <v>0.58835324447739568</v>
      </c>
      <c r="M34" s="169">
        <f t="shared" si="94"/>
        <v>5949.9853910054426</v>
      </c>
      <c r="N34" s="169">
        <f t="shared" si="95"/>
        <v>8153.8453165282153</v>
      </c>
      <c r="O34" s="169">
        <f t="shared" si="96"/>
        <v>8591.2715368573045</v>
      </c>
      <c r="P34" s="169">
        <f t="shared" si="97"/>
        <v>30476.109710684617</v>
      </c>
      <c r="Q34" s="57">
        <f t="shared" si="50"/>
        <v>45805</v>
      </c>
      <c r="R34" s="162">
        <v>53420</v>
      </c>
      <c r="S34" s="163">
        <v>0</v>
      </c>
      <c r="T34" s="163">
        <v>51799</v>
      </c>
      <c r="U34" s="163">
        <v>0</v>
      </c>
      <c r="V34" s="164">
        <v>12993</v>
      </c>
      <c r="W34" s="165">
        <v>0.41666666666666669</v>
      </c>
      <c r="X34" s="164">
        <v>4573</v>
      </c>
      <c r="Y34" s="165">
        <v>0.40625</v>
      </c>
      <c r="Z34" s="164">
        <v>0</v>
      </c>
      <c r="AA34" s="165">
        <v>0</v>
      </c>
      <c r="AB34" s="57">
        <f t="shared" si="51"/>
        <v>45805</v>
      </c>
      <c r="AC34" s="77">
        <f t="shared" si="98"/>
        <v>1</v>
      </c>
      <c r="AD34" s="185">
        <f t="shared" si="99"/>
        <v>0</v>
      </c>
      <c r="AE34" s="186">
        <v>6817</v>
      </c>
      <c r="AF34" s="119">
        <f t="shared" si="37"/>
        <v>6817</v>
      </c>
      <c r="AG34" s="170">
        <v>0</v>
      </c>
      <c r="AH34" s="171">
        <v>3719</v>
      </c>
      <c r="AI34" s="172">
        <v>0.3527777777777778</v>
      </c>
      <c r="AJ34" s="171">
        <v>0</v>
      </c>
      <c r="AK34" s="188">
        <v>0</v>
      </c>
      <c r="AL34" s="57">
        <f t="shared" si="38"/>
        <v>45805</v>
      </c>
      <c r="AM34" s="78">
        <f t="shared" si="100"/>
        <v>0.57193320488118171</v>
      </c>
      <c r="AN34" s="77">
        <f t="shared" si="101"/>
        <v>0.42806679511881823</v>
      </c>
      <c r="AO34" s="173">
        <v>9342</v>
      </c>
      <c r="AP34" s="118">
        <f t="shared" si="41"/>
        <v>5343</v>
      </c>
      <c r="AQ34" s="174">
        <v>3999</v>
      </c>
      <c r="AR34" s="175">
        <v>3649</v>
      </c>
      <c r="AS34" s="176">
        <v>0.37152777777777779</v>
      </c>
      <c r="AT34" s="175">
        <v>200</v>
      </c>
      <c r="AU34" s="177">
        <v>0.34375</v>
      </c>
      <c r="AV34" s="57">
        <f t="shared" si="52"/>
        <v>45805</v>
      </c>
      <c r="AW34" s="111">
        <f t="shared" si="102"/>
        <v>0.69749727965179542</v>
      </c>
      <c r="AX34" s="111">
        <f t="shared" si="103"/>
        <v>0.30250272034820458</v>
      </c>
      <c r="AY34" s="112">
        <f t="shared" si="44"/>
        <v>8271</v>
      </c>
      <c r="AZ34" s="113">
        <v>8271</v>
      </c>
      <c r="BA34" s="121">
        <f t="shared" si="104"/>
        <v>5769</v>
      </c>
      <c r="BB34" s="114">
        <v>2502</v>
      </c>
      <c r="BC34" s="113">
        <v>4115</v>
      </c>
      <c r="BD34" s="115">
        <v>0.75</v>
      </c>
      <c r="BE34" s="116">
        <v>0</v>
      </c>
      <c r="BF34" s="115">
        <v>0</v>
      </c>
      <c r="BG34" s="116">
        <v>145</v>
      </c>
      <c r="BH34" s="115">
        <v>0.78125</v>
      </c>
      <c r="BI34" s="57">
        <f t="shared" si="53"/>
        <v>45805</v>
      </c>
      <c r="BJ34" s="79">
        <f t="shared" si="105"/>
        <v>0.6061803705931208</v>
      </c>
      <c r="BK34" s="77">
        <f t="shared" si="106"/>
        <v>0.39381962940687915</v>
      </c>
      <c r="BL34" s="80">
        <f t="shared" si="107"/>
        <v>34917</v>
      </c>
      <c r="BM34" s="178">
        <v>21166</v>
      </c>
      <c r="BN34" s="178">
        <v>13751</v>
      </c>
      <c r="BO34" s="179">
        <v>3774</v>
      </c>
      <c r="BP34" s="180">
        <v>0.68402777777777779</v>
      </c>
      <c r="BQ34" s="181">
        <v>2514</v>
      </c>
      <c r="BR34" s="180">
        <v>0.68402777777777779</v>
      </c>
    </row>
    <row r="35" spans="1:70" ht="15.75" thickBot="1" x14ac:dyDescent="0.3">
      <c r="A35" s="14"/>
      <c r="B35" s="57">
        <f t="shared" si="49"/>
        <v>45806</v>
      </c>
      <c r="C35" s="187"/>
      <c r="D35" s="88">
        <f t="shared" si="85"/>
        <v>54167</v>
      </c>
      <c r="E35" s="182">
        <f t="shared" si="86"/>
        <v>0.87723152472907862</v>
      </c>
      <c r="F35" s="88">
        <f t="shared" si="87"/>
        <v>47517</v>
      </c>
      <c r="G35" s="182">
        <f t="shared" si="88"/>
        <v>0.12276847527092141</v>
      </c>
      <c r="H35" s="169">
        <f t="shared" si="89"/>
        <v>6650</v>
      </c>
      <c r="I35" s="183">
        <f t="shared" si="90"/>
        <v>0.11376360162804219</v>
      </c>
      <c r="J35" s="182">
        <f t="shared" si="91"/>
        <v>0.15971426198189217</v>
      </c>
      <c r="K35" s="182">
        <f t="shared" si="92"/>
        <v>0.16471777390201364</v>
      </c>
      <c r="L35" s="184">
        <f t="shared" si="93"/>
        <v>0.58845419054738768</v>
      </c>
      <c r="M35" s="169">
        <f t="shared" si="94"/>
        <v>5989.5398621147933</v>
      </c>
      <c r="N35" s="169">
        <f t="shared" si="95"/>
        <v>8408.7961790846402</v>
      </c>
      <c r="O35" s="169">
        <f t="shared" si="96"/>
        <v>8672.2260781671157</v>
      </c>
      <c r="P35" s="169">
        <f t="shared" si="97"/>
        <v>30981.524678129415</v>
      </c>
      <c r="Q35" s="57">
        <f t="shared" si="50"/>
        <v>45806</v>
      </c>
      <c r="R35" s="162">
        <v>54167</v>
      </c>
      <c r="S35" s="163">
        <v>0</v>
      </c>
      <c r="T35" s="163">
        <v>52649</v>
      </c>
      <c r="U35" s="163">
        <v>0</v>
      </c>
      <c r="V35" s="164">
        <v>12241</v>
      </c>
      <c r="W35" s="165">
        <v>0.40625</v>
      </c>
      <c r="X35" s="164">
        <v>4484</v>
      </c>
      <c r="Y35" s="165">
        <v>0.42708333333333331</v>
      </c>
      <c r="Z35" s="164">
        <v>0</v>
      </c>
      <c r="AA35" s="165">
        <v>0</v>
      </c>
      <c r="AB35" s="57">
        <f t="shared" si="51"/>
        <v>45806</v>
      </c>
      <c r="AC35" s="77">
        <f t="shared" si="98"/>
        <v>1</v>
      </c>
      <c r="AD35" s="185">
        <f t="shared" si="99"/>
        <v>0</v>
      </c>
      <c r="AE35" s="186">
        <v>6848</v>
      </c>
      <c r="AF35" s="119">
        <f t="shared" si="37"/>
        <v>6848</v>
      </c>
      <c r="AG35" s="170">
        <v>0</v>
      </c>
      <c r="AH35" s="171">
        <v>3570</v>
      </c>
      <c r="AI35" s="172">
        <v>0.36666666666666664</v>
      </c>
      <c r="AJ35" s="171">
        <v>0</v>
      </c>
      <c r="AK35" s="188">
        <v>0</v>
      </c>
      <c r="AL35" s="57">
        <f t="shared" si="38"/>
        <v>45806</v>
      </c>
      <c r="AM35" s="78">
        <f t="shared" si="100"/>
        <v>0.56594549615144585</v>
      </c>
      <c r="AN35" s="77">
        <f t="shared" si="101"/>
        <v>0.43405450384855421</v>
      </c>
      <c r="AO35" s="173">
        <v>9614</v>
      </c>
      <c r="AP35" s="118">
        <f t="shared" si="41"/>
        <v>5441</v>
      </c>
      <c r="AQ35" s="174">
        <v>4173</v>
      </c>
      <c r="AR35" s="175">
        <v>3492</v>
      </c>
      <c r="AS35" s="176">
        <v>0.34166666666666667</v>
      </c>
      <c r="AT35" s="175">
        <v>198</v>
      </c>
      <c r="AU35" s="177">
        <v>0.28125</v>
      </c>
      <c r="AV35" s="57">
        <f t="shared" si="52"/>
        <v>45806</v>
      </c>
      <c r="AW35" s="111">
        <f t="shared" si="102"/>
        <v>0.70196125616652627</v>
      </c>
      <c r="AX35" s="111">
        <f t="shared" si="103"/>
        <v>0.29803874383347373</v>
      </c>
      <c r="AY35" s="112">
        <f t="shared" si="44"/>
        <v>8311</v>
      </c>
      <c r="AZ35" s="113">
        <v>8311</v>
      </c>
      <c r="BA35" s="121">
        <f t="shared" si="104"/>
        <v>5834</v>
      </c>
      <c r="BB35" s="114">
        <v>2477</v>
      </c>
      <c r="BC35" s="113">
        <v>4673</v>
      </c>
      <c r="BD35" s="115">
        <v>0.76041666666666663</v>
      </c>
      <c r="BE35" s="116">
        <v>0</v>
      </c>
      <c r="BF35" s="115">
        <v>0</v>
      </c>
      <c r="BG35" s="116">
        <v>153</v>
      </c>
      <c r="BH35" s="115">
        <v>0.27083333333333331</v>
      </c>
      <c r="BI35" s="57">
        <f t="shared" si="53"/>
        <v>45806</v>
      </c>
      <c r="BJ35" s="79">
        <f t="shared" si="105"/>
        <v>0.60823781830500823</v>
      </c>
      <c r="BK35" s="77">
        <f t="shared" si="106"/>
        <v>0.39176218169499183</v>
      </c>
      <c r="BL35" s="80">
        <f t="shared" si="107"/>
        <v>35422</v>
      </c>
      <c r="BM35" s="178">
        <v>21545</v>
      </c>
      <c r="BN35" s="178">
        <v>13877</v>
      </c>
      <c r="BO35" s="179">
        <v>4111</v>
      </c>
      <c r="BP35" s="180">
        <v>0.62222222222222223</v>
      </c>
      <c r="BQ35" s="181">
        <v>2713</v>
      </c>
      <c r="BR35" s="180">
        <v>0.62222222222222223</v>
      </c>
    </row>
    <row r="36" spans="1:70" ht="15.75" thickBot="1" x14ac:dyDescent="0.3">
      <c r="A36" s="14"/>
      <c r="B36" s="57">
        <f t="shared" si="49"/>
        <v>45807</v>
      </c>
      <c r="C36" s="187"/>
      <c r="D36" s="88">
        <f t="shared" si="85"/>
        <v>53740</v>
      </c>
      <c r="E36" s="182">
        <f t="shared" si="86"/>
        <v>0.87843319687383703</v>
      </c>
      <c r="F36" s="88">
        <f t="shared" si="87"/>
        <v>47207</v>
      </c>
      <c r="G36" s="182">
        <f t="shared" si="88"/>
        <v>0.12156680312616301</v>
      </c>
      <c r="H36" s="169">
        <f t="shared" si="89"/>
        <v>6533</v>
      </c>
      <c r="I36" s="183">
        <f t="shared" si="90"/>
        <v>0.11232643696348749</v>
      </c>
      <c r="J36" s="182">
        <f t="shared" si="91"/>
        <v>0.16824241465247833</v>
      </c>
      <c r="K36" s="182">
        <f t="shared" si="92"/>
        <v>0.18667095795305638</v>
      </c>
      <c r="L36" s="184">
        <f t="shared" si="93"/>
        <v>0.55882352941176472</v>
      </c>
      <c r="M36" s="169">
        <f>(S36+T36)*I36</f>
        <v>5835.3584002531752</v>
      </c>
      <c r="N36" s="169">
        <f>(S36+T36)*J36</f>
        <v>8740.1934411962484</v>
      </c>
      <c r="O36" s="169">
        <f>(S36+T36)*K36</f>
        <v>9697.5562656612783</v>
      </c>
      <c r="P36" s="169">
        <f>(S36+T36)*L36</f>
        <v>29030.882352941178</v>
      </c>
      <c r="Q36" s="57">
        <f t="shared" si="50"/>
        <v>45807</v>
      </c>
      <c r="R36" s="162">
        <v>53740</v>
      </c>
      <c r="S36" s="163">
        <v>0</v>
      </c>
      <c r="T36" s="163">
        <v>51950</v>
      </c>
      <c r="U36" s="163">
        <v>0</v>
      </c>
      <c r="V36" s="164">
        <v>13870</v>
      </c>
      <c r="W36" s="165">
        <v>0.79166666666666663</v>
      </c>
      <c r="X36" s="164">
        <v>4340</v>
      </c>
      <c r="Y36" s="165">
        <v>0.35416666666666669</v>
      </c>
      <c r="Z36" s="164">
        <v>0</v>
      </c>
      <c r="AA36" s="165">
        <v>0</v>
      </c>
      <c r="AB36" s="57">
        <f t="shared" si="51"/>
        <v>45807</v>
      </c>
      <c r="AC36" s="77">
        <f t="shared" si="98"/>
        <v>1</v>
      </c>
      <c r="AD36" s="185">
        <f t="shared" si="99"/>
        <v>0</v>
      </c>
      <c r="AE36" s="186">
        <v>5679</v>
      </c>
      <c r="AF36" s="119">
        <f t="shared" si="37"/>
        <v>5679</v>
      </c>
      <c r="AG36" s="170">
        <v>0</v>
      </c>
      <c r="AH36" s="171">
        <v>3770</v>
      </c>
      <c r="AI36" s="172">
        <v>0.37083333333333335</v>
      </c>
      <c r="AJ36" s="171">
        <v>0</v>
      </c>
      <c r="AK36" s="188">
        <v>0</v>
      </c>
      <c r="AL36" s="57">
        <f t="shared" si="38"/>
        <v>45807</v>
      </c>
      <c r="AM36" s="78">
        <f t="shared" si="100"/>
        <v>0.51645897013872566</v>
      </c>
      <c r="AN36" s="77">
        <f t="shared" si="101"/>
        <v>0.4835410298612744</v>
      </c>
      <c r="AO36" s="173">
        <v>8506</v>
      </c>
      <c r="AP36" s="118">
        <f t="shared" si="41"/>
        <v>4393</v>
      </c>
      <c r="AQ36" s="174">
        <v>4113</v>
      </c>
      <c r="AR36" s="175">
        <v>3641</v>
      </c>
      <c r="AS36" s="176">
        <v>0.75555555555555554</v>
      </c>
      <c r="AT36" s="175">
        <v>206</v>
      </c>
      <c r="AU36" s="177">
        <v>0.28749999999999998</v>
      </c>
      <c r="AV36" s="57">
        <f t="shared" si="52"/>
        <v>45807</v>
      </c>
      <c r="AW36" s="111">
        <f t="shared" si="102"/>
        <v>0.70197044334975367</v>
      </c>
      <c r="AX36" s="111">
        <f t="shared" si="103"/>
        <v>0.29802955665024633</v>
      </c>
      <c r="AY36" s="112">
        <f t="shared" si="44"/>
        <v>8120</v>
      </c>
      <c r="AZ36" s="113">
        <v>8120</v>
      </c>
      <c r="BA36" s="121">
        <f t="shared" si="104"/>
        <v>5700</v>
      </c>
      <c r="BB36" s="114">
        <v>2420</v>
      </c>
      <c r="BC36" s="113">
        <v>3590</v>
      </c>
      <c r="BD36" s="115">
        <v>0.75</v>
      </c>
      <c r="BE36" s="116">
        <v>0</v>
      </c>
      <c r="BF36" s="115">
        <v>0</v>
      </c>
      <c r="BG36" s="116">
        <v>141</v>
      </c>
      <c r="BH36" s="115">
        <v>0.35416666666666669</v>
      </c>
      <c r="BI36" s="57">
        <f t="shared" si="53"/>
        <v>45807</v>
      </c>
      <c r="BJ36" s="79">
        <f t="shared" si="105"/>
        <v>0.60832477966941567</v>
      </c>
      <c r="BK36" s="77">
        <f t="shared" si="106"/>
        <v>0.39167522033058438</v>
      </c>
      <c r="BL36" s="80">
        <f t="shared" si="107"/>
        <v>28253</v>
      </c>
      <c r="BM36" s="178">
        <v>17187</v>
      </c>
      <c r="BN36" s="178">
        <v>11066</v>
      </c>
      <c r="BO36" s="179">
        <v>3863</v>
      </c>
      <c r="BP36" s="180">
        <v>0.71250000000000002</v>
      </c>
      <c r="BQ36" s="181">
        <v>2575</v>
      </c>
      <c r="BR36" s="180">
        <v>0.30694444444444446</v>
      </c>
    </row>
    <row r="37" spans="1:70" ht="15.75" thickBot="1" x14ac:dyDescent="0.3">
      <c r="A37" s="14"/>
      <c r="B37" s="57">
        <f>B36+1</f>
        <v>45808</v>
      </c>
      <c r="C37" s="187"/>
      <c r="D37" s="88">
        <f t="shared" si="85"/>
        <v>32862</v>
      </c>
      <c r="E37" s="182">
        <f t="shared" si="86"/>
        <v>0.80116852291400398</v>
      </c>
      <c r="F37" s="88">
        <f t="shared" si="87"/>
        <v>26328</v>
      </c>
      <c r="G37" s="182">
        <f t="shared" si="88"/>
        <v>0.19883147708599599</v>
      </c>
      <c r="H37" s="169">
        <f t="shared" si="89"/>
        <v>6534</v>
      </c>
      <c r="I37" s="183">
        <f t="shared" si="90"/>
        <v>7.5225014450469294E-2</v>
      </c>
      <c r="J37" s="182">
        <f t="shared" si="91"/>
        <v>0.15909278577523328</v>
      </c>
      <c r="K37" s="182">
        <f t="shared" si="92"/>
        <v>0.15941146989331997</v>
      </c>
      <c r="L37" s="184">
        <f t="shared" si="93"/>
        <v>0.64311469543915667</v>
      </c>
      <c r="M37" s="169">
        <f t="shared" si="94"/>
        <v>2350.8569265916158</v>
      </c>
      <c r="N37" s="169">
        <f t="shared" si="95"/>
        <v>4971.8086482618155</v>
      </c>
      <c r="O37" s="169">
        <f t="shared" si="96"/>
        <v>4981.7678456361427</v>
      </c>
      <c r="P37" s="169">
        <f t="shared" si="97"/>
        <v>20097.977347169086</v>
      </c>
      <c r="Q37" s="57">
        <f t="shared" si="50"/>
        <v>45808</v>
      </c>
      <c r="R37" s="162">
        <v>32862</v>
      </c>
      <c r="S37" s="163">
        <v>0</v>
      </c>
      <c r="T37" s="163">
        <v>31251</v>
      </c>
      <c r="U37" s="163">
        <v>0</v>
      </c>
      <c r="V37" s="164">
        <v>6724</v>
      </c>
      <c r="W37" s="165">
        <v>0.54166666666666663</v>
      </c>
      <c r="X37" s="164">
        <v>2039</v>
      </c>
      <c r="Y37" s="165">
        <v>0.47916666666666669</v>
      </c>
      <c r="Z37" s="164">
        <v>0</v>
      </c>
      <c r="AA37" s="165">
        <v>0</v>
      </c>
      <c r="AB37" s="57">
        <f t="shared" si="51"/>
        <v>45808</v>
      </c>
      <c r="AC37" s="77">
        <f t="shared" si="98"/>
        <v>1</v>
      </c>
      <c r="AD37" s="185">
        <f t="shared" si="99"/>
        <v>0</v>
      </c>
      <c r="AE37" s="186">
        <v>2733</v>
      </c>
      <c r="AF37" s="119">
        <f t="shared" si="37"/>
        <v>2733</v>
      </c>
      <c r="AG37" s="170">
        <v>0</v>
      </c>
      <c r="AH37" s="171">
        <v>1778</v>
      </c>
      <c r="AI37" s="172">
        <v>0.93680555555555556</v>
      </c>
      <c r="AJ37" s="171">
        <v>0</v>
      </c>
      <c r="AK37" s="188">
        <v>0</v>
      </c>
      <c r="AL37" s="57">
        <f t="shared" si="38"/>
        <v>45808</v>
      </c>
      <c r="AM37" s="78">
        <f t="shared" si="100"/>
        <v>0.35017301038062282</v>
      </c>
      <c r="AN37" s="77">
        <f t="shared" si="101"/>
        <v>0.64982698961937713</v>
      </c>
      <c r="AO37" s="173">
        <v>5780</v>
      </c>
      <c r="AP37" s="118">
        <f t="shared" si="41"/>
        <v>2024</v>
      </c>
      <c r="AQ37" s="174">
        <v>3756</v>
      </c>
      <c r="AR37" s="175">
        <v>1656</v>
      </c>
      <c r="AS37" s="176">
        <v>0.92222222222222228</v>
      </c>
      <c r="AT37" s="175">
        <v>180</v>
      </c>
      <c r="AU37" s="177">
        <v>0.8125</v>
      </c>
      <c r="AV37" s="57">
        <f t="shared" si="52"/>
        <v>45808</v>
      </c>
      <c r="AW37" s="111">
        <f t="shared" si="102"/>
        <v>0.37615090949921404</v>
      </c>
      <c r="AX37" s="111">
        <f t="shared" si="103"/>
        <v>0.62384909050078596</v>
      </c>
      <c r="AY37" s="112">
        <f t="shared" si="44"/>
        <v>4453</v>
      </c>
      <c r="AZ37" s="113">
        <v>4453</v>
      </c>
      <c r="BA37" s="121">
        <f t="shared" si="104"/>
        <v>1675</v>
      </c>
      <c r="BB37" s="114">
        <f>1628+1150</f>
        <v>2778</v>
      </c>
      <c r="BC37" s="113">
        <v>1356</v>
      </c>
      <c r="BD37" s="115">
        <v>0.59375</v>
      </c>
      <c r="BE37" s="116">
        <v>0</v>
      </c>
      <c r="BF37" s="115">
        <v>0</v>
      </c>
      <c r="BG37" s="116">
        <v>145</v>
      </c>
      <c r="BH37" s="115">
        <v>0.125</v>
      </c>
      <c r="BI37" s="57">
        <f t="shared" si="53"/>
        <v>45808</v>
      </c>
      <c r="BJ37" s="79">
        <f t="shared" si="105"/>
        <v>0.61078536272202011</v>
      </c>
      <c r="BK37" s="77">
        <f t="shared" si="106"/>
        <v>0.38921463727797989</v>
      </c>
      <c r="BL37" s="80">
        <f t="shared" si="107"/>
        <v>23365</v>
      </c>
      <c r="BM37" s="178">
        <v>14271</v>
      </c>
      <c r="BN37" s="178">
        <v>9094</v>
      </c>
      <c r="BO37" s="179">
        <v>2260</v>
      </c>
      <c r="BP37" s="180">
        <v>0.64722222222222225</v>
      </c>
      <c r="BQ37" s="181">
        <v>1717</v>
      </c>
      <c r="BR37" s="180">
        <v>0.64722222222222225</v>
      </c>
    </row>
    <row r="38" spans="1:70" ht="15.75" thickBot="1" x14ac:dyDescent="0.3">
      <c r="A38" s="14"/>
      <c r="B38" s="57">
        <f t="shared" ref="B38" si="108">B37+1</f>
        <v>45809</v>
      </c>
      <c r="C38" s="187"/>
      <c r="D38" s="88">
        <f t="shared" ref="D38" si="109">R38</f>
        <v>0</v>
      </c>
      <c r="E38" s="182" t="e">
        <f t="shared" ref="E38" si="110">F38/D38</f>
        <v>#DIV/0!</v>
      </c>
      <c r="F38" s="88">
        <f t="shared" ref="F38" si="111">D38-H38</f>
        <v>0</v>
      </c>
      <c r="G38" s="182" t="e">
        <f t="shared" ref="G38" si="112">H38/D38</f>
        <v>#DIV/0!</v>
      </c>
      <c r="H38" s="169">
        <f t="shared" ref="H38" si="113">U38+AG38+AQ38+BB38</f>
        <v>0</v>
      </c>
      <c r="I38" s="183" t="e">
        <f t="shared" ref="I38" si="114">AE38/(AE38+AO38+BL38+AY38)</f>
        <v>#DIV/0!</v>
      </c>
      <c r="J38" s="182" t="e">
        <f t="shared" ref="J38" si="115">AO38/(AE38+AO38+BL38+AY38)</f>
        <v>#DIV/0!</v>
      </c>
      <c r="K38" s="182" t="e">
        <f t="shared" ref="K38" si="116">AY38/(AF38+AP38+BM38+AZ38+AY38)</f>
        <v>#DIV/0!</v>
      </c>
      <c r="L38" s="184" t="e">
        <f t="shared" ref="L38" si="117">BL38/(AE38+AO38+BL38+AY38)</f>
        <v>#DIV/0!</v>
      </c>
      <c r="M38" s="169" t="e">
        <f t="shared" ref="M38" si="118">(S38+T38)*I38</f>
        <v>#DIV/0!</v>
      </c>
      <c r="N38" s="169" t="e">
        <f t="shared" ref="N38" si="119">(S38+T38)*J38</f>
        <v>#DIV/0!</v>
      </c>
      <c r="O38" s="169" t="e">
        <f t="shared" ref="O38" si="120">(S38+T38)*K38</f>
        <v>#DIV/0!</v>
      </c>
      <c r="P38" s="169" t="e">
        <f t="shared" ref="P38" si="121">(S38+T38)*L38</f>
        <v>#DIV/0!</v>
      </c>
      <c r="Q38" s="57">
        <f t="shared" ref="Q38" si="122">Q37+1</f>
        <v>45809</v>
      </c>
      <c r="R38" s="162"/>
      <c r="S38" s="163"/>
      <c r="T38" s="163"/>
      <c r="U38" s="163"/>
      <c r="V38" s="164"/>
      <c r="W38" s="165"/>
      <c r="X38" s="164"/>
      <c r="Y38" s="165"/>
      <c r="Z38" s="164"/>
      <c r="AA38" s="165"/>
      <c r="AB38" s="57">
        <f t="shared" si="51"/>
        <v>45809</v>
      </c>
      <c r="AC38" s="77" t="e">
        <f t="shared" ref="AC38" si="123">+AF38/AE38</f>
        <v>#DIV/0!</v>
      </c>
      <c r="AD38" s="185" t="e">
        <f t="shared" ref="AD38" si="124">+AG38/AE38</f>
        <v>#DIV/0!</v>
      </c>
      <c r="AE38" s="186"/>
      <c r="AF38" s="119">
        <f t="shared" si="37"/>
        <v>0</v>
      </c>
      <c r="AG38" s="170"/>
      <c r="AH38" s="171"/>
      <c r="AI38" s="172"/>
      <c r="AJ38" s="171"/>
      <c r="AK38" s="188"/>
      <c r="AL38" s="57">
        <f t="shared" si="38"/>
        <v>45809</v>
      </c>
      <c r="AM38" s="78" t="e">
        <f t="shared" ref="AM38" si="125">+AP38/AO38</f>
        <v>#DIV/0!</v>
      </c>
      <c r="AN38" s="77" t="e">
        <f t="shared" ref="AN38" si="126">+AQ38/AO38</f>
        <v>#DIV/0!</v>
      </c>
      <c r="AO38" s="173"/>
      <c r="AP38" s="118">
        <f t="shared" si="41"/>
        <v>0</v>
      </c>
      <c r="AQ38" s="174"/>
      <c r="AR38" s="175"/>
      <c r="AS38" s="176"/>
      <c r="AT38" s="175"/>
      <c r="AU38" s="177"/>
      <c r="AV38" s="57">
        <f t="shared" si="52"/>
        <v>45809</v>
      </c>
      <c r="AW38" s="111" t="e">
        <f t="shared" ref="AW38" si="127">BA38/AZ38</f>
        <v>#DIV/0!</v>
      </c>
      <c r="AX38" s="111" t="e">
        <f t="shared" ref="AX38" si="128">BB38/AZ38</f>
        <v>#DIV/0!</v>
      </c>
      <c r="AY38" s="112">
        <f t="shared" ref="AY38" si="129">BA38+BB38</f>
        <v>0</v>
      </c>
      <c r="AZ38" s="113"/>
      <c r="BA38" s="121">
        <f t="shared" ref="BA38" si="130">AZ38-BB38</f>
        <v>0</v>
      </c>
      <c r="BB38" s="114"/>
      <c r="BC38" s="113"/>
      <c r="BD38" s="115"/>
      <c r="BE38" s="116"/>
      <c r="BF38" s="115"/>
      <c r="BG38" s="116"/>
      <c r="BH38" s="115"/>
      <c r="BI38" s="57">
        <f t="shared" si="53"/>
        <v>45809</v>
      </c>
      <c r="BJ38" s="79" t="e">
        <f t="shared" ref="BJ38" si="131">+BM38/BL38</f>
        <v>#DIV/0!</v>
      </c>
      <c r="BK38" s="77" t="e">
        <f t="shared" ref="BK38" si="132">+BN38/BL38</f>
        <v>#DIV/0!</v>
      </c>
      <c r="BL38" s="80">
        <f t="shared" ref="BL38" si="133">BM38+BN38</f>
        <v>0</v>
      </c>
      <c r="BM38" s="178"/>
      <c r="BN38" s="178"/>
      <c r="BO38" s="179"/>
      <c r="BP38" s="180"/>
      <c r="BQ38" s="181"/>
      <c r="BR38" s="180"/>
    </row>
    <row r="40" spans="1:70" x14ac:dyDescent="0.25">
      <c r="R40" s="200">
        <f>R37-S41</f>
        <v>31072</v>
      </c>
    </row>
    <row r="41" spans="1:70" x14ac:dyDescent="0.25">
      <c r="S41" s="201">
        <f>R36-T36</f>
        <v>1790</v>
      </c>
      <c r="T41" s="201"/>
      <c r="U41" s="200"/>
    </row>
    <row r="43" spans="1:70" x14ac:dyDescent="0.25">
      <c r="S43" s="201"/>
      <c r="T43" s="200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80"/>
  <sheetViews>
    <sheetView topLeftCell="C39" zoomScale="148" zoomScaleNormal="148" workbookViewId="0">
      <selection activeCell="H73" sqref="H73"/>
    </sheetView>
  </sheetViews>
  <sheetFormatPr baseColWidth="10" defaultColWidth="10.7109375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44" t="s">
        <v>0</v>
      </c>
      <c r="D2" s="247" t="s">
        <v>38</v>
      </c>
      <c r="E2" s="248"/>
      <c r="F2" s="248"/>
      <c r="G2" s="248"/>
      <c r="H2" s="249"/>
      <c r="J2" s="247" t="s">
        <v>39</v>
      </c>
      <c r="K2" s="248"/>
      <c r="L2" s="249"/>
      <c r="N2" s="247" t="s">
        <v>40</v>
      </c>
      <c r="O2" s="248"/>
      <c r="P2" s="248"/>
      <c r="Q2" s="248"/>
      <c r="R2" s="248"/>
      <c r="S2" s="248"/>
      <c r="T2" s="249"/>
      <c r="V2" s="253" t="s">
        <v>41</v>
      </c>
      <c r="W2" s="254"/>
      <c r="X2" s="255"/>
    </row>
    <row r="3" spans="2:27" ht="15.75" thickBot="1" x14ac:dyDescent="0.3">
      <c r="B3" s="245"/>
      <c r="D3" s="250"/>
      <c r="E3" s="251"/>
      <c r="F3" s="251"/>
      <c r="G3" s="251"/>
      <c r="H3" s="252"/>
      <c r="J3" s="250"/>
      <c r="K3" s="251"/>
      <c r="L3" s="252"/>
      <c r="N3" s="250"/>
      <c r="O3" s="251"/>
      <c r="P3" s="251"/>
      <c r="Q3" s="251"/>
      <c r="R3" s="251"/>
      <c r="S3" s="251"/>
      <c r="T3" s="252"/>
      <c r="V3" s="256"/>
      <c r="W3" s="257"/>
      <c r="X3" s="258"/>
    </row>
    <row r="4" spans="2:27" ht="23.25" customHeight="1" x14ac:dyDescent="0.25">
      <c r="B4" s="245"/>
      <c r="D4" s="259" t="s">
        <v>42</v>
      </c>
      <c r="E4" s="260"/>
      <c r="F4" s="259" t="s">
        <v>43</v>
      </c>
      <c r="G4" s="261"/>
      <c r="H4" s="262"/>
      <c r="J4" s="259" t="s">
        <v>42</v>
      </c>
      <c r="K4" s="260"/>
      <c r="L4" s="16" t="s">
        <v>43</v>
      </c>
      <c r="N4" s="242" t="s">
        <v>42</v>
      </c>
      <c r="O4" s="263"/>
      <c r="P4" s="264"/>
      <c r="Q4" s="265"/>
      <c r="R4" s="259" t="s">
        <v>43</v>
      </c>
      <c r="S4" s="266"/>
      <c r="T4" s="262"/>
      <c r="V4" s="242" t="s">
        <v>42</v>
      </c>
      <c r="W4" s="243"/>
      <c r="X4" s="16" t="s">
        <v>43</v>
      </c>
    </row>
    <row r="5" spans="2:27" ht="23.25" thickBot="1" x14ac:dyDescent="0.3">
      <c r="B5" s="246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8"/>
      <c r="AA8" s="38" t="s">
        <v>55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3" customFormat="1" ht="15.75" thickBot="1" x14ac:dyDescent="0.3">
      <c r="B14" s="91">
        <v>45777</v>
      </c>
      <c r="C14" s="13"/>
      <c r="D14" s="92">
        <v>104</v>
      </c>
      <c r="E14" s="90">
        <v>0.52083333333333337</v>
      </c>
      <c r="F14" s="89">
        <v>1371</v>
      </c>
      <c r="G14" s="94">
        <f t="shared" ref="G14" si="0">F14-H14</f>
        <v>882</v>
      </c>
      <c r="H14" s="89">
        <v>489</v>
      </c>
      <c r="I14" s="91">
        <f>B14</f>
        <v>45777</v>
      </c>
      <c r="J14" s="92">
        <v>30</v>
      </c>
      <c r="K14" s="90">
        <v>0.46875</v>
      </c>
      <c r="L14" s="89">
        <v>573</v>
      </c>
      <c r="M14" s="91">
        <f>B14</f>
        <v>45777</v>
      </c>
      <c r="N14" s="92">
        <v>17</v>
      </c>
      <c r="O14" s="90">
        <v>0.53125</v>
      </c>
      <c r="P14" s="92">
        <v>13</v>
      </c>
      <c r="Q14" s="90">
        <v>0.75</v>
      </c>
      <c r="R14" s="93">
        <f t="shared" ref="R14" si="1">S14+T14</f>
        <v>431</v>
      </c>
      <c r="S14" s="89">
        <v>216</v>
      </c>
      <c r="T14" s="89">
        <v>215</v>
      </c>
      <c r="U14" s="91">
        <f>B14</f>
        <v>45777</v>
      </c>
      <c r="V14" s="92">
        <v>29</v>
      </c>
      <c r="W14" s="90">
        <v>0.4375</v>
      </c>
      <c r="X14" s="89">
        <v>541</v>
      </c>
    </row>
    <row r="15" spans="2:27" s="53" customFormat="1" ht="15.75" thickBot="1" x14ac:dyDescent="0.3">
      <c r="B15" s="56">
        <f t="shared" ref="B15:B16" si="2">B14+1</f>
        <v>45778</v>
      </c>
      <c r="C15" s="13"/>
      <c r="D15" s="25">
        <v>91</v>
      </c>
      <c r="E15" s="11">
        <v>0.97916666666666663</v>
      </c>
      <c r="F15" s="10">
        <v>1059</v>
      </c>
      <c r="G15" s="94">
        <f t="shared" ref="G15:G25" si="3">F15-H15</f>
        <v>597</v>
      </c>
      <c r="H15" s="10">
        <v>462</v>
      </c>
      <c r="I15" s="91">
        <f t="shared" ref="I15:I46" si="4">I14+1</f>
        <v>45778</v>
      </c>
      <c r="J15" s="25">
        <v>27</v>
      </c>
      <c r="K15" s="55">
        <v>0.16666666666666666</v>
      </c>
      <c r="L15" s="54">
        <v>534</v>
      </c>
      <c r="M15" s="91">
        <f t="shared" ref="M15:M40" si="5">B15</f>
        <v>45778</v>
      </c>
      <c r="N15" s="50">
        <v>18</v>
      </c>
      <c r="O15" s="11">
        <v>0.75</v>
      </c>
      <c r="P15" s="52">
        <v>9</v>
      </c>
      <c r="Q15" s="11">
        <v>0.77083333333333337</v>
      </c>
      <c r="R15" s="93">
        <f t="shared" ref="R15:R25" si="6">S15+T15</f>
        <v>382</v>
      </c>
      <c r="S15" s="10">
        <v>213</v>
      </c>
      <c r="T15" s="10">
        <v>169</v>
      </c>
      <c r="U15" s="91">
        <f t="shared" ref="U15:U46" si="7">U14+1</f>
        <v>45778</v>
      </c>
      <c r="V15" s="25">
        <v>27</v>
      </c>
      <c r="W15" s="11">
        <v>0.80208333333333337</v>
      </c>
      <c r="X15" s="10">
        <v>480</v>
      </c>
    </row>
    <row r="16" spans="2:27" s="53" customFormat="1" ht="15.75" thickBot="1" x14ac:dyDescent="0.3">
      <c r="B16" s="56">
        <f t="shared" si="2"/>
        <v>45779</v>
      </c>
      <c r="C16" s="13"/>
      <c r="D16" s="50">
        <v>95</v>
      </c>
      <c r="E16" s="11">
        <v>5.2083333333333336E-2</v>
      </c>
      <c r="F16" s="10">
        <v>1184</v>
      </c>
      <c r="G16" s="94">
        <f t="shared" si="3"/>
        <v>680</v>
      </c>
      <c r="H16" s="10">
        <v>504</v>
      </c>
      <c r="I16" s="91">
        <f t="shared" si="4"/>
        <v>45779</v>
      </c>
      <c r="J16" s="50">
        <v>30</v>
      </c>
      <c r="K16" s="55">
        <v>2.0833333333333332E-2</v>
      </c>
      <c r="L16" s="54">
        <v>561</v>
      </c>
      <c r="M16" s="91">
        <f t="shared" si="5"/>
        <v>45779</v>
      </c>
      <c r="N16" s="50">
        <v>16</v>
      </c>
      <c r="O16" s="11">
        <v>0.84375</v>
      </c>
      <c r="P16" s="50">
        <v>13</v>
      </c>
      <c r="Q16" s="11">
        <v>0.40625</v>
      </c>
      <c r="R16" s="93">
        <f t="shared" si="6"/>
        <v>434</v>
      </c>
      <c r="S16" s="10">
        <v>219</v>
      </c>
      <c r="T16" s="10">
        <v>215</v>
      </c>
      <c r="U16" s="91">
        <f t="shared" si="7"/>
        <v>45779</v>
      </c>
      <c r="V16" s="50">
        <v>29</v>
      </c>
      <c r="W16" s="11">
        <v>0.71875</v>
      </c>
      <c r="X16" s="10">
        <v>548</v>
      </c>
    </row>
    <row r="17" spans="2:24" ht="15.75" thickBot="1" x14ac:dyDescent="0.3">
      <c r="B17" s="56">
        <f t="shared" ref="B17:B46" si="8">B16+1</f>
        <v>45780</v>
      </c>
      <c r="D17" s="50">
        <v>92</v>
      </c>
      <c r="E17" s="55">
        <v>0.25</v>
      </c>
      <c r="F17" s="54">
        <v>961</v>
      </c>
      <c r="G17" s="94">
        <f t="shared" si="3"/>
        <v>497</v>
      </c>
      <c r="H17" s="54">
        <v>464</v>
      </c>
      <c r="I17" s="91">
        <f t="shared" si="4"/>
        <v>45780</v>
      </c>
      <c r="J17" s="50">
        <v>28</v>
      </c>
      <c r="K17" s="55">
        <v>0.89583333333333337</v>
      </c>
      <c r="L17" s="54">
        <v>544</v>
      </c>
      <c r="M17" s="91">
        <f t="shared" si="5"/>
        <v>45780</v>
      </c>
      <c r="N17" s="50">
        <v>12</v>
      </c>
      <c r="O17" s="55">
        <v>3.125E-2</v>
      </c>
      <c r="P17" s="50">
        <v>33.9</v>
      </c>
      <c r="Q17" s="55">
        <v>0.52083333333333337</v>
      </c>
      <c r="R17" s="93">
        <f t="shared" si="6"/>
        <v>468</v>
      </c>
      <c r="S17" s="54">
        <v>55</v>
      </c>
      <c r="T17" s="54">
        <v>413</v>
      </c>
      <c r="U17" s="91">
        <f t="shared" si="7"/>
        <v>45780</v>
      </c>
      <c r="V17" s="50">
        <v>28</v>
      </c>
      <c r="W17" s="55">
        <v>0.77083333333333337</v>
      </c>
      <c r="X17" s="54">
        <v>477</v>
      </c>
    </row>
    <row r="18" spans="2:24" ht="15.75" thickBot="1" x14ac:dyDescent="0.3">
      <c r="B18" s="56">
        <f t="shared" si="8"/>
        <v>45781</v>
      </c>
      <c r="D18" s="50">
        <v>64</v>
      </c>
      <c r="E18" s="55">
        <v>0.89583333333333337</v>
      </c>
      <c r="F18" s="54">
        <v>850</v>
      </c>
      <c r="G18" s="94">
        <f t="shared" si="3"/>
        <v>370</v>
      </c>
      <c r="H18" s="54">
        <v>480</v>
      </c>
      <c r="I18" s="91">
        <f t="shared" si="4"/>
        <v>45781</v>
      </c>
      <c r="J18" s="50">
        <v>29</v>
      </c>
      <c r="K18" s="55">
        <v>0.8125</v>
      </c>
      <c r="L18" s="54">
        <v>545</v>
      </c>
      <c r="M18" s="91">
        <f t="shared" si="5"/>
        <v>45781</v>
      </c>
      <c r="N18" s="50">
        <v>4</v>
      </c>
      <c r="O18" s="55">
        <v>0.55208333333333337</v>
      </c>
      <c r="P18" s="50">
        <v>30</v>
      </c>
      <c r="Q18" s="55">
        <v>0.79166666666666663</v>
      </c>
      <c r="R18" s="51">
        <f t="shared" si="6"/>
        <v>449</v>
      </c>
      <c r="S18" s="54">
        <v>42</v>
      </c>
      <c r="T18" s="54">
        <v>407</v>
      </c>
      <c r="U18" s="91">
        <f t="shared" si="7"/>
        <v>45781</v>
      </c>
      <c r="V18" s="50">
        <v>26</v>
      </c>
      <c r="W18" s="55">
        <v>0.29166666666666669</v>
      </c>
      <c r="X18" s="54">
        <v>464</v>
      </c>
    </row>
    <row r="19" spans="2:24" ht="15.75" thickBot="1" x14ac:dyDescent="0.3">
      <c r="B19" s="91">
        <f t="shared" si="8"/>
        <v>45782</v>
      </c>
      <c r="D19" s="92">
        <v>116</v>
      </c>
      <c r="E19" s="90">
        <v>0.53125</v>
      </c>
      <c r="F19" s="89">
        <v>1355</v>
      </c>
      <c r="G19" s="94">
        <f t="shared" si="3"/>
        <v>835</v>
      </c>
      <c r="H19" s="89">
        <v>520</v>
      </c>
      <c r="I19" s="91">
        <f t="shared" si="4"/>
        <v>45782</v>
      </c>
      <c r="J19" s="92">
        <v>29</v>
      </c>
      <c r="K19" s="90">
        <v>0.8125</v>
      </c>
      <c r="L19" s="89">
        <v>571</v>
      </c>
      <c r="M19" s="91">
        <f t="shared" si="5"/>
        <v>45782</v>
      </c>
      <c r="N19" s="92">
        <v>20</v>
      </c>
      <c r="O19" s="90">
        <v>0.58333333333333337</v>
      </c>
      <c r="P19" s="92">
        <v>29</v>
      </c>
      <c r="Q19" s="90">
        <v>0.34375</v>
      </c>
      <c r="R19" s="93">
        <f t="shared" si="6"/>
        <v>465</v>
      </c>
      <c r="S19" s="89">
        <v>151</v>
      </c>
      <c r="T19" s="89">
        <v>314</v>
      </c>
      <c r="U19" s="91">
        <f t="shared" si="7"/>
        <v>45782</v>
      </c>
      <c r="V19" s="92">
        <v>28</v>
      </c>
      <c r="W19" s="90">
        <v>0.625</v>
      </c>
      <c r="X19" s="89">
        <v>537</v>
      </c>
    </row>
    <row r="20" spans="2:24" ht="15.75" thickBot="1" x14ac:dyDescent="0.3">
      <c r="B20" s="91">
        <f t="shared" si="8"/>
        <v>45783</v>
      </c>
      <c r="D20" s="195">
        <v>116</v>
      </c>
      <c r="E20" s="196">
        <v>0.4375</v>
      </c>
      <c r="F20" s="197">
        <v>1394</v>
      </c>
      <c r="G20" s="198">
        <f t="shared" si="3"/>
        <v>875</v>
      </c>
      <c r="H20" s="197">
        <v>519</v>
      </c>
      <c r="I20" s="91">
        <f t="shared" si="4"/>
        <v>45783</v>
      </c>
      <c r="J20" s="195">
        <v>29</v>
      </c>
      <c r="K20" s="196">
        <v>0.45833333333333331</v>
      </c>
      <c r="L20" s="197">
        <v>575</v>
      </c>
      <c r="M20" s="199">
        <f t="shared" ref="M20" si="9">M19+1</f>
        <v>45783</v>
      </c>
      <c r="N20" s="195">
        <v>16</v>
      </c>
      <c r="O20" s="196">
        <v>0.63541666666666663</v>
      </c>
      <c r="P20" s="195">
        <v>14</v>
      </c>
      <c r="Q20" s="196">
        <v>0.80208333333333337</v>
      </c>
      <c r="R20" s="93">
        <f t="shared" si="6"/>
        <v>443</v>
      </c>
      <c r="S20" s="197">
        <v>223</v>
      </c>
      <c r="T20" s="197">
        <v>220</v>
      </c>
      <c r="U20" s="199">
        <f t="shared" si="7"/>
        <v>45783</v>
      </c>
      <c r="V20" s="195">
        <v>29</v>
      </c>
      <c r="W20" s="196">
        <v>0.45833333333333331</v>
      </c>
      <c r="X20" s="197">
        <v>543</v>
      </c>
    </row>
    <row r="21" spans="2:24" ht="15.75" thickBot="1" x14ac:dyDescent="0.3">
      <c r="B21" s="91">
        <f t="shared" si="8"/>
        <v>45784</v>
      </c>
      <c r="D21" s="92">
        <v>121</v>
      </c>
      <c r="E21" s="90">
        <v>0.3576388888888889</v>
      </c>
      <c r="F21" s="89">
        <v>1384</v>
      </c>
      <c r="G21" s="94">
        <f t="shared" si="3"/>
        <v>882</v>
      </c>
      <c r="H21" s="89">
        <v>502</v>
      </c>
      <c r="I21" s="91">
        <f t="shared" si="4"/>
        <v>45784</v>
      </c>
      <c r="J21" s="92">
        <v>35</v>
      </c>
      <c r="K21" s="90">
        <v>0.58125000000000004</v>
      </c>
      <c r="L21" s="89">
        <v>575</v>
      </c>
      <c r="M21" s="91">
        <f t="shared" si="5"/>
        <v>45784</v>
      </c>
      <c r="N21" s="92">
        <v>21</v>
      </c>
      <c r="O21" s="90">
        <v>0.77777777777777779</v>
      </c>
      <c r="P21" s="92">
        <v>14</v>
      </c>
      <c r="Q21" s="90">
        <v>0.73958333333333337</v>
      </c>
      <c r="R21" s="93">
        <f t="shared" si="6"/>
        <v>454</v>
      </c>
      <c r="S21" s="89">
        <v>238</v>
      </c>
      <c r="T21" s="89">
        <v>216</v>
      </c>
      <c r="U21" s="91">
        <f t="shared" si="7"/>
        <v>45784</v>
      </c>
      <c r="V21" s="92">
        <v>31</v>
      </c>
      <c r="W21" s="90">
        <v>0.62847222222222221</v>
      </c>
      <c r="X21" s="89">
        <v>543</v>
      </c>
    </row>
    <row r="22" spans="2:24" ht="15.75" thickBot="1" x14ac:dyDescent="0.3">
      <c r="B22" s="91">
        <f t="shared" si="8"/>
        <v>45785</v>
      </c>
      <c r="D22" s="92">
        <v>123</v>
      </c>
      <c r="E22" s="90">
        <v>0.56041666666666667</v>
      </c>
      <c r="F22" s="89">
        <v>1391</v>
      </c>
      <c r="G22" s="94">
        <f t="shared" si="3"/>
        <v>891</v>
      </c>
      <c r="H22" s="89">
        <v>500</v>
      </c>
      <c r="I22" s="91">
        <f t="shared" si="4"/>
        <v>45785</v>
      </c>
      <c r="J22" s="92">
        <v>34</v>
      </c>
      <c r="K22" s="90">
        <v>0.52222222222222225</v>
      </c>
      <c r="L22" s="89">
        <v>576</v>
      </c>
      <c r="M22" s="91">
        <f t="shared" si="5"/>
        <v>45785</v>
      </c>
      <c r="N22" s="92">
        <v>19</v>
      </c>
      <c r="O22" s="90">
        <v>0.51736111111111116</v>
      </c>
      <c r="P22" s="92">
        <v>31</v>
      </c>
      <c r="Q22" s="90">
        <v>0.37986111111111109</v>
      </c>
      <c r="R22" s="93">
        <f t="shared" si="6"/>
        <v>434</v>
      </c>
      <c r="S22" s="89">
        <v>195</v>
      </c>
      <c r="T22" s="89">
        <v>239</v>
      </c>
      <c r="U22" s="91">
        <f t="shared" si="7"/>
        <v>45785</v>
      </c>
      <c r="V22" s="92">
        <v>31</v>
      </c>
      <c r="W22" s="90">
        <v>0.51388888888888884</v>
      </c>
      <c r="X22" s="89">
        <v>545</v>
      </c>
    </row>
    <row r="23" spans="2:24" ht="15.75" thickBot="1" x14ac:dyDescent="0.3">
      <c r="B23" s="91">
        <f t="shared" si="8"/>
        <v>45786</v>
      </c>
      <c r="D23" s="92">
        <v>119</v>
      </c>
      <c r="E23" s="90">
        <v>0.3659722222222222</v>
      </c>
      <c r="F23" s="89">
        <v>1364</v>
      </c>
      <c r="G23" s="94">
        <f t="shared" si="3"/>
        <v>838</v>
      </c>
      <c r="H23" s="89">
        <v>526</v>
      </c>
      <c r="I23" s="91">
        <f t="shared" si="4"/>
        <v>45786</v>
      </c>
      <c r="J23" s="92">
        <v>34</v>
      </c>
      <c r="K23" s="90">
        <v>0.5625</v>
      </c>
      <c r="L23" s="89">
        <v>580</v>
      </c>
      <c r="M23" s="91">
        <f t="shared" si="5"/>
        <v>45786</v>
      </c>
      <c r="N23" s="92">
        <v>19</v>
      </c>
      <c r="O23" s="90" t="s">
        <v>69</v>
      </c>
      <c r="P23" s="92">
        <v>15</v>
      </c>
      <c r="Q23" s="90">
        <v>0.49722222222222223</v>
      </c>
      <c r="R23" s="93">
        <f t="shared" si="6"/>
        <v>440</v>
      </c>
      <c r="S23" s="89">
        <v>219</v>
      </c>
      <c r="T23" s="89">
        <v>221</v>
      </c>
      <c r="U23" s="91">
        <f t="shared" si="7"/>
        <v>45786</v>
      </c>
      <c r="V23" s="92">
        <v>29</v>
      </c>
      <c r="W23" s="90">
        <v>0.28819444444444442</v>
      </c>
      <c r="X23" s="89">
        <v>480</v>
      </c>
    </row>
    <row r="24" spans="2:24" ht="15.75" thickBot="1" x14ac:dyDescent="0.3">
      <c r="B24" s="91">
        <f t="shared" si="8"/>
        <v>45787</v>
      </c>
      <c r="D24" s="92">
        <v>71</v>
      </c>
      <c r="E24" s="90">
        <v>0.4375</v>
      </c>
      <c r="F24" s="89">
        <v>929</v>
      </c>
      <c r="G24" s="94">
        <f t="shared" si="3"/>
        <v>382</v>
      </c>
      <c r="H24" s="89">
        <v>547</v>
      </c>
      <c r="I24" s="91">
        <f t="shared" si="4"/>
        <v>45787</v>
      </c>
      <c r="J24" s="92">
        <v>28</v>
      </c>
      <c r="K24" s="90">
        <v>0.36458333333333331</v>
      </c>
      <c r="L24" s="89">
        <v>562</v>
      </c>
      <c r="M24" s="91">
        <f t="shared" si="5"/>
        <v>45787</v>
      </c>
      <c r="N24" s="92">
        <v>16</v>
      </c>
      <c r="O24" s="90">
        <v>0.76041666666666663</v>
      </c>
      <c r="P24" s="92">
        <v>12</v>
      </c>
      <c r="Q24" s="90">
        <v>0.48958333333333331</v>
      </c>
      <c r="R24" s="93">
        <f t="shared" si="6"/>
        <v>406</v>
      </c>
      <c r="S24" s="89">
        <v>214</v>
      </c>
      <c r="T24" s="89">
        <v>192</v>
      </c>
      <c r="U24" s="91">
        <f t="shared" si="7"/>
        <v>45787</v>
      </c>
      <c r="V24" s="92">
        <v>28</v>
      </c>
      <c r="W24" s="90">
        <v>0.10416666666666667</v>
      </c>
      <c r="X24" s="89">
        <v>488</v>
      </c>
    </row>
    <row r="25" spans="2:24" ht="15.75" thickBot="1" x14ac:dyDescent="0.3">
      <c r="B25" s="91">
        <f t="shared" si="8"/>
        <v>45788</v>
      </c>
      <c r="D25" s="92">
        <v>58.26</v>
      </c>
      <c r="E25" s="90">
        <v>0.15625</v>
      </c>
      <c r="F25" s="89">
        <v>797.23</v>
      </c>
      <c r="G25" s="94">
        <f t="shared" si="3"/>
        <v>315.36</v>
      </c>
      <c r="H25" s="89">
        <v>481.87</v>
      </c>
      <c r="I25" s="91">
        <f t="shared" si="4"/>
        <v>45788</v>
      </c>
      <c r="J25" s="92">
        <v>29.2</v>
      </c>
      <c r="K25" s="90">
        <v>0.4375</v>
      </c>
      <c r="L25" s="89">
        <v>552.9</v>
      </c>
      <c r="M25" s="91">
        <f t="shared" si="5"/>
        <v>45788</v>
      </c>
      <c r="N25" s="92">
        <v>19.97</v>
      </c>
      <c r="O25" s="90">
        <v>0.47916666666666669</v>
      </c>
      <c r="P25" s="92">
        <v>9.23</v>
      </c>
      <c r="Q25" s="90">
        <v>0.82291666666666663</v>
      </c>
      <c r="R25" s="93">
        <f t="shared" si="6"/>
        <v>379.46000000000004</v>
      </c>
      <c r="S25" s="89">
        <v>211.1</v>
      </c>
      <c r="T25" s="89">
        <v>168.36</v>
      </c>
      <c r="U25" s="91">
        <f t="shared" si="7"/>
        <v>45788</v>
      </c>
      <c r="V25" s="92">
        <v>28.15</v>
      </c>
      <c r="W25" s="90">
        <v>2.0833333333333332E-2</v>
      </c>
      <c r="X25" s="89">
        <v>515.72</v>
      </c>
    </row>
    <row r="26" spans="2:24" ht="15.75" thickBot="1" x14ac:dyDescent="0.3">
      <c r="B26" s="91">
        <f t="shared" si="8"/>
        <v>45789</v>
      </c>
      <c r="D26" s="92">
        <v>101</v>
      </c>
      <c r="E26" s="90">
        <v>0.70833333333333337</v>
      </c>
      <c r="F26" s="89">
        <v>1281</v>
      </c>
      <c r="G26" s="94">
        <f t="shared" ref="G26:G44" si="10">F26-H26</f>
        <v>769</v>
      </c>
      <c r="H26" s="89">
        <v>512</v>
      </c>
      <c r="I26" s="91">
        <f t="shared" si="4"/>
        <v>45789</v>
      </c>
      <c r="J26" s="92">
        <v>29</v>
      </c>
      <c r="K26" s="90">
        <v>0.45833333333333331</v>
      </c>
      <c r="L26" s="89">
        <v>573</v>
      </c>
      <c r="M26" s="91">
        <f t="shared" si="5"/>
        <v>45789</v>
      </c>
      <c r="N26" s="92">
        <v>15</v>
      </c>
      <c r="O26" s="90">
        <v>0.5625</v>
      </c>
      <c r="P26" s="92">
        <v>14</v>
      </c>
      <c r="Q26" s="90">
        <v>0.44791666666666669</v>
      </c>
      <c r="R26" s="93">
        <f t="shared" ref="R26:R44" si="11">S26+T26</f>
        <v>434</v>
      </c>
      <c r="S26" s="89">
        <v>221</v>
      </c>
      <c r="T26" s="89">
        <v>213</v>
      </c>
      <c r="U26" s="91">
        <f t="shared" si="7"/>
        <v>45789</v>
      </c>
      <c r="V26" s="92">
        <v>28</v>
      </c>
      <c r="W26" s="90">
        <v>0.48958333333333331</v>
      </c>
      <c r="X26" s="89">
        <v>546</v>
      </c>
    </row>
    <row r="27" spans="2:24" ht="15.75" thickBot="1" x14ac:dyDescent="0.3">
      <c r="B27" s="91">
        <f t="shared" si="8"/>
        <v>45790</v>
      </c>
      <c r="D27" s="92">
        <v>108</v>
      </c>
      <c r="E27" s="90">
        <v>0.51041666666666663</v>
      </c>
      <c r="F27" s="89">
        <v>1378</v>
      </c>
      <c r="G27" s="94">
        <f t="shared" si="10"/>
        <v>860</v>
      </c>
      <c r="H27" s="89">
        <v>518</v>
      </c>
      <c r="I27" s="91">
        <f t="shared" si="4"/>
        <v>45790</v>
      </c>
      <c r="J27" s="92">
        <v>29</v>
      </c>
      <c r="K27" s="90">
        <v>0.59375</v>
      </c>
      <c r="L27" s="89">
        <v>576</v>
      </c>
      <c r="M27" s="91">
        <f t="shared" si="5"/>
        <v>45790</v>
      </c>
      <c r="N27" s="92">
        <v>19</v>
      </c>
      <c r="O27" s="90">
        <v>0.8125</v>
      </c>
      <c r="P27" s="92">
        <v>13</v>
      </c>
      <c r="Q27" s="90">
        <v>0.71875</v>
      </c>
      <c r="R27" s="93">
        <f t="shared" si="11"/>
        <v>437</v>
      </c>
      <c r="S27" s="89">
        <v>223</v>
      </c>
      <c r="T27" s="89">
        <v>214</v>
      </c>
      <c r="U27" s="91">
        <f t="shared" si="7"/>
        <v>45790</v>
      </c>
      <c r="V27" s="92">
        <v>28</v>
      </c>
      <c r="W27" s="90">
        <v>0</v>
      </c>
      <c r="X27" s="89">
        <v>541</v>
      </c>
    </row>
    <row r="28" spans="2:24" ht="15.75" thickBot="1" x14ac:dyDescent="0.3">
      <c r="B28" s="91">
        <f t="shared" si="8"/>
        <v>45791</v>
      </c>
      <c r="D28" s="92">
        <v>112</v>
      </c>
      <c r="E28" s="90">
        <v>0.77083333333333337</v>
      </c>
      <c r="F28" s="89">
        <v>1362</v>
      </c>
      <c r="G28" s="94">
        <f t="shared" si="10"/>
        <v>860</v>
      </c>
      <c r="H28" s="89">
        <v>502</v>
      </c>
      <c r="I28" s="91">
        <f t="shared" si="4"/>
        <v>45791</v>
      </c>
      <c r="J28" s="92">
        <v>29</v>
      </c>
      <c r="K28" s="90">
        <v>0.70833333333333337</v>
      </c>
      <c r="L28" s="89">
        <v>566</v>
      </c>
      <c r="M28" s="91">
        <f t="shared" si="5"/>
        <v>45791</v>
      </c>
      <c r="N28" s="92">
        <v>18</v>
      </c>
      <c r="O28" s="90">
        <v>0.52083333333333337</v>
      </c>
      <c r="P28" s="92">
        <v>14</v>
      </c>
      <c r="Q28" s="90">
        <v>0.5</v>
      </c>
      <c r="R28" s="93">
        <f t="shared" si="11"/>
        <v>440</v>
      </c>
      <c r="S28" s="89">
        <v>224</v>
      </c>
      <c r="T28" s="89">
        <v>216</v>
      </c>
      <c r="U28" s="91">
        <f t="shared" si="7"/>
        <v>45791</v>
      </c>
      <c r="V28" s="92">
        <v>28</v>
      </c>
      <c r="W28" s="90">
        <v>0.125</v>
      </c>
      <c r="X28" s="89">
        <v>515</v>
      </c>
    </row>
    <row r="29" spans="2:24" ht="15.75" thickBot="1" x14ac:dyDescent="0.3">
      <c r="B29" s="91">
        <f t="shared" si="8"/>
        <v>45792</v>
      </c>
      <c r="D29" s="92">
        <v>117</v>
      </c>
      <c r="E29" s="90">
        <v>0.41666666666666669</v>
      </c>
      <c r="F29" s="89">
        <v>1429</v>
      </c>
      <c r="G29" s="94">
        <f t="shared" si="10"/>
        <v>900</v>
      </c>
      <c r="H29" s="89">
        <v>529</v>
      </c>
      <c r="I29" s="91">
        <f t="shared" si="4"/>
        <v>45792</v>
      </c>
      <c r="J29" s="92">
        <v>29</v>
      </c>
      <c r="K29" s="90">
        <v>0.69791666666666663</v>
      </c>
      <c r="L29" s="89">
        <v>572</v>
      </c>
      <c r="M29" s="91">
        <f t="shared" si="5"/>
        <v>45792</v>
      </c>
      <c r="N29" s="92">
        <v>22</v>
      </c>
      <c r="O29" s="90">
        <v>0.35416666666666669</v>
      </c>
      <c r="P29" s="92">
        <v>12</v>
      </c>
      <c r="Q29" s="90">
        <v>0.33333333333333331</v>
      </c>
      <c r="R29" s="93">
        <f t="shared" si="11"/>
        <v>431</v>
      </c>
      <c r="S29" s="89">
        <v>220</v>
      </c>
      <c r="T29" s="89">
        <v>211</v>
      </c>
      <c r="U29" s="91">
        <f t="shared" si="7"/>
        <v>45792</v>
      </c>
      <c r="V29" s="92">
        <v>28</v>
      </c>
      <c r="W29" s="90">
        <v>0.77083333333333337</v>
      </c>
      <c r="X29" s="89">
        <v>555</v>
      </c>
    </row>
    <row r="30" spans="2:24" ht="15.75" thickBot="1" x14ac:dyDescent="0.3">
      <c r="B30" s="91">
        <f t="shared" si="8"/>
        <v>45793</v>
      </c>
      <c r="D30" s="92">
        <v>123</v>
      </c>
      <c r="E30" s="90">
        <v>0.55208333333333337</v>
      </c>
      <c r="F30" s="89">
        <v>1423.2</v>
      </c>
      <c r="G30" s="94">
        <f t="shared" si="10"/>
        <v>919.87000000000012</v>
      </c>
      <c r="H30" s="89">
        <v>503.33</v>
      </c>
      <c r="I30" s="91">
        <f t="shared" si="4"/>
        <v>45793</v>
      </c>
      <c r="J30" s="92">
        <v>33.06</v>
      </c>
      <c r="K30" s="90">
        <v>0.38541666666666669</v>
      </c>
      <c r="L30" s="89">
        <v>563.05999999999995</v>
      </c>
      <c r="M30" s="91">
        <f t="shared" si="5"/>
        <v>45793</v>
      </c>
      <c r="N30" s="92">
        <v>15.8</v>
      </c>
      <c r="O30" s="90">
        <v>0.36458333333333331</v>
      </c>
      <c r="P30" s="92">
        <v>13.15</v>
      </c>
      <c r="Q30" s="90">
        <v>0.57291666666666663</v>
      </c>
      <c r="R30" s="93">
        <f t="shared" si="11"/>
        <v>428.12</v>
      </c>
      <c r="S30" s="89">
        <v>219.51</v>
      </c>
      <c r="T30" s="89">
        <v>208.61</v>
      </c>
      <c r="U30" s="91">
        <f t="shared" si="7"/>
        <v>45793</v>
      </c>
      <c r="V30" s="92">
        <v>26.91</v>
      </c>
      <c r="W30" s="90">
        <v>0.67708333333333337</v>
      </c>
      <c r="X30" s="89">
        <v>535.05999999999995</v>
      </c>
    </row>
    <row r="31" spans="2:24" ht="15.75" thickBot="1" x14ac:dyDescent="0.3">
      <c r="B31" s="91">
        <f t="shared" si="8"/>
        <v>45794</v>
      </c>
      <c r="D31" s="92">
        <v>94.9</v>
      </c>
      <c r="E31" s="90">
        <v>0.28125</v>
      </c>
      <c r="F31" s="89">
        <v>977.43</v>
      </c>
      <c r="G31" s="94">
        <f t="shared" si="10"/>
        <v>479.12999999999994</v>
      </c>
      <c r="H31" s="89">
        <v>498.3</v>
      </c>
      <c r="I31" s="91">
        <f t="shared" si="4"/>
        <v>45794</v>
      </c>
      <c r="J31" s="92">
        <v>27.19</v>
      </c>
      <c r="K31" s="90">
        <v>0.75</v>
      </c>
      <c r="L31" s="89">
        <v>555.15</v>
      </c>
      <c r="M31" s="91">
        <f t="shared" si="5"/>
        <v>45794</v>
      </c>
      <c r="N31" s="92">
        <v>15.5</v>
      </c>
      <c r="O31" s="90">
        <v>0.61111111111111116</v>
      </c>
      <c r="P31" s="92">
        <v>10.64</v>
      </c>
      <c r="Q31" s="90">
        <v>0.47916666666666669</v>
      </c>
      <c r="R31" s="93">
        <f t="shared" si="11"/>
        <v>410.52</v>
      </c>
      <c r="S31" s="89">
        <v>217.35</v>
      </c>
      <c r="T31" s="89">
        <v>193.17</v>
      </c>
      <c r="U31" s="91">
        <f t="shared" si="7"/>
        <v>45794</v>
      </c>
      <c r="V31" s="92">
        <v>27.04</v>
      </c>
      <c r="W31" s="90">
        <v>0.89583333333333337</v>
      </c>
      <c r="X31" s="89">
        <v>529.51</v>
      </c>
    </row>
    <row r="32" spans="2:24" ht="15.75" thickBot="1" x14ac:dyDescent="0.3">
      <c r="B32" s="91">
        <f t="shared" si="8"/>
        <v>45795</v>
      </c>
      <c r="D32" s="92">
        <v>89</v>
      </c>
      <c r="E32" s="90">
        <v>0.89583333333333337</v>
      </c>
      <c r="F32" s="89">
        <v>882</v>
      </c>
      <c r="G32" s="94">
        <f t="shared" si="10"/>
        <v>383</v>
      </c>
      <c r="H32" s="89">
        <v>499</v>
      </c>
      <c r="I32" s="91">
        <f t="shared" si="4"/>
        <v>45795</v>
      </c>
      <c r="J32" s="92">
        <v>28</v>
      </c>
      <c r="K32" s="90">
        <v>0.90625</v>
      </c>
      <c r="L32" s="89">
        <v>559</v>
      </c>
      <c r="M32" s="91">
        <f t="shared" si="5"/>
        <v>45795</v>
      </c>
      <c r="N32" s="92">
        <v>16</v>
      </c>
      <c r="O32" s="90">
        <v>0.47916666666666669</v>
      </c>
      <c r="P32" s="92">
        <v>9.8000000000000007</v>
      </c>
      <c r="Q32" s="90">
        <v>0.60416666666666663</v>
      </c>
      <c r="R32" s="93">
        <f t="shared" si="11"/>
        <v>397</v>
      </c>
      <c r="S32" s="89">
        <v>214</v>
      </c>
      <c r="T32" s="89">
        <v>183</v>
      </c>
      <c r="U32" s="91">
        <f t="shared" si="7"/>
        <v>45795</v>
      </c>
      <c r="V32" s="92">
        <v>28</v>
      </c>
      <c r="W32" s="90">
        <v>0.16666666666666666</v>
      </c>
      <c r="X32" s="89">
        <v>472</v>
      </c>
    </row>
    <row r="33" spans="2:24" ht="15.75" thickBot="1" x14ac:dyDescent="0.3">
      <c r="B33" s="91">
        <f t="shared" si="8"/>
        <v>45796</v>
      </c>
      <c r="D33" s="92">
        <v>128</v>
      </c>
      <c r="E33" s="90">
        <v>0.66180555555555554</v>
      </c>
      <c r="F33" s="89">
        <v>1359</v>
      </c>
      <c r="G33" s="94">
        <f t="shared" si="10"/>
        <v>812</v>
      </c>
      <c r="H33" s="89">
        <v>547</v>
      </c>
      <c r="I33" s="91">
        <f t="shared" si="4"/>
        <v>45796</v>
      </c>
      <c r="J33" s="92">
        <v>31</v>
      </c>
      <c r="K33" s="90">
        <v>0.82291666666666663</v>
      </c>
      <c r="L33" s="89">
        <v>574</v>
      </c>
      <c r="M33" s="91">
        <f t="shared" si="5"/>
        <v>45796</v>
      </c>
      <c r="N33" s="92">
        <v>19</v>
      </c>
      <c r="O33" s="90">
        <v>0.8125</v>
      </c>
      <c r="P33" s="92">
        <v>14</v>
      </c>
      <c r="Q33" s="90">
        <v>0.78819444444444442</v>
      </c>
      <c r="R33" s="93">
        <f t="shared" si="11"/>
        <v>438</v>
      </c>
      <c r="S33" s="89">
        <v>227</v>
      </c>
      <c r="T33" s="89">
        <v>211</v>
      </c>
      <c r="U33" s="91">
        <f t="shared" si="7"/>
        <v>45796</v>
      </c>
      <c r="V33" s="92">
        <v>30</v>
      </c>
      <c r="W33" s="90">
        <v>0.2673611111111111</v>
      </c>
      <c r="X33" s="89">
        <v>492</v>
      </c>
    </row>
    <row r="34" spans="2:24" ht="15.75" thickBot="1" x14ac:dyDescent="0.3">
      <c r="B34" s="91">
        <f t="shared" si="8"/>
        <v>45797</v>
      </c>
      <c r="D34" s="92">
        <v>135</v>
      </c>
      <c r="E34" s="90">
        <v>0.53263888888888888</v>
      </c>
      <c r="F34" s="89">
        <v>1362</v>
      </c>
      <c r="G34" s="94">
        <f t="shared" si="10"/>
        <v>828</v>
      </c>
      <c r="H34" s="89">
        <v>534</v>
      </c>
      <c r="I34" s="91">
        <f t="shared" si="4"/>
        <v>45797</v>
      </c>
      <c r="J34" s="92">
        <v>40</v>
      </c>
      <c r="K34" s="90">
        <v>0.70694444444444449</v>
      </c>
      <c r="L34" s="89">
        <v>584</v>
      </c>
      <c r="M34" s="91">
        <f t="shared" si="5"/>
        <v>45797</v>
      </c>
      <c r="N34" s="92">
        <v>21</v>
      </c>
      <c r="O34" s="90">
        <v>0.3347222222222222</v>
      </c>
      <c r="P34" s="92">
        <v>16</v>
      </c>
      <c r="Q34" s="90">
        <v>0.57916666666666672</v>
      </c>
      <c r="R34" s="93">
        <f t="shared" si="11"/>
        <v>438</v>
      </c>
      <c r="S34" s="89">
        <v>224</v>
      </c>
      <c r="T34" s="89">
        <v>214</v>
      </c>
      <c r="U34" s="91">
        <f t="shared" si="7"/>
        <v>45797</v>
      </c>
      <c r="V34" s="92">
        <v>29</v>
      </c>
      <c r="W34" s="90">
        <v>0.76041666666666663</v>
      </c>
      <c r="X34" s="89">
        <v>484</v>
      </c>
    </row>
    <row r="35" spans="2:24" ht="15.75" thickBot="1" x14ac:dyDescent="0.3">
      <c r="B35" s="91">
        <f t="shared" si="8"/>
        <v>45798</v>
      </c>
      <c r="D35" s="92">
        <v>94</v>
      </c>
      <c r="E35" s="90">
        <v>0.45833333333333331</v>
      </c>
      <c r="F35" s="89">
        <v>1276</v>
      </c>
      <c r="G35" s="94">
        <f t="shared" si="10"/>
        <v>738</v>
      </c>
      <c r="H35" s="89">
        <v>538</v>
      </c>
      <c r="I35" s="91">
        <f t="shared" si="4"/>
        <v>45798</v>
      </c>
      <c r="J35" s="92">
        <v>30</v>
      </c>
      <c r="K35" s="90">
        <v>0.89583333333333337</v>
      </c>
      <c r="L35" s="89">
        <v>562</v>
      </c>
      <c r="M35" s="91">
        <f t="shared" si="5"/>
        <v>45798</v>
      </c>
      <c r="N35" s="92">
        <v>16</v>
      </c>
      <c r="O35" s="90">
        <v>0.72916666666666663</v>
      </c>
      <c r="P35" s="92">
        <v>10</v>
      </c>
      <c r="Q35" s="90">
        <v>0.75</v>
      </c>
      <c r="R35" s="93">
        <f t="shared" si="11"/>
        <v>407</v>
      </c>
      <c r="S35" s="89">
        <v>222</v>
      </c>
      <c r="T35" s="89">
        <v>185</v>
      </c>
      <c r="U35" s="91">
        <f t="shared" si="7"/>
        <v>45798</v>
      </c>
      <c r="V35" s="92">
        <v>27</v>
      </c>
      <c r="W35" s="90">
        <v>0.95833333333333337</v>
      </c>
      <c r="X35" s="89">
        <v>504</v>
      </c>
    </row>
    <row r="36" spans="2:24" ht="15.75" thickBot="1" x14ac:dyDescent="0.3">
      <c r="B36" s="91">
        <f t="shared" si="8"/>
        <v>45799</v>
      </c>
      <c r="D36" s="92">
        <v>107</v>
      </c>
      <c r="E36" s="90">
        <v>0.51041666666666663</v>
      </c>
      <c r="F36" s="89">
        <v>1419</v>
      </c>
      <c r="G36" s="94">
        <f t="shared" si="10"/>
        <v>895</v>
      </c>
      <c r="H36" s="89">
        <v>524</v>
      </c>
      <c r="I36" s="91">
        <f t="shared" si="4"/>
        <v>45799</v>
      </c>
      <c r="J36" s="92">
        <v>28</v>
      </c>
      <c r="K36" s="90">
        <v>0.5625</v>
      </c>
      <c r="L36" s="89">
        <v>585</v>
      </c>
      <c r="M36" s="91">
        <f t="shared" si="5"/>
        <v>45799</v>
      </c>
      <c r="N36" s="92">
        <v>18.5</v>
      </c>
      <c r="O36" s="90">
        <v>0.76041666666666663</v>
      </c>
      <c r="P36" s="92">
        <v>13</v>
      </c>
      <c r="Q36" s="90">
        <v>0.44791666666666669</v>
      </c>
      <c r="R36" s="93">
        <f t="shared" si="11"/>
        <v>447</v>
      </c>
      <c r="S36" s="89">
        <v>232</v>
      </c>
      <c r="T36" s="89">
        <v>215</v>
      </c>
      <c r="U36" s="91">
        <f t="shared" si="7"/>
        <v>45799</v>
      </c>
      <c r="V36" s="92">
        <v>27.9</v>
      </c>
      <c r="W36" s="90">
        <v>0.625</v>
      </c>
      <c r="X36" s="89">
        <v>517</v>
      </c>
    </row>
    <row r="37" spans="2:24" ht="15.75" thickBot="1" x14ac:dyDescent="0.3">
      <c r="B37" s="91">
        <f t="shared" si="8"/>
        <v>45800</v>
      </c>
      <c r="D37" s="92">
        <v>79</v>
      </c>
      <c r="E37" s="90">
        <v>0.40625</v>
      </c>
      <c r="F37" s="89">
        <v>1166</v>
      </c>
      <c r="G37" s="94">
        <f t="shared" si="10"/>
        <v>640</v>
      </c>
      <c r="H37" s="89">
        <v>526</v>
      </c>
      <c r="I37" s="91">
        <f t="shared" si="4"/>
        <v>45800</v>
      </c>
      <c r="J37" s="92">
        <v>29</v>
      </c>
      <c r="K37" s="90">
        <v>0.86458333333333337</v>
      </c>
      <c r="L37" s="89">
        <v>574</v>
      </c>
      <c r="M37" s="91">
        <f t="shared" si="5"/>
        <v>45800</v>
      </c>
      <c r="N37" s="92">
        <v>18</v>
      </c>
      <c r="O37" s="90">
        <v>0.84375</v>
      </c>
      <c r="P37" s="92">
        <v>16</v>
      </c>
      <c r="Q37" s="90">
        <v>0.47916666666666669</v>
      </c>
      <c r="R37" s="93">
        <f t="shared" si="11"/>
        <v>439</v>
      </c>
      <c r="S37" s="89">
        <v>227</v>
      </c>
      <c r="T37" s="89">
        <v>212</v>
      </c>
      <c r="U37" s="91">
        <f t="shared" si="7"/>
        <v>45800</v>
      </c>
      <c r="V37" s="92">
        <v>29</v>
      </c>
      <c r="W37" s="90">
        <v>0.72916666666666663</v>
      </c>
      <c r="X37" s="89">
        <v>538</v>
      </c>
    </row>
    <row r="38" spans="2:24" ht="15.75" thickBot="1" x14ac:dyDescent="0.3">
      <c r="B38" s="91">
        <f t="shared" si="8"/>
        <v>45801</v>
      </c>
      <c r="D38" s="92">
        <v>69</v>
      </c>
      <c r="E38" s="90">
        <v>0.23958333333333334</v>
      </c>
      <c r="F38" s="89">
        <v>1011</v>
      </c>
      <c r="G38" s="94">
        <f t="shared" si="10"/>
        <v>504</v>
      </c>
      <c r="H38" s="89">
        <v>507</v>
      </c>
      <c r="I38" s="91">
        <f t="shared" si="4"/>
        <v>45801</v>
      </c>
      <c r="J38" s="92">
        <v>29</v>
      </c>
      <c r="K38" s="90">
        <v>0.8125</v>
      </c>
      <c r="L38" s="89">
        <v>570</v>
      </c>
      <c r="M38" s="91">
        <f t="shared" si="5"/>
        <v>45801</v>
      </c>
      <c r="N38" s="92">
        <v>15</v>
      </c>
      <c r="O38" s="90">
        <v>0.41666666666666669</v>
      </c>
      <c r="P38" s="92">
        <v>11</v>
      </c>
      <c r="Q38" s="90">
        <v>0.32291666666666669</v>
      </c>
      <c r="R38" s="93">
        <f t="shared" si="11"/>
        <v>417</v>
      </c>
      <c r="S38" s="89">
        <v>220</v>
      </c>
      <c r="T38" s="89">
        <v>197</v>
      </c>
      <c r="U38" s="91">
        <f t="shared" si="7"/>
        <v>45801</v>
      </c>
      <c r="V38" s="92">
        <v>28</v>
      </c>
      <c r="W38" s="90">
        <v>0.5</v>
      </c>
      <c r="X38" s="89">
        <v>527</v>
      </c>
    </row>
    <row r="39" spans="2:24" ht="15.75" thickBot="1" x14ac:dyDescent="0.3">
      <c r="B39" s="91">
        <f t="shared" si="8"/>
        <v>45802</v>
      </c>
      <c r="D39" s="92">
        <v>102</v>
      </c>
      <c r="E39" s="90">
        <v>0.9819444444444444</v>
      </c>
      <c r="F39" s="89">
        <v>932</v>
      </c>
      <c r="G39" s="94">
        <f t="shared" si="10"/>
        <v>461</v>
      </c>
      <c r="H39" s="89">
        <v>471</v>
      </c>
      <c r="I39" s="91">
        <f t="shared" si="4"/>
        <v>45802</v>
      </c>
      <c r="J39" s="92">
        <v>30</v>
      </c>
      <c r="K39" s="90">
        <v>0.93333333333333335</v>
      </c>
      <c r="L39" s="89">
        <v>570</v>
      </c>
      <c r="M39" s="91">
        <f t="shared" si="5"/>
        <v>45802</v>
      </c>
      <c r="N39" s="92">
        <v>18</v>
      </c>
      <c r="O39" s="90">
        <v>0.45069444444444445</v>
      </c>
      <c r="P39" s="92">
        <v>10</v>
      </c>
      <c r="Q39" s="90">
        <v>0.79652777777777772</v>
      </c>
      <c r="R39" s="93">
        <f t="shared" si="11"/>
        <v>403</v>
      </c>
      <c r="S39" s="89">
        <v>213</v>
      </c>
      <c r="T39" s="89">
        <v>190</v>
      </c>
      <c r="U39" s="91">
        <f t="shared" si="7"/>
        <v>45802</v>
      </c>
      <c r="V39" s="92">
        <v>30</v>
      </c>
      <c r="W39" s="90">
        <v>0.75</v>
      </c>
      <c r="X39" s="89">
        <v>533</v>
      </c>
    </row>
    <row r="40" spans="2:24" ht="15.75" thickBot="1" x14ac:dyDescent="0.3">
      <c r="B40" s="91">
        <f t="shared" si="8"/>
        <v>45803</v>
      </c>
      <c r="D40" s="195">
        <v>108</v>
      </c>
      <c r="E40" s="196">
        <v>0.59375</v>
      </c>
      <c r="F40" s="197">
        <v>1446</v>
      </c>
      <c r="G40" s="198">
        <f t="shared" si="10"/>
        <v>940</v>
      </c>
      <c r="H40" s="197">
        <v>506</v>
      </c>
      <c r="I40" s="199">
        <f t="shared" si="4"/>
        <v>45803</v>
      </c>
      <c r="J40" s="195">
        <v>323</v>
      </c>
      <c r="K40" s="196">
        <v>9.375E-2</v>
      </c>
      <c r="L40" s="197">
        <v>612</v>
      </c>
      <c r="M40" s="199">
        <f t="shared" si="5"/>
        <v>45803</v>
      </c>
      <c r="N40" s="195">
        <v>21</v>
      </c>
      <c r="O40" s="196">
        <v>0.41666666666666669</v>
      </c>
      <c r="P40" s="195">
        <v>14</v>
      </c>
      <c r="Q40" s="196">
        <v>0.42708333333333331</v>
      </c>
      <c r="R40" s="93">
        <f t="shared" si="11"/>
        <v>448</v>
      </c>
      <c r="S40" s="197">
        <v>228</v>
      </c>
      <c r="T40" s="197">
        <v>220</v>
      </c>
      <c r="U40" s="199">
        <f t="shared" si="7"/>
        <v>45803</v>
      </c>
      <c r="V40" s="195">
        <v>28</v>
      </c>
      <c r="W40" s="196">
        <v>0.51041666666666663</v>
      </c>
      <c r="X40" s="197">
        <v>537</v>
      </c>
    </row>
    <row r="41" spans="2:24" ht="15.75" thickBot="1" x14ac:dyDescent="0.3">
      <c r="B41" s="91">
        <f t="shared" si="8"/>
        <v>45804</v>
      </c>
      <c r="D41" s="92">
        <v>104.03</v>
      </c>
      <c r="E41" s="90">
        <v>0.17708333333333334</v>
      </c>
      <c r="F41" s="89">
        <v>1412.37</v>
      </c>
      <c r="G41" s="94">
        <f t="shared" si="10"/>
        <v>901.04</v>
      </c>
      <c r="H41" s="89">
        <v>511.33</v>
      </c>
      <c r="I41" s="91">
        <f t="shared" si="4"/>
        <v>45804</v>
      </c>
      <c r="J41" s="92">
        <v>32.86</v>
      </c>
      <c r="K41" s="90">
        <v>0.40625</v>
      </c>
      <c r="L41" s="89">
        <v>592.76</v>
      </c>
      <c r="M41" s="91">
        <v>45804</v>
      </c>
      <c r="N41" s="92">
        <v>17.61</v>
      </c>
      <c r="O41" s="90">
        <v>0.72916666666666663</v>
      </c>
      <c r="P41" s="92">
        <v>14.09</v>
      </c>
      <c r="Q41" s="90">
        <v>0.44791666666666669</v>
      </c>
      <c r="R41" s="93">
        <f t="shared" si="11"/>
        <v>449.40999999999997</v>
      </c>
      <c r="S41" s="89">
        <v>228.18</v>
      </c>
      <c r="T41" s="89">
        <v>221.23</v>
      </c>
      <c r="U41" s="91">
        <f t="shared" si="7"/>
        <v>45804</v>
      </c>
      <c r="V41" s="92">
        <v>27.03</v>
      </c>
      <c r="W41" s="90">
        <v>0.3125</v>
      </c>
      <c r="X41" s="89">
        <v>483.34</v>
      </c>
    </row>
    <row r="42" spans="2:24" ht="15.75" thickBot="1" x14ac:dyDescent="0.3">
      <c r="B42" s="91">
        <f t="shared" si="8"/>
        <v>45805</v>
      </c>
      <c r="D42" s="92">
        <v>121</v>
      </c>
      <c r="E42" s="90">
        <v>0.4375</v>
      </c>
      <c r="F42" s="89">
        <v>1506</v>
      </c>
      <c r="G42" s="94">
        <f t="shared" si="10"/>
        <v>977</v>
      </c>
      <c r="H42" s="89">
        <v>529</v>
      </c>
      <c r="I42" s="91">
        <f t="shared" si="4"/>
        <v>45805</v>
      </c>
      <c r="J42" s="92">
        <v>32</v>
      </c>
      <c r="K42" s="90">
        <v>0.28125</v>
      </c>
      <c r="L42" s="89">
        <v>605</v>
      </c>
      <c r="M42" s="91">
        <v>45805</v>
      </c>
      <c r="N42" s="92">
        <v>17</v>
      </c>
      <c r="O42" s="90">
        <v>0.63541666666666663</v>
      </c>
      <c r="P42" s="92">
        <v>23</v>
      </c>
      <c r="Q42" s="90">
        <v>9.375E-2</v>
      </c>
      <c r="R42" s="93">
        <f t="shared" si="11"/>
        <v>455</v>
      </c>
      <c r="S42" s="89">
        <v>197</v>
      </c>
      <c r="T42" s="89">
        <v>258</v>
      </c>
      <c r="U42" s="91">
        <f t="shared" si="7"/>
        <v>45805</v>
      </c>
      <c r="V42" s="92">
        <v>28</v>
      </c>
      <c r="W42" s="90">
        <v>0.32291666666666669</v>
      </c>
      <c r="X42" s="89">
        <v>492</v>
      </c>
    </row>
    <row r="43" spans="2:24" ht="15.75" thickBot="1" x14ac:dyDescent="0.3">
      <c r="B43" s="91">
        <f t="shared" si="8"/>
        <v>45806</v>
      </c>
      <c r="D43" s="92">
        <v>122</v>
      </c>
      <c r="E43" s="90">
        <v>0.55208333333333337</v>
      </c>
      <c r="F43" s="89">
        <v>1499</v>
      </c>
      <c r="G43" s="94">
        <f t="shared" si="10"/>
        <v>986</v>
      </c>
      <c r="H43" s="89">
        <v>513</v>
      </c>
      <c r="I43" s="91">
        <f t="shared" si="4"/>
        <v>45806</v>
      </c>
      <c r="J43" s="92">
        <v>31</v>
      </c>
      <c r="K43" s="90">
        <v>0.27083333333333331</v>
      </c>
      <c r="L43" s="89">
        <v>614</v>
      </c>
      <c r="M43" s="91">
        <v>45652</v>
      </c>
      <c r="N43" s="92">
        <v>15</v>
      </c>
      <c r="O43" s="90">
        <v>0.5625</v>
      </c>
      <c r="P43" s="92">
        <v>13</v>
      </c>
      <c r="Q43" s="90">
        <v>0.35416666666666669</v>
      </c>
      <c r="R43" s="93">
        <f t="shared" si="11"/>
        <v>441</v>
      </c>
      <c r="S43" s="89">
        <v>227</v>
      </c>
      <c r="T43" s="89">
        <v>214</v>
      </c>
      <c r="U43" s="91">
        <f t="shared" si="7"/>
        <v>45806</v>
      </c>
      <c r="V43" s="92">
        <v>29</v>
      </c>
      <c r="W43" s="90">
        <v>0.375</v>
      </c>
      <c r="X43" s="89">
        <v>571</v>
      </c>
    </row>
    <row r="44" spans="2:24" ht="15.75" thickBot="1" x14ac:dyDescent="0.3">
      <c r="B44" s="91">
        <f t="shared" si="8"/>
        <v>45807</v>
      </c>
      <c r="D44" s="195">
        <v>135</v>
      </c>
      <c r="E44" s="196">
        <v>0.45694444444444443</v>
      </c>
      <c r="F44" s="197">
        <v>1413</v>
      </c>
      <c r="G44" s="198">
        <f t="shared" si="10"/>
        <v>887</v>
      </c>
      <c r="H44" s="197">
        <v>526</v>
      </c>
      <c r="I44" s="91">
        <f t="shared" si="4"/>
        <v>45807</v>
      </c>
      <c r="J44" s="195">
        <v>32</v>
      </c>
      <c r="K44" s="196">
        <v>0.29444444444444445</v>
      </c>
      <c r="L44" s="197">
        <v>611</v>
      </c>
      <c r="M44" s="91">
        <v>45653</v>
      </c>
      <c r="N44" s="195">
        <v>21</v>
      </c>
      <c r="O44" s="196">
        <v>0.2986111111111111</v>
      </c>
      <c r="P44" s="195">
        <v>16</v>
      </c>
      <c r="Q44" s="196">
        <v>0.48958333333333331</v>
      </c>
      <c r="R44" s="93">
        <f t="shared" si="11"/>
        <v>445</v>
      </c>
      <c r="S44" s="197">
        <v>232</v>
      </c>
      <c r="T44" s="197">
        <v>213</v>
      </c>
      <c r="U44" s="91">
        <f t="shared" si="7"/>
        <v>45807</v>
      </c>
      <c r="V44" s="195">
        <v>31</v>
      </c>
      <c r="W44" s="196">
        <v>0.57291666666666663</v>
      </c>
      <c r="X44" s="197">
        <v>565</v>
      </c>
    </row>
    <row r="45" spans="2:24" ht="15.75" thickBot="1" x14ac:dyDescent="0.3">
      <c r="B45" s="91">
        <f t="shared" si="8"/>
        <v>45808</v>
      </c>
      <c r="D45" s="92">
        <v>75</v>
      </c>
      <c r="E45" s="90">
        <v>0.11458333333333333</v>
      </c>
      <c r="F45" s="89">
        <v>933</v>
      </c>
      <c r="G45" s="94">
        <f t="shared" ref="G45" si="12">F45-H45</f>
        <v>451</v>
      </c>
      <c r="H45" s="89">
        <v>482</v>
      </c>
      <c r="I45" s="91">
        <f t="shared" si="4"/>
        <v>45808</v>
      </c>
      <c r="J45" s="92">
        <v>30</v>
      </c>
      <c r="K45" s="90">
        <v>0.15625</v>
      </c>
      <c r="L45" s="89">
        <v>593</v>
      </c>
      <c r="M45" s="91">
        <v>45654</v>
      </c>
      <c r="N45" s="92">
        <v>18</v>
      </c>
      <c r="O45" s="90">
        <v>0.52083333333333337</v>
      </c>
      <c r="P45" s="92">
        <v>12</v>
      </c>
      <c r="Q45" s="90">
        <v>0.4375</v>
      </c>
      <c r="R45" s="93">
        <f t="shared" ref="R45" si="13">S45+T45</f>
        <v>405</v>
      </c>
      <c r="S45" s="89">
        <v>224</v>
      </c>
      <c r="T45" s="89">
        <v>181</v>
      </c>
      <c r="U45" s="91">
        <f t="shared" si="7"/>
        <v>45808</v>
      </c>
      <c r="V45" s="92">
        <v>27</v>
      </c>
      <c r="W45" s="90">
        <v>0.1875</v>
      </c>
      <c r="X45" s="89">
        <v>478</v>
      </c>
    </row>
    <row r="46" spans="2:24" s="53" customFormat="1" x14ac:dyDescent="0.25">
      <c r="B46" s="91">
        <f t="shared" si="8"/>
        <v>45809</v>
      </c>
      <c r="C46" s="13"/>
      <c r="D46" s="92"/>
      <c r="E46" s="90"/>
      <c r="F46" s="89"/>
      <c r="G46" s="94">
        <f t="shared" ref="G46" si="14">F46-H46</f>
        <v>0</v>
      </c>
      <c r="H46" s="89"/>
      <c r="I46" s="91">
        <f t="shared" si="4"/>
        <v>45809</v>
      </c>
      <c r="J46" s="92"/>
      <c r="K46" s="90"/>
      <c r="L46" s="89"/>
      <c r="M46" s="91">
        <v>45655</v>
      </c>
      <c r="N46" s="92"/>
      <c r="O46" s="90"/>
      <c r="P46" s="92"/>
      <c r="Q46" s="90"/>
      <c r="R46" s="93">
        <f t="shared" ref="R46" si="15">S46+T46</f>
        <v>0</v>
      </c>
      <c r="S46" s="89"/>
      <c r="T46" s="89"/>
      <c r="U46" s="91">
        <f t="shared" si="7"/>
        <v>45809</v>
      </c>
      <c r="V46" s="92"/>
      <c r="W46" s="90"/>
      <c r="X46" s="89"/>
    </row>
    <row r="49" spans="4:10" x14ac:dyDescent="0.25">
      <c r="E49" s="202" t="s">
        <v>62</v>
      </c>
      <c r="F49" s="202" t="s">
        <v>63</v>
      </c>
      <c r="G49" s="202" t="s">
        <v>64</v>
      </c>
      <c r="H49" s="202" t="s">
        <v>65</v>
      </c>
      <c r="I49" s="202" t="s">
        <v>66</v>
      </c>
      <c r="J49" s="202" t="s">
        <v>67</v>
      </c>
    </row>
    <row r="50" spans="4:10" x14ac:dyDescent="0.25">
      <c r="D50" s="205">
        <v>45658</v>
      </c>
      <c r="E50" s="203">
        <f>F14/J50</f>
        <v>0.47016460905349794</v>
      </c>
      <c r="F50" s="203">
        <f>L14/J50</f>
        <v>0.19650205761316872</v>
      </c>
      <c r="G50" s="203">
        <f>S14/J50</f>
        <v>7.407407407407407E-2</v>
      </c>
      <c r="H50" s="203">
        <f>T14/J50</f>
        <v>7.3731138545953367E-2</v>
      </c>
      <c r="I50" s="203">
        <f>X14/J50</f>
        <v>0.18552812071330591</v>
      </c>
      <c r="J50" s="204">
        <f>F14+L14+S14+T14+X14</f>
        <v>2916</v>
      </c>
    </row>
    <row r="51" spans="4:10" x14ac:dyDescent="0.25">
      <c r="D51" s="205">
        <v>45659</v>
      </c>
      <c r="E51" s="203">
        <f t="shared" ref="E51:E80" si="16">F15/J51</f>
        <v>0.43136456211812629</v>
      </c>
      <c r="F51" s="203">
        <f t="shared" ref="F51:F80" si="17">L15/J51</f>
        <v>0.21751527494908351</v>
      </c>
      <c r="G51" s="203">
        <f t="shared" ref="G51:G80" si="18">S15/J51</f>
        <v>8.6761710794297356E-2</v>
      </c>
      <c r="H51" s="203">
        <f t="shared" ref="H51:H80" si="19">T15/J51</f>
        <v>6.8839103869653764E-2</v>
      </c>
      <c r="I51" s="203">
        <f t="shared" ref="I51:I80" si="20">X15/J51</f>
        <v>0.1955193482688391</v>
      </c>
      <c r="J51" s="204">
        <f t="shared" ref="J51:J80" si="21">F15+L15+S15+T15+X15</f>
        <v>2455</v>
      </c>
    </row>
    <row r="52" spans="4:10" x14ac:dyDescent="0.25">
      <c r="D52" s="205">
        <v>45660</v>
      </c>
      <c r="E52" s="203">
        <f t="shared" si="16"/>
        <v>0.43417675100843417</v>
      </c>
      <c r="F52" s="203">
        <f t="shared" si="17"/>
        <v>0.20572057205720573</v>
      </c>
      <c r="G52" s="203">
        <f t="shared" si="18"/>
        <v>8.0308030803080313E-2</v>
      </c>
      <c r="H52" s="203">
        <f t="shared" si="19"/>
        <v>7.8841217455078841E-2</v>
      </c>
      <c r="I52" s="203">
        <f t="shared" si="20"/>
        <v>0.20095342867620095</v>
      </c>
      <c r="J52" s="204">
        <f t="shared" si="21"/>
        <v>2727</v>
      </c>
    </row>
    <row r="53" spans="4:10" x14ac:dyDescent="0.25">
      <c r="D53" s="205">
        <v>45661</v>
      </c>
      <c r="E53" s="203">
        <f t="shared" si="16"/>
        <v>0.39224489795918366</v>
      </c>
      <c r="F53" s="203">
        <f t="shared" si="17"/>
        <v>0.22204081632653061</v>
      </c>
      <c r="G53" s="203">
        <f t="shared" si="18"/>
        <v>2.2448979591836733E-2</v>
      </c>
      <c r="H53" s="203">
        <f t="shared" si="19"/>
        <v>0.16857142857142857</v>
      </c>
      <c r="I53" s="203">
        <f t="shared" si="20"/>
        <v>0.19469387755102041</v>
      </c>
      <c r="J53" s="204">
        <f t="shared" si="21"/>
        <v>2450</v>
      </c>
    </row>
    <row r="54" spans="4:10" x14ac:dyDescent="0.25">
      <c r="D54" s="205">
        <v>45662</v>
      </c>
      <c r="E54" s="203">
        <f t="shared" si="16"/>
        <v>0.3682842287694974</v>
      </c>
      <c r="F54" s="203">
        <f t="shared" si="17"/>
        <v>0.23613518197573657</v>
      </c>
      <c r="G54" s="203">
        <f t="shared" si="18"/>
        <v>1.8197573656845753E-2</v>
      </c>
      <c r="H54" s="203">
        <f t="shared" si="19"/>
        <v>0.17634315424610053</v>
      </c>
      <c r="I54" s="203">
        <f t="shared" si="20"/>
        <v>0.20103986135181975</v>
      </c>
      <c r="J54" s="204">
        <f t="shared" si="21"/>
        <v>2308</v>
      </c>
    </row>
    <row r="55" spans="4:10" x14ac:dyDescent="0.25">
      <c r="D55" s="205">
        <v>45663</v>
      </c>
      <c r="E55" s="203">
        <f t="shared" si="16"/>
        <v>0.46277322404371585</v>
      </c>
      <c r="F55" s="203">
        <f t="shared" si="17"/>
        <v>0.1950136612021858</v>
      </c>
      <c r="G55" s="203">
        <f t="shared" si="18"/>
        <v>5.1571038251366122E-2</v>
      </c>
      <c r="H55" s="203">
        <f t="shared" si="19"/>
        <v>0.10724043715846994</v>
      </c>
      <c r="I55" s="203">
        <f t="shared" si="20"/>
        <v>0.18340163934426229</v>
      </c>
      <c r="J55" s="204">
        <f t="shared" si="21"/>
        <v>2928</v>
      </c>
    </row>
    <row r="56" spans="4:10" x14ac:dyDescent="0.25">
      <c r="D56" s="205">
        <v>45664</v>
      </c>
      <c r="E56" s="203">
        <f t="shared" si="16"/>
        <v>0.47174280879864638</v>
      </c>
      <c r="F56" s="203">
        <f t="shared" si="17"/>
        <v>0.19458544839255498</v>
      </c>
      <c r="G56" s="203">
        <f t="shared" si="18"/>
        <v>7.5465313028764802E-2</v>
      </c>
      <c r="H56" s="203">
        <f t="shared" si="19"/>
        <v>7.4450084602368863E-2</v>
      </c>
      <c r="I56" s="203">
        <f t="shared" si="20"/>
        <v>0.18375634517766498</v>
      </c>
      <c r="J56" s="204">
        <f t="shared" si="21"/>
        <v>2955</v>
      </c>
    </row>
    <row r="57" spans="4:10" x14ac:dyDescent="0.25">
      <c r="D57" s="205">
        <v>45665</v>
      </c>
      <c r="E57" s="203">
        <f t="shared" si="16"/>
        <v>0.46820027063599456</v>
      </c>
      <c r="F57" s="203">
        <f t="shared" si="17"/>
        <v>0.19451962110960758</v>
      </c>
      <c r="G57" s="203">
        <f t="shared" si="18"/>
        <v>8.0514208389715833E-2</v>
      </c>
      <c r="H57" s="203">
        <f t="shared" si="19"/>
        <v>7.307171853856563E-2</v>
      </c>
      <c r="I57" s="203">
        <f t="shared" si="20"/>
        <v>0.18369418132611637</v>
      </c>
      <c r="J57" s="204">
        <f t="shared" si="21"/>
        <v>2956</v>
      </c>
    </row>
    <row r="58" spans="4:10" x14ac:dyDescent="0.25">
      <c r="D58" s="205">
        <v>45666</v>
      </c>
      <c r="E58" s="203">
        <f t="shared" si="16"/>
        <v>0.47216564833672775</v>
      </c>
      <c r="F58" s="203">
        <f t="shared" si="17"/>
        <v>0.1955193482688391</v>
      </c>
      <c r="G58" s="203">
        <f t="shared" si="18"/>
        <v>6.6191446028513234E-2</v>
      </c>
      <c r="H58" s="203">
        <f t="shared" si="19"/>
        <v>8.1126951799049565E-2</v>
      </c>
      <c r="I58" s="203">
        <f t="shared" si="20"/>
        <v>0.18499660556687034</v>
      </c>
      <c r="J58" s="204">
        <f t="shared" si="21"/>
        <v>2946</v>
      </c>
    </row>
    <row r="59" spans="4:10" x14ac:dyDescent="0.25">
      <c r="D59" s="205">
        <v>45667</v>
      </c>
      <c r="E59" s="203">
        <f t="shared" si="16"/>
        <v>0.47625698324022347</v>
      </c>
      <c r="F59" s="203">
        <f t="shared" si="17"/>
        <v>0.20251396648044692</v>
      </c>
      <c r="G59" s="203">
        <f t="shared" si="18"/>
        <v>7.6466480446927373E-2</v>
      </c>
      <c r="H59" s="203">
        <f t="shared" si="19"/>
        <v>7.7164804469273748E-2</v>
      </c>
      <c r="I59" s="203">
        <f t="shared" si="20"/>
        <v>0.16759776536312848</v>
      </c>
      <c r="J59" s="204">
        <f t="shared" si="21"/>
        <v>2864</v>
      </c>
    </row>
    <row r="60" spans="4:10" x14ac:dyDescent="0.25">
      <c r="D60" s="205">
        <v>45668</v>
      </c>
      <c r="E60" s="203">
        <f t="shared" si="16"/>
        <v>0.38951781970649896</v>
      </c>
      <c r="F60" s="203">
        <f t="shared" si="17"/>
        <v>0.23563941299790356</v>
      </c>
      <c r="G60" s="203">
        <f t="shared" si="18"/>
        <v>8.9727463312368971E-2</v>
      </c>
      <c r="H60" s="203">
        <f t="shared" si="19"/>
        <v>8.0503144654088046E-2</v>
      </c>
      <c r="I60" s="203">
        <f t="shared" si="20"/>
        <v>0.20461215932914045</v>
      </c>
      <c r="J60" s="204">
        <f t="shared" si="21"/>
        <v>2385</v>
      </c>
    </row>
    <row r="61" spans="4:10" x14ac:dyDescent="0.25">
      <c r="D61" s="205">
        <v>45669</v>
      </c>
      <c r="E61" s="203">
        <f t="shared" si="16"/>
        <v>0.35506455678725873</v>
      </c>
      <c r="F61" s="203">
        <f t="shared" si="17"/>
        <v>0.24624662073388526</v>
      </c>
      <c r="G61" s="203">
        <f t="shared" si="18"/>
        <v>9.4018197932579442E-2</v>
      </c>
      <c r="H61" s="203">
        <f t="shared" si="19"/>
        <v>7.4982964490426698E-2</v>
      </c>
      <c r="I61" s="203">
        <f t="shared" si="20"/>
        <v>0.22968766005584973</v>
      </c>
      <c r="J61" s="204">
        <f t="shared" si="21"/>
        <v>2245.3100000000004</v>
      </c>
    </row>
    <row r="62" spans="4:10" x14ac:dyDescent="0.25">
      <c r="D62" s="205">
        <v>45670</v>
      </c>
      <c r="E62" s="203">
        <f t="shared" si="16"/>
        <v>0.45201129146083274</v>
      </c>
      <c r="F62" s="203">
        <f t="shared" si="17"/>
        <v>0.2021877205363444</v>
      </c>
      <c r="G62" s="203">
        <f t="shared" si="18"/>
        <v>7.7981651376146793E-2</v>
      </c>
      <c r="H62" s="203">
        <f t="shared" si="19"/>
        <v>7.5158786167960484E-2</v>
      </c>
      <c r="I62" s="203">
        <f t="shared" si="20"/>
        <v>0.19266055045871561</v>
      </c>
      <c r="J62" s="204">
        <f t="shared" si="21"/>
        <v>2834</v>
      </c>
    </row>
    <row r="63" spans="4:10" x14ac:dyDescent="0.25">
      <c r="D63" s="205">
        <v>45671</v>
      </c>
      <c r="E63" s="203">
        <f t="shared" si="16"/>
        <v>0.46998635743519784</v>
      </c>
      <c r="F63" s="203">
        <f t="shared" si="17"/>
        <v>0.19645293315143247</v>
      </c>
      <c r="G63" s="203">
        <f t="shared" si="18"/>
        <v>7.6057298772169171E-2</v>
      </c>
      <c r="H63" s="203">
        <f t="shared" si="19"/>
        <v>7.298772169167804E-2</v>
      </c>
      <c r="I63" s="203">
        <f t="shared" si="20"/>
        <v>0.1845156889495225</v>
      </c>
      <c r="J63" s="204">
        <f t="shared" si="21"/>
        <v>2932</v>
      </c>
    </row>
    <row r="64" spans="4:10" x14ac:dyDescent="0.25">
      <c r="D64" s="205">
        <v>45672</v>
      </c>
      <c r="E64" s="203">
        <f t="shared" si="16"/>
        <v>0.47242455775234132</v>
      </c>
      <c r="F64" s="203">
        <f t="shared" si="17"/>
        <v>0.19632327436697883</v>
      </c>
      <c r="G64" s="203">
        <f t="shared" si="18"/>
        <v>7.7696843565730145E-2</v>
      </c>
      <c r="H64" s="203">
        <f t="shared" si="19"/>
        <v>7.4921956295525491E-2</v>
      </c>
      <c r="I64" s="203">
        <f t="shared" si="20"/>
        <v>0.1786333680194242</v>
      </c>
      <c r="J64" s="204">
        <f t="shared" si="21"/>
        <v>2883</v>
      </c>
    </row>
    <row r="65" spans="4:10" x14ac:dyDescent="0.25">
      <c r="D65" s="205">
        <v>45673</v>
      </c>
      <c r="E65" s="203">
        <f t="shared" si="16"/>
        <v>0.47840642785403414</v>
      </c>
      <c r="F65" s="203">
        <f t="shared" si="17"/>
        <v>0.19149648476732509</v>
      </c>
      <c r="G65" s="203">
        <f t="shared" si="18"/>
        <v>7.3652494141278876E-2</v>
      </c>
      <c r="H65" s="203">
        <f t="shared" si="19"/>
        <v>7.0639437562772009E-2</v>
      </c>
      <c r="I65" s="203">
        <f t="shared" si="20"/>
        <v>0.18580515567458988</v>
      </c>
      <c r="J65" s="204">
        <f t="shared" si="21"/>
        <v>2987</v>
      </c>
    </row>
    <row r="66" spans="4:10" x14ac:dyDescent="0.25">
      <c r="D66" s="205">
        <v>45674</v>
      </c>
      <c r="E66" s="203">
        <f t="shared" si="16"/>
        <v>0.48253227731365955</v>
      </c>
      <c r="F66" s="203">
        <f t="shared" si="17"/>
        <v>0.19090403602039707</v>
      </c>
      <c r="G66" s="203">
        <f t="shared" si="18"/>
        <v>7.4424297493761518E-2</v>
      </c>
      <c r="H66" s="203">
        <f t="shared" si="19"/>
        <v>7.0728680698708912E-2</v>
      </c>
      <c r="I66" s="203">
        <f t="shared" si="20"/>
        <v>0.1814107084734729</v>
      </c>
      <c r="J66" s="204">
        <f t="shared" si="21"/>
        <v>2949.44</v>
      </c>
    </row>
    <row r="67" spans="4:10" x14ac:dyDescent="0.25">
      <c r="D67" s="205">
        <v>45675</v>
      </c>
      <c r="E67" s="203">
        <f t="shared" si="16"/>
        <v>0.39530293899968055</v>
      </c>
      <c r="F67" s="203">
        <f t="shared" si="17"/>
        <v>0.22451983936002851</v>
      </c>
      <c r="G67" s="203">
        <f t="shared" si="18"/>
        <v>8.790306599099737E-2</v>
      </c>
      <c r="H67" s="203">
        <f t="shared" si="19"/>
        <v>7.8123925730301191E-2</v>
      </c>
      <c r="I67" s="203">
        <f t="shared" si="20"/>
        <v>0.21415022991899252</v>
      </c>
      <c r="J67" s="204">
        <f t="shared" si="21"/>
        <v>2472.6099999999997</v>
      </c>
    </row>
    <row r="68" spans="4:10" x14ac:dyDescent="0.25">
      <c r="D68" s="205">
        <v>45676</v>
      </c>
      <c r="E68" s="203">
        <f t="shared" si="16"/>
        <v>0.38181818181818183</v>
      </c>
      <c r="F68" s="203">
        <f t="shared" si="17"/>
        <v>0.24199134199134198</v>
      </c>
      <c r="G68" s="203">
        <f t="shared" si="18"/>
        <v>9.2640692640692635E-2</v>
      </c>
      <c r="H68" s="203">
        <f t="shared" si="19"/>
        <v>7.9220779220779219E-2</v>
      </c>
      <c r="I68" s="203">
        <f t="shared" si="20"/>
        <v>0.20432900432900433</v>
      </c>
      <c r="J68" s="204">
        <f t="shared" si="21"/>
        <v>2310</v>
      </c>
    </row>
    <row r="69" spans="4:10" x14ac:dyDescent="0.25">
      <c r="D69" s="205">
        <v>45677</v>
      </c>
      <c r="E69" s="203">
        <f t="shared" si="16"/>
        <v>0.47467691232972409</v>
      </c>
      <c r="F69" s="203">
        <f t="shared" si="17"/>
        <v>0.20048899755501223</v>
      </c>
      <c r="G69" s="203">
        <f t="shared" si="18"/>
        <v>7.928746070555362E-2</v>
      </c>
      <c r="H69" s="203">
        <f t="shared" si="19"/>
        <v>7.3698917219699622E-2</v>
      </c>
      <c r="I69" s="203">
        <f t="shared" si="20"/>
        <v>0.17184771219001047</v>
      </c>
      <c r="J69" s="204">
        <f t="shared" si="21"/>
        <v>2863</v>
      </c>
    </row>
    <row r="70" spans="4:10" x14ac:dyDescent="0.25">
      <c r="D70" s="205">
        <v>45678</v>
      </c>
      <c r="E70" s="203">
        <f t="shared" si="16"/>
        <v>0.47489539748953974</v>
      </c>
      <c r="F70" s="203">
        <f t="shared" si="17"/>
        <v>0.20362622036262204</v>
      </c>
      <c r="G70" s="203">
        <f t="shared" si="18"/>
        <v>7.8103207810320777E-2</v>
      </c>
      <c r="H70" s="203">
        <f t="shared" si="19"/>
        <v>7.4616457461645747E-2</v>
      </c>
      <c r="I70" s="203">
        <f t="shared" si="20"/>
        <v>0.16875871687587168</v>
      </c>
      <c r="J70" s="204">
        <f t="shared" si="21"/>
        <v>2868</v>
      </c>
    </row>
    <row r="71" spans="4:10" x14ac:dyDescent="0.25">
      <c r="D71" s="205">
        <v>45679</v>
      </c>
      <c r="E71" s="203">
        <f t="shared" si="16"/>
        <v>0.46416878865041833</v>
      </c>
      <c r="F71" s="203">
        <f t="shared" si="17"/>
        <v>0.20443797744634412</v>
      </c>
      <c r="G71" s="203">
        <f t="shared" si="18"/>
        <v>8.0756638777737352E-2</v>
      </c>
      <c r="H71" s="203">
        <f t="shared" si="19"/>
        <v>6.7297198981447801E-2</v>
      </c>
      <c r="I71" s="203">
        <f t="shared" si="20"/>
        <v>0.18333939614405237</v>
      </c>
      <c r="J71" s="204">
        <f t="shared" si="21"/>
        <v>2749</v>
      </c>
    </row>
    <row r="72" spans="4:10" x14ac:dyDescent="0.25">
      <c r="D72" s="205">
        <v>45680</v>
      </c>
      <c r="E72" s="203">
        <f t="shared" si="16"/>
        <v>0.47809973045822102</v>
      </c>
      <c r="F72" s="203">
        <f t="shared" si="17"/>
        <v>0.19710242587601079</v>
      </c>
      <c r="G72" s="203">
        <f t="shared" si="18"/>
        <v>7.8167115902964962E-2</v>
      </c>
      <c r="H72" s="203">
        <f t="shared" si="19"/>
        <v>7.2439353099730458E-2</v>
      </c>
      <c r="I72" s="203">
        <f t="shared" si="20"/>
        <v>0.17419137466307277</v>
      </c>
      <c r="J72" s="204">
        <f t="shared" si="21"/>
        <v>2968</v>
      </c>
    </row>
    <row r="73" spans="4:10" x14ac:dyDescent="0.25">
      <c r="D73" s="205">
        <v>45681</v>
      </c>
      <c r="E73" s="203">
        <f t="shared" si="16"/>
        <v>0.4291497975708502</v>
      </c>
      <c r="F73" s="203">
        <f t="shared" si="17"/>
        <v>0.21126242178873758</v>
      </c>
      <c r="G73" s="203">
        <f t="shared" si="18"/>
        <v>8.3548030916451965E-2</v>
      </c>
      <c r="H73" s="203">
        <f t="shared" si="19"/>
        <v>7.8027235921972762E-2</v>
      </c>
      <c r="I73" s="203">
        <f t="shared" si="20"/>
        <v>0.19801251380198748</v>
      </c>
      <c r="J73" s="204">
        <f t="shared" si="21"/>
        <v>2717</v>
      </c>
    </row>
    <row r="74" spans="4:10" x14ac:dyDescent="0.25">
      <c r="D74" s="205">
        <v>45682</v>
      </c>
      <c r="E74" s="203">
        <f t="shared" si="16"/>
        <v>0.40039603960396042</v>
      </c>
      <c r="F74" s="203">
        <f t="shared" si="17"/>
        <v>0.22574257425742575</v>
      </c>
      <c r="G74" s="203">
        <f t="shared" si="18"/>
        <v>8.7128712871287123E-2</v>
      </c>
      <c r="H74" s="203">
        <f t="shared" si="19"/>
        <v>7.801980198019802E-2</v>
      </c>
      <c r="I74" s="203">
        <f t="shared" si="20"/>
        <v>0.2087128712871287</v>
      </c>
      <c r="J74" s="204">
        <f t="shared" si="21"/>
        <v>2525</v>
      </c>
    </row>
    <row r="75" spans="4:10" x14ac:dyDescent="0.25">
      <c r="D75" s="205">
        <v>45683</v>
      </c>
      <c r="E75" s="203">
        <f t="shared" si="16"/>
        <v>0.38228055783429038</v>
      </c>
      <c r="F75" s="203">
        <f t="shared" si="17"/>
        <v>0.23379819524200163</v>
      </c>
      <c r="G75" s="203">
        <f t="shared" si="18"/>
        <v>8.7366694011484822E-2</v>
      </c>
      <c r="H75" s="203">
        <f t="shared" si="19"/>
        <v>7.793273174733388E-2</v>
      </c>
      <c r="I75" s="203">
        <f t="shared" si="20"/>
        <v>0.21862182116488926</v>
      </c>
      <c r="J75" s="204">
        <f t="shared" si="21"/>
        <v>2438</v>
      </c>
    </row>
    <row r="76" spans="4:10" x14ac:dyDescent="0.25">
      <c r="D76" s="205">
        <v>45684</v>
      </c>
      <c r="E76" s="203">
        <f t="shared" si="16"/>
        <v>0.47518895826487018</v>
      </c>
      <c r="F76" s="203">
        <f t="shared" si="17"/>
        <v>0.2011173184357542</v>
      </c>
      <c r="G76" s="203">
        <f t="shared" si="18"/>
        <v>7.4926059809398621E-2</v>
      </c>
      <c r="H76" s="203">
        <f t="shared" si="19"/>
        <v>7.2297075254682874E-2</v>
      </c>
      <c r="I76" s="203">
        <f t="shared" si="20"/>
        <v>0.17647058823529413</v>
      </c>
      <c r="J76" s="204">
        <f t="shared" si="21"/>
        <v>3043</v>
      </c>
    </row>
    <row r="77" spans="4:10" x14ac:dyDescent="0.25">
      <c r="D77" s="205">
        <v>45685</v>
      </c>
      <c r="E77" s="203">
        <f t="shared" si="16"/>
        <v>0.48074461856849149</v>
      </c>
      <c r="F77" s="203">
        <f t="shared" si="17"/>
        <v>0.20176453769384725</v>
      </c>
      <c r="G77" s="203">
        <f t="shared" si="18"/>
        <v>7.7668250575244735E-2</v>
      </c>
      <c r="H77" s="203">
        <f t="shared" si="19"/>
        <v>7.5302599153130825E-2</v>
      </c>
      <c r="I77" s="203">
        <f t="shared" si="20"/>
        <v>0.1645199940092856</v>
      </c>
      <c r="J77" s="204">
        <f t="shared" si="21"/>
        <v>2937.88</v>
      </c>
    </row>
    <row r="78" spans="4:10" x14ac:dyDescent="0.25">
      <c r="D78" s="205">
        <v>45686</v>
      </c>
      <c r="E78" s="203">
        <f t="shared" si="16"/>
        <v>0.49247874427730542</v>
      </c>
      <c r="F78" s="203">
        <f t="shared" si="17"/>
        <v>0.19784172661870503</v>
      </c>
      <c r="G78" s="203">
        <f t="shared" si="18"/>
        <v>6.4421190320470889E-2</v>
      </c>
      <c r="H78" s="203">
        <f t="shared" si="19"/>
        <v>8.4368868541530417E-2</v>
      </c>
      <c r="I78" s="203">
        <f t="shared" si="20"/>
        <v>0.16088947024198821</v>
      </c>
      <c r="J78" s="204">
        <f t="shared" si="21"/>
        <v>3058</v>
      </c>
    </row>
    <row r="79" spans="4:10" x14ac:dyDescent="0.25">
      <c r="D79" s="205">
        <v>45687</v>
      </c>
      <c r="E79" s="203">
        <f t="shared" si="16"/>
        <v>0.47968</v>
      </c>
      <c r="F79" s="203">
        <f t="shared" si="17"/>
        <v>0.19647999999999999</v>
      </c>
      <c r="G79" s="203">
        <f t="shared" si="18"/>
        <v>7.2639999999999996E-2</v>
      </c>
      <c r="H79" s="203">
        <f t="shared" si="19"/>
        <v>6.8479999999999999E-2</v>
      </c>
      <c r="I79" s="203">
        <f t="shared" si="20"/>
        <v>0.18271999999999999</v>
      </c>
      <c r="J79" s="204">
        <f t="shared" si="21"/>
        <v>3125</v>
      </c>
    </row>
    <row r="80" spans="4:10" x14ac:dyDescent="0.25">
      <c r="D80" s="205">
        <v>45688</v>
      </c>
      <c r="E80" s="203">
        <f t="shared" si="16"/>
        <v>0.46572181938035595</v>
      </c>
      <c r="F80" s="203">
        <f t="shared" si="17"/>
        <v>0.20138431114040869</v>
      </c>
      <c r="G80" s="203">
        <f t="shared" si="18"/>
        <v>7.6466710613052075E-2</v>
      </c>
      <c r="H80" s="203">
        <f t="shared" si="19"/>
        <v>7.0204350692155568E-2</v>
      </c>
      <c r="I80" s="203">
        <f t="shared" si="20"/>
        <v>0.1862228081740277</v>
      </c>
      <c r="J80" s="204">
        <f t="shared" si="21"/>
        <v>3034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D14:D19">
    <cfRule type="cellIs" dxfId="40" priority="18" operator="equal">
      <formula>MAX($D$14:$D$16)</formula>
    </cfRule>
  </conditionalFormatting>
  <conditionalFormatting sqref="D20">
    <cfRule type="cellIs" dxfId="39" priority="68" operator="equal">
      <formula>MAX($D$14:$D$42)</formula>
    </cfRule>
  </conditionalFormatting>
  <conditionalFormatting sqref="D21:D37">
    <cfRule type="cellIs" dxfId="38" priority="87" operator="equal">
      <formula>MAX($D$14:$D$16)</formula>
    </cfRule>
  </conditionalFormatting>
  <conditionalFormatting sqref="D38">
    <cfRule type="cellIs" dxfId="37" priority="11" operator="equal">
      <formula>MAX($J$14:$J$16)</formula>
    </cfRule>
  </conditionalFormatting>
  <conditionalFormatting sqref="D39:D41">
    <cfRule type="cellIs" dxfId="36" priority="77" operator="equal">
      <formula>MAX($D$14:$D$16)</formula>
    </cfRule>
  </conditionalFormatting>
  <conditionalFormatting sqref="D42">
    <cfRule type="cellIs" dxfId="35" priority="22" operator="equal">
      <formula>MAX($J$14:$J$16)</formula>
    </cfRule>
  </conditionalFormatting>
  <conditionalFormatting sqref="D43:D46">
    <cfRule type="cellIs" dxfId="34" priority="7" operator="equal">
      <formula>MAX($D$14:$D$16)</formula>
    </cfRule>
  </conditionalFormatting>
  <conditionalFormatting sqref="E50:E66">
    <cfRule type="top10" dxfId="33" priority="58" rank="2"/>
  </conditionalFormatting>
  <conditionalFormatting sqref="F50:F80">
    <cfRule type="top10" dxfId="32" priority="57" rank="2"/>
  </conditionalFormatting>
  <conditionalFormatting sqref="G14:G19">
    <cfRule type="cellIs" dxfId="31" priority="12" operator="equal">
      <formula>MAX($G$14:$G$16)</formula>
    </cfRule>
  </conditionalFormatting>
  <conditionalFormatting sqref="G20">
    <cfRule type="cellIs" dxfId="30" priority="67" operator="equal">
      <formula>MAX($G$14:$G$42)</formula>
    </cfRule>
  </conditionalFormatting>
  <conditionalFormatting sqref="G21:G46">
    <cfRule type="cellIs" dxfId="29" priority="1" operator="equal">
      <formula>MAX($G$14:$G$16)</formula>
    </cfRule>
  </conditionalFormatting>
  <conditionalFormatting sqref="G50:G66">
    <cfRule type="top10" dxfId="28" priority="56" rank="2"/>
  </conditionalFormatting>
  <conditionalFormatting sqref="H50:H66">
    <cfRule type="top10" dxfId="27" priority="55" rank="2"/>
  </conditionalFormatting>
  <conditionalFormatting sqref="I50:I66">
    <cfRule type="top10" dxfId="26" priority="54" rank="2"/>
  </conditionalFormatting>
  <conditionalFormatting sqref="J14:J19">
    <cfRule type="cellIs" dxfId="25" priority="16" operator="equal">
      <formula>MAX($J$14:$J$16)</formula>
    </cfRule>
  </conditionalFormatting>
  <conditionalFormatting sqref="J20">
    <cfRule type="cellIs" dxfId="24" priority="62" operator="equal">
      <formula>MAX($J$14:$J$42)</formula>
    </cfRule>
  </conditionalFormatting>
  <conditionalFormatting sqref="J21:J46">
    <cfRule type="cellIs" dxfId="23" priority="5" operator="equal">
      <formula>MAX($J$14:$J$16)</formula>
    </cfRule>
  </conditionalFormatting>
  <conditionalFormatting sqref="L14:L19">
    <cfRule type="cellIs" dxfId="22" priority="13" operator="equal">
      <formula>MAX($L$14:$L$16)</formula>
    </cfRule>
  </conditionalFormatting>
  <conditionalFormatting sqref="L20">
    <cfRule type="cellIs" dxfId="21" priority="59" operator="equal">
      <formula>MAX($L$14:$L$42)</formula>
    </cfRule>
  </conditionalFormatting>
  <conditionalFormatting sqref="L21:L46">
    <cfRule type="cellIs" dxfId="20" priority="2" operator="equal">
      <formula>MAX($L$14:$L$16)</formula>
    </cfRule>
  </conditionalFormatting>
  <conditionalFormatting sqref="N14:N19">
    <cfRule type="cellIs" dxfId="19" priority="20" operator="equal">
      <formula>MAX($N$14:$N$16)</formula>
    </cfRule>
  </conditionalFormatting>
  <conditionalFormatting sqref="N20">
    <cfRule type="cellIs" dxfId="18" priority="65" operator="equal">
      <formula>MAX($N$14:$N$42)</formula>
    </cfRule>
  </conditionalFormatting>
  <conditionalFormatting sqref="N21:N46">
    <cfRule type="cellIs" dxfId="17" priority="9" operator="equal">
      <formula>MAX($N$14:$N$16)</formula>
    </cfRule>
  </conditionalFormatting>
  <conditionalFormatting sqref="P14:P19">
    <cfRule type="cellIs" dxfId="16" priority="21" operator="equal">
      <formula>MAX($P$14:$P$16)</formula>
    </cfRule>
  </conditionalFormatting>
  <conditionalFormatting sqref="P20">
    <cfRule type="cellIs" dxfId="15" priority="66" operator="equal">
      <formula>MAX($P$14:$P$42)</formula>
    </cfRule>
  </conditionalFormatting>
  <conditionalFormatting sqref="P21:P46">
    <cfRule type="cellIs" dxfId="14" priority="10" operator="equal">
      <formula>MAX($P$14:$P$16)</formula>
    </cfRule>
  </conditionalFormatting>
  <conditionalFormatting sqref="S14:S19">
    <cfRule type="cellIs" dxfId="13" priority="19" operator="equal">
      <formula>MAX($S$14:$S$16)</formula>
    </cfRule>
  </conditionalFormatting>
  <conditionalFormatting sqref="S20">
    <cfRule type="cellIs" dxfId="12" priority="64" operator="equal">
      <formula>MAX($S$14:$S$42)</formula>
    </cfRule>
  </conditionalFormatting>
  <conditionalFormatting sqref="S21:S46">
    <cfRule type="cellIs" dxfId="11" priority="8" operator="equal">
      <formula>MAX($S$14:$S$16)</formula>
    </cfRule>
  </conditionalFormatting>
  <conditionalFormatting sqref="T14:T19">
    <cfRule type="cellIs" dxfId="10" priority="14" operator="equal">
      <formula>MAX($T$14:$T$16)</formula>
    </cfRule>
  </conditionalFormatting>
  <conditionalFormatting sqref="T20">
    <cfRule type="cellIs" dxfId="9" priority="60" operator="equal">
      <formula>MAX($T$14:$T$42)</formula>
    </cfRule>
  </conditionalFormatting>
  <conditionalFormatting sqref="T21:T46">
    <cfRule type="cellIs" dxfId="8" priority="3" operator="equal">
      <formula>MAX($T$14:$T$16)</formula>
    </cfRule>
  </conditionalFormatting>
  <conditionalFormatting sqref="V14:V19">
    <cfRule type="cellIs" dxfId="7" priority="17" operator="equal">
      <formula>MAX($V$14:$V$16)</formula>
    </cfRule>
  </conditionalFormatting>
  <conditionalFormatting sqref="V20">
    <cfRule type="cellIs" dxfId="6" priority="63" operator="equal">
      <formula>MAX($V$14:$V$42)</formula>
    </cfRule>
  </conditionalFormatting>
  <conditionalFormatting sqref="V21:V23">
    <cfRule type="cellIs" dxfId="5" priority="154" operator="equal">
      <formula>MAX($V$14:$V$16)</formula>
    </cfRule>
  </conditionalFormatting>
  <conditionalFormatting sqref="V24:V25">
    <cfRule type="cellIs" dxfId="4" priority="23" operator="equal">
      <formula>MAX($J$14:$J$16)</formula>
    </cfRule>
  </conditionalFormatting>
  <conditionalFormatting sqref="V26:V46">
    <cfRule type="cellIs" dxfId="3" priority="6" operator="equal">
      <formula>MAX($V$14:$V$16)</formula>
    </cfRule>
  </conditionalFormatting>
  <conditionalFormatting sqref="X14:X19">
    <cfRule type="cellIs" dxfId="2" priority="15" operator="equal">
      <formula>MAX($X$14:$X$16)</formula>
    </cfRule>
  </conditionalFormatting>
  <conditionalFormatting sqref="X20">
    <cfRule type="cellIs" dxfId="1" priority="61" operator="equal">
      <formula>MAX($X$14:$X$42)</formula>
    </cfRule>
  </conditionalFormatting>
  <conditionalFormatting sqref="X21:X46">
    <cfRule type="cellIs" dxfId="0" priority="4" operator="equal">
      <formula>MAX($X$14:$X$16)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baseColWidth="10" defaultColWidth="10.7109375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C2D055-BD69-4B12-B388-F648D8FB6DAF}"/>
</file>

<file path=customXml/itemProps2.xml><?xml version="1.0" encoding="utf-8"?>
<ds:datastoreItem xmlns:ds="http://schemas.openxmlformats.org/officeDocument/2006/customXml" ds:itemID="{62B962D7-C278-4C6D-822D-0E24FE68C8F1}"/>
</file>

<file path=customXml/itemProps3.xml><?xml version="1.0" encoding="utf-8"?>
<ds:datastoreItem xmlns:ds="http://schemas.openxmlformats.org/officeDocument/2006/customXml" ds:itemID="{379E735E-23A0-4A51-B8DC-7CD5F07D71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2026-06-08T19:33:41Z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