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30"/>
  <workbookPr/>
  <mc:AlternateContent xmlns:mc="http://schemas.openxmlformats.org/markup-compatibility/2006">
    <mc:Choice Requires="x15">
      <x15ac:absPath xmlns:x15ac="http://schemas.microsoft.com/office/spreadsheetml/2010/11/ac" url="\\10.10.30.76\Carpetas Red\PCD\CONSUMO ENERGETICO\CONSUMO ENERGETICO DIARIO\Energia 2025\JULIO2025\"/>
    </mc:Choice>
  </mc:AlternateContent>
  <xr:revisionPtr revIDLastSave="1" documentId="13_ncr:1_{1B61DF55-32FA-41C1-B4E3-B60E744B87A8}" xr6:coauthVersionLast="47" xr6:coauthVersionMax="47" xr10:uidLastSave="{B3FA8B19-D874-504E-AB54-6B4A79C314CE}"/>
  <bookViews>
    <workbookView xWindow="-120" yWindow="-120" windowWidth="20730" windowHeight="1116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2" i="1" l="1"/>
  <c r="BB31" i="1"/>
  <c r="BL26" i="1"/>
  <c r="BB21" i="1"/>
  <c r="BB20" i="1"/>
  <c r="BA19" i="1"/>
  <c r="BB9" i="1"/>
  <c r="BB8" i="1"/>
  <c r="AP27" i="1"/>
  <c r="AF22" i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15" i="2"/>
  <c r="G16" i="2"/>
  <c r="G17" i="2"/>
  <c r="G18" i="2"/>
  <c r="D13" i="1"/>
  <c r="BA6" i="1"/>
  <c r="AW6" i="1"/>
  <c r="D38" i="1"/>
  <c r="F38" i="1"/>
  <c r="E38" i="1"/>
  <c r="G38" i="1"/>
  <c r="H38" i="1"/>
  <c r="AC38" i="1"/>
  <c r="AD38" i="1"/>
  <c r="AF38" i="1"/>
  <c r="AM38" i="1"/>
  <c r="AN38" i="1"/>
  <c r="AP38" i="1"/>
  <c r="AW38" i="1"/>
  <c r="AX38" i="1"/>
  <c r="BA38" i="1"/>
  <c r="AY38" i="1"/>
  <c r="K38" i="1"/>
  <c r="O38" i="1"/>
  <c r="BL38" i="1"/>
  <c r="L38" i="1"/>
  <c r="P38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P37" i="1"/>
  <c r="AX7" i="1"/>
  <c r="BA7" i="1"/>
  <c r="AW7" i="1"/>
  <c r="AX8" i="1"/>
  <c r="AX9" i="1"/>
  <c r="AX10" i="1"/>
  <c r="BA10" i="1"/>
  <c r="AY10" i="1"/>
  <c r="AX11" i="1"/>
  <c r="AX12" i="1"/>
  <c r="BA12" i="1"/>
  <c r="AW12" i="1"/>
  <c r="AX13" i="1"/>
  <c r="AW13" i="1"/>
  <c r="AX14" i="1"/>
  <c r="BA14" i="1"/>
  <c r="AY14" i="1"/>
  <c r="AX15" i="1"/>
  <c r="BA15" i="1"/>
  <c r="AW15" i="1"/>
  <c r="AX16" i="1"/>
  <c r="BA16" i="1"/>
  <c r="AY16" i="1"/>
  <c r="AX17" i="1"/>
  <c r="BA17" i="1"/>
  <c r="AW17" i="1"/>
  <c r="AX18" i="1"/>
  <c r="BA18" i="1"/>
  <c r="AY18" i="1"/>
  <c r="AX19" i="1"/>
  <c r="AW19" i="1"/>
  <c r="AX20" i="1"/>
  <c r="BA20" i="1"/>
  <c r="AY20" i="1"/>
  <c r="AX21" i="1"/>
  <c r="BA21" i="1"/>
  <c r="AW21" i="1"/>
  <c r="AX22" i="1"/>
  <c r="BA22" i="1"/>
  <c r="AY22" i="1"/>
  <c r="AX23" i="1"/>
  <c r="BA23" i="1"/>
  <c r="AW23" i="1"/>
  <c r="AX24" i="1"/>
  <c r="BA24" i="1"/>
  <c r="AY24" i="1"/>
  <c r="AX25" i="1"/>
  <c r="BA25" i="1"/>
  <c r="AW25" i="1"/>
  <c r="AX26" i="1"/>
  <c r="BA26" i="1"/>
  <c r="AY26" i="1"/>
  <c r="BA27" i="1"/>
  <c r="AW27" i="1"/>
  <c r="AX27" i="1"/>
  <c r="BA28" i="1"/>
  <c r="AX29" i="1"/>
  <c r="BA29" i="1"/>
  <c r="AW29" i="1"/>
  <c r="AX30" i="1"/>
  <c r="BA30" i="1"/>
  <c r="AY30" i="1"/>
  <c r="AX31" i="1"/>
  <c r="BA31" i="1"/>
  <c r="AW31" i="1"/>
  <c r="AX32" i="1"/>
  <c r="BA32" i="1"/>
  <c r="AY32" i="1"/>
  <c r="AX33" i="1"/>
  <c r="BA33" i="1"/>
  <c r="AW33" i="1"/>
  <c r="AX34" i="1"/>
  <c r="BA34" i="1"/>
  <c r="AY34" i="1"/>
  <c r="AX35" i="1"/>
  <c r="BA35" i="1"/>
  <c r="AW35" i="1"/>
  <c r="AX36" i="1"/>
  <c r="BA36" i="1"/>
  <c r="AY36" i="1"/>
  <c r="BA37" i="1"/>
  <c r="AW32" i="1"/>
  <c r="AY29" i="1"/>
  <c r="AW36" i="1"/>
  <c r="AX6" i="1"/>
  <c r="AY31" i="1"/>
  <c r="AW30" i="1"/>
  <c r="J38" i="1"/>
  <c r="N38" i="1"/>
  <c r="AX37" i="1"/>
  <c r="BK38" i="1"/>
  <c r="I38" i="1"/>
  <c r="M38" i="1"/>
  <c r="BA8" i="1"/>
  <c r="AW34" i="1"/>
  <c r="AW10" i="1"/>
  <c r="BJ38" i="1"/>
  <c r="BA9" i="1"/>
  <c r="AY7" i="1"/>
  <c r="AX28" i="1"/>
  <c r="AY12" i="1"/>
  <c r="AY33" i="1"/>
  <c r="AY35" i="1"/>
  <c r="AY6" i="1"/>
  <c r="AW37" i="1"/>
  <c r="AY37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AY13" i="1"/>
  <c r="BA11" i="1"/>
  <c r="AY9" i="1"/>
  <c r="AW9" i="1"/>
  <c r="AW8" i="1"/>
  <c r="AY8" i="1"/>
  <c r="AW11" i="1"/>
  <c r="AY11" i="1"/>
  <c r="R44" i="2"/>
  <c r="BL36" i="1"/>
  <c r="AM36" i="1"/>
  <c r="AN36" i="1"/>
  <c r="AD36" i="1"/>
  <c r="AC36" i="1"/>
  <c r="H36" i="1"/>
  <c r="D36" i="1"/>
  <c r="F36" i="1"/>
  <c r="E36" i="1"/>
  <c r="L36" i="1"/>
  <c r="P36" i="1"/>
  <c r="K36" i="1"/>
  <c r="O36" i="1"/>
  <c r="G36" i="1"/>
  <c r="I36" i="1"/>
  <c r="M36" i="1"/>
  <c r="J36" i="1"/>
  <c r="N36" i="1"/>
  <c r="BJ36" i="1"/>
  <c r="BK36" i="1"/>
  <c r="H22" i="1"/>
  <c r="BI6" i="1"/>
  <c r="AV6" i="1"/>
  <c r="AL6" i="1"/>
  <c r="AB6" i="1"/>
  <c r="Q6" i="1"/>
  <c r="BL6" i="1"/>
  <c r="BJ6" i="1"/>
  <c r="AM6" i="1"/>
  <c r="AN6" i="1"/>
  <c r="AD6" i="1"/>
  <c r="AC6" i="1"/>
  <c r="H6" i="1"/>
  <c r="D6" i="1"/>
  <c r="BK6" i="1"/>
  <c r="L6" i="1"/>
  <c r="P6" i="1"/>
  <c r="F6" i="1"/>
  <c r="E6" i="1"/>
  <c r="K6" i="1"/>
  <c r="O6" i="1"/>
  <c r="J6" i="1"/>
  <c r="N6" i="1"/>
  <c r="G6" i="1"/>
  <c r="I6" i="1"/>
  <c r="M6" i="1"/>
  <c r="U14" i="2"/>
  <c r="M14" i="2"/>
  <c r="I14" i="2"/>
  <c r="R14" i="2"/>
  <c r="G14" i="2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L7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R45" i="2"/>
  <c r="H28" i="1"/>
  <c r="AD11" i="1"/>
  <c r="AC15" i="1"/>
  <c r="AM15" i="1"/>
  <c r="H33" i="1"/>
  <c r="H30" i="1"/>
  <c r="H31" i="1"/>
  <c r="H32" i="1"/>
  <c r="H34" i="1"/>
  <c r="H35" i="1"/>
  <c r="H37" i="1"/>
  <c r="H7" i="1"/>
  <c r="J50" i="2"/>
  <c r="I50" i="2"/>
  <c r="J51" i="2"/>
  <c r="F51" i="2"/>
  <c r="J52" i="2"/>
  <c r="G52" i="2"/>
  <c r="J53" i="2"/>
  <c r="H53" i="2"/>
  <c r="J54" i="2"/>
  <c r="G54" i="2"/>
  <c r="J55" i="2"/>
  <c r="I55" i="2"/>
  <c r="J56" i="2"/>
  <c r="I56" i="2"/>
  <c r="J57" i="2"/>
  <c r="F57" i="2"/>
  <c r="J58" i="2"/>
  <c r="I58" i="2"/>
  <c r="J59" i="2"/>
  <c r="F59" i="2"/>
  <c r="J60" i="2"/>
  <c r="G60" i="2"/>
  <c r="J61" i="2"/>
  <c r="H61" i="2"/>
  <c r="J62" i="2"/>
  <c r="E62" i="2"/>
  <c r="J63" i="2"/>
  <c r="I63" i="2"/>
  <c r="J64" i="2"/>
  <c r="I64" i="2"/>
  <c r="J65" i="2"/>
  <c r="F65" i="2"/>
  <c r="J66" i="2"/>
  <c r="H66" i="2"/>
  <c r="J67" i="2"/>
  <c r="G67" i="2"/>
  <c r="J68" i="2"/>
  <c r="E68" i="2"/>
  <c r="J69" i="2"/>
  <c r="G69" i="2"/>
  <c r="J70" i="2"/>
  <c r="G70" i="2"/>
  <c r="J71" i="2"/>
  <c r="F71" i="2"/>
  <c r="J72" i="2"/>
  <c r="E72" i="2"/>
  <c r="J73" i="2"/>
  <c r="I73" i="2"/>
  <c r="J74" i="2"/>
  <c r="H74" i="2"/>
  <c r="J75" i="2"/>
  <c r="E75" i="2"/>
  <c r="J76" i="2"/>
  <c r="F76" i="2"/>
  <c r="J77" i="2"/>
  <c r="F77" i="2"/>
  <c r="J78" i="2"/>
  <c r="F78" i="2"/>
  <c r="J79" i="2"/>
  <c r="E79" i="2"/>
  <c r="J49" i="2"/>
  <c r="H49" i="2"/>
  <c r="BL15" i="1"/>
  <c r="BK15" i="1"/>
  <c r="AN15" i="1"/>
  <c r="AD15" i="1"/>
  <c r="AB36" i="1"/>
  <c r="AB37" i="1"/>
  <c r="AB38" i="1"/>
  <c r="Q36" i="1"/>
  <c r="Q37" i="1"/>
  <c r="Q38" i="1"/>
  <c r="BI36" i="1"/>
  <c r="BI37" i="1"/>
  <c r="BI38" i="1"/>
  <c r="AV36" i="1"/>
  <c r="AV37" i="1"/>
  <c r="AV38" i="1"/>
  <c r="B37" i="1"/>
  <c r="B38" i="1"/>
  <c r="E49" i="2"/>
  <c r="I49" i="2"/>
  <c r="F49" i="2"/>
  <c r="H60" i="2"/>
  <c r="H64" i="2"/>
  <c r="I54" i="2"/>
  <c r="I53" i="2"/>
  <c r="H52" i="2"/>
  <c r="I62" i="2"/>
  <c r="F60" i="2"/>
  <c r="I61" i="2"/>
  <c r="F56" i="2"/>
  <c r="F64" i="2"/>
  <c r="I60" i="2"/>
  <c r="F52" i="2"/>
  <c r="H56" i="2"/>
  <c r="I52" i="2"/>
  <c r="E51" i="2"/>
  <c r="G51" i="2"/>
  <c r="E58" i="2"/>
  <c r="E50" i="2"/>
  <c r="G58" i="2"/>
  <c r="G50" i="2"/>
  <c r="H59" i="2"/>
  <c r="H51" i="2"/>
  <c r="F63" i="2"/>
  <c r="F55" i="2"/>
  <c r="E65" i="2"/>
  <c r="E57" i="2"/>
  <c r="G65" i="2"/>
  <c r="G57" i="2"/>
  <c r="H75" i="2"/>
  <c r="H58" i="2"/>
  <c r="H50" i="2"/>
  <c r="F62" i="2"/>
  <c r="F54" i="2"/>
  <c r="E64" i="2"/>
  <c r="E56" i="2"/>
  <c r="G64" i="2"/>
  <c r="G56" i="2"/>
  <c r="H65" i="2"/>
  <c r="H57" i="2"/>
  <c r="I59" i="2"/>
  <c r="I51" i="2"/>
  <c r="F61" i="2"/>
  <c r="F53" i="2"/>
  <c r="E59" i="2"/>
  <c r="E55" i="2"/>
  <c r="G55" i="2"/>
  <c r="G62" i="2"/>
  <c r="H55" i="2"/>
  <c r="E61" i="2"/>
  <c r="E53" i="2"/>
  <c r="G61" i="2"/>
  <c r="G53" i="2"/>
  <c r="H62" i="2"/>
  <c r="H54" i="2"/>
  <c r="F75" i="2"/>
  <c r="F58" i="2"/>
  <c r="F50" i="2"/>
  <c r="G59" i="2"/>
  <c r="E63" i="2"/>
  <c r="G63" i="2"/>
  <c r="I75" i="2"/>
  <c r="E54" i="2"/>
  <c r="H63" i="2"/>
  <c r="I65" i="2"/>
  <c r="I57" i="2"/>
  <c r="E60" i="2"/>
  <c r="E52" i="2"/>
  <c r="G49" i="2"/>
  <c r="G79" i="2"/>
  <c r="F79" i="2"/>
  <c r="H79" i="2"/>
  <c r="I79" i="2"/>
  <c r="E78" i="2"/>
  <c r="I78" i="2"/>
  <c r="G78" i="2"/>
  <c r="H78" i="2"/>
  <c r="E77" i="2"/>
  <c r="G77" i="2"/>
  <c r="H77" i="2"/>
  <c r="I77" i="2"/>
  <c r="I71" i="2"/>
  <c r="H71" i="2"/>
  <c r="E71" i="2"/>
  <c r="G71" i="2"/>
  <c r="H70" i="2"/>
  <c r="G76" i="2"/>
  <c r="H76" i="2"/>
  <c r="I76" i="2"/>
  <c r="E76" i="2"/>
  <c r="G75" i="2"/>
  <c r="F74" i="2"/>
  <c r="I74" i="2"/>
  <c r="E74" i="2"/>
  <c r="G74" i="2"/>
  <c r="F73" i="2"/>
  <c r="E73" i="2"/>
  <c r="G73" i="2"/>
  <c r="H73" i="2"/>
  <c r="G72" i="2"/>
  <c r="H72" i="2"/>
  <c r="I72" i="2"/>
  <c r="F72" i="2"/>
  <c r="I70" i="2"/>
  <c r="E70" i="2"/>
  <c r="F70" i="2"/>
  <c r="E69" i="2"/>
  <c r="H69" i="2"/>
  <c r="F69" i="2"/>
  <c r="I69" i="2"/>
  <c r="F68" i="2"/>
  <c r="G68" i="2"/>
  <c r="H68" i="2"/>
  <c r="I68" i="2"/>
  <c r="F67" i="2"/>
  <c r="H67" i="2"/>
  <c r="I67" i="2"/>
  <c r="E67" i="2"/>
  <c r="G66" i="2"/>
  <c r="F66" i="2"/>
  <c r="I66" i="2"/>
  <c r="E66" i="2"/>
  <c r="BJ15" i="1"/>
  <c r="R20" i="2"/>
  <c r="S41" i="1"/>
  <c r="R40" i="1"/>
  <c r="R43" i="2"/>
  <c r="R41" i="2"/>
  <c r="R42" i="2"/>
  <c r="R40" i="2"/>
  <c r="BL33" i="1"/>
  <c r="BJ33" i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/>
  <c r="R29" i="2"/>
  <c r="R25" i="2"/>
  <c r="R28" i="2"/>
  <c r="R27" i="2"/>
  <c r="R26" i="2"/>
  <c r="R24" i="2"/>
  <c r="BL19" i="1"/>
  <c r="BJ19" i="1"/>
  <c r="AM19" i="1"/>
  <c r="AN19" i="1"/>
  <c r="AC19" i="1"/>
  <c r="R23" i="2"/>
  <c r="R22" i="2"/>
  <c r="R21" i="2"/>
  <c r="R19" i="2"/>
  <c r="R18" i="2"/>
  <c r="D24" i="1"/>
  <c r="H24" i="1"/>
  <c r="AD24" i="1"/>
  <c r="AC24" i="1"/>
  <c r="AN24" i="1"/>
  <c r="AM24" i="1"/>
  <c r="BL24" i="1"/>
  <c r="BJ24" i="1"/>
  <c r="D25" i="1"/>
  <c r="H25" i="1"/>
  <c r="AD25" i="1"/>
  <c r="AC25" i="1"/>
  <c r="AN25" i="1"/>
  <c r="AM25" i="1"/>
  <c r="BL25" i="1"/>
  <c r="BK25" i="1"/>
  <c r="D26" i="1"/>
  <c r="H26" i="1"/>
  <c r="AD26" i="1"/>
  <c r="AC26" i="1"/>
  <c r="AN26" i="1"/>
  <c r="BJ26" i="1"/>
  <c r="D27" i="1"/>
  <c r="H27" i="1"/>
  <c r="AD27" i="1"/>
  <c r="AC27" i="1"/>
  <c r="AN27" i="1"/>
  <c r="BL27" i="1"/>
  <c r="BK27" i="1"/>
  <c r="D28" i="1"/>
  <c r="AD28" i="1"/>
  <c r="AC28" i="1"/>
  <c r="AN28" i="1"/>
  <c r="BL28" i="1"/>
  <c r="BJ28" i="1"/>
  <c r="D29" i="1"/>
  <c r="H29" i="1"/>
  <c r="AD29" i="1"/>
  <c r="AC29" i="1"/>
  <c r="AN29" i="1"/>
  <c r="BL29" i="1"/>
  <c r="BK29" i="1"/>
  <c r="D30" i="1"/>
  <c r="F30" i="1"/>
  <c r="AD30" i="1"/>
  <c r="AC30" i="1"/>
  <c r="AN30" i="1"/>
  <c r="BL30" i="1"/>
  <c r="BJ30" i="1"/>
  <c r="D31" i="1"/>
  <c r="AC31" i="1"/>
  <c r="AN31" i="1"/>
  <c r="BL31" i="1"/>
  <c r="BK31" i="1"/>
  <c r="D32" i="1"/>
  <c r="AD32" i="1"/>
  <c r="AC32" i="1"/>
  <c r="AN32" i="1"/>
  <c r="BL32" i="1"/>
  <c r="BJ32" i="1"/>
  <c r="D33" i="1"/>
  <c r="D34" i="1"/>
  <c r="AD34" i="1"/>
  <c r="AC34" i="1"/>
  <c r="AN34" i="1"/>
  <c r="BL34" i="1"/>
  <c r="BK34" i="1"/>
  <c r="D35" i="1"/>
  <c r="AD35" i="1"/>
  <c r="AC35" i="1"/>
  <c r="AN35" i="1"/>
  <c r="BL35" i="1"/>
  <c r="BK35" i="1"/>
  <c r="D37" i="1"/>
  <c r="AD37" i="1"/>
  <c r="AC37" i="1"/>
  <c r="AN37" i="1"/>
  <c r="BL37" i="1"/>
  <c r="BK37" i="1"/>
  <c r="D11" i="1"/>
  <c r="H11" i="1"/>
  <c r="AC11" i="1"/>
  <c r="AN11" i="1"/>
  <c r="AM11" i="1"/>
  <c r="BL11" i="1"/>
  <c r="D12" i="1"/>
  <c r="H12" i="1"/>
  <c r="AD12" i="1"/>
  <c r="AC12" i="1"/>
  <c r="AN12" i="1"/>
  <c r="AM12" i="1"/>
  <c r="BL12" i="1"/>
  <c r="BK12" i="1"/>
  <c r="H13" i="1"/>
  <c r="AD13" i="1"/>
  <c r="AC13" i="1"/>
  <c r="AN13" i="1"/>
  <c r="AM13" i="1"/>
  <c r="BL13" i="1"/>
  <c r="BK13" i="1"/>
  <c r="D14" i="1"/>
  <c r="H14" i="1"/>
  <c r="AD14" i="1"/>
  <c r="AC14" i="1"/>
  <c r="AN14" i="1"/>
  <c r="AM14" i="1"/>
  <c r="BL14" i="1"/>
  <c r="BK14" i="1"/>
  <c r="D15" i="1"/>
  <c r="H15" i="1"/>
  <c r="D16" i="1"/>
  <c r="H16" i="1"/>
  <c r="AD16" i="1"/>
  <c r="AC16" i="1"/>
  <c r="AN16" i="1"/>
  <c r="AM16" i="1"/>
  <c r="BL16" i="1"/>
  <c r="BK16" i="1"/>
  <c r="D17" i="1"/>
  <c r="H17" i="1"/>
  <c r="AD17" i="1"/>
  <c r="AC17" i="1"/>
  <c r="AN17" i="1"/>
  <c r="AM17" i="1"/>
  <c r="BL17" i="1"/>
  <c r="H18" i="1"/>
  <c r="AD18" i="1"/>
  <c r="AC18" i="1"/>
  <c r="AN18" i="1"/>
  <c r="AM18" i="1"/>
  <c r="BL18" i="1"/>
  <c r="BK18" i="1"/>
  <c r="D19" i="1"/>
  <c r="H19" i="1"/>
  <c r="AD19" i="1"/>
  <c r="D20" i="1"/>
  <c r="H20" i="1"/>
  <c r="AD20" i="1"/>
  <c r="AC20" i="1"/>
  <c r="AN20" i="1"/>
  <c r="AM20" i="1"/>
  <c r="BL20" i="1"/>
  <c r="D21" i="1"/>
  <c r="H21" i="1"/>
  <c r="AD21" i="1"/>
  <c r="AC21" i="1"/>
  <c r="AN21" i="1"/>
  <c r="AM21" i="1"/>
  <c r="BL21" i="1"/>
  <c r="D22" i="1"/>
  <c r="AD22" i="1"/>
  <c r="AC22" i="1"/>
  <c r="AN22" i="1"/>
  <c r="AM22" i="1"/>
  <c r="BL22" i="1"/>
  <c r="D23" i="1"/>
  <c r="H23" i="1"/>
  <c r="AD23" i="1"/>
  <c r="AC23" i="1"/>
  <c r="AN23" i="1"/>
  <c r="AM23" i="1"/>
  <c r="BL23" i="1"/>
  <c r="BK23" i="1"/>
  <c r="H9" i="1"/>
  <c r="H10" i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/>
  <c r="BL8" i="1"/>
  <c r="BK8" i="1"/>
  <c r="BL9" i="1"/>
  <c r="BK9" i="1"/>
  <c r="BL10" i="1"/>
  <c r="BK10" i="1"/>
  <c r="AM7" i="1"/>
  <c r="AM8" i="1"/>
  <c r="AM9" i="1"/>
  <c r="AM10" i="1"/>
  <c r="G12" i="1"/>
  <c r="L35" i="1"/>
  <c r="P35" i="1"/>
  <c r="I34" i="1"/>
  <c r="M34" i="1"/>
  <c r="K32" i="1"/>
  <c r="O32" i="1"/>
  <c r="K31" i="1"/>
  <c r="O31" i="1"/>
  <c r="L30" i="1"/>
  <c r="P30" i="1"/>
  <c r="J29" i="1"/>
  <c r="N29" i="1"/>
  <c r="J27" i="1"/>
  <c r="N27" i="1"/>
  <c r="I26" i="1"/>
  <c r="M26" i="1"/>
  <c r="K25" i="1"/>
  <c r="O25" i="1"/>
  <c r="K24" i="1"/>
  <c r="O24" i="1"/>
  <c r="I23" i="1"/>
  <c r="M23" i="1"/>
  <c r="I22" i="1"/>
  <c r="M22" i="1"/>
  <c r="I21" i="1"/>
  <c r="M21" i="1"/>
  <c r="K20" i="1"/>
  <c r="O20" i="1"/>
  <c r="I18" i="1"/>
  <c r="M18" i="1"/>
  <c r="I17" i="1"/>
  <c r="M17" i="1"/>
  <c r="I16" i="1"/>
  <c r="M16" i="1"/>
  <c r="I14" i="1"/>
  <c r="M14" i="1"/>
  <c r="J10" i="1"/>
  <c r="N10" i="1"/>
  <c r="I9" i="1"/>
  <c r="M9" i="1"/>
  <c r="L28" i="1"/>
  <c r="P28" i="1"/>
  <c r="F13" i="1"/>
  <c r="E13" i="1"/>
  <c r="BK32" i="1"/>
  <c r="G24" i="1"/>
  <c r="I19" i="1"/>
  <c r="M19" i="1"/>
  <c r="G15" i="1"/>
  <c r="BJ25" i="1"/>
  <c r="BK19" i="1"/>
  <c r="F16" i="1"/>
  <c r="E16" i="1"/>
  <c r="J37" i="1"/>
  <c r="N37" i="1"/>
  <c r="BJ37" i="1"/>
  <c r="F37" i="1"/>
  <c r="E37" i="1"/>
  <c r="BJ35" i="1"/>
  <c r="BJ34" i="1"/>
  <c r="F35" i="1"/>
  <c r="E35" i="1"/>
  <c r="F34" i="1"/>
  <c r="E34" i="1"/>
  <c r="F33" i="1"/>
  <c r="E33" i="1"/>
  <c r="F32" i="1"/>
  <c r="E32" i="1"/>
  <c r="BJ31" i="1"/>
  <c r="F31" i="1"/>
  <c r="E31" i="1"/>
  <c r="BK30" i="1"/>
  <c r="E30" i="1"/>
  <c r="BJ29" i="1"/>
  <c r="F29" i="1"/>
  <c r="E29" i="1"/>
  <c r="BJ27" i="1"/>
  <c r="G18" i="1"/>
  <c r="F18" i="1"/>
  <c r="E18" i="1"/>
  <c r="G19" i="1"/>
  <c r="F17" i="1"/>
  <c r="E17" i="1"/>
  <c r="F19" i="1"/>
  <c r="E19" i="1"/>
  <c r="G17" i="1"/>
  <c r="G16" i="1"/>
  <c r="F15" i="1"/>
  <c r="E15" i="1"/>
  <c r="G14" i="1"/>
  <c r="F14" i="1"/>
  <c r="E14" i="1"/>
  <c r="G13" i="1"/>
  <c r="K12" i="1"/>
  <c r="O12" i="1"/>
  <c r="L12" i="1"/>
  <c r="P12" i="1"/>
  <c r="F12" i="1"/>
  <c r="E12" i="1"/>
  <c r="I11" i="1"/>
  <c r="M11" i="1"/>
  <c r="F11" i="1"/>
  <c r="E11" i="1"/>
  <c r="F10" i="1"/>
  <c r="E10" i="1"/>
  <c r="F9" i="1"/>
  <c r="E9" i="1"/>
  <c r="G8" i="1"/>
  <c r="I15" i="1"/>
  <c r="M15" i="1"/>
  <c r="I13" i="1"/>
  <c r="M13" i="1"/>
  <c r="G37" i="1"/>
  <c r="G35" i="1"/>
  <c r="K33" i="1"/>
  <c r="O33" i="1"/>
  <c r="G33" i="1"/>
  <c r="G31" i="1"/>
  <c r="G29" i="1"/>
  <c r="F27" i="1"/>
  <c r="E27" i="1"/>
  <c r="F25" i="1"/>
  <c r="E25" i="1"/>
  <c r="F8" i="1"/>
  <c r="E8" i="1"/>
  <c r="F23" i="1"/>
  <c r="E23" i="1"/>
  <c r="F22" i="1"/>
  <c r="E22" i="1"/>
  <c r="F21" i="1"/>
  <c r="E21" i="1"/>
  <c r="F20" i="1"/>
  <c r="E20" i="1"/>
  <c r="G11" i="1"/>
  <c r="G34" i="1"/>
  <c r="G32" i="1"/>
  <c r="G30" i="1"/>
  <c r="BK28" i="1"/>
  <c r="F28" i="1"/>
  <c r="E28" i="1"/>
  <c r="BK26" i="1"/>
  <c r="F26" i="1"/>
  <c r="E26" i="1"/>
  <c r="BK24" i="1"/>
  <c r="BK22" i="1"/>
  <c r="L19" i="1"/>
  <c r="P19" i="1"/>
  <c r="BK17" i="1"/>
  <c r="BK21" i="1"/>
  <c r="BK20" i="1"/>
  <c r="BJ10" i="1"/>
  <c r="BK11" i="1"/>
  <c r="F24" i="1"/>
  <c r="E24" i="1"/>
  <c r="BJ9" i="1"/>
  <c r="L33" i="1"/>
  <c r="P33" i="1"/>
  <c r="I33" i="1"/>
  <c r="M33" i="1"/>
  <c r="J33" i="1"/>
  <c r="N33" i="1"/>
  <c r="AM37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/>
  <c r="J19" i="1"/>
  <c r="N19" i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/>
  <c r="L8" i="1"/>
  <c r="P8" i="1"/>
  <c r="K8" i="1"/>
  <c r="O8" i="1"/>
  <c r="G10" i="1"/>
  <c r="I8" i="1"/>
  <c r="M8" i="1"/>
  <c r="G9" i="1"/>
  <c r="I7" i="1"/>
  <c r="M7" i="1"/>
  <c r="J7" i="1"/>
  <c r="N7" i="1"/>
  <c r="L7" i="1"/>
  <c r="P7" i="1"/>
  <c r="K7" i="1"/>
  <c r="O7" i="1"/>
  <c r="AC7" i="1"/>
  <c r="G7" i="1"/>
  <c r="F7" i="1"/>
  <c r="E7" i="1"/>
  <c r="BJ8" i="1"/>
  <c r="BJ7" i="1"/>
  <c r="U15" i="2"/>
  <c r="U16" i="2"/>
  <c r="U17" i="2"/>
  <c r="U18" i="2"/>
  <c r="U19" i="2"/>
  <c r="I15" i="2"/>
  <c r="I16" i="2"/>
  <c r="I17" i="2"/>
  <c r="I18" i="2"/>
  <c r="I19" i="2"/>
  <c r="I20" i="2"/>
  <c r="I21" i="2"/>
  <c r="I22" i="2"/>
  <c r="I23" i="2"/>
  <c r="I24" i="2"/>
  <c r="I25" i="2"/>
  <c r="AL8" i="1"/>
  <c r="AL9" i="1"/>
  <c r="AL10" i="1"/>
  <c r="AL11" i="1"/>
  <c r="AL12" i="1"/>
  <c r="AL13" i="1"/>
  <c r="AL14" i="1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I32" i="1"/>
  <c r="M32" i="1"/>
  <c r="L34" i="1"/>
  <c r="P34" i="1"/>
  <c r="J35" i="1"/>
  <c r="N35" i="1"/>
  <c r="K34" i="1"/>
  <c r="O34" i="1"/>
  <c r="J34" i="1"/>
  <c r="N34" i="1"/>
  <c r="AL15" i="1"/>
  <c r="AL16" i="1"/>
  <c r="AL17" i="1"/>
  <c r="AL18" i="1"/>
  <c r="AL19" i="1"/>
  <c r="K22" i="1"/>
  <c r="O22" i="1"/>
  <c r="L9" i="1"/>
  <c r="P9" i="1"/>
  <c r="K9" i="1"/>
  <c r="O9" i="1"/>
  <c r="J9" i="1"/>
  <c r="N9" i="1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K11" i="1"/>
  <c r="O11" i="1"/>
  <c r="K23" i="1"/>
  <c r="O23" i="1"/>
  <c r="J24" i="1"/>
  <c r="N24" i="1"/>
  <c r="K18" i="1"/>
  <c r="O18" i="1"/>
  <c r="J26" i="1"/>
  <c r="N26" i="1"/>
  <c r="L26" i="1"/>
  <c r="P26" i="1"/>
  <c r="K35" i="1"/>
  <c r="O35" i="1"/>
  <c r="K37" i="1"/>
  <c r="O37" i="1"/>
  <c r="I35" i="1"/>
  <c r="M35" i="1"/>
  <c r="J30" i="1"/>
  <c r="N30" i="1"/>
  <c r="L29" i="1"/>
  <c r="P29" i="1"/>
  <c r="I29" i="1"/>
  <c r="M29" i="1"/>
  <c r="K29" i="1"/>
  <c r="O29" i="1"/>
  <c r="I28" i="1"/>
  <c r="M28" i="1"/>
  <c r="K26" i="1"/>
  <c r="O26" i="1"/>
  <c r="I25" i="1"/>
  <c r="M25" i="1"/>
  <c r="L25" i="1"/>
  <c r="P25" i="1"/>
  <c r="I20" i="1"/>
  <c r="M20" i="1"/>
  <c r="J20" i="1"/>
  <c r="N20" i="1"/>
  <c r="L20" i="1"/>
  <c r="P20" i="1"/>
  <c r="L24" i="1"/>
  <c r="P24" i="1"/>
  <c r="J18" i="1"/>
  <c r="N18" i="1"/>
  <c r="L18" i="1"/>
  <c r="P18" i="1"/>
  <c r="L21" i="1"/>
  <c r="P21" i="1"/>
  <c r="K21" i="1"/>
  <c r="O21" i="1"/>
  <c r="K17" i="1"/>
  <c r="O17" i="1"/>
  <c r="J17" i="1"/>
  <c r="N17" i="1"/>
  <c r="J16" i="1"/>
  <c r="N16" i="1"/>
  <c r="K16" i="1"/>
  <c r="O16" i="1"/>
  <c r="L16" i="1"/>
  <c r="P16" i="1"/>
  <c r="L15" i="1"/>
  <c r="P15" i="1"/>
  <c r="K15" i="1"/>
  <c r="O15" i="1"/>
  <c r="J15" i="1"/>
  <c r="N15" i="1"/>
  <c r="L14" i="1"/>
  <c r="P14" i="1"/>
  <c r="J14" i="1"/>
  <c r="N14" i="1"/>
  <c r="K14" i="1"/>
  <c r="O14" i="1"/>
  <c r="K13" i="1"/>
  <c r="O13" i="1"/>
  <c r="J12" i="1"/>
  <c r="N12" i="1"/>
  <c r="I12" i="1"/>
  <c r="M12" i="1"/>
  <c r="L11" i="1"/>
  <c r="P11" i="1"/>
  <c r="J11" i="1"/>
  <c r="N11" i="1"/>
  <c r="L10" i="1"/>
  <c r="P10" i="1"/>
  <c r="I10" i="1"/>
  <c r="M10" i="1"/>
  <c r="K10" i="1"/>
  <c r="O10" i="1"/>
  <c r="L32" i="1"/>
  <c r="P32" i="1"/>
  <c r="K27" i="1"/>
  <c r="O27" i="1"/>
  <c r="J32" i="1"/>
  <c r="N32" i="1"/>
  <c r="I27" i="1"/>
  <c r="M27" i="1"/>
  <c r="L22" i="1"/>
  <c r="P22" i="1"/>
  <c r="J25" i="1"/>
  <c r="N25" i="1"/>
  <c r="L27" i="1"/>
  <c r="P27" i="1"/>
  <c r="I24" i="1"/>
  <c r="M24" i="1"/>
  <c r="K28" i="1"/>
  <c r="O28" i="1"/>
  <c r="J31" i="1"/>
  <c r="N31" i="1"/>
  <c r="J13" i="1"/>
  <c r="N13" i="1"/>
  <c r="I37" i="1"/>
  <c r="M37" i="1"/>
  <c r="L13" i="1"/>
  <c r="P13" i="1"/>
  <c r="J22" i="1"/>
  <c r="N22" i="1"/>
  <c r="L37" i="1"/>
  <c r="P37" i="1"/>
  <c r="L23" i="1"/>
  <c r="P23" i="1"/>
  <c r="J23" i="1"/>
  <c r="N23" i="1"/>
  <c r="J28" i="1"/>
  <c r="N28" i="1"/>
  <c r="I31" i="1"/>
  <c r="M31" i="1"/>
  <c r="L17" i="1"/>
  <c r="P17" i="1"/>
  <c r="I30" i="1"/>
  <c r="M30" i="1"/>
  <c r="J21" i="1"/>
  <c r="N21" i="1"/>
  <c r="L31" i="1"/>
  <c r="P31" i="1"/>
  <c r="K30" i="1"/>
  <c r="O30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I40" i="2"/>
  <c r="I41" i="2"/>
  <c r="I42" i="2"/>
  <c r="I43" i="2"/>
  <c r="U40" i="2"/>
  <c r="U41" i="2"/>
  <c r="U42" i="2"/>
  <c r="U43" i="2"/>
  <c r="B15" i="2"/>
  <c r="U44" i="2"/>
  <c r="U45" i="2"/>
  <c r="I44" i="2"/>
  <c r="I45" i="2"/>
  <c r="AL36" i="1"/>
  <c r="AL37" i="1"/>
  <c r="AL38" i="1"/>
  <c r="B16" i="2"/>
  <c r="M15" i="2"/>
  <c r="B17" i="2"/>
  <c r="M16" i="2"/>
  <c r="B18" i="2"/>
  <c r="M17" i="2"/>
  <c r="B19" i="2"/>
  <c r="M18" i="2"/>
  <c r="B20" i="2"/>
  <c r="M20" i="2"/>
  <c r="M19" i="2"/>
  <c r="B21" i="2"/>
  <c r="B22" i="2"/>
  <c r="M21" i="2"/>
  <c r="B23" i="2"/>
  <c r="M22" i="2"/>
  <c r="B24" i="2"/>
  <c r="M23" i="2"/>
  <c r="B25" i="2"/>
  <c r="M24" i="2"/>
  <c r="B26" i="2"/>
  <c r="M25" i="2"/>
  <c r="B27" i="2"/>
  <c r="M26" i="2"/>
  <c r="B28" i="2"/>
  <c r="M27" i="2"/>
  <c r="B29" i="2"/>
  <c r="M28" i="2"/>
  <c r="B30" i="2"/>
  <c r="M29" i="2"/>
  <c r="B31" i="2"/>
  <c r="M30" i="2"/>
  <c r="B32" i="2"/>
  <c r="M31" i="2"/>
  <c r="B33" i="2"/>
  <c r="M32" i="2"/>
  <c r="B34" i="2"/>
  <c r="M33" i="2"/>
  <c r="B35" i="2"/>
  <c r="M34" i="2"/>
  <c r="B36" i="2"/>
  <c r="M35" i="2"/>
  <c r="B37" i="2"/>
  <c r="M36" i="2"/>
  <c r="B38" i="2"/>
  <c r="M37" i="2"/>
  <c r="B39" i="2"/>
  <c r="M38" i="2"/>
  <c r="B40" i="2"/>
  <c r="M39" i="2"/>
  <c r="B41" i="2"/>
  <c r="M40" i="2"/>
  <c r="B42" i="2"/>
  <c r="M41" i="2"/>
  <c r="B43" i="2"/>
  <c r="M42" i="2"/>
  <c r="M43" i="2"/>
  <c r="B44" i="2"/>
  <c r="B45" i="2"/>
  <c r="M45" i="2"/>
  <c r="M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  <author>Eduardo Barrera Jimenez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AQ7" authorId="2" shapeId="0" xr:uid="{90511243-68DB-41C1-A91B-120D2A653E61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uso de generador por cortada programada de 44kv turno nocturno</t>
        </r>
      </text>
    </comment>
    <comment ref="G17" authorId="3" shapeId="0" xr:uid="{2B99A81E-D269-46D4-A31F-18900FF28FBD}">
      <text>
        <r>
          <rPr>
            <b/>
            <sz val="9"/>
            <color indexed="81"/>
            <rFont val="Tahoma"/>
            <family val="2"/>
          </rPr>
          <t>Eduardo Barrera Jimenez:</t>
        </r>
        <r>
          <rPr>
            <sz val="9"/>
            <color indexed="81"/>
            <rFont val="Tahoma"/>
            <family val="2"/>
          </rPr>
          <t xml:space="preserve">
se presentan dos cortes de 12kv que afectaron tramo qu - 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Ricardo Arancibia Leon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D14" authorId="1" shapeId="0" xr:uid="{40BF35A6-F5A3-4760-AABD-8EA6DE10483C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PRINCIPAL DE LIMACHE EN FALLA, AVERIA GENERADA SIN SOLUCION</t>
        </r>
      </text>
    </comment>
    <comment ref="D29" authorId="1" shapeId="0" xr:uid="{8F88C384-68E0-479A-B786-AE742B50AFEF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siemens atiende averia medidor oit 8157</t>
        </r>
      </text>
    </comment>
  </commentList>
</comments>
</file>

<file path=xl/sharedStrings.xml><?xml version="1.0" encoding="utf-8"?>
<sst xmlns="http://schemas.openxmlformats.org/spreadsheetml/2006/main" count="129" uniqueCount="76">
  <si>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</si>
  <si>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</si>
  <si>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</si>
  <si>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</si>
  <si>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</si>
  <si>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</si>
  <si>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</si>
  <si>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</si>
  <si>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</si>
  <si>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</si>
  <si>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</si>
  <si>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</si>
  <si>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</si>
  <si>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</si>
  <si>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</si>
  <si>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</si>
  <si>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</si>
  <si>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</si>
  <si>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</si>
  <si>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</si>
  <si>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</si>
  <si>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</si>
  <si>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</si>
  <si>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</si>
  <si>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</si>
  <si>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</si>
  <si>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</si>
  <si>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</si>
  <si>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</si>
  <si>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</si>
  <si>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</si>
  <si>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</si>
  <si>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</si>
  <si>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</si>
  <si>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</si>
  <si>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</si>
  <si>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</si>
  <si>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</si>
  <si>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</si>
  <si>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</si>
  <si>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</si>
  <si>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</si>
  <si>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</si>
  <si>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</si>
  <si>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</si>
  <si>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</si>
  <si>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</si>
  <si>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</si>
  <si>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</si>
  <si>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</si>
  <si>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</si>
  <si>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</si>
  <si>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</si>
  <si>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</si>
  <si>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</si>
  <si>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</si>
  <si>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</si>
  <si>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</si>
  <si>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</si>
  <si>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</si>
  <si>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</si>
  <si>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</si>
  <si>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</si>
  <si>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</si>
  <si>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</si>
  <si>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</si>
  <si>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</si>
  <si>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</si>
  <si>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</si>
  <si>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</si>
  <si>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18.12</t>
  </si>
  <si>
    <t>08.30</t>
  </si>
  <si>
    <t>08.35</t>
  </si>
  <si>
    <t>07.15</t>
  </si>
  <si>
    <t>05.00</t>
  </si>
  <si>
    <t>19;45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</si>
</sst>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3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51400</c:v>
                </c:pt>
                <c:pt idx="1">
                  <c:v>50576</c:v>
                </c:pt>
                <c:pt idx="2">
                  <c:v>50134</c:v>
                </c:pt>
                <c:pt idx="3">
                  <c:v>50832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45344</c:v>
                </c:pt>
                <c:pt idx="1">
                  <c:v>44126</c:v>
                </c:pt>
                <c:pt idx="2">
                  <c:v>43407</c:v>
                </c:pt>
                <c:pt idx="3">
                  <c:v>44354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view="pageBreakPreview" topLeftCell="A24" zoomScale="120" zoomScaleNormal="120" zoomScaleSheetLayoutView="120" workbookViewId="0">
      <selection activeCell="V40" sqref="V40"/>
    </sheetView>
  </sheetViews>
  <sheetFormatPr defaultColWidth="11.43359375" defaultRowHeight="15" x14ac:dyDescent="0.2"/>
  <cols>
    <col min="1" max="1" width="2.28515625" style="134" customWidth="1"/>
    <col min="2" max="2" width="10.35546875" style="14" customWidth="1"/>
    <col min="3" max="3" width="2.28515625" style="167" customWidth="1"/>
    <col min="4" max="4" width="15.87109375" style="14" customWidth="1"/>
    <col min="5" max="5" width="9.953125" style="14" customWidth="1"/>
    <col min="6" max="6" width="13.1796875" style="14" customWidth="1"/>
    <col min="7" max="7" width="9.28125" style="14" customWidth="1"/>
    <col min="8" max="8" width="15.19921875" style="14" customWidth="1"/>
    <col min="9" max="9" width="10.35546875" style="14" customWidth="1"/>
    <col min="10" max="12" width="10.22265625" style="14" customWidth="1"/>
    <col min="13" max="13" width="11.56640625" style="14" customWidth="1"/>
    <col min="14" max="15" width="11.703125" style="14" customWidth="1"/>
    <col min="16" max="16" width="11.56640625" style="14" customWidth="1"/>
    <col min="17" max="17" width="10.22265625" style="14" customWidth="1"/>
    <col min="18" max="22" width="11.703125" style="14" customWidth="1"/>
    <col min="23" max="23" width="10.35546875" style="14" customWidth="1"/>
    <col min="24" max="27" width="11.703125" style="14" customWidth="1"/>
    <col min="28" max="28" width="11.703125" style="13" customWidth="1"/>
    <col min="29" max="29" width="9.68359375" style="14" customWidth="1"/>
    <col min="30" max="30" width="10.22265625" style="14" customWidth="1"/>
    <col min="31" max="31" width="10.625" style="14" customWidth="1"/>
    <col min="32" max="32" width="11.97265625" style="14" customWidth="1"/>
    <col min="33" max="33" width="13.44921875" style="14" customWidth="1"/>
    <col min="34" max="34" width="11.43359375" style="14" customWidth="1"/>
    <col min="35" max="35" width="9.55078125" style="14" customWidth="1"/>
    <col min="36" max="36" width="10.22265625" style="14" customWidth="1"/>
    <col min="37" max="37" width="8.609375" style="14" customWidth="1"/>
    <col min="38" max="39" width="10.22265625" style="14" customWidth="1"/>
    <col min="40" max="40" width="9.68359375" style="14" customWidth="1"/>
    <col min="41" max="41" width="11.02734375" style="14" customWidth="1"/>
    <col min="42" max="42" width="11.8359375" style="14" customWidth="1"/>
    <col min="43" max="43" width="11.296875" style="14" customWidth="1"/>
    <col min="44" max="44" width="11.97265625" style="14" customWidth="1"/>
    <col min="45" max="45" width="11.296875" style="14" customWidth="1"/>
    <col min="46" max="46" width="9.28125" style="14" customWidth="1"/>
    <col min="47" max="47" width="9.4140625" style="14" customWidth="1"/>
    <col min="48" max="52" width="10.35546875" style="14" customWidth="1"/>
    <col min="53" max="53" width="10.625" style="14" customWidth="1"/>
    <col min="54" max="61" width="10.35546875" style="14" customWidth="1"/>
    <col min="62" max="62" width="11.02734375" style="14" customWidth="1"/>
    <col min="63" max="63" width="11.296875" style="14" customWidth="1"/>
    <col min="64" max="64" width="13.85546875" style="14" customWidth="1"/>
    <col min="65" max="65" width="13.31640625" style="14" customWidth="1"/>
    <col min="66" max="66" width="12.64453125" style="14" customWidth="1"/>
    <col min="67" max="67" width="10.35546875" style="14" customWidth="1"/>
    <col min="68" max="68" width="10.22265625" style="14" customWidth="1"/>
    <col min="69" max="69" width="10.35546875" style="14" customWidth="1"/>
    <col min="70" max="70" width="9.28125" style="14" customWidth="1"/>
    <col min="71" max="71" width="2.6875" style="14" customWidth="1"/>
    <col min="72" max="72" width="6.859375" style="14" customWidth="1"/>
    <col min="73" max="73" width="6.45703125" style="14" customWidth="1"/>
    <col min="74" max="16384" width="11.43359375" style="14"/>
  </cols>
  <sheetData>
    <row r="1" spans="1:72" s="133" customFormat="1" ht="14.65" customHeight="1" x14ac:dyDescent="0.2">
      <c r="A1" s="127">
        <v>1.1111111E+55</v>
      </c>
      <c r="B1" s="202" t="s">
        <v>0</v>
      </c>
      <c r="C1" s="128"/>
      <c r="D1" s="204" t="s">
        <v>1</v>
      </c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  <c r="P1" s="207"/>
      <c r="Q1" s="129"/>
      <c r="R1" s="184" t="s">
        <v>2</v>
      </c>
      <c r="S1" s="185"/>
      <c r="T1" s="185"/>
      <c r="U1" s="185"/>
      <c r="V1" s="185"/>
      <c r="W1" s="185"/>
      <c r="X1" s="185"/>
      <c r="Y1" s="185"/>
      <c r="Z1" s="185"/>
      <c r="AA1" s="186"/>
      <c r="AB1" s="130"/>
      <c r="AC1" s="184" t="s">
        <v>3</v>
      </c>
      <c r="AD1" s="185"/>
      <c r="AE1" s="185"/>
      <c r="AF1" s="185"/>
      <c r="AG1" s="185"/>
      <c r="AH1" s="185"/>
      <c r="AI1" s="185"/>
      <c r="AJ1" s="185"/>
      <c r="AK1" s="186"/>
      <c r="AL1" s="131"/>
      <c r="AM1" s="184" t="s">
        <v>4</v>
      </c>
      <c r="AN1" s="185"/>
      <c r="AO1" s="185"/>
      <c r="AP1" s="185"/>
      <c r="AQ1" s="185"/>
      <c r="AR1" s="185"/>
      <c r="AS1" s="185"/>
      <c r="AT1" s="185"/>
      <c r="AU1" s="186"/>
      <c r="AV1" s="131"/>
      <c r="AW1" s="184" t="s">
        <v>58</v>
      </c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6"/>
      <c r="BI1" s="131"/>
      <c r="BJ1" s="184" t="s">
        <v>5</v>
      </c>
      <c r="BK1" s="185"/>
      <c r="BL1" s="185"/>
      <c r="BM1" s="185"/>
      <c r="BN1" s="185"/>
      <c r="BO1" s="185"/>
      <c r="BP1" s="185"/>
      <c r="BQ1" s="185"/>
      <c r="BR1" s="186"/>
      <c r="BS1" s="132"/>
    </row>
    <row r="2" spans="1:72" ht="15" customHeight="1" thickBot="1" x14ac:dyDescent="0.25">
      <c r="B2" s="202"/>
      <c r="C2" s="1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  <c r="P2" s="211"/>
      <c r="Q2" s="58"/>
      <c r="R2" s="187"/>
      <c r="S2" s="188"/>
      <c r="T2" s="188"/>
      <c r="U2" s="188"/>
      <c r="V2" s="188"/>
      <c r="W2" s="188"/>
      <c r="X2" s="188"/>
      <c r="Y2" s="188"/>
      <c r="Z2" s="188"/>
      <c r="AA2" s="189"/>
      <c r="AB2" s="60"/>
      <c r="AC2" s="187"/>
      <c r="AD2" s="188"/>
      <c r="AE2" s="188"/>
      <c r="AF2" s="188"/>
      <c r="AG2" s="188"/>
      <c r="AH2" s="188"/>
      <c r="AI2" s="188"/>
      <c r="AJ2" s="188"/>
      <c r="AK2" s="189"/>
      <c r="AL2" s="59"/>
      <c r="AM2" s="187"/>
      <c r="AN2" s="188"/>
      <c r="AO2" s="188"/>
      <c r="AP2" s="188"/>
      <c r="AQ2" s="188"/>
      <c r="AR2" s="188"/>
      <c r="AS2" s="188"/>
      <c r="AT2" s="188"/>
      <c r="AU2" s="189"/>
      <c r="AV2" s="59"/>
      <c r="AW2" s="187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9"/>
      <c r="BI2" s="59"/>
      <c r="BJ2" s="187"/>
      <c r="BK2" s="188"/>
      <c r="BL2" s="188"/>
      <c r="BM2" s="188"/>
      <c r="BN2" s="188"/>
      <c r="BO2" s="188"/>
      <c r="BP2" s="188"/>
      <c r="BQ2" s="188"/>
      <c r="BR2" s="189"/>
      <c r="BS2" s="135"/>
    </row>
    <row r="3" spans="1:72" ht="30" customHeight="1" thickBot="1" x14ac:dyDescent="0.25">
      <c r="B3" s="202"/>
      <c r="C3" s="1"/>
      <c r="D3" s="190" t="s">
        <v>6</v>
      </c>
      <c r="E3" s="190" t="s">
        <v>7</v>
      </c>
      <c r="F3" s="190" t="s">
        <v>8</v>
      </c>
      <c r="G3" s="190" t="s">
        <v>9</v>
      </c>
      <c r="H3" s="190" t="s">
        <v>10</v>
      </c>
      <c r="I3" s="212" t="s">
        <v>11</v>
      </c>
      <c r="J3" s="213"/>
      <c r="K3" s="214"/>
      <c r="L3" s="215"/>
      <c r="M3" s="212" t="s">
        <v>12</v>
      </c>
      <c r="N3" s="213"/>
      <c r="O3" s="214"/>
      <c r="P3" s="215"/>
      <c r="Q3" s="58"/>
      <c r="R3" s="194" t="s">
        <v>13</v>
      </c>
      <c r="S3" s="195"/>
      <c r="T3" s="216"/>
      <c r="U3" s="216"/>
      <c r="V3" s="194" t="s">
        <v>14</v>
      </c>
      <c r="W3" s="195"/>
      <c r="X3" s="195"/>
      <c r="Y3" s="195"/>
      <c r="Z3" s="195"/>
      <c r="AA3" s="196"/>
      <c r="AB3" s="60"/>
      <c r="AC3" s="192" t="s">
        <v>15</v>
      </c>
      <c r="AD3" s="217" t="s">
        <v>9</v>
      </c>
      <c r="AE3" s="194" t="s">
        <v>13</v>
      </c>
      <c r="AF3" s="195"/>
      <c r="AG3" s="196"/>
      <c r="AH3" s="194" t="s">
        <v>14</v>
      </c>
      <c r="AI3" s="195"/>
      <c r="AJ3" s="195"/>
      <c r="AK3" s="196"/>
      <c r="AL3" s="59"/>
      <c r="AM3" s="197" t="s">
        <v>15</v>
      </c>
      <c r="AN3" s="192" t="s">
        <v>9</v>
      </c>
      <c r="AO3" s="201" t="s">
        <v>13</v>
      </c>
      <c r="AP3" s="195"/>
      <c r="AQ3" s="196"/>
      <c r="AR3" s="194" t="s">
        <v>14</v>
      </c>
      <c r="AS3" s="195"/>
      <c r="AT3" s="195"/>
      <c r="AU3" s="196"/>
      <c r="AV3" s="59"/>
      <c r="AW3" s="192" t="s">
        <v>15</v>
      </c>
      <c r="AX3" s="192" t="s">
        <v>9</v>
      </c>
      <c r="AY3" s="201" t="s">
        <v>13</v>
      </c>
      <c r="AZ3" s="201"/>
      <c r="BA3" s="195"/>
      <c r="BB3" s="196"/>
      <c r="BC3" s="194" t="s">
        <v>14</v>
      </c>
      <c r="BD3" s="201"/>
      <c r="BE3" s="201"/>
      <c r="BF3" s="195"/>
      <c r="BG3" s="195"/>
      <c r="BH3" s="196"/>
      <c r="BI3" s="59"/>
      <c r="BJ3" s="197" t="s">
        <v>16</v>
      </c>
      <c r="BK3" s="192" t="s">
        <v>17</v>
      </c>
      <c r="BL3" s="198" t="s">
        <v>18</v>
      </c>
      <c r="BM3" s="199"/>
      <c r="BN3" s="200"/>
      <c r="BO3" s="201" t="s">
        <v>14</v>
      </c>
      <c r="BP3" s="195"/>
      <c r="BQ3" s="195"/>
      <c r="BR3" s="196"/>
      <c r="BS3" s="135"/>
    </row>
    <row r="4" spans="1:72" ht="56.25" customHeight="1" thickBot="1" x14ac:dyDescent="0.25">
      <c r="B4" s="203"/>
      <c r="C4" s="2"/>
      <c r="D4" s="191"/>
      <c r="E4" s="191"/>
      <c r="F4" s="191"/>
      <c r="G4" s="191"/>
      <c r="H4" s="191"/>
      <c r="I4" s="80" t="s">
        <v>3</v>
      </c>
      <c r="J4" s="81" t="s">
        <v>4</v>
      </c>
      <c r="K4" s="82" t="s">
        <v>58</v>
      </c>
      <c r="L4" s="82" t="s">
        <v>5</v>
      </c>
      <c r="M4" s="81" t="s">
        <v>3</v>
      </c>
      <c r="N4" s="81" t="s">
        <v>4</v>
      </c>
      <c r="O4" s="81" t="s">
        <v>58</v>
      </c>
      <c r="P4" s="81" t="s">
        <v>19</v>
      </c>
      <c r="Q4" s="60"/>
      <c r="R4" s="122" t="s">
        <v>20</v>
      </c>
      <c r="S4" s="62" t="s">
        <v>21</v>
      </c>
      <c r="T4" s="62" t="s">
        <v>60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3"/>
      <c r="AD4" s="185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4"/>
      <c r="AN4" s="193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3"/>
      <c r="AX4" s="193"/>
      <c r="AY4" s="123" t="s">
        <v>27</v>
      </c>
      <c r="AZ4" s="62" t="s">
        <v>59</v>
      </c>
      <c r="BA4" s="123" t="s">
        <v>61</v>
      </c>
      <c r="BB4" s="62" t="s">
        <v>29</v>
      </c>
      <c r="BC4" s="123" t="s">
        <v>56</v>
      </c>
      <c r="BD4" s="62" t="s">
        <v>24</v>
      </c>
      <c r="BE4" s="123" t="s">
        <v>57</v>
      </c>
      <c r="BF4" s="62" t="s">
        <v>24</v>
      </c>
      <c r="BG4" s="123" t="s">
        <v>31</v>
      </c>
      <c r="BH4" s="62" t="s">
        <v>24</v>
      </c>
      <c r="BI4" s="61"/>
      <c r="BJ4" s="184"/>
      <c r="BK4" s="193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2" ht="15.75" thickBot="1" x14ac:dyDescent="0.25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2" ht="15.75" thickBot="1" x14ac:dyDescent="0.25">
      <c r="B6" s="168">
        <v>45838</v>
      </c>
      <c r="C6" s="183"/>
      <c r="D6" s="87">
        <f t="shared" ref="D6" si="0">R6</f>
        <v>53980</v>
      </c>
      <c r="E6" s="159">
        <f t="shared" ref="E6" si="1">F6/D6</f>
        <v>0.87404594294183036</v>
      </c>
      <c r="F6" s="87">
        <f t="shared" ref="F6" si="2">D6-H6</f>
        <v>47181</v>
      </c>
      <c r="G6" s="159">
        <f t="shared" ref="G6" si="3">H6/D6</f>
        <v>0.1259540570581697</v>
      </c>
      <c r="H6" s="146">
        <f t="shared" ref="H6" si="4">U6+AG6+AQ6+BB6</f>
        <v>6799</v>
      </c>
      <c r="I6" s="160">
        <f t="shared" ref="I6" si="5">AE6/(AE6+AO6+BL6+AY6)</f>
        <v>0.10819586699003829</v>
      </c>
      <c r="J6" s="159">
        <f t="shared" ref="J6" si="6">AO6/(AE6+AO6+BL6+AY6)</f>
        <v>0.15922711511094184</v>
      </c>
      <c r="K6" s="159">
        <f t="shared" ref="K6" si="7">AY6/(AF6+AP6+BM6+AZ6+AY6)</f>
        <v>0.18650718608169439</v>
      </c>
      <c r="L6" s="161">
        <f t="shared" ref="L6" si="8">BL6/(AE6+AO6+BL6+AY6)</f>
        <v>0.57443226233188349</v>
      </c>
      <c r="M6" s="146">
        <f>(S6+T6)*I6</f>
        <v>5660.8077609188031</v>
      </c>
      <c r="N6" s="146">
        <f>(S6+T6)*J6</f>
        <v>8330.7626626044766</v>
      </c>
      <c r="O6" s="146">
        <f>(S6+T6)*K6</f>
        <v>9758.0559757942501</v>
      </c>
      <c r="P6" s="146">
        <f>(S6+T6)*L6</f>
        <v>30054.295965204143</v>
      </c>
      <c r="Q6" s="168">
        <f>B6</f>
        <v>45838</v>
      </c>
      <c r="R6" s="139">
        <v>53980</v>
      </c>
      <c r="S6" s="140">
        <v>0</v>
      </c>
      <c r="T6" s="140">
        <v>52320</v>
      </c>
      <c r="U6" s="140">
        <v>0</v>
      </c>
      <c r="V6" s="141">
        <v>13200</v>
      </c>
      <c r="W6" s="142">
        <v>0.79166666666666663</v>
      </c>
      <c r="X6" s="141">
        <v>4520</v>
      </c>
      <c r="Y6" s="142">
        <v>0.75</v>
      </c>
      <c r="Z6" s="141">
        <v>0</v>
      </c>
      <c r="AA6" s="142">
        <v>0</v>
      </c>
      <c r="AB6" s="168">
        <f>B6</f>
        <v>45838</v>
      </c>
      <c r="AC6" s="76">
        <f t="shared" ref="AC6" si="9">+AF6/AE6</f>
        <v>1</v>
      </c>
      <c r="AD6" s="162">
        <f t="shared" ref="AD6" si="10">+AG6/AE6</f>
        <v>0</v>
      </c>
      <c r="AE6" s="163">
        <v>5398</v>
      </c>
      <c r="AF6" s="118">
        <f t="shared" ref="AF6" si="11">+AE6-AG6</f>
        <v>5398</v>
      </c>
      <c r="AG6" s="147">
        <v>0</v>
      </c>
      <c r="AH6" s="148">
        <v>3749</v>
      </c>
      <c r="AI6" s="149">
        <v>0.76666666666666672</v>
      </c>
      <c r="AJ6" s="148">
        <v>0</v>
      </c>
      <c r="AK6" s="165">
        <v>0</v>
      </c>
      <c r="AL6" s="168">
        <f>B6</f>
        <v>45838</v>
      </c>
      <c r="AM6" s="77">
        <f t="shared" ref="AM6" si="12">+AP6/AO6</f>
        <v>0.4607250755287009</v>
      </c>
      <c r="AN6" s="76">
        <f t="shared" ref="AN6" si="13">+AQ6/AO6</f>
        <v>0.5392749244712991</v>
      </c>
      <c r="AO6" s="150">
        <v>7944</v>
      </c>
      <c r="AP6" s="117">
        <f t="shared" ref="AP6" si="14">AO6-AQ6</f>
        <v>3660</v>
      </c>
      <c r="AQ6" s="151">
        <v>4284</v>
      </c>
      <c r="AR6" s="152">
        <v>3565</v>
      </c>
      <c r="AS6" s="153">
        <v>0.35347222222222224</v>
      </c>
      <c r="AT6" s="152">
        <v>220</v>
      </c>
      <c r="AU6" s="154">
        <v>0.30416666666666664</v>
      </c>
      <c r="AV6" s="168">
        <f>B6</f>
        <v>45838</v>
      </c>
      <c r="AW6" s="169">
        <f t="shared" ref="AW6" si="15">BA6/AZ6</f>
        <v>0.68124207858048158</v>
      </c>
      <c r="AX6" s="169">
        <f t="shared" ref="AX6" si="16">BB6/AZ6</f>
        <v>0.31875792141951836</v>
      </c>
      <c r="AY6" s="111">
        <f t="shared" ref="AY6" si="17">BA6+BB6</f>
        <v>7890</v>
      </c>
      <c r="AZ6" s="112">
        <v>7890</v>
      </c>
      <c r="BA6" s="170">
        <f t="shared" ref="BA6" si="18">AZ6-BB6</f>
        <v>5375</v>
      </c>
      <c r="BB6" s="113">
        <v>2515</v>
      </c>
      <c r="BC6" s="112">
        <v>3750</v>
      </c>
      <c r="BD6" s="114">
        <v>0.70833333333333337</v>
      </c>
      <c r="BE6" s="115">
        <v>0</v>
      </c>
      <c r="BF6" s="114">
        <v>0</v>
      </c>
      <c r="BG6" s="115">
        <v>150</v>
      </c>
      <c r="BH6" s="114" t="s">
        <v>71</v>
      </c>
      <c r="BI6" s="168">
        <f>B6</f>
        <v>45838</v>
      </c>
      <c r="BJ6" s="171">
        <f t="shared" ref="BJ6" si="19">+BM6/BL6</f>
        <v>0.6094420600858369</v>
      </c>
      <c r="BK6" s="76">
        <f t="shared" ref="BK6" si="20">+BN6/BL6</f>
        <v>0.3905579399141631</v>
      </c>
      <c r="BL6" s="79">
        <f t="shared" ref="BL6" si="21">BM6+BN6</f>
        <v>28659</v>
      </c>
      <c r="BM6" s="155">
        <v>17466</v>
      </c>
      <c r="BN6" s="155">
        <v>11193</v>
      </c>
      <c r="BO6" s="156">
        <v>3734</v>
      </c>
      <c r="BP6" s="157">
        <v>0.76736111111111116</v>
      </c>
      <c r="BQ6" s="158">
        <v>2460</v>
      </c>
      <c r="BR6" s="157">
        <v>0.76736111111111116</v>
      </c>
    </row>
    <row r="7" spans="1:72" ht="15.75" thickBot="1" x14ac:dyDescent="0.25">
      <c r="A7" s="166"/>
      <c r="B7" s="56">
        <f>B6+1</f>
        <v>45839</v>
      </c>
      <c r="C7" s="126"/>
      <c r="D7" s="87">
        <f t="shared" ref="D7:D10" si="22">R7</f>
        <v>51400</v>
      </c>
      <c r="E7" s="159">
        <f t="shared" ref="E7:E10" si="23">F7/D7</f>
        <v>0.88217898832684827</v>
      </c>
      <c r="F7" s="87">
        <f t="shared" ref="F7:F10" si="24">D7-H7</f>
        <v>45344</v>
      </c>
      <c r="G7" s="159">
        <f t="shared" ref="G7:G10" si="25">H7/D7</f>
        <v>0.11782101167315175</v>
      </c>
      <c r="H7" s="146">
        <f t="shared" ref="H7:H10" si="26">U7+AG7+AQ7+BB7</f>
        <v>6056</v>
      </c>
      <c r="I7" s="160">
        <f t="shared" ref="I7:I10" si="27">AE7/(AE7+AO7+BL7+AY7)</f>
        <v>0.10838987257984445</v>
      </c>
      <c r="J7" s="159">
        <f t="shared" ref="J7:J10" si="28">AO7/(AE7+AO7+BL7+AY7)</f>
        <v>0.14802250537812345</v>
      </c>
      <c r="K7" s="159">
        <f t="shared" ref="K7:K10" si="29">AY7/(AF7+AP7+BM7+AZ7+AY7)</f>
        <v>0.19282500535625016</v>
      </c>
      <c r="L7" s="161">
        <f t="shared" ref="L7:L10" si="30">BL7/(AE7+AO7+BL7+AY7)</f>
        <v>0.57603839152738701</v>
      </c>
      <c r="M7" s="146">
        <f t="shared" ref="M7:M10" si="31">(S7+T7)*I7</f>
        <v>5625.4343868939268</v>
      </c>
      <c r="N7" s="146">
        <f t="shared" ref="N7:N10" si="32">(S7+T7)*J7</f>
        <v>7682.3680291246073</v>
      </c>
      <c r="O7" s="146">
        <f t="shared" ref="O7:O10" si="33">(S7+T7)*K7</f>
        <v>10007.617777989384</v>
      </c>
      <c r="P7" s="146">
        <f t="shared" ref="P7:P10" si="34">(S7+T7)*L7</f>
        <v>29896.392520271387</v>
      </c>
      <c r="Q7" s="56">
        <f>Q6+1</f>
        <v>45839</v>
      </c>
      <c r="R7" s="139">
        <v>51400</v>
      </c>
      <c r="S7" s="140">
        <v>0</v>
      </c>
      <c r="T7" s="140">
        <v>51900</v>
      </c>
      <c r="U7" s="140">
        <v>0</v>
      </c>
      <c r="V7" s="141">
        <v>12100</v>
      </c>
      <c r="W7" s="142">
        <v>0.75</v>
      </c>
      <c r="X7" s="141">
        <v>4500</v>
      </c>
      <c r="Y7" s="142">
        <v>0.79166666666666663</v>
      </c>
      <c r="Z7" s="141">
        <v>0</v>
      </c>
      <c r="AA7" s="142">
        <v>0</v>
      </c>
      <c r="AB7" s="56">
        <f>AB6+1</f>
        <v>45839</v>
      </c>
      <c r="AC7" s="76">
        <f t="shared" ref="AC7:AC10" si="35">+AF7/AE7</f>
        <v>1</v>
      </c>
      <c r="AD7" s="162">
        <f t="shared" ref="AD7:AD10" si="36">+AG7/AE7</f>
        <v>0</v>
      </c>
      <c r="AE7" s="163">
        <v>5240</v>
      </c>
      <c r="AF7" s="118">
        <f t="shared" ref="AF7:AF38" si="37">+AE7-AG7</f>
        <v>5240</v>
      </c>
      <c r="AG7" s="147">
        <v>0</v>
      </c>
      <c r="AH7" s="148">
        <v>3674</v>
      </c>
      <c r="AI7" s="149">
        <v>0.33750000000000002</v>
      </c>
      <c r="AJ7" s="148">
        <v>0</v>
      </c>
      <c r="AK7" s="165">
        <v>0</v>
      </c>
      <c r="AL7" s="56">
        <f t="shared" ref="AL7:AL38" si="38">AL6+1</f>
        <v>45839</v>
      </c>
      <c r="AM7" s="77">
        <f t="shared" ref="AM7:AM10" si="39">+AP7/AO7</f>
        <v>0.50167691447736162</v>
      </c>
      <c r="AN7" s="76">
        <f t="shared" ref="AN7:AN10" si="40">+AQ7/AO7</f>
        <v>0.49832308552263832</v>
      </c>
      <c r="AO7" s="150">
        <v>7156</v>
      </c>
      <c r="AP7" s="117">
        <f t="shared" ref="AP7:AP38" si="41">AO7-AQ7</f>
        <v>3590</v>
      </c>
      <c r="AQ7" s="151">
        <v>3566</v>
      </c>
      <c r="AR7" s="152">
        <v>3632</v>
      </c>
      <c r="AS7" s="153" t="s">
        <v>70</v>
      </c>
      <c r="AT7" s="152">
        <v>206</v>
      </c>
      <c r="AU7" s="154">
        <v>0.3659722222222222</v>
      </c>
      <c r="AV7" s="56">
        <f>AV6+1</f>
        <v>45839</v>
      </c>
      <c r="AW7" s="110">
        <f t="shared" ref="AW7:AW10" si="42">BA7/AZ7</f>
        <v>0.69259259259259254</v>
      </c>
      <c r="AX7" s="110">
        <f t="shared" ref="AX7:AX10" si="43">BB7/AZ7</f>
        <v>0.30740740740740741</v>
      </c>
      <c r="AY7" s="111">
        <f t="shared" ref="AY7:AY37" si="44">BA7+BB7</f>
        <v>8100</v>
      </c>
      <c r="AZ7" s="112">
        <v>8100</v>
      </c>
      <c r="BA7" s="120">
        <f t="shared" ref="BA7:BA12" si="45">AZ7-BB7</f>
        <v>5610</v>
      </c>
      <c r="BB7" s="113">
        <v>2490</v>
      </c>
      <c r="BC7" s="112">
        <v>3970</v>
      </c>
      <c r="BD7" s="114">
        <v>0.75</v>
      </c>
      <c r="BE7" s="115">
        <v>0</v>
      </c>
      <c r="BF7" s="114">
        <v>0</v>
      </c>
      <c r="BG7" s="115">
        <v>151</v>
      </c>
      <c r="BH7" s="114">
        <v>0.3125</v>
      </c>
      <c r="BI7" s="56">
        <f>BI6+1</f>
        <v>45839</v>
      </c>
      <c r="BJ7" s="78">
        <f t="shared" ref="BJ7:BJ10" si="46">+BM7/BL7</f>
        <v>0.60963085320310251</v>
      </c>
      <c r="BK7" s="76">
        <f t="shared" ref="BK7:BK10" si="47">+BN7/BL7</f>
        <v>0.39036914679689744</v>
      </c>
      <c r="BL7" s="79">
        <f t="shared" ref="BL7:BL10" si="48">BM7+BN7</f>
        <v>27848</v>
      </c>
      <c r="BM7" s="155">
        <v>16977</v>
      </c>
      <c r="BN7" s="155">
        <v>10871</v>
      </c>
      <c r="BO7" s="156">
        <v>3703</v>
      </c>
      <c r="BP7" s="157">
        <v>0.79236111111111107</v>
      </c>
      <c r="BQ7" s="158">
        <v>2461</v>
      </c>
      <c r="BR7" s="157">
        <v>0.79236111111111107</v>
      </c>
    </row>
    <row r="8" spans="1:72" ht="15.75" thickBot="1" x14ac:dyDescent="0.25">
      <c r="A8" s="166"/>
      <c r="B8" s="56">
        <f t="shared" ref="B8:B36" si="49">B7+1</f>
        <v>45840</v>
      </c>
      <c r="C8" s="164"/>
      <c r="D8" s="87">
        <f t="shared" si="22"/>
        <v>50576</v>
      </c>
      <c r="E8" s="159">
        <f t="shared" si="23"/>
        <v>0.87246915533059155</v>
      </c>
      <c r="F8" s="87">
        <f t="shared" si="24"/>
        <v>44126</v>
      </c>
      <c r="G8" s="159">
        <f t="shared" si="25"/>
        <v>0.12753084466940842</v>
      </c>
      <c r="H8" s="146">
        <v>6450</v>
      </c>
      <c r="I8" s="160">
        <f t="shared" si="27"/>
        <v>0.11168965027011658</v>
      </c>
      <c r="J8" s="159">
        <f t="shared" si="28"/>
        <v>0.15885342621552459</v>
      </c>
      <c r="K8" s="159">
        <f t="shared" si="29"/>
        <v>0.16089092976846983</v>
      </c>
      <c r="L8" s="161">
        <f t="shared" si="30"/>
        <v>0.59621125959624677</v>
      </c>
      <c r="M8" s="146">
        <f t="shared" si="31"/>
        <v>5505.0711721637763</v>
      </c>
      <c r="N8" s="146">
        <f t="shared" si="32"/>
        <v>7829.7265247369915</v>
      </c>
      <c r="O8" s="146">
        <f t="shared" si="33"/>
        <v>7930.1530373581099</v>
      </c>
      <c r="P8" s="146">
        <f t="shared" si="34"/>
        <v>29386.656774239407</v>
      </c>
      <c r="Q8" s="56">
        <f t="shared" ref="Q8:Q37" si="50">Q7+1</f>
        <v>45840</v>
      </c>
      <c r="R8" s="139">
        <v>50576</v>
      </c>
      <c r="S8" s="140">
        <v>0</v>
      </c>
      <c r="T8" s="140">
        <v>49289</v>
      </c>
      <c r="U8" s="140">
        <v>0</v>
      </c>
      <c r="V8" s="141">
        <v>13006</v>
      </c>
      <c r="W8" s="142">
        <v>0.40625</v>
      </c>
      <c r="X8" s="141">
        <v>4096</v>
      </c>
      <c r="Y8" s="142">
        <v>0.80208333333333337</v>
      </c>
      <c r="Z8" s="141">
        <v>0</v>
      </c>
      <c r="AA8" s="142">
        <v>0</v>
      </c>
      <c r="AB8" s="56">
        <f t="shared" ref="AB8:AB38" si="51">AB7+1</f>
        <v>45840</v>
      </c>
      <c r="AC8" s="76">
        <f t="shared" si="35"/>
        <v>1</v>
      </c>
      <c r="AD8" s="162">
        <f t="shared" si="36"/>
        <v>0</v>
      </c>
      <c r="AE8" s="163">
        <v>6285</v>
      </c>
      <c r="AF8" s="118">
        <f t="shared" si="37"/>
        <v>6285</v>
      </c>
      <c r="AG8" s="147">
        <v>0</v>
      </c>
      <c r="AH8" s="148">
        <v>3411</v>
      </c>
      <c r="AI8" s="149">
        <v>0.36736111111111114</v>
      </c>
      <c r="AJ8" s="148">
        <v>0</v>
      </c>
      <c r="AK8" s="165">
        <v>0</v>
      </c>
      <c r="AL8" s="56">
        <f t="shared" si="38"/>
        <v>45840</v>
      </c>
      <c r="AM8" s="77">
        <f t="shared" si="39"/>
        <v>0.53809150911735093</v>
      </c>
      <c r="AN8" s="76">
        <f t="shared" si="40"/>
        <v>0.46190849088264907</v>
      </c>
      <c r="AO8" s="150">
        <v>8939</v>
      </c>
      <c r="AP8" s="117">
        <f t="shared" si="41"/>
        <v>4810</v>
      </c>
      <c r="AQ8" s="151">
        <v>4129</v>
      </c>
      <c r="AR8" s="152">
        <v>3534</v>
      </c>
      <c r="AS8" s="153">
        <v>0.33958333333333335</v>
      </c>
      <c r="AT8" s="152">
        <v>204</v>
      </c>
      <c r="AU8" s="154">
        <v>0.80208333333333337</v>
      </c>
      <c r="AV8" s="56">
        <f t="shared" ref="AV8:AV38" si="52">AV7+1</f>
        <v>45840</v>
      </c>
      <c r="AW8" s="110">
        <f t="shared" si="42"/>
        <v>0.64483862363296884</v>
      </c>
      <c r="AX8" s="110">
        <f t="shared" si="43"/>
        <v>0.35516137636703121</v>
      </c>
      <c r="AY8" s="111">
        <f t="shared" si="44"/>
        <v>7498</v>
      </c>
      <c r="AZ8" s="112">
        <v>7498</v>
      </c>
      <c r="BA8" s="120">
        <f t="shared" si="45"/>
        <v>4835</v>
      </c>
      <c r="BB8" s="113">
        <f>1593+1070</f>
        <v>2663</v>
      </c>
      <c r="BC8" s="112">
        <v>3236</v>
      </c>
      <c r="BD8" s="114">
        <v>0.6875</v>
      </c>
      <c r="BE8" s="115">
        <v>0</v>
      </c>
      <c r="BF8" s="114">
        <v>0</v>
      </c>
      <c r="BG8" s="115">
        <v>138</v>
      </c>
      <c r="BH8" s="114">
        <v>0.32291666666666669</v>
      </c>
      <c r="BI8" s="56">
        <f t="shared" ref="BI8:BI38" si="53">BI7+1</f>
        <v>45840</v>
      </c>
      <c r="BJ8" s="78">
        <f t="shared" si="46"/>
        <v>0.61138599105812219</v>
      </c>
      <c r="BK8" s="76">
        <f t="shared" si="47"/>
        <v>0.38861400894187781</v>
      </c>
      <c r="BL8" s="79">
        <f t="shared" si="48"/>
        <v>33550</v>
      </c>
      <c r="BM8" s="155">
        <v>20512</v>
      </c>
      <c r="BN8" s="155">
        <v>13038</v>
      </c>
      <c r="BO8" s="156">
        <v>3536</v>
      </c>
      <c r="BP8" s="157">
        <v>0.31388888888888888</v>
      </c>
      <c r="BQ8" s="158">
        <v>2338</v>
      </c>
      <c r="BR8" s="157">
        <v>0.31388888888888888</v>
      </c>
    </row>
    <row r="9" spans="1:72" ht="15.75" thickBot="1" x14ac:dyDescent="0.25">
      <c r="A9" s="166" t="s">
        <v>68</v>
      </c>
      <c r="B9" s="56">
        <f t="shared" si="49"/>
        <v>45841</v>
      </c>
      <c r="C9" s="164"/>
      <c r="D9" s="87">
        <f t="shared" si="22"/>
        <v>50134</v>
      </c>
      <c r="E9" s="159">
        <f t="shared" si="23"/>
        <v>0.86581960346271991</v>
      </c>
      <c r="F9" s="87">
        <f t="shared" si="24"/>
        <v>43407</v>
      </c>
      <c r="G9" s="159">
        <f t="shared" si="25"/>
        <v>0.13418039653728009</v>
      </c>
      <c r="H9" s="146">
        <f t="shared" si="26"/>
        <v>6727</v>
      </c>
      <c r="I9" s="160">
        <f t="shared" si="27"/>
        <v>0.11287949472475418</v>
      </c>
      <c r="J9" s="159">
        <f t="shared" si="28"/>
        <v>0.15849063374721883</v>
      </c>
      <c r="K9" s="159">
        <f t="shared" si="29"/>
        <v>0.1612275772638859</v>
      </c>
      <c r="L9" s="161">
        <f t="shared" si="30"/>
        <v>0.59477499461709615</v>
      </c>
      <c r="M9" s="146">
        <f t="shared" si="31"/>
        <v>5496.4412366324559</v>
      </c>
      <c r="N9" s="146">
        <f t="shared" si="32"/>
        <v>7717.384429053327</v>
      </c>
      <c r="O9" s="146">
        <f t="shared" si="33"/>
        <v>7850.6544197103958</v>
      </c>
      <c r="P9" s="146">
        <f t="shared" si="34"/>
        <v>28961.378812890263</v>
      </c>
      <c r="Q9" s="56">
        <f t="shared" si="50"/>
        <v>45841</v>
      </c>
      <c r="R9" s="139">
        <v>50134</v>
      </c>
      <c r="S9" s="140">
        <v>0</v>
      </c>
      <c r="T9" s="140">
        <v>48693</v>
      </c>
      <c r="U9" s="140">
        <v>0</v>
      </c>
      <c r="V9" s="141">
        <v>12664</v>
      </c>
      <c r="W9" s="142">
        <v>0.79166666666666663</v>
      </c>
      <c r="X9" s="141">
        <v>4038</v>
      </c>
      <c r="Y9" s="142">
        <v>0.38541666666666669</v>
      </c>
      <c r="Z9" s="141">
        <v>0</v>
      </c>
      <c r="AA9" s="142">
        <v>0</v>
      </c>
      <c r="AB9" s="56">
        <f t="shared" si="51"/>
        <v>45841</v>
      </c>
      <c r="AC9" s="76">
        <f t="shared" si="35"/>
        <v>1</v>
      </c>
      <c r="AD9" s="162">
        <f t="shared" si="36"/>
        <v>0</v>
      </c>
      <c r="AE9" s="163">
        <v>6291</v>
      </c>
      <c r="AF9" s="118">
        <f t="shared" si="37"/>
        <v>6291</v>
      </c>
      <c r="AG9" s="147">
        <v>0</v>
      </c>
      <c r="AH9" s="148">
        <v>3213</v>
      </c>
      <c r="AI9" s="149">
        <v>0.71666666666666667</v>
      </c>
      <c r="AJ9" s="148">
        <v>0</v>
      </c>
      <c r="AK9" s="165">
        <v>0</v>
      </c>
      <c r="AL9" s="56">
        <f t="shared" si="38"/>
        <v>45841</v>
      </c>
      <c r="AM9" s="77">
        <f t="shared" si="39"/>
        <v>0.53979395448884859</v>
      </c>
      <c r="AN9" s="76">
        <f t="shared" si="40"/>
        <v>0.46020604551115135</v>
      </c>
      <c r="AO9" s="150">
        <v>8833</v>
      </c>
      <c r="AP9" s="117">
        <f t="shared" si="41"/>
        <v>4768</v>
      </c>
      <c r="AQ9" s="151">
        <v>4065</v>
      </c>
      <c r="AR9" s="152">
        <v>3621</v>
      </c>
      <c r="AS9" s="153">
        <v>0.36944444444444446</v>
      </c>
      <c r="AT9" s="152">
        <v>195</v>
      </c>
      <c r="AU9" s="154">
        <v>0.875</v>
      </c>
      <c r="AV9" s="56">
        <f t="shared" si="52"/>
        <v>45841</v>
      </c>
      <c r="AW9" s="110">
        <f t="shared" si="42"/>
        <v>0.64316353887399469</v>
      </c>
      <c r="AX9" s="110">
        <f t="shared" si="43"/>
        <v>0.35683646112600537</v>
      </c>
      <c r="AY9" s="111">
        <f t="shared" si="44"/>
        <v>7460</v>
      </c>
      <c r="AZ9" s="112">
        <v>7460</v>
      </c>
      <c r="BA9" s="120">
        <f t="shared" si="45"/>
        <v>4798</v>
      </c>
      <c r="BB9" s="113">
        <f>1593+1069</f>
        <v>2662</v>
      </c>
      <c r="BC9" s="112">
        <v>3680</v>
      </c>
      <c r="BD9" s="114">
        <v>0.78125</v>
      </c>
      <c r="BE9" s="115">
        <v>0</v>
      </c>
      <c r="BF9" s="114">
        <v>0</v>
      </c>
      <c r="BG9" s="115">
        <v>130</v>
      </c>
      <c r="BH9" s="114">
        <v>0.25</v>
      </c>
      <c r="BI9" s="56">
        <f t="shared" si="53"/>
        <v>45841</v>
      </c>
      <c r="BJ9" s="78">
        <f t="shared" si="46"/>
        <v>0.61213346204899244</v>
      </c>
      <c r="BK9" s="76">
        <f t="shared" si="47"/>
        <v>0.38786653795100762</v>
      </c>
      <c r="BL9" s="79">
        <f t="shared" si="48"/>
        <v>33148</v>
      </c>
      <c r="BM9" s="155">
        <v>20291</v>
      </c>
      <c r="BN9" s="155">
        <v>12857</v>
      </c>
      <c r="BO9" s="156">
        <v>3781</v>
      </c>
      <c r="BP9" s="157">
        <v>0.82222222222222219</v>
      </c>
      <c r="BQ9" s="158">
        <v>2464</v>
      </c>
      <c r="BR9" s="157">
        <v>0.82222222222222219</v>
      </c>
    </row>
    <row r="10" spans="1:72" ht="15.75" thickBot="1" x14ac:dyDescent="0.25">
      <c r="B10" s="56">
        <f t="shared" si="49"/>
        <v>45842</v>
      </c>
      <c r="C10" s="164"/>
      <c r="D10" s="87">
        <f t="shared" si="22"/>
        <v>50832</v>
      </c>
      <c r="E10" s="159">
        <f t="shared" si="23"/>
        <v>0.87256059175322631</v>
      </c>
      <c r="F10" s="87">
        <f t="shared" si="24"/>
        <v>44354</v>
      </c>
      <c r="G10" s="159">
        <f t="shared" si="25"/>
        <v>0.12743940824677369</v>
      </c>
      <c r="H10" s="146">
        <f t="shared" si="26"/>
        <v>6478</v>
      </c>
      <c r="I10" s="160">
        <f t="shared" si="27"/>
        <v>0.1132776558850591</v>
      </c>
      <c r="J10" s="159">
        <f t="shared" si="28"/>
        <v>0.16034397338806711</v>
      </c>
      <c r="K10" s="159">
        <f t="shared" si="29"/>
        <v>0.16187727175539876</v>
      </c>
      <c r="L10" s="161">
        <f t="shared" si="30"/>
        <v>0.59241630688654545</v>
      </c>
      <c r="M10" s="146">
        <f t="shared" si="31"/>
        <v>5611.3219619222873</v>
      </c>
      <c r="N10" s="146">
        <f t="shared" si="32"/>
        <v>7942.7990657512919</v>
      </c>
      <c r="O10" s="146">
        <f t="shared" si="33"/>
        <v>8018.7525336754334</v>
      </c>
      <c r="P10" s="146">
        <f t="shared" si="34"/>
        <v>29345.934177931915</v>
      </c>
      <c r="Q10" s="56">
        <f t="shared" si="50"/>
        <v>45842</v>
      </c>
      <c r="R10" s="139">
        <v>50832</v>
      </c>
      <c r="S10" s="140">
        <v>0</v>
      </c>
      <c r="T10" s="140">
        <v>49536</v>
      </c>
      <c r="U10" s="140">
        <v>0</v>
      </c>
      <c r="V10" s="141">
        <v>13338</v>
      </c>
      <c r="W10" s="142">
        <v>0.78125</v>
      </c>
      <c r="X10" s="141">
        <v>4278</v>
      </c>
      <c r="Y10" s="142">
        <v>0.80208333333333337</v>
      </c>
      <c r="Z10" s="141">
        <v>0</v>
      </c>
      <c r="AA10" s="142">
        <v>0</v>
      </c>
      <c r="AB10" s="56">
        <f t="shared" si="51"/>
        <v>45842</v>
      </c>
      <c r="AC10" s="76">
        <f t="shared" si="35"/>
        <v>1</v>
      </c>
      <c r="AD10" s="162">
        <f t="shared" si="36"/>
        <v>0</v>
      </c>
      <c r="AE10" s="163">
        <v>6402</v>
      </c>
      <c r="AF10" s="118">
        <f t="shared" si="37"/>
        <v>6402</v>
      </c>
      <c r="AG10" s="147">
        <v>0</v>
      </c>
      <c r="AH10" s="148">
        <v>3337</v>
      </c>
      <c r="AI10" s="149">
        <v>0.71388888888888891</v>
      </c>
      <c r="AJ10" s="148">
        <v>0</v>
      </c>
      <c r="AK10" s="165">
        <v>0</v>
      </c>
      <c r="AL10" s="56">
        <f t="shared" si="38"/>
        <v>45842</v>
      </c>
      <c r="AM10" s="77">
        <f t="shared" si="39"/>
        <v>0.53045685279187815</v>
      </c>
      <c r="AN10" s="76">
        <f t="shared" si="40"/>
        <v>0.46954314720812185</v>
      </c>
      <c r="AO10" s="150">
        <v>9062</v>
      </c>
      <c r="AP10" s="117">
        <f t="shared" si="41"/>
        <v>4807</v>
      </c>
      <c r="AQ10" s="151">
        <v>4255</v>
      </c>
      <c r="AR10" s="152">
        <v>3472</v>
      </c>
      <c r="AS10" s="153">
        <v>0.75624999999999998</v>
      </c>
      <c r="AT10" s="152">
        <v>198</v>
      </c>
      <c r="AU10" s="154">
        <v>0.27083333333333331</v>
      </c>
      <c r="AV10" s="56">
        <f t="shared" si="52"/>
        <v>45842</v>
      </c>
      <c r="AW10" s="110">
        <f t="shared" si="42"/>
        <v>0.70637960639281472</v>
      </c>
      <c r="AX10" s="110">
        <f t="shared" si="43"/>
        <v>0.29362039360718534</v>
      </c>
      <c r="AY10" s="111">
        <f t="shared" si="44"/>
        <v>7571</v>
      </c>
      <c r="AZ10" s="112">
        <v>7571</v>
      </c>
      <c r="BA10" s="120">
        <f t="shared" si="45"/>
        <v>5348</v>
      </c>
      <c r="BB10" s="113">
        <v>2223</v>
      </c>
      <c r="BC10" s="112">
        <v>3745</v>
      </c>
      <c r="BD10" s="114">
        <v>0.73958333333333337</v>
      </c>
      <c r="BE10" s="115">
        <v>0</v>
      </c>
      <c r="BF10" s="114">
        <v>0</v>
      </c>
      <c r="BG10" s="115">
        <v>134</v>
      </c>
      <c r="BH10" s="114">
        <v>0.72916666666666663</v>
      </c>
      <c r="BI10" s="56">
        <f t="shared" si="53"/>
        <v>45842</v>
      </c>
      <c r="BJ10" s="78">
        <f t="shared" si="46"/>
        <v>0.60986828350407696</v>
      </c>
      <c r="BK10" s="76">
        <f t="shared" si="47"/>
        <v>0.39013171649592304</v>
      </c>
      <c r="BL10" s="79">
        <f t="shared" si="48"/>
        <v>33481</v>
      </c>
      <c r="BM10" s="155">
        <v>20419</v>
      </c>
      <c r="BN10" s="155">
        <v>13062</v>
      </c>
      <c r="BO10" s="156">
        <v>4016</v>
      </c>
      <c r="BP10" s="157">
        <v>0.79722222222222228</v>
      </c>
      <c r="BQ10" s="158">
        <v>2644</v>
      </c>
      <c r="BR10" s="157">
        <v>0.79722222222222228</v>
      </c>
      <c r="BS10" s="14" t="s">
        <v>69</v>
      </c>
    </row>
    <row r="11" spans="1:72" ht="15.75" thickBot="1" x14ac:dyDescent="0.25">
      <c r="B11" s="56">
        <f t="shared" si="49"/>
        <v>45843</v>
      </c>
      <c r="C11" s="164"/>
      <c r="D11" s="87">
        <f t="shared" ref="D11:D24" si="54">R11</f>
        <v>31570</v>
      </c>
      <c r="E11" s="159">
        <f t="shared" ref="E11:E24" si="55">F11/D11</f>
        <v>0.80791891035793473</v>
      </c>
      <c r="F11" s="87">
        <f t="shared" ref="F11:F24" si="56">D11-H11</f>
        <v>25506</v>
      </c>
      <c r="G11" s="159">
        <f t="shared" ref="G11:G24" si="57">H11/D11</f>
        <v>0.19208108964206524</v>
      </c>
      <c r="H11" s="146">
        <f t="shared" ref="H11:H24" si="58">U11+AG11+AQ11+BB11</f>
        <v>6064</v>
      </c>
      <c r="I11" s="160">
        <f t="shared" ref="I11:I24" si="59">AE11/(AE11+AO11+BL11+AY11)</f>
        <v>7.594646490700141E-2</v>
      </c>
      <c r="J11" s="159">
        <f t="shared" ref="J11:J24" si="60">AO11/(AE11+AO11+BL11+AY11)</f>
        <v>0.16797065313959819</v>
      </c>
      <c r="K11" s="159">
        <f t="shared" ref="K11:K24" si="61">AY11/(AF11+AP11+BM11+AZ11+AY11)</f>
        <v>0.15972901768912307</v>
      </c>
      <c r="L11" s="161">
        <f t="shared" ref="L11:L24" si="62">BL11/(AE11+AO11+BL11+AY11)</f>
        <v>0.63445390192875362</v>
      </c>
      <c r="M11" s="146">
        <f t="shared" ref="M11:M24" si="63">(S11+T11)*I11</f>
        <v>2283.7101997535324</v>
      </c>
      <c r="N11" s="146">
        <f t="shared" ref="N11:N24" si="64">(S11+T11)*J11</f>
        <v>5050.8775399077176</v>
      </c>
      <c r="O11" s="146">
        <f t="shared" ref="O11:O24" si="65">(S11+T11)*K11</f>
        <v>4803.0515619119305</v>
      </c>
      <c r="P11" s="146">
        <f t="shared" ref="P11:P24" si="66">(S11+T11)*L11</f>
        <v>19078.02883099762</v>
      </c>
      <c r="Q11" s="56">
        <f t="shared" si="50"/>
        <v>45843</v>
      </c>
      <c r="R11" s="139">
        <v>31570</v>
      </c>
      <c r="S11" s="140">
        <v>0</v>
      </c>
      <c r="T11" s="140">
        <v>30070</v>
      </c>
      <c r="U11" s="140">
        <v>0</v>
      </c>
      <c r="V11" s="141">
        <v>6817</v>
      </c>
      <c r="W11" s="142">
        <v>0.41666666666666669</v>
      </c>
      <c r="X11" s="141">
        <v>2057</v>
      </c>
      <c r="Y11" s="142">
        <v>0.75</v>
      </c>
      <c r="Z11" s="141">
        <v>0</v>
      </c>
      <c r="AA11" s="142">
        <v>0</v>
      </c>
      <c r="AB11" s="56">
        <f t="shared" si="51"/>
        <v>45843</v>
      </c>
      <c r="AC11" s="76">
        <f t="shared" ref="AC11:AC24" si="67">+AF11/AE11</f>
        <v>1</v>
      </c>
      <c r="AD11" s="162">
        <f t="shared" ref="AD11:AD24" si="68">+AG11/AE11</f>
        <v>0</v>
      </c>
      <c r="AE11" s="163">
        <v>2650</v>
      </c>
      <c r="AF11" s="118">
        <f t="shared" si="37"/>
        <v>2650</v>
      </c>
      <c r="AG11" s="147">
        <v>0</v>
      </c>
      <c r="AH11" s="148">
        <v>1909</v>
      </c>
      <c r="AI11" s="149">
        <v>0.36180555555555555</v>
      </c>
      <c r="AJ11" s="148">
        <v>0</v>
      </c>
      <c r="AK11" s="165">
        <v>0</v>
      </c>
      <c r="AL11" s="56">
        <f t="shared" si="38"/>
        <v>45843</v>
      </c>
      <c r="AM11" s="77">
        <f t="shared" ref="AM11:AM24" si="69">+AP11/AO11</f>
        <v>0.32383552294830231</v>
      </c>
      <c r="AN11" s="76">
        <f t="shared" ref="AN11:AN24" si="70">+AQ11/AO11</f>
        <v>0.67616447705169769</v>
      </c>
      <c r="AO11" s="150">
        <v>5861</v>
      </c>
      <c r="AP11" s="117">
        <f t="shared" si="41"/>
        <v>1898</v>
      </c>
      <c r="AQ11" s="151">
        <v>3963</v>
      </c>
      <c r="AR11" s="152">
        <v>1815</v>
      </c>
      <c r="AS11" s="153">
        <v>0.37083333333333335</v>
      </c>
      <c r="AT11" s="152">
        <v>190</v>
      </c>
      <c r="AU11" s="154">
        <v>0.85416666666666663</v>
      </c>
      <c r="AV11" s="56">
        <f t="shared" si="52"/>
        <v>45843</v>
      </c>
      <c r="AW11" s="110">
        <f t="shared" ref="AW11:AW24" si="71">BA11/AZ11</f>
        <v>0.50494816211121585</v>
      </c>
      <c r="AX11" s="110">
        <f t="shared" ref="AX11:AX24" si="72">BB11/AZ11</f>
        <v>0.49505183788878415</v>
      </c>
      <c r="AY11" s="111">
        <f t="shared" si="44"/>
        <v>4244</v>
      </c>
      <c r="AZ11" s="112">
        <v>4244</v>
      </c>
      <c r="BA11" s="170">
        <f t="shared" si="45"/>
        <v>2143</v>
      </c>
      <c r="BB11" s="113">
        <v>2101</v>
      </c>
      <c r="BC11" s="112">
        <v>1462</v>
      </c>
      <c r="BD11" s="114">
        <v>0.44791666666666669</v>
      </c>
      <c r="BE11" s="115">
        <v>0</v>
      </c>
      <c r="BF11" s="114">
        <v>0</v>
      </c>
      <c r="BG11" s="115">
        <v>137</v>
      </c>
      <c r="BH11" s="114">
        <v>0.79166666666666663</v>
      </c>
      <c r="BI11" s="56">
        <f t="shared" si="53"/>
        <v>45843</v>
      </c>
      <c r="BJ11" s="78">
        <f t="shared" ref="BJ11:BJ24" si="73">+BM11/BL11</f>
        <v>0.61134700514951668</v>
      </c>
      <c r="BK11" s="76">
        <f t="shared" ref="BK11:BK24" si="74">+BN11/BL11</f>
        <v>0.38865299485048332</v>
      </c>
      <c r="BL11" s="79">
        <f t="shared" ref="BL11:BL24" si="75">BM11+BN11</f>
        <v>22138</v>
      </c>
      <c r="BM11" s="155">
        <v>13534</v>
      </c>
      <c r="BN11" s="155">
        <v>8604</v>
      </c>
      <c r="BO11" s="156">
        <v>2587</v>
      </c>
      <c r="BP11" s="157">
        <v>0.44236111111111109</v>
      </c>
      <c r="BQ11" s="158">
        <v>1704</v>
      </c>
      <c r="BR11" s="157">
        <v>0.72222222222222221</v>
      </c>
    </row>
    <row r="12" spans="1:72" ht="15.75" thickBot="1" x14ac:dyDescent="0.25">
      <c r="B12" s="56">
        <f t="shared" si="49"/>
        <v>45844</v>
      </c>
      <c r="C12" s="164"/>
      <c r="D12" s="87">
        <f t="shared" si="54"/>
        <v>27093</v>
      </c>
      <c r="E12" s="159">
        <f t="shared" si="55"/>
        <v>0.77986933894363852</v>
      </c>
      <c r="F12" s="87">
        <f t="shared" si="56"/>
        <v>21129</v>
      </c>
      <c r="G12" s="159">
        <f>H12/D12</f>
        <v>0.22013066105636142</v>
      </c>
      <c r="H12" s="146">
        <f t="shared" si="58"/>
        <v>5964</v>
      </c>
      <c r="I12" s="160">
        <f t="shared" si="59"/>
        <v>6.4289225882085993E-2</v>
      </c>
      <c r="J12" s="159">
        <f t="shared" si="60"/>
        <v>0.19600650455697161</v>
      </c>
      <c r="K12" s="159">
        <f t="shared" si="61"/>
        <v>0.20000963901874788</v>
      </c>
      <c r="L12" s="161">
        <f t="shared" si="62"/>
        <v>0.58276292402526186</v>
      </c>
      <c r="M12" s="146">
        <f t="shared" si="63"/>
        <v>1927.3909919449382</v>
      </c>
      <c r="N12" s="146">
        <f t="shared" si="64"/>
        <v>5876.2750066180088</v>
      </c>
      <c r="O12" s="146">
        <f t="shared" si="65"/>
        <v>5996.2889777820619</v>
      </c>
      <c r="P12" s="146">
        <f t="shared" si="66"/>
        <v>17471.232462277352</v>
      </c>
      <c r="Q12" s="56">
        <f t="shared" si="50"/>
        <v>45844</v>
      </c>
      <c r="R12" s="139">
        <v>27093</v>
      </c>
      <c r="S12" s="140">
        <v>0</v>
      </c>
      <c r="T12" s="140">
        <v>29980</v>
      </c>
      <c r="U12" s="140">
        <v>0</v>
      </c>
      <c r="V12" s="141">
        <v>6805</v>
      </c>
      <c r="W12" s="142">
        <v>0.39583333333333331</v>
      </c>
      <c r="X12" s="141">
        <v>2045</v>
      </c>
      <c r="Y12" s="142">
        <v>0.79166666666666663</v>
      </c>
      <c r="Z12" s="141">
        <v>0</v>
      </c>
      <c r="AA12" s="142">
        <v>0</v>
      </c>
      <c r="AB12" s="56">
        <f t="shared" si="51"/>
        <v>45844</v>
      </c>
      <c r="AC12" s="76">
        <f t="shared" si="67"/>
        <v>1</v>
      </c>
      <c r="AD12" s="162">
        <f t="shared" si="68"/>
        <v>0</v>
      </c>
      <c r="AE12" s="163">
        <v>1700</v>
      </c>
      <c r="AF12" s="118">
        <f t="shared" si="37"/>
        <v>1700</v>
      </c>
      <c r="AG12" s="147">
        <v>0</v>
      </c>
      <c r="AH12" s="148">
        <v>1402</v>
      </c>
      <c r="AI12" s="149">
        <v>0.93402777777777779</v>
      </c>
      <c r="AJ12" s="148">
        <v>0</v>
      </c>
      <c r="AK12" s="165">
        <v>0</v>
      </c>
      <c r="AL12" s="56">
        <f t="shared" si="38"/>
        <v>45844</v>
      </c>
      <c r="AM12" s="77">
        <f t="shared" si="69"/>
        <v>0.25255643449739534</v>
      </c>
      <c r="AN12" s="76">
        <f t="shared" si="70"/>
        <v>0.74744356550260471</v>
      </c>
      <c r="AO12" s="150">
        <v>5183</v>
      </c>
      <c r="AP12" s="117">
        <f t="shared" si="41"/>
        <v>1309</v>
      </c>
      <c r="AQ12" s="151">
        <v>3874</v>
      </c>
      <c r="AR12" s="152">
        <v>1948</v>
      </c>
      <c r="AS12" s="153">
        <v>0.39305555555555555</v>
      </c>
      <c r="AT12" s="152">
        <v>188</v>
      </c>
      <c r="AU12" s="154">
        <v>0.80763888888888891</v>
      </c>
      <c r="AV12" s="56">
        <f t="shared" si="52"/>
        <v>45844</v>
      </c>
      <c r="AW12" s="110">
        <f t="shared" si="71"/>
        <v>0.4963855421686747</v>
      </c>
      <c r="AX12" s="110">
        <f t="shared" si="72"/>
        <v>0.5036144578313253</v>
      </c>
      <c r="AY12" s="111">
        <f t="shared" si="44"/>
        <v>4150</v>
      </c>
      <c r="AZ12" s="112">
        <v>4150</v>
      </c>
      <c r="BA12" s="170">
        <f t="shared" si="45"/>
        <v>2060</v>
      </c>
      <c r="BB12" s="113">
        <v>2090</v>
      </c>
      <c r="BC12" s="112">
        <v>1360</v>
      </c>
      <c r="BD12" s="114">
        <v>0.39583333333333331</v>
      </c>
      <c r="BE12" s="115">
        <v>0</v>
      </c>
      <c r="BF12" s="114">
        <v>0</v>
      </c>
      <c r="BG12" s="115">
        <v>135</v>
      </c>
      <c r="BH12" s="114">
        <v>0.75</v>
      </c>
      <c r="BI12" s="56">
        <f t="shared" si="53"/>
        <v>45844</v>
      </c>
      <c r="BJ12" s="78">
        <f t="shared" si="73"/>
        <v>0.61258922777417257</v>
      </c>
      <c r="BK12" s="76">
        <f t="shared" si="74"/>
        <v>0.38741077222582737</v>
      </c>
      <c r="BL12" s="79">
        <f t="shared" si="75"/>
        <v>15410</v>
      </c>
      <c r="BM12" s="155">
        <v>9440</v>
      </c>
      <c r="BN12" s="155">
        <v>5970</v>
      </c>
      <c r="BO12" s="156">
        <v>2205</v>
      </c>
      <c r="BP12" s="157">
        <v>0.41666666666666669</v>
      </c>
      <c r="BQ12" s="158">
        <v>1459</v>
      </c>
      <c r="BR12" s="157">
        <v>0.41666666666666669</v>
      </c>
      <c r="BT12" s="14" t="s">
        <v>37</v>
      </c>
    </row>
    <row r="13" spans="1:72" ht="15.75" thickBot="1" x14ac:dyDescent="0.25">
      <c r="B13" s="56">
        <f t="shared" si="49"/>
        <v>45845</v>
      </c>
      <c r="C13" s="164"/>
      <c r="D13" s="87">
        <f t="shared" si="54"/>
        <v>49590</v>
      </c>
      <c r="E13" s="159">
        <f t="shared" si="55"/>
        <v>0.87374470659407144</v>
      </c>
      <c r="F13" s="87">
        <f t="shared" si="56"/>
        <v>43329</v>
      </c>
      <c r="G13" s="159">
        <f t="shared" si="57"/>
        <v>0.12625529340592861</v>
      </c>
      <c r="H13" s="146">
        <f t="shared" si="58"/>
        <v>6261</v>
      </c>
      <c r="I13" s="160">
        <f t="shared" si="59"/>
        <v>0.11783022271165201</v>
      </c>
      <c r="J13" s="159">
        <f t="shared" si="60"/>
        <v>0.1664546507433215</v>
      </c>
      <c r="K13" s="159">
        <f t="shared" si="61"/>
        <v>0.10317497319222341</v>
      </c>
      <c r="L13" s="161">
        <f t="shared" si="62"/>
        <v>0.63168087489794755</v>
      </c>
      <c r="M13" s="146">
        <f t="shared" si="63"/>
        <v>5680.0058858151851</v>
      </c>
      <c r="N13" s="146">
        <f t="shared" si="64"/>
        <v>8023.946439081813</v>
      </c>
      <c r="O13" s="146">
        <f t="shared" si="65"/>
        <v>4973.5495827311297</v>
      </c>
      <c r="P13" s="146">
        <f t="shared" si="66"/>
        <v>30450.176574455563</v>
      </c>
      <c r="Q13" s="56">
        <f t="shared" si="50"/>
        <v>45845</v>
      </c>
      <c r="R13" s="139">
        <v>49590</v>
      </c>
      <c r="S13" s="140">
        <v>0</v>
      </c>
      <c r="T13" s="140">
        <v>48205</v>
      </c>
      <c r="U13" s="140">
        <v>0</v>
      </c>
      <c r="V13" s="141">
        <v>14581</v>
      </c>
      <c r="W13" s="142">
        <v>0.78125</v>
      </c>
      <c r="X13" s="141">
        <v>4262</v>
      </c>
      <c r="Y13" s="142">
        <v>0.80208333333333337</v>
      </c>
      <c r="Z13" s="141">
        <v>0</v>
      </c>
      <c r="AA13" s="142">
        <v>0</v>
      </c>
      <c r="AB13" s="56">
        <f t="shared" si="51"/>
        <v>45845</v>
      </c>
      <c r="AC13" s="76">
        <f t="shared" si="67"/>
        <v>1</v>
      </c>
      <c r="AD13" s="162">
        <f t="shared" si="68"/>
        <v>0</v>
      </c>
      <c r="AE13" s="163">
        <v>6206</v>
      </c>
      <c r="AF13" s="118">
        <f t="shared" si="37"/>
        <v>6206</v>
      </c>
      <c r="AG13" s="147">
        <v>0</v>
      </c>
      <c r="AH13" s="148">
        <v>3482</v>
      </c>
      <c r="AI13" s="149">
        <v>0.72916666666666663</v>
      </c>
      <c r="AJ13" s="148">
        <v>0</v>
      </c>
      <c r="AK13" s="165">
        <v>0</v>
      </c>
      <c r="AL13" s="56">
        <f t="shared" si="38"/>
        <v>45845</v>
      </c>
      <c r="AM13" s="77">
        <f t="shared" si="69"/>
        <v>0.53826850690087824</v>
      </c>
      <c r="AN13" s="76">
        <f t="shared" si="70"/>
        <v>0.4617314930991217</v>
      </c>
      <c r="AO13" s="150">
        <v>8767</v>
      </c>
      <c r="AP13" s="117">
        <f t="shared" si="41"/>
        <v>4719</v>
      </c>
      <c r="AQ13" s="151">
        <v>4048</v>
      </c>
      <c r="AR13" s="152">
        <v>3877</v>
      </c>
      <c r="AS13" s="153">
        <v>0.73472222222222228</v>
      </c>
      <c r="AT13" s="152">
        <v>200</v>
      </c>
      <c r="AU13" s="154">
        <v>0.32291666666666669</v>
      </c>
      <c r="AV13" s="56">
        <f t="shared" si="52"/>
        <v>45845</v>
      </c>
      <c r="AW13" s="110">
        <f t="shared" si="71"/>
        <v>0.30570520790164385</v>
      </c>
      <c r="AX13" s="110">
        <f t="shared" si="72"/>
        <v>0.30570520790164385</v>
      </c>
      <c r="AY13" s="111">
        <f t="shared" si="44"/>
        <v>4426</v>
      </c>
      <c r="AZ13" s="112">
        <v>7239</v>
      </c>
      <c r="BA13" s="170">
        <v>2213</v>
      </c>
      <c r="BB13" s="113">
        <v>2213</v>
      </c>
      <c r="BC13" s="112">
        <v>3779</v>
      </c>
      <c r="BD13" s="114">
        <v>0.65625</v>
      </c>
      <c r="BE13" s="115">
        <v>0</v>
      </c>
      <c r="BF13" s="114">
        <v>0</v>
      </c>
      <c r="BG13" s="115">
        <v>134</v>
      </c>
      <c r="BH13" s="114">
        <v>0.33333333333333331</v>
      </c>
      <c r="BI13" s="56">
        <f t="shared" si="53"/>
        <v>45845</v>
      </c>
      <c r="BJ13" s="78">
        <f t="shared" si="73"/>
        <v>0.61039975954313197</v>
      </c>
      <c r="BK13" s="76">
        <f t="shared" si="74"/>
        <v>0.38960024045686803</v>
      </c>
      <c r="BL13" s="79">
        <f t="shared" si="75"/>
        <v>33270</v>
      </c>
      <c r="BM13" s="155">
        <v>20308</v>
      </c>
      <c r="BN13" s="155">
        <v>12962</v>
      </c>
      <c r="BO13" s="156">
        <v>4061</v>
      </c>
      <c r="BP13" s="157">
        <v>0.75902777777777775</v>
      </c>
      <c r="BQ13" s="158">
        <v>2681</v>
      </c>
      <c r="BR13" s="157">
        <v>0.75902777777777775</v>
      </c>
    </row>
    <row r="14" spans="1:72" ht="15.75" thickBot="1" x14ac:dyDescent="0.25">
      <c r="B14" s="56">
        <f t="shared" si="49"/>
        <v>45846</v>
      </c>
      <c r="C14" s="164"/>
      <c r="D14" s="87">
        <f t="shared" si="54"/>
        <v>50342</v>
      </c>
      <c r="E14" s="159">
        <f t="shared" si="55"/>
        <v>0.87175718088276188</v>
      </c>
      <c r="F14" s="87">
        <f t="shared" si="56"/>
        <v>43886</v>
      </c>
      <c r="G14" s="159">
        <f t="shared" si="57"/>
        <v>0.12824281911723809</v>
      </c>
      <c r="H14" s="146">
        <f t="shared" si="58"/>
        <v>6456</v>
      </c>
      <c r="I14" s="160">
        <f t="shared" si="59"/>
        <v>0.10959222329437833</v>
      </c>
      <c r="J14" s="159">
        <f t="shared" si="60"/>
        <v>0.15907222758300274</v>
      </c>
      <c r="K14" s="159">
        <f t="shared" si="61"/>
        <v>0.15924982029667387</v>
      </c>
      <c r="L14" s="161">
        <f t="shared" si="62"/>
        <v>0.60069332761516747</v>
      </c>
      <c r="M14" s="146">
        <f t="shared" si="63"/>
        <v>5370.7860869875985</v>
      </c>
      <c r="N14" s="146">
        <f t="shared" si="64"/>
        <v>7795.6526571602153</v>
      </c>
      <c r="O14" s="146">
        <f t="shared" si="65"/>
        <v>7804.3559432790962</v>
      </c>
      <c r="P14" s="146">
        <f t="shared" si="66"/>
        <v>29438.177906436511</v>
      </c>
      <c r="Q14" s="56">
        <f t="shared" si="50"/>
        <v>45846</v>
      </c>
      <c r="R14" s="139">
        <v>50342</v>
      </c>
      <c r="S14" s="140">
        <v>0</v>
      </c>
      <c r="T14" s="140">
        <v>49007</v>
      </c>
      <c r="U14" s="140">
        <v>0</v>
      </c>
      <c r="V14" s="141">
        <v>10603</v>
      </c>
      <c r="W14" s="142">
        <v>0.77083333333333337</v>
      </c>
      <c r="X14" s="141">
        <v>4181</v>
      </c>
      <c r="Y14" s="142">
        <v>0.80208333333333337</v>
      </c>
      <c r="Z14" s="141">
        <v>0</v>
      </c>
      <c r="AA14" s="142">
        <v>0</v>
      </c>
      <c r="AB14" s="56">
        <f t="shared" si="51"/>
        <v>45846</v>
      </c>
      <c r="AC14" s="76">
        <f t="shared" si="67"/>
        <v>1</v>
      </c>
      <c r="AD14" s="162">
        <f t="shared" si="68"/>
        <v>0</v>
      </c>
      <c r="AE14" s="163">
        <v>6133</v>
      </c>
      <c r="AF14" s="118">
        <f t="shared" si="37"/>
        <v>6133</v>
      </c>
      <c r="AG14" s="147">
        <v>0</v>
      </c>
      <c r="AH14" s="148">
        <v>3213</v>
      </c>
      <c r="AI14" s="149">
        <v>0.74236111111111114</v>
      </c>
      <c r="AJ14" s="148">
        <v>0</v>
      </c>
      <c r="AK14" s="165">
        <v>0</v>
      </c>
      <c r="AL14" s="56">
        <f t="shared" si="38"/>
        <v>45846</v>
      </c>
      <c r="AM14" s="77">
        <f t="shared" si="69"/>
        <v>0.52235452707256791</v>
      </c>
      <c r="AN14" s="76">
        <f t="shared" si="70"/>
        <v>0.47764547292743204</v>
      </c>
      <c r="AO14" s="150">
        <v>8902</v>
      </c>
      <c r="AP14" s="117">
        <f t="shared" si="41"/>
        <v>4650</v>
      </c>
      <c r="AQ14" s="151">
        <v>4252</v>
      </c>
      <c r="AR14" s="152">
        <v>2921</v>
      </c>
      <c r="AS14" s="153">
        <v>0.72638888888888886</v>
      </c>
      <c r="AT14" s="152">
        <v>197</v>
      </c>
      <c r="AU14" s="154">
        <v>0.39583333333333331</v>
      </c>
      <c r="AV14" s="56">
        <f t="shared" si="52"/>
        <v>45846</v>
      </c>
      <c r="AW14" s="110">
        <f t="shared" si="71"/>
        <v>0.69853645192176173</v>
      </c>
      <c r="AX14" s="110">
        <f t="shared" si="72"/>
        <v>0.30146354807823827</v>
      </c>
      <c r="AY14" s="111">
        <f t="shared" si="44"/>
        <v>7311</v>
      </c>
      <c r="AZ14" s="112">
        <v>7311</v>
      </c>
      <c r="BA14" s="120">
        <f t="shared" ref="BA14:BA24" si="76">AZ14-BB14</f>
        <v>5107</v>
      </c>
      <c r="BB14" s="113">
        <v>2204</v>
      </c>
      <c r="BC14" s="112">
        <v>3029</v>
      </c>
      <c r="BD14" s="114">
        <v>0.73958333333333337</v>
      </c>
      <c r="BE14" s="115">
        <v>0</v>
      </c>
      <c r="BF14" s="114">
        <v>0</v>
      </c>
      <c r="BG14" s="115">
        <v>136</v>
      </c>
      <c r="BH14" s="114">
        <v>0.30208333333333331</v>
      </c>
      <c r="BI14" s="56">
        <f t="shared" si="53"/>
        <v>45846</v>
      </c>
      <c r="BJ14" s="78">
        <f t="shared" si="73"/>
        <v>0.60994764397905754</v>
      </c>
      <c r="BK14" s="76">
        <f t="shared" si="74"/>
        <v>0.3900523560209424</v>
      </c>
      <c r="BL14" s="79">
        <f t="shared" si="75"/>
        <v>33616</v>
      </c>
      <c r="BM14" s="155">
        <v>20504</v>
      </c>
      <c r="BN14" s="155">
        <v>13112</v>
      </c>
      <c r="BO14" s="156">
        <v>2524</v>
      </c>
      <c r="BP14" s="157">
        <v>0.72222222222222221</v>
      </c>
      <c r="BQ14" s="158">
        <v>2346</v>
      </c>
      <c r="BR14" s="157">
        <v>0.79374999999999996</v>
      </c>
    </row>
    <row r="15" spans="1:72" ht="15.75" thickBot="1" x14ac:dyDescent="0.25">
      <c r="B15" s="56">
        <f t="shared" si="49"/>
        <v>45847</v>
      </c>
      <c r="C15" s="164"/>
      <c r="D15" s="87">
        <f t="shared" si="54"/>
        <v>49172</v>
      </c>
      <c r="E15" s="159">
        <f t="shared" si="55"/>
        <v>0.87157325307085332</v>
      </c>
      <c r="F15" s="87">
        <f t="shared" si="56"/>
        <v>42857</v>
      </c>
      <c r="G15" s="159">
        <f t="shared" si="57"/>
        <v>0.12842674692914666</v>
      </c>
      <c r="H15" s="146">
        <f t="shared" si="58"/>
        <v>6315</v>
      </c>
      <c r="I15" s="160">
        <f t="shared" si="59"/>
        <v>0.1232241125058447</v>
      </c>
      <c r="J15" s="159">
        <f t="shared" si="60"/>
        <v>0.15773477682264503</v>
      </c>
      <c r="K15" s="159">
        <f t="shared" si="61"/>
        <v>0.15673823863140438</v>
      </c>
      <c r="L15" s="161">
        <f t="shared" si="62"/>
        <v>0.58986440312196531</v>
      </c>
      <c r="M15" s="146">
        <f t="shared" si="63"/>
        <v>5891.5912671294464</v>
      </c>
      <c r="N15" s="146">
        <f t="shared" si="64"/>
        <v>7541.6151494443038</v>
      </c>
      <c r="O15" s="146">
        <f t="shared" si="65"/>
        <v>7493.9686654447059</v>
      </c>
      <c r="P15" s="146">
        <f t="shared" si="66"/>
        <v>28202.596842067407</v>
      </c>
      <c r="Q15" s="56">
        <f t="shared" si="50"/>
        <v>45847</v>
      </c>
      <c r="R15" s="139">
        <v>49172</v>
      </c>
      <c r="S15" s="140">
        <v>0</v>
      </c>
      <c r="T15" s="140">
        <v>47812</v>
      </c>
      <c r="U15" s="140">
        <v>0</v>
      </c>
      <c r="V15" s="141">
        <v>12474</v>
      </c>
      <c r="W15" s="142">
        <v>0.40625</v>
      </c>
      <c r="X15" s="141">
        <v>4175</v>
      </c>
      <c r="Y15" s="142">
        <v>0.78125</v>
      </c>
      <c r="Z15" s="141">
        <v>0</v>
      </c>
      <c r="AA15" s="142">
        <v>0</v>
      </c>
      <c r="AB15" s="56">
        <f t="shared" si="51"/>
        <v>45847</v>
      </c>
      <c r="AC15" s="76">
        <f t="shared" si="67"/>
        <v>1</v>
      </c>
      <c r="AD15" s="162">
        <f t="shared" si="68"/>
        <v>0</v>
      </c>
      <c r="AE15" s="163">
        <v>6852</v>
      </c>
      <c r="AF15" s="118">
        <f t="shared" si="37"/>
        <v>6852</v>
      </c>
      <c r="AG15" s="147">
        <v>0</v>
      </c>
      <c r="AH15" s="148">
        <v>3464</v>
      </c>
      <c r="AI15" s="149">
        <v>0.7631944444444444</v>
      </c>
      <c r="AJ15" s="148">
        <v>0</v>
      </c>
      <c r="AK15" s="165">
        <v>0</v>
      </c>
      <c r="AL15" s="168">
        <f t="shared" si="38"/>
        <v>45847</v>
      </c>
      <c r="AM15" s="77">
        <f t="shared" si="69"/>
        <v>0.52696385816896596</v>
      </c>
      <c r="AN15" s="76">
        <f t="shared" si="70"/>
        <v>0.4730361418310341</v>
      </c>
      <c r="AO15" s="150">
        <v>8771</v>
      </c>
      <c r="AP15" s="117">
        <f t="shared" si="41"/>
        <v>4622</v>
      </c>
      <c r="AQ15" s="151">
        <v>4149</v>
      </c>
      <c r="AR15" s="152">
        <v>3311</v>
      </c>
      <c r="AS15" s="153">
        <v>0.75416666666666665</v>
      </c>
      <c r="AT15" s="152">
        <v>194</v>
      </c>
      <c r="AU15" s="154">
        <v>0.33333333333333331</v>
      </c>
      <c r="AV15" s="56">
        <f t="shared" si="52"/>
        <v>45847</v>
      </c>
      <c r="AW15" s="169">
        <f t="shared" si="71"/>
        <v>0.69845468467214256</v>
      </c>
      <c r="AX15" s="169">
        <f t="shared" si="72"/>
        <v>0.30154531532785744</v>
      </c>
      <c r="AY15" s="111">
        <f t="shared" si="44"/>
        <v>7183</v>
      </c>
      <c r="AZ15" s="112">
        <v>7183</v>
      </c>
      <c r="BA15" s="170">
        <f t="shared" si="76"/>
        <v>5017</v>
      </c>
      <c r="BB15" s="113">
        <v>2166</v>
      </c>
      <c r="BC15" s="112">
        <v>3392</v>
      </c>
      <c r="BD15" s="114">
        <v>0.76041666666666663</v>
      </c>
      <c r="BE15" s="115">
        <v>0</v>
      </c>
      <c r="BF15" s="114">
        <v>0</v>
      </c>
      <c r="BG15" s="115">
        <v>129</v>
      </c>
      <c r="BH15" s="114">
        <v>0.29166666666666669</v>
      </c>
      <c r="BI15" s="56">
        <f t="shared" si="53"/>
        <v>45847</v>
      </c>
      <c r="BJ15" s="171">
        <f t="shared" si="73"/>
        <v>0.60939024390243901</v>
      </c>
      <c r="BK15" s="76">
        <f t="shared" si="74"/>
        <v>0.39060975609756099</v>
      </c>
      <c r="BL15" s="79">
        <f t="shared" si="75"/>
        <v>32800</v>
      </c>
      <c r="BM15" s="155">
        <v>19988</v>
      </c>
      <c r="BN15" s="155">
        <v>12812</v>
      </c>
      <c r="BO15" s="156">
        <v>4557</v>
      </c>
      <c r="BP15" s="157">
        <v>0.76041666666666663</v>
      </c>
      <c r="BQ15" s="158">
        <v>2998</v>
      </c>
      <c r="BR15" s="157">
        <v>0.76041666666666663</v>
      </c>
    </row>
    <row r="16" spans="1:72" ht="15.75" thickBot="1" x14ac:dyDescent="0.25">
      <c r="B16" s="56">
        <f t="shared" si="49"/>
        <v>45848</v>
      </c>
      <c r="C16" s="164"/>
      <c r="D16" s="87">
        <f t="shared" si="54"/>
        <v>50244</v>
      </c>
      <c r="E16" s="159">
        <f t="shared" si="55"/>
        <v>0.87168617148316219</v>
      </c>
      <c r="F16" s="87">
        <f t="shared" si="56"/>
        <v>43797</v>
      </c>
      <c r="G16" s="159">
        <f t="shared" si="57"/>
        <v>0.12831382851683784</v>
      </c>
      <c r="H16" s="146">
        <f t="shared" si="58"/>
        <v>6447</v>
      </c>
      <c r="I16" s="160">
        <f t="shared" si="59"/>
        <v>0.11035236763809729</v>
      </c>
      <c r="J16" s="159">
        <f t="shared" si="60"/>
        <v>0.16263397497938847</v>
      </c>
      <c r="K16" s="159">
        <f t="shared" si="61"/>
        <v>0.15818813807577115</v>
      </c>
      <c r="L16" s="161">
        <f t="shared" si="62"/>
        <v>0.59732229271964732</v>
      </c>
      <c r="M16" s="146">
        <f t="shared" si="63"/>
        <v>5390.1613972828618</v>
      </c>
      <c r="N16" s="146">
        <f t="shared" si="64"/>
        <v>7943.8565078682304</v>
      </c>
      <c r="O16" s="146">
        <f t="shared" si="65"/>
        <v>7726.6996043110412</v>
      </c>
      <c r="P16" s="146">
        <f t="shared" si="66"/>
        <v>29176.207387891172</v>
      </c>
      <c r="Q16" s="56">
        <f t="shared" si="50"/>
        <v>45848</v>
      </c>
      <c r="R16" s="139">
        <v>50244</v>
      </c>
      <c r="S16" s="140">
        <v>0</v>
      </c>
      <c r="T16" s="140">
        <v>48845</v>
      </c>
      <c r="U16" s="140">
        <v>0</v>
      </c>
      <c r="V16" s="141">
        <v>15483</v>
      </c>
      <c r="W16" s="142">
        <v>0.38541666666666669</v>
      </c>
      <c r="X16" s="141">
        <v>4417</v>
      </c>
      <c r="Y16" s="142">
        <v>0.78125</v>
      </c>
      <c r="Z16" s="141">
        <v>0</v>
      </c>
      <c r="AA16" s="142">
        <v>0</v>
      </c>
      <c r="AB16" s="56">
        <f t="shared" si="51"/>
        <v>45848</v>
      </c>
      <c r="AC16" s="76">
        <f t="shared" si="67"/>
        <v>1</v>
      </c>
      <c r="AD16" s="162">
        <f t="shared" si="68"/>
        <v>0</v>
      </c>
      <c r="AE16" s="163">
        <v>6157</v>
      </c>
      <c r="AF16" s="118">
        <f t="shared" si="37"/>
        <v>6157</v>
      </c>
      <c r="AG16" s="147">
        <v>0</v>
      </c>
      <c r="AH16" s="148">
        <v>4179</v>
      </c>
      <c r="AI16" s="149">
        <v>0.34583333333333333</v>
      </c>
      <c r="AJ16" s="148">
        <v>0</v>
      </c>
      <c r="AK16" s="165">
        <v>0</v>
      </c>
      <c r="AL16" s="56">
        <f t="shared" si="38"/>
        <v>45848</v>
      </c>
      <c r="AM16" s="77">
        <f t="shared" si="69"/>
        <v>0.53085739475424287</v>
      </c>
      <c r="AN16" s="76">
        <f t="shared" si="70"/>
        <v>0.46914260524575713</v>
      </c>
      <c r="AO16" s="150">
        <v>9074</v>
      </c>
      <c r="AP16" s="117">
        <f t="shared" si="41"/>
        <v>4817</v>
      </c>
      <c r="AQ16" s="151">
        <v>4257</v>
      </c>
      <c r="AR16" s="152">
        <v>3823</v>
      </c>
      <c r="AS16" s="153">
        <v>0.73541666666666672</v>
      </c>
      <c r="AT16" s="152">
        <v>203</v>
      </c>
      <c r="AU16" s="154">
        <v>0.32291666666666669</v>
      </c>
      <c r="AV16" s="56">
        <f t="shared" si="52"/>
        <v>45848</v>
      </c>
      <c r="AW16" s="110">
        <f t="shared" si="71"/>
        <v>0.69734660033167495</v>
      </c>
      <c r="AX16" s="110">
        <f t="shared" si="72"/>
        <v>0.30265339966832505</v>
      </c>
      <c r="AY16" s="111">
        <f t="shared" si="44"/>
        <v>7236</v>
      </c>
      <c r="AZ16" s="112">
        <v>7236</v>
      </c>
      <c r="BA16" s="120">
        <f t="shared" si="76"/>
        <v>5046</v>
      </c>
      <c r="BB16" s="113">
        <v>2190</v>
      </c>
      <c r="BC16" s="112">
        <v>4106</v>
      </c>
      <c r="BD16" s="114">
        <v>0.76041666666666663</v>
      </c>
      <c r="BE16" s="115">
        <v>0</v>
      </c>
      <c r="BF16" s="114">
        <v>0</v>
      </c>
      <c r="BG16" s="115">
        <v>136</v>
      </c>
      <c r="BH16" s="114">
        <v>0.32291666666666669</v>
      </c>
      <c r="BI16" s="56">
        <f t="shared" si="53"/>
        <v>45848</v>
      </c>
      <c r="BJ16" s="78">
        <f t="shared" si="73"/>
        <v>0.60902571488582835</v>
      </c>
      <c r="BK16" s="76">
        <f t="shared" si="74"/>
        <v>0.3909742851141717</v>
      </c>
      <c r="BL16" s="79">
        <f t="shared" si="75"/>
        <v>33327</v>
      </c>
      <c r="BM16" s="155">
        <v>20297</v>
      </c>
      <c r="BN16" s="155">
        <v>13030</v>
      </c>
      <c r="BO16" s="156">
        <v>3806</v>
      </c>
      <c r="BP16" s="157">
        <v>0.78402777777777777</v>
      </c>
      <c r="BQ16" s="158">
        <v>2517</v>
      </c>
      <c r="BR16" s="157">
        <v>0.28055555555555556</v>
      </c>
    </row>
    <row r="17" spans="1:70" ht="15.75" thickBot="1" x14ac:dyDescent="0.25">
      <c r="B17" s="56">
        <f t="shared" si="49"/>
        <v>45849</v>
      </c>
      <c r="C17" s="164"/>
      <c r="D17" s="87">
        <f t="shared" si="54"/>
        <v>49900</v>
      </c>
      <c r="E17" s="159">
        <f t="shared" si="55"/>
        <v>0.8913827655310621</v>
      </c>
      <c r="F17" s="87">
        <f t="shared" si="56"/>
        <v>44480</v>
      </c>
      <c r="G17" s="159">
        <f t="shared" si="57"/>
        <v>0.10861723446893788</v>
      </c>
      <c r="H17" s="146">
        <f t="shared" si="58"/>
        <v>5420</v>
      </c>
      <c r="I17" s="160">
        <f t="shared" si="59"/>
        <v>0.11240908089045624</v>
      </c>
      <c r="J17" s="159">
        <f t="shared" si="60"/>
        <v>0.1487767247079568</v>
      </c>
      <c r="K17" s="159">
        <f t="shared" si="61"/>
        <v>0.17908902691511386</v>
      </c>
      <c r="L17" s="161">
        <f t="shared" si="62"/>
        <v>0.58629050033061492</v>
      </c>
      <c r="M17" s="146">
        <f t="shared" si="63"/>
        <v>5373.1540665638086</v>
      </c>
      <c r="N17" s="146">
        <f t="shared" si="64"/>
        <v>7111.5274410403354</v>
      </c>
      <c r="O17" s="146">
        <f t="shared" si="65"/>
        <v>8560.4554865424416</v>
      </c>
      <c r="P17" s="146">
        <f t="shared" si="66"/>
        <v>28024.685915803391</v>
      </c>
      <c r="Q17" s="56">
        <f t="shared" si="50"/>
        <v>45849</v>
      </c>
      <c r="R17" s="139">
        <v>49900</v>
      </c>
      <c r="S17" s="140">
        <v>0</v>
      </c>
      <c r="T17" s="140">
        <v>47800</v>
      </c>
      <c r="U17" s="140">
        <v>0</v>
      </c>
      <c r="V17" s="141">
        <v>12450</v>
      </c>
      <c r="W17" s="142">
        <v>0.375</v>
      </c>
      <c r="X17" s="141">
        <v>4100</v>
      </c>
      <c r="Y17" s="142">
        <v>0.79166666666666663</v>
      </c>
      <c r="Z17" s="141">
        <v>0</v>
      </c>
      <c r="AA17" s="142">
        <v>0</v>
      </c>
      <c r="AB17" s="56">
        <f t="shared" si="51"/>
        <v>45849</v>
      </c>
      <c r="AC17" s="76">
        <f t="shared" si="67"/>
        <v>1</v>
      </c>
      <c r="AD17" s="162">
        <f t="shared" si="68"/>
        <v>0</v>
      </c>
      <c r="AE17" s="163">
        <v>5100</v>
      </c>
      <c r="AF17" s="118">
        <f t="shared" si="37"/>
        <v>5100</v>
      </c>
      <c r="AG17" s="147">
        <v>0</v>
      </c>
      <c r="AH17" s="148">
        <v>4525</v>
      </c>
      <c r="AI17" s="149">
        <v>0.73750000000000004</v>
      </c>
      <c r="AJ17" s="148">
        <v>0</v>
      </c>
      <c r="AK17" s="165">
        <v>0</v>
      </c>
      <c r="AL17" s="56">
        <f t="shared" si="38"/>
        <v>45849</v>
      </c>
      <c r="AM17" s="77">
        <f t="shared" si="69"/>
        <v>0.51111111111111107</v>
      </c>
      <c r="AN17" s="76">
        <f t="shared" si="70"/>
        <v>0.48888888888888887</v>
      </c>
      <c r="AO17" s="150">
        <v>6750</v>
      </c>
      <c r="AP17" s="117">
        <f t="shared" si="41"/>
        <v>3450</v>
      </c>
      <c r="AQ17" s="151">
        <v>3300</v>
      </c>
      <c r="AR17" s="152">
        <v>3742</v>
      </c>
      <c r="AS17" s="153">
        <v>0.74305555555555558</v>
      </c>
      <c r="AT17" s="152">
        <v>208</v>
      </c>
      <c r="AU17" s="154">
        <v>0.32291666666666669</v>
      </c>
      <c r="AV17" s="56">
        <f t="shared" si="52"/>
        <v>45849</v>
      </c>
      <c r="AW17" s="110">
        <f t="shared" si="71"/>
        <v>0.69364161849710981</v>
      </c>
      <c r="AX17" s="110">
        <f t="shared" si="72"/>
        <v>0.30635838150289019</v>
      </c>
      <c r="AY17" s="111">
        <f t="shared" si="44"/>
        <v>6920</v>
      </c>
      <c r="AZ17" s="112">
        <v>6920</v>
      </c>
      <c r="BA17" s="120">
        <f t="shared" si="76"/>
        <v>4800</v>
      </c>
      <c r="BB17" s="113">
        <v>2120</v>
      </c>
      <c r="BC17" s="112">
        <v>3980</v>
      </c>
      <c r="BD17" s="114">
        <v>0.72916666666666663</v>
      </c>
      <c r="BE17" s="115">
        <v>0</v>
      </c>
      <c r="BF17" s="114">
        <v>0</v>
      </c>
      <c r="BG17" s="115">
        <v>133</v>
      </c>
      <c r="BH17" s="114">
        <v>0.33333333333333331</v>
      </c>
      <c r="BI17" s="56">
        <f t="shared" si="53"/>
        <v>45849</v>
      </c>
      <c r="BJ17" s="78">
        <f t="shared" si="73"/>
        <v>0.61090225563909772</v>
      </c>
      <c r="BK17" s="76">
        <f t="shared" si="74"/>
        <v>0.38909774436090228</v>
      </c>
      <c r="BL17" s="79">
        <f t="shared" si="75"/>
        <v>26600</v>
      </c>
      <c r="BM17" s="155">
        <v>16250</v>
      </c>
      <c r="BN17" s="155">
        <v>10350</v>
      </c>
      <c r="BO17" s="156">
        <v>4089</v>
      </c>
      <c r="BP17" s="157">
        <v>0.72291666666666665</v>
      </c>
      <c r="BQ17" s="158">
        <v>2748</v>
      </c>
      <c r="BR17" s="157">
        <v>0.72291666666666665</v>
      </c>
    </row>
    <row r="18" spans="1:70" ht="15.75" thickBot="1" x14ac:dyDescent="0.25">
      <c r="B18" s="56">
        <f t="shared" si="49"/>
        <v>45850</v>
      </c>
      <c r="C18" s="164"/>
      <c r="D18" s="87">
        <v>27100</v>
      </c>
      <c r="E18" s="159">
        <f t="shared" si="55"/>
        <v>0.7767527675276753</v>
      </c>
      <c r="F18" s="87">
        <f t="shared" si="56"/>
        <v>21050</v>
      </c>
      <c r="G18" s="159">
        <f t="shared" si="57"/>
        <v>0.22324723247232472</v>
      </c>
      <c r="H18" s="146">
        <f t="shared" si="58"/>
        <v>6050</v>
      </c>
      <c r="I18" s="160">
        <f t="shared" si="59"/>
        <v>9.63695493462534E-2</v>
      </c>
      <c r="J18" s="159">
        <f t="shared" si="60"/>
        <v>0.17256255392579811</v>
      </c>
      <c r="K18" s="159">
        <f t="shared" si="61"/>
        <v>0.18032160889303747</v>
      </c>
      <c r="L18" s="161">
        <f t="shared" si="62"/>
        <v>0.59003119400013271</v>
      </c>
      <c r="M18" s="146">
        <f t="shared" si="63"/>
        <v>2852.5386606491006</v>
      </c>
      <c r="N18" s="146">
        <f t="shared" si="64"/>
        <v>5107.8515962036245</v>
      </c>
      <c r="O18" s="146">
        <f t="shared" si="65"/>
        <v>5337.5196232339094</v>
      </c>
      <c r="P18" s="146">
        <f t="shared" si="66"/>
        <v>17464.923342403927</v>
      </c>
      <c r="Q18" s="56">
        <f t="shared" si="50"/>
        <v>45850</v>
      </c>
      <c r="R18" s="139">
        <v>26500</v>
      </c>
      <c r="S18" s="140">
        <v>0</v>
      </c>
      <c r="T18" s="140">
        <v>29600</v>
      </c>
      <c r="U18" s="140">
        <v>0</v>
      </c>
      <c r="V18" s="141">
        <v>6800</v>
      </c>
      <c r="W18" s="142">
        <v>0.4375</v>
      </c>
      <c r="X18" s="141">
        <v>2040</v>
      </c>
      <c r="Y18" s="142">
        <v>0.77083333333333337</v>
      </c>
      <c r="Z18" s="141">
        <v>0</v>
      </c>
      <c r="AA18" s="142">
        <v>0</v>
      </c>
      <c r="AB18" s="56">
        <f t="shared" si="51"/>
        <v>45850</v>
      </c>
      <c r="AC18" s="76">
        <f t="shared" si="67"/>
        <v>1</v>
      </c>
      <c r="AD18" s="162">
        <f t="shared" si="68"/>
        <v>0</v>
      </c>
      <c r="AE18" s="163">
        <v>2904</v>
      </c>
      <c r="AF18" s="118">
        <f t="shared" si="37"/>
        <v>2904</v>
      </c>
      <c r="AG18" s="147">
        <v>0</v>
      </c>
      <c r="AH18" s="148">
        <v>2450</v>
      </c>
      <c r="AI18" s="149">
        <v>0.93194444444444446</v>
      </c>
      <c r="AJ18" s="148">
        <v>0</v>
      </c>
      <c r="AK18" s="165">
        <v>0</v>
      </c>
      <c r="AL18" s="56">
        <f t="shared" si="38"/>
        <v>45850</v>
      </c>
      <c r="AM18" s="77">
        <f t="shared" si="69"/>
        <v>0.25</v>
      </c>
      <c r="AN18" s="76">
        <f t="shared" si="70"/>
        <v>0.75</v>
      </c>
      <c r="AO18" s="150">
        <v>5200</v>
      </c>
      <c r="AP18" s="117">
        <f t="shared" si="41"/>
        <v>1300</v>
      </c>
      <c r="AQ18" s="151">
        <v>3900</v>
      </c>
      <c r="AR18" s="152">
        <v>1920</v>
      </c>
      <c r="AS18" s="153">
        <v>0.94027777777777777</v>
      </c>
      <c r="AT18" s="152">
        <v>180</v>
      </c>
      <c r="AU18" s="154">
        <v>0.78333333333333333</v>
      </c>
      <c r="AV18" s="56">
        <f t="shared" si="52"/>
        <v>45850</v>
      </c>
      <c r="AW18" s="110">
        <f t="shared" si="71"/>
        <v>0.49411764705882355</v>
      </c>
      <c r="AX18" s="110">
        <f t="shared" si="72"/>
        <v>0.50588235294117645</v>
      </c>
      <c r="AY18" s="111">
        <f t="shared" si="44"/>
        <v>4250</v>
      </c>
      <c r="AZ18" s="112">
        <v>4250</v>
      </c>
      <c r="BA18" s="120">
        <f t="shared" si="76"/>
        <v>2100</v>
      </c>
      <c r="BB18" s="113">
        <v>2150</v>
      </c>
      <c r="BC18" s="112">
        <v>1420</v>
      </c>
      <c r="BD18" s="114">
        <v>0.4375</v>
      </c>
      <c r="BE18" s="115">
        <v>0</v>
      </c>
      <c r="BF18" s="114">
        <v>0</v>
      </c>
      <c r="BG18" s="115">
        <v>130</v>
      </c>
      <c r="BH18" s="114">
        <v>0.39583333333333331</v>
      </c>
      <c r="BI18" s="56">
        <f t="shared" si="53"/>
        <v>45850</v>
      </c>
      <c r="BJ18" s="78">
        <f t="shared" si="73"/>
        <v>0.61107986501687284</v>
      </c>
      <c r="BK18" s="76">
        <f t="shared" si="74"/>
        <v>0.38892013498312711</v>
      </c>
      <c r="BL18" s="79">
        <f t="shared" si="75"/>
        <v>17780</v>
      </c>
      <c r="BM18" s="155">
        <v>10865</v>
      </c>
      <c r="BN18" s="155">
        <v>6915</v>
      </c>
      <c r="BO18" s="156">
        <v>2616</v>
      </c>
      <c r="BP18" s="157">
        <v>0.375</v>
      </c>
      <c r="BQ18" s="158">
        <v>1719</v>
      </c>
      <c r="BR18" s="157">
        <v>0.375</v>
      </c>
    </row>
    <row r="19" spans="1:70" ht="15.75" thickBot="1" x14ac:dyDescent="0.25">
      <c r="B19" s="56">
        <f t="shared" si="49"/>
        <v>45851</v>
      </c>
      <c r="C19" s="164"/>
      <c r="D19" s="87">
        <f t="shared" si="54"/>
        <v>27472</v>
      </c>
      <c r="E19" s="159">
        <f t="shared" si="55"/>
        <v>0.78898514851485146</v>
      </c>
      <c r="F19" s="87">
        <f t="shared" si="56"/>
        <v>21675</v>
      </c>
      <c r="G19" s="159">
        <f t="shared" si="57"/>
        <v>0.21101485148514851</v>
      </c>
      <c r="H19" s="146">
        <f t="shared" si="58"/>
        <v>5797</v>
      </c>
      <c r="I19" s="160">
        <f t="shared" si="59"/>
        <v>7.2228313232997776E-2</v>
      </c>
      <c r="J19" s="159">
        <f t="shared" si="60"/>
        <v>0.16608525200172763</v>
      </c>
      <c r="K19" s="159">
        <f t="shared" si="61"/>
        <v>0.16968433850028222</v>
      </c>
      <c r="L19" s="161">
        <f t="shared" si="62"/>
        <v>0.63184823416060332</v>
      </c>
      <c r="M19" s="146">
        <f t="shared" si="63"/>
        <v>1859.3734675570618</v>
      </c>
      <c r="N19" s="146">
        <f t="shared" si="64"/>
        <v>4275.5326422804746</v>
      </c>
      <c r="O19" s="146">
        <f t="shared" si="65"/>
        <v>4368.1839260127654</v>
      </c>
      <c r="P19" s="146">
        <f t="shared" si="66"/>
        <v>16265.669091996411</v>
      </c>
      <c r="Q19" s="56">
        <f t="shared" si="50"/>
        <v>45851</v>
      </c>
      <c r="R19" s="139">
        <v>27472</v>
      </c>
      <c r="S19" s="140">
        <v>0</v>
      </c>
      <c r="T19" s="140">
        <v>25743</v>
      </c>
      <c r="U19" s="140">
        <v>0</v>
      </c>
      <c r="V19" s="141">
        <v>5988</v>
      </c>
      <c r="W19" s="142">
        <v>0.59375</v>
      </c>
      <c r="X19" s="141">
        <v>1794</v>
      </c>
      <c r="Y19" s="142">
        <v>0.97916666666666663</v>
      </c>
      <c r="Z19" s="141">
        <v>0</v>
      </c>
      <c r="AA19" s="142">
        <v>0</v>
      </c>
      <c r="AB19" s="56">
        <f t="shared" si="51"/>
        <v>45851</v>
      </c>
      <c r="AC19" s="76">
        <f t="shared" si="67"/>
        <v>1</v>
      </c>
      <c r="AD19" s="162">
        <f t="shared" si="68"/>
        <v>0</v>
      </c>
      <c r="AE19" s="163">
        <v>2174</v>
      </c>
      <c r="AF19" s="118">
        <f t="shared" si="37"/>
        <v>2174</v>
      </c>
      <c r="AG19" s="147">
        <v>0</v>
      </c>
      <c r="AH19" s="148">
        <v>1396</v>
      </c>
      <c r="AI19" s="149">
        <v>0.92291666666666672</v>
      </c>
      <c r="AJ19" s="148">
        <v>0</v>
      </c>
      <c r="AK19" s="165">
        <v>0</v>
      </c>
      <c r="AL19" s="56">
        <f t="shared" si="38"/>
        <v>45851</v>
      </c>
      <c r="AM19" s="77">
        <f t="shared" ref="AM19" si="77">+AP19/AO19</f>
        <v>0.2634526905381076</v>
      </c>
      <c r="AN19" s="76">
        <f t="shared" ref="AN19" si="78">+AQ19/AO19</f>
        <v>0.7365473094618924</v>
      </c>
      <c r="AO19" s="150">
        <v>4999</v>
      </c>
      <c r="AP19" s="117">
        <f t="shared" si="41"/>
        <v>1317</v>
      </c>
      <c r="AQ19" s="151">
        <v>3682</v>
      </c>
      <c r="AR19" s="152">
        <v>1767</v>
      </c>
      <c r="AS19" s="153">
        <v>0.39305555555555555</v>
      </c>
      <c r="AT19" s="152">
        <v>173</v>
      </c>
      <c r="AU19" s="154">
        <v>0.82291666666666663</v>
      </c>
      <c r="AV19" s="56">
        <f t="shared" si="52"/>
        <v>45851</v>
      </c>
      <c r="AW19" s="110">
        <f t="shared" ref="AW19" si="79">BA19/AZ19</f>
        <v>0.45880245649948825</v>
      </c>
      <c r="AX19" s="110">
        <f t="shared" ref="AX19" si="80">BB19/AZ19</f>
        <v>0.54119754350051175</v>
      </c>
      <c r="AY19" s="111">
        <f t="shared" si="44"/>
        <v>3908</v>
      </c>
      <c r="AZ19" s="112">
        <v>3908</v>
      </c>
      <c r="BA19" s="120">
        <f t="shared" si="76"/>
        <v>1793</v>
      </c>
      <c r="BB19" s="113">
        <v>2115</v>
      </c>
      <c r="BC19" s="112">
        <v>1374</v>
      </c>
      <c r="BD19" s="114">
        <v>0.79166666666666663</v>
      </c>
      <c r="BE19" s="115">
        <v>0</v>
      </c>
      <c r="BF19" s="114">
        <v>0</v>
      </c>
      <c r="BG19" s="115">
        <v>126</v>
      </c>
      <c r="BH19" s="114">
        <v>0.875</v>
      </c>
      <c r="BI19" s="56">
        <f t="shared" si="53"/>
        <v>45851</v>
      </c>
      <c r="BJ19" s="78">
        <f t="shared" ref="BJ19" si="81">+BM19/BL19</f>
        <v>0.61646860868650755</v>
      </c>
      <c r="BK19" s="76">
        <f t="shared" ref="BK19" si="82">+BN19/BL19</f>
        <v>0.38353139131349245</v>
      </c>
      <c r="BL19" s="79">
        <f t="shared" ref="BL19" si="83">BM19+BN19</f>
        <v>19018</v>
      </c>
      <c r="BM19" s="155">
        <v>11724</v>
      </c>
      <c r="BN19" s="155">
        <v>7294</v>
      </c>
      <c r="BO19" s="156">
        <v>2589</v>
      </c>
      <c r="BP19" s="157">
        <v>0.41458333333333336</v>
      </c>
      <c r="BQ19" s="158">
        <v>1715</v>
      </c>
      <c r="BR19" s="157">
        <v>0.41458333333333336</v>
      </c>
    </row>
    <row r="20" spans="1:70" ht="15.75" thickBot="1" x14ac:dyDescent="0.25">
      <c r="B20" s="56">
        <f t="shared" si="49"/>
        <v>45852</v>
      </c>
      <c r="C20" s="164"/>
      <c r="D20" s="87">
        <f t="shared" si="54"/>
        <v>49726</v>
      </c>
      <c r="E20" s="159">
        <f t="shared" si="55"/>
        <v>0.86582471946265538</v>
      </c>
      <c r="F20" s="87">
        <f t="shared" si="56"/>
        <v>43054</v>
      </c>
      <c r="G20" s="159">
        <f t="shared" si="57"/>
        <v>0.13417528053734465</v>
      </c>
      <c r="H20" s="146">
        <f t="shared" si="58"/>
        <v>6672</v>
      </c>
      <c r="I20" s="160">
        <f t="shared" si="59"/>
        <v>0.11035014432472166</v>
      </c>
      <c r="J20" s="159">
        <f t="shared" si="60"/>
        <v>0.15895440773078509</v>
      </c>
      <c r="K20" s="159">
        <f t="shared" si="61"/>
        <v>0.16175802298154118</v>
      </c>
      <c r="L20" s="161">
        <f t="shared" si="62"/>
        <v>0.59667963497498966</v>
      </c>
      <c r="M20" s="146">
        <f t="shared" si="63"/>
        <v>5289.3031177725588</v>
      </c>
      <c r="N20" s="146">
        <f t="shared" si="64"/>
        <v>7619.002671351991</v>
      </c>
      <c r="O20" s="146">
        <f t="shared" si="65"/>
        <v>7753.3855575512316</v>
      </c>
      <c r="P20" s="146">
        <f t="shared" si="66"/>
        <v>28600.048263621204</v>
      </c>
      <c r="Q20" s="56">
        <f t="shared" si="50"/>
        <v>45852</v>
      </c>
      <c r="R20" s="139">
        <v>49726</v>
      </c>
      <c r="S20" s="140">
        <v>0</v>
      </c>
      <c r="T20" s="140">
        <v>47932</v>
      </c>
      <c r="U20" s="140">
        <v>0</v>
      </c>
      <c r="V20" s="141">
        <v>14440</v>
      </c>
      <c r="W20" s="142">
        <v>0.38541666666666669</v>
      </c>
      <c r="X20" s="141">
        <v>4123</v>
      </c>
      <c r="Y20" s="142">
        <v>0.38541666666666669</v>
      </c>
      <c r="Z20" s="141">
        <v>0</v>
      </c>
      <c r="AA20" s="142">
        <v>0</v>
      </c>
      <c r="AB20" s="56">
        <f t="shared" si="51"/>
        <v>45852</v>
      </c>
      <c r="AC20" s="76">
        <f t="shared" si="67"/>
        <v>1</v>
      </c>
      <c r="AD20" s="162">
        <f t="shared" si="68"/>
        <v>0</v>
      </c>
      <c r="AE20" s="163">
        <v>6155</v>
      </c>
      <c r="AF20" s="118">
        <f t="shared" si="37"/>
        <v>6155</v>
      </c>
      <c r="AG20" s="147">
        <v>0</v>
      </c>
      <c r="AH20" s="148">
        <v>3463</v>
      </c>
      <c r="AI20" s="149">
        <v>0.33750000000000002</v>
      </c>
      <c r="AJ20" s="148">
        <v>0</v>
      </c>
      <c r="AK20" s="165">
        <v>0</v>
      </c>
      <c r="AL20" s="56">
        <f t="shared" si="38"/>
        <v>45852</v>
      </c>
      <c r="AM20" s="77">
        <f t="shared" si="69"/>
        <v>0.54443943153620578</v>
      </c>
      <c r="AN20" s="76">
        <f t="shared" si="70"/>
        <v>0.45556056846379428</v>
      </c>
      <c r="AO20" s="150">
        <v>8866</v>
      </c>
      <c r="AP20" s="117">
        <f t="shared" si="41"/>
        <v>4827</v>
      </c>
      <c r="AQ20" s="151">
        <v>4039</v>
      </c>
      <c r="AR20" s="152">
        <v>3561</v>
      </c>
      <c r="AS20" s="153">
        <v>0.74305555555555558</v>
      </c>
      <c r="AT20" s="152">
        <v>199</v>
      </c>
      <c r="AU20" s="154">
        <v>0.82291666666666663</v>
      </c>
      <c r="AV20" s="56">
        <f t="shared" si="52"/>
        <v>45852</v>
      </c>
      <c r="AW20" s="110">
        <f t="shared" si="71"/>
        <v>0.64775919732441467</v>
      </c>
      <c r="AX20" s="110">
        <f t="shared" si="72"/>
        <v>0.35224080267558527</v>
      </c>
      <c r="AY20" s="111">
        <f t="shared" si="44"/>
        <v>7475</v>
      </c>
      <c r="AZ20" s="112">
        <v>7475</v>
      </c>
      <c r="BA20" s="120">
        <f t="shared" ref="BA20" si="84">AZ20-BB20</f>
        <v>4842</v>
      </c>
      <c r="BB20" s="113">
        <f>1594+1039</f>
        <v>2633</v>
      </c>
      <c r="BC20" s="112">
        <v>4171</v>
      </c>
      <c r="BD20" s="114">
        <v>0.35416666666666669</v>
      </c>
      <c r="BE20" s="115">
        <v>0</v>
      </c>
      <c r="BF20" s="114">
        <v>0</v>
      </c>
      <c r="BG20" s="115">
        <v>126</v>
      </c>
      <c r="BH20" s="114">
        <v>0.30208333333333331</v>
      </c>
      <c r="BI20" s="56">
        <f t="shared" si="53"/>
        <v>45852</v>
      </c>
      <c r="BJ20" s="78">
        <f t="shared" si="73"/>
        <v>0.60932664282924187</v>
      </c>
      <c r="BK20" s="76">
        <f t="shared" si="74"/>
        <v>0.39067335717075807</v>
      </c>
      <c r="BL20" s="79">
        <f t="shared" si="75"/>
        <v>33281</v>
      </c>
      <c r="BM20" s="155">
        <v>20279</v>
      </c>
      <c r="BN20" s="155">
        <v>13002</v>
      </c>
      <c r="BO20" s="156">
        <v>3819</v>
      </c>
      <c r="BP20" s="157">
        <v>0.80486111111111114</v>
      </c>
      <c r="BQ20" s="158">
        <v>2531</v>
      </c>
      <c r="BR20" s="157">
        <v>0.28055555555555556</v>
      </c>
    </row>
    <row r="21" spans="1:70" ht="15.75" thickBot="1" x14ac:dyDescent="0.25">
      <c r="A21" s="14"/>
      <c r="B21" s="56">
        <f t="shared" si="49"/>
        <v>45853</v>
      </c>
      <c r="C21" s="164"/>
      <c r="D21" s="87">
        <f t="shared" si="54"/>
        <v>49452</v>
      </c>
      <c r="E21" s="159">
        <f t="shared" si="55"/>
        <v>0.86172450052576233</v>
      </c>
      <c r="F21" s="87">
        <f t="shared" si="56"/>
        <v>42614</v>
      </c>
      <c r="G21" s="159">
        <f t="shared" si="57"/>
        <v>0.13827549947423765</v>
      </c>
      <c r="H21" s="146">
        <f t="shared" si="58"/>
        <v>6838</v>
      </c>
      <c r="I21" s="160">
        <f t="shared" si="59"/>
        <v>0.10926603667085449</v>
      </c>
      <c r="J21" s="159">
        <f t="shared" si="60"/>
        <v>0.15806340015658857</v>
      </c>
      <c r="K21" s="159">
        <f t="shared" si="61"/>
        <v>0.15913329189237191</v>
      </c>
      <c r="L21" s="161">
        <f t="shared" si="62"/>
        <v>0.60215582381966826</v>
      </c>
      <c r="M21" s="146">
        <f t="shared" si="63"/>
        <v>5233.4060923872466</v>
      </c>
      <c r="N21" s="146">
        <f t="shared" si="64"/>
        <v>7570.6046138999664</v>
      </c>
      <c r="O21" s="146">
        <f t="shared" si="65"/>
        <v>7621.8481484770446</v>
      </c>
      <c r="P21" s="146">
        <f t="shared" si="66"/>
        <v>28840.855337666831</v>
      </c>
      <c r="Q21" s="56">
        <f t="shared" si="50"/>
        <v>45853</v>
      </c>
      <c r="R21" s="139">
        <v>49452</v>
      </c>
      <c r="S21" s="140">
        <v>0</v>
      </c>
      <c r="T21" s="140">
        <v>47896</v>
      </c>
      <c r="U21" s="140">
        <v>0</v>
      </c>
      <c r="V21" s="141">
        <v>11656</v>
      </c>
      <c r="W21" s="142">
        <v>0.41666666666666669</v>
      </c>
      <c r="X21" s="141">
        <v>4207</v>
      </c>
      <c r="Y21" s="142">
        <v>0.8125</v>
      </c>
      <c r="Z21" s="141">
        <v>0</v>
      </c>
      <c r="AA21" s="142">
        <v>0</v>
      </c>
      <c r="AB21" s="56">
        <f t="shared" si="51"/>
        <v>45853</v>
      </c>
      <c r="AC21" s="76">
        <f t="shared" si="67"/>
        <v>1</v>
      </c>
      <c r="AD21" s="162">
        <f t="shared" si="68"/>
        <v>0</v>
      </c>
      <c r="AE21" s="163">
        <v>6001</v>
      </c>
      <c r="AF21" s="118">
        <f t="shared" si="37"/>
        <v>6001</v>
      </c>
      <c r="AG21" s="147">
        <v>0</v>
      </c>
      <c r="AH21" s="148">
        <v>3195</v>
      </c>
      <c r="AI21" s="149">
        <v>0.7416666666666667</v>
      </c>
      <c r="AJ21" s="148">
        <v>0</v>
      </c>
      <c r="AK21" s="165">
        <v>0</v>
      </c>
      <c r="AL21" s="56">
        <f t="shared" si="38"/>
        <v>45853</v>
      </c>
      <c r="AM21" s="77">
        <f t="shared" si="69"/>
        <v>0.52090772952424835</v>
      </c>
      <c r="AN21" s="76">
        <f t="shared" si="70"/>
        <v>0.47909227047575165</v>
      </c>
      <c r="AO21" s="150">
        <v>8681</v>
      </c>
      <c r="AP21" s="117">
        <f t="shared" si="41"/>
        <v>4522</v>
      </c>
      <c r="AQ21" s="151">
        <v>4159</v>
      </c>
      <c r="AR21" s="152">
        <v>3453</v>
      </c>
      <c r="AS21" s="153">
        <v>0.73888888888888893</v>
      </c>
      <c r="AT21" s="152">
        <v>197</v>
      </c>
      <c r="AU21" s="154">
        <v>0.21875</v>
      </c>
      <c r="AV21" s="56">
        <f t="shared" si="52"/>
        <v>45853</v>
      </c>
      <c r="AW21" s="110">
        <f t="shared" si="71"/>
        <v>0.6262555803571429</v>
      </c>
      <c r="AX21" s="110">
        <f t="shared" si="72"/>
        <v>0.37374441964285715</v>
      </c>
      <c r="AY21" s="111">
        <f t="shared" si="44"/>
        <v>7168</v>
      </c>
      <c r="AZ21" s="112">
        <v>7168</v>
      </c>
      <c r="BA21" s="120">
        <f t="shared" si="76"/>
        <v>4489</v>
      </c>
      <c r="BB21" s="113">
        <f>1604+1075</f>
        <v>2679</v>
      </c>
      <c r="BC21" s="112">
        <v>3557</v>
      </c>
      <c r="BD21" s="114">
        <v>0.73958333333333337</v>
      </c>
      <c r="BE21" s="115">
        <v>0</v>
      </c>
      <c r="BF21" s="114">
        <v>0</v>
      </c>
      <c r="BG21" s="115">
        <v>137</v>
      </c>
      <c r="BH21" s="114">
        <v>0.30208333333333331</v>
      </c>
      <c r="BI21" s="56">
        <f t="shared" si="53"/>
        <v>45853</v>
      </c>
      <c r="BJ21" s="78">
        <f t="shared" si="73"/>
        <v>0.61035348190257321</v>
      </c>
      <c r="BK21" s="76">
        <f t="shared" si="74"/>
        <v>0.38964651809742673</v>
      </c>
      <c r="BL21" s="79">
        <f t="shared" si="75"/>
        <v>33071</v>
      </c>
      <c r="BM21" s="155">
        <v>20185</v>
      </c>
      <c r="BN21" s="155">
        <v>12886</v>
      </c>
      <c r="BO21" s="156">
        <v>3759</v>
      </c>
      <c r="BP21" s="157">
        <v>0.71736111111111112</v>
      </c>
      <c r="BQ21" s="158">
        <v>2481</v>
      </c>
      <c r="BR21" s="157">
        <v>0.71736111111111112</v>
      </c>
    </row>
    <row r="22" spans="1:70" ht="15.75" thickBot="1" x14ac:dyDescent="0.25">
      <c r="A22" s="14"/>
      <c r="B22" s="56">
        <f t="shared" si="49"/>
        <v>45854</v>
      </c>
      <c r="C22" s="164"/>
      <c r="D22" s="87">
        <f t="shared" si="54"/>
        <v>27962</v>
      </c>
      <c r="E22" s="159">
        <f t="shared" si="55"/>
        <v>0.78657392175094776</v>
      </c>
      <c r="F22" s="87">
        <f t="shared" si="56"/>
        <v>21994.18</v>
      </c>
      <c r="G22" s="159">
        <f t="shared" si="57"/>
        <v>0.21342607824905227</v>
      </c>
      <c r="H22" s="146">
        <f>U22+AG22+AQ22+BB22</f>
        <v>5967.82</v>
      </c>
      <c r="I22" s="160">
        <f t="shared" si="59"/>
        <v>6.3089728704354794E-2</v>
      </c>
      <c r="J22" s="159">
        <f t="shared" si="60"/>
        <v>0.17602328661837091</v>
      </c>
      <c r="K22" s="159">
        <f t="shared" si="61"/>
        <v>0.16977204072632085</v>
      </c>
      <c r="L22" s="161">
        <f t="shared" si="62"/>
        <v>0.63209105329430426</v>
      </c>
      <c r="M22" s="146">
        <f t="shared" si="63"/>
        <v>1668.5025101797191</v>
      </c>
      <c r="N22" s="146">
        <f t="shared" si="64"/>
        <v>4655.1998495527459</v>
      </c>
      <c r="O22" s="146">
        <f t="shared" si="65"/>
        <v>4489.8762750686446</v>
      </c>
      <c r="P22" s="146">
        <f t="shared" si="66"/>
        <v>16716.596040947818</v>
      </c>
      <c r="Q22" s="56">
        <f t="shared" si="50"/>
        <v>45854</v>
      </c>
      <c r="R22" s="139">
        <v>27962</v>
      </c>
      <c r="S22" s="140">
        <v>0</v>
      </c>
      <c r="T22" s="140">
        <v>26446.5</v>
      </c>
      <c r="U22" s="140">
        <v>0</v>
      </c>
      <c r="V22" s="141">
        <v>5808.6</v>
      </c>
      <c r="W22" s="142">
        <v>0.67708333333333337</v>
      </c>
      <c r="X22" s="141">
        <v>1756.8</v>
      </c>
      <c r="Y22" s="142">
        <v>0.95833333333333337</v>
      </c>
      <c r="Z22" s="141">
        <v>0</v>
      </c>
      <c r="AA22" s="142">
        <v>0</v>
      </c>
      <c r="AB22" s="56">
        <f t="shared" si="51"/>
        <v>45854</v>
      </c>
      <c r="AC22" s="76">
        <f t="shared" si="67"/>
        <v>1</v>
      </c>
      <c r="AD22" s="162">
        <f t="shared" si="68"/>
        <v>0</v>
      </c>
      <c r="AE22" s="163">
        <v>1929</v>
      </c>
      <c r="AF22" s="118">
        <f t="shared" si="37"/>
        <v>1929</v>
      </c>
      <c r="AG22" s="147">
        <v>0</v>
      </c>
      <c r="AH22" s="148">
        <v>1458</v>
      </c>
      <c r="AI22" s="149">
        <v>0.93819444444444444</v>
      </c>
      <c r="AJ22" s="148">
        <v>0</v>
      </c>
      <c r="AK22" s="165">
        <v>0</v>
      </c>
      <c r="AL22" s="56">
        <f t="shared" si="38"/>
        <v>45854</v>
      </c>
      <c r="AM22" s="77">
        <f t="shared" si="69"/>
        <v>0.27458379784466741</v>
      </c>
      <c r="AN22" s="76">
        <f t="shared" si="70"/>
        <v>0.72541620215533265</v>
      </c>
      <c r="AO22" s="150">
        <v>5382</v>
      </c>
      <c r="AP22" s="117">
        <f t="shared" si="41"/>
        <v>1477.81</v>
      </c>
      <c r="AQ22" s="151">
        <v>3904.19</v>
      </c>
      <c r="AR22" s="152">
        <v>1456.12</v>
      </c>
      <c r="AS22" s="153">
        <v>0.84930555555555554</v>
      </c>
      <c r="AT22" s="152">
        <v>188.5</v>
      </c>
      <c r="AU22" s="154">
        <v>2.0833333333333332E-2</v>
      </c>
      <c r="AV22" s="56">
        <f t="shared" si="52"/>
        <v>45854</v>
      </c>
      <c r="AW22" s="110">
        <f t="shared" si="71"/>
        <v>0.47597003555104112</v>
      </c>
      <c r="AX22" s="110">
        <f t="shared" si="72"/>
        <v>0.52402996444895888</v>
      </c>
      <c r="AY22" s="111">
        <f t="shared" si="44"/>
        <v>3938</v>
      </c>
      <c r="AZ22" s="112">
        <v>3938</v>
      </c>
      <c r="BA22" s="120">
        <f t="shared" si="76"/>
        <v>1874.37</v>
      </c>
      <c r="BB22" s="113">
        <v>2063.63</v>
      </c>
      <c r="BC22" s="112">
        <v>1455.88</v>
      </c>
      <c r="BD22" s="114">
        <v>0.84375</v>
      </c>
      <c r="BE22" s="115">
        <v>0</v>
      </c>
      <c r="BF22" s="114">
        <v>0</v>
      </c>
      <c r="BG22" s="115">
        <v>120.12</v>
      </c>
      <c r="BH22" s="114">
        <v>0.84375</v>
      </c>
      <c r="BI22" s="56">
        <f t="shared" si="53"/>
        <v>45854</v>
      </c>
      <c r="BJ22" s="78">
        <f t="shared" si="73"/>
        <v>0.6164075233487698</v>
      </c>
      <c r="BK22" s="76">
        <f t="shared" si="74"/>
        <v>0.3835924766512302</v>
      </c>
      <c r="BL22" s="79">
        <f t="shared" si="75"/>
        <v>19326.5</v>
      </c>
      <c r="BM22" s="155">
        <v>11913</v>
      </c>
      <c r="BN22" s="155">
        <v>7413.5</v>
      </c>
      <c r="BO22" s="156">
        <v>2381.5</v>
      </c>
      <c r="BP22" s="157">
        <v>0.41805555555555557</v>
      </c>
      <c r="BQ22" s="158">
        <v>1583.95</v>
      </c>
      <c r="BR22" s="157">
        <v>0.41805555555555557</v>
      </c>
    </row>
    <row r="23" spans="1:70" ht="15.75" thickBot="1" x14ac:dyDescent="0.25">
      <c r="A23" s="14"/>
      <c r="B23" s="56">
        <f t="shared" si="49"/>
        <v>45855</v>
      </c>
      <c r="C23" s="164"/>
      <c r="D23" s="87">
        <f t="shared" si="54"/>
        <v>49226</v>
      </c>
      <c r="E23" s="159">
        <f t="shared" si="55"/>
        <v>0.86450513956039488</v>
      </c>
      <c r="F23" s="87">
        <f t="shared" si="56"/>
        <v>42556.13</v>
      </c>
      <c r="G23" s="159">
        <f t="shared" si="57"/>
        <v>0.1354948604396051</v>
      </c>
      <c r="H23" s="146">
        <f t="shared" si="58"/>
        <v>6669.87</v>
      </c>
      <c r="I23" s="160">
        <f t="shared" si="59"/>
        <v>0.10981948604043586</v>
      </c>
      <c r="J23" s="159">
        <f t="shared" si="60"/>
        <v>0.1577835835161534</v>
      </c>
      <c r="K23" s="159">
        <f t="shared" si="61"/>
        <v>0.15974610464757555</v>
      </c>
      <c r="L23" s="161">
        <f t="shared" si="62"/>
        <v>0.60088481880330991</v>
      </c>
      <c r="M23" s="146">
        <f t="shared" si="63"/>
        <v>5209.2324105850548</v>
      </c>
      <c r="N23" s="146">
        <f t="shared" si="64"/>
        <v>7484.3853922969784</v>
      </c>
      <c r="O23" s="146">
        <f t="shared" si="65"/>
        <v>7577.4766009054219</v>
      </c>
      <c r="P23" s="146">
        <f t="shared" si="66"/>
        <v>28502.670937525603</v>
      </c>
      <c r="Q23" s="56">
        <f t="shared" si="50"/>
        <v>45855</v>
      </c>
      <c r="R23" s="139">
        <v>49226</v>
      </c>
      <c r="S23" s="140">
        <v>0</v>
      </c>
      <c r="T23" s="140">
        <v>47434.5</v>
      </c>
      <c r="U23" s="140">
        <v>0</v>
      </c>
      <c r="V23" s="141">
        <v>12026.46</v>
      </c>
      <c r="W23" s="142">
        <v>0.375</v>
      </c>
      <c r="X23" s="141">
        <v>4285</v>
      </c>
      <c r="Y23" s="142">
        <v>0.79166666666666663</v>
      </c>
      <c r="Z23" s="141">
        <v>0</v>
      </c>
      <c r="AA23" s="142">
        <v>0</v>
      </c>
      <c r="AB23" s="56">
        <f t="shared" si="51"/>
        <v>45855</v>
      </c>
      <c r="AC23" s="76">
        <f t="shared" si="67"/>
        <v>1</v>
      </c>
      <c r="AD23" s="162">
        <f t="shared" si="68"/>
        <v>0</v>
      </c>
      <c r="AE23" s="163">
        <v>6032</v>
      </c>
      <c r="AF23" s="118">
        <f t="shared" si="37"/>
        <v>6032</v>
      </c>
      <c r="AG23" s="147">
        <v>0</v>
      </c>
      <c r="AH23" s="148">
        <v>4141</v>
      </c>
      <c r="AI23" s="149">
        <v>0.75902777777777775</v>
      </c>
      <c r="AJ23" s="148">
        <v>0</v>
      </c>
      <c r="AK23" s="165">
        <v>0</v>
      </c>
      <c r="AL23" s="56">
        <f t="shared" si="38"/>
        <v>45855</v>
      </c>
      <c r="AM23" s="77">
        <f t="shared" si="69"/>
        <v>0.53558299198061499</v>
      </c>
      <c r="AN23" s="76">
        <f t="shared" si="70"/>
        <v>0.46441700801938496</v>
      </c>
      <c r="AO23" s="150">
        <v>8666.5</v>
      </c>
      <c r="AP23" s="117">
        <f t="shared" si="41"/>
        <v>4641.63</v>
      </c>
      <c r="AQ23" s="151">
        <v>4024.87</v>
      </c>
      <c r="AR23" s="152">
        <v>3954.84</v>
      </c>
      <c r="AS23" s="153">
        <v>0.33402777777777776</v>
      </c>
      <c r="AT23" s="152">
        <v>199.37</v>
      </c>
      <c r="AU23" s="154">
        <v>0.3125</v>
      </c>
      <c r="AV23" s="56">
        <f t="shared" si="52"/>
        <v>45855</v>
      </c>
      <c r="AW23" s="110">
        <f t="shared" si="71"/>
        <v>0.63383401398214168</v>
      </c>
      <c r="AX23" s="110">
        <f t="shared" si="72"/>
        <v>0.36616598601785838</v>
      </c>
      <c r="AY23" s="111">
        <f t="shared" si="44"/>
        <v>7223.5</v>
      </c>
      <c r="AZ23" s="112">
        <v>7223.5</v>
      </c>
      <c r="BA23" s="120">
        <f t="shared" si="76"/>
        <v>4578.5</v>
      </c>
      <c r="BB23" s="113">
        <v>2645</v>
      </c>
      <c r="BC23" s="112">
        <v>3268.77</v>
      </c>
      <c r="BD23" s="114">
        <v>0.78125</v>
      </c>
      <c r="BE23" s="115">
        <v>0</v>
      </c>
      <c r="BF23" s="114">
        <v>0</v>
      </c>
      <c r="BG23" s="115">
        <v>139</v>
      </c>
      <c r="BH23" s="114">
        <v>0.78125</v>
      </c>
      <c r="BI23" s="56">
        <f t="shared" si="53"/>
        <v>45855</v>
      </c>
      <c r="BJ23" s="78">
        <f t="shared" si="73"/>
        <v>0.60894726476692573</v>
      </c>
      <c r="BK23" s="76">
        <f t="shared" si="74"/>
        <v>0.39105273523307427</v>
      </c>
      <c r="BL23" s="79">
        <f t="shared" si="75"/>
        <v>33004.5</v>
      </c>
      <c r="BM23" s="155">
        <v>20098</v>
      </c>
      <c r="BN23" s="155">
        <v>12906.5</v>
      </c>
      <c r="BO23" s="156">
        <v>3800</v>
      </c>
      <c r="BP23" s="157">
        <v>0.3888888888888889</v>
      </c>
      <c r="BQ23" s="158">
        <v>2535.4299999999998</v>
      </c>
      <c r="BR23" s="157">
        <v>0.38958333333333334</v>
      </c>
    </row>
    <row r="24" spans="1:70" ht="15.75" thickBot="1" x14ac:dyDescent="0.25">
      <c r="A24" s="14"/>
      <c r="B24" s="56">
        <f t="shared" si="49"/>
        <v>45856</v>
      </c>
      <c r="C24" s="164"/>
      <c r="D24" s="87">
        <f t="shared" si="54"/>
        <v>49340</v>
      </c>
      <c r="E24" s="159">
        <f t="shared" si="55"/>
        <v>0.8768747466558573</v>
      </c>
      <c r="F24" s="87">
        <f t="shared" si="56"/>
        <v>43265</v>
      </c>
      <c r="G24" s="159">
        <f t="shared" si="57"/>
        <v>0.12312525334414268</v>
      </c>
      <c r="H24" s="146">
        <f t="shared" si="58"/>
        <v>6075</v>
      </c>
      <c r="I24" s="160">
        <f t="shared" si="59"/>
        <v>0.10959801922516749</v>
      </c>
      <c r="J24" s="159">
        <f t="shared" si="60"/>
        <v>0.15609525196621032</v>
      </c>
      <c r="K24" s="159">
        <f t="shared" si="61"/>
        <v>0.15935850140272592</v>
      </c>
      <c r="L24" s="161">
        <f t="shared" si="62"/>
        <v>0.60297116224876202</v>
      </c>
      <c r="M24" s="146">
        <f t="shared" si="63"/>
        <v>5231.3326536556942</v>
      </c>
      <c r="N24" s="146">
        <f t="shared" si="64"/>
        <v>7450.7385668511515</v>
      </c>
      <c r="O24" s="146">
        <f t="shared" si="65"/>
        <v>7606.4999889549135</v>
      </c>
      <c r="P24" s="146">
        <f t="shared" si="66"/>
        <v>28781.019516457909</v>
      </c>
      <c r="Q24" s="56">
        <f t="shared" si="50"/>
        <v>45856</v>
      </c>
      <c r="R24" s="139">
        <v>49340</v>
      </c>
      <c r="S24" s="140">
        <v>0</v>
      </c>
      <c r="T24" s="140">
        <v>47732</v>
      </c>
      <c r="U24" s="140">
        <v>0</v>
      </c>
      <c r="V24" s="141">
        <v>12482</v>
      </c>
      <c r="W24" s="142">
        <v>0.77083333333333337</v>
      </c>
      <c r="X24" s="141">
        <v>4144</v>
      </c>
      <c r="Y24" s="142">
        <v>0.38541666666666669</v>
      </c>
      <c r="Z24" s="141">
        <v>0</v>
      </c>
      <c r="AA24" s="142">
        <v>0</v>
      </c>
      <c r="AB24" s="56">
        <f t="shared" si="51"/>
        <v>45856</v>
      </c>
      <c r="AC24" s="76">
        <f t="shared" si="67"/>
        <v>1</v>
      </c>
      <c r="AD24" s="162">
        <f t="shared" si="68"/>
        <v>0</v>
      </c>
      <c r="AE24" s="163">
        <v>6020</v>
      </c>
      <c r="AF24" s="118">
        <f t="shared" si="37"/>
        <v>6020</v>
      </c>
      <c r="AG24" s="147">
        <v>0</v>
      </c>
      <c r="AH24" s="148">
        <v>3268</v>
      </c>
      <c r="AI24" s="149">
        <v>0.36319444444444443</v>
      </c>
      <c r="AJ24" s="148">
        <v>0</v>
      </c>
      <c r="AK24" s="165">
        <v>0</v>
      </c>
      <c r="AL24" s="56">
        <f t="shared" si="38"/>
        <v>45856</v>
      </c>
      <c r="AM24" s="77">
        <f t="shared" si="69"/>
        <v>0.54000466526708657</v>
      </c>
      <c r="AN24" s="76">
        <f t="shared" si="70"/>
        <v>0.45999533473291349</v>
      </c>
      <c r="AO24" s="150">
        <v>8574</v>
      </c>
      <c r="AP24" s="117">
        <f t="shared" si="41"/>
        <v>4630</v>
      </c>
      <c r="AQ24" s="151">
        <v>3944</v>
      </c>
      <c r="AR24" s="152">
        <v>3621</v>
      </c>
      <c r="AS24" s="153">
        <v>0.72222222222222221</v>
      </c>
      <c r="AT24" s="152">
        <v>193</v>
      </c>
      <c r="AU24" s="154">
        <v>0.80208333333333337</v>
      </c>
      <c r="AV24" s="56">
        <f t="shared" si="52"/>
        <v>45856</v>
      </c>
      <c r="AW24" s="110">
        <f t="shared" si="71"/>
        <v>0.70460216246187968</v>
      </c>
      <c r="AX24" s="110">
        <f t="shared" si="72"/>
        <v>0.29539783753812032</v>
      </c>
      <c r="AY24" s="111">
        <f t="shared" si="44"/>
        <v>7214</v>
      </c>
      <c r="AZ24" s="112">
        <v>7214</v>
      </c>
      <c r="BA24" s="120">
        <f t="shared" si="76"/>
        <v>5083</v>
      </c>
      <c r="BB24" s="113">
        <v>2131</v>
      </c>
      <c r="BC24" s="112">
        <v>3705</v>
      </c>
      <c r="BD24" s="114">
        <v>0.73958333333333337</v>
      </c>
      <c r="BE24" s="115">
        <v>0</v>
      </c>
      <c r="BF24" s="114">
        <v>0</v>
      </c>
      <c r="BG24" s="115">
        <v>134</v>
      </c>
      <c r="BH24" s="114">
        <v>0.32291666666666669</v>
      </c>
      <c r="BI24" s="56">
        <f t="shared" si="53"/>
        <v>45856</v>
      </c>
      <c r="BJ24" s="78">
        <f t="shared" si="73"/>
        <v>0.60963164251207724</v>
      </c>
      <c r="BK24" s="76">
        <f t="shared" si="74"/>
        <v>0.3903683574879227</v>
      </c>
      <c r="BL24" s="79">
        <f t="shared" si="75"/>
        <v>33120</v>
      </c>
      <c r="BM24" s="155">
        <v>20191</v>
      </c>
      <c r="BN24" s="155">
        <v>12929</v>
      </c>
      <c r="BO24" s="156">
        <v>3697</v>
      </c>
      <c r="BP24" s="157">
        <v>0.81874999999999998</v>
      </c>
      <c r="BQ24" s="158">
        <v>2446</v>
      </c>
      <c r="BR24" s="157">
        <v>0.81874999999999998</v>
      </c>
    </row>
    <row r="25" spans="1:70" ht="15.75" thickBot="1" x14ac:dyDescent="0.25">
      <c r="A25" s="14"/>
      <c r="B25" s="56">
        <f t="shared" si="49"/>
        <v>45857</v>
      </c>
      <c r="C25" s="164"/>
      <c r="D25" s="87">
        <f t="shared" ref="D25:D37" si="85">R25</f>
        <v>31184</v>
      </c>
      <c r="E25" s="159">
        <f t="shared" ref="E25:E37" si="86">F25/D25</f>
        <v>0.82096587993842995</v>
      </c>
      <c r="F25" s="87">
        <f t="shared" ref="F25:F37" si="87">D25-H25</f>
        <v>25601</v>
      </c>
      <c r="G25" s="159">
        <f t="shared" ref="G25:G37" si="88">H25/D25</f>
        <v>0.17903412006157005</v>
      </c>
      <c r="H25" s="146">
        <f t="shared" ref="H25:H37" si="89">U25+AG25+AQ25+BB25</f>
        <v>5583</v>
      </c>
      <c r="I25" s="160">
        <f t="shared" ref="I25:I37" si="90">AE25/(AE25+AO25+BL25+AY25)</f>
        <v>7.9769469484261862E-2</v>
      </c>
      <c r="J25" s="159">
        <f t="shared" ref="J25:J37" si="91">AO25/(AE25+AO25+BL25+AY25)</f>
        <v>0.16645485444066796</v>
      </c>
      <c r="K25" s="159">
        <f t="shared" ref="K25:K37" si="92">AY25/(AF25+AP25+BM25+AZ25+AY25)</f>
        <v>0.153484942564421</v>
      </c>
      <c r="L25" s="161">
        <f t="shared" ref="L25:L37" si="93">BL25/(AE25+AO25+BL25+AY25)</f>
        <v>0.6368848825181026</v>
      </c>
      <c r="M25" s="146">
        <f t="shared" ref="M25:M37" si="94">(S25+T25)*I25</f>
        <v>2492.0779961578251</v>
      </c>
      <c r="N25" s="146">
        <f t="shared" ref="N25:N37" si="95">(S25+T25)*J25</f>
        <v>5200.2161075809081</v>
      </c>
      <c r="O25" s="146">
        <f t="shared" ref="O25:O37" si="96">(S25+T25)*K25</f>
        <v>4795.023090655076</v>
      </c>
      <c r="P25" s="146">
        <f t="shared" ref="P25:P37" si="97">(S25+T25)*L25</f>
        <v>19896.920614748044</v>
      </c>
      <c r="Q25" s="56">
        <f t="shared" si="50"/>
        <v>45857</v>
      </c>
      <c r="R25" s="139">
        <v>31184</v>
      </c>
      <c r="S25" s="140">
        <v>0</v>
      </c>
      <c r="T25" s="140">
        <v>31241</v>
      </c>
      <c r="U25" s="140">
        <v>0</v>
      </c>
      <c r="V25" s="141">
        <v>6633</v>
      </c>
      <c r="W25" s="142">
        <v>0.44791666666666669</v>
      </c>
      <c r="X25" s="141">
        <v>2387</v>
      </c>
      <c r="Y25" s="142">
        <v>0.4375</v>
      </c>
      <c r="Z25" s="141">
        <v>0</v>
      </c>
      <c r="AA25" s="142">
        <v>0</v>
      </c>
      <c r="AB25" s="56">
        <f t="shared" si="51"/>
        <v>45857</v>
      </c>
      <c r="AC25" s="76">
        <f t="shared" ref="AC25:AC37" si="98">+AF25/AE25</f>
        <v>1</v>
      </c>
      <c r="AD25" s="162">
        <f t="shared" ref="AD25:AD37" si="99">+AG25/AE25</f>
        <v>0</v>
      </c>
      <c r="AE25" s="163">
        <v>2699</v>
      </c>
      <c r="AF25" s="118">
        <f t="shared" si="37"/>
        <v>2699</v>
      </c>
      <c r="AG25" s="147">
        <v>0</v>
      </c>
      <c r="AH25" s="148">
        <v>1537</v>
      </c>
      <c r="AI25" s="149">
        <v>0.34652777777777777</v>
      </c>
      <c r="AJ25" s="148">
        <v>0</v>
      </c>
      <c r="AK25" s="165">
        <v>0</v>
      </c>
      <c r="AL25" s="56">
        <f t="shared" si="38"/>
        <v>45857</v>
      </c>
      <c r="AM25" s="77">
        <f t="shared" ref="AM25:AM37" si="100">+AP25/AO25</f>
        <v>0.34765625</v>
      </c>
      <c r="AN25" s="76">
        <f t="shared" ref="AN25:AN37" si="101">+AQ25/AO25</f>
        <v>0.65234375</v>
      </c>
      <c r="AO25" s="150">
        <v>5632</v>
      </c>
      <c r="AP25" s="117">
        <f t="shared" si="41"/>
        <v>1958</v>
      </c>
      <c r="AQ25" s="151">
        <v>3674</v>
      </c>
      <c r="AR25" s="152">
        <v>1695</v>
      </c>
      <c r="AS25" s="153">
        <v>0.35069444444444442</v>
      </c>
      <c r="AT25" s="152">
        <v>194</v>
      </c>
      <c r="AU25" s="154">
        <v>0.80347222222222225</v>
      </c>
      <c r="AV25" s="56">
        <f t="shared" si="52"/>
        <v>45857</v>
      </c>
      <c r="AW25" s="110">
        <f t="shared" ref="AW25:AW37" si="102">BA25/AZ25</f>
        <v>0.51731984829329958</v>
      </c>
      <c r="AX25" s="110">
        <f t="shared" ref="AX25:AX37" si="103">BB25/AZ25</f>
        <v>0.48268015170670037</v>
      </c>
      <c r="AY25" s="111">
        <f t="shared" si="44"/>
        <v>3955</v>
      </c>
      <c r="AZ25" s="112">
        <v>3955</v>
      </c>
      <c r="BA25" s="120">
        <f t="shared" ref="BA25:BA37" si="104">AZ25-BB25</f>
        <v>2046</v>
      </c>
      <c r="BB25" s="113">
        <v>1909</v>
      </c>
      <c r="BC25" s="112">
        <v>1461</v>
      </c>
      <c r="BD25" s="114">
        <v>0.73958333333333337</v>
      </c>
      <c r="BE25" s="115">
        <v>0</v>
      </c>
      <c r="BF25" s="114">
        <v>0</v>
      </c>
      <c r="BG25" s="115">
        <v>133</v>
      </c>
      <c r="BH25" s="114">
        <v>0.86458333333333337</v>
      </c>
      <c r="BI25" s="56">
        <f t="shared" si="53"/>
        <v>45857</v>
      </c>
      <c r="BJ25" s="78">
        <f t="shared" ref="BJ25:BJ37" si="105">+BM25/BL25</f>
        <v>0.61260383312450695</v>
      </c>
      <c r="BK25" s="76">
        <f t="shared" ref="BK25:BK37" si="106">+BN25/BL25</f>
        <v>0.38739616687549305</v>
      </c>
      <c r="BL25" s="79">
        <f t="shared" ref="BL25:BL37" si="107">BM25+BN25</f>
        <v>21549</v>
      </c>
      <c r="BM25" s="155">
        <v>13201</v>
      </c>
      <c r="BN25" s="155">
        <v>8348</v>
      </c>
      <c r="BO25" s="156">
        <v>2963</v>
      </c>
      <c r="BP25" s="157">
        <v>0.87569444444444444</v>
      </c>
      <c r="BQ25" s="158">
        <v>1945</v>
      </c>
      <c r="BR25" s="157">
        <v>0.87569444444444444</v>
      </c>
    </row>
    <row r="26" spans="1:70" ht="15.75" thickBot="1" x14ac:dyDescent="0.25">
      <c r="A26" s="14"/>
      <c r="B26" s="56">
        <f t="shared" si="49"/>
        <v>45858</v>
      </c>
      <c r="C26" s="164"/>
      <c r="D26" s="87">
        <f t="shared" si="85"/>
        <v>29024</v>
      </c>
      <c r="E26" s="159">
        <f t="shared" si="86"/>
        <v>0.79168963616317534</v>
      </c>
      <c r="F26" s="87">
        <f t="shared" si="87"/>
        <v>22978</v>
      </c>
      <c r="G26" s="159">
        <f t="shared" si="88"/>
        <v>0.20831036383682469</v>
      </c>
      <c r="H26" s="146">
        <f t="shared" si="89"/>
        <v>6046</v>
      </c>
      <c r="I26" s="160">
        <f t="shared" si="90"/>
        <v>6.3374844751770673E-2</v>
      </c>
      <c r="J26" s="159">
        <f t="shared" si="91"/>
        <v>0.18099426001141283</v>
      </c>
      <c r="K26" s="159">
        <f t="shared" si="92"/>
        <v>0.17133428469496967</v>
      </c>
      <c r="L26" s="161">
        <f t="shared" si="93"/>
        <v>0.62666577154174075</v>
      </c>
      <c r="M26" s="146">
        <f t="shared" si="94"/>
        <v>1632.2191265818537</v>
      </c>
      <c r="N26" s="146">
        <f t="shared" si="95"/>
        <v>4661.5071665939377</v>
      </c>
      <c r="O26" s="146">
        <f t="shared" si="96"/>
        <v>4412.7145023189441</v>
      </c>
      <c r="P26" s="146">
        <f t="shared" si="97"/>
        <v>16139.776946057533</v>
      </c>
      <c r="Q26" s="56">
        <f t="shared" si="50"/>
        <v>45858</v>
      </c>
      <c r="R26" s="139">
        <v>29024</v>
      </c>
      <c r="S26" s="140">
        <v>0</v>
      </c>
      <c r="T26" s="140">
        <v>25755</v>
      </c>
      <c r="U26" s="140">
        <v>0</v>
      </c>
      <c r="V26" s="141">
        <v>5988</v>
      </c>
      <c r="W26" s="142">
        <v>0.59375</v>
      </c>
      <c r="X26" s="141">
        <v>1794</v>
      </c>
      <c r="Y26" s="142">
        <v>0.97916666666666663</v>
      </c>
      <c r="Z26" s="141">
        <v>0</v>
      </c>
      <c r="AA26" s="142">
        <v>0</v>
      </c>
      <c r="AB26" s="56">
        <f t="shared" si="51"/>
        <v>45858</v>
      </c>
      <c r="AC26" s="76">
        <f t="shared" si="98"/>
        <v>1</v>
      </c>
      <c r="AD26" s="162">
        <f t="shared" si="99"/>
        <v>0</v>
      </c>
      <c r="AE26" s="163">
        <v>1888</v>
      </c>
      <c r="AF26" s="118">
        <f t="shared" si="37"/>
        <v>1888</v>
      </c>
      <c r="AG26" s="147">
        <v>0</v>
      </c>
      <c r="AH26" s="148">
        <v>2450</v>
      </c>
      <c r="AI26" s="149">
        <v>0.93194444444444446</v>
      </c>
      <c r="AJ26" s="148">
        <v>0</v>
      </c>
      <c r="AK26" s="165">
        <v>0</v>
      </c>
      <c r="AL26" s="56">
        <f t="shared" si="38"/>
        <v>45858</v>
      </c>
      <c r="AM26" s="77">
        <f t="shared" si="100"/>
        <v>0.25816023738872401</v>
      </c>
      <c r="AN26" s="76">
        <f t="shared" si="101"/>
        <v>0.74183976261127593</v>
      </c>
      <c r="AO26" s="150">
        <v>5392</v>
      </c>
      <c r="AP26" s="117">
        <f t="shared" si="41"/>
        <v>1392</v>
      </c>
      <c r="AQ26" s="151">
        <v>4000</v>
      </c>
      <c r="AR26" s="152">
        <v>1920</v>
      </c>
      <c r="AS26" s="153">
        <v>0.94027777777777777</v>
      </c>
      <c r="AT26" s="152">
        <v>180</v>
      </c>
      <c r="AU26" s="154">
        <v>0.78333333333333333</v>
      </c>
      <c r="AV26" s="56">
        <f t="shared" si="52"/>
        <v>45858</v>
      </c>
      <c r="AW26" s="110">
        <f t="shared" si="102"/>
        <v>0.46746486205101512</v>
      </c>
      <c r="AX26" s="110">
        <f t="shared" si="103"/>
        <v>0.53253513794898488</v>
      </c>
      <c r="AY26" s="111">
        <f t="shared" si="44"/>
        <v>3842</v>
      </c>
      <c r="AZ26" s="112">
        <v>3842</v>
      </c>
      <c r="BA26" s="120">
        <f t="shared" si="104"/>
        <v>1796</v>
      </c>
      <c r="BB26" s="113">
        <v>2046</v>
      </c>
      <c r="BC26" s="112">
        <v>1374</v>
      </c>
      <c r="BD26" s="114">
        <v>0.79166666666666663</v>
      </c>
      <c r="BE26" s="115">
        <v>0</v>
      </c>
      <c r="BF26" s="114">
        <v>0</v>
      </c>
      <c r="BG26" s="115">
        <v>126</v>
      </c>
      <c r="BH26" s="114">
        <v>0.875</v>
      </c>
      <c r="BI26" s="56">
        <f t="shared" si="53"/>
        <v>45858</v>
      </c>
      <c r="BJ26" s="78">
        <f t="shared" si="105"/>
        <v>0.61385183994857784</v>
      </c>
      <c r="BK26" s="76">
        <f t="shared" si="106"/>
        <v>0.38614816005142216</v>
      </c>
      <c r="BL26" s="79">
        <f t="shared" si="107"/>
        <v>18669</v>
      </c>
      <c r="BM26" s="155">
        <v>11460</v>
      </c>
      <c r="BN26" s="155">
        <v>7209</v>
      </c>
      <c r="BO26" s="156">
        <v>2616</v>
      </c>
      <c r="BP26" s="157">
        <v>0.375</v>
      </c>
      <c r="BQ26" s="158">
        <v>1719</v>
      </c>
      <c r="BR26" s="157">
        <v>0.375</v>
      </c>
    </row>
    <row r="27" spans="1:70" ht="15.75" thickBot="1" x14ac:dyDescent="0.25">
      <c r="A27" s="14"/>
      <c r="B27" s="56">
        <f t="shared" si="49"/>
        <v>45859</v>
      </c>
      <c r="C27" s="164"/>
      <c r="D27" s="87">
        <f t="shared" si="85"/>
        <v>48620</v>
      </c>
      <c r="E27" s="159">
        <f t="shared" si="86"/>
        <v>0.87005347593582882</v>
      </c>
      <c r="F27" s="87">
        <f t="shared" si="87"/>
        <v>42302</v>
      </c>
      <c r="G27" s="159">
        <f t="shared" si="88"/>
        <v>0.12994652406417112</v>
      </c>
      <c r="H27" s="146">
        <f t="shared" si="89"/>
        <v>6318</v>
      </c>
      <c r="I27" s="160">
        <f t="shared" si="90"/>
        <v>0.10890094434398231</v>
      </c>
      <c r="J27" s="159">
        <f t="shared" si="91"/>
        <v>0.15673918205563775</v>
      </c>
      <c r="K27" s="159">
        <f t="shared" si="92"/>
        <v>0.16006769696699774</v>
      </c>
      <c r="L27" s="161">
        <f t="shared" si="93"/>
        <v>0.60306500812829922</v>
      </c>
      <c r="M27" s="146">
        <f t="shared" si="94"/>
        <v>5118.1265822784808</v>
      </c>
      <c r="N27" s="146">
        <f t="shared" si="95"/>
        <v>7366.4280782508631</v>
      </c>
      <c r="O27" s="146">
        <f t="shared" si="96"/>
        <v>7522.8616220549602</v>
      </c>
      <c r="P27" s="146">
        <f t="shared" si="97"/>
        <v>28342.849252013806</v>
      </c>
      <c r="Q27" s="56">
        <f t="shared" si="50"/>
        <v>45859</v>
      </c>
      <c r="R27" s="139">
        <v>48620</v>
      </c>
      <c r="S27" s="140">
        <v>0</v>
      </c>
      <c r="T27" s="140">
        <v>46998</v>
      </c>
      <c r="U27" s="140">
        <v>0</v>
      </c>
      <c r="V27" s="141">
        <v>14440</v>
      </c>
      <c r="W27" s="142">
        <v>0.38541666666666669</v>
      </c>
      <c r="X27" s="141">
        <v>4123</v>
      </c>
      <c r="Y27" s="142">
        <v>0.38541666666666669</v>
      </c>
      <c r="Z27" s="141">
        <v>0</v>
      </c>
      <c r="AA27" s="142">
        <v>0</v>
      </c>
      <c r="AB27" s="56">
        <f t="shared" si="51"/>
        <v>45859</v>
      </c>
      <c r="AC27" s="76">
        <f t="shared" si="98"/>
        <v>1</v>
      </c>
      <c r="AD27" s="162">
        <f t="shared" si="99"/>
        <v>0</v>
      </c>
      <c r="AE27" s="163">
        <v>5962</v>
      </c>
      <c r="AF27" s="118">
        <f t="shared" si="37"/>
        <v>5962</v>
      </c>
      <c r="AG27" s="147">
        <v>0</v>
      </c>
      <c r="AH27" s="148">
        <v>1396</v>
      </c>
      <c r="AI27" s="149">
        <v>0.92291666666666672</v>
      </c>
      <c r="AJ27" s="148">
        <v>0</v>
      </c>
      <c r="AK27" s="165">
        <v>0</v>
      </c>
      <c r="AL27" s="56">
        <f t="shared" si="38"/>
        <v>45859</v>
      </c>
      <c r="AM27" s="77">
        <f t="shared" si="100"/>
        <v>0.51520801771355318</v>
      </c>
      <c r="AN27" s="76">
        <f t="shared" si="101"/>
        <v>0.48479198228644682</v>
      </c>
      <c r="AO27" s="150">
        <v>8581</v>
      </c>
      <c r="AP27" s="117">
        <f t="shared" si="41"/>
        <v>4421</v>
      </c>
      <c r="AQ27" s="151">
        <v>4160</v>
      </c>
      <c r="AR27" s="152">
        <v>1767</v>
      </c>
      <c r="AS27" s="153">
        <v>0.39305555555555555</v>
      </c>
      <c r="AT27" s="152">
        <v>173</v>
      </c>
      <c r="AU27" s="154">
        <v>0.82291666666666663</v>
      </c>
      <c r="AV27" s="56">
        <f t="shared" si="52"/>
        <v>45859</v>
      </c>
      <c r="AW27" s="110">
        <f t="shared" si="102"/>
        <v>0.69977740678909295</v>
      </c>
      <c r="AX27" s="110">
        <f t="shared" si="103"/>
        <v>0.30022259321090705</v>
      </c>
      <c r="AY27" s="111">
        <f t="shared" si="44"/>
        <v>7188</v>
      </c>
      <c r="AZ27" s="112">
        <v>7188</v>
      </c>
      <c r="BA27" s="120">
        <f t="shared" si="104"/>
        <v>5030</v>
      </c>
      <c r="BB27" s="113">
        <v>2158</v>
      </c>
      <c r="BC27" s="112">
        <v>4171</v>
      </c>
      <c r="BD27" s="114">
        <v>0.35416666666666669</v>
      </c>
      <c r="BE27" s="115">
        <v>0</v>
      </c>
      <c r="BF27" s="114">
        <v>0</v>
      </c>
      <c r="BG27" s="115">
        <v>126</v>
      </c>
      <c r="BH27" s="114">
        <v>0.30208333333333331</v>
      </c>
      <c r="BI27" s="56">
        <f t="shared" si="53"/>
        <v>45859</v>
      </c>
      <c r="BJ27" s="78">
        <f t="shared" si="105"/>
        <v>0.6102192876181245</v>
      </c>
      <c r="BK27" s="76">
        <f t="shared" si="106"/>
        <v>0.38978071238187545</v>
      </c>
      <c r="BL27" s="79">
        <f t="shared" si="107"/>
        <v>33016</v>
      </c>
      <c r="BM27" s="155">
        <v>20147</v>
      </c>
      <c r="BN27" s="155">
        <v>12869</v>
      </c>
      <c r="BO27" s="156">
        <v>2589</v>
      </c>
      <c r="BP27" s="157">
        <v>0.41458333333333336</v>
      </c>
      <c r="BQ27" s="158">
        <v>1715</v>
      </c>
      <c r="BR27" s="157">
        <v>0.41458333333333336</v>
      </c>
    </row>
    <row r="28" spans="1:70" ht="15.75" thickBot="1" x14ac:dyDescent="0.25">
      <c r="A28" s="14"/>
      <c r="B28" s="56">
        <f t="shared" si="49"/>
        <v>45860</v>
      </c>
      <c r="C28" s="164"/>
      <c r="D28" s="87">
        <f t="shared" si="85"/>
        <v>48820</v>
      </c>
      <c r="E28" s="159">
        <f t="shared" si="86"/>
        <v>0.86405161818926668</v>
      </c>
      <c r="F28" s="87">
        <f t="shared" si="87"/>
        <v>42183</v>
      </c>
      <c r="G28" s="159">
        <f t="shared" si="88"/>
        <v>0.13594838181073329</v>
      </c>
      <c r="H28" s="146">
        <f>U28+AG28+AQ28+BB28</f>
        <v>6637</v>
      </c>
      <c r="I28" s="160">
        <f t="shared" si="90"/>
        <v>0.1042595290382901</v>
      </c>
      <c r="J28" s="159">
        <f t="shared" si="91"/>
        <v>0.1635972255441282</v>
      </c>
      <c r="K28" s="159">
        <f t="shared" si="92"/>
        <v>0.18360816495058191</v>
      </c>
      <c r="L28" s="161">
        <f t="shared" si="93"/>
        <v>0.5774390641647279</v>
      </c>
      <c r="M28" s="146">
        <f t="shared" si="94"/>
        <v>4910.6238177034638</v>
      </c>
      <c r="N28" s="146">
        <f t="shared" si="95"/>
        <v>7705.4293231284382</v>
      </c>
      <c r="O28" s="146">
        <f t="shared" si="96"/>
        <v>8647.9445691724086</v>
      </c>
      <c r="P28" s="146">
        <f t="shared" si="97"/>
        <v>27197.379922158685</v>
      </c>
      <c r="Q28" s="56">
        <f t="shared" si="50"/>
        <v>45860</v>
      </c>
      <c r="R28" s="139">
        <v>48820</v>
      </c>
      <c r="S28" s="140">
        <v>0</v>
      </c>
      <c r="T28" s="140">
        <v>47100</v>
      </c>
      <c r="U28" s="140">
        <v>0</v>
      </c>
      <c r="V28" s="141">
        <v>14200</v>
      </c>
      <c r="W28" s="142">
        <v>0.39583333333333331</v>
      </c>
      <c r="X28" s="141">
        <v>4120</v>
      </c>
      <c r="Y28" s="142">
        <v>0.77083333333333337</v>
      </c>
      <c r="Z28" s="141">
        <v>0</v>
      </c>
      <c r="AA28" s="142">
        <v>0</v>
      </c>
      <c r="AB28" s="56">
        <f t="shared" si="51"/>
        <v>45860</v>
      </c>
      <c r="AC28" s="76">
        <f t="shared" si="98"/>
        <v>1</v>
      </c>
      <c r="AD28" s="162">
        <f t="shared" si="99"/>
        <v>0</v>
      </c>
      <c r="AE28" s="163">
        <v>4795</v>
      </c>
      <c r="AF28" s="118">
        <f t="shared" si="37"/>
        <v>4795</v>
      </c>
      <c r="AG28" s="147">
        <v>0</v>
      </c>
      <c r="AH28" s="148">
        <v>3403</v>
      </c>
      <c r="AI28" s="149">
        <v>0.74236111111111114</v>
      </c>
      <c r="AJ28" s="148">
        <v>0</v>
      </c>
      <c r="AK28" s="165">
        <v>0</v>
      </c>
      <c r="AL28" s="56">
        <f t="shared" si="38"/>
        <v>45860</v>
      </c>
      <c r="AM28" s="77">
        <f t="shared" si="100"/>
        <v>0.46477937267410951</v>
      </c>
      <c r="AN28" s="76">
        <f t="shared" si="101"/>
        <v>0.53522062732589049</v>
      </c>
      <c r="AO28" s="150">
        <v>7524</v>
      </c>
      <c r="AP28" s="117">
        <f t="shared" si="41"/>
        <v>3497</v>
      </c>
      <c r="AQ28" s="151">
        <v>4027</v>
      </c>
      <c r="AR28" s="152">
        <v>3578</v>
      </c>
      <c r="AS28" s="153">
        <v>0.73124999999999996</v>
      </c>
      <c r="AT28" s="152">
        <v>210</v>
      </c>
      <c r="AU28" s="154">
        <v>0.4909722222222222</v>
      </c>
      <c r="AV28" s="56">
        <f t="shared" si="52"/>
        <v>45860</v>
      </c>
      <c r="AW28" s="110">
        <f t="shared" si="102"/>
        <v>0.63316936050597328</v>
      </c>
      <c r="AX28" s="110">
        <f t="shared" si="103"/>
        <v>0.36683063949402672</v>
      </c>
      <c r="AY28" s="111">
        <f t="shared" si="44"/>
        <v>7115</v>
      </c>
      <c r="AZ28" s="112">
        <v>7115</v>
      </c>
      <c r="BA28" s="120">
        <f t="shared" si="104"/>
        <v>4505</v>
      </c>
      <c r="BB28" s="113">
        <v>2610</v>
      </c>
      <c r="BC28" s="112">
        <v>3650</v>
      </c>
      <c r="BD28" s="114">
        <v>0.75</v>
      </c>
      <c r="BE28" s="115">
        <v>0</v>
      </c>
      <c r="BF28" s="114">
        <v>0</v>
      </c>
      <c r="BG28" s="115">
        <v>134</v>
      </c>
      <c r="BH28" s="114">
        <v>0.85416666666666663</v>
      </c>
      <c r="BI28" s="56">
        <f t="shared" si="53"/>
        <v>45860</v>
      </c>
      <c r="BJ28" s="78">
        <f t="shared" si="105"/>
        <v>0.61110065142900172</v>
      </c>
      <c r="BK28" s="76">
        <f t="shared" si="106"/>
        <v>0.38889934857099823</v>
      </c>
      <c r="BL28" s="79">
        <f t="shared" si="107"/>
        <v>26557</v>
      </c>
      <c r="BM28" s="155">
        <v>16229</v>
      </c>
      <c r="BN28" s="155">
        <v>10328</v>
      </c>
      <c r="BO28" s="156">
        <v>3820</v>
      </c>
      <c r="BP28" s="157">
        <v>0.68958333333333333</v>
      </c>
      <c r="BQ28" s="158">
        <v>2545</v>
      </c>
      <c r="BR28" s="157">
        <v>0.68958333333333333</v>
      </c>
    </row>
    <row r="29" spans="1:70" ht="15.75" thickBot="1" x14ac:dyDescent="0.25">
      <c r="A29" s="14"/>
      <c r="B29" s="56">
        <f t="shared" si="49"/>
        <v>45861</v>
      </c>
      <c r="C29" s="164"/>
      <c r="D29" s="87">
        <f t="shared" si="85"/>
        <v>49232</v>
      </c>
      <c r="E29" s="159">
        <f t="shared" si="86"/>
        <v>0.87053136171595713</v>
      </c>
      <c r="F29" s="87">
        <f t="shared" si="87"/>
        <v>42858</v>
      </c>
      <c r="G29" s="159">
        <f t="shared" si="88"/>
        <v>0.1294686382840429</v>
      </c>
      <c r="H29" s="146">
        <f t="shared" si="89"/>
        <v>6374</v>
      </c>
      <c r="I29" s="160">
        <f t="shared" si="90"/>
        <v>0.10610306426959749</v>
      </c>
      <c r="J29" s="159">
        <f t="shared" si="91"/>
        <v>0.15752602081665332</v>
      </c>
      <c r="K29" s="159">
        <f t="shared" si="92"/>
        <v>0.15946873467932432</v>
      </c>
      <c r="L29" s="161">
        <f t="shared" si="93"/>
        <v>0.60615765339544359</v>
      </c>
      <c r="M29" s="146">
        <f t="shared" si="94"/>
        <v>5047.6410764975617</v>
      </c>
      <c r="N29" s="146">
        <f t="shared" si="95"/>
        <v>7493.985388310648</v>
      </c>
      <c r="O29" s="146">
        <f t="shared" si="96"/>
        <v>7586.4061148994961</v>
      </c>
      <c r="P29" s="146">
        <f t="shared" si="97"/>
        <v>28836.738044981437</v>
      </c>
      <c r="Q29" s="56">
        <f t="shared" si="50"/>
        <v>45861</v>
      </c>
      <c r="R29" s="139">
        <v>49232</v>
      </c>
      <c r="S29" s="140">
        <v>0</v>
      </c>
      <c r="T29" s="140">
        <v>47573</v>
      </c>
      <c r="U29" s="140">
        <v>0</v>
      </c>
      <c r="V29" s="141">
        <v>12746</v>
      </c>
      <c r="W29" s="142">
        <v>0.42708333333333331</v>
      </c>
      <c r="X29" s="141">
        <v>4450</v>
      </c>
      <c r="Y29" s="142">
        <v>0.80208333333333337</v>
      </c>
      <c r="Z29" s="141">
        <v>0</v>
      </c>
      <c r="AA29" s="142">
        <v>0</v>
      </c>
      <c r="AB29" s="56">
        <f t="shared" si="51"/>
        <v>45861</v>
      </c>
      <c r="AC29" s="76">
        <f t="shared" si="98"/>
        <v>1</v>
      </c>
      <c r="AD29" s="162">
        <f t="shared" si="99"/>
        <v>0</v>
      </c>
      <c r="AE29" s="163">
        <v>5831</v>
      </c>
      <c r="AF29" s="118">
        <f t="shared" si="37"/>
        <v>5831</v>
      </c>
      <c r="AG29" s="147">
        <v>0</v>
      </c>
      <c r="AH29" s="148">
        <v>3625</v>
      </c>
      <c r="AI29" s="149">
        <v>0.33888888888888891</v>
      </c>
      <c r="AJ29" s="148">
        <v>0</v>
      </c>
      <c r="AK29" s="165">
        <v>0</v>
      </c>
      <c r="AL29" s="56">
        <f t="shared" si="38"/>
        <v>45861</v>
      </c>
      <c r="AM29" s="77">
        <f t="shared" si="100"/>
        <v>0.51137807554580106</v>
      </c>
      <c r="AN29" s="76">
        <f t="shared" si="101"/>
        <v>0.48862192445419894</v>
      </c>
      <c r="AO29" s="150">
        <v>8657</v>
      </c>
      <c r="AP29" s="117">
        <f t="shared" si="41"/>
        <v>4427</v>
      </c>
      <c r="AQ29" s="151">
        <v>4230</v>
      </c>
      <c r="AR29" s="152">
        <v>3406</v>
      </c>
      <c r="AS29" s="153">
        <v>0.79027777777777775</v>
      </c>
      <c r="AT29" s="152">
        <v>201</v>
      </c>
      <c r="AU29" s="154">
        <v>0.78611111111111109</v>
      </c>
      <c r="AV29" s="56">
        <f t="shared" si="52"/>
        <v>45861</v>
      </c>
      <c r="AW29" s="110">
        <f t="shared" si="102"/>
        <v>0.70039128004471773</v>
      </c>
      <c r="AX29" s="110">
        <f t="shared" si="103"/>
        <v>0.29960871995528227</v>
      </c>
      <c r="AY29" s="111">
        <f t="shared" si="44"/>
        <v>7156</v>
      </c>
      <c r="AZ29" s="112">
        <v>7156</v>
      </c>
      <c r="BA29" s="120">
        <f t="shared" si="104"/>
        <v>5012</v>
      </c>
      <c r="BB29" s="182">
        <v>2144</v>
      </c>
      <c r="BC29" s="112">
        <v>1455.88</v>
      </c>
      <c r="BD29" s="114">
        <v>0.84375</v>
      </c>
      <c r="BE29" s="115">
        <v>0</v>
      </c>
      <c r="BF29" s="114">
        <v>0</v>
      </c>
      <c r="BG29" s="115">
        <v>120.12</v>
      </c>
      <c r="BH29" s="114">
        <v>0.84375</v>
      </c>
      <c r="BI29" s="56">
        <f t="shared" si="53"/>
        <v>45861</v>
      </c>
      <c r="BJ29" s="78">
        <f t="shared" si="105"/>
        <v>0.60951008645533145</v>
      </c>
      <c r="BK29" s="76">
        <f t="shared" si="106"/>
        <v>0.39048991354466861</v>
      </c>
      <c r="BL29" s="79">
        <f t="shared" si="107"/>
        <v>33312</v>
      </c>
      <c r="BM29" s="155">
        <v>20304</v>
      </c>
      <c r="BN29" s="155">
        <v>13008</v>
      </c>
      <c r="BO29" s="156">
        <v>3868</v>
      </c>
      <c r="BP29" s="157">
        <v>0.29722222222222222</v>
      </c>
      <c r="BQ29" s="158">
        <v>2566</v>
      </c>
      <c r="BR29" s="157">
        <v>0.35069444444444442</v>
      </c>
    </row>
    <row r="30" spans="1:70" ht="15.75" thickBot="1" x14ac:dyDescent="0.25">
      <c r="A30" s="14"/>
      <c r="B30" s="56">
        <f t="shared" si="49"/>
        <v>45862</v>
      </c>
      <c r="C30" s="164"/>
      <c r="D30" s="87">
        <f t="shared" si="85"/>
        <v>48940</v>
      </c>
      <c r="E30" s="159">
        <f t="shared" si="86"/>
        <v>0.87384552513281566</v>
      </c>
      <c r="F30" s="87">
        <f t="shared" si="87"/>
        <v>42766</v>
      </c>
      <c r="G30" s="159">
        <f t="shared" si="88"/>
        <v>0.12615447486718431</v>
      </c>
      <c r="H30" s="146">
        <f t="shared" si="89"/>
        <v>6174</v>
      </c>
      <c r="I30" s="160">
        <f t="shared" si="90"/>
        <v>0.10781221346048046</v>
      </c>
      <c r="J30" s="159">
        <f t="shared" si="91"/>
        <v>0.15760132037410599</v>
      </c>
      <c r="K30" s="159">
        <f t="shared" si="92"/>
        <v>0.15933354178764461</v>
      </c>
      <c r="L30" s="161">
        <f t="shared" si="93"/>
        <v>0.60375939849624061</v>
      </c>
      <c r="M30" s="146">
        <f t="shared" si="94"/>
        <v>5120.3254538785986</v>
      </c>
      <c r="N30" s="146">
        <f t="shared" si="95"/>
        <v>7484.9595085274159</v>
      </c>
      <c r="O30" s="146">
        <f t="shared" si="96"/>
        <v>7567.2279001206052</v>
      </c>
      <c r="P30" s="146">
        <f t="shared" si="97"/>
        <v>28674.345112781954</v>
      </c>
      <c r="Q30" s="56">
        <f t="shared" si="50"/>
        <v>45862</v>
      </c>
      <c r="R30" s="139">
        <v>48940</v>
      </c>
      <c r="S30" s="140">
        <v>0</v>
      </c>
      <c r="T30" s="140">
        <v>47493</v>
      </c>
      <c r="U30" s="140">
        <v>0</v>
      </c>
      <c r="V30" s="141">
        <v>12687</v>
      </c>
      <c r="W30" s="142">
        <v>0.40625</v>
      </c>
      <c r="X30" s="141">
        <v>4114</v>
      </c>
      <c r="Y30" s="142">
        <v>0.80208333333333337</v>
      </c>
      <c r="Z30" s="141">
        <v>0</v>
      </c>
      <c r="AA30" s="142">
        <v>0</v>
      </c>
      <c r="AB30" s="56">
        <f t="shared" si="51"/>
        <v>45862</v>
      </c>
      <c r="AC30" s="76">
        <f t="shared" si="98"/>
        <v>1</v>
      </c>
      <c r="AD30" s="162">
        <f t="shared" si="99"/>
        <v>0</v>
      </c>
      <c r="AE30" s="163">
        <v>5879</v>
      </c>
      <c r="AF30" s="118">
        <f t="shared" si="37"/>
        <v>5879</v>
      </c>
      <c r="AG30" s="147">
        <v>0</v>
      </c>
      <c r="AH30" s="148">
        <v>3568</v>
      </c>
      <c r="AI30" s="149">
        <v>0.75069444444444444</v>
      </c>
      <c r="AJ30" s="148">
        <v>0</v>
      </c>
      <c r="AK30" s="165">
        <v>0</v>
      </c>
      <c r="AL30" s="56">
        <f t="shared" si="38"/>
        <v>45862</v>
      </c>
      <c r="AM30" s="77">
        <f t="shared" si="100"/>
        <v>0.5278101000698161</v>
      </c>
      <c r="AN30" s="76">
        <f t="shared" si="101"/>
        <v>0.47218989993018384</v>
      </c>
      <c r="AO30" s="150">
        <v>8594</v>
      </c>
      <c r="AP30" s="117">
        <f t="shared" si="41"/>
        <v>4536</v>
      </c>
      <c r="AQ30" s="151">
        <v>4058</v>
      </c>
      <c r="AR30" s="152">
        <v>3417</v>
      </c>
      <c r="AS30" s="153">
        <v>0.3576388888888889</v>
      </c>
      <c r="AT30" s="152">
        <v>195</v>
      </c>
      <c r="AU30" s="154">
        <v>0.30208333333333331</v>
      </c>
      <c r="AV30" s="56">
        <f t="shared" si="52"/>
        <v>45862</v>
      </c>
      <c r="AW30" s="110">
        <f t="shared" si="102"/>
        <v>0.70339220633585642</v>
      </c>
      <c r="AX30" s="110">
        <f t="shared" si="103"/>
        <v>0.29660779366414353</v>
      </c>
      <c r="AY30" s="111">
        <f t="shared" si="44"/>
        <v>7134</v>
      </c>
      <c r="AZ30" s="112">
        <v>7134</v>
      </c>
      <c r="BA30" s="120">
        <f t="shared" si="104"/>
        <v>5018</v>
      </c>
      <c r="BB30" s="113">
        <v>2116</v>
      </c>
      <c r="BC30" s="112">
        <v>3446</v>
      </c>
      <c r="BD30" s="114">
        <v>0.73958333333333337</v>
      </c>
      <c r="BE30" s="115">
        <v>0</v>
      </c>
      <c r="BF30" s="114">
        <v>0</v>
      </c>
      <c r="BG30" s="115">
        <v>134</v>
      </c>
      <c r="BH30" s="114">
        <v>0.8125</v>
      </c>
      <c r="BI30" s="56">
        <f t="shared" si="53"/>
        <v>45862</v>
      </c>
      <c r="BJ30" s="78">
        <f t="shared" si="105"/>
        <v>0.6102420800048598</v>
      </c>
      <c r="BK30" s="76">
        <f t="shared" si="106"/>
        <v>0.3897579199951402</v>
      </c>
      <c r="BL30" s="79">
        <f t="shared" si="107"/>
        <v>32923</v>
      </c>
      <c r="BM30" s="155">
        <v>20091</v>
      </c>
      <c r="BN30" s="155">
        <v>12832</v>
      </c>
      <c r="BO30" s="156">
        <v>4290</v>
      </c>
      <c r="BP30" s="157">
        <v>0.78611111111111109</v>
      </c>
      <c r="BQ30" s="158">
        <v>2862</v>
      </c>
      <c r="BR30" s="157">
        <v>0.78611111111111109</v>
      </c>
    </row>
    <row r="31" spans="1:70" ht="15.75" thickBot="1" x14ac:dyDescent="0.25">
      <c r="A31" s="14"/>
      <c r="B31" s="56">
        <f t="shared" si="49"/>
        <v>45863</v>
      </c>
      <c r="C31" s="164"/>
      <c r="D31" s="87">
        <f t="shared" si="85"/>
        <v>48972</v>
      </c>
      <c r="E31" s="159">
        <f t="shared" si="86"/>
        <v>0.86500449236298294</v>
      </c>
      <c r="F31" s="87">
        <f t="shared" si="87"/>
        <v>42361</v>
      </c>
      <c r="G31" s="159">
        <f t="shared" si="88"/>
        <v>0.13499550763701706</v>
      </c>
      <c r="H31" s="146">
        <f t="shared" si="89"/>
        <v>6611</v>
      </c>
      <c r="I31" s="160">
        <f t="shared" si="90"/>
        <v>0.10984250523146959</v>
      </c>
      <c r="J31" s="159">
        <f t="shared" si="91"/>
        <v>0.15833914607731561</v>
      </c>
      <c r="K31" s="159">
        <f t="shared" si="92"/>
        <v>0.15904736443434478</v>
      </c>
      <c r="L31" s="161">
        <f t="shared" si="93"/>
        <v>0.60077462461911235</v>
      </c>
      <c r="M31" s="146">
        <f t="shared" si="94"/>
        <v>5228.5032490179519</v>
      </c>
      <c r="N31" s="146">
        <f t="shared" si="95"/>
        <v>7536.9433532802232</v>
      </c>
      <c r="O31" s="146">
        <f t="shared" si="96"/>
        <v>7570.6545470748115</v>
      </c>
      <c r="P31" s="146">
        <f t="shared" si="97"/>
        <v>28596.872131869746</v>
      </c>
      <c r="Q31" s="56">
        <f t="shared" si="50"/>
        <v>45863</v>
      </c>
      <c r="R31" s="139">
        <v>48972</v>
      </c>
      <c r="S31" s="140">
        <v>0</v>
      </c>
      <c r="T31" s="140">
        <v>47600</v>
      </c>
      <c r="U31" s="140">
        <v>0</v>
      </c>
      <c r="V31" s="141">
        <v>13082</v>
      </c>
      <c r="W31" s="142">
        <v>0.4375</v>
      </c>
      <c r="X31" s="141">
        <v>4270</v>
      </c>
      <c r="Y31" s="142">
        <v>0.79166666666666663</v>
      </c>
      <c r="Z31" s="141">
        <v>0</v>
      </c>
      <c r="AA31" s="142">
        <v>0</v>
      </c>
      <c r="AB31" s="56">
        <f t="shared" si="51"/>
        <v>45863</v>
      </c>
      <c r="AC31" s="76">
        <f t="shared" si="98"/>
        <v>1</v>
      </c>
      <c r="AD31" s="162">
        <f t="shared" si="99"/>
        <v>0</v>
      </c>
      <c r="AE31" s="163">
        <v>5984</v>
      </c>
      <c r="AF31" s="118">
        <f t="shared" si="37"/>
        <v>5984</v>
      </c>
      <c r="AG31" s="147">
        <v>0</v>
      </c>
      <c r="AH31" s="148">
        <v>3927</v>
      </c>
      <c r="AI31" s="149">
        <v>0.72916666666666663</v>
      </c>
      <c r="AJ31" s="148">
        <v>0</v>
      </c>
      <c r="AK31" s="165">
        <v>0</v>
      </c>
      <c r="AL31" s="56">
        <f t="shared" si="38"/>
        <v>45863</v>
      </c>
      <c r="AM31" s="77">
        <f t="shared" si="100"/>
        <v>0.53895200556457223</v>
      </c>
      <c r="AN31" s="76">
        <f t="shared" si="101"/>
        <v>0.46104799443542777</v>
      </c>
      <c r="AO31" s="150">
        <v>8626</v>
      </c>
      <c r="AP31" s="117">
        <f t="shared" si="41"/>
        <v>4649</v>
      </c>
      <c r="AQ31" s="151">
        <v>3977</v>
      </c>
      <c r="AR31" s="152">
        <v>3627</v>
      </c>
      <c r="AS31" s="153">
        <v>0.75138888888888888</v>
      </c>
      <c r="AT31" s="152">
        <v>195</v>
      </c>
      <c r="AU31" s="154">
        <v>0.29166666666666669</v>
      </c>
      <c r="AV31" s="56">
        <f t="shared" si="52"/>
        <v>45863</v>
      </c>
      <c r="AW31" s="110">
        <f t="shared" si="102"/>
        <v>0.63104076201148618</v>
      </c>
      <c r="AX31" s="110">
        <f t="shared" si="103"/>
        <v>0.36895923798851382</v>
      </c>
      <c r="AY31" s="111">
        <f t="shared" si="44"/>
        <v>7139</v>
      </c>
      <c r="AZ31" s="112">
        <v>7139</v>
      </c>
      <c r="BA31" s="120">
        <f t="shared" si="104"/>
        <v>4505</v>
      </c>
      <c r="BB31" s="113">
        <f>1058+1576</f>
        <v>2634</v>
      </c>
      <c r="BC31" s="112">
        <v>3572</v>
      </c>
      <c r="BD31" s="114">
        <v>0.39583333333333331</v>
      </c>
      <c r="BE31" s="115">
        <v>0</v>
      </c>
      <c r="BF31" s="114">
        <v>0</v>
      </c>
      <c r="BG31" s="115">
        <v>127</v>
      </c>
      <c r="BH31" s="114">
        <v>0.29166666666666669</v>
      </c>
      <c r="BI31" s="56">
        <f t="shared" si="53"/>
        <v>45863</v>
      </c>
      <c r="BJ31" s="78">
        <f t="shared" si="105"/>
        <v>0.61031501115218922</v>
      </c>
      <c r="BK31" s="76">
        <f t="shared" si="106"/>
        <v>0.38968498884781083</v>
      </c>
      <c r="BL31" s="79">
        <f t="shared" si="107"/>
        <v>32729</v>
      </c>
      <c r="BM31" s="155">
        <v>19975</v>
      </c>
      <c r="BN31" s="155">
        <v>12754</v>
      </c>
      <c r="BO31" s="156">
        <v>4015</v>
      </c>
      <c r="BP31" s="157">
        <v>0.80208333333333337</v>
      </c>
      <c r="BQ31" s="158">
        <v>2642</v>
      </c>
      <c r="BR31" s="157">
        <v>0.80208333333333337</v>
      </c>
    </row>
    <row r="32" spans="1:70" ht="15.75" thickBot="1" x14ac:dyDescent="0.25">
      <c r="A32" s="14"/>
      <c r="B32" s="56">
        <f t="shared" si="49"/>
        <v>45864</v>
      </c>
      <c r="C32" s="164"/>
      <c r="D32" s="87">
        <f t="shared" si="85"/>
        <v>32468</v>
      </c>
      <c r="E32" s="159">
        <f t="shared" si="86"/>
        <v>0.79777011211038562</v>
      </c>
      <c r="F32" s="87">
        <f t="shared" si="87"/>
        <v>25902</v>
      </c>
      <c r="G32" s="159">
        <f t="shared" si="88"/>
        <v>0.20222988788961438</v>
      </c>
      <c r="H32" s="146">
        <f t="shared" si="89"/>
        <v>6566</v>
      </c>
      <c r="I32" s="160">
        <f t="shared" si="90"/>
        <v>7.9025748086290884E-2</v>
      </c>
      <c r="J32" s="159">
        <f t="shared" si="91"/>
        <v>0.16765483646485735</v>
      </c>
      <c r="K32" s="159">
        <f t="shared" si="92"/>
        <v>0.15711268118581107</v>
      </c>
      <c r="L32" s="161">
        <f t="shared" si="93"/>
        <v>0.6332359081419624</v>
      </c>
      <c r="M32" s="146">
        <f t="shared" si="94"/>
        <v>2452.8011691022966</v>
      </c>
      <c r="N32" s="146">
        <f t="shared" si="95"/>
        <v>5203.6708141962426</v>
      </c>
      <c r="O32" s="146">
        <f t="shared" si="96"/>
        <v>4876.4633986452036</v>
      </c>
      <c r="P32" s="146">
        <f t="shared" si="97"/>
        <v>19654.376116910229</v>
      </c>
      <c r="Q32" s="56">
        <f t="shared" si="50"/>
        <v>45864</v>
      </c>
      <c r="R32" s="139">
        <v>32468</v>
      </c>
      <c r="S32" s="140">
        <v>0</v>
      </c>
      <c r="T32" s="140">
        <v>31038</v>
      </c>
      <c r="U32" s="140">
        <v>0</v>
      </c>
      <c r="V32" s="141">
        <v>6350</v>
      </c>
      <c r="W32" s="142">
        <v>0.70833333333333337</v>
      </c>
      <c r="X32" s="141">
        <v>2001</v>
      </c>
      <c r="Y32" s="142">
        <v>0.51041666666666663</v>
      </c>
      <c r="Z32" s="141">
        <v>0</v>
      </c>
      <c r="AA32" s="142">
        <v>0</v>
      </c>
      <c r="AB32" s="56">
        <f t="shared" si="51"/>
        <v>45864</v>
      </c>
      <c r="AC32" s="76">
        <f t="shared" si="98"/>
        <v>1</v>
      </c>
      <c r="AD32" s="162">
        <f t="shared" si="99"/>
        <v>0</v>
      </c>
      <c r="AE32" s="163">
        <v>2839</v>
      </c>
      <c r="AF32" s="118">
        <f t="shared" si="37"/>
        <v>2839</v>
      </c>
      <c r="AG32" s="147">
        <v>0</v>
      </c>
      <c r="AH32" s="148">
        <v>1809</v>
      </c>
      <c r="AI32" s="149">
        <v>0.93194444444444446</v>
      </c>
      <c r="AJ32" s="148">
        <v>0</v>
      </c>
      <c r="AK32" s="165">
        <v>0</v>
      </c>
      <c r="AL32" s="56">
        <f t="shared" si="38"/>
        <v>45864</v>
      </c>
      <c r="AM32" s="77">
        <f t="shared" si="100"/>
        <v>0.33986385522165036</v>
      </c>
      <c r="AN32" s="76">
        <f t="shared" si="101"/>
        <v>0.6601361447783497</v>
      </c>
      <c r="AO32" s="150">
        <v>6023</v>
      </c>
      <c r="AP32" s="117">
        <f t="shared" si="41"/>
        <v>2047</v>
      </c>
      <c r="AQ32" s="151">
        <v>3976</v>
      </c>
      <c r="AR32" s="152">
        <v>1506</v>
      </c>
      <c r="AS32" s="153">
        <v>0.62013888888888891</v>
      </c>
      <c r="AT32" s="152">
        <v>189</v>
      </c>
      <c r="AU32" s="154">
        <v>0.85416666666666663</v>
      </c>
      <c r="AV32" s="56">
        <f t="shared" si="52"/>
        <v>45864</v>
      </c>
      <c r="AW32" s="110">
        <f t="shared" si="102"/>
        <v>0.39962911451089478</v>
      </c>
      <c r="AX32" s="110">
        <f t="shared" si="103"/>
        <v>0.60037088548910522</v>
      </c>
      <c r="AY32" s="111">
        <f t="shared" si="44"/>
        <v>4314</v>
      </c>
      <c r="AZ32" s="112">
        <v>4314</v>
      </c>
      <c r="BA32" s="120">
        <f t="shared" si="104"/>
        <v>1724</v>
      </c>
      <c r="BB32" s="113">
        <f>1531+1059</f>
        <v>2590</v>
      </c>
      <c r="BC32" s="112">
        <v>1380</v>
      </c>
      <c r="BD32" s="114">
        <v>0.66666666666666663</v>
      </c>
      <c r="BE32" s="115">
        <v>0</v>
      </c>
      <c r="BF32" s="114">
        <v>0</v>
      </c>
      <c r="BG32" s="115">
        <v>121</v>
      </c>
      <c r="BH32" s="114">
        <v>0.77083333333333337</v>
      </c>
      <c r="BI32" s="56">
        <f t="shared" si="53"/>
        <v>45864</v>
      </c>
      <c r="BJ32" s="78">
        <f t="shared" si="105"/>
        <v>0.61295001978108932</v>
      </c>
      <c r="BK32" s="76">
        <f t="shared" si="106"/>
        <v>0.38704998021891074</v>
      </c>
      <c r="BL32" s="79">
        <f t="shared" si="107"/>
        <v>22749</v>
      </c>
      <c r="BM32" s="155">
        <v>13944</v>
      </c>
      <c r="BN32" s="155">
        <v>8805</v>
      </c>
      <c r="BO32" s="156">
        <v>2470</v>
      </c>
      <c r="BP32" s="157">
        <v>0.65902777777777777</v>
      </c>
      <c r="BQ32" s="158">
        <v>1628</v>
      </c>
      <c r="BR32" s="157">
        <v>0.37430555555555556</v>
      </c>
    </row>
    <row r="33" spans="1:70" ht="15.75" thickBot="1" x14ac:dyDescent="0.25">
      <c r="A33" s="14"/>
      <c r="B33" s="56">
        <f t="shared" si="49"/>
        <v>45865</v>
      </c>
      <c r="C33" s="164"/>
      <c r="D33" s="87">
        <f t="shared" si="85"/>
        <v>27250</v>
      </c>
      <c r="E33" s="159">
        <f t="shared" si="86"/>
        <v>0.77864220183486244</v>
      </c>
      <c r="F33" s="87">
        <f t="shared" si="87"/>
        <v>21218</v>
      </c>
      <c r="G33" s="159">
        <f t="shared" si="88"/>
        <v>0.22135779816513762</v>
      </c>
      <c r="H33" s="146">
        <f t="shared" si="89"/>
        <v>6032</v>
      </c>
      <c r="I33" s="160">
        <f t="shared" si="90"/>
        <v>6.3564743114941757E-2</v>
      </c>
      <c r="J33" s="159">
        <f t="shared" si="91"/>
        <v>0.18621641640293582</v>
      </c>
      <c r="K33" s="159">
        <f t="shared" si="92"/>
        <v>0.17119650109340831</v>
      </c>
      <c r="L33" s="161">
        <f t="shared" si="93"/>
        <v>0.62106928826341656</v>
      </c>
      <c r="M33" s="146">
        <f t="shared" si="94"/>
        <v>1649.3143896033937</v>
      </c>
      <c r="N33" s="146">
        <f t="shared" si="95"/>
        <v>4831.7573564069753</v>
      </c>
      <c r="O33" s="146">
        <f t="shared" si="96"/>
        <v>4442.0356138706657</v>
      </c>
      <c r="P33" s="146">
        <f t="shared" si="97"/>
        <v>16114.88482257087</v>
      </c>
      <c r="Q33" s="56">
        <f t="shared" si="50"/>
        <v>45865</v>
      </c>
      <c r="R33" s="139">
        <v>27250</v>
      </c>
      <c r="S33" s="140">
        <v>0</v>
      </c>
      <c r="T33" s="140">
        <v>25947</v>
      </c>
      <c r="U33" s="140">
        <v>0</v>
      </c>
      <c r="V33" s="141">
        <v>5960</v>
      </c>
      <c r="W33" s="142">
        <v>0.67708333333333337</v>
      </c>
      <c r="X33" s="141">
        <v>1742</v>
      </c>
      <c r="Y33" s="142">
        <v>0.96875</v>
      </c>
      <c r="Z33" s="141">
        <v>0</v>
      </c>
      <c r="AA33" s="142">
        <v>0</v>
      </c>
      <c r="AB33" s="56">
        <f t="shared" si="51"/>
        <v>45865</v>
      </c>
      <c r="AC33" s="76">
        <f t="shared" si="98"/>
        <v>1</v>
      </c>
      <c r="AD33" s="162">
        <f t="shared" si="99"/>
        <v>0</v>
      </c>
      <c r="AE33" s="163">
        <v>1888</v>
      </c>
      <c r="AF33" s="118">
        <f t="shared" si="37"/>
        <v>1888</v>
      </c>
      <c r="AG33" s="147">
        <v>0</v>
      </c>
      <c r="AH33" s="148">
        <v>1514</v>
      </c>
      <c r="AI33" s="149">
        <v>0.85138888888888886</v>
      </c>
      <c r="AJ33" s="148">
        <v>0</v>
      </c>
      <c r="AK33" s="165">
        <v>0</v>
      </c>
      <c r="AL33" s="168">
        <f t="shared" si="38"/>
        <v>45865</v>
      </c>
      <c r="AM33" s="77">
        <f t="shared" si="100"/>
        <v>0.27499548002169588</v>
      </c>
      <c r="AN33" s="76">
        <f t="shared" si="101"/>
        <v>0.72500451997830406</v>
      </c>
      <c r="AO33" s="150">
        <v>5531</v>
      </c>
      <c r="AP33" s="117">
        <f t="shared" si="41"/>
        <v>1521</v>
      </c>
      <c r="AQ33" s="151">
        <v>4010</v>
      </c>
      <c r="AR33" s="152">
        <v>1682</v>
      </c>
      <c r="AS33" s="153">
        <v>0.93194444444444446</v>
      </c>
      <c r="AT33" s="152">
        <v>190</v>
      </c>
      <c r="AU33" s="154">
        <v>0.11458333333333333</v>
      </c>
      <c r="AV33" s="56">
        <f t="shared" si="52"/>
        <v>45865</v>
      </c>
      <c r="AW33" s="169">
        <f t="shared" si="102"/>
        <v>0.47288842544316995</v>
      </c>
      <c r="AX33" s="169">
        <f t="shared" si="103"/>
        <v>0.52711157455683</v>
      </c>
      <c r="AY33" s="111">
        <f t="shared" si="44"/>
        <v>3836</v>
      </c>
      <c r="AZ33" s="112">
        <v>3836</v>
      </c>
      <c r="BA33" s="170">
        <f t="shared" si="104"/>
        <v>1814</v>
      </c>
      <c r="BB33" s="113">
        <v>2022</v>
      </c>
      <c r="BC33" s="112">
        <v>1750</v>
      </c>
      <c r="BD33" s="114">
        <v>0.40625</v>
      </c>
      <c r="BE33" s="115">
        <v>0</v>
      </c>
      <c r="BF33" s="114">
        <v>0</v>
      </c>
      <c r="BG33" s="115">
        <v>125</v>
      </c>
      <c r="BH33" s="114" t="s">
        <v>75</v>
      </c>
      <c r="BI33" s="56">
        <f t="shared" si="53"/>
        <v>45865</v>
      </c>
      <c r="BJ33" s="171">
        <f t="shared" si="105"/>
        <v>0.61397517211470698</v>
      </c>
      <c r="BK33" s="76">
        <f t="shared" si="106"/>
        <v>0.38602482788529302</v>
      </c>
      <c r="BL33" s="79">
        <f t="shared" si="107"/>
        <v>18447</v>
      </c>
      <c r="BM33" s="155">
        <v>11326</v>
      </c>
      <c r="BN33" s="155">
        <v>7121</v>
      </c>
      <c r="BO33" s="156">
        <v>2275</v>
      </c>
      <c r="BP33" s="157">
        <v>0.64097222222222228</v>
      </c>
      <c r="BQ33" s="158">
        <v>1493</v>
      </c>
      <c r="BR33" s="157">
        <v>0.64097222222222228</v>
      </c>
    </row>
    <row r="34" spans="1:70" ht="15.75" thickBot="1" x14ac:dyDescent="0.25">
      <c r="A34" s="14"/>
      <c r="B34" s="56">
        <f t="shared" si="49"/>
        <v>45866</v>
      </c>
      <c r="C34" s="164"/>
      <c r="D34" s="87">
        <f t="shared" si="85"/>
        <v>49020</v>
      </c>
      <c r="E34" s="159">
        <f t="shared" si="86"/>
        <v>0.87484455324357402</v>
      </c>
      <c r="F34" s="87">
        <f t="shared" si="87"/>
        <v>42884.88</v>
      </c>
      <c r="G34" s="159">
        <f t="shared" si="88"/>
        <v>0.12515544675642595</v>
      </c>
      <c r="H34" s="146">
        <f t="shared" si="89"/>
        <v>6135.12</v>
      </c>
      <c r="I34" s="160">
        <f t="shared" si="90"/>
        <v>0.10918674356044916</v>
      </c>
      <c r="J34" s="159">
        <f t="shared" si="91"/>
        <v>0.15865487466829314</v>
      </c>
      <c r="K34" s="159">
        <f t="shared" si="92"/>
        <v>0.15943249495018189</v>
      </c>
      <c r="L34" s="161">
        <f t="shared" si="93"/>
        <v>0.60069550335234434</v>
      </c>
      <c r="M34" s="146">
        <f t="shared" si="94"/>
        <v>5183.1493101863016</v>
      </c>
      <c r="N34" s="146">
        <f t="shared" si="95"/>
        <v>7531.4262279412096</v>
      </c>
      <c r="O34" s="146">
        <f t="shared" si="96"/>
        <v>7568.3402515326088</v>
      </c>
      <c r="P34" s="146">
        <f t="shared" si="97"/>
        <v>28515.315891887461</v>
      </c>
      <c r="Q34" s="56">
        <f t="shared" si="50"/>
        <v>45866</v>
      </c>
      <c r="R34" s="139">
        <v>49020</v>
      </c>
      <c r="S34" s="140">
        <v>0</v>
      </c>
      <c r="T34" s="140">
        <v>47470.5</v>
      </c>
      <c r="U34" s="140">
        <v>0</v>
      </c>
      <c r="V34" s="141">
        <v>11992.54</v>
      </c>
      <c r="W34" s="142">
        <v>0.79166666666666663</v>
      </c>
      <c r="X34" s="141">
        <v>4324.25</v>
      </c>
      <c r="Y34" s="142">
        <v>0.79166666666666663</v>
      </c>
      <c r="Z34" s="141">
        <v>0</v>
      </c>
      <c r="AA34" s="142">
        <v>0</v>
      </c>
      <c r="AB34" s="56">
        <f t="shared" si="51"/>
        <v>45866</v>
      </c>
      <c r="AC34" s="76">
        <f t="shared" si="98"/>
        <v>1</v>
      </c>
      <c r="AD34" s="162">
        <f t="shared" si="99"/>
        <v>0</v>
      </c>
      <c r="AE34" s="163">
        <v>5997</v>
      </c>
      <c r="AF34" s="118">
        <f t="shared" si="37"/>
        <v>5997</v>
      </c>
      <c r="AG34" s="147">
        <v>0</v>
      </c>
      <c r="AH34" s="148">
        <v>3639.5</v>
      </c>
      <c r="AI34" s="149">
        <v>0.35208333333333336</v>
      </c>
      <c r="AJ34" s="148">
        <v>0</v>
      </c>
      <c r="AK34" s="165">
        <v>0</v>
      </c>
      <c r="AL34" s="56">
        <f t="shared" si="38"/>
        <v>45866</v>
      </c>
      <c r="AM34" s="77">
        <f t="shared" si="100"/>
        <v>0.53956392012852883</v>
      </c>
      <c r="AN34" s="76">
        <f t="shared" si="101"/>
        <v>0.46043607987147117</v>
      </c>
      <c r="AO34" s="150">
        <v>8714</v>
      </c>
      <c r="AP34" s="117">
        <f t="shared" si="41"/>
        <v>4701.76</v>
      </c>
      <c r="AQ34" s="151">
        <v>4012.24</v>
      </c>
      <c r="AR34" s="152">
        <v>3672.39</v>
      </c>
      <c r="AS34" s="153">
        <v>0.33819444444444446</v>
      </c>
      <c r="AT34" s="152">
        <v>206</v>
      </c>
      <c r="AU34" s="154">
        <v>0.32291666666666669</v>
      </c>
      <c r="AV34" s="56">
        <f t="shared" si="52"/>
        <v>45866</v>
      </c>
      <c r="AW34" s="110">
        <f t="shared" si="102"/>
        <v>0.70599265978810333</v>
      </c>
      <c r="AX34" s="110">
        <f t="shared" si="103"/>
        <v>0.29400734021189667</v>
      </c>
      <c r="AY34" s="111">
        <f t="shared" si="44"/>
        <v>7220.5</v>
      </c>
      <c r="AZ34" s="112">
        <v>7220.5</v>
      </c>
      <c r="BA34" s="120">
        <f t="shared" si="104"/>
        <v>5097.62</v>
      </c>
      <c r="BB34" s="113">
        <v>2122.88</v>
      </c>
      <c r="BC34" s="112">
        <v>3542.4</v>
      </c>
      <c r="BD34" s="114">
        <v>0.75</v>
      </c>
      <c r="BE34" s="115">
        <v>0</v>
      </c>
      <c r="BF34" s="114">
        <v>0</v>
      </c>
      <c r="BG34" s="115">
        <v>131.88</v>
      </c>
      <c r="BH34" s="114">
        <v>0.33333333333333331</v>
      </c>
      <c r="BI34" s="56">
        <f t="shared" si="53"/>
        <v>45866</v>
      </c>
      <c r="BJ34" s="78">
        <f t="shared" si="105"/>
        <v>0.61070992869645602</v>
      </c>
      <c r="BK34" s="76">
        <f t="shared" si="106"/>
        <v>0.38929007130354398</v>
      </c>
      <c r="BL34" s="79">
        <f t="shared" si="107"/>
        <v>32992.75</v>
      </c>
      <c r="BM34" s="155">
        <v>20149</v>
      </c>
      <c r="BN34" s="155">
        <v>12843.75</v>
      </c>
      <c r="BO34" s="156">
        <v>3696.05</v>
      </c>
      <c r="BP34" s="157">
        <v>0.74236111111111114</v>
      </c>
      <c r="BQ34" s="158">
        <v>2434.17</v>
      </c>
      <c r="BR34" s="157">
        <v>0.74236111111111114</v>
      </c>
    </row>
    <row r="35" spans="1:70" ht="15.75" thickBot="1" x14ac:dyDescent="0.25">
      <c r="A35" s="14"/>
      <c r="B35" s="56">
        <f t="shared" si="49"/>
        <v>45867</v>
      </c>
      <c r="C35" s="164"/>
      <c r="D35" s="87">
        <f t="shared" si="85"/>
        <v>48616</v>
      </c>
      <c r="E35" s="159">
        <f t="shared" si="86"/>
        <v>0.87594125390817845</v>
      </c>
      <c r="F35" s="87">
        <f t="shared" si="87"/>
        <v>42584.76</v>
      </c>
      <c r="G35" s="159">
        <f t="shared" si="88"/>
        <v>0.12405874609182162</v>
      </c>
      <c r="H35" s="146">
        <f t="shared" si="89"/>
        <v>6031.24</v>
      </c>
      <c r="I35" s="160">
        <f t="shared" si="90"/>
        <v>0.10956321647884006</v>
      </c>
      <c r="J35" s="159">
        <f t="shared" si="91"/>
        <v>0.15851365150654043</v>
      </c>
      <c r="K35" s="159">
        <f t="shared" si="92"/>
        <v>0.15914725182842535</v>
      </c>
      <c r="L35" s="161">
        <f t="shared" si="93"/>
        <v>0.60049532628232671</v>
      </c>
      <c r="M35" s="146">
        <f t="shared" si="94"/>
        <v>5185.4079095105426</v>
      </c>
      <c r="N35" s="146">
        <f t="shared" si="95"/>
        <v>7502.1340985015449</v>
      </c>
      <c r="O35" s="146">
        <f t="shared" si="96"/>
        <v>7532.1211345357151</v>
      </c>
      <c r="P35" s="146">
        <f t="shared" si="97"/>
        <v>28420.242802289958</v>
      </c>
      <c r="Q35" s="56">
        <f t="shared" si="50"/>
        <v>45867</v>
      </c>
      <c r="R35" s="139">
        <v>48616</v>
      </c>
      <c r="S35" s="140">
        <v>0</v>
      </c>
      <c r="T35" s="140">
        <v>47328</v>
      </c>
      <c r="U35" s="140">
        <v>0</v>
      </c>
      <c r="V35" s="141">
        <v>11592.3</v>
      </c>
      <c r="W35" s="142">
        <v>0.39583333333333331</v>
      </c>
      <c r="X35" s="141">
        <v>4123</v>
      </c>
      <c r="Y35" s="142">
        <v>1900</v>
      </c>
      <c r="Z35" s="141">
        <v>0</v>
      </c>
      <c r="AA35" s="142">
        <v>0</v>
      </c>
      <c r="AB35" s="56">
        <f t="shared" si="51"/>
        <v>45867</v>
      </c>
      <c r="AC35" s="76">
        <f t="shared" si="98"/>
        <v>1</v>
      </c>
      <c r="AD35" s="162">
        <f t="shared" si="99"/>
        <v>0</v>
      </c>
      <c r="AE35" s="163">
        <v>5928</v>
      </c>
      <c r="AF35" s="118">
        <f t="shared" si="37"/>
        <v>5928</v>
      </c>
      <c r="AG35" s="147">
        <v>0</v>
      </c>
      <c r="AH35" s="148">
        <v>4281.3</v>
      </c>
      <c r="AI35" s="149">
        <v>0.76527777777777772</v>
      </c>
      <c r="AJ35" s="148">
        <v>0</v>
      </c>
      <c r="AK35" s="165">
        <v>0</v>
      </c>
      <c r="AL35" s="56">
        <f t="shared" si="38"/>
        <v>45867</v>
      </c>
      <c r="AM35" s="77">
        <f t="shared" si="100"/>
        <v>0.54426514312365182</v>
      </c>
      <c r="AN35" s="76">
        <f t="shared" si="101"/>
        <v>0.45573485687634818</v>
      </c>
      <c r="AO35" s="150">
        <v>8576.5</v>
      </c>
      <c r="AP35" s="117">
        <f t="shared" si="41"/>
        <v>4667.8899999999994</v>
      </c>
      <c r="AQ35" s="151">
        <v>3908.61</v>
      </c>
      <c r="AR35" s="152">
        <v>4171.7299999999996</v>
      </c>
      <c r="AS35" s="153">
        <v>0.35138888888888886</v>
      </c>
      <c r="AT35" s="152">
        <v>184.42</v>
      </c>
      <c r="AU35" s="154">
        <v>0.34375</v>
      </c>
      <c r="AV35" s="56">
        <f t="shared" si="52"/>
        <v>45867</v>
      </c>
      <c r="AW35" s="110">
        <f t="shared" si="102"/>
        <v>0.70150049219519051</v>
      </c>
      <c r="AX35" s="110">
        <f t="shared" si="103"/>
        <v>0.29849950780480944</v>
      </c>
      <c r="AY35" s="111">
        <f t="shared" si="44"/>
        <v>7111</v>
      </c>
      <c r="AZ35" s="112">
        <v>7111</v>
      </c>
      <c r="BA35" s="120">
        <f t="shared" si="104"/>
        <v>4988.37</v>
      </c>
      <c r="BB35" s="113">
        <v>2122.63</v>
      </c>
      <c r="BC35" s="112">
        <v>3607.69</v>
      </c>
      <c r="BD35" s="114">
        <v>0.35416666666666669</v>
      </c>
      <c r="BE35" s="115">
        <v>0</v>
      </c>
      <c r="BF35" s="114">
        <v>0</v>
      </c>
      <c r="BG35" s="115">
        <v>133.5</v>
      </c>
      <c r="BH35" s="114">
        <v>0.3125</v>
      </c>
      <c r="BI35" s="56">
        <f t="shared" si="53"/>
        <v>45867</v>
      </c>
      <c r="BJ35" s="78">
        <f t="shared" si="105"/>
        <v>0.61138341502450733</v>
      </c>
      <c r="BK35" s="76">
        <f t="shared" si="106"/>
        <v>0.38861658497549267</v>
      </c>
      <c r="BL35" s="79">
        <f t="shared" si="107"/>
        <v>32490.25</v>
      </c>
      <c r="BM35" s="155">
        <v>19864</v>
      </c>
      <c r="BN35" s="155">
        <v>12626.25</v>
      </c>
      <c r="BO35" s="156">
        <v>3923.9</v>
      </c>
      <c r="BP35" s="157">
        <v>0.41458333333333336</v>
      </c>
      <c r="BQ35" s="158">
        <v>2607.6799999999998</v>
      </c>
      <c r="BR35" s="157">
        <v>0.41458333333333336</v>
      </c>
    </row>
    <row r="36" spans="1:70" ht="15.75" thickBot="1" x14ac:dyDescent="0.25">
      <c r="A36" s="14"/>
      <c r="B36" s="56">
        <f t="shared" si="49"/>
        <v>45868</v>
      </c>
      <c r="C36" s="164"/>
      <c r="D36" s="87">
        <f t="shared" si="85"/>
        <v>44212</v>
      </c>
      <c r="E36" s="159">
        <f t="shared" si="86"/>
        <v>0.86777345517054194</v>
      </c>
      <c r="F36" s="87">
        <f t="shared" si="87"/>
        <v>38366</v>
      </c>
      <c r="G36" s="159">
        <f t="shared" si="88"/>
        <v>0.13222654482945806</v>
      </c>
      <c r="H36" s="146">
        <f t="shared" si="89"/>
        <v>5846</v>
      </c>
      <c r="I36" s="160">
        <f t="shared" si="90"/>
        <v>5.7617515724780334E-2</v>
      </c>
      <c r="J36" s="159">
        <f t="shared" si="91"/>
        <v>0.13888222019493926</v>
      </c>
      <c r="K36" s="159">
        <f t="shared" si="92"/>
        <v>0.19808325322613535</v>
      </c>
      <c r="L36" s="161">
        <f t="shared" si="93"/>
        <v>0.64025063619340283</v>
      </c>
      <c r="M36" s="146">
        <f>(S36+T36)*I36</f>
        <v>2702.2614874921978</v>
      </c>
      <c r="N36" s="146">
        <f>(S36+T36)*J36</f>
        <v>6513.5761271426509</v>
      </c>
      <c r="O36" s="146">
        <f>(S36+T36)*K36</f>
        <v>9290.1045763057482</v>
      </c>
      <c r="P36" s="146">
        <f>(S36+T36)*L36</f>
        <v>30027.754837470591</v>
      </c>
      <c r="Q36" s="56">
        <f t="shared" si="50"/>
        <v>45868</v>
      </c>
      <c r="R36" s="139">
        <v>44212</v>
      </c>
      <c r="S36" s="140">
        <v>0</v>
      </c>
      <c r="T36" s="140">
        <v>46900</v>
      </c>
      <c r="U36" s="140">
        <v>0</v>
      </c>
      <c r="V36" s="141">
        <v>12300</v>
      </c>
      <c r="W36" s="142">
        <v>0.75</v>
      </c>
      <c r="X36" s="141">
        <v>4070</v>
      </c>
      <c r="Y36" s="142">
        <v>0.75</v>
      </c>
      <c r="Z36" s="141">
        <v>0</v>
      </c>
      <c r="AA36" s="142">
        <v>0</v>
      </c>
      <c r="AB36" s="56">
        <f t="shared" si="51"/>
        <v>45868</v>
      </c>
      <c r="AC36" s="76">
        <f t="shared" si="98"/>
        <v>1</v>
      </c>
      <c r="AD36" s="162">
        <f t="shared" si="99"/>
        <v>0</v>
      </c>
      <c r="AE36" s="163">
        <v>2400</v>
      </c>
      <c r="AF36" s="118">
        <f t="shared" si="37"/>
        <v>2400</v>
      </c>
      <c r="AG36" s="147">
        <v>0</v>
      </c>
      <c r="AH36" s="148">
        <v>3652</v>
      </c>
      <c r="AI36" s="149">
        <v>0.37222222222222223</v>
      </c>
      <c r="AJ36" s="148">
        <v>0</v>
      </c>
      <c r="AK36" s="165">
        <v>0</v>
      </c>
      <c r="AL36" s="56">
        <f t="shared" si="38"/>
        <v>45868</v>
      </c>
      <c r="AM36" s="77">
        <f t="shared" si="100"/>
        <v>0.35246326707000863</v>
      </c>
      <c r="AN36" s="76">
        <f t="shared" si="101"/>
        <v>0.64753673292999137</v>
      </c>
      <c r="AO36" s="150">
        <v>5785</v>
      </c>
      <c r="AP36" s="117">
        <f t="shared" si="41"/>
        <v>2039</v>
      </c>
      <c r="AQ36" s="151">
        <v>3746</v>
      </c>
      <c r="AR36" s="152">
        <v>3416</v>
      </c>
      <c r="AS36" s="153">
        <v>0.33402777777777776</v>
      </c>
      <c r="AT36" s="152">
        <v>190</v>
      </c>
      <c r="AU36" s="154">
        <v>0.33541666666666664</v>
      </c>
      <c r="AV36" s="56">
        <f t="shared" si="52"/>
        <v>45868</v>
      </c>
      <c r="AW36" s="110">
        <f t="shared" si="102"/>
        <v>0.69117647058823528</v>
      </c>
      <c r="AX36" s="110">
        <f t="shared" si="103"/>
        <v>0.30882352941176472</v>
      </c>
      <c r="AY36" s="111">
        <f t="shared" si="44"/>
        <v>6800</v>
      </c>
      <c r="AZ36" s="112">
        <v>6800</v>
      </c>
      <c r="BA36" s="120">
        <f t="shared" si="104"/>
        <v>4700</v>
      </c>
      <c r="BB36" s="113">
        <v>2100</v>
      </c>
      <c r="BC36" s="112">
        <v>3500</v>
      </c>
      <c r="BD36" s="114">
        <v>0.3125</v>
      </c>
      <c r="BE36" s="115">
        <v>0</v>
      </c>
      <c r="BF36" s="114">
        <v>0</v>
      </c>
      <c r="BG36" s="115">
        <v>133</v>
      </c>
      <c r="BH36" s="114">
        <v>0.35416666666666669</v>
      </c>
      <c r="BI36" s="56">
        <f t="shared" si="53"/>
        <v>45868</v>
      </c>
      <c r="BJ36" s="78">
        <f t="shared" si="105"/>
        <v>0.61082155311410247</v>
      </c>
      <c r="BK36" s="76">
        <f t="shared" si="106"/>
        <v>0.38917844688589748</v>
      </c>
      <c r="BL36" s="79">
        <f t="shared" si="107"/>
        <v>26669</v>
      </c>
      <c r="BM36" s="155">
        <v>16290</v>
      </c>
      <c r="BN36" s="155">
        <v>10379</v>
      </c>
      <c r="BO36" s="156">
        <v>4152</v>
      </c>
      <c r="BP36" s="157">
        <v>0.38958333333333334</v>
      </c>
      <c r="BQ36" s="158">
        <v>2740</v>
      </c>
      <c r="BR36" s="157">
        <v>0.38958333333333334</v>
      </c>
    </row>
    <row r="37" spans="1:70" ht="15.75" thickBot="1" x14ac:dyDescent="0.25">
      <c r="A37" s="14"/>
      <c r="B37" s="56">
        <f>B36+1</f>
        <v>45869</v>
      </c>
      <c r="C37" s="164"/>
      <c r="D37" s="87">
        <f t="shared" si="85"/>
        <v>47800</v>
      </c>
      <c r="E37" s="159">
        <f t="shared" si="86"/>
        <v>0.87309623430962346</v>
      </c>
      <c r="F37" s="87">
        <f t="shared" si="87"/>
        <v>41734</v>
      </c>
      <c r="G37" s="159">
        <f t="shared" si="88"/>
        <v>0.12690376569037656</v>
      </c>
      <c r="H37" s="146">
        <f t="shared" si="89"/>
        <v>6066</v>
      </c>
      <c r="I37" s="160">
        <f t="shared" si="90"/>
        <v>0.10418023180101575</v>
      </c>
      <c r="J37" s="159">
        <f t="shared" si="91"/>
        <v>0.1536875461214568</v>
      </c>
      <c r="K37" s="159">
        <f t="shared" si="92"/>
        <v>0.18407368121491216</v>
      </c>
      <c r="L37" s="161">
        <f t="shared" si="93"/>
        <v>0.58770673264748019</v>
      </c>
      <c r="M37" s="146">
        <f t="shared" si="94"/>
        <v>4912.0979294178924</v>
      </c>
      <c r="N37" s="146">
        <f t="shared" si="95"/>
        <v>7246.3677996266879</v>
      </c>
      <c r="O37" s="146">
        <f t="shared" si="96"/>
        <v>8679.0740692831077</v>
      </c>
      <c r="P37" s="146">
        <f t="shared" si="97"/>
        <v>27710.372444328692</v>
      </c>
      <c r="Q37" s="56">
        <f t="shared" si="50"/>
        <v>45869</v>
      </c>
      <c r="R37" s="139">
        <v>47800</v>
      </c>
      <c r="S37" s="140">
        <v>0</v>
      </c>
      <c r="T37" s="140">
        <v>47150</v>
      </c>
      <c r="U37" s="140">
        <v>0</v>
      </c>
      <c r="V37" s="141">
        <v>12200</v>
      </c>
      <c r="W37" s="142">
        <v>0.72916666666666663</v>
      </c>
      <c r="X37" s="141">
        <v>4250</v>
      </c>
      <c r="Y37" s="142">
        <v>0.79166666666666663</v>
      </c>
      <c r="Z37" s="141">
        <v>0</v>
      </c>
      <c r="AA37" s="142">
        <v>0</v>
      </c>
      <c r="AB37" s="56">
        <f t="shared" si="51"/>
        <v>45869</v>
      </c>
      <c r="AC37" s="76">
        <f t="shared" si="98"/>
        <v>1</v>
      </c>
      <c r="AD37" s="162">
        <f t="shared" si="99"/>
        <v>0</v>
      </c>
      <c r="AE37" s="163">
        <v>4800</v>
      </c>
      <c r="AF37" s="118">
        <f t="shared" si="37"/>
        <v>4800</v>
      </c>
      <c r="AG37" s="147">
        <v>0</v>
      </c>
      <c r="AH37" s="148">
        <v>3414</v>
      </c>
      <c r="AI37" s="149">
        <v>0.75624999999999998</v>
      </c>
      <c r="AJ37" s="148">
        <v>0</v>
      </c>
      <c r="AK37" s="165">
        <v>0</v>
      </c>
      <c r="AL37" s="56">
        <f t="shared" si="38"/>
        <v>45869</v>
      </c>
      <c r="AM37" s="77">
        <f t="shared" si="100"/>
        <v>0.44414630701878266</v>
      </c>
      <c r="AN37" s="76">
        <f t="shared" si="101"/>
        <v>0.55585369298121734</v>
      </c>
      <c r="AO37" s="150">
        <v>7081</v>
      </c>
      <c r="AP37" s="117">
        <f t="shared" si="41"/>
        <v>3145</v>
      </c>
      <c r="AQ37" s="151">
        <v>3936</v>
      </c>
      <c r="AR37" s="152">
        <v>3056</v>
      </c>
      <c r="AS37" s="153">
        <v>0.35694444444444445</v>
      </c>
      <c r="AT37" s="152">
        <v>192</v>
      </c>
      <c r="AU37" s="154">
        <v>0.74652777777777779</v>
      </c>
      <c r="AV37" s="56">
        <f t="shared" si="52"/>
        <v>45869</v>
      </c>
      <c r="AW37" s="110">
        <f t="shared" si="102"/>
        <v>0.70063246661981726</v>
      </c>
      <c r="AX37" s="110">
        <f t="shared" si="103"/>
        <v>0.29936753338018274</v>
      </c>
      <c r="AY37" s="111">
        <f t="shared" si="44"/>
        <v>7115</v>
      </c>
      <c r="AZ37" s="112">
        <v>7115</v>
      </c>
      <c r="BA37" s="120">
        <f t="shared" si="104"/>
        <v>4985</v>
      </c>
      <c r="BB37" s="113">
        <v>2130</v>
      </c>
      <c r="BC37" s="112">
        <v>3560</v>
      </c>
      <c r="BD37" s="114">
        <v>0.35416666666666669</v>
      </c>
      <c r="BE37" s="115">
        <v>0</v>
      </c>
      <c r="BF37" s="114">
        <v>0</v>
      </c>
      <c r="BG37" s="115">
        <v>134</v>
      </c>
      <c r="BH37" s="114">
        <v>0.3125</v>
      </c>
      <c r="BI37" s="56">
        <f t="shared" si="53"/>
        <v>45869</v>
      </c>
      <c r="BJ37" s="78">
        <f t="shared" si="105"/>
        <v>0.60853829677228743</v>
      </c>
      <c r="BK37" s="76">
        <f t="shared" si="106"/>
        <v>0.39146170322771251</v>
      </c>
      <c r="BL37" s="79">
        <f t="shared" si="107"/>
        <v>27078</v>
      </c>
      <c r="BM37" s="155">
        <v>16478</v>
      </c>
      <c r="BN37" s="155">
        <v>10600</v>
      </c>
      <c r="BO37" s="156">
        <v>4078</v>
      </c>
      <c r="BP37" s="157">
        <v>0.70625000000000004</v>
      </c>
      <c r="BQ37" s="158">
        <v>2720</v>
      </c>
      <c r="BR37" s="157">
        <v>0.70625000000000004</v>
      </c>
    </row>
    <row r="38" spans="1:70" ht="15.75" thickBot="1" x14ac:dyDescent="0.25">
      <c r="A38" s="14"/>
      <c r="B38" s="56">
        <f t="shared" ref="B38" si="108">B37+1</f>
        <v>45870</v>
      </c>
      <c r="C38" s="164"/>
      <c r="D38" s="87">
        <f t="shared" ref="D38" si="109">R38</f>
        <v>0</v>
      </c>
      <c r="E38" s="159" t="e">
        <f t="shared" ref="E38" si="110">F38/D38</f>
        <v>#DIV/0!</v>
      </c>
      <c r="F38" s="87">
        <f t="shared" ref="F38" si="111">D38-H38</f>
        <v>0</v>
      </c>
      <c r="G38" s="159" t="e">
        <f t="shared" ref="G38" si="112">H38/D38</f>
        <v>#DIV/0!</v>
      </c>
      <c r="H38" s="146">
        <f t="shared" ref="H38" si="113">U38+AG38+AQ38+BB38</f>
        <v>0</v>
      </c>
      <c r="I38" s="160" t="e">
        <f t="shared" ref="I38" si="114">AE38/(AE38+AO38+BL38+AY38)</f>
        <v>#DIV/0!</v>
      </c>
      <c r="J38" s="159" t="e">
        <f t="shared" ref="J38" si="115">AO38/(AE38+AO38+BL38+AY38)</f>
        <v>#DIV/0!</v>
      </c>
      <c r="K38" s="159" t="e">
        <f t="shared" ref="K38" si="116">AY38/(AF38+AP38+BM38+AZ38+AY38)</f>
        <v>#DIV/0!</v>
      </c>
      <c r="L38" s="161" t="e">
        <f t="shared" ref="L38" si="117">BL38/(AE38+AO38+BL38+AY38)</f>
        <v>#DIV/0!</v>
      </c>
      <c r="M38" s="146" t="e">
        <f t="shared" ref="M38" si="118">(S38+T38)*I38</f>
        <v>#DIV/0!</v>
      </c>
      <c r="N38" s="146" t="e">
        <f t="shared" ref="N38" si="119">(S38+T38)*J38</f>
        <v>#DIV/0!</v>
      </c>
      <c r="O38" s="146" t="e">
        <f t="shared" ref="O38" si="120">(S38+T38)*K38</f>
        <v>#DIV/0!</v>
      </c>
      <c r="P38" s="146" t="e">
        <f t="shared" ref="P38" si="121">(S38+T38)*L38</f>
        <v>#DIV/0!</v>
      </c>
      <c r="Q38" s="56">
        <f t="shared" ref="Q38" si="122">Q37+1</f>
        <v>45870</v>
      </c>
      <c r="R38" s="139"/>
      <c r="S38" s="140"/>
      <c r="T38" s="140"/>
      <c r="U38" s="140"/>
      <c r="V38" s="141"/>
      <c r="W38" s="142"/>
      <c r="X38" s="141"/>
      <c r="Y38" s="142"/>
      <c r="Z38" s="141"/>
      <c r="AA38" s="142"/>
      <c r="AB38" s="56">
        <f t="shared" si="51"/>
        <v>45870</v>
      </c>
      <c r="AC38" s="76" t="e">
        <f t="shared" ref="AC38" si="123">+AF38/AE38</f>
        <v>#DIV/0!</v>
      </c>
      <c r="AD38" s="162" t="e">
        <f t="shared" ref="AD38" si="124">+AG38/AE38</f>
        <v>#DIV/0!</v>
      </c>
      <c r="AE38" s="163"/>
      <c r="AF38" s="118">
        <f t="shared" si="37"/>
        <v>0</v>
      </c>
      <c r="AG38" s="147"/>
      <c r="AH38" s="148"/>
      <c r="AI38" s="149"/>
      <c r="AJ38" s="148"/>
      <c r="AK38" s="165"/>
      <c r="AL38" s="56">
        <f t="shared" si="38"/>
        <v>45870</v>
      </c>
      <c r="AM38" s="77" t="e">
        <f t="shared" ref="AM38" si="125">+AP38/AO38</f>
        <v>#DIV/0!</v>
      </c>
      <c r="AN38" s="76" t="e">
        <f t="shared" ref="AN38" si="126">+AQ38/AO38</f>
        <v>#DIV/0!</v>
      </c>
      <c r="AO38" s="150"/>
      <c r="AP38" s="117">
        <f t="shared" si="41"/>
        <v>0</v>
      </c>
      <c r="AQ38" s="151"/>
      <c r="AR38" s="152"/>
      <c r="AS38" s="153"/>
      <c r="AT38" s="152"/>
      <c r="AU38" s="154"/>
      <c r="AV38" s="56">
        <f t="shared" si="52"/>
        <v>45870</v>
      </c>
      <c r="AW38" s="110" t="e">
        <f t="shared" ref="AW38" si="127">BA38/AZ38</f>
        <v>#DIV/0!</v>
      </c>
      <c r="AX38" s="110" t="e">
        <f t="shared" ref="AX38" si="128">BB38/AZ38</f>
        <v>#DIV/0!</v>
      </c>
      <c r="AY38" s="111">
        <f t="shared" ref="AY38" si="129">BA38+BB38</f>
        <v>0</v>
      </c>
      <c r="AZ38" s="112"/>
      <c r="BA38" s="120">
        <f t="shared" ref="BA38" si="130">AZ38-BB38</f>
        <v>0</v>
      </c>
      <c r="BB38" s="113"/>
      <c r="BC38" s="112"/>
      <c r="BD38" s="114"/>
      <c r="BE38" s="115"/>
      <c r="BF38" s="114"/>
      <c r="BG38" s="115"/>
      <c r="BH38" s="114"/>
      <c r="BI38" s="56">
        <f t="shared" si="53"/>
        <v>45870</v>
      </c>
      <c r="BJ38" s="78" t="e">
        <f t="shared" ref="BJ38" si="131">+BM38/BL38</f>
        <v>#DIV/0!</v>
      </c>
      <c r="BK38" s="76" t="e">
        <f t="shared" ref="BK38" si="132">+BN38/BL38</f>
        <v>#DIV/0!</v>
      </c>
      <c r="BL38" s="79">
        <f t="shared" ref="BL38" si="133">BM38+BN38</f>
        <v>0</v>
      </c>
      <c r="BM38" s="155"/>
      <c r="BN38" s="155"/>
      <c r="BO38" s="156"/>
      <c r="BP38" s="157"/>
      <c r="BQ38" s="158"/>
      <c r="BR38" s="157"/>
    </row>
    <row r="40" spans="1:70" x14ac:dyDescent="0.2">
      <c r="R40" s="176">
        <f>R37-S41</f>
        <v>50488</v>
      </c>
    </row>
    <row r="41" spans="1:70" x14ac:dyDescent="0.2">
      <c r="S41" s="177">
        <f>R36-T36</f>
        <v>-2688</v>
      </c>
      <c r="T41" s="177"/>
      <c r="U41" s="176"/>
    </row>
    <row r="43" spans="1:70" x14ac:dyDescent="0.2">
      <c r="S43" s="177"/>
      <c r="T43" s="176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abSelected="1" topLeftCell="A9" zoomScale="85" zoomScaleNormal="85" workbookViewId="0">
      <selection activeCell="H15" sqref="H15:H45"/>
    </sheetView>
  </sheetViews>
  <sheetFormatPr defaultColWidth="10.76171875" defaultRowHeight="15" x14ac:dyDescent="0.2"/>
  <cols>
    <col min="1" max="1" width="2.5546875" customWidth="1"/>
    <col min="3" max="3" width="1.74609375" style="13" customWidth="1"/>
    <col min="8" max="8" width="12.5078125" customWidth="1"/>
    <col min="9" max="9" width="9.68359375" customWidth="1"/>
    <col min="13" max="13" width="9.28125" customWidth="1"/>
    <col min="16" max="16" width="11.8359375" bestFit="1" customWidth="1"/>
    <col min="20" max="20" width="10.76171875" customWidth="1"/>
    <col min="21" max="21" width="11.02734375" customWidth="1"/>
    <col min="27" max="27" width="21.65625" customWidth="1"/>
  </cols>
  <sheetData>
    <row r="1" spans="2:27" ht="19.5" thickBot="1" x14ac:dyDescent="0.25">
      <c r="C1" s="15"/>
    </row>
    <row r="2" spans="2:27" ht="15" customHeight="1" x14ac:dyDescent="0.2">
      <c r="B2" s="220" t="s">
        <v>0</v>
      </c>
      <c r="D2" s="223" t="s">
        <v>38</v>
      </c>
      <c r="E2" s="224"/>
      <c r="F2" s="224"/>
      <c r="G2" s="224"/>
      <c r="H2" s="225"/>
      <c r="J2" s="223" t="s">
        <v>39</v>
      </c>
      <c r="K2" s="224"/>
      <c r="L2" s="225"/>
      <c r="N2" s="223" t="s">
        <v>40</v>
      </c>
      <c r="O2" s="224"/>
      <c r="P2" s="224"/>
      <c r="Q2" s="224"/>
      <c r="R2" s="224"/>
      <c r="S2" s="224"/>
      <c r="T2" s="225"/>
      <c r="V2" s="229" t="s">
        <v>41</v>
      </c>
      <c r="W2" s="230"/>
      <c r="X2" s="231"/>
    </row>
    <row r="3" spans="2:27" ht="15.75" thickBot="1" x14ac:dyDescent="0.25">
      <c r="B3" s="221"/>
      <c r="D3" s="226"/>
      <c r="E3" s="227"/>
      <c r="F3" s="227"/>
      <c r="G3" s="227"/>
      <c r="H3" s="228"/>
      <c r="J3" s="226"/>
      <c r="K3" s="227"/>
      <c r="L3" s="228"/>
      <c r="N3" s="226"/>
      <c r="O3" s="227"/>
      <c r="P3" s="227"/>
      <c r="Q3" s="227"/>
      <c r="R3" s="227"/>
      <c r="S3" s="227"/>
      <c r="T3" s="228"/>
      <c r="V3" s="232"/>
      <c r="W3" s="233"/>
      <c r="X3" s="234"/>
    </row>
    <row r="4" spans="2:27" ht="23.25" customHeight="1" x14ac:dyDescent="0.2">
      <c r="B4" s="221"/>
      <c r="D4" s="235" t="s">
        <v>42</v>
      </c>
      <c r="E4" s="236"/>
      <c r="F4" s="235" t="s">
        <v>43</v>
      </c>
      <c r="G4" s="237"/>
      <c r="H4" s="238"/>
      <c r="J4" s="235" t="s">
        <v>42</v>
      </c>
      <c r="K4" s="236"/>
      <c r="L4" s="16" t="s">
        <v>43</v>
      </c>
      <c r="N4" s="218" t="s">
        <v>42</v>
      </c>
      <c r="O4" s="239"/>
      <c r="P4" s="240"/>
      <c r="Q4" s="241"/>
      <c r="R4" s="235" t="s">
        <v>43</v>
      </c>
      <c r="S4" s="242"/>
      <c r="T4" s="238"/>
      <c r="V4" s="218" t="s">
        <v>42</v>
      </c>
      <c r="W4" s="219"/>
      <c r="X4" s="16" t="s">
        <v>43</v>
      </c>
    </row>
    <row r="5" spans="2:27" ht="15.75" thickBot="1" x14ac:dyDescent="0.25">
      <c r="B5" s="222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25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25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25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55</v>
      </c>
    </row>
    <row r="9" spans="2:27" ht="15.75" thickBot="1" x14ac:dyDescent="0.25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25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25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25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25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25">
      <c r="B14" s="90">
        <v>45838</v>
      </c>
      <c r="C14" s="13"/>
      <c r="D14" s="172">
        <v>0</v>
      </c>
      <c r="E14" s="173">
        <v>0</v>
      </c>
      <c r="F14" s="174">
        <v>0</v>
      </c>
      <c r="G14" s="93">
        <f t="shared" ref="G14:G45" si="0">F14-H14</f>
        <v>-529</v>
      </c>
      <c r="H14" s="174">
        <v>529</v>
      </c>
      <c r="I14" s="90">
        <f>B14</f>
        <v>45838</v>
      </c>
      <c r="J14" s="172">
        <v>41</v>
      </c>
      <c r="K14" s="173" t="s">
        <v>72</v>
      </c>
      <c r="L14" s="174">
        <v>635</v>
      </c>
      <c r="M14" s="90">
        <f>B14</f>
        <v>45838</v>
      </c>
      <c r="N14" s="172">
        <v>21</v>
      </c>
      <c r="O14" s="173">
        <v>0.61111111111111116</v>
      </c>
      <c r="P14" s="172">
        <v>16</v>
      </c>
      <c r="Q14" s="173">
        <v>0.41319444444444442</v>
      </c>
      <c r="R14" s="92">
        <f t="shared" ref="R14" si="1">S14+T14</f>
        <v>461</v>
      </c>
      <c r="S14" s="174">
        <v>236</v>
      </c>
      <c r="T14" s="174">
        <v>225</v>
      </c>
      <c r="U14" s="90">
        <f>B14</f>
        <v>45838</v>
      </c>
      <c r="V14" s="172">
        <v>33</v>
      </c>
      <c r="W14" s="173" t="s">
        <v>73</v>
      </c>
      <c r="X14" s="174">
        <v>519</v>
      </c>
    </row>
    <row r="15" spans="2:27" s="52" customFormat="1" ht="15.75" thickBot="1" x14ac:dyDescent="0.25">
      <c r="B15" s="55">
        <f t="shared" ref="B15:B16" si="2">B14+1</f>
        <v>45839</v>
      </c>
      <c r="C15" s="13"/>
      <c r="D15" s="172">
        <v>0</v>
      </c>
      <c r="E15" s="173">
        <v>0</v>
      </c>
      <c r="F15" s="174">
        <v>0</v>
      </c>
      <c r="G15" s="93">
        <f t="shared" si="0"/>
        <v>-514</v>
      </c>
      <c r="H15" s="174">
        <v>514</v>
      </c>
      <c r="I15" s="90">
        <f t="shared" ref="I15:I45" si="3">I14+1</f>
        <v>45839</v>
      </c>
      <c r="J15" s="172">
        <v>39</v>
      </c>
      <c r="K15" s="173">
        <v>0.37430555555555556</v>
      </c>
      <c r="L15" s="174">
        <v>631</v>
      </c>
      <c r="M15" s="90">
        <f t="shared" ref="M15:M45" si="4">B15</f>
        <v>45839</v>
      </c>
      <c r="N15" s="172">
        <v>22</v>
      </c>
      <c r="O15" s="173">
        <v>0.53125</v>
      </c>
      <c r="P15" s="172">
        <v>27</v>
      </c>
      <c r="Q15" s="173">
        <v>0.28472222222222221</v>
      </c>
      <c r="R15" s="92">
        <f t="shared" ref="R15:R25" si="5">S15+T15</f>
        <v>456</v>
      </c>
      <c r="S15" s="174">
        <v>196</v>
      </c>
      <c r="T15" s="174">
        <v>260</v>
      </c>
      <c r="U15" s="90">
        <f t="shared" ref="U15:U45" si="6">U14+1</f>
        <v>45839</v>
      </c>
      <c r="V15" s="172">
        <v>30</v>
      </c>
      <c r="W15" s="173">
        <v>0.1673611111111111</v>
      </c>
      <c r="X15" s="174">
        <v>514</v>
      </c>
    </row>
    <row r="16" spans="2:27" s="52" customFormat="1" ht="15.75" thickBot="1" x14ac:dyDescent="0.25">
      <c r="B16" s="55">
        <f t="shared" si="2"/>
        <v>45840</v>
      </c>
      <c r="C16" s="13"/>
      <c r="D16" s="50">
        <v>0</v>
      </c>
      <c r="E16" s="11">
        <v>0</v>
      </c>
      <c r="F16" s="10">
        <v>0</v>
      </c>
      <c r="G16" s="93">
        <f t="shared" si="0"/>
        <v>-490</v>
      </c>
      <c r="H16" s="10">
        <v>490</v>
      </c>
      <c r="I16" s="90">
        <f t="shared" si="3"/>
        <v>45840</v>
      </c>
      <c r="J16" s="50">
        <v>37</v>
      </c>
      <c r="K16" s="54">
        <v>0.14583333333333334</v>
      </c>
      <c r="L16" s="53">
        <v>621</v>
      </c>
      <c r="M16" s="90">
        <f t="shared" si="4"/>
        <v>45840</v>
      </c>
      <c r="N16" s="50">
        <v>18</v>
      </c>
      <c r="O16" s="11">
        <v>0.51041666666666663</v>
      </c>
      <c r="P16" s="50">
        <v>15</v>
      </c>
      <c r="Q16" s="11">
        <v>0.375</v>
      </c>
      <c r="R16" s="92">
        <f t="shared" si="5"/>
        <v>447</v>
      </c>
      <c r="S16" s="10">
        <v>221</v>
      </c>
      <c r="T16" s="10">
        <v>226</v>
      </c>
      <c r="U16" s="90">
        <f t="shared" si="6"/>
        <v>45840</v>
      </c>
      <c r="V16" s="50">
        <v>30</v>
      </c>
      <c r="W16" s="11">
        <v>1.0416666666666666E-2</v>
      </c>
      <c r="X16" s="10">
        <v>500</v>
      </c>
    </row>
    <row r="17" spans="2:24" ht="15.75" thickBot="1" x14ac:dyDescent="0.25">
      <c r="B17" s="55">
        <f t="shared" ref="B17:B45" si="7">B16+1</f>
        <v>45841</v>
      </c>
      <c r="D17" s="50">
        <v>0</v>
      </c>
      <c r="E17" s="54">
        <v>0</v>
      </c>
      <c r="F17" s="53">
        <v>0</v>
      </c>
      <c r="G17" s="93">
        <f t="shared" si="0"/>
        <v>-505</v>
      </c>
      <c r="H17" s="53">
        <v>505</v>
      </c>
      <c r="I17" s="90">
        <f t="shared" si="3"/>
        <v>45841</v>
      </c>
      <c r="J17" s="50">
        <v>33</v>
      </c>
      <c r="K17" s="54">
        <v>0.25</v>
      </c>
      <c r="L17" s="53">
        <v>622</v>
      </c>
      <c r="M17" s="90">
        <f t="shared" si="4"/>
        <v>45841</v>
      </c>
      <c r="N17" s="50">
        <v>16</v>
      </c>
      <c r="O17" s="54">
        <v>0.73958333333333337</v>
      </c>
      <c r="P17" s="50">
        <v>14</v>
      </c>
      <c r="Q17" s="54">
        <v>0.73958333333333337</v>
      </c>
      <c r="R17" s="92">
        <f t="shared" si="5"/>
        <v>445</v>
      </c>
      <c r="S17" s="53">
        <v>221</v>
      </c>
      <c r="T17" s="53">
        <v>224</v>
      </c>
      <c r="U17" s="90">
        <f t="shared" si="6"/>
        <v>45841</v>
      </c>
      <c r="V17" s="50">
        <v>28</v>
      </c>
      <c r="W17" s="54">
        <v>0.19791666666666666</v>
      </c>
      <c r="X17" s="53">
        <v>507</v>
      </c>
    </row>
    <row r="18" spans="2:24" ht="15.75" thickBot="1" x14ac:dyDescent="0.25">
      <c r="B18" s="55">
        <f t="shared" si="7"/>
        <v>45842</v>
      </c>
      <c r="D18" s="50">
        <v>0</v>
      </c>
      <c r="E18" s="54">
        <v>0</v>
      </c>
      <c r="F18" s="53">
        <v>0</v>
      </c>
      <c r="G18" s="93">
        <f t="shared" si="0"/>
        <v>-504</v>
      </c>
      <c r="H18" s="53">
        <v>504</v>
      </c>
      <c r="I18" s="90">
        <f t="shared" si="3"/>
        <v>45842</v>
      </c>
      <c r="J18" s="50">
        <v>32</v>
      </c>
      <c r="K18" s="54">
        <v>0.34375</v>
      </c>
      <c r="L18" s="53">
        <v>623</v>
      </c>
      <c r="M18" s="90">
        <f t="shared" si="4"/>
        <v>45842</v>
      </c>
      <c r="N18" s="50">
        <v>17</v>
      </c>
      <c r="O18" s="54">
        <v>0.47916666666666669</v>
      </c>
      <c r="P18" s="50">
        <v>15</v>
      </c>
      <c r="Q18" s="54">
        <v>0.47916666666666669</v>
      </c>
      <c r="R18" s="51">
        <f t="shared" si="5"/>
        <v>453</v>
      </c>
      <c r="S18" s="53">
        <v>222</v>
      </c>
      <c r="T18" s="53">
        <v>231</v>
      </c>
      <c r="U18" s="90">
        <f t="shared" si="6"/>
        <v>45842</v>
      </c>
      <c r="V18" s="50">
        <v>31</v>
      </c>
      <c r="W18" s="54">
        <v>0.58333333333333337</v>
      </c>
      <c r="X18" s="53">
        <v>559</v>
      </c>
    </row>
    <row r="19" spans="2:24" ht="15.75" thickBot="1" x14ac:dyDescent="0.25">
      <c r="B19" s="90">
        <f t="shared" si="7"/>
        <v>45843</v>
      </c>
      <c r="D19" s="91">
        <v>0</v>
      </c>
      <c r="E19" s="89">
        <v>0</v>
      </c>
      <c r="F19" s="88">
        <v>0</v>
      </c>
      <c r="G19" s="93">
        <f t="shared" si="0"/>
        <v>-452</v>
      </c>
      <c r="H19" s="88">
        <v>452</v>
      </c>
      <c r="I19" s="90">
        <f t="shared" si="3"/>
        <v>45843</v>
      </c>
      <c r="J19" s="91">
        <v>31</v>
      </c>
      <c r="K19" s="89">
        <v>8.3333333333333329E-2</v>
      </c>
      <c r="L19" s="88">
        <v>590</v>
      </c>
      <c r="M19" s="90">
        <f t="shared" si="4"/>
        <v>45843</v>
      </c>
      <c r="N19" s="91">
        <v>16</v>
      </c>
      <c r="O19" s="89">
        <v>0.85416666666666663</v>
      </c>
      <c r="P19" s="91">
        <v>12</v>
      </c>
      <c r="Q19" s="89">
        <v>0.39583333333333331</v>
      </c>
      <c r="R19" s="92">
        <f t="shared" si="5"/>
        <v>406</v>
      </c>
      <c r="S19" s="88">
        <v>214</v>
      </c>
      <c r="T19" s="88">
        <v>192</v>
      </c>
      <c r="U19" s="90">
        <f t="shared" si="6"/>
        <v>45843</v>
      </c>
      <c r="V19" s="91">
        <v>25</v>
      </c>
      <c r="W19" s="89">
        <v>0.85416666666666663</v>
      </c>
      <c r="X19" s="88">
        <v>510</v>
      </c>
    </row>
    <row r="20" spans="2:24" ht="15.75" thickBot="1" x14ac:dyDescent="0.25">
      <c r="B20" s="90">
        <f t="shared" si="7"/>
        <v>45844</v>
      </c>
      <c r="D20" s="172">
        <v>0</v>
      </c>
      <c r="E20" s="173">
        <v>0</v>
      </c>
      <c r="F20" s="88">
        <v>0</v>
      </c>
      <c r="G20" s="93">
        <f t="shared" si="0"/>
        <v>-436</v>
      </c>
      <c r="H20" s="174">
        <v>436</v>
      </c>
      <c r="I20" s="90">
        <f t="shared" si="3"/>
        <v>45844</v>
      </c>
      <c r="J20" s="172">
        <v>31</v>
      </c>
      <c r="K20" s="173">
        <v>0.28472222222222221</v>
      </c>
      <c r="L20" s="174">
        <v>584</v>
      </c>
      <c r="M20" s="90">
        <f t="shared" si="4"/>
        <v>45844</v>
      </c>
      <c r="N20" s="172">
        <v>14</v>
      </c>
      <c r="O20" s="173">
        <v>0.65972222222222221</v>
      </c>
      <c r="P20" s="172">
        <v>9</v>
      </c>
      <c r="Q20" s="173">
        <v>0.37430555555555556</v>
      </c>
      <c r="R20" s="92">
        <f t="shared" si="5"/>
        <v>389</v>
      </c>
      <c r="S20" s="174">
        <v>224</v>
      </c>
      <c r="T20" s="174">
        <v>165</v>
      </c>
      <c r="U20" s="175">
        <f t="shared" si="6"/>
        <v>45844</v>
      </c>
      <c r="V20" s="172">
        <v>26</v>
      </c>
      <c r="W20" s="173">
        <v>0.27083333333333331</v>
      </c>
      <c r="X20" s="174">
        <v>440</v>
      </c>
    </row>
    <row r="21" spans="2:24" ht="15.75" thickBot="1" x14ac:dyDescent="0.25">
      <c r="B21" s="90">
        <f t="shared" si="7"/>
        <v>45845</v>
      </c>
      <c r="D21" s="172">
        <v>0</v>
      </c>
      <c r="E21" s="173">
        <v>0</v>
      </c>
      <c r="F21" s="88">
        <v>0</v>
      </c>
      <c r="G21" s="93">
        <f t="shared" si="0"/>
        <v>-479</v>
      </c>
      <c r="H21" s="88">
        <v>479</v>
      </c>
      <c r="I21" s="90">
        <f t="shared" si="3"/>
        <v>45845</v>
      </c>
      <c r="J21" s="91">
        <v>34</v>
      </c>
      <c r="K21" s="89">
        <v>0.36458333333333331</v>
      </c>
      <c r="L21" s="88">
        <v>634</v>
      </c>
      <c r="M21" s="90">
        <f t="shared" si="4"/>
        <v>45845</v>
      </c>
      <c r="N21" s="91">
        <v>17</v>
      </c>
      <c r="O21" s="89">
        <v>0.55208333333333337</v>
      </c>
      <c r="P21" s="91">
        <v>14</v>
      </c>
      <c r="Q21" s="89">
        <v>0.45833333333333331</v>
      </c>
      <c r="R21" s="92">
        <f t="shared" si="5"/>
        <v>448</v>
      </c>
      <c r="S21" s="88">
        <v>234</v>
      </c>
      <c r="T21" s="88">
        <v>214</v>
      </c>
      <c r="U21" s="90">
        <f t="shared" si="6"/>
        <v>45845</v>
      </c>
      <c r="V21" s="91">
        <v>25</v>
      </c>
      <c r="W21" s="89">
        <v>0.54166666666666663</v>
      </c>
      <c r="X21" s="88">
        <v>465</v>
      </c>
    </row>
    <row r="22" spans="2:24" ht="15.75" thickBot="1" x14ac:dyDescent="0.25">
      <c r="B22" s="90">
        <f t="shared" si="7"/>
        <v>45846</v>
      </c>
      <c r="D22" s="172">
        <v>0</v>
      </c>
      <c r="E22" s="89">
        <v>0</v>
      </c>
      <c r="F22" s="88">
        <v>0</v>
      </c>
      <c r="G22" s="93">
        <f t="shared" si="0"/>
        <v>-505</v>
      </c>
      <c r="H22" s="88">
        <v>505</v>
      </c>
      <c r="I22" s="90">
        <f t="shared" si="3"/>
        <v>45846</v>
      </c>
      <c r="J22" s="91">
        <v>32</v>
      </c>
      <c r="K22" s="89">
        <v>30</v>
      </c>
      <c r="L22" s="88">
        <v>637</v>
      </c>
      <c r="M22" s="90">
        <f t="shared" si="4"/>
        <v>45846</v>
      </c>
      <c r="N22" s="91">
        <v>15</v>
      </c>
      <c r="O22" s="89">
        <v>0.39583333333333331</v>
      </c>
      <c r="P22" s="91">
        <v>14</v>
      </c>
      <c r="Q22" s="89">
        <v>0.48958333333333331</v>
      </c>
      <c r="R22" s="92">
        <f t="shared" si="5"/>
        <v>464</v>
      </c>
      <c r="S22" s="88">
        <v>236</v>
      </c>
      <c r="T22" s="88">
        <v>228</v>
      </c>
      <c r="U22" s="90">
        <f t="shared" si="6"/>
        <v>45846</v>
      </c>
      <c r="V22" s="91">
        <v>28</v>
      </c>
      <c r="W22" s="89">
        <v>0.70833333333333337</v>
      </c>
      <c r="X22" s="88">
        <v>504</v>
      </c>
    </row>
    <row r="23" spans="2:24" ht="15.75" thickBot="1" x14ac:dyDescent="0.25">
      <c r="B23" s="90">
        <f t="shared" si="7"/>
        <v>45847</v>
      </c>
      <c r="D23" s="172">
        <v>0</v>
      </c>
      <c r="E23" s="89">
        <v>0</v>
      </c>
      <c r="F23" s="88">
        <v>0</v>
      </c>
      <c r="G23" s="93">
        <f t="shared" si="0"/>
        <v>-482</v>
      </c>
      <c r="H23" s="88">
        <v>482</v>
      </c>
      <c r="I23" s="90">
        <f t="shared" si="3"/>
        <v>45847</v>
      </c>
      <c r="J23" s="91">
        <v>38</v>
      </c>
      <c r="K23" s="89">
        <v>0.375</v>
      </c>
      <c r="L23" s="88">
        <v>595</v>
      </c>
      <c r="M23" s="90">
        <f t="shared" si="4"/>
        <v>45847</v>
      </c>
      <c r="N23" s="91">
        <v>16</v>
      </c>
      <c r="O23" s="89">
        <v>0.78125</v>
      </c>
      <c r="P23" s="91">
        <v>23</v>
      </c>
      <c r="Q23" s="89">
        <v>0.42708333333333331</v>
      </c>
      <c r="R23" s="92">
        <f t="shared" si="5"/>
        <v>458</v>
      </c>
      <c r="S23" s="88">
        <v>233</v>
      </c>
      <c r="T23" s="88">
        <v>225</v>
      </c>
      <c r="U23" s="90">
        <f t="shared" si="6"/>
        <v>45847</v>
      </c>
      <c r="V23" s="91">
        <v>28</v>
      </c>
      <c r="W23" s="89">
        <v>0.27083333333333331</v>
      </c>
      <c r="X23" s="88">
        <v>478</v>
      </c>
    </row>
    <row r="24" spans="2:24" ht="15.75" thickBot="1" x14ac:dyDescent="0.25">
      <c r="B24" s="90">
        <f t="shared" si="7"/>
        <v>45848</v>
      </c>
      <c r="D24" s="172">
        <v>0</v>
      </c>
      <c r="E24" s="89">
        <v>0</v>
      </c>
      <c r="F24" s="88">
        <v>0</v>
      </c>
      <c r="G24" s="93">
        <f t="shared" si="0"/>
        <v>-523</v>
      </c>
      <c r="H24" s="88">
        <v>523</v>
      </c>
      <c r="I24" s="90">
        <f t="shared" si="3"/>
        <v>45848</v>
      </c>
      <c r="J24" s="91">
        <v>30</v>
      </c>
      <c r="K24" s="89">
        <v>0.36458333333333331</v>
      </c>
      <c r="L24" s="88">
        <v>616</v>
      </c>
      <c r="M24" s="90">
        <f t="shared" si="4"/>
        <v>45848</v>
      </c>
      <c r="N24" s="91">
        <v>14</v>
      </c>
      <c r="O24" s="89">
        <v>0.58333333333333337</v>
      </c>
      <c r="P24" s="91">
        <v>15</v>
      </c>
      <c r="Q24" s="89">
        <v>0.55208333333333337</v>
      </c>
      <c r="R24" s="92">
        <f t="shared" si="5"/>
        <v>463</v>
      </c>
      <c r="S24" s="88">
        <v>233</v>
      </c>
      <c r="T24" s="88">
        <v>230</v>
      </c>
      <c r="U24" s="90">
        <f t="shared" si="6"/>
        <v>45848</v>
      </c>
      <c r="V24" s="91">
        <v>31</v>
      </c>
      <c r="W24" s="89">
        <v>0.4375</v>
      </c>
      <c r="X24" s="88">
        <v>511</v>
      </c>
    </row>
    <row r="25" spans="2:24" ht="15.75" thickBot="1" x14ac:dyDescent="0.25">
      <c r="B25" s="90">
        <f t="shared" si="7"/>
        <v>45849</v>
      </c>
      <c r="D25" s="172">
        <v>0</v>
      </c>
      <c r="E25" s="89">
        <v>0</v>
      </c>
      <c r="F25" s="88">
        <v>0</v>
      </c>
      <c r="G25" s="93">
        <f t="shared" si="0"/>
        <v>-583</v>
      </c>
      <c r="H25" s="88">
        <v>583</v>
      </c>
      <c r="I25" s="90">
        <f t="shared" si="3"/>
        <v>45849</v>
      </c>
      <c r="J25" s="91">
        <v>37</v>
      </c>
      <c r="K25" s="89">
        <v>0.22500000000000001</v>
      </c>
      <c r="L25" s="88">
        <v>612</v>
      </c>
      <c r="M25" s="90">
        <f t="shared" si="4"/>
        <v>45849</v>
      </c>
      <c r="N25" s="91">
        <v>21</v>
      </c>
      <c r="O25" s="89">
        <v>0.46180555555555558</v>
      </c>
      <c r="P25" s="91">
        <v>23</v>
      </c>
      <c r="Q25" s="89">
        <v>0.2361111111111111</v>
      </c>
      <c r="R25" s="92">
        <f t="shared" si="5"/>
        <v>458</v>
      </c>
      <c r="S25" s="88">
        <v>227</v>
      </c>
      <c r="T25" s="88">
        <v>231</v>
      </c>
      <c r="U25" s="90">
        <f t="shared" si="6"/>
        <v>45849</v>
      </c>
      <c r="V25" s="91">
        <v>31</v>
      </c>
      <c r="W25" s="89">
        <v>0.42708333333333331</v>
      </c>
      <c r="X25" s="88">
        <v>537</v>
      </c>
    </row>
    <row r="26" spans="2:24" ht="15.75" thickBot="1" x14ac:dyDescent="0.25">
      <c r="B26" s="90">
        <f t="shared" si="7"/>
        <v>45850</v>
      </c>
      <c r="D26" s="172">
        <v>0</v>
      </c>
      <c r="E26" s="89">
        <v>0</v>
      </c>
      <c r="F26" s="88">
        <v>0</v>
      </c>
      <c r="G26" s="93">
        <f t="shared" si="0"/>
        <v>-538</v>
      </c>
      <c r="H26" s="88">
        <v>538</v>
      </c>
      <c r="I26" s="90">
        <f t="shared" si="3"/>
        <v>45850</v>
      </c>
      <c r="J26" s="91">
        <v>36</v>
      </c>
      <c r="K26" s="89">
        <v>0.31458333333333333</v>
      </c>
      <c r="L26" s="88">
        <v>596</v>
      </c>
      <c r="M26" s="90">
        <f t="shared" si="4"/>
        <v>45850</v>
      </c>
      <c r="N26" s="91">
        <v>18</v>
      </c>
      <c r="O26" s="89">
        <v>0.87708333333333333</v>
      </c>
      <c r="P26" s="91">
        <v>24</v>
      </c>
      <c r="Q26" s="89">
        <v>0.28263888888888888</v>
      </c>
      <c r="R26" s="92">
        <f t="shared" ref="R26:R44" si="8">S26+T26</f>
        <v>412</v>
      </c>
      <c r="S26" s="88">
        <v>189</v>
      </c>
      <c r="T26" s="88">
        <v>223</v>
      </c>
      <c r="U26" s="90">
        <f t="shared" si="6"/>
        <v>45850</v>
      </c>
      <c r="V26" s="91">
        <v>28</v>
      </c>
      <c r="W26" s="89">
        <v>0.85347222222222219</v>
      </c>
      <c r="X26" s="88">
        <v>490</v>
      </c>
    </row>
    <row r="27" spans="2:24" ht="15.75" thickBot="1" x14ac:dyDescent="0.25">
      <c r="B27" s="90">
        <f t="shared" si="7"/>
        <v>45851</v>
      </c>
      <c r="D27" s="172">
        <v>0</v>
      </c>
      <c r="E27" s="89">
        <v>0</v>
      </c>
      <c r="F27" s="88">
        <v>0</v>
      </c>
      <c r="G27" s="93">
        <f t="shared" si="0"/>
        <v>-513</v>
      </c>
      <c r="H27" s="88">
        <v>513</v>
      </c>
      <c r="I27" s="90">
        <f t="shared" si="3"/>
        <v>45851</v>
      </c>
      <c r="J27" s="91">
        <v>31</v>
      </c>
      <c r="K27" s="89">
        <v>0.6875</v>
      </c>
      <c r="L27" s="88">
        <v>606</v>
      </c>
      <c r="M27" s="90">
        <f t="shared" si="4"/>
        <v>45851</v>
      </c>
      <c r="N27" s="91">
        <v>20</v>
      </c>
      <c r="O27" s="89">
        <v>0.47916666666666669</v>
      </c>
      <c r="P27" s="91">
        <v>9</v>
      </c>
      <c r="Q27" s="89">
        <v>0.52083333333333337</v>
      </c>
      <c r="R27" s="92">
        <f t="shared" si="8"/>
        <v>390</v>
      </c>
      <c r="S27" s="88">
        <v>223</v>
      </c>
      <c r="T27" s="88">
        <v>167</v>
      </c>
      <c r="U27" s="90">
        <f t="shared" si="6"/>
        <v>45851</v>
      </c>
      <c r="V27" s="91">
        <v>26</v>
      </c>
      <c r="W27" s="89">
        <v>0.78125</v>
      </c>
      <c r="X27" s="88">
        <v>510</v>
      </c>
    </row>
    <row r="28" spans="2:24" ht="15.75" thickBot="1" x14ac:dyDescent="0.25">
      <c r="B28" s="90">
        <f t="shared" si="7"/>
        <v>45852</v>
      </c>
      <c r="D28" s="172">
        <v>0</v>
      </c>
      <c r="E28" s="89">
        <v>0</v>
      </c>
      <c r="F28" s="88">
        <v>0</v>
      </c>
      <c r="G28" s="93">
        <f t="shared" si="0"/>
        <v>-545</v>
      </c>
      <c r="H28" s="88">
        <v>545</v>
      </c>
      <c r="I28" s="90">
        <f t="shared" si="3"/>
        <v>45852</v>
      </c>
      <c r="J28" s="91">
        <v>32</v>
      </c>
      <c r="K28" s="89">
        <v>0.38541666666666669</v>
      </c>
      <c r="L28" s="88">
        <v>625</v>
      </c>
      <c r="M28" s="90">
        <f t="shared" si="4"/>
        <v>45852</v>
      </c>
      <c r="N28" s="91">
        <v>16</v>
      </c>
      <c r="O28" s="89">
        <v>0.67708333333333337</v>
      </c>
      <c r="P28" s="91">
        <v>15</v>
      </c>
      <c r="Q28" s="89">
        <v>0.58333333333333337</v>
      </c>
      <c r="R28" s="92">
        <f t="shared" si="8"/>
        <v>452</v>
      </c>
      <c r="S28" s="88">
        <v>232</v>
      </c>
      <c r="T28" s="88">
        <v>220</v>
      </c>
      <c r="U28" s="90">
        <f t="shared" si="6"/>
        <v>45852</v>
      </c>
      <c r="V28" s="91">
        <v>29</v>
      </c>
      <c r="W28" s="89">
        <v>0.35416666666666669</v>
      </c>
      <c r="X28" s="88">
        <v>468</v>
      </c>
    </row>
    <row r="29" spans="2:24" ht="15.75" thickBot="1" x14ac:dyDescent="0.25">
      <c r="B29" s="90">
        <f t="shared" si="7"/>
        <v>45853</v>
      </c>
      <c r="D29" s="172">
        <v>120</v>
      </c>
      <c r="E29" s="89">
        <v>0.55208333333333337</v>
      </c>
      <c r="F29" s="88">
        <v>0</v>
      </c>
      <c r="G29" s="93">
        <f t="shared" si="0"/>
        <v>-553</v>
      </c>
      <c r="H29" s="88">
        <v>553</v>
      </c>
      <c r="I29" s="90">
        <f t="shared" si="3"/>
        <v>45853</v>
      </c>
      <c r="J29" s="91">
        <v>34</v>
      </c>
      <c r="K29" s="89">
        <v>2.0833333333333332E-2</v>
      </c>
      <c r="L29" s="88">
        <v>633</v>
      </c>
      <c r="M29" s="90">
        <f t="shared" si="4"/>
        <v>45853</v>
      </c>
      <c r="N29" s="91">
        <v>18</v>
      </c>
      <c r="O29" s="89">
        <v>0.375</v>
      </c>
      <c r="P29" s="91">
        <v>14</v>
      </c>
      <c r="Q29" s="89">
        <v>0.54166666666666663</v>
      </c>
      <c r="R29" s="92">
        <f t="shared" si="8"/>
        <v>454</v>
      </c>
      <c r="S29" s="88">
        <v>234</v>
      </c>
      <c r="T29" s="88">
        <v>220</v>
      </c>
      <c r="U29" s="90">
        <f t="shared" si="6"/>
        <v>45853</v>
      </c>
      <c r="V29" s="91">
        <v>30</v>
      </c>
      <c r="W29" s="89">
        <v>0.92708333333333337</v>
      </c>
      <c r="X29" s="88">
        <v>482</v>
      </c>
    </row>
    <row r="30" spans="2:24" ht="15.75" thickBot="1" x14ac:dyDescent="0.25">
      <c r="B30" s="90">
        <f t="shared" si="7"/>
        <v>45854</v>
      </c>
      <c r="D30" s="172">
        <v>72.73</v>
      </c>
      <c r="E30" s="89">
        <v>0.19791666666666666</v>
      </c>
      <c r="F30" s="88">
        <v>0</v>
      </c>
      <c r="G30" s="93">
        <f t="shared" si="0"/>
        <v>-483.82</v>
      </c>
      <c r="H30" s="88">
        <v>483.82</v>
      </c>
      <c r="I30" s="90">
        <f t="shared" si="3"/>
        <v>45854</v>
      </c>
      <c r="J30" s="91">
        <v>31</v>
      </c>
      <c r="K30" s="89">
        <v>0.3125</v>
      </c>
      <c r="L30" s="88">
        <v>601.1</v>
      </c>
      <c r="M30" s="90">
        <f t="shared" si="4"/>
        <v>45854</v>
      </c>
      <c r="N30" s="91">
        <v>16.899999999999999</v>
      </c>
      <c r="O30" s="89">
        <v>0.71875</v>
      </c>
      <c r="P30" s="91">
        <v>10.31</v>
      </c>
      <c r="Q30" s="89">
        <v>0.85416666666666663</v>
      </c>
      <c r="R30" s="92">
        <f t="shared" si="8"/>
        <v>410.62</v>
      </c>
      <c r="S30" s="88">
        <v>224.15</v>
      </c>
      <c r="T30" s="88">
        <v>186.47</v>
      </c>
      <c r="U30" s="90">
        <f t="shared" si="6"/>
        <v>45854</v>
      </c>
      <c r="V30" s="91">
        <v>26</v>
      </c>
      <c r="W30" s="89">
        <v>0.88541666666666663</v>
      </c>
      <c r="X30" s="88">
        <v>461.7</v>
      </c>
    </row>
    <row r="31" spans="2:24" ht="15.75" thickBot="1" x14ac:dyDescent="0.25">
      <c r="B31" s="90">
        <f t="shared" si="7"/>
        <v>45855</v>
      </c>
      <c r="D31" s="172">
        <v>106</v>
      </c>
      <c r="E31" s="89">
        <v>0.53125</v>
      </c>
      <c r="F31" s="88">
        <v>0</v>
      </c>
      <c r="G31" s="93">
        <f t="shared" si="0"/>
        <v>-512.49</v>
      </c>
      <c r="H31" s="88">
        <v>512.49</v>
      </c>
      <c r="I31" s="90">
        <f t="shared" si="3"/>
        <v>45855</v>
      </c>
      <c r="J31" s="91">
        <v>32.340000000000003</v>
      </c>
      <c r="K31" s="89">
        <v>0.9375</v>
      </c>
      <c r="L31" s="88">
        <v>629.07000000000005</v>
      </c>
      <c r="M31" s="90">
        <f t="shared" si="4"/>
        <v>45855</v>
      </c>
      <c r="N31" s="91">
        <v>16.95</v>
      </c>
      <c r="O31" s="89">
        <v>0.76041666666666663</v>
      </c>
      <c r="P31" s="91">
        <v>13.56</v>
      </c>
      <c r="Q31" s="89">
        <v>0.47916666666666669</v>
      </c>
      <c r="R31" s="92">
        <f t="shared" si="8"/>
        <v>445.32000000000005</v>
      </c>
      <c r="S31" s="88">
        <v>232.74</v>
      </c>
      <c r="T31" s="88">
        <v>212.58</v>
      </c>
      <c r="U31" s="90">
        <f t="shared" si="6"/>
        <v>45855</v>
      </c>
      <c r="V31" s="91">
        <v>30.87</v>
      </c>
      <c r="W31" s="89">
        <v>0.83333333333333337</v>
      </c>
      <c r="X31" s="88">
        <v>474.42</v>
      </c>
    </row>
    <row r="32" spans="2:24" ht="15.75" thickBot="1" x14ac:dyDescent="0.25">
      <c r="B32" s="90">
        <f t="shared" si="7"/>
        <v>45856</v>
      </c>
      <c r="D32" s="172">
        <v>90</v>
      </c>
      <c r="E32" s="89">
        <v>0.65625</v>
      </c>
      <c r="F32" s="88">
        <v>0</v>
      </c>
      <c r="G32" s="93">
        <f t="shared" si="0"/>
        <v>-507</v>
      </c>
      <c r="H32" s="88">
        <v>507</v>
      </c>
      <c r="I32" s="90">
        <f t="shared" si="3"/>
        <v>45856</v>
      </c>
      <c r="J32" s="91">
        <v>35</v>
      </c>
      <c r="K32" s="89">
        <v>0.92708333333333337</v>
      </c>
      <c r="L32" s="88">
        <v>616</v>
      </c>
      <c r="M32" s="90">
        <f t="shared" si="4"/>
        <v>45856</v>
      </c>
      <c r="N32" s="91">
        <v>15</v>
      </c>
      <c r="O32" s="89">
        <v>0.35416666666666669</v>
      </c>
      <c r="P32" s="91">
        <v>14</v>
      </c>
      <c r="Q32" s="89">
        <v>0.42708333333333331</v>
      </c>
      <c r="R32" s="92">
        <f t="shared" si="8"/>
        <v>454</v>
      </c>
      <c r="S32" s="88">
        <v>233</v>
      </c>
      <c r="T32" s="88">
        <v>221</v>
      </c>
      <c r="U32" s="90">
        <f t="shared" si="6"/>
        <v>45856</v>
      </c>
      <c r="V32" s="91">
        <v>26</v>
      </c>
      <c r="W32" s="89">
        <v>7.2916666666666671E-2</v>
      </c>
      <c r="X32" s="88">
        <v>455</v>
      </c>
    </row>
    <row r="33" spans="2:24" ht="15.75" thickBot="1" x14ac:dyDescent="0.25">
      <c r="B33" s="90">
        <f t="shared" si="7"/>
        <v>45857</v>
      </c>
      <c r="D33" s="172">
        <v>80</v>
      </c>
      <c r="E33" s="89">
        <v>9.375E-2</v>
      </c>
      <c r="F33" s="88">
        <v>0</v>
      </c>
      <c r="G33" s="93">
        <f t="shared" si="0"/>
        <v>-457</v>
      </c>
      <c r="H33" s="88">
        <v>457</v>
      </c>
      <c r="I33" s="90">
        <f t="shared" si="3"/>
        <v>45857</v>
      </c>
      <c r="J33" s="91">
        <v>31</v>
      </c>
      <c r="K33" s="89">
        <v>5.2083333333333336E-2</v>
      </c>
      <c r="L33" s="88">
        <v>533</v>
      </c>
      <c r="M33" s="90">
        <f t="shared" si="4"/>
        <v>45857</v>
      </c>
      <c r="N33" s="91">
        <v>19</v>
      </c>
      <c r="O33" s="89">
        <v>0.76041666666666663</v>
      </c>
      <c r="P33" s="91">
        <v>12</v>
      </c>
      <c r="Q33" s="89">
        <v>0.59375</v>
      </c>
      <c r="R33" s="92">
        <f t="shared" si="8"/>
        <v>387</v>
      </c>
      <c r="S33" s="88">
        <v>211</v>
      </c>
      <c r="T33" s="88">
        <v>176</v>
      </c>
      <c r="U33" s="90">
        <f t="shared" si="6"/>
        <v>45857</v>
      </c>
      <c r="V33" s="91">
        <v>28</v>
      </c>
      <c r="W33" s="89">
        <v>0.76041666666666663</v>
      </c>
      <c r="X33" s="88">
        <v>476</v>
      </c>
    </row>
    <row r="34" spans="2:24" ht="15.75" thickBot="1" x14ac:dyDescent="0.25">
      <c r="B34" s="90">
        <f t="shared" si="7"/>
        <v>45858</v>
      </c>
      <c r="D34" s="172">
        <v>62</v>
      </c>
      <c r="E34" s="89">
        <v>2.0833333333333332E-2</v>
      </c>
      <c r="F34" s="88">
        <v>0</v>
      </c>
      <c r="G34" s="93">
        <f t="shared" si="0"/>
        <v>-525</v>
      </c>
      <c r="H34" s="88">
        <v>525</v>
      </c>
      <c r="I34" s="90">
        <f t="shared" si="3"/>
        <v>45858</v>
      </c>
      <c r="J34" s="91">
        <v>33</v>
      </c>
      <c r="K34" s="89">
        <v>0.47916666666666669</v>
      </c>
      <c r="L34" s="88">
        <v>635</v>
      </c>
      <c r="M34" s="90">
        <f t="shared" si="4"/>
        <v>45858</v>
      </c>
      <c r="N34" s="91">
        <v>17</v>
      </c>
      <c r="O34" s="89">
        <v>0.64583333333333337</v>
      </c>
      <c r="P34" s="91">
        <v>10</v>
      </c>
      <c r="Q34" s="89">
        <v>0.82291666666666663</v>
      </c>
      <c r="R34" s="92">
        <f t="shared" si="8"/>
        <v>436</v>
      </c>
      <c r="S34" s="88">
        <v>243</v>
      </c>
      <c r="T34" s="88">
        <v>193</v>
      </c>
      <c r="U34" s="90">
        <f t="shared" si="6"/>
        <v>45858</v>
      </c>
      <c r="V34" s="91">
        <v>27</v>
      </c>
      <c r="W34" s="89">
        <v>0.80208333333333337</v>
      </c>
      <c r="X34" s="88">
        <v>523</v>
      </c>
    </row>
    <row r="35" spans="2:24" ht="15.75" thickBot="1" x14ac:dyDescent="0.25">
      <c r="B35" s="90">
        <f t="shared" si="7"/>
        <v>45859</v>
      </c>
      <c r="D35" s="172">
        <v>91</v>
      </c>
      <c r="E35" s="89">
        <v>0.47916666666666669</v>
      </c>
      <c r="F35" s="88">
        <v>0</v>
      </c>
      <c r="G35" s="93">
        <f t="shared" si="0"/>
        <v>-477</v>
      </c>
      <c r="H35" s="88">
        <v>477</v>
      </c>
      <c r="I35" s="90">
        <f t="shared" si="3"/>
        <v>45859</v>
      </c>
      <c r="J35" s="91">
        <v>31</v>
      </c>
      <c r="K35" s="89">
        <v>0.32291666666666669</v>
      </c>
      <c r="L35" s="88">
        <v>604</v>
      </c>
      <c r="M35" s="90">
        <f t="shared" si="4"/>
        <v>45859</v>
      </c>
      <c r="N35" s="91">
        <v>18</v>
      </c>
      <c r="O35" s="89">
        <v>0.90625</v>
      </c>
      <c r="P35" s="91">
        <v>13</v>
      </c>
      <c r="Q35" s="89">
        <v>0.36458333333333331</v>
      </c>
      <c r="R35" s="92">
        <f t="shared" si="8"/>
        <v>434</v>
      </c>
      <c r="S35" s="88">
        <v>227</v>
      </c>
      <c r="T35" s="88">
        <v>207</v>
      </c>
      <c r="U35" s="90">
        <f t="shared" si="6"/>
        <v>45859</v>
      </c>
      <c r="V35" s="91">
        <v>28</v>
      </c>
      <c r="W35" s="89">
        <v>0.36458333333333331</v>
      </c>
      <c r="X35" s="88">
        <v>462</v>
      </c>
    </row>
    <row r="36" spans="2:24" ht="15.75" thickBot="1" x14ac:dyDescent="0.25">
      <c r="B36" s="90">
        <f t="shared" si="7"/>
        <v>45860</v>
      </c>
      <c r="D36" s="172">
        <v>125</v>
      </c>
      <c r="E36" s="89">
        <v>0.4236111111111111</v>
      </c>
      <c r="F36" s="88">
        <v>0</v>
      </c>
      <c r="G36" s="93">
        <f t="shared" si="0"/>
        <v>-449</v>
      </c>
      <c r="H36" s="88">
        <v>449</v>
      </c>
      <c r="I36" s="90">
        <f t="shared" si="3"/>
        <v>45860</v>
      </c>
      <c r="J36" s="91">
        <v>35</v>
      </c>
      <c r="K36" s="89" t="s">
        <v>74</v>
      </c>
      <c r="L36" s="88">
        <v>530</v>
      </c>
      <c r="M36" s="90">
        <f t="shared" si="4"/>
        <v>45860</v>
      </c>
      <c r="N36" s="91">
        <v>24</v>
      </c>
      <c r="O36" s="89">
        <v>0.49027777777777776</v>
      </c>
      <c r="P36" s="91">
        <v>15</v>
      </c>
      <c r="Q36" s="89">
        <v>0.45833333333333331</v>
      </c>
      <c r="R36" s="92">
        <f t="shared" si="8"/>
        <v>470</v>
      </c>
      <c r="S36" s="88">
        <v>210</v>
      </c>
      <c r="T36" s="88">
        <v>260</v>
      </c>
      <c r="U36" s="90">
        <f t="shared" si="6"/>
        <v>45860</v>
      </c>
      <c r="V36" s="91">
        <v>29</v>
      </c>
      <c r="W36" s="89">
        <v>6.5972222222222224E-2</v>
      </c>
      <c r="X36" s="88">
        <v>579</v>
      </c>
    </row>
    <row r="37" spans="2:24" ht="15.75" thickBot="1" x14ac:dyDescent="0.25">
      <c r="B37" s="90">
        <f t="shared" si="7"/>
        <v>45861</v>
      </c>
      <c r="D37" s="172">
        <v>99</v>
      </c>
      <c r="E37" s="89">
        <v>0.99236111111111114</v>
      </c>
      <c r="F37" s="88">
        <v>0</v>
      </c>
      <c r="G37" s="93">
        <f t="shared" si="0"/>
        <v>-504</v>
      </c>
      <c r="H37" s="88">
        <v>504</v>
      </c>
      <c r="I37" s="90">
        <f t="shared" si="3"/>
        <v>45861</v>
      </c>
      <c r="J37" s="91">
        <v>95</v>
      </c>
      <c r="K37" s="89">
        <v>0.55069444444444449</v>
      </c>
      <c r="L37" s="88">
        <v>607</v>
      </c>
      <c r="M37" s="90">
        <f t="shared" si="4"/>
        <v>45861</v>
      </c>
      <c r="N37" s="91">
        <v>19</v>
      </c>
      <c r="O37" s="89">
        <v>0.40277777777777779</v>
      </c>
      <c r="P37" s="91">
        <v>17</v>
      </c>
      <c r="Q37" s="89">
        <v>0.66111111111111109</v>
      </c>
      <c r="R37" s="92">
        <f t="shared" si="8"/>
        <v>459</v>
      </c>
      <c r="S37" s="88">
        <v>234</v>
      </c>
      <c r="T37" s="88">
        <v>225</v>
      </c>
      <c r="U37" s="90">
        <f t="shared" si="6"/>
        <v>45861</v>
      </c>
      <c r="V37" s="91">
        <v>31</v>
      </c>
      <c r="W37" s="89">
        <v>0.15</v>
      </c>
      <c r="X37" s="88">
        <v>531</v>
      </c>
    </row>
    <row r="38" spans="2:24" ht="15.75" thickBot="1" x14ac:dyDescent="0.25">
      <c r="B38" s="90">
        <f t="shared" si="7"/>
        <v>45862</v>
      </c>
      <c r="D38" s="172">
        <v>100</v>
      </c>
      <c r="E38" s="89">
        <v>1.0416666666666666E-2</v>
      </c>
      <c r="F38" s="88">
        <v>0</v>
      </c>
      <c r="G38" s="93">
        <f t="shared" si="0"/>
        <v>-496</v>
      </c>
      <c r="H38" s="88">
        <v>496</v>
      </c>
      <c r="I38" s="90">
        <f t="shared" si="3"/>
        <v>45862</v>
      </c>
      <c r="J38" s="91">
        <v>31</v>
      </c>
      <c r="K38" s="89">
        <v>0.875</v>
      </c>
      <c r="L38" s="88">
        <v>607</v>
      </c>
      <c r="M38" s="90">
        <f t="shared" si="4"/>
        <v>45862</v>
      </c>
      <c r="N38" s="91">
        <v>19</v>
      </c>
      <c r="O38" s="89">
        <v>0.79166666666666663</v>
      </c>
      <c r="P38" s="91">
        <v>14</v>
      </c>
      <c r="Q38" s="89">
        <v>0.51041666666666663</v>
      </c>
      <c r="R38" s="92">
        <f t="shared" si="8"/>
        <v>456</v>
      </c>
      <c r="S38" s="88">
        <v>234</v>
      </c>
      <c r="T38" s="88">
        <v>222</v>
      </c>
      <c r="U38" s="90">
        <f t="shared" si="6"/>
        <v>45862</v>
      </c>
      <c r="V38" s="91">
        <v>29</v>
      </c>
      <c r="W38" s="89">
        <v>0.53125</v>
      </c>
      <c r="X38" s="88">
        <v>502</v>
      </c>
    </row>
    <row r="39" spans="2:24" ht="15.75" thickBot="1" x14ac:dyDescent="0.25">
      <c r="B39" s="90">
        <f t="shared" si="7"/>
        <v>45863</v>
      </c>
      <c r="D39" s="172">
        <v>93</v>
      </c>
      <c r="E39" s="89">
        <v>0.375</v>
      </c>
      <c r="F39" s="88">
        <v>0</v>
      </c>
      <c r="G39" s="93">
        <f t="shared" si="0"/>
        <v>-526</v>
      </c>
      <c r="H39" s="88">
        <v>526</v>
      </c>
      <c r="I39" s="90">
        <f t="shared" si="3"/>
        <v>45863</v>
      </c>
      <c r="J39" s="91">
        <v>31</v>
      </c>
      <c r="K39" s="89">
        <v>0.39583333333333331</v>
      </c>
      <c r="L39" s="88">
        <v>607</v>
      </c>
      <c r="M39" s="90">
        <f t="shared" si="4"/>
        <v>45863</v>
      </c>
      <c r="N39" s="91">
        <v>20</v>
      </c>
      <c r="O39" s="89">
        <v>0.29166666666666669</v>
      </c>
      <c r="P39" s="91">
        <v>13</v>
      </c>
      <c r="Q39" s="89">
        <v>0.46875</v>
      </c>
      <c r="R39" s="92">
        <f t="shared" si="8"/>
        <v>453</v>
      </c>
      <c r="S39" s="88">
        <v>232</v>
      </c>
      <c r="T39" s="88">
        <v>221</v>
      </c>
      <c r="U39" s="90">
        <f t="shared" si="6"/>
        <v>45863</v>
      </c>
      <c r="V39" s="91">
        <v>27</v>
      </c>
      <c r="W39" s="89">
        <v>5.2083333333333336E-2</v>
      </c>
      <c r="X39" s="88">
        <v>481</v>
      </c>
    </row>
    <row r="40" spans="2:24" ht="15.75" thickBot="1" x14ac:dyDescent="0.25">
      <c r="B40" s="90">
        <f t="shared" si="7"/>
        <v>45864</v>
      </c>
      <c r="D40" s="172">
        <v>70</v>
      </c>
      <c r="E40" s="173">
        <v>0.21875</v>
      </c>
      <c r="F40" s="88">
        <v>0</v>
      </c>
      <c r="G40" s="93">
        <f t="shared" si="0"/>
        <v>-492</v>
      </c>
      <c r="H40" s="174">
        <v>492</v>
      </c>
      <c r="I40" s="175">
        <f t="shared" si="3"/>
        <v>45864</v>
      </c>
      <c r="J40" s="172">
        <v>29</v>
      </c>
      <c r="K40" s="173">
        <v>0.79166666666666663</v>
      </c>
      <c r="L40" s="174">
        <v>577</v>
      </c>
      <c r="M40" s="175">
        <f t="shared" si="4"/>
        <v>45864</v>
      </c>
      <c r="N40" s="172">
        <v>19</v>
      </c>
      <c r="O40" s="173">
        <v>0.55208333333333337</v>
      </c>
      <c r="P40" s="172">
        <v>12</v>
      </c>
      <c r="Q40" s="173">
        <v>0.3125</v>
      </c>
      <c r="R40" s="92">
        <f t="shared" si="8"/>
        <v>410</v>
      </c>
      <c r="S40" s="174">
        <v>228</v>
      </c>
      <c r="T40" s="174">
        <v>182</v>
      </c>
      <c r="U40" s="175">
        <f t="shared" si="6"/>
        <v>45864</v>
      </c>
      <c r="V40" s="172">
        <v>27</v>
      </c>
      <c r="W40" s="173">
        <v>0.11458333333333333</v>
      </c>
      <c r="X40" s="174">
        <v>459</v>
      </c>
    </row>
    <row r="41" spans="2:24" ht="15.75" thickBot="1" x14ac:dyDescent="0.25">
      <c r="B41" s="90">
        <f t="shared" si="7"/>
        <v>45865</v>
      </c>
      <c r="D41" s="172">
        <v>73</v>
      </c>
      <c r="E41" s="89">
        <v>0.82291666666666663</v>
      </c>
      <c r="F41" s="88">
        <v>0</v>
      </c>
      <c r="G41" s="93">
        <f t="shared" si="0"/>
        <v>-468</v>
      </c>
      <c r="H41" s="88">
        <v>468</v>
      </c>
      <c r="I41" s="90">
        <f t="shared" si="3"/>
        <v>45865</v>
      </c>
      <c r="J41" s="91">
        <v>30</v>
      </c>
      <c r="K41" s="89">
        <v>0.16666666666666666</v>
      </c>
      <c r="L41" s="88">
        <v>582</v>
      </c>
      <c r="M41" s="90">
        <f t="shared" si="4"/>
        <v>45865</v>
      </c>
      <c r="N41" s="91">
        <v>16</v>
      </c>
      <c r="O41" s="89">
        <v>0.66666666666666663</v>
      </c>
      <c r="P41" s="91">
        <v>8</v>
      </c>
      <c r="Q41" s="89">
        <v>0.27083333333333331</v>
      </c>
      <c r="R41" s="92">
        <f t="shared" si="8"/>
        <v>385</v>
      </c>
      <c r="S41" s="88">
        <v>225</v>
      </c>
      <c r="T41" s="88">
        <v>160</v>
      </c>
      <c r="U41" s="90">
        <f t="shared" si="6"/>
        <v>45865</v>
      </c>
      <c r="V41" s="91">
        <v>26</v>
      </c>
      <c r="W41" s="89">
        <v>0.97222222222222221</v>
      </c>
      <c r="X41" s="88">
        <v>454</v>
      </c>
    </row>
    <row r="42" spans="2:24" ht="15.75" thickBot="1" x14ac:dyDescent="0.25">
      <c r="B42" s="90">
        <f t="shared" si="7"/>
        <v>45866</v>
      </c>
      <c r="D42" s="172">
        <v>121</v>
      </c>
      <c r="E42" s="89">
        <v>0.4375</v>
      </c>
      <c r="F42" s="88">
        <v>0</v>
      </c>
      <c r="G42" s="93">
        <f t="shared" si="0"/>
        <v>-526.83000000000004</v>
      </c>
      <c r="H42" s="88">
        <v>526.83000000000004</v>
      </c>
      <c r="I42" s="90">
        <f t="shared" si="3"/>
        <v>45866</v>
      </c>
      <c r="J42" s="91">
        <v>32.659999999999997</v>
      </c>
      <c r="K42" s="89">
        <v>0.61458333333333337</v>
      </c>
      <c r="L42" s="88">
        <v>616.34</v>
      </c>
      <c r="M42" s="90">
        <f t="shared" si="4"/>
        <v>45866</v>
      </c>
      <c r="N42" s="91">
        <v>18.37</v>
      </c>
      <c r="O42" s="89">
        <v>0.9375</v>
      </c>
      <c r="P42" s="91">
        <v>14.29</v>
      </c>
      <c r="Q42" s="89">
        <v>0.4375</v>
      </c>
      <c r="R42" s="92">
        <f t="shared" si="8"/>
        <v>449.82000000000005</v>
      </c>
      <c r="S42" s="88">
        <v>234.02</v>
      </c>
      <c r="T42" s="88">
        <v>215.8</v>
      </c>
      <c r="U42" s="90">
        <f t="shared" si="6"/>
        <v>45866</v>
      </c>
      <c r="V42" s="91">
        <v>26</v>
      </c>
      <c r="W42" s="89">
        <v>0.83333333333333337</v>
      </c>
      <c r="X42" s="88">
        <v>474.88</v>
      </c>
    </row>
    <row r="43" spans="2:24" ht="15.75" thickBot="1" x14ac:dyDescent="0.25">
      <c r="B43" s="90">
        <f t="shared" si="7"/>
        <v>45867</v>
      </c>
      <c r="D43" s="172">
        <v>164.99</v>
      </c>
      <c r="E43" s="89">
        <v>0.5625</v>
      </c>
      <c r="F43" s="88">
        <v>0</v>
      </c>
      <c r="G43" s="93">
        <f t="shared" si="0"/>
        <v>-500.47</v>
      </c>
      <c r="H43" s="88">
        <v>500.47</v>
      </c>
      <c r="I43" s="90">
        <f t="shared" si="3"/>
        <v>45867</v>
      </c>
      <c r="J43" s="91">
        <v>31.52</v>
      </c>
      <c r="K43" s="89">
        <v>0.86458333333333337</v>
      </c>
      <c r="L43" s="88">
        <v>614.07000000000005</v>
      </c>
      <c r="M43" s="175">
        <f t="shared" si="4"/>
        <v>45867</v>
      </c>
      <c r="N43" s="91">
        <v>17.600000000000001</v>
      </c>
      <c r="O43" s="89">
        <v>0.25</v>
      </c>
      <c r="P43" s="91">
        <v>23.59</v>
      </c>
      <c r="Q43" s="89">
        <v>0</v>
      </c>
      <c r="R43" s="92">
        <f t="shared" si="8"/>
        <v>458.23</v>
      </c>
      <c r="S43" s="88">
        <v>233.01</v>
      </c>
      <c r="T43" s="88">
        <v>225.22</v>
      </c>
      <c r="U43" s="90">
        <f t="shared" si="6"/>
        <v>45867</v>
      </c>
      <c r="V43" s="91">
        <v>26.27</v>
      </c>
      <c r="W43" s="89">
        <v>0</v>
      </c>
      <c r="X43" s="88">
        <v>530.27</v>
      </c>
    </row>
    <row r="44" spans="2:24" ht="15.75" thickBot="1" x14ac:dyDescent="0.25">
      <c r="B44" s="90">
        <f t="shared" si="7"/>
        <v>45868</v>
      </c>
      <c r="D44" s="172">
        <v>121</v>
      </c>
      <c r="E44" s="173">
        <v>0.52916666666666667</v>
      </c>
      <c r="F44" s="88">
        <v>0</v>
      </c>
      <c r="G44" s="93">
        <f t="shared" si="0"/>
        <v>-488</v>
      </c>
      <c r="H44" s="174">
        <v>488</v>
      </c>
      <c r="I44" s="90">
        <f t="shared" si="3"/>
        <v>45868</v>
      </c>
      <c r="J44" s="172">
        <v>33</v>
      </c>
      <c r="K44" s="173">
        <v>0.55000000000000004</v>
      </c>
      <c r="L44" s="174">
        <v>612</v>
      </c>
      <c r="M44" s="90">
        <f t="shared" si="4"/>
        <v>45868</v>
      </c>
      <c r="N44" s="172">
        <v>29</v>
      </c>
      <c r="O44" s="173">
        <v>0.43680555555555556</v>
      </c>
      <c r="P44" s="172">
        <v>25</v>
      </c>
      <c r="Q44" s="173">
        <v>1.1111111111111112E-2</v>
      </c>
      <c r="R44" s="92">
        <f t="shared" si="8"/>
        <v>513</v>
      </c>
      <c r="S44" s="174">
        <v>259</v>
      </c>
      <c r="T44" s="174">
        <v>254</v>
      </c>
      <c r="U44" s="90">
        <f t="shared" si="6"/>
        <v>45868</v>
      </c>
      <c r="V44" s="172">
        <v>30</v>
      </c>
      <c r="W44" s="173">
        <v>0.3527777777777778</v>
      </c>
      <c r="X44" s="174">
        <v>501</v>
      </c>
    </row>
    <row r="45" spans="2:24" x14ac:dyDescent="0.2">
      <c r="B45" s="90">
        <f t="shared" si="7"/>
        <v>45869</v>
      </c>
      <c r="D45" s="172">
        <v>130</v>
      </c>
      <c r="E45" s="89">
        <v>0.5541666666666667</v>
      </c>
      <c r="F45" s="88">
        <v>0</v>
      </c>
      <c r="G45" s="93">
        <f t="shared" si="0"/>
        <v>-511</v>
      </c>
      <c r="H45" s="88">
        <v>511</v>
      </c>
      <c r="I45" s="90">
        <f t="shared" si="3"/>
        <v>45869</v>
      </c>
      <c r="J45" s="91">
        <v>35</v>
      </c>
      <c r="K45" s="89">
        <v>0.7729166666666667</v>
      </c>
      <c r="L45" s="88">
        <v>624</v>
      </c>
      <c r="M45" s="90">
        <f t="shared" si="4"/>
        <v>45869</v>
      </c>
      <c r="N45" s="91">
        <v>30</v>
      </c>
      <c r="O45" s="89">
        <v>0.49930555555555556</v>
      </c>
      <c r="P45" s="91">
        <v>15</v>
      </c>
      <c r="Q45" s="89">
        <v>0.39652777777777776</v>
      </c>
      <c r="R45" s="92">
        <f t="shared" ref="R45" si="9">S45+T45</f>
        <v>530</v>
      </c>
      <c r="S45" s="88">
        <v>310</v>
      </c>
      <c r="T45" s="88">
        <v>220</v>
      </c>
      <c r="U45" s="90">
        <f t="shared" si="6"/>
        <v>45869</v>
      </c>
      <c r="V45" s="91">
        <v>31</v>
      </c>
      <c r="W45" s="89">
        <v>0.2986111111111111</v>
      </c>
      <c r="X45" s="88">
        <v>526</v>
      </c>
    </row>
    <row r="48" spans="2:24" x14ac:dyDescent="0.2">
      <c r="E48" s="178" t="s">
        <v>62</v>
      </c>
      <c r="F48" s="178" t="s">
        <v>63</v>
      </c>
      <c r="G48" s="178" t="s">
        <v>64</v>
      </c>
      <c r="H48" s="178" t="s">
        <v>65</v>
      </c>
      <c r="I48" s="178" t="s">
        <v>66</v>
      </c>
      <c r="J48" s="178" t="s">
        <v>67</v>
      </c>
    </row>
    <row r="49" spans="4:10" x14ac:dyDescent="0.2">
      <c r="D49" s="181">
        <v>45838</v>
      </c>
      <c r="E49" s="179">
        <f t="shared" ref="E49:E79" si="10">F14/J49</f>
        <v>0</v>
      </c>
      <c r="F49" s="179">
        <f t="shared" ref="F49:F79" si="11">L14/J49</f>
        <v>0.39318885448916407</v>
      </c>
      <c r="G49" s="179">
        <f t="shared" ref="G49:G79" si="12">S14/J49</f>
        <v>0.14613003095975233</v>
      </c>
      <c r="H49" s="179">
        <f t="shared" ref="H49:H79" si="13">T14/J49</f>
        <v>0.13931888544891641</v>
      </c>
      <c r="I49" s="179">
        <f t="shared" ref="I49:I79" si="14">X14/J49</f>
        <v>0.32136222910216716</v>
      </c>
      <c r="J49" s="180">
        <f>F14+L14+S14+T14+X14</f>
        <v>1615</v>
      </c>
    </row>
    <row r="50" spans="4:10" x14ac:dyDescent="0.2">
      <c r="D50" s="181">
        <v>45839</v>
      </c>
      <c r="E50" s="179">
        <f t="shared" si="10"/>
        <v>0</v>
      </c>
      <c r="F50" s="179">
        <f t="shared" si="11"/>
        <v>0.39412866958151155</v>
      </c>
      <c r="G50" s="179">
        <f t="shared" si="12"/>
        <v>0.12242348532167395</v>
      </c>
      <c r="H50" s="179">
        <f t="shared" si="13"/>
        <v>0.16239850093691444</v>
      </c>
      <c r="I50" s="179">
        <f t="shared" si="14"/>
        <v>0.32104934415990005</v>
      </c>
      <c r="J50" s="180">
        <f t="shared" ref="J50:J79" si="15">F15+L15+S15+T15+X15</f>
        <v>1601</v>
      </c>
    </row>
    <row r="51" spans="4:10" x14ac:dyDescent="0.2">
      <c r="D51" s="181">
        <v>45840</v>
      </c>
      <c r="E51" s="179">
        <f t="shared" si="10"/>
        <v>0</v>
      </c>
      <c r="F51" s="179">
        <f t="shared" si="11"/>
        <v>0.39604591836734693</v>
      </c>
      <c r="G51" s="179">
        <f t="shared" si="12"/>
        <v>0.14094387755102042</v>
      </c>
      <c r="H51" s="179">
        <f t="shared" si="13"/>
        <v>0.1441326530612245</v>
      </c>
      <c r="I51" s="179">
        <f t="shared" si="14"/>
        <v>0.31887755102040816</v>
      </c>
      <c r="J51" s="180">
        <f t="shared" si="15"/>
        <v>1568</v>
      </c>
    </row>
    <row r="52" spans="4:10" x14ac:dyDescent="0.2">
      <c r="D52" s="181">
        <v>45841</v>
      </c>
      <c r="E52" s="179">
        <f t="shared" si="10"/>
        <v>0</v>
      </c>
      <c r="F52" s="179">
        <f t="shared" si="11"/>
        <v>0.39517153748411687</v>
      </c>
      <c r="G52" s="179">
        <f t="shared" si="12"/>
        <v>0.14040660736975857</v>
      </c>
      <c r="H52" s="179">
        <f t="shared" si="13"/>
        <v>0.14231257941550191</v>
      </c>
      <c r="I52" s="179">
        <f t="shared" si="14"/>
        <v>0.32210927573062259</v>
      </c>
      <c r="J52" s="180">
        <f t="shared" si="15"/>
        <v>1574</v>
      </c>
    </row>
    <row r="53" spans="4:10" x14ac:dyDescent="0.2">
      <c r="D53" s="181">
        <v>45842</v>
      </c>
      <c r="E53" s="179">
        <f t="shared" si="10"/>
        <v>0</v>
      </c>
      <c r="F53" s="179">
        <f t="shared" si="11"/>
        <v>0.38103975535168194</v>
      </c>
      <c r="G53" s="179">
        <f t="shared" si="12"/>
        <v>0.13577981651376148</v>
      </c>
      <c r="H53" s="179">
        <f t="shared" si="13"/>
        <v>0.14128440366972478</v>
      </c>
      <c r="I53" s="179">
        <f t="shared" si="14"/>
        <v>0.3418960244648318</v>
      </c>
      <c r="J53" s="180">
        <f t="shared" si="15"/>
        <v>1635</v>
      </c>
    </row>
    <row r="54" spans="4:10" x14ac:dyDescent="0.2">
      <c r="D54" s="181">
        <v>45843</v>
      </c>
      <c r="E54" s="179">
        <f t="shared" si="10"/>
        <v>0</v>
      </c>
      <c r="F54" s="179">
        <f t="shared" si="11"/>
        <v>0.39176626826029215</v>
      </c>
      <c r="G54" s="179">
        <f t="shared" si="12"/>
        <v>0.14209827357237717</v>
      </c>
      <c r="H54" s="179">
        <f t="shared" si="13"/>
        <v>0.12749003984063745</v>
      </c>
      <c r="I54" s="179">
        <f t="shared" si="14"/>
        <v>0.3386454183266932</v>
      </c>
      <c r="J54" s="180">
        <f t="shared" si="15"/>
        <v>1506</v>
      </c>
    </row>
    <row r="55" spans="4:10" x14ac:dyDescent="0.2">
      <c r="D55" s="181">
        <v>45844</v>
      </c>
      <c r="E55" s="179">
        <f t="shared" si="10"/>
        <v>0</v>
      </c>
      <c r="F55" s="179">
        <f t="shared" si="11"/>
        <v>0.41330502476999292</v>
      </c>
      <c r="G55" s="179">
        <f t="shared" si="12"/>
        <v>0.15852795470629866</v>
      </c>
      <c r="H55" s="179">
        <f t="shared" si="13"/>
        <v>0.11677282377919321</v>
      </c>
      <c r="I55" s="179">
        <f t="shared" si="14"/>
        <v>0.31139419674451524</v>
      </c>
      <c r="J55" s="180">
        <f t="shared" si="15"/>
        <v>1413</v>
      </c>
    </row>
    <row r="56" spans="4:10" x14ac:dyDescent="0.2">
      <c r="D56" s="181">
        <v>45845</v>
      </c>
      <c r="E56" s="179">
        <f t="shared" si="10"/>
        <v>0</v>
      </c>
      <c r="F56" s="179">
        <f t="shared" si="11"/>
        <v>0.40982546864899805</v>
      </c>
      <c r="G56" s="179">
        <f t="shared" si="12"/>
        <v>0.15126050420168066</v>
      </c>
      <c r="H56" s="179">
        <f t="shared" si="13"/>
        <v>0.13833225597931481</v>
      </c>
      <c r="I56" s="179">
        <f t="shared" si="14"/>
        <v>0.30058177117000645</v>
      </c>
      <c r="J56" s="180">
        <f t="shared" si="15"/>
        <v>1547</v>
      </c>
    </row>
    <row r="57" spans="4:10" x14ac:dyDescent="0.2">
      <c r="D57" s="181">
        <v>45846</v>
      </c>
      <c r="E57" s="179">
        <f t="shared" si="10"/>
        <v>0</v>
      </c>
      <c r="F57" s="179">
        <f t="shared" si="11"/>
        <v>0.39688473520249223</v>
      </c>
      <c r="G57" s="179">
        <f t="shared" si="12"/>
        <v>0.14704049844236761</v>
      </c>
      <c r="H57" s="179">
        <f t="shared" si="13"/>
        <v>0.14205607476635515</v>
      </c>
      <c r="I57" s="179">
        <f t="shared" si="14"/>
        <v>0.31401869158878504</v>
      </c>
      <c r="J57" s="180">
        <f t="shared" si="15"/>
        <v>1605</v>
      </c>
    </row>
    <row r="58" spans="4:10" x14ac:dyDescent="0.2">
      <c r="D58" s="181">
        <v>45847</v>
      </c>
      <c r="E58" s="179">
        <f t="shared" si="10"/>
        <v>0</v>
      </c>
      <c r="F58" s="179">
        <f t="shared" si="11"/>
        <v>0.38863487916394512</v>
      </c>
      <c r="G58" s="179">
        <f t="shared" si="12"/>
        <v>0.15218811234487264</v>
      </c>
      <c r="H58" s="179">
        <f t="shared" si="13"/>
        <v>0.14696276943174397</v>
      </c>
      <c r="I58" s="179">
        <f t="shared" si="14"/>
        <v>0.31221423905943829</v>
      </c>
      <c r="J58" s="180">
        <f t="shared" si="15"/>
        <v>1531</v>
      </c>
    </row>
    <row r="59" spans="4:10" x14ac:dyDescent="0.2">
      <c r="D59" s="181">
        <v>45848</v>
      </c>
      <c r="E59" s="179">
        <f t="shared" si="10"/>
        <v>0</v>
      </c>
      <c r="F59" s="179">
        <f t="shared" si="11"/>
        <v>0.38742138364779877</v>
      </c>
      <c r="G59" s="179">
        <f t="shared" si="12"/>
        <v>0.14654088050314465</v>
      </c>
      <c r="H59" s="179">
        <f t="shared" si="13"/>
        <v>0.14465408805031446</v>
      </c>
      <c r="I59" s="179">
        <f t="shared" si="14"/>
        <v>0.32138364779874212</v>
      </c>
      <c r="J59" s="180">
        <f t="shared" si="15"/>
        <v>1590</v>
      </c>
    </row>
    <row r="60" spans="4:10" x14ac:dyDescent="0.2">
      <c r="D60" s="181">
        <v>45849</v>
      </c>
      <c r="E60" s="179">
        <f t="shared" si="10"/>
        <v>0</v>
      </c>
      <c r="F60" s="179">
        <f t="shared" si="11"/>
        <v>0.3808338518979465</v>
      </c>
      <c r="G60" s="179">
        <f t="shared" si="12"/>
        <v>0.14125700062227753</v>
      </c>
      <c r="H60" s="179">
        <f t="shared" si="13"/>
        <v>0.14374611076540136</v>
      </c>
      <c r="I60" s="179">
        <f t="shared" si="14"/>
        <v>0.33416303671437458</v>
      </c>
      <c r="J60" s="180">
        <f t="shared" si="15"/>
        <v>1607</v>
      </c>
    </row>
    <row r="61" spans="4:10" x14ac:dyDescent="0.2">
      <c r="D61" s="181">
        <v>45850</v>
      </c>
      <c r="E61" s="179">
        <f t="shared" si="10"/>
        <v>0</v>
      </c>
      <c r="F61" s="179">
        <f t="shared" si="11"/>
        <v>0.39786381842456608</v>
      </c>
      <c r="G61" s="179">
        <f t="shared" si="12"/>
        <v>0.12616822429906541</v>
      </c>
      <c r="H61" s="179">
        <f t="shared" si="13"/>
        <v>0.14886515353805074</v>
      </c>
      <c r="I61" s="179">
        <f t="shared" si="14"/>
        <v>0.32710280373831774</v>
      </c>
      <c r="J61" s="180">
        <f t="shared" si="15"/>
        <v>1498</v>
      </c>
    </row>
    <row r="62" spans="4:10" x14ac:dyDescent="0.2">
      <c r="D62" s="181">
        <v>45851</v>
      </c>
      <c r="E62" s="179">
        <f t="shared" si="10"/>
        <v>0</v>
      </c>
      <c r="F62" s="179">
        <f t="shared" si="11"/>
        <v>0.40239043824701193</v>
      </c>
      <c r="G62" s="179">
        <f t="shared" si="12"/>
        <v>0.14807436918990705</v>
      </c>
      <c r="H62" s="179">
        <f t="shared" si="13"/>
        <v>0.11088977423638778</v>
      </c>
      <c r="I62" s="179">
        <f t="shared" si="14"/>
        <v>0.3386454183266932</v>
      </c>
      <c r="J62" s="180">
        <f t="shared" si="15"/>
        <v>1506</v>
      </c>
    </row>
    <row r="63" spans="4:10" x14ac:dyDescent="0.2">
      <c r="D63" s="181">
        <v>45852</v>
      </c>
      <c r="E63" s="179">
        <f t="shared" si="10"/>
        <v>0</v>
      </c>
      <c r="F63" s="179">
        <f t="shared" si="11"/>
        <v>0.4045307443365696</v>
      </c>
      <c r="G63" s="179">
        <f t="shared" si="12"/>
        <v>0.15016181229773462</v>
      </c>
      <c r="H63" s="179">
        <f t="shared" si="13"/>
        <v>0.14239482200647249</v>
      </c>
      <c r="I63" s="179">
        <f t="shared" si="14"/>
        <v>0.30291262135922331</v>
      </c>
      <c r="J63" s="180">
        <f t="shared" si="15"/>
        <v>1545</v>
      </c>
    </row>
    <row r="64" spans="4:10" x14ac:dyDescent="0.2">
      <c r="D64" s="181">
        <v>45853</v>
      </c>
      <c r="E64" s="179">
        <f t="shared" si="10"/>
        <v>0</v>
      </c>
      <c r="F64" s="179">
        <f t="shared" si="11"/>
        <v>0.40344168260038243</v>
      </c>
      <c r="G64" s="179">
        <f t="shared" si="12"/>
        <v>0.14913957934990441</v>
      </c>
      <c r="H64" s="179">
        <f t="shared" si="13"/>
        <v>0.14021669853409816</v>
      </c>
      <c r="I64" s="179">
        <f t="shared" si="14"/>
        <v>0.30720203951561503</v>
      </c>
      <c r="J64" s="180">
        <f t="shared" si="15"/>
        <v>1569</v>
      </c>
    </row>
    <row r="65" spans="4:10" x14ac:dyDescent="0.2">
      <c r="D65" s="181">
        <v>45854</v>
      </c>
      <c r="E65" s="179">
        <f t="shared" si="10"/>
        <v>0</v>
      </c>
      <c r="F65" s="179">
        <f t="shared" si="11"/>
        <v>0.40796242754951068</v>
      </c>
      <c r="G65" s="179">
        <f t="shared" si="12"/>
        <v>0.1521290602815219</v>
      </c>
      <c r="H65" s="179">
        <f t="shared" si="13"/>
        <v>0.12655590395135127</v>
      </c>
      <c r="I65" s="179">
        <f t="shared" si="14"/>
        <v>0.31335260821761612</v>
      </c>
      <c r="J65" s="180">
        <f t="shared" si="15"/>
        <v>1473.42</v>
      </c>
    </row>
    <row r="66" spans="4:10" x14ac:dyDescent="0.2">
      <c r="D66" s="181">
        <v>45855</v>
      </c>
      <c r="E66" s="179">
        <f t="shared" si="10"/>
        <v>0</v>
      </c>
      <c r="F66" s="179">
        <f t="shared" si="11"/>
        <v>0.40616344161001028</v>
      </c>
      <c r="G66" s="179">
        <f t="shared" si="12"/>
        <v>0.15027020744959033</v>
      </c>
      <c r="H66" s="179">
        <f t="shared" si="13"/>
        <v>0.13725376256609911</v>
      </c>
      <c r="I66" s="179">
        <f t="shared" si="14"/>
        <v>0.30631258837430025</v>
      </c>
      <c r="J66" s="180">
        <f t="shared" si="15"/>
        <v>1548.8100000000002</v>
      </c>
    </row>
    <row r="67" spans="4:10" x14ac:dyDescent="0.2">
      <c r="D67" s="181">
        <v>45856</v>
      </c>
      <c r="E67" s="179">
        <f t="shared" si="10"/>
        <v>0</v>
      </c>
      <c r="F67" s="179">
        <f t="shared" si="11"/>
        <v>0.4039344262295082</v>
      </c>
      <c r="G67" s="179">
        <f t="shared" si="12"/>
        <v>0.15278688524590164</v>
      </c>
      <c r="H67" s="179">
        <f t="shared" si="13"/>
        <v>0.14491803278688525</v>
      </c>
      <c r="I67" s="179">
        <f t="shared" si="14"/>
        <v>0.29836065573770493</v>
      </c>
      <c r="J67" s="180">
        <f t="shared" si="15"/>
        <v>1525</v>
      </c>
    </row>
    <row r="68" spans="4:10" x14ac:dyDescent="0.2">
      <c r="D68" s="181">
        <v>45857</v>
      </c>
      <c r="E68" s="179">
        <f t="shared" si="10"/>
        <v>0</v>
      </c>
      <c r="F68" s="179">
        <f t="shared" si="11"/>
        <v>0.38180515759312322</v>
      </c>
      <c r="G68" s="179">
        <f t="shared" si="12"/>
        <v>0.1511461318051576</v>
      </c>
      <c r="H68" s="179">
        <f t="shared" si="13"/>
        <v>0.12607449856733524</v>
      </c>
      <c r="I68" s="179">
        <f t="shared" si="14"/>
        <v>0.34097421203438394</v>
      </c>
      <c r="J68" s="180">
        <f t="shared" si="15"/>
        <v>1396</v>
      </c>
    </row>
    <row r="69" spans="4:10" x14ac:dyDescent="0.2">
      <c r="D69" s="181">
        <v>45858</v>
      </c>
      <c r="E69" s="179">
        <f t="shared" si="10"/>
        <v>0</v>
      </c>
      <c r="F69" s="179">
        <f t="shared" si="11"/>
        <v>0.3983688833124216</v>
      </c>
      <c r="G69" s="179">
        <f t="shared" si="12"/>
        <v>0.15244667503136763</v>
      </c>
      <c r="H69" s="179">
        <f t="shared" si="13"/>
        <v>0.12107904642409034</v>
      </c>
      <c r="I69" s="179">
        <f t="shared" si="14"/>
        <v>0.32810539523212046</v>
      </c>
      <c r="J69" s="180">
        <f t="shared" si="15"/>
        <v>1594</v>
      </c>
    </row>
    <row r="70" spans="4:10" x14ac:dyDescent="0.2">
      <c r="D70" s="181">
        <v>45859</v>
      </c>
      <c r="E70" s="179">
        <f t="shared" si="10"/>
        <v>0</v>
      </c>
      <c r="F70" s="179">
        <f t="shared" si="11"/>
        <v>0.40266666666666667</v>
      </c>
      <c r="G70" s="179">
        <f t="shared" si="12"/>
        <v>0.15133333333333332</v>
      </c>
      <c r="H70" s="179">
        <f t="shared" si="13"/>
        <v>0.13800000000000001</v>
      </c>
      <c r="I70" s="179">
        <f t="shared" si="14"/>
        <v>0.308</v>
      </c>
      <c r="J70" s="180">
        <f t="shared" si="15"/>
        <v>1500</v>
      </c>
    </row>
    <row r="71" spans="4:10" x14ac:dyDescent="0.2">
      <c r="D71" s="181">
        <v>45860</v>
      </c>
      <c r="E71" s="179">
        <f t="shared" si="10"/>
        <v>0</v>
      </c>
      <c r="F71" s="179">
        <f t="shared" si="11"/>
        <v>0.33565547815072833</v>
      </c>
      <c r="G71" s="179">
        <f t="shared" si="12"/>
        <v>0.13299556681443953</v>
      </c>
      <c r="H71" s="179">
        <f t="shared" si="13"/>
        <v>0.16466117796073465</v>
      </c>
      <c r="I71" s="179">
        <f t="shared" si="14"/>
        <v>0.36668777707409755</v>
      </c>
      <c r="J71" s="180">
        <f t="shared" si="15"/>
        <v>1579</v>
      </c>
    </row>
    <row r="72" spans="4:10" x14ac:dyDescent="0.2">
      <c r="D72" s="181">
        <v>45861</v>
      </c>
      <c r="E72" s="179">
        <f t="shared" si="10"/>
        <v>0</v>
      </c>
      <c r="F72" s="179">
        <f t="shared" si="11"/>
        <v>0.38008766437069508</v>
      </c>
      <c r="G72" s="179">
        <f t="shared" si="12"/>
        <v>0.14652473387601753</v>
      </c>
      <c r="H72" s="179">
        <f t="shared" si="13"/>
        <v>0.14088916718847841</v>
      </c>
      <c r="I72" s="179">
        <f t="shared" si="14"/>
        <v>0.33249843456480904</v>
      </c>
      <c r="J72" s="180">
        <f t="shared" si="15"/>
        <v>1597</v>
      </c>
    </row>
    <row r="73" spans="4:10" x14ac:dyDescent="0.2">
      <c r="D73" s="181">
        <v>45862</v>
      </c>
      <c r="E73" s="179">
        <f t="shared" si="10"/>
        <v>0</v>
      </c>
      <c r="F73" s="179">
        <f t="shared" si="11"/>
        <v>0.38785942492012782</v>
      </c>
      <c r="G73" s="179">
        <f t="shared" si="12"/>
        <v>0.14952076677316295</v>
      </c>
      <c r="H73" s="179">
        <f t="shared" si="13"/>
        <v>0.14185303514376996</v>
      </c>
      <c r="I73" s="179">
        <f t="shared" si="14"/>
        <v>0.32076677316293928</v>
      </c>
      <c r="J73" s="180">
        <f t="shared" si="15"/>
        <v>1565</v>
      </c>
    </row>
    <row r="74" spans="4:10" x14ac:dyDescent="0.2">
      <c r="D74" s="181">
        <v>45863</v>
      </c>
      <c r="E74" s="179">
        <f t="shared" si="10"/>
        <v>0</v>
      </c>
      <c r="F74" s="179">
        <f t="shared" si="11"/>
        <v>0.39390006489292667</v>
      </c>
      <c r="G74" s="179">
        <f t="shared" si="12"/>
        <v>0.15055158987670345</v>
      </c>
      <c r="H74" s="179">
        <f t="shared" si="13"/>
        <v>0.14341336794289422</v>
      </c>
      <c r="I74" s="179">
        <f t="shared" si="14"/>
        <v>0.31213497728747569</v>
      </c>
      <c r="J74" s="180">
        <f t="shared" si="15"/>
        <v>1541</v>
      </c>
    </row>
    <row r="75" spans="4:10" x14ac:dyDescent="0.2">
      <c r="D75" s="181">
        <v>45864</v>
      </c>
      <c r="E75" s="179">
        <f t="shared" si="10"/>
        <v>0</v>
      </c>
      <c r="F75" s="179">
        <f t="shared" si="11"/>
        <v>0.39903181189488246</v>
      </c>
      <c r="G75" s="179">
        <f t="shared" si="12"/>
        <v>0.15767634854771784</v>
      </c>
      <c r="H75" s="179">
        <f t="shared" si="13"/>
        <v>0.12586445366528354</v>
      </c>
      <c r="I75" s="179">
        <f t="shared" si="14"/>
        <v>0.31742738589211617</v>
      </c>
      <c r="J75" s="180">
        <f t="shared" si="15"/>
        <v>1446</v>
      </c>
    </row>
    <row r="76" spans="4:10" x14ac:dyDescent="0.2">
      <c r="D76" s="181">
        <v>45865</v>
      </c>
      <c r="E76" s="179">
        <f t="shared" si="10"/>
        <v>0</v>
      </c>
      <c r="F76" s="179">
        <f t="shared" si="11"/>
        <v>0.40957072484166079</v>
      </c>
      <c r="G76" s="179">
        <f t="shared" si="12"/>
        <v>0.15833919774806474</v>
      </c>
      <c r="H76" s="179">
        <f t="shared" si="13"/>
        <v>0.11259676284306826</v>
      </c>
      <c r="I76" s="179">
        <f t="shared" si="14"/>
        <v>0.3194933145672062</v>
      </c>
      <c r="J76" s="180">
        <f t="shared" si="15"/>
        <v>1421</v>
      </c>
    </row>
    <row r="77" spans="4:10" x14ac:dyDescent="0.2">
      <c r="D77" s="181">
        <v>45866</v>
      </c>
      <c r="E77" s="179">
        <f t="shared" si="10"/>
        <v>0</v>
      </c>
      <c r="F77" s="179">
        <f t="shared" si="11"/>
        <v>0.39995068265586881</v>
      </c>
      <c r="G77" s="179">
        <f t="shared" si="12"/>
        <v>0.15185848517884026</v>
      </c>
      <c r="H77" s="179">
        <f t="shared" si="13"/>
        <v>0.14003530083579921</v>
      </c>
      <c r="I77" s="179">
        <f t="shared" si="14"/>
        <v>0.30815553132949175</v>
      </c>
      <c r="J77" s="180">
        <f t="shared" si="15"/>
        <v>1541.04</v>
      </c>
    </row>
    <row r="78" spans="4:10" x14ac:dyDescent="0.2">
      <c r="D78" s="181">
        <v>45867</v>
      </c>
      <c r="E78" s="179">
        <f t="shared" si="10"/>
        <v>0</v>
      </c>
      <c r="F78" s="179">
        <f t="shared" si="11"/>
        <v>0.38317826990396681</v>
      </c>
      <c r="G78" s="179">
        <f t="shared" si="12"/>
        <v>0.14539770493644583</v>
      </c>
      <c r="H78" s="179">
        <f t="shared" si="13"/>
        <v>0.14053676282471281</v>
      </c>
      <c r="I78" s="179">
        <f t="shared" si="14"/>
        <v>0.33088726233487459</v>
      </c>
      <c r="J78" s="180">
        <f t="shared" si="15"/>
        <v>1602.57</v>
      </c>
    </row>
    <row r="79" spans="4:10" x14ac:dyDescent="0.2">
      <c r="D79" s="181">
        <v>45868</v>
      </c>
      <c r="E79" s="179">
        <f t="shared" si="10"/>
        <v>0</v>
      </c>
      <c r="F79" s="179">
        <f t="shared" si="11"/>
        <v>0.37638376383763839</v>
      </c>
      <c r="G79" s="179">
        <f t="shared" si="12"/>
        <v>0.15928659286592867</v>
      </c>
      <c r="H79" s="179">
        <f t="shared" si="13"/>
        <v>0.15621156211562115</v>
      </c>
      <c r="I79" s="179">
        <f t="shared" si="14"/>
        <v>0.3081180811808118</v>
      </c>
      <c r="J79" s="180">
        <f t="shared" si="15"/>
        <v>1626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D14:D19">
    <cfRule type="cellIs" dxfId="33" priority="17" operator="equal">
      <formula>MAX($D$14:$D$16)</formula>
    </cfRule>
  </conditionalFormatting>
  <conditionalFormatting sqref="D20:D45">
    <cfRule type="cellIs" dxfId="32" priority="95" operator="equal">
      <formula>MAX($D$14:$D$42)</formula>
    </cfRule>
  </conditionalFormatting>
  <conditionalFormatting sqref="E49:E65">
    <cfRule type="top10" dxfId="31" priority="85" rank="2"/>
  </conditionalFormatting>
  <conditionalFormatting sqref="F49:F79">
    <cfRule type="top10" dxfId="30" priority="84" rank="2"/>
  </conditionalFormatting>
  <conditionalFormatting sqref="G14:G45">
    <cfRule type="cellIs" dxfId="29" priority="39" operator="equal">
      <formula>MAX($G$14:$G$16)</formula>
    </cfRule>
  </conditionalFormatting>
  <conditionalFormatting sqref="G49:G65">
    <cfRule type="top10" dxfId="28" priority="83" rank="2"/>
  </conditionalFormatting>
  <conditionalFormatting sqref="H49:H65">
    <cfRule type="top10" dxfId="27" priority="82" rank="2"/>
  </conditionalFormatting>
  <conditionalFormatting sqref="I49:I65">
    <cfRule type="top10" dxfId="26" priority="81" rank="2"/>
  </conditionalFormatting>
  <conditionalFormatting sqref="J14:J19">
    <cfRule type="cellIs" dxfId="25" priority="14" operator="equal">
      <formula>MAX($J$14:$J$16)</formula>
    </cfRule>
  </conditionalFormatting>
  <conditionalFormatting sqref="J20">
    <cfRule type="cellIs" dxfId="24" priority="89" operator="equal">
      <formula>MAX($J$14:$J$42)</formula>
    </cfRule>
  </conditionalFormatting>
  <conditionalFormatting sqref="J21:J45">
    <cfRule type="cellIs" dxfId="23" priority="32" operator="equal">
      <formula>MAX($J$14:$J$16)</formula>
    </cfRule>
  </conditionalFormatting>
  <conditionalFormatting sqref="L14:L19">
    <cfRule type="cellIs" dxfId="22" priority="13" operator="equal">
      <formula>MAX($L$14:$L$16)</formula>
    </cfRule>
  </conditionalFormatting>
  <conditionalFormatting sqref="L20">
    <cfRule type="cellIs" dxfId="21" priority="86" operator="equal">
      <formula>MAX($L$14:$L$42)</formula>
    </cfRule>
  </conditionalFormatting>
  <conditionalFormatting sqref="L21:L45">
    <cfRule type="cellIs" dxfId="20" priority="29" operator="equal">
      <formula>MAX($L$14:$L$16)</formula>
    </cfRule>
  </conditionalFormatting>
  <conditionalFormatting sqref="N14:N19">
    <cfRule type="cellIs" dxfId="19" priority="9" operator="equal">
      <formula>MAX($N$14:$N$16)</formula>
    </cfRule>
  </conditionalFormatting>
  <conditionalFormatting sqref="N20">
    <cfRule type="cellIs" dxfId="18" priority="92" operator="equal">
      <formula>MAX($N$14:$N$42)</formula>
    </cfRule>
  </conditionalFormatting>
  <conditionalFormatting sqref="N21:N45">
    <cfRule type="cellIs" dxfId="17" priority="36" operator="equal">
      <formula>MAX($N$14:$N$16)</formula>
    </cfRule>
  </conditionalFormatting>
  <conditionalFormatting sqref="P14:P19">
    <cfRule type="cellIs" dxfId="16" priority="10" operator="equal">
      <formula>MAX($P$14:$P$16)</formula>
    </cfRule>
  </conditionalFormatting>
  <conditionalFormatting sqref="P20">
    <cfRule type="cellIs" dxfId="15" priority="93" operator="equal">
      <formula>MAX($P$14:$P$42)</formula>
    </cfRule>
  </conditionalFormatting>
  <conditionalFormatting sqref="P21:P45">
    <cfRule type="cellIs" dxfId="14" priority="37" operator="equal">
      <formula>MAX($P$14:$P$16)</formula>
    </cfRule>
  </conditionalFormatting>
  <conditionalFormatting sqref="S14:S19">
    <cfRule type="cellIs" dxfId="13" priority="6" operator="equal">
      <formula>MAX($S$14:$S$16)</formula>
    </cfRule>
  </conditionalFormatting>
  <conditionalFormatting sqref="S20">
    <cfRule type="cellIs" dxfId="12" priority="91" operator="equal">
      <formula>MAX($S$14:$S$42)</formula>
    </cfRule>
  </conditionalFormatting>
  <conditionalFormatting sqref="S21:S45">
    <cfRule type="cellIs" dxfId="11" priority="35" operator="equal">
      <formula>MAX($S$14:$S$16)</formula>
    </cfRule>
  </conditionalFormatting>
  <conditionalFormatting sqref="T14:T19">
    <cfRule type="cellIs" dxfId="10" priority="5" operator="equal">
      <formula>MAX($T$14:$T$16)</formula>
    </cfRule>
  </conditionalFormatting>
  <conditionalFormatting sqref="T20">
    <cfRule type="cellIs" dxfId="9" priority="87" operator="equal">
      <formula>MAX($T$14:$T$42)</formula>
    </cfRule>
  </conditionalFormatting>
  <conditionalFormatting sqref="T21:T45">
    <cfRule type="cellIs" dxfId="8" priority="30" operator="equal">
      <formula>MAX($T$14:$T$16)</formula>
    </cfRule>
  </conditionalFormatting>
  <conditionalFormatting sqref="V14:V19">
    <cfRule type="cellIs" dxfId="7" priority="2" operator="equal">
      <formula>MAX($V$14:$V$16)</formula>
    </cfRule>
  </conditionalFormatting>
  <conditionalFormatting sqref="V20">
    <cfRule type="cellIs" dxfId="6" priority="90" operator="equal">
      <formula>MAX($V$14:$V$42)</formula>
    </cfRule>
  </conditionalFormatting>
  <conditionalFormatting sqref="V21:V23">
    <cfRule type="cellIs" dxfId="5" priority="181" operator="equal">
      <formula>MAX($V$14:$V$16)</formula>
    </cfRule>
  </conditionalFormatting>
  <conditionalFormatting sqref="V24:V25">
    <cfRule type="cellIs" dxfId="4" priority="50" operator="equal">
      <formula>MAX($J$14:$J$16)</formula>
    </cfRule>
  </conditionalFormatting>
  <conditionalFormatting sqref="V26:V45">
    <cfRule type="cellIs" dxfId="3" priority="33" operator="equal">
      <formula>MAX($V$14:$V$16)</formula>
    </cfRule>
  </conditionalFormatting>
  <conditionalFormatting sqref="X14:X19">
    <cfRule type="cellIs" dxfId="2" priority="1" operator="equal">
      <formula>MAX($X$14:$X$16)</formula>
    </cfRule>
  </conditionalFormatting>
  <conditionalFormatting sqref="X20">
    <cfRule type="cellIs" dxfId="1" priority="88" operator="equal">
      <formula>MAX($X$14:$X$42)</formula>
    </cfRule>
  </conditionalFormatting>
  <conditionalFormatting sqref="X21:X45">
    <cfRule type="cellIs" dxfId="0" priority="31" operator="equal">
      <formula>MAX($X$14:$X$16)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workbookViewId="0">
      <selection activeCell="E20" sqref="E20:G27"/>
    </sheetView>
  </sheetViews>
  <sheetFormatPr defaultColWidth="10.76171875" defaultRowHeight="15" x14ac:dyDescent="0.2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defaultColWidth="10.76171875" defaultRowHeight="1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4F7C8EF6-7792-481E-A354-E479D9096C18}"/>
</file>

<file path=customXml/itemProps2.xml><?xml version="1.0" encoding="utf-8"?>
<ds:datastoreItem xmlns:ds="http://schemas.openxmlformats.org/officeDocument/2006/customXml" ds:itemID="{3E574075-65AB-411B-B001-8D6C812A200B}"/>
</file>

<file path=customXml/itemProps3.xml><?xml version="1.0" encoding="utf-8"?>
<ds:datastoreItem xmlns:ds="http://schemas.openxmlformats.org/officeDocument/2006/customXml" ds:itemID="{D04093DF-12F8-4E70-9E86-B4DA96EFC1FC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Freddy Juarez Espinoza</cp:lastModifiedBy>
  <dcterms:created xsi:type="dcterms:W3CDTF">2022-10-03T10:52:32Z</dcterms:created>
  <dcterms:modified xsi:type="dcterms:W3CDTF">2025-08-01T11:12:10Z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