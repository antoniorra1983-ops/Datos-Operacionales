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vgmh\Desktop\CONSUMO ENERGETICO DIARIO\Energia 2026\junio 2026\"/>
    </mc:Choice>
  </mc:AlternateContent>
  <xr:revisionPtr revIDLastSave="0" documentId="13_ncr:1_{5B8F18DD-F5CB-4DBF-B053-9F1029D734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1" i="2" l="1"/>
  <c r="D13" i="1"/>
  <c r="O7" i="1"/>
  <c r="O8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P7" i="1"/>
  <c r="P8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G28" i="1" s="1"/>
  <c r="D29" i="1"/>
  <c r="G29" i="1" s="1"/>
  <c r="D30" i="1"/>
  <c r="F30" i="1" s="1"/>
  <c r="E30" i="1" s="1"/>
  <c r="D31" i="1"/>
  <c r="D32" i="1"/>
  <c r="D33" i="1"/>
  <c r="D34" i="1"/>
  <c r="D35" i="1"/>
  <c r="D36" i="1"/>
  <c r="G36" i="1" s="1"/>
  <c r="D37" i="1"/>
  <c r="G37" i="1" s="1"/>
  <c r="E7" i="1"/>
  <c r="E31" i="1"/>
  <c r="F7" i="1"/>
  <c r="F8" i="1"/>
  <c r="E8" i="1" s="1"/>
  <c r="F9" i="1"/>
  <c r="E9" i="1" s="1"/>
  <c r="F25" i="1"/>
  <c r="E25" i="1" s="1"/>
  <c r="F26" i="1"/>
  <c r="E26" i="1" s="1"/>
  <c r="F27" i="1"/>
  <c r="E27" i="1" s="1"/>
  <c r="F31" i="1"/>
  <c r="F32" i="1"/>
  <c r="E32" i="1" s="1"/>
  <c r="F33" i="1"/>
  <c r="E33" i="1" s="1"/>
  <c r="F34" i="1"/>
  <c r="E34" i="1" s="1"/>
  <c r="F35" i="1"/>
  <c r="E35" i="1" s="1"/>
  <c r="G7" i="1"/>
  <c r="G8" i="1"/>
  <c r="G9" i="1"/>
  <c r="G25" i="1"/>
  <c r="G26" i="1"/>
  <c r="G27" i="1"/>
  <c r="G31" i="1"/>
  <c r="G32" i="1"/>
  <c r="G33" i="1"/>
  <c r="G34" i="1"/>
  <c r="G35" i="1"/>
  <c r="H7" i="1"/>
  <c r="H8" i="1"/>
  <c r="H9" i="1"/>
  <c r="H10" i="1"/>
  <c r="H11" i="1"/>
  <c r="F11" i="1" s="1"/>
  <c r="E11" i="1" s="1"/>
  <c r="H12" i="1"/>
  <c r="H13" i="1"/>
  <c r="G13" i="1" s="1"/>
  <c r="H14" i="1"/>
  <c r="H15" i="1"/>
  <c r="H16" i="1"/>
  <c r="G16" i="1" s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I7" i="1"/>
  <c r="I25" i="1"/>
  <c r="I26" i="1"/>
  <c r="I27" i="1"/>
  <c r="I28" i="1"/>
  <c r="I29" i="1"/>
  <c r="I30" i="1"/>
  <c r="M30" i="1" s="1"/>
  <c r="I31" i="1"/>
  <c r="I32" i="1"/>
  <c r="I33" i="1"/>
  <c r="I34" i="1"/>
  <c r="I35" i="1"/>
  <c r="I36" i="1"/>
  <c r="I37" i="1"/>
  <c r="J7" i="1"/>
  <c r="J25" i="1"/>
  <c r="J26" i="1"/>
  <c r="J27" i="1"/>
  <c r="J28" i="1"/>
  <c r="J29" i="1"/>
  <c r="J30" i="1"/>
  <c r="N30" i="1" s="1"/>
  <c r="J31" i="1"/>
  <c r="N31" i="1" s="1"/>
  <c r="J32" i="1"/>
  <c r="J33" i="1"/>
  <c r="J34" i="1"/>
  <c r="J35" i="1"/>
  <c r="J36" i="1"/>
  <c r="J37" i="1"/>
  <c r="K7" i="1"/>
  <c r="K8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L7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M7" i="1"/>
  <c r="M25" i="1"/>
  <c r="M26" i="1"/>
  <c r="M27" i="1"/>
  <c r="M28" i="1"/>
  <c r="M29" i="1"/>
  <c r="M31" i="1"/>
  <c r="M32" i="1"/>
  <c r="M33" i="1"/>
  <c r="M34" i="1"/>
  <c r="M35" i="1"/>
  <c r="M36" i="1"/>
  <c r="M37" i="1"/>
  <c r="N7" i="1"/>
  <c r="N25" i="1"/>
  <c r="N26" i="1"/>
  <c r="N27" i="1"/>
  <c r="N28" i="1"/>
  <c r="N29" i="1"/>
  <c r="N32" i="1"/>
  <c r="N33" i="1"/>
  <c r="N34" i="1"/>
  <c r="N35" i="1"/>
  <c r="N36" i="1"/>
  <c r="N37" i="1"/>
  <c r="F24" i="1" l="1"/>
  <c r="E24" i="1" s="1"/>
  <c r="G24" i="1"/>
  <c r="F23" i="1"/>
  <c r="E23" i="1" s="1"/>
  <c r="G23" i="1"/>
  <c r="F22" i="1"/>
  <c r="E22" i="1" s="1"/>
  <c r="G21" i="1"/>
  <c r="G20" i="1"/>
  <c r="F19" i="1"/>
  <c r="E19" i="1" s="1"/>
  <c r="G19" i="1"/>
  <c r="G18" i="1"/>
  <c r="F18" i="1"/>
  <c r="E18" i="1" s="1"/>
  <c r="G17" i="1"/>
  <c r="F17" i="1"/>
  <c r="E17" i="1" s="1"/>
  <c r="F16" i="1"/>
  <c r="E16" i="1" s="1"/>
  <c r="F15" i="1"/>
  <c r="E15" i="1" s="1"/>
  <c r="G15" i="1"/>
  <c r="F14" i="1"/>
  <c r="E14" i="1" s="1"/>
  <c r="G12" i="1"/>
  <c r="G11" i="1"/>
  <c r="G10" i="1"/>
  <c r="F10" i="1"/>
  <c r="E10" i="1" s="1"/>
  <c r="G30" i="1"/>
  <c r="G22" i="1"/>
  <c r="G14" i="1"/>
  <c r="F37" i="1"/>
  <c r="E37" i="1" s="1"/>
  <c r="F29" i="1"/>
  <c r="E29" i="1" s="1"/>
  <c r="F21" i="1"/>
  <c r="E21" i="1" s="1"/>
  <c r="F13" i="1"/>
  <c r="E13" i="1" s="1"/>
  <c r="F36" i="1"/>
  <c r="E36" i="1" s="1"/>
  <c r="F28" i="1"/>
  <c r="E28" i="1" s="1"/>
  <c r="F20" i="1"/>
  <c r="E20" i="1" s="1"/>
  <c r="F12" i="1"/>
  <c r="E12" i="1" s="1"/>
  <c r="R15" i="2" l="1"/>
  <c r="G15" i="2"/>
  <c r="BA7" i="1"/>
  <c r="AP7" i="1"/>
  <c r="AN7" i="1"/>
  <c r="B15" i="2" l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R14" i="2"/>
  <c r="M14" i="2"/>
  <c r="G14" i="2"/>
  <c r="BI6" i="1"/>
  <c r="AV6" i="1"/>
  <c r="AL6" i="1"/>
  <c r="AB6" i="1"/>
  <c r="Q6" i="1"/>
  <c r="BL6" i="1"/>
  <c r="BK6" i="1" s="1"/>
  <c r="BA6" i="1"/>
  <c r="AY6" i="1"/>
  <c r="K6" i="1" s="1"/>
  <c r="O6" i="1" s="1"/>
  <c r="AX6" i="1"/>
  <c r="AW6" i="1"/>
  <c r="AP6" i="1"/>
  <c r="AM6" i="1" s="1"/>
  <c r="AN6" i="1"/>
  <c r="AF6" i="1"/>
  <c r="AC6" i="1" s="1"/>
  <c r="AD6" i="1"/>
  <c r="H6" i="1"/>
  <c r="G6" i="1" s="1"/>
  <c r="F6" i="1"/>
  <c r="E6" i="1"/>
  <c r="D6" i="1"/>
  <c r="BL35" i="1"/>
  <c r="BJ35" i="1" s="1"/>
  <c r="BA35" i="1"/>
  <c r="AY35" i="1" s="1"/>
  <c r="AX35" i="1"/>
  <c r="AP35" i="1"/>
  <c r="AM35" i="1" s="1"/>
  <c r="AN35" i="1"/>
  <c r="AF35" i="1"/>
  <c r="AD35" i="1"/>
  <c r="AC35" i="1"/>
  <c r="R25" i="2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6" i="1"/>
  <c r="AF37" i="1"/>
  <c r="AF38" i="1"/>
  <c r="AF39" i="1"/>
  <c r="AF8" i="1"/>
  <c r="BA9" i="1"/>
  <c r="AY9" i="1" s="1"/>
  <c r="K9" i="1" s="1"/>
  <c r="O9" i="1" s="1"/>
  <c r="BA10" i="1"/>
  <c r="AY10" i="1" s="1"/>
  <c r="BA11" i="1"/>
  <c r="AY11" i="1" s="1"/>
  <c r="BA12" i="1"/>
  <c r="AY12" i="1" s="1"/>
  <c r="BA13" i="1"/>
  <c r="AY13" i="1" s="1"/>
  <c r="BA14" i="1"/>
  <c r="AY14" i="1" s="1"/>
  <c r="BA15" i="1"/>
  <c r="AY15" i="1" s="1"/>
  <c r="BA16" i="1"/>
  <c r="AY16" i="1" s="1"/>
  <c r="BA17" i="1"/>
  <c r="AY17" i="1" s="1"/>
  <c r="BA18" i="1"/>
  <c r="AY18" i="1" s="1"/>
  <c r="BA19" i="1"/>
  <c r="AY19" i="1" s="1"/>
  <c r="BA20" i="1"/>
  <c r="AY20" i="1" s="1"/>
  <c r="BA21" i="1"/>
  <c r="AY21" i="1" s="1"/>
  <c r="BA22" i="1"/>
  <c r="AY22" i="1" s="1"/>
  <c r="BA23" i="1"/>
  <c r="AY23" i="1" s="1"/>
  <c r="BA24" i="1"/>
  <c r="AY24" i="1" s="1"/>
  <c r="BA25" i="1"/>
  <c r="AY25" i="1" s="1"/>
  <c r="BA26" i="1"/>
  <c r="AY26" i="1" s="1"/>
  <c r="BA27" i="1"/>
  <c r="AY27" i="1" s="1"/>
  <c r="BA28" i="1"/>
  <c r="AY28" i="1" s="1"/>
  <c r="BA29" i="1"/>
  <c r="AY29" i="1" s="1"/>
  <c r="BA30" i="1"/>
  <c r="AY30" i="1" s="1"/>
  <c r="BA31" i="1"/>
  <c r="AY31" i="1" s="1"/>
  <c r="BA32" i="1"/>
  <c r="AY32" i="1" s="1"/>
  <c r="BA33" i="1"/>
  <c r="AY33" i="1" s="1"/>
  <c r="BA34" i="1"/>
  <c r="AY34" i="1" s="1"/>
  <c r="BA36" i="1"/>
  <c r="AY36" i="1" s="1"/>
  <c r="BA37" i="1"/>
  <c r="AY37" i="1" s="1"/>
  <c r="BA38" i="1"/>
  <c r="AY38" i="1" s="1"/>
  <c r="BA39" i="1"/>
  <c r="AY39" i="1"/>
  <c r="L24" i="1" l="1"/>
  <c r="P24" i="1" s="1"/>
  <c r="L16" i="1"/>
  <c r="P16" i="1" s="1"/>
  <c r="I13" i="1"/>
  <c r="M13" i="1" s="1"/>
  <c r="I12" i="1"/>
  <c r="M12" i="1" s="1"/>
  <c r="L12" i="1"/>
  <c r="P12" i="1" s="1"/>
  <c r="J10" i="1"/>
  <c r="N10" i="1" s="1"/>
  <c r="L10" i="1"/>
  <c r="P10" i="1" s="1"/>
  <c r="I10" i="1"/>
  <c r="M10" i="1" s="1"/>
  <c r="J6" i="1"/>
  <c r="N6" i="1" s="1"/>
  <c r="L6" i="1"/>
  <c r="P6" i="1" s="1"/>
  <c r="I6" i="1"/>
  <c r="M6" i="1" s="1"/>
  <c r="BJ6" i="1"/>
  <c r="BK35" i="1"/>
  <c r="AW35" i="1"/>
  <c r="BA8" i="1"/>
  <c r="AY8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D7" i="1"/>
  <c r="AC7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M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X7" i="1"/>
  <c r="AY7" i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L7" i="1"/>
  <c r="BJ7" i="1" s="1"/>
  <c r="AC8" i="1"/>
  <c r="AD8" i="1"/>
  <c r="AN8" i="1"/>
  <c r="AP8" i="1"/>
  <c r="AM8" i="1" s="1"/>
  <c r="AX8" i="1"/>
  <c r="BL8" i="1"/>
  <c r="AD9" i="1"/>
  <c r="AC9" i="1"/>
  <c r="AN9" i="1"/>
  <c r="AP9" i="1"/>
  <c r="AM9" i="1" s="1"/>
  <c r="AX9" i="1"/>
  <c r="AW9" i="1"/>
  <c r="BL9" i="1"/>
  <c r="AC10" i="1"/>
  <c r="AD10" i="1"/>
  <c r="AN10" i="1"/>
  <c r="AP10" i="1"/>
  <c r="AX10" i="1"/>
  <c r="BL10" i="1"/>
  <c r="AD11" i="1"/>
  <c r="AN11" i="1"/>
  <c r="AP11" i="1"/>
  <c r="AM11" i="1" s="1"/>
  <c r="AW11" i="1"/>
  <c r="AX11" i="1"/>
  <c r="BL11" i="1"/>
  <c r="BJ11" i="1" s="1"/>
  <c r="AD12" i="1"/>
  <c r="AC12" i="1"/>
  <c r="AN12" i="1"/>
  <c r="AP12" i="1"/>
  <c r="AM12" i="1" s="1"/>
  <c r="AX12" i="1"/>
  <c r="AW12" i="1"/>
  <c r="BL12" i="1"/>
  <c r="BJ12" i="1" s="1"/>
  <c r="AD13" i="1"/>
  <c r="AC13" i="1"/>
  <c r="AN13" i="1"/>
  <c r="AP13" i="1"/>
  <c r="AM13" i="1" s="1"/>
  <c r="AX13" i="1"/>
  <c r="AW13" i="1"/>
  <c r="BL13" i="1"/>
  <c r="L13" i="1" s="1"/>
  <c r="P13" i="1" s="1"/>
  <c r="AD14" i="1"/>
  <c r="AC14" i="1"/>
  <c r="AN14" i="1"/>
  <c r="AP14" i="1"/>
  <c r="AW14" i="1"/>
  <c r="AX14" i="1"/>
  <c r="BL14" i="1"/>
  <c r="I14" i="1" s="1"/>
  <c r="M14" i="1" s="1"/>
  <c r="AD15" i="1"/>
  <c r="AC15" i="1"/>
  <c r="AN15" i="1"/>
  <c r="AP15" i="1"/>
  <c r="AW15" i="1"/>
  <c r="AX15" i="1"/>
  <c r="BL15" i="1"/>
  <c r="I15" i="1" s="1"/>
  <c r="M15" i="1" s="1"/>
  <c r="AD16" i="1"/>
  <c r="AC16" i="1"/>
  <c r="AN16" i="1"/>
  <c r="AP16" i="1"/>
  <c r="AM16" i="1" s="1"/>
  <c r="AX16" i="1"/>
  <c r="AW16" i="1"/>
  <c r="BL16" i="1"/>
  <c r="BJ16" i="1" s="1"/>
  <c r="AD17" i="1"/>
  <c r="AC17" i="1"/>
  <c r="AN17" i="1"/>
  <c r="AP17" i="1"/>
  <c r="AX17" i="1"/>
  <c r="AW17" i="1"/>
  <c r="BL17" i="1"/>
  <c r="I17" i="1" s="1"/>
  <c r="M17" i="1" s="1"/>
  <c r="AD18" i="1"/>
  <c r="AC18" i="1"/>
  <c r="AN18" i="1"/>
  <c r="AP18" i="1"/>
  <c r="AM18" i="1" s="1"/>
  <c r="AX18" i="1"/>
  <c r="BL18" i="1"/>
  <c r="BJ18" i="1" s="1"/>
  <c r="AD19" i="1"/>
  <c r="AC19" i="1"/>
  <c r="AN19" i="1"/>
  <c r="AP19" i="1"/>
  <c r="AM19" i="1" s="1"/>
  <c r="AX19" i="1"/>
  <c r="AW19" i="1"/>
  <c r="BL19" i="1"/>
  <c r="BJ19" i="1" s="1"/>
  <c r="AD20" i="1"/>
  <c r="AC20" i="1"/>
  <c r="AN20" i="1"/>
  <c r="AP20" i="1"/>
  <c r="AM20" i="1" s="1"/>
  <c r="AX20" i="1"/>
  <c r="AW20" i="1"/>
  <c r="BL20" i="1"/>
  <c r="BJ20" i="1" s="1"/>
  <c r="AD21" i="1"/>
  <c r="AC21" i="1"/>
  <c r="AN21" i="1"/>
  <c r="AP21" i="1"/>
  <c r="AM21" i="1" s="1"/>
  <c r="AX21" i="1"/>
  <c r="BL21" i="1"/>
  <c r="BJ21" i="1" s="1"/>
  <c r="AD22" i="1"/>
  <c r="AC22" i="1"/>
  <c r="AN22" i="1"/>
  <c r="AP22" i="1"/>
  <c r="AM22" i="1" s="1"/>
  <c r="AX22" i="1"/>
  <c r="AW22" i="1"/>
  <c r="BL22" i="1"/>
  <c r="J22" i="1" s="1"/>
  <c r="N22" i="1" s="1"/>
  <c r="AD23" i="1"/>
  <c r="AN23" i="1"/>
  <c r="AP23" i="1"/>
  <c r="AX23" i="1"/>
  <c r="AW23" i="1"/>
  <c r="BL23" i="1"/>
  <c r="J23" i="1" s="1"/>
  <c r="N23" i="1" s="1"/>
  <c r="AD24" i="1"/>
  <c r="AC24" i="1"/>
  <c r="AN24" i="1"/>
  <c r="AP24" i="1"/>
  <c r="AW24" i="1"/>
  <c r="AX24" i="1"/>
  <c r="BL24" i="1"/>
  <c r="BJ24" i="1" s="1"/>
  <c r="AD25" i="1"/>
  <c r="AC25" i="1"/>
  <c r="AN25" i="1"/>
  <c r="AP25" i="1"/>
  <c r="AM25" i="1" s="1"/>
  <c r="AW25" i="1"/>
  <c r="AX25" i="1"/>
  <c r="BL25" i="1"/>
  <c r="AD26" i="1"/>
  <c r="AC26" i="1"/>
  <c r="AN26" i="1"/>
  <c r="AP26" i="1"/>
  <c r="AM26" i="1" s="1"/>
  <c r="AX26" i="1"/>
  <c r="BL26" i="1"/>
  <c r="AD27" i="1"/>
  <c r="AC27" i="1"/>
  <c r="AN27" i="1"/>
  <c r="AP27" i="1"/>
  <c r="AM27" i="1" s="1"/>
  <c r="AX27" i="1"/>
  <c r="AW27" i="1"/>
  <c r="BL27" i="1"/>
  <c r="BJ27" i="1" s="1"/>
  <c r="AD28" i="1"/>
  <c r="AC28" i="1"/>
  <c r="AN28" i="1"/>
  <c r="AP28" i="1"/>
  <c r="AM28" i="1" s="1"/>
  <c r="AX28" i="1"/>
  <c r="AW28" i="1"/>
  <c r="BL28" i="1"/>
  <c r="AD29" i="1"/>
  <c r="AC29" i="1"/>
  <c r="AN29" i="1"/>
  <c r="AP29" i="1"/>
  <c r="AM29" i="1" s="1"/>
  <c r="AX29" i="1"/>
  <c r="BL29" i="1"/>
  <c r="BJ29" i="1" s="1"/>
  <c r="AD30" i="1"/>
  <c r="AC30" i="1"/>
  <c r="AN30" i="1"/>
  <c r="AP30" i="1"/>
  <c r="AM30" i="1" s="1"/>
  <c r="AX30" i="1"/>
  <c r="AW30" i="1"/>
  <c r="BL30" i="1"/>
  <c r="AC31" i="1"/>
  <c r="AD31" i="1"/>
  <c r="AN31" i="1"/>
  <c r="AP31" i="1"/>
  <c r="AM31" i="1" s="1"/>
  <c r="AX31" i="1"/>
  <c r="AW31" i="1"/>
  <c r="BL31" i="1"/>
  <c r="AC32" i="1"/>
  <c r="AD32" i="1"/>
  <c r="AN32" i="1"/>
  <c r="AP32" i="1"/>
  <c r="AM32" i="1" s="1"/>
  <c r="AX32" i="1"/>
  <c r="AW32" i="1"/>
  <c r="BL32" i="1"/>
  <c r="BJ32" i="1" s="1"/>
  <c r="AD33" i="1"/>
  <c r="AC33" i="1"/>
  <c r="AM33" i="1"/>
  <c r="AN33" i="1"/>
  <c r="AX33" i="1"/>
  <c r="BL33" i="1"/>
  <c r="AD34" i="1"/>
  <c r="AC34" i="1"/>
  <c r="AN34" i="1"/>
  <c r="AP34" i="1"/>
  <c r="AM34" i="1" s="1"/>
  <c r="AX34" i="1"/>
  <c r="AW34" i="1"/>
  <c r="BL34" i="1"/>
  <c r="BJ34" i="1" s="1"/>
  <c r="AD36" i="1"/>
  <c r="AC36" i="1"/>
  <c r="AN36" i="1"/>
  <c r="AP36" i="1"/>
  <c r="AM36" i="1" s="1"/>
  <c r="AX36" i="1"/>
  <c r="BL36" i="1"/>
  <c r="BK36" i="1" s="1"/>
  <c r="AD37" i="1"/>
  <c r="AC37" i="1"/>
  <c r="AN37" i="1"/>
  <c r="AP37" i="1"/>
  <c r="AM37" i="1" s="1"/>
  <c r="AW37" i="1"/>
  <c r="AX37" i="1"/>
  <c r="BL37" i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J79" i="2"/>
  <c r="E79" i="2" s="1"/>
  <c r="R36" i="2"/>
  <c r="R35" i="2"/>
  <c r="J24" i="1" l="1"/>
  <c r="N24" i="1" s="1"/>
  <c r="I24" i="1"/>
  <c r="M24" i="1" s="1"/>
  <c r="AM24" i="1"/>
  <c r="K24" i="1"/>
  <c r="O24" i="1" s="1"/>
  <c r="L23" i="1"/>
  <c r="P23" i="1" s="1"/>
  <c r="I23" i="1"/>
  <c r="M23" i="1" s="1"/>
  <c r="AM23" i="1"/>
  <c r="K23" i="1"/>
  <c r="O23" i="1" s="1"/>
  <c r="I22" i="1"/>
  <c r="M22" i="1" s="1"/>
  <c r="L22" i="1"/>
  <c r="P22" i="1" s="1"/>
  <c r="K22" i="1"/>
  <c r="O22" i="1" s="1"/>
  <c r="L21" i="1"/>
  <c r="P21" i="1" s="1"/>
  <c r="J21" i="1"/>
  <c r="N21" i="1" s="1"/>
  <c r="I21" i="1"/>
  <c r="M21" i="1" s="1"/>
  <c r="K21" i="1"/>
  <c r="O21" i="1" s="1"/>
  <c r="L20" i="1"/>
  <c r="P20" i="1" s="1"/>
  <c r="I20" i="1"/>
  <c r="M20" i="1" s="1"/>
  <c r="J20" i="1"/>
  <c r="N20" i="1" s="1"/>
  <c r="K20" i="1"/>
  <c r="O20" i="1" s="1"/>
  <c r="L19" i="1"/>
  <c r="P19" i="1" s="1"/>
  <c r="I19" i="1"/>
  <c r="M19" i="1" s="1"/>
  <c r="J19" i="1"/>
  <c r="N19" i="1" s="1"/>
  <c r="K19" i="1"/>
  <c r="O19" i="1" s="1"/>
  <c r="I18" i="1"/>
  <c r="M18" i="1" s="1"/>
  <c r="L18" i="1"/>
  <c r="P18" i="1" s="1"/>
  <c r="J18" i="1"/>
  <c r="N18" i="1" s="1"/>
  <c r="K18" i="1"/>
  <c r="O18" i="1" s="1"/>
  <c r="J17" i="1"/>
  <c r="N17" i="1" s="1"/>
  <c r="L17" i="1"/>
  <c r="P17" i="1" s="1"/>
  <c r="AM17" i="1"/>
  <c r="K17" i="1"/>
  <c r="O17" i="1" s="1"/>
  <c r="J16" i="1"/>
  <c r="N16" i="1" s="1"/>
  <c r="I16" i="1"/>
  <c r="M16" i="1" s="1"/>
  <c r="K16" i="1"/>
  <c r="O16" i="1" s="1"/>
  <c r="J15" i="1"/>
  <c r="N15" i="1" s="1"/>
  <c r="L15" i="1"/>
  <c r="P15" i="1" s="1"/>
  <c r="AM15" i="1"/>
  <c r="K15" i="1"/>
  <c r="O15" i="1" s="1"/>
  <c r="L14" i="1"/>
  <c r="P14" i="1" s="1"/>
  <c r="J14" i="1"/>
  <c r="N14" i="1" s="1"/>
  <c r="AM14" i="1"/>
  <c r="K14" i="1"/>
  <c r="O14" i="1" s="1"/>
  <c r="J13" i="1"/>
  <c r="N13" i="1" s="1"/>
  <c r="K13" i="1"/>
  <c r="O13" i="1" s="1"/>
  <c r="J12" i="1"/>
  <c r="N12" i="1" s="1"/>
  <c r="K12" i="1"/>
  <c r="O12" i="1" s="1"/>
  <c r="J11" i="1"/>
  <c r="N11" i="1" s="1"/>
  <c r="I11" i="1"/>
  <c r="M11" i="1" s="1"/>
  <c r="L11" i="1"/>
  <c r="P11" i="1" s="1"/>
  <c r="K11" i="1"/>
  <c r="O11" i="1" s="1"/>
  <c r="AM10" i="1"/>
  <c r="K10" i="1"/>
  <c r="O10" i="1" s="1"/>
  <c r="BJ8" i="1"/>
  <c r="J8" i="1"/>
  <c r="N8" i="1" s="1"/>
  <c r="I8" i="1"/>
  <c r="M8" i="1" s="1"/>
  <c r="L8" i="1"/>
  <c r="BJ9" i="1"/>
  <c r="J9" i="1"/>
  <c r="N9" i="1" s="1"/>
  <c r="I9" i="1"/>
  <c r="M9" i="1" s="1"/>
  <c r="L9" i="1"/>
  <c r="P9" i="1" s="1"/>
  <c r="Q35" i="1"/>
  <c r="Q36" i="1" s="1"/>
  <c r="Q37" i="1" s="1"/>
  <c r="AL35" i="1"/>
  <c r="AL36" i="1" s="1"/>
  <c r="AL37" i="1" s="1"/>
  <c r="BI35" i="1"/>
  <c r="BI36" i="1" s="1"/>
  <c r="BI37" i="1" s="1"/>
  <c r="AB35" i="1"/>
  <c r="AB36" i="1" s="1"/>
  <c r="AB37" i="1" s="1"/>
  <c r="AV35" i="1"/>
  <c r="AV36" i="1" s="1"/>
  <c r="AV37" i="1" s="1"/>
  <c r="AW8" i="1"/>
  <c r="BJ33" i="1"/>
  <c r="BK27" i="1"/>
  <c r="BJ13" i="1"/>
  <c r="BK16" i="1"/>
  <c r="BK24" i="1"/>
  <c r="BJ36" i="1"/>
  <c r="BJ23" i="1"/>
  <c r="BK37" i="1"/>
  <c r="BK29" i="1"/>
  <c r="BJ26" i="1"/>
  <c r="BJ15" i="1"/>
  <c r="BK26" i="1"/>
  <c r="BJ31" i="1"/>
  <c r="BJ28" i="1"/>
  <c r="BK8" i="1"/>
  <c r="BK33" i="1"/>
  <c r="BK21" i="1"/>
  <c r="BK32" i="1"/>
  <c r="AW7" i="1"/>
  <c r="AC23" i="1"/>
  <c r="AC11" i="1"/>
  <c r="BJ25" i="1"/>
  <c r="BK25" i="1"/>
  <c r="AW21" i="1"/>
  <c r="BJ30" i="1"/>
  <c r="BK30" i="1"/>
  <c r="BJ14" i="1"/>
  <c r="BK14" i="1"/>
  <c r="BJ17" i="1"/>
  <c r="BK17" i="1"/>
  <c r="AW29" i="1"/>
  <c r="AW26" i="1"/>
  <c r="AW10" i="1"/>
  <c r="BJ37" i="1"/>
  <c r="AW36" i="1"/>
  <c r="AW33" i="1"/>
  <c r="BJ22" i="1"/>
  <c r="BK22" i="1"/>
  <c r="AW18" i="1"/>
  <c r="BK31" i="1"/>
  <c r="BK23" i="1"/>
  <c r="BK15" i="1"/>
  <c r="BK7" i="1"/>
  <c r="BK10" i="1"/>
  <c r="BK9" i="1"/>
  <c r="BK18" i="1"/>
  <c r="BK11" i="1"/>
  <c r="BJ10" i="1"/>
  <c r="BK34" i="1"/>
  <c r="BK19" i="1"/>
  <c r="BK12" i="1"/>
  <c r="BK28" i="1"/>
  <c r="BK20" i="1"/>
  <c r="BK13" i="1"/>
  <c r="I79" i="2"/>
  <c r="H79" i="2"/>
  <c r="G79" i="2"/>
  <c r="F79" i="2"/>
  <c r="R33" i="2"/>
  <c r="R45" i="2" l="1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41" i="2"/>
  <c r="R42" i="2"/>
  <c r="R40" i="2"/>
  <c r="R39" i="2"/>
  <c r="R38" i="2"/>
  <c r="R37" i="2"/>
  <c r="R34" i="2"/>
  <c r="R32" i="2"/>
  <c r="R31" i="2"/>
  <c r="R30" i="2"/>
  <c r="R29" i="2" l="1"/>
  <c r="R28" i="2"/>
  <c r="R27" i="2"/>
  <c r="R26" i="2"/>
  <c r="R24" i="2"/>
  <c r="R23" i="2"/>
  <c r="R22" i="2"/>
  <c r="R19" i="2"/>
  <c r="R18" i="2"/>
  <c r="R16" i="2"/>
  <c r="R17" i="2"/>
  <c r="I15" i="2" l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l="1"/>
  <c r="I27" i="2" s="1"/>
  <c r="I28" i="2" s="1"/>
  <c r="I29" i="2" s="1"/>
  <c r="I30" i="2" s="1"/>
  <c r="I31" i="2" s="1"/>
  <c r="I32" i="2" s="1"/>
  <c r="I33" i="2" l="1"/>
  <c r="I34" i="2" s="1"/>
  <c r="I35" i="2" s="1"/>
  <c r="I36" i="2" s="1"/>
  <c r="I37" i="2" s="1"/>
  <c r="I38" i="2" s="1"/>
  <c r="I39" i="2" s="1"/>
  <c r="I40" i="2" s="1"/>
  <c r="I41" i="2" l="1"/>
  <c r="I42" i="2" s="1"/>
  <c r="I43" i="2" s="1"/>
  <c r="I44" i="2" s="1"/>
  <c r="I45" i="2" s="1"/>
  <c r="M15" i="2"/>
  <c r="M16" i="2" l="1"/>
  <c r="M17" i="2" l="1"/>
  <c r="M18" i="2" l="1"/>
  <c r="M20" i="2" l="1"/>
  <c r="M19" i="2"/>
  <c r="M21" i="2" l="1"/>
  <c r="M22" i="2" l="1"/>
  <c r="M23" i="2" l="1"/>
  <c r="M24" i="2" l="1"/>
  <c r="M25" i="2" l="1"/>
  <c r="M26" i="2" l="1"/>
  <c r="M27" i="2" l="1"/>
  <c r="M28" i="2" l="1"/>
  <c r="M29" i="2" l="1"/>
  <c r="M30" i="2" l="1"/>
  <c r="M31" i="2" l="1"/>
  <c r="M33" i="2" l="1"/>
  <c r="M32" i="2"/>
  <c r="M34" i="2" l="1"/>
  <c r="M35" i="2" l="1"/>
  <c r="M36" i="2" l="1"/>
  <c r="M37" i="2" l="1"/>
  <c r="M38" i="2" l="1"/>
  <c r="M39" i="2" l="1"/>
  <c r="M40" i="2" l="1"/>
  <c r="M41" i="2" l="1"/>
  <c r="M42" i="2" l="1"/>
  <c r="M43" i="2" l="1"/>
  <c r="M45" i="2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<sst xmlns="http://schemas.openxmlformats.org/spreadsheetml/2006/main" count="123" uniqueCount="71">
  <si>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</si>
  <si>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</si>
  <si>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</si>
  <si>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</si>
  <si>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</si>
  <si>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</si>
  <si>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</si>
  <si>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</si>
  <si>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</si>
  <si>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</si>
  <si>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</si>
  <si>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</si>
  <si>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</si>
  <si>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</si>
  <si>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</si>
  <si>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</si>
  <si>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</si>
  <si>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</si>
  <si>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</si>
  <si>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</si>
  <si>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</si>
  <si>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</si>
  <si>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</si>
  <si>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</si>
  <si>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</si>
  <si>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</si>
  <si>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</si>
  <si>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</si>
  <si>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</si>
  <si>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</si>
  <si>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</si>
  <si>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</si>
  <si>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</si>
  <si>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</si>
  <si>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</si>
  <si>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</si>
  <si>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</si>
  <si>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</si>
  <si>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</si>
  <si>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</si>
  <si>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</si>
  <si>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</si>
  <si>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</si>
  <si>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</si>
  <si>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</si>
  <si>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</si>
  <si>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</si>
  <si>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</si>
  <si>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</si>
  <si>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</si>
  <si>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</si>
  <si>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</si>
  <si>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</si>
  <si>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</si>
  <si>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</si>
  <si>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</si>
  <si>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</si>
  <si>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</si>
  <si>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</si>
  <si>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</si>
  <si>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</si>
  <si>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</si>
  <si>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</si>
  <si>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</si>
  <si>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</si>
  <si>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</si>
  <si>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</si>
  <si>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</si>
  <si>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</si>
  <si>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</si>
  <si>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0:000:00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</si>
</sst>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6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166" fontId="8" fillId="0" borderId="58" xfId="1" applyNumberFormat="1" applyFont="1" applyFill="1" applyBorder="1" applyAlignment="1">
      <alignment horizontal="center"/>
    </xf>
    <xf numFmtId="165" fontId="8" fillId="5" borderId="58" xfId="2" applyNumberFormat="1" applyFont="1" applyFill="1" applyBorder="1"/>
    <xf numFmtId="166" fontId="8" fillId="5" borderId="58" xfId="10" applyNumberFormat="1" applyFont="1" applyFill="1" applyBorder="1"/>
    <xf numFmtId="167" fontId="8" fillId="5" borderId="58" xfId="10" applyNumberFormat="1" applyFont="1" applyFill="1" applyBorder="1" applyAlignment="1">
      <alignment horizontal="center"/>
    </xf>
    <xf numFmtId="166" fontId="8" fillId="7" borderId="58" xfId="1" applyNumberFormat="1" applyFont="1" applyFill="1" applyBorder="1" applyAlignment="1">
      <alignment horizontal="center"/>
    </xf>
    <xf numFmtId="165" fontId="8" fillId="0" borderId="58" xfId="0" applyNumberFormat="1" applyFont="1" applyBorder="1" applyAlignment="1">
      <alignment horizontal="center"/>
    </xf>
    <xf numFmtId="166" fontId="8" fillId="5" borderId="58" xfId="1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165" fontId="8" fillId="8" borderId="58" xfId="0" applyNumberFormat="1" applyFont="1" applyFill="1" applyBorder="1"/>
    <xf numFmtId="166" fontId="8" fillId="0" borderId="58" xfId="17" applyNumberFormat="1" applyFont="1" applyFill="1" applyBorder="1" applyAlignment="1">
      <alignment horizontal="center"/>
    </xf>
    <xf numFmtId="165" fontId="8" fillId="8" borderId="58" xfId="2" applyNumberFormat="1" applyFont="1" applyFill="1" applyBorder="1" applyAlignment="1">
      <alignment horizontal="center"/>
    </xf>
    <xf numFmtId="166" fontId="8" fillId="8" borderId="58" xfId="17" applyNumberFormat="1" applyFont="1" applyFill="1" applyBorder="1" applyAlignment="1">
      <alignment horizontal="center"/>
    </xf>
    <xf numFmtId="167" fontId="8" fillId="8" borderId="58" xfId="0" applyNumberFormat="1" applyFont="1" applyFill="1" applyBorder="1" applyAlignment="1">
      <alignment horizontal="center"/>
    </xf>
    <xf numFmtId="20" fontId="8" fillId="8" borderId="58" xfId="0" applyNumberFormat="1" applyFont="1" applyFill="1" applyBorder="1" applyAlignment="1">
      <alignment horizontal="center"/>
    </xf>
    <xf numFmtId="165" fontId="8" fillId="7" borderId="58" xfId="2" applyNumberFormat="1" applyFont="1" applyFill="1" applyBorder="1" applyAlignment="1">
      <alignment horizontal="center"/>
    </xf>
    <xf numFmtId="167" fontId="8" fillId="7" borderId="58" xfId="0" applyNumberFormat="1" applyFont="1" applyFill="1" applyBorder="1" applyAlignment="1">
      <alignment horizontal="center"/>
    </xf>
    <xf numFmtId="166" fontId="8" fillId="9" borderId="58" xfId="0" applyNumberFormat="1" applyFont="1" applyFill="1" applyBorder="1" applyAlignment="1">
      <alignment horizontal="center"/>
    </xf>
    <xf numFmtId="165" fontId="8" fillId="9" borderId="58" xfId="0" applyNumberFormat="1" applyFont="1" applyFill="1" applyBorder="1" applyAlignment="1">
      <alignment horizontal="center"/>
    </xf>
    <xf numFmtId="168" fontId="8" fillId="9" borderId="58" xfId="0" applyNumberFormat="1" applyFont="1" applyFill="1" applyBorder="1" applyAlignment="1">
      <alignment horizontal="center"/>
    </xf>
    <xf numFmtId="1" fontId="8" fillId="9" borderId="58" xfId="0" applyNumberFormat="1" applyFont="1" applyFill="1" applyBorder="1" applyAlignment="1">
      <alignment horizontal="center"/>
    </xf>
    <xf numFmtId="165" fontId="8" fillId="5" borderId="58" xfId="2" applyNumberFormat="1" applyFont="1" applyFill="1" applyBorder="1" applyAlignment="1">
      <alignment horizontal="center"/>
    </xf>
    <xf numFmtId="167" fontId="8" fillId="5" borderId="58" xfId="0" applyNumberFormat="1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164" fontId="5" fillId="10" borderId="30" xfId="0" applyNumberFormat="1" applyFont="1" applyFill="1" applyBorder="1" applyAlignment="1">
      <alignment horizontal="center"/>
    </xf>
    <xf numFmtId="0" fontId="0" fillId="10" borderId="0" xfId="0" applyFill="1" applyBorder="1"/>
    <xf numFmtId="166" fontId="4" fillId="10" borderId="58" xfId="2" applyNumberFormat="1" applyFont="1" applyFill="1" applyBorder="1" applyAlignment="1">
      <alignment horizontal="center"/>
    </xf>
    <xf numFmtId="167" fontId="4" fillId="10" borderId="58" xfId="0" applyNumberFormat="1" applyFont="1" applyFill="1" applyBorder="1" applyAlignment="1">
      <alignment horizontal="center"/>
    </xf>
    <xf numFmtId="165" fontId="4" fillId="10" borderId="34" xfId="2" applyNumberFormat="1" applyFont="1" applyFill="1" applyBorder="1" applyAlignment="1">
      <alignment horizontal="center"/>
    </xf>
    <xf numFmtId="166" fontId="4" fillId="10" borderId="34" xfId="2" applyNumberFormat="1" applyFont="1" applyFill="1" applyBorder="1" applyAlignment="1">
      <alignment horizontal="center"/>
    </xf>
    <xf numFmtId="167" fontId="4" fillId="10" borderId="34" xfId="0" applyNumberFormat="1" applyFont="1" applyFill="1" applyBorder="1" applyAlignment="1">
      <alignment horizontal="center"/>
    </xf>
    <xf numFmtId="165" fontId="4" fillId="10" borderId="29" xfId="2" applyNumberFormat="1" applyFont="1" applyFill="1" applyBorder="1" applyAlignment="1">
      <alignment horizontal="center"/>
    </xf>
    <xf numFmtId="0" fontId="0" fillId="10" borderId="0" xfId="0" applyFill="1"/>
  </cellXfs>
  <cellStyles count="18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2 2 2" xfId="17" xr:uid="{A428DFBE-41F1-4A24-B001-5CB04C31FA12}"/>
    <cellStyle name="Millares 2 2 3" xfId="13" xr:uid="{D870F808-9D24-410B-B2DE-55E697674203}"/>
    <cellStyle name="Millares 2 3" xfId="7" xr:uid="{00000000-0005-0000-0000-000004000000}"/>
    <cellStyle name="Millares 2 3 2" xfId="15" xr:uid="{3D35D6E6-D826-43D6-99AB-4D7C9DACECAB}"/>
    <cellStyle name="Millares 2 4" xfId="11" xr:uid="{ACDF0624-9D0E-40AB-8239-9293C77ACCC9}"/>
    <cellStyle name="Millares 3" xfId="4" xr:uid="{00000000-0005-0000-0000-000005000000}"/>
    <cellStyle name="Millares 3 2" xfId="8" xr:uid="{00000000-0005-0000-0000-000006000000}"/>
    <cellStyle name="Millares 3 2 2" xfId="16" xr:uid="{CA7E45CC-D214-4430-BD8F-F5243051E132}"/>
    <cellStyle name="Millares 3 3" xfId="12" xr:uid="{6290801E-373E-4935-93F9-843C72E84193}"/>
    <cellStyle name="Millares 4" xfId="6" xr:uid="{00000000-0005-0000-0000-000007000000}"/>
    <cellStyle name="Millares 4 2" xfId="14" xr:uid="{C3A6EC7A-3A13-40EC-8378-3E23082E6DD6}"/>
    <cellStyle name="Millares 5" xfId="10" xr:uid="{271882CF-CE02-4F51-B9E3-463519BC5BE5}"/>
    <cellStyle name="Normal" xfId="0" builtinId="0"/>
    <cellStyle name="Porcentaje" xfId="2" builtinId="5"/>
  </cellStyles>
  <dxfs count="10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58750</c:v>
                </c:pt>
                <c:pt idx="1">
                  <c:v>58870</c:v>
                </c:pt>
                <c:pt idx="2">
                  <c:v>58178</c:v>
                </c:pt>
                <c:pt idx="3">
                  <c:v>59200</c:v>
                </c:pt>
                <c:pt idx="4">
                  <c:v>57628</c:v>
                </c:pt>
                <c:pt idx="5">
                  <c:v>33160</c:v>
                </c:pt>
                <c:pt idx="6">
                  <c:v>28550</c:v>
                </c:pt>
                <c:pt idx="7">
                  <c:v>59864</c:v>
                </c:pt>
                <c:pt idx="8">
                  <c:v>59012</c:v>
                </c:pt>
                <c:pt idx="9">
                  <c:v>58800</c:v>
                </c:pt>
                <c:pt idx="10">
                  <c:v>58560</c:v>
                </c:pt>
                <c:pt idx="11">
                  <c:v>58250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46174</c:v>
                      </c:pt>
                      <c:pt idx="1">
                        <c:v>46175</c:v>
                      </c:pt>
                      <c:pt idx="2">
                        <c:v>46176</c:v>
                      </c:pt>
                      <c:pt idx="3">
                        <c:v>46177</c:v>
                      </c:pt>
                      <c:pt idx="4">
                        <c:v>46178</c:v>
                      </c:pt>
                      <c:pt idx="5">
                        <c:v>46179</c:v>
                      </c:pt>
                      <c:pt idx="6">
                        <c:v>46180</c:v>
                      </c:pt>
                      <c:pt idx="7">
                        <c:v>46181</c:v>
                      </c:pt>
                      <c:pt idx="8">
                        <c:v>46182</c:v>
                      </c:pt>
                      <c:pt idx="9">
                        <c:v>46183</c:v>
                      </c:pt>
                      <c:pt idx="10">
                        <c:v>46184</c:v>
                      </c:pt>
                      <c:pt idx="11">
                        <c:v>46185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51710</c:v>
                </c:pt>
                <c:pt idx="1">
                  <c:v>51785</c:v>
                </c:pt>
                <c:pt idx="2">
                  <c:v>51083</c:v>
                </c:pt>
                <c:pt idx="3">
                  <c:v>52137.51</c:v>
                </c:pt>
                <c:pt idx="4">
                  <c:v>50593</c:v>
                </c:pt>
                <c:pt idx="5">
                  <c:v>26461</c:v>
                </c:pt>
                <c:pt idx="6">
                  <c:v>21880</c:v>
                </c:pt>
                <c:pt idx="7">
                  <c:v>52763</c:v>
                </c:pt>
                <c:pt idx="8">
                  <c:v>51800</c:v>
                </c:pt>
                <c:pt idx="9">
                  <c:v>51700</c:v>
                </c:pt>
                <c:pt idx="10">
                  <c:v>51595</c:v>
                </c:pt>
                <c:pt idx="11">
                  <c:v>51310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7040</c:v>
                </c:pt>
                <c:pt idx="1">
                  <c:v>7085</c:v>
                </c:pt>
                <c:pt idx="2">
                  <c:v>7095</c:v>
                </c:pt>
                <c:pt idx="3">
                  <c:v>7062.49</c:v>
                </c:pt>
                <c:pt idx="4">
                  <c:v>7035</c:v>
                </c:pt>
                <c:pt idx="5">
                  <c:v>6699</c:v>
                </c:pt>
                <c:pt idx="6">
                  <c:v>6670</c:v>
                </c:pt>
                <c:pt idx="7">
                  <c:v>7101</c:v>
                </c:pt>
                <c:pt idx="8">
                  <c:v>7212</c:v>
                </c:pt>
                <c:pt idx="9">
                  <c:v>7100</c:v>
                </c:pt>
                <c:pt idx="10">
                  <c:v>6965</c:v>
                </c:pt>
                <c:pt idx="11">
                  <c:v>6940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2430</c:v>
                </c:pt>
                <c:pt idx="1">
                  <c:v>2990</c:v>
                </c:pt>
                <c:pt idx="2">
                  <c:v>2987</c:v>
                </c:pt>
                <c:pt idx="3">
                  <c:v>3092</c:v>
                </c:pt>
                <c:pt idx="4">
                  <c:v>3001.54</c:v>
                </c:pt>
                <c:pt idx="5">
                  <c:v>3008</c:v>
                </c:pt>
                <c:pt idx="6">
                  <c:v>2543</c:v>
                </c:pt>
                <c:pt idx="7">
                  <c:v>790</c:v>
                </c:pt>
                <c:pt idx="8">
                  <c:v>3139</c:v>
                </c:pt>
                <c:pt idx="9">
                  <c:v>3147</c:v>
                </c:pt>
                <c:pt idx="10">
                  <c:v>3151</c:v>
                </c:pt>
                <c:pt idx="11">
                  <c:v>3146</c:v>
                </c:pt>
                <c:pt idx="12">
                  <c:v>3023</c:v>
                </c:pt>
                <c:pt idx="13">
                  <c:v>2585</c:v>
                </c:pt>
                <c:pt idx="14">
                  <c:v>2503</c:v>
                </c:pt>
                <c:pt idx="15">
                  <c:v>3085</c:v>
                </c:pt>
                <c:pt idx="16">
                  <c:v>3177</c:v>
                </c:pt>
                <c:pt idx="17">
                  <c:v>3115.9399999999996</c:v>
                </c:pt>
                <c:pt idx="18">
                  <c:v>3144.6000000000004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BE10" zoomScale="110" zoomScaleNormal="110" zoomScaleSheetLayoutView="120" workbookViewId="0">
      <selection activeCell="A24" sqref="A24:XFD24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226" t="s">
        <v>0</v>
      </c>
      <c r="C1" s="127"/>
      <c r="D1" s="228" t="s">
        <v>1</v>
      </c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30"/>
      <c r="P1" s="231"/>
      <c r="Q1" s="128"/>
      <c r="R1" s="208" t="s">
        <v>2</v>
      </c>
      <c r="S1" s="209"/>
      <c r="T1" s="209"/>
      <c r="U1" s="209"/>
      <c r="V1" s="209"/>
      <c r="W1" s="209"/>
      <c r="X1" s="209"/>
      <c r="Y1" s="209"/>
      <c r="Z1" s="209"/>
      <c r="AA1" s="210"/>
      <c r="AB1" s="129"/>
      <c r="AC1" s="208" t="s">
        <v>3</v>
      </c>
      <c r="AD1" s="209"/>
      <c r="AE1" s="209"/>
      <c r="AF1" s="209"/>
      <c r="AG1" s="209"/>
      <c r="AH1" s="209"/>
      <c r="AI1" s="209"/>
      <c r="AJ1" s="209"/>
      <c r="AK1" s="210"/>
      <c r="AL1" s="130"/>
      <c r="AM1" s="208" t="s">
        <v>4</v>
      </c>
      <c r="AN1" s="209"/>
      <c r="AO1" s="209"/>
      <c r="AP1" s="209"/>
      <c r="AQ1" s="209"/>
      <c r="AR1" s="209"/>
      <c r="AS1" s="209"/>
      <c r="AT1" s="209"/>
      <c r="AU1" s="210"/>
      <c r="AV1" s="130"/>
      <c r="AW1" s="208" t="s">
        <v>57</v>
      </c>
      <c r="AX1" s="209"/>
      <c r="AY1" s="209"/>
      <c r="AZ1" s="209"/>
      <c r="BA1" s="209"/>
      <c r="BB1" s="209"/>
      <c r="BC1" s="209"/>
      <c r="BD1" s="209"/>
      <c r="BE1" s="209"/>
      <c r="BF1" s="209"/>
      <c r="BG1" s="209"/>
      <c r="BH1" s="210"/>
      <c r="BI1" s="130"/>
      <c r="BJ1" s="208" t="s">
        <v>5</v>
      </c>
      <c r="BK1" s="209"/>
      <c r="BL1" s="209"/>
      <c r="BM1" s="209"/>
      <c r="BN1" s="209"/>
      <c r="BO1" s="209"/>
      <c r="BP1" s="209"/>
      <c r="BQ1" s="209"/>
      <c r="BR1" s="210"/>
      <c r="BS1" s="131"/>
    </row>
    <row r="2" spans="1:71" ht="15" customHeight="1" thickBot="1" x14ac:dyDescent="0.3">
      <c r="B2" s="226"/>
      <c r="C2" s="1"/>
      <c r="D2" s="232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4"/>
      <c r="P2" s="235"/>
      <c r="Q2" s="57"/>
      <c r="R2" s="211"/>
      <c r="S2" s="212"/>
      <c r="T2" s="212"/>
      <c r="U2" s="212"/>
      <c r="V2" s="212"/>
      <c r="W2" s="212"/>
      <c r="X2" s="212"/>
      <c r="Y2" s="212"/>
      <c r="Z2" s="212"/>
      <c r="AA2" s="213"/>
      <c r="AB2" s="59"/>
      <c r="AC2" s="211"/>
      <c r="AD2" s="212"/>
      <c r="AE2" s="212"/>
      <c r="AF2" s="212"/>
      <c r="AG2" s="212"/>
      <c r="AH2" s="212"/>
      <c r="AI2" s="212"/>
      <c r="AJ2" s="212"/>
      <c r="AK2" s="213"/>
      <c r="AL2" s="58"/>
      <c r="AM2" s="211"/>
      <c r="AN2" s="212"/>
      <c r="AO2" s="212"/>
      <c r="AP2" s="212"/>
      <c r="AQ2" s="212"/>
      <c r="AR2" s="212"/>
      <c r="AS2" s="212"/>
      <c r="AT2" s="212"/>
      <c r="AU2" s="213"/>
      <c r="AV2" s="58"/>
      <c r="AW2" s="211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3"/>
      <c r="BI2" s="58"/>
      <c r="BJ2" s="211"/>
      <c r="BK2" s="212"/>
      <c r="BL2" s="212"/>
      <c r="BM2" s="212"/>
      <c r="BN2" s="212"/>
      <c r="BO2" s="212"/>
      <c r="BP2" s="212"/>
      <c r="BQ2" s="212"/>
      <c r="BR2" s="213"/>
      <c r="BS2" s="134"/>
    </row>
    <row r="3" spans="1:71" ht="30" customHeight="1" thickBot="1" x14ac:dyDescent="0.3">
      <c r="B3" s="226"/>
      <c r="C3" s="1"/>
      <c r="D3" s="214" t="s">
        <v>6</v>
      </c>
      <c r="E3" s="214" t="s">
        <v>7</v>
      </c>
      <c r="F3" s="214" t="s">
        <v>8</v>
      </c>
      <c r="G3" s="214" t="s">
        <v>9</v>
      </c>
      <c r="H3" s="214" t="s">
        <v>10</v>
      </c>
      <c r="I3" s="236" t="s">
        <v>11</v>
      </c>
      <c r="J3" s="237"/>
      <c r="K3" s="238"/>
      <c r="L3" s="239"/>
      <c r="M3" s="236" t="s">
        <v>12</v>
      </c>
      <c r="N3" s="237"/>
      <c r="O3" s="238"/>
      <c r="P3" s="239"/>
      <c r="Q3" s="57"/>
      <c r="R3" s="218" t="s">
        <v>13</v>
      </c>
      <c r="S3" s="219"/>
      <c r="T3" s="240"/>
      <c r="U3" s="240"/>
      <c r="V3" s="218" t="s">
        <v>14</v>
      </c>
      <c r="W3" s="219"/>
      <c r="X3" s="219"/>
      <c r="Y3" s="219"/>
      <c r="Z3" s="219"/>
      <c r="AA3" s="220"/>
      <c r="AB3" s="59"/>
      <c r="AC3" s="216" t="s">
        <v>15</v>
      </c>
      <c r="AD3" s="241" t="s">
        <v>9</v>
      </c>
      <c r="AE3" s="218" t="s">
        <v>13</v>
      </c>
      <c r="AF3" s="219"/>
      <c r="AG3" s="220"/>
      <c r="AH3" s="218" t="s">
        <v>14</v>
      </c>
      <c r="AI3" s="219"/>
      <c r="AJ3" s="219"/>
      <c r="AK3" s="220"/>
      <c r="AL3" s="58"/>
      <c r="AM3" s="221" t="s">
        <v>15</v>
      </c>
      <c r="AN3" s="216" t="s">
        <v>9</v>
      </c>
      <c r="AO3" s="225" t="s">
        <v>13</v>
      </c>
      <c r="AP3" s="219"/>
      <c r="AQ3" s="220"/>
      <c r="AR3" s="218" t="s">
        <v>14</v>
      </c>
      <c r="AS3" s="219"/>
      <c r="AT3" s="219"/>
      <c r="AU3" s="220"/>
      <c r="AV3" s="58"/>
      <c r="AW3" s="216" t="s">
        <v>15</v>
      </c>
      <c r="AX3" s="216" t="s">
        <v>9</v>
      </c>
      <c r="AY3" s="225" t="s">
        <v>13</v>
      </c>
      <c r="AZ3" s="225"/>
      <c r="BA3" s="219"/>
      <c r="BB3" s="220"/>
      <c r="BC3" s="218" t="s">
        <v>14</v>
      </c>
      <c r="BD3" s="225"/>
      <c r="BE3" s="225"/>
      <c r="BF3" s="219"/>
      <c r="BG3" s="219"/>
      <c r="BH3" s="220"/>
      <c r="BI3" s="58"/>
      <c r="BJ3" s="221" t="s">
        <v>16</v>
      </c>
      <c r="BK3" s="216" t="s">
        <v>17</v>
      </c>
      <c r="BL3" s="222" t="s">
        <v>18</v>
      </c>
      <c r="BM3" s="223"/>
      <c r="BN3" s="224"/>
      <c r="BO3" s="225" t="s">
        <v>14</v>
      </c>
      <c r="BP3" s="219"/>
      <c r="BQ3" s="219"/>
      <c r="BR3" s="220"/>
      <c r="BS3" s="134"/>
    </row>
    <row r="4" spans="1:71" ht="56.25" customHeight="1" thickBot="1" x14ac:dyDescent="0.3">
      <c r="B4" s="227"/>
      <c r="C4" s="2"/>
      <c r="D4" s="215"/>
      <c r="E4" s="215"/>
      <c r="F4" s="215"/>
      <c r="G4" s="215"/>
      <c r="H4" s="215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217"/>
      <c r="AD4" s="209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208"/>
      <c r="AN4" s="217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217"/>
      <c r="AX4" s="217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208"/>
      <c r="BK4" s="217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B6" s="55">
        <v>46173</v>
      </c>
      <c r="D6" s="86">
        <f t="shared" ref="D6:D37" si="0">R6+S6</f>
        <v>28662</v>
      </c>
      <c r="E6" s="158">
        <f t="shared" ref="E6:E37" si="1">F6/D6</f>
        <v>0.76062382248272975</v>
      </c>
      <c r="F6" s="86">
        <f t="shared" ref="F6:F37" si="2">D6-H6</f>
        <v>21801</v>
      </c>
      <c r="G6" s="158">
        <f t="shared" ref="G6:G37" si="3">H6/D6</f>
        <v>0.23937617751727025</v>
      </c>
      <c r="H6" s="145">
        <f t="shared" ref="H6:H37" si="4">U6+AG6+AQ6+BB6</f>
        <v>6861</v>
      </c>
      <c r="I6" s="159">
        <f t="shared" ref="I6:I37" si="5">AE6/(AE6+AO6+BL6+AY6)</f>
        <v>4.9045194143857412E-2</v>
      </c>
      <c r="J6" s="158">
        <f t="shared" ref="J6:J37" si="6">AO6/(AE6+AO6+BL6+AY6)</f>
        <v>0.18427753023551877</v>
      </c>
      <c r="K6" s="158">
        <f t="shared" ref="K6:K37" si="7">AY6/(AF6+AP6+BM6+AZ6+AY6)</f>
        <v>0.18499347896967722</v>
      </c>
      <c r="L6" s="160">
        <f t="shared" ref="L6:L37" si="8">BL6/(AE6+AO6+BL6+AY6)</f>
        <v>0.62221514958625079</v>
      </c>
      <c r="M6" s="145">
        <f>(S6+T6)*I6</f>
        <v>1339.424252068746</v>
      </c>
      <c r="N6" s="145">
        <f>(S6+T6)*J6</f>
        <v>5032.6193507320177</v>
      </c>
      <c r="O6" s="145">
        <f>(S6+T6)*K6</f>
        <v>5052.1719106618848</v>
      </c>
      <c r="P6" s="145">
        <f>(S6+T6)*L6</f>
        <v>16992.695735200508</v>
      </c>
      <c r="Q6" s="55">
        <f>B6</f>
        <v>46173</v>
      </c>
      <c r="R6" s="138">
        <v>28662</v>
      </c>
      <c r="S6" s="139">
        <v>0</v>
      </c>
      <c r="T6" s="139">
        <v>27310</v>
      </c>
      <c r="U6" s="139">
        <v>0</v>
      </c>
      <c r="V6" s="140">
        <v>6482</v>
      </c>
      <c r="W6" s="141">
        <v>0.77083333333333337</v>
      </c>
      <c r="X6" s="140">
        <v>1850</v>
      </c>
      <c r="Y6" s="141">
        <v>0.80208333333333337</v>
      </c>
      <c r="Z6" s="140">
        <v>0</v>
      </c>
      <c r="AA6" s="141">
        <v>0</v>
      </c>
      <c r="AB6" s="55">
        <f>B6</f>
        <v>46173</v>
      </c>
      <c r="AC6" s="75">
        <f t="shared" ref="AC6" si="9">+AF6/AE6</f>
        <v>1</v>
      </c>
      <c r="AD6" s="161">
        <f t="shared" ref="AD6" si="10">+AG6/AE6</f>
        <v>0</v>
      </c>
      <c r="AE6" s="162">
        <v>1541</v>
      </c>
      <c r="AF6" s="117">
        <f t="shared" ref="AF6" si="11">AE6-AG6</f>
        <v>1541</v>
      </c>
      <c r="AG6" s="146">
        <v>0</v>
      </c>
      <c r="AH6" s="147">
        <v>1310</v>
      </c>
      <c r="AI6" s="148">
        <v>0.59236111111111112</v>
      </c>
      <c r="AJ6" s="147">
        <v>0</v>
      </c>
      <c r="AK6" s="164">
        <v>0</v>
      </c>
      <c r="AL6" s="55">
        <f>B6</f>
        <v>46173</v>
      </c>
      <c r="AM6" s="76">
        <f t="shared" ref="AM6" si="12">+AP6/AO6</f>
        <v>0.31744386873920555</v>
      </c>
      <c r="AN6" s="75">
        <f t="shared" ref="AN6" si="13">+AQ6/AO6</f>
        <v>0.68255613126079451</v>
      </c>
      <c r="AO6" s="149">
        <v>5790</v>
      </c>
      <c r="AP6" s="116">
        <f t="shared" ref="AP6:AP7" si="14">AO6-AQ6</f>
        <v>1838</v>
      </c>
      <c r="AQ6" s="150">
        <v>3952</v>
      </c>
      <c r="AR6" s="151">
        <v>1892</v>
      </c>
      <c r="AS6" s="152">
        <v>0.58888888888888891</v>
      </c>
      <c r="AT6" s="151">
        <v>183</v>
      </c>
      <c r="AU6" s="153">
        <v>0.88541666666666663</v>
      </c>
      <c r="AV6" s="55">
        <f>B6</f>
        <v>46173</v>
      </c>
      <c r="AW6" s="109">
        <f t="shared" ref="AW6" si="15">BA6/AZ6</f>
        <v>0.35910993610927516</v>
      </c>
      <c r="AX6" s="109">
        <f t="shared" ref="AX6" si="16">BB6/AZ6</f>
        <v>0.64089006389072478</v>
      </c>
      <c r="AY6" s="110">
        <f t="shared" ref="AY6" si="17">BA6+BB6</f>
        <v>4539</v>
      </c>
      <c r="AZ6" s="111">
        <v>4539</v>
      </c>
      <c r="BA6" s="119">
        <f t="shared" ref="BA6:BA7" si="18">AZ6-BB6</f>
        <v>1630</v>
      </c>
      <c r="BB6" s="112">
        <v>2909</v>
      </c>
      <c r="BC6" s="111">
        <v>1492</v>
      </c>
      <c r="BD6" s="113">
        <v>0.61458333333333337</v>
      </c>
      <c r="BE6" s="114">
        <v>0</v>
      </c>
      <c r="BF6" s="113">
        <v>0</v>
      </c>
      <c r="BG6" s="114">
        <v>161</v>
      </c>
      <c r="BH6" s="113">
        <v>0.35416666666666669</v>
      </c>
      <c r="BI6" s="55">
        <f>B6</f>
        <v>46173</v>
      </c>
      <c r="BJ6" s="77">
        <f t="shared" ref="BJ6" si="19">+BM6/BL6</f>
        <v>0.61785166240409206</v>
      </c>
      <c r="BK6" s="75">
        <f t="shared" ref="BK6" si="20">+BN6/BL6</f>
        <v>0.38214833759590794</v>
      </c>
      <c r="BL6" s="78">
        <f t="shared" ref="BL6" si="21">BM6+BN6</f>
        <v>19550</v>
      </c>
      <c r="BM6" s="154">
        <v>12079</v>
      </c>
      <c r="BN6" s="154">
        <v>7471</v>
      </c>
      <c r="BO6" s="155">
        <v>2413</v>
      </c>
      <c r="BP6" s="156">
        <v>0.72222222222222221</v>
      </c>
      <c r="BQ6" s="157">
        <v>1602</v>
      </c>
      <c r="BR6" s="156">
        <v>0.41249999999999998</v>
      </c>
    </row>
    <row r="7" spans="1:71" ht="15.75" thickBot="1" x14ac:dyDescent="0.3">
      <c r="A7" s="165"/>
      <c r="B7" s="55">
        <f>B6+1</f>
        <v>46174</v>
      </c>
      <c r="C7" s="125"/>
      <c r="D7" s="86">
        <f t="shared" si="0"/>
        <v>58750</v>
      </c>
      <c r="E7" s="158">
        <f t="shared" si="1"/>
        <v>0.88017021276595742</v>
      </c>
      <c r="F7" s="86">
        <f t="shared" si="2"/>
        <v>51710</v>
      </c>
      <c r="G7" s="158">
        <f t="shared" si="3"/>
        <v>0.11982978723404256</v>
      </c>
      <c r="H7" s="145">
        <f t="shared" si="4"/>
        <v>7040</v>
      </c>
      <c r="I7" s="159">
        <f t="shared" si="5"/>
        <v>0.12203074056823475</v>
      </c>
      <c r="J7" s="158">
        <f t="shared" si="6"/>
        <v>0.16224188790560473</v>
      </c>
      <c r="K7" s="158">
        <f t="shared" si="7"/>
        <v>0.17400644468313642</v>
      </c>
      <c r="L7" s="160">
        <f t="shared" si="8"/>
        <v>0.56481912746467944</v>
      </c>
      <c r="M7" s="145">
        <f t="shared" ref="M7:M37" si="22">(S7+T7)*I7</f>
        <v>6891.075919888216</v>
      </c>
      <c r="N7" s="145">
        <f t="shared" ref="N7:N37" si="23">(S7+T7)*J7</f>
        <v>9161.7994100295</v>
      </c>
      <c r="O7" s="145">
        <f t="shared" ref="O7:O37" si="24">(S7+T7)*K7</f>
        <v>9826.1439312567127</v>
      </c>
      <c r="P7" s="145">
        <f t="shared" ref="P7:P37" si="25">(S7+T7)*L7</f>
        <v>31895.336127930448</v>
      </c>
      <c r="Q7" s="55">
        <f>Q6+1</f>
        <v>46174</v>
      </c>
      <c r="R7" s="183">
        <v>58750</v>
      </c>
      <c r="S7" s="183">
        <v>0</v>
      </c>
      <c r="T7" s="183">
        <v>56470</v>
      </c>
      <c r="U7" s="183">
        <v>0</v>
      </c>
      <c r="V7" s="184">
        <v>14050</v>
      </c>
      <c r="W7" s="185">
        <v>0.70833333333333337</v>
      </c>
      <c r="X7" s="184">
        <v>4820</v>
      </c>
      <c r="Y7" s="185">
        <v>0.75</v>
      </c>
      <c r="Z7" s="184">
        <v>0</v>
      </c>
      <c r="AA7" s="185">
        <v>0</v>
      </c>
      <c r="AB7" s="55">
        <f>AB6+1</f>
        <v>46174</v>
      </c>
      <c r="AC7" s="75">
        <f t="shared" ref="AC7:AC10" si="26">+AF7/AE7</f>
        <v>1</v>
      </c>
      <c r="AD7" s="161">
        <f t="shared" ref="AD7:AD10" si="27">+AG7/AE7</f>
        <v>0</v>
      </c>
      <c r="AE7" s="194">
        <v>7860</v>
      </c>
      <c r="AF7" s="195">
        <v>7860</v>
      </c>
      <c r="AG7" s="196">
        <v>0</v>
      </c>
      <c r="AH7" s="197">
        <v>4020</v>
      </c>
      <c r="AI7" s="198">
        <v>0.35416666666666669</v>
      </c>
      <c r="AJ7" s="197">
        <v>0</v>
      </c>
      <c r="AK7" s="199">
        <v>0</v>
      </c>
      <c r="AL7" s="55">
        <f t="shared" ref="AL7:AL37" si="28">AL6+1</f>
        <v>46174</v>
      </c>
      <c r="AM7" s="76">
        <f t="shared" ref="AM7:AM10" si="29">+AP7/AO7</f>
        <v>0.61531100478468903</v>
      </c>
      <c r="AN7" s="75">
        <f t="shared" ref="AN7:AN10" si="30">+AQ7/AO7</f>
        <v>0.38468899521531102</v>
      </c>
      <c r="AO7" s="200">
        <v>10450</v>
      </c>
      <c r="AP7" s="182">
        <f t="shared" si="14"/>
        <v>6430</v>
      </c>
      <c r="AQ7" s="200">
        <v>4020</v>
      </c>
      <c r="AR7" s="186">
        <v>3810</v>
      </c>
      <c r="AS7" s="201">
        <v>0.77083333333333337</v>
      </c>
      <c r="AT7" s="186">
        <v>183</v>
      </c>
      <c r="AU7" s="201">
        <v>0.83333333333333337</v>
      </c>
      <c r="AV7" s="55">
        <f>AV6+1</f>
        <v>46174</v>
      </c>
      <c r="AW7" s="109">
        <f t="shared" ref="AW7:AW10" si="31">BA7/AZ7</f>
        <v>0.68930041152263377</v>
      </c>
      <c r="AX7" s="109">
        <f t="shared" ref="AX7:AX10" si="32">BB7/AZ7</f>
        <v>0.31069958847736623</v>
      </c>
      <c r="AY7" s="110">
        <f t="shared" ref="AY7" si="33">BA7+BB7</f>
        <v>9720</v>
      </c>
      <c r="AZ7" s="202">
        <v>9720</v>
      </c>
      <c r="BA7" s="187">
        <f t="shared" si="18"/>
        <v>6700</v>
      </c>
      <c r="BB7" s="203">
        <v>3020</v>
      </c>
      <c r="BC7" s="202">
        <v>4210</v>
      </c>
      <c r="BD7" s="204">
        <v>0.6875</v>
      </c>
      <c r="BE7" s="205">
        <v>0</v>
      </c>
      <c r="BF7" s="204">
        <v>0</v>
      </c>
      <c r="BG7" s="205">
        <v>170</v>
      </c>
      <c r="BH7" s="204">
        <v>0.77083333333333337</v>
      </c>
      <c r="BI7" s="55">
        <f>BI6+1</f>
        <v>46174</v>
      </c>
      <c r="BJ7" s="77">
        <f t="shared" ref="BJ7:BJ10" si="34">+BM7/BL7</f>
        <v>0.60830126443100607</v>
      </c>
      <c r="BK7" s="75">
        <f t="shared" ref="BK7:BK10" si="35">+BN7/BL7</f>
        <v>0.39169873556899393</v>
      </c>
      <c r="BL7" s="78">
        <f t="shared" ref="BL7:BL10" si="36">BM7+BN7</f>
        <v>36380</v>
      </c>
      <c r="BM7" s="206">
        <v>22130</v>
      </c>
      <c r="BN7" s="206">
        <v>14250</v>
      </c>
      <c r="BO7" s="188">
        <v>4020</v>
      </c>
      <c r="BP7" s="207">
        <v>0.79166666666666663</v>
      </c>
      <c r="BQ7" s="188">
        <v>2850</v>
      </c>
      <c r="BR7" s="207">
        <v>0.70833333333333337</v>
      </c>
    </row>
    <row r="8" spans="1:71" ht="15.75" thickBot="1" x14ac:dyDescent="0.3">
      <c r="A8" s="165"/>
      <c r="B8" s="55">
        <f t="shared" ref="B8:B37" si="37">B7+1</f>
        <v>46175</v>
      </c>
      <c r="C8" s="163"/>
      <c r="D8" s="86">
        <f t="shared" si="0"/>
        <v>58870</v>
      </c>
      <c r="E8" s="158">
        <f t="shared" si="1"/>
        <v>0.87965007643961268</v>
      </c>
      <c r="F8" s="86">
        <f t="shared" si="2"/>
        <v>51785</v>
      </c>
      <c r="G8" s="158">
        <f t="shared" si="3"/>
        <v>0.12034992356038729</v>
      </c>
      <c r="H8" s="145">
        <f t="shared" si="4"/>
        <v>7085</v>
      </c>
      <c r="I8" s="159">
        <f t="shared" si="5"/>
        <v>0.12184802843120664</v>
      </c>
      <c r="J8" s="158">
        <f t="shared" si="6"/>
        <v>0.16246403790827552</v>
      </c>
      <c r="K8" s="158">
        <f t="shared" si="7"/>
        <v>0.17426678272609383</v>
      </c>
      <c r="L8" s="160">
        <f t="shared" si="8"/>
        <v>0.5647625348082278</v>
      </c>
      <c r="M8" s="145">
        <f t="shared" si="22"/>
        <v>6914.8756134709765</v>
      </c>
      <c r="N8" s="145">
        <f t="shared" si="23"/>
        <v>9219.8341512946354</v>
      </c>
      <c r="O8" s="145">
        <f t="shared" si="24"/>
        <v>9889.6399197058254</v>
      </c>
      <c r="P8" s="145">
        <f t="shared" si="25"/>
        <v>32050.273850366928</v>
      </c>
      <c r="Q8" s="55">
        <f t="shared" ref="Q8:Q37" si="38">Q7+1</f>
        <v>46175</v>
      </c>
      <c r="R8" s="138">
        <v>58870</v>
      </c>
      <c r="S8" s="139">
        <v>0</v>
      </c>
      <c r="T8" s="139">
        <v>56750</v>
      </c>
      <c r="U8" s="139">
        <v>0</v>
      </c>
      <c r="V8" s="140">
        <v>14080</v>
      </c>
      <c r="W8" s="141">
        <v>0.77083333333333337</v>
      </c>
      <c r="X8" s="140">
        <v>4940</v>
      </c>
      <c r="Y8" s="141">
        <v>0.79166666666666663</v>
      </c>
      <c r="Z8" s="140">
        <v>0</v>
      </c>
      <c r="AA8" s="141">
        <v>0</v>
      </c>
      <c r="AB8" s="55">
        <f t="shared" ref="AB8:AB37" si="39">AB7+1</f>
        <v>46175</v>
      </c>
      <c r="AC8" s="75">
        <f t="shared" si="26"/>
        <v>1</v>
      </c>
      <c r="AD8" s="161">
        <f t="shared" si="27"/>
        <v>0</v>
      </c>
      <c r="AE8" s="162">
        <v>7920</v>
      </c>
      <c r="AF8" s="117">
        <f>AE8-AG8</f>
        <v>7920</v>
      </c>
      <c r="AG8" s="146">
        <v>0</v>
      </c>
      <c r="AH8" s="147">
        <v>4025</v>
      </c>
      <c r="AI8" s="148">
        <v>0.3125</v>
      </c>
      <c r="AJ8" s="147">
        <v>0</v>
      </c>
      <c r="AK8" s="164">
        <v>0</v>
      </c>
      <c r="AL8" s="55">
        <f t="shared" si="28"/>
        <v>46175</v>
      </c>
      <c r="AM8" s="76">
        <f t="shared" si="29"/>
        <v>0.61789772727272729</v>
      </c>
      <c r="AN8" s="75">
        <f t="shared" si="30"/>
        <v>0.38210227272727271</v>
      </c>
      <c r="AO8" s="149">
        <v>10560</v>
      </c>
      <c r="AP8" s="116">
        <f t="shared" ref="AP8:AP36" si="40">AO8-AQ8</f>
        <v>6525</v>
      </c>
      <c r="AQ8" s="150">
        <v>4035</v>
      </c>
      <c r="AR8" s="151">
        <v>3920</v>
      </c>
      <c r="AS8" s="152">
        <v>0.72916666666666663</v>
      </c>
      <c r="AT8" s="151">
        <v>184</v>
      </c>
      <c r="AU8" s="153">
        <v>0.8125</v>
      </c>
      <c r="AV8" s="55">
        <f t="shared" ref="AV8:AV37" si="41">AV7+1</f>
        <v>46175</v>
      </c>
      <c r="AW8" s="109">
        <f t="shared" si="31"/>
        <v>0.68909276248725793</v>
      </c>
      <c r="AX8" s="109">
        <f t="shared" si="32"/>
        <v>0.31090723751274207</v>
      </c>
      <c r="AY8" s="110">
        <f>BA8+BB8</f>
        <v>9810</v>
      </c>
      <c r="AZ8" s="111">
        <v>9810</v>
      </c>
      <c r="BA8" s="119">
        <f t="shared" ref="BA8:BA39" si="42">AZ8-BB8</f>
        <v>6760</v>
      </c>
      <c r="BB8" s="112">
        <v>3050</v>
      </c>
      <c r="BC8" s="111">
        <v>4225</v>
      </c>
      <c r="BD8" s="113">
        <v>0.70833333333333337</v>
      </c>
      <c r="BE8" s="114">
        <v>0</v>
      </c>
      <c r="BF8" s="113">
        <v>0</v>
      </c>
      <c r="BG8" s="114">
        <v>170</v>
      </c>
      <c r="BH8" s="113">
        <v>0.75</v>
      </c>
      <c r="BI8" s="55">
        <f t="shared" ref="BI8:BI37" si="43">BI7+1</f>
        <v>46175</v>
      </c>
      <c r="BJ8" s="77">
        <f t="shared" si="34"/>
        <v>0.60551908251382491</v>
      </c>
      <c r="BK8" s="75">
        <f t="shared" si="35"/>
        <v>0.39448091748617503</v>
      </c>
      <c r="BL8" s="78">
        <f t="shared" si="36"/>
        <v>36709</v>
      </c>
      <c r="BM8" s="154">
        <v>22228</v>
      </c>
      <c r="BN8" s="154">
        <v>14481</v>
      </c>
      <c r="BO8" s="155">
        <v>4031</v>
      </c>
      <c r="BP8" s="156">
        <v>0.8125</v>
      </c>
      <c r="BQ8" s="157">
        <v>2720</v>
      </c>
      <c r="BR8" s="156">
        <v>0.8125</v>
      </c>
    </row>
    <row r="9" spans="1:71" ht="15.75" thickBot="1" x14ac:dyDescent="0.3">
      <c r="A9" s="165" t="s">
        <v>67</v>
      </c>
      <c r="B9" s="55">
        <f t="shared" si="37"/>
        <v>46176</v>
      </c>
      <c r="C9" s="163"/>
      <c r="D9" s="86">
        <f t="shared" si="0"/>
        <v>58178</v>
      </c>
      <c r="E9" s="158">
        <f t="shared" si="1"/>
        <v>0.87804668431365807</v>
      </c>
      <c r="F9" s="86">
        <f t="shared" si="2"/>
        <v>51083</v>
      </c>
      <c r="G9" s="158">
        <f t="shared" si="3"/>
        <v>0.12195331568634192</v>
      </c>
      <c r="H9" s="145">
        <f t="shared" si="4"/>
        <v>7095</v>
      </c>
      <c r="I9" s="159">
        <f t="shared" si="5"/>
        <v>0.12069604994745627</v>
      </c>
      <c r="J9" s="158">
        <f t="shared" si="6"/>
        <v>0.1635655560363479</v>
      </c>
      <c r="K9" s="158">
        <f t="shared" si="7"/>
        <v>0.17346865842327211</v>
      </c>
      <c r="L9" s="160">
        <f t="shared" si="8"/>
        <v>0.56571057674476111</v>
      </c>
      <c r="M9" s="145">
        <f t="shared" si="22"/>
        <v>6863.1394881622055</v>
      </c>
      <c r="N9" s="145">
        <f t="shared" si="23"/>
        <v>9300.8282128948504</v>
      </c>
      <c r="O9" s="145">
        <f t="shared" si="24"/>
        <v>9863.9483239225228</v>
      </c>
      <c r="P9" s="145">
        <f t="shared" si="25"/>
        <v>32168.00052543735</v>
      </c>
      <c r="Q9" s="55">
        <f t="shared" si="38"/>
        <v>46176</v>
      </c>
      <c r="R9" s="138">
        <v>58178</v>
      </c>
      <c r="S9" s="139">
        <v>0</v>
      </c>
      <c r="T9" s="139">
        <v>56863</v>
      </c>
      <c r="U9" s="139">
        <v>0</v>
      </c>
      <c r="V9" s="140">
        <v>13558</v>
      </c>
      <c r="W9" s="141">
        <v>0.78125</v>
      </c>
      <c r="X9" s="140">
        <v>4601</v>
      </c>
      <c r="Y9" s="141">
        <v>0.77083333333333337</v>
      </c>
      <c r="Z9" s="140">
        <v>0</v>
      </c>
      <c r="AA9" s="141">
        <v>0</v>
      </c>
      <c r="AB9" s="55">
        <f t="shared" si="39"/>
        <v>46176</v>
      </c>
      <c r="AC9" s="75">
        <f t="shared" si="26"/>
        <v>1</v>
      </c>
      <c r="AD9" s="161">
        <f t="shared" si="27"/>
        <v>0</v>
      </c>
      <c r="AE9" s="162">
        <v>7810</v>
      </c>
      <c r="AF9" s="117">
        <f t="shared" ref="AF9:AF39" si="44">AE9-AG9</f>
        <v>7810</v>
      </c>
      <c r="AG9" s="146">
        <v>0</v>
      </c>
      <c r="AH9" s="147">
        <v>3924</v>
      </c>
      <c r="AI9" s="148">
        <v>0.74652777777777779</v>
      </c>
      <c r="AJ9" s="147">
        <v>0</v>
      </c>
      <c r="AK9" s="164">
        <v>0</v>
      </c>
      <c r="AL9" s="55">
        <f t="shared" si="28"/>
        <v>46176</v>
      </c>
      <c r="AM9" s="76">
        <f t="shared" si="29"/>
        <v>0.61233938019652301</v>
      </c>
      <c r="AN9" s="75">
        <f t="shared" si="30"/>
        <v>0.38766061980347694</v>
      </c>
      <c r="AO9" s="149">
        <v>10584</v>
      </c>
      <c r="AP9" s="116">
        <f t="shared" si="40"/>
        <v>6481</v>
      </c>
      <c r="AQ9" s="150">
        <v>4103</v>
      </c>
      <c r="AR9" s="151">
        <v>3680</v>
      </c>
      <c r="AS9" s="152">
        <v>0.34027777777777779</v>
      </c>
      <c r="AT9" s="151">
        <v>189</v>
      </c>
      <c r="AU9" s="153">
        <v>0.76041666666666663</v>
      </c>
      <c r="AV9" s="55">
        <f t="shared" si="41"/>
        <v>46176</v>
      </c>
      <c r="AW9" s="109">
        <f t="shared" si="31"/>
        <v>0.69180057684384011</v>
      </c>
      <c r="AX9" s="109">
        <f t="shared" si="32"/>
        <v>0.30819942315615989</v>
      </c>
      <c r="AY9" s="110">
        <f t="shared" ref="AY9:AY39" si="45">BA9+BB9</f>
        <v>9708</v>
      </c>
      <c r="AZ9" s="111">
        <v>9708</v>
      </c>
      <c r="BA9" s="119">
        <f t="shared" si="42"/>
        <v>6716</v>
      </c>
      <c r="BB9" s="112">
        <v>2992</v>
      </c>
      <c r="BC9" s="111">
        <v>4794</v>
      </c>
      <c r="BD9" s="113">
        <v>0.73958333333333337</v>
      </c>
      <c r="BE9" s="114">
        <v>0</v>
      </c>
      <c r="BF9" s="113">
        <v>0</v>
      </c>
      <c r="BG9" s="114">
        <v>170</v>
      </c>
      <c r="BH9" s="113">
        <v>0.80208333333333337</v>
      </c>
      <c r="BI9" s="55">
        <f t="shared" si="43"/>
        <v>46176</v>
      </c>
      <c r="BJ9" s="77">
        <f t="shared" si="34"/>
        <v>0.60801507949516476</v>
      </c>
      <c r="BK9" s="75">
        <f t="shared" si="35"/>
        <v>0.3919849205048353</v>
      </c>
      <c r="BL9" s="78">
        <f t="shared" si="36"/>
        <v>36606</v>
      </c>
      <c r="BM9" s="154">
        <v>22257</v>
      </c>
      <c r="BN9" s="154">
        <v>14349</v>
      </c>
      <c r="BO9" s="155">
        <v>4031</v>
      </c>
      <c r="BP9" s="156">
        <v>0.8125</v>
      </c>
      <c r="BQ9" s="157">
        <v>2720</v>
      </c>
      <c r="BR9" s="156">
        <v>0.8125</v>
      </c>
    </row>
    <row r="10" spans="1:71" ht="15.75" thickBot="1" x14ac:dyDescent="0.3">
      <c r="B10" s="55">
        <f t="shared" si="37"/>
        <v>46177</v>
      </c>
      <c r="C10" s="163"/>
      <c r="D10" s="86">
        <f t="shared" si="0"/>
        <v>59200</v>
      </c>
      <c r="E10" s="158">
        <f t="shared" si="1"/>
        <v>0.88070118243243245</v>
      </c>
      <c r="F10" s="86">
        <f t="shared" si="2"/>
        <v>52137.51</v>
      </c>
      <c r="G10" s="158">
        <f t="shared" si="3"/>
        <v>0.11929881756756756</v>
      </c>
      <c r="H10" s="145">
        <f t="shared" si="4"/>
        <v>7062.49</v>
      </c>
      <c r="I10" s="159">
        <f t="shared" si="5"/>
        <v>0.12146195174971815</v>
      </c>
      <c r="J10" s="158">
        <f t="shared" si="6"/>
        <v>0.16253300351006358</v>
      </c>
      <c r="K10" s="158">
        <f t="shared" si="7"/>
        <v>0.1734987651746133</v>
      </c>
      <c r="L10" s="160">
        <f t="shared" si="8"/>
        <v>0.56594454277141581</v>
      </c>
      <c r="M10" s="145">
        <f t="shared" si="22"/>
        <v>7040.2614560638713</v>
      </c>
      <c r="N10" s="145">
        <f t="shared" si="23"/>
        <v>9420.8500972227284</v>
      </c>
      <c r="O10" s="145">
        <f t="shared" si="24"/>
        <v>10056.455141198907</v>
      </c>
      <c r="P10" s="145">
        <f t="shared" si="25"/>
        <v>32803.668089851315</v>
      </c>
      <c r="Q10" s="55">
        <f t="shared" si="38"/>
        <v>46177</v>
      </c>
      <c r="R10" s="138">
        <v>59200</v>
      </c>
      <c r="S10" s="139">
        <v>0</v>
      </c>
      <c r="T10" s="139">
        <v>57962.69</v>
      </c>
      <c r="U10" s="139">
        <v>0</v>
      </c>
      <c r="V10" s="140">
        <v>17197.71</v>
      </c>
      <c r="W10" s="141">
        <v>0.38541666666666669</v>
      </c>
      <c r="X10" s="140">
        <v>4802</v>
      </c>
      <c r="Y10" s="141">
        <v>0.39583333333333331</v>
      </c>
      <c r="Z10" s="140">
        <v>0</v>
      </c>
      <c r="AA10" s="141">
        <v>0</v>
      </c>
      <c r="AB10" s="55">
        <f t="shared" si="39"/>
        <v>46177</v>
      </c>
      <c r="AC10" s="75">
        <f t="shared" si="26"/>
        <v>1</v>
      </c>
      <c r="AD10" s="161">
        <f t="shared" si="27"/>
        <v>0</v>
      </c>
      <c r="AE10" s="162">
        <v>7931.91</v>
      </c>
      <c r="AF10" s="117">
        <f t="shared" si="44"/>
        <v>7931.91</v>
      </c>
      <c r="AG10" s="146">
        <v>0</v>
      </c>
      <c r="AH10" s="147">
        <v>5119.72</v>
      </c>
      <c r="AI10" s="148">
        <v>0.33819444444444446</v>
      </c>
      <c r="AJ10" s="147">
        <v>0</v>
      </c>
      <c r="AK10" s="164">
        <v>0</v>
      </c>
      <c r="AL10" s="55">
        <f t="shared" si="28"/>
        <v>46177</v>
      </c>
      <c r="AM10" s="76">
        <f t="shared" si="29"/>
        <v>0.61527322404371587</v>
      </c>
      <c r="AN10" s="75">
        <f t="shared" si="30"/>
        <v>0.38472677595628413</v>
      </c>
      <c r="AO10" s="149">
        <v>10614</v>
      </c>
      <c r="AP10" s="116">
        <f t="shared" si="40"/>
        <v>6530.51</v>
      </c>
      <c r="AQ10" s="150">
        <v>4083.49</v>
      </c>
      <c r="AR10" s="151">
        <v>5255</v>
      </c>
      <c r="AS10" s="152">
        <v>0.33541666666666664</v>
      </c>
      <c r="AT10" s="151">
        <v>191.8</v>
      </c>
      <c r="AU10" s="153">
        <v>0.32291666666666669</v>
      </c>
      <c r="AV10" s="55">
        <f t="shared" si="41"/>
        <v>46177</v>
      </c>
      <c r="AW10" s="109">
        <f t="shared" si="31"/>
        <v>0.69600489820909228</v>
      </c>
      <c r="AX10" s="109">
        <f t="shared" si="32"/>
        <v>0.30399510179090772</v>
      </c>
      <c r="AY10" s="110">
        <f t="shared" si="45"/>
        <v>9799.5</v>
      </c>
      <c r="AZ10" s="111">
        <v>9799.5</v>
      </c>
      <c r="BA10" s="119">
        <f t="shared" si="42"/>
        <v>6820.5</v>
      </c>
      <c r="BB10" s="112">
        <v>2979</v>
      </c>
      <c r="BC10" s="111">
        <v>3871.16</v>
      </c>
      <c r="BD10" s="113">
        <v>0.41666666666666669</v>
      </c>
      <c r="BE10" s="114">
        <v>0</v>
      </c>
      <c r="BF10" s="113">
        <v>0</v>
      </c>
      <c r="BG10" s="114">
        <v>170.87</v>
      </c>
      <c r="BH10" s="113">
        <v>0.8125</v>
      </c>
      <c r="BI10" s="55">
        <f t="shared" si="43"/>
        <v>46177</v>
      </c>
      <c r="BJ10" s="77">
        <f t="shared" si="34"/>
        <v>0.60663721902416912</v>
      </c>
      <c r="BK10" s="75">
        <f t="shared" si="35"/>
        <v>0.39336278097583083</v>
      </c>
      <c r="BL10" s="78">
        <f t="shared" si="36"/>
        <v>36958.25</v>
      </c>
      <c r="BM10" s="154">
        <v>22420.25</v>
      </c>
      <c r="BN10" s="154">
        <v>14538</v>
      </c>
      <c r="BO10" s="155">
        <v>4082.57</v>
      </c>
      <c r="BP10" s="156">
        <v>0.81527777777777777</v>
      </c>
      <c r="BQ10" s="157">
        <v>2697</v>
      </c>
      <c r="BR10" s="156">
        <v>0.81597222222222221</v>
      </c>
      <c r="BS10" s="14" t="s">
        <v>68</v>
      </c>
    </row>
    <row r="11" spans="1:71" ht="15.75" thickBot="1" x14ac:dyDescent="0.3">
      <c r="B11" s="55">
        <f t="shared" si="37"/>
        <v>46178</v>
      </c>
      <c r="C11" s="163"/>
      <c r="D11" s="86">
        <f t="shared" si="0"/>
        <v>57628</v>
      </c>
      <c r="E11" s="158">
        <f t="shared" si="1"/>
        <v>0.87792392586936907</v>
      </c>
      <c r="F11" s="86">
        <f t="shared" si="2"/>
        <v>50593</v>
      </c>
      <c r="G11" s="158">
        <f t="shared" si="3"/>
        <v>0.12207607413063094</v>
      </c>
      <c r="H11" s="145">
        <f t="shared" si="4"/>
        <v>7035</v>
      </c>
      <c r="I11" s="159">
        <f t="shared" si="5"/>
        <v>0.12147189267971603</v>
      </c>
      <c r="J11" s="158">
        <f t="shared" si="6"/>
        <v>0.16373865755614411</v>
      </c>
      <c r="K11" s="158">
        <f t="shared" si="7"/>
        <v>0.17331394291946919</v>
      </c>
      <c r="L11" s="160">
        <f t="shared" si="8"/>
        <v>0.56537479039007033</v>
      </c>
      <c r="M11" s="145">
        <f t="shared" si="22"/>
        <v>6837.4098951558562</v>
      </c>
      <c r="N11" s="145">
        <f t="shared" si="23"/>
        <v>9216.5215565202398</v>
      </c>
      <c r="O11" s="145">
        <f t="shared" si="24"/>
        <v>9755.4952190510812</v>
      </c>
      <c r="P11" s="145">
        <f t="shared" si="25"/>
        <v>31823.816201476278</v>
      </c>
      <c r="Q11" s="55">
        <f t="shared" si="38"/>
        <v>46178</v>
      </c>
      <c r="R11" s="138">
        <v>57628</v>
      </c>
      <c r="S11" s="139">
        <v>0</v>
      </c>
      <c r="T11" s="139">
        <v>56288</v>
      </c>
      <c r="U11" s="139">
        <v>0</v>
      </c>
      <c r="V11" s="140">
        <v>13566</v>
      </c>
      <c r="W11" s="141">
        <v>0.41666666666666669</v>
      </c>
      <c r="X11" s="140">
        <v>4822</v>
      </c>
      <c r="Y11" s="141">
        <v>0.41666666666666669</v>
      </c>
      <c r="Z11" s="140">
        <v>0</v>
      </c>
      <c r="AA11" s="141">
        <v>0</v>
      </c>
      <c r="AB11" s="55">
        <f t="shared" si="39"/>
        <v>46178</v>
      </c>
      <c r="AC11" s="75">
        <f t="shared" ref="AC11:AC25" si="46">+AF11/AE11</f>
        <v>1</v>
      </c>
      <c r="AD11" s="161">
        <f t="shared" ref="AD11:AD25" si="47">+AG11/AE11</f>
        <v>0</v>
      </c>
      <c r="AE11" s="162">
        <v>7751</v>
      </c>
      <c r="AF11" s="117">
        <f t="shared" si="44"/>
        <v>7751</v>
      </c>
      <c r="AG11" s="146">
        <v>0</v>
      </c>
      <c r="AH11" s="147">
        <v>4079</v>
      </c>
      <c r="AI11" s="148">
        <v>0.34375</v>
      </c>
      <c r="AJ11" s="147">
        <v>0</v>
      </c>
      <c r="AK11" s="164">
        <v>0</v>
      </c>
      <c r="AL11" s="55">
        <f t="shared" si="28"/>
        <v>46178</v>
      </c>
      <c r="AM11" s="76">
        <f t="shared" ref="AM11:AM25" si="48">+AP11/AO11</f>
        <v>0.60748468606431849</v>
      </c>
      <c r="AN11" s="75">
        <f t="shared" ref="AN11:AN25" si="49">+AQ11/AO11</f>
        <v>0.39251531393568145</v>
      </c>
      <c r="AO11" s="149">
        <v>10448</v>
      </c>
      <c r="AP11" s="116">
        <f t="shared" si="40"/>
        <v>6347</v>
      </c>
      <c r="AQ11" s="150">
        <v>4101</v>
      </c>
      <c r="AR11" s="151">
        <v>3884</v>
      </c>
      <c r="AS11" s="152">
        <v>0.37083333333333335</v>
      </c>
      <c r="AT11" s="151">
        <v>192</v>
      </c>
      <c r="AU11" s="153">
        <v>0.3125</v>
      </c>
      <c r="AV11" s="55">
        <f t="shared" si="41"/>
        <v>46178</v>
      </c>
      <c r="AW11" s="109">
        <f t="shared" ref="AW11:AW25" si="50">BA11/AZ11</f>
        <v>0.69225928256765257</v>
      </c>
      <c r="AX11" s="109">
        <f t="shared" ref="AX11:AX25" si="51">BB11/AZ11</f>
        <v>0.30774071743234738</v>
      </c>
      <c r="AY11" s="110">
        <f t="shared" si="45"/>
        <v>9534</v>
      </c>
      <c r="AZ11" s="111">
        <v>9534</v>
      </c>
      <c r="BA11" s="119">
        <f t="shared" si="42"/>
        <v>6600</v>
      </c>
      <c r="BB11" s="112">
        <v>2934</v>
      </c>
      <c r="BC11" s="111">
        <v>4046</v>
      </c>
      <c r="BD11" s="113">
        <v>0.39583333333333331</v>
      </c>
      <c r="BE11" s="114">
        <v>0</v>
      </c>
      <c r="BF11" s="113">
        <v>0</v>
      </c>
      <c r="BG11" s="114">
        <v>169</v>
      </c>
      <c r="BH11" s="113">
        <v>0.90625</v>
      </c>
      <c r="BI11" s="55">
        <f t="shared" si="43"/>
        <v>46178</v>
      </c>
      <c r="BJ11" s="77">
        <f t="shared" ref="BJ11:BJ25" si="52">+BM11/BL11</f>
        <v>0.60549950105333183</v>
      </c>
      <c r="BK11" s="75">
        <f t="shared" ref="BK11:BK25" si="53">+BN11/BL11</f>
        <v>0.39450049894666817</v>
      </c>
      <c r="BL11" s="78">
        <f t="shared" ref="BL11:BL25" si="54">BM11+BN11</f>
        <v>36076</v>
      </c>
      <c r="BM11" s="154">
        <v>21844</v>
      </c>
      <c r="BN11" s="154">
        <v>14232</v>
      </c>
      <c r="BO11" s="155">
        <v>4215</v>
      </c>
      <c r="BP11" s="156">
        <v>0.72569444444444442</v>
      </c>
      <c r="BQ11" s="157">
        <v>2830</v>
      </c>
      <c r="BR11" s="156">
        <v>0.72638888888888886</v>
      </c>
    </row>
    <row r="12" spans="1:71" ht="15.75" thickBot="1" x14ac:dyDescent="0.3">
      <c r="B12" s="55">
        <f t="shared" si="37"/>
        <v>46179</v>
      </c>
      <c r="C12" s="163"/>
      <c r="D12" s="86">
        <f t="shared" si="0"/>
        <v>33160</v>
      </c>
      <c r="E12" s="158">
        <f t="shared" si="1"/>
        <v>0.79797949336550056</v>
      </c>
      <c r="F12" s="86">
        <f t="shared" si="2"/>
        <v>26461</v>
      </c>
      <c r="G12" s="158">
        <f t="shared" si="3"/>
        <v>0.20202050663449939</v>
      </c>
      <c r="H12" s="145">
        <f t="shared" si="4"/>
        <v>6699</v>
      </c>
      <c r="I12" s="159">
        <f t="shared" si="5"/>
        <v>8.1974377885219482E-2</v>
      </c>
      <c r="J12" s="158">
        <f t="shared" si="6"/>
        <v>0.16247370865087821</v>
      </c>
      <c r="K12" s="158">
        <f t="shared" si="7"/>
        <v>0.16991798987960216</v>
      </c>
      <c r="L12" s="160">
        <f t="shared" si="8"/>
        <v>0.62255183151684013</v>
      </c>
      <c r="M12" s="145">
        <f t="shared" si="22"/>
        <v>2568.1752847660409</v>
      </c>
      <c r="N12" s="145">
        <f t="shared" si="23"/>
        <v>5090.138818323363</v>
      </c>
      <c r="O12" s="145">
        <f t="shared" si="24"/>
        <v>5323.3607049380562</v>
      </c>
      <c r="P12" s="145">
        <f t="shared" si="25"/>
        <v>19503.926329591086</v>
      </c>
      <c r="Q12" s="55">
        <f t="shared" si="38"/>
        <v>46179</v>
      </c>
      <c r="R12" s="138">
        <v>33160</v>
      </c>
      <c r="S12" s="139">
        <v>0</v>
      </c>
      <c r="T12" s="139">
        <v>31329</v>
      </c>
      <c r="U12" s="139">
        <v>0</v>
      </c>
      <c r="V12" s="140">
        <v>6996</v>
      </c>
      <c r="W12" s="141">
        <v>0.41666666666666669</v>
      </c>
      <c r="X12" s="140">
        <v>2292</v>
      </c>
      <c r="Y12" s="141">
        <v>0.51041666666666663</v>
      </c>
      <c r="Z12" s="140">
        <v>0</v>
      </c>
      <c r="AA12" s="141">
        <v>0</v>
      </c>
      <c r="AB12" s="55">
        <f t="shared" si="39"/>
        <v>46179</v>
      </c>
      <c r="AC12" s="75">
        <f t="shared" si="46"/>
        <v>1</v>
      </c>
      <c r="AD12" s="161">
        <f t="shared" si="47"/>
        <v>0</v>
      </c>
      <c r="AE12" s="162">
        <v>3001</v>
      </c>
      <c r="AF12" s="117">
        <f t="shared" si="44"/>
        <v>3001</v>
      </c>
      <c r="AG12" s="146">
        <v>0</v>
      </c>
      <c r="AH12" s="147">
        <v>2089</v>
      </c>
      <c r="AI12" s="148">
        <v>0.94305555555555554</v>
      </c>
      <c r="AJ12" s="147">
        <v>0</v>
      </c>
      <c r="AK12" s="164">
        <v>0</v>
      </c>
      <c r="AL12" s="55">
        <f t="shared" si="28"/>
        <v>46179</v>
      </c>
      <c r="AM12" s="76">
        <f t="shared" si="48"/>
        <v>0.34852051109616677</v>
      </c>
      <c r="AN12" s="75">
        <f t="shared" si="49"/>
        <v>0.65147948890383323</v>
      </c>
      <c r="AO12" s="149">
        <v>5948</v>
      </c>
      <c r="AP12" s="116">
        <f t="shared" si="40"/>
        <v>2073</v>
      </c>
      <c r="AQ12" s="150">
        <v>3875</v>
      </c>
      <c r="AR12" s="151">
        <v>1958</v>
      </c>
      <c r="AS12" s="152">
        <v>0.55486111111111114</v>
      </c>
      <c r="AT12" s="151">
        <v>182</v>
      </c>
      <c r="AU12" s="153">
        <v>0.32291666666666669</v>
      </c>
      <c r="AV12" s="55">
        <f t="shared" si="41"/>
        <v>46179</v>
      </c>
      <c r="AW12" s="109">
        <f t="shared" si="50"/>
        <v>0.42000410761963441</v>
      </c>
      <c r="AX12" s="109">
        <f t="shared" si="51"/>
        <v>0.57999589238036553</v>
      </c>
      <c r="AY12" s="110">
        <f t="shared" si="45"/>
        <v>4869</v>
      </c>
      <c r="AZ12" s="111">
        <v>4869</v>
      </c>
      <c r="BA12" s="119">
        <f t="shared" si="42"/>
        <v>2045</v>
      </c>
      <c r="BB12" s="112">
        <v>2824</v>
      </c>
      <c r="BC12" s="111">
        <v>1741</v>
      </c>
      <c r="BD12" s="113">
        <v>0.51041666666666663</v>
      </c>
      <c r="BE12" s="114">
        <v>0</v>
      </c>
      <c r="BF12" s="113">
        <v>0</v>
      </c>
      <c r="BG12" s="114">
        <v>167</v>
      </c>
      <c r="BH12" s="113">
        <v>0.78125</v>
      </c>
      <c r="BI12" s="55">
        <f t="shared" si="43"/>
        <v>46179</v>
      </c>
      <c r="BJ12" s="77">
        <f t="shared" si="52"/>
        <v>0.60738888157606075</v>
      </c>
      <c r="BK12" s="75">
        <f t="shared" si="53"/>
        <v>0.39261111842393925</v>
      </c>
      <c r="BL12" s="78">
        <f t="shared" si="54"/>
        <v>22791</v>
      </c>
      <c r="BM12" s="154">
        <v>13843</v>
      </c>
      <c r="BN12" s="154">
        <v>8948</v>
      </c>
      <c r="BO12" s="155">
        <v>2978</v>
      </c>
      <c r="BP12" s="156">
        <v>0.46180555555555558</v>
      </c>
      <c r="BQ12" s="157">
        <v>1967</v>
      </c>
      <c r="BR12" s="156">
        <v>0.46250000000000002</v>
      </c>
    </row>
    <row r="13" spans="1:71" ht="15.75" thickBot="1" x14ac:dyDescent="0.3">
      <c r="B13" s="55">
        <f t="shared" si="37"/>
        <v>46180</v>
      </c>
      <c r="C13" s="163"/>
      <c r="D13" s="86">
        <f t="shared" si="0"/>
        <v>28550</v>
      </c>
      <c r="E13" s="158">
        <f t="shared" si="1"/>
        <v>0.76637478108581436</v>
      </c>
      <c r="F13" s="86">
        <f t="shared" si="2"/>
        <v>21880</v>
      </c>
      <c r="G13" s="158">
        <f t="shared" si="3"/>
        <v>0.23362521891418564</v>
      </c>
      <c r="H13" s="145">
        <f t="shared" si="4"/>
        <v>6670</v>
      </c>
      <c r="I13" s="159">
        <f t="shared" si="5"/>
        <v>8.5411292633992553E-2</v>
      </c>
      <c r="J13" s="158">
        <f t="shared" si="6"/>
        <v>0.16680997420464316</v>
      </c>
      <c r="K13" s="158">
        <f t="shared" si="7"/>
        <v>0.16807030391797875</v>
      </c>
      <c r="L13" s="160">
        <f t="shared" si="8"/>
        <v>0.61622241329893956</v>
      </c>
      <c r="M13" s="145">
        <f t="shared" si="22"/>
        <v>2341.9776440240757</v>
      </c>
      <c r="N13" s="145">
        <f t="shared" si="23"/>
        <v>4573.9294926913153</v>
      </c>
      <c r="O13" s="145">
        <f t="shared" si="24"/>
        <v>4608.4877334309776</v>
      </c>
      <c r="P13" s="145">
        <f t="shared" si="25"/>
        <v>16896.818572656925</v>
      </c>
      <c r="Q13" s="55">
        <f t="shared" si="38"/>
        <v>46180</v>
      </c>
      <c r="R13" s="138">
        <v>28550</v>
      </c>
      <c r="S13" s="139">
        <v>0</v>
      </c>
      <c r="T13" s="139">
        <v>27420</v>
      </c>
      <c r="U13" s="139">
        <v>0</v>
      </c>
      <c r="V13" s="140">
        <v>6520</v>
      </c>
      <c r="W13" s="141">
        <v>0.39583333333333331</v>
      </c>
      <c r="X13" s="140">
        <v>2190</v>
      </c>
      <c r="Y13" s="141">
        <v>0.77083333333333337</v>
      </c>
      <c r="Z13" s="140">
        <v>0</v>
      </c>
      <c r="AA13" s="141">
        <v>0</v>
      </c>
      <c r="AB13" s="167">
        <f t="shared" si="39"/>
        <v>46180</v>
      </c>
      <c r="AC13" s="75">
        <f t="shared" si="46"/>
        <v>1</v>
      </c>
      <c r="AD13" s="161">
        <f t="shared" si="47"/>
        <v>0</v>
      </c>
      <c r="AE13" s="162">
        <v>2980</v>
      </c>
      <c r="AF13" s="117">
        <f t="shared" si="44"/>
        <v>2980</v>
      </c>
      <c r="AG13" s="146">
        <v>0</v>
      </c>
      <c r="AH13" s="147">
        <v>1985</v>
      </c>
      <c r="AI13" s="148">
        <v>0.33333333333333331</v>
      </c>
      <c r="AJ13" s="147">
        <v>0</v>
      </c>
      <c r="AK13" s="164">
        <v>0</v>
      </c>
      <c r="AL13" s="167">
        <f t="shared" si="28"/>
        <v>46180</v>
      </c>
      <c r="AM13" s="76">
        <f t="shared" si="48"/>
        <v>0.3436426116838488</v>
      </c>
      <c r="AN13" s="75">
        <f t="shared" si="49"/>
        <v>0.6563573883161512</v>
      </c>
      <c r="AO13" s="149">
        <v>5820</v>
      </c>
      <c r="AP13" s="116">
        <f t="shared" si="40"/>
        <v>2000</v>
      </c>
      <c r="AQ13" s="150">
        <v>3820</v>
      </c>
      <c r="AR13" s="151">
        <v>1910</v>
      </c>
      <c r="AS13" s="152">
        <v>0.70833333333333337</v>
      </c>
      <c r="AT13" s="151">
        <v>182</v>
      </c>
      <c r="AU13" s="153">
        <v>0.3125</v>
      </c>
      <c r="AV13" s="167">
        <f t="shared" si="41"/>
        <v>46180</v>
      </c>
      <c r="AW13" s="168">
        <f t="shared" si="50"/>
        <v>0.37908496732026142</v>
      </c>
      <c r="AX13" s="168">
        <f t="shared" si="51"/>
        <v>0.62091503267973858</v>
      </c>
      <c r="AY13" s="110">
        <f t="shared" si="45"/>
        <v>4590</v>
      </c>
      <c r="AZ13" s="111">
        <v>4590</v>
      </c>
      <c r="BA13" s="119">
        <f t="shared" si="42"/>
        <v>1740</v>
      </c>
      <c r="BB13" s="112">
        <v>2850</v>
      </c>
      <c r="BC13" s="111">
        <v>1690</v>
      </c>
      <c r="BD13" s="113">
        <v>0.75</v>
      </c>
      <c r="BE13" s="114">
        <v>0</v>
      </c>
      <c r="BF13" s="113">
        <v>0</v>
      </c>
      <c r="BG13" s="114">
        <v>169</v>
      </c>
      <c r="BH13" s="113">
        <v>0.75</v>
      </c>
      <c r="BI13" s="167">
        <f t="shared" si="43"/>
        <v>46180</v>
      </c>
      <c r="BJ13" s="169">
        <f t="shared" si="52"/>
        <v>0.61162790697674418</v>
      </c>
      <c r="BK13" s="75">
        <f t="shared" si="53"/>
        <v>0.38837209302325582</v>
      </c>
      <c r="BL13" s="78">
        <f t="shared" si="54"/>
        <v>21500</v>
      </c>
      <c r="BM13" s="154">
        <v>13150</v>
      </c>
      <c r="BN13" s="154">
        <v>8350</v>
      </c>
      <c r="BO13" s="155">
        <v>2750</v>
      </c>
      <c r="BP13" s="156">
        <v>0.75</v>
      </c>
      <c r="BQ13" s="157">
        <v>1870</v>
      </c>
      <c r="BR13" s="156">
        <v>0.70833333333333337</v>
      </c>
    </row>
    <row r="14" spans="1:71" ht="15.75" thickBot="1" x14ac:dyDescent="0.3">
      <c r="B14" s="55">
        <f t="shared" si="37"/>
        <v>46181</v>
      </c>
      <c r="C14" s="163"/>
      <c r="D14" s="86">
        <f t="shared" si="0"/>
        <v>59864</v>
      </c>
      <c r="E14" s="158">
        <f t="shared" si="1"/>
        <v>0.88138113056260858</v>
      </c>
      <c r="F14" s="86">
        <f t="shared" si="2"/>
        <v>52763</v>
      </c>
      <c r="G14" s="158">
        <f t="shared" si="3"/>
        <v>0.11861886943739142</v>
      </c>
      <c r="H14" s="145">
        <f t="shared" si="4"/>
        <v>7101</v>
      </c>
      <c r="I14" s="159">
        <f t="shared" si="5"/>
        <v>0.12128642127589163</v>
      </c>
      <c r="J14" s="158">
        <f t="shared" si="6"/>
        <v>0.16265286782292152</v>
      </c>
      <c r="K14" s="158">
        <f t="shared" si="7"/>
        <v>0.17374826147426983</v>
      </c>
      <c r="L14" s="160">
        <f t="shared" si="8"/>
        <v>0.56572752297718076</v>
      </c>
      <c r="M14" s="145">
        <f t="shared" si="22"/>
        <v>7083.7334346184507</v>
      </c>
      <c r="N14" s="145">
        <f t="shared" si="23"/>
        <v>9499.7407451977306</v>
      </c>
      <c r="O14" s="145">
        <f t="shared" si="24"/>
        <v>10147.767211404729</v>
      </c>
      <c r="P14" s="145">
        <f t="shared" si="25"/>
        <v>33041.315979482242</v>
      </c>
      <c r="Q14" s="55">
        <f t="shared" si="38"/>
        <v>46181</v>
      </c>
      <c r="R14" s="138">
        <v>59864</v>
      </c>
      <c r="S14" s="139">
        <v>0</v>
      </c>
      <c r="T14" s="139">
        <v>58405</v>
      </c>
      <c r="U14" s="139">
        <v>0</v>
      </c>
      <c r="V14" s="140">
        <v>15417</v>
      </c>
      <c r="W14" s="141">
        <v>0.79166666666666663</v>
      </c>
      <c r="X14" s="140">
        <v>5138</v>
      </c>
      <c r="Y14" s="141">
        <v>0.41666666666666669</v>
      </c>
      <c r="Z14" s="140">
        <v>0</v>
      </c>
      <c r="AA14" s="141">
        <v>0</v>
      </c>
      <c r="AB14" s="55">
        <f t="shared" si="39"/>
        <v>46181</v>
      </c>
      <c r="AC14" s="75">
        <f t="shared" si="46"/>
        <v>1</v>
      </c>
      <c r="AD14" s="161">
        <f t="shared" si="47"/>
        <v>0</v>
      </c>
      <c r="AE14" s="162">
        <v>8063</v>
      </c>
      <c r="AF14" s="117">
        <f t="shared" si="44"/>
        <v>8063</v>
      </c>
      <c r="AG14" s="146">
        <v>0</v>
      </c>
      <c r="AH14" s="147">
        <v>4357</v>
      </c>
      <c r="AI14" s="148">
        <v>0.33819444444444446</v>
      </c>
      <c r="AJ14" s="147">
        <v>0</v>
      </c>
      <c r="AK14" s="164">
        <v>0</v>
      </c>
      <c r="AL14" s="55">
        <f t="shared" si="28"/>
        <v>46181</v>
      </c>
      <c r="AM14" s="76">
        <f t="shared" si="48"/>
        <v>0.61500046240636275</v>
      </c>
      <c r="AN14" s="75">
        <f t="shared" si="49"/>
        <v>0.38499953759363731</v>
      </c>
      <c r="AO14" s="149">
        <v>10813</v>
      </c>
      <c r="AP14" s="116">
        <f t="shared" ref="AP14" si="55">AO14-AQ14</f>
        <v>6650</v>
      </c>
      <c r="AQ14" s="150">
        <v>4163</v>
      </c>
      <c r="AR14" s="151">
        <v>4061</v>
      </c>
      <c r="AS14" s="152">
        <v>0.35694444444444445</v>
      </c>
      <c r="AT14" s="151">
        <v>190</v>
      </c>
      <c r="AU14" s="153">
        <v>0.77083333333333337</v>
      </c>
      <c r="AV14" s="55">
        <f t="shared" si="41"/>
        <v>46181</v>
      </c>
      <c r="AW14" s="109">
        <f t="shared" si="50"/>
        <v>0.70602361416850112</v>
      </c>
      <c r="AX14" s="109">
        <f t="shared" si="51"/>
        <v>0.29397638583149888</v>
      </c>
      <c r="AY14" s="110">
        <f t="shared" si="45"/>
        <v>9994</v>
      </c>
      <c r="AZ14" s="111">
        <v>9994</v>
      </c>
      <c r="BA14" s="119">
        <f t="shared" si="42"/>
        <v>7056</v>
      </c>
      <c r="BB14" s="112">
        <v>2938</v>
      </c>
      <c r="BC14" s="111">
        <v>4682</v>
      </c>
      <c r="BD14" s="113">
        <v>0.71875</v>
      </c>
      <c r="BE14" s="114">
        <v>0</v>
      </c>
      <c r="BF14" s="113">
        <v>0</v>
      </c>
      <c r="BG14" s="114">
        <v>172</v>
      </c>
      <c r="BH14" s="113">
        <v>0.78125</v>
      </c>
      <c r="BI14" s="55">
        <f t="shared" si="43"/>
        <v>46181</v>
      </c>
      <c r="BJ14" s="77">
        <f t="shared" si="52"/>
        <v>0.6067430668191125</v>
      </c>
      <c r="BK14" s="75">
        <f t="shared" si="53"/>
        <v>0.39325693318088756</v>
      </c>
      <c r="BL14" s="78">
        <f t="shared" si="54"/>
        <v>37609</v>
      </c>
      <c r="BM14" s="154">
        <v>22819</v>
      </c>
      <c r="BN14" s="154">
        <v>14790</v>
      </c>
      <c r="BO14" s="155">
        <v>4946</v>
      </c>
      <c r="BP14" s="156">
        <v>0.74375000000000002</v>
      </c>
      <c r="BQ14" s="157">
        <v>3300</v>
      </c>
      <c r="BR14" s="156">
        <v>1.0631944444444446</v>
      </c>
    </row>
    <row r="15" spans="1:71" ht="15.75" thickBot="1" x14ac:dyDescent="0.3">
      <c r="B15" s="55">
        <f t="shared" si="37"/>
        <v>46182</v>
      </c>
      <c r="C15" s="163"/>
      <c r="D15" s="86">
        <f t="shared" si="0"/>
        <v>59012</v>
      </c>
      <c r="E15" s="158">
        <f t="shared" si="1"/>
        <v>0.87778756863010909</v>
      </c>
      <c r="F15" s="86">
        <f t="shared" si="2"/>
        <v>51800</v>
      </c>
      <c r="G15" s="158">
        <f t="shared" si="3"/>
        <v>0.12221243136989086</v>
      </c>
      <c r="H15" s="145">
        <f t="shared" si="4"/>
        <v>7212</v>
      </c>
      <c r="I15" s="159">
        <f t="shared" si="5"/>
        <v>0.14249051147659497</v>
      </c>
      <c r="J15" s="158">
        <f t="shared" si="6"/>
        <v>0.19240918127598047</v>
      </c>
      <c r="K15" s="158">
        <f t="shared" si="7"/>
        <v>0.17345544255719433</v>
      </c>
      <c r="L15" s="160">
        <f t="shared" si="8"/>
        <v>0.48846918489065605</v>
      </c>
      <c r="M15" s="145">
        <f t="shared" si="22"/>
        <v>8221.5600216880539</v>
      </c>
      <c r="N15" s="145">
        <f t="shared" si="23"/>
        <v>11101.817350442798</v>
      </c>
      <c r="O15" s="145">
        <f t="shared" si="24"/>
        <v>10008.205580107557</v>
      </c>
      <c r="P15" s="145">
        <f t="shared" si="25"/>
        <v>28184.183499005965</v>
      </c>
      <c r="Q15" s="55">
        <f t="shared" si="38"/>
        <v>46182</v>
      </c>
      <c r="R15" s="138">
        <v>59012</v>
      </c>
      <c r="S15" s="139">
        <v>0</v>
      </c>
      <c r="T15" s="139">
        <v>57699</v>
      </c>
      <c r="U15" s="139">
        <v>0</v>
      </c>
      <c r="V15" s="140">
        <v>14914</v>
      </c>
      <c r="W15" s="141">
        <v>0.42708333333333331</v>
      </c>
      <c r="X15" s="140">
        <v>4864</v>
      </c>
      <c r="Y15" s="141">
        <v>0.38541666666666669</v>
      </c>
      <c r="Z15" s="140">
        <v>0</v>
      </c>
      <c r="AA15" s="141">
        <v>0</v>
      </c>
      <c r="AB15" s="55">
        <f t="shared" si="39"/>
        <v>46182</v>
      </c>
      <c r="AC15" s="75">
        <f t="shared" si="46"/>
        <v>1</v>
      </c>
      <c r="AD15" s="161">
        <f t="shared" si="47"/>
        <v>0</v>
      </c>
      <c r="AE15" s="162">
        <v>7884</v>
      </c>
      <c r="AF15" s="117">
        <f t="shared" si="44"/>
        <v>7884</v>
      </c>
      <c r="AG15" s="146">
        <v>0</v>
      </c>
      <c r="AH15" s="147">
        <v>4010</v>
      </c>
      <c r="AI15" s="148">
        <v>0.7631944444444444</v>
      </c>
      <c r="AJ15" s="147">
        <v>0</v>
      </c>
      <c r="AK15" s="164">
        <v>0</v>
      </c>
      <c r="AL15" s="167">
        <f t="shared" si="28"/>
        <v>46182</v>
      </c>
      <c r="AM15" s="76">
        <f t="shared" si="48"/>
        <v>0.606143152357693</v>
      </c>
      <c r="AN15" s="75">
        <f t="shared" si="49"/>
        <v>0.393856847642307</v>
      </c>
      <c r="AO15" s="149">
        <v>10646</v>
      </c>
      <c r="AP15" s="116">
        <f t="shared" si="40"/>
        <v>6453</v>
      </c>
      <c r="AQ15" s="150">
        <v>4193</v>
      </c>
      <c r="AR15" s="151">
        <v>4244</v>
      </c>
      <c r="AS15" s="152">
        <v>0.35625000000000001</v>
      </c>
      <c r="AT15" s="151">
        <v>194</v>
      </c>
      <c r="AU15" s="153">
        <v>0.75</v>
      </c>
      <c r="AV15" s="55">
        <f t="shared" si="41"/>
        <v>46182</v>
      </c>
      <c r="AW15" s="168">
        <f t="shared" si="50"/>
        <v>0.691087690576077</v>
      </c>
      <c r="AX15" s="168">
        <f t="shared" si="51"/>
        <v>0.30891230942392306</v>
      </c>
      <c r="AY15" s="110">
        <f t="shared" si="45"/>
        <v>9773</v>
      </c>
      <c r="AZ15" s="111">
        <v>9773</v>
      </c>
      <c r="BA15" s="119">
        <f t="shared" si="42"/>
        <v>6754</v>
      </c>
      <c r="BB15" s="112">
        <v>3019</v>
      </c>
      <c r="BC15" s="111">
        <v>4069</v>
      </c>
      <c r="BD15" s="113">
        <v>0.38541666666666669</v>
      </c>
      <c r="BE15" s="114">
        <v>0</v>
      </c>
      <c r="BF15" s="113">
        <v>0</v>
      </c>
      <c r="BG15" s="114">
        <v>175</v>
      </c>
      <c r="BH15" s="113">
        <v>0.82291666666666663</v>
      </c>
      <c r="BI15" s="55">
        <f t="shared" si="43"/>
        <v>46182</v>
      </c>
      <c r="BJ15" s="169">
        <f t="shared" si="52"/>
        <v>0.83102083102083102</v>
      </c>
      <c r="BK15" s="75">
        <f t="shared" si="53"/>
        <v>0.16897916897916898</v>
      </c>
      <c r="BL15" s="78">
        <f t="shared" si="54"/>
        <v>27027</v>
      </c>
      <c r="BM15" s="154">
        <v>22460</v>
      </c>
      <c r="BN15" s="154">
        <v>4567</v>
      </c>
      <c r="BO15" s="155">
        <v>4289</v>
      </c>
      <c r="BP15" s="156">
        <v>0.37222222222222223</v>
      </c>
      <c r="BQ15" s="157">
        <v>2861</v>
      </c>
      <c r="BR15" s="156">
        <v>0.37291666666666667</v>
      </c>
    </row>
    <row r="16" spans="1:71" ht="15.75" thickBot="1" x14ac:dyDescent="0.3">
      <c r="B16" s="55">
        <f t="shared" si="37"/>
        <v>46183</v>
      </c>
      <c r="C16" s="163"/>
      <c r="D16" s="86">
        <f t="shared" si="0"/>
        <v>58800</v>
      </c>
      <c r="E16" s="158">
        <f t="shared" si="1"/>
        <v>0.87925170068027214</v>
      </c>
      <c r="F16" s="86">
        <f t="shared" si="2"/>
        <v>51700</v>
      </c>
      <c r="G16" s="158">
        <f t="shared" si="3"/>
        <v>0.12074829931972789</v>
      </c>
      <c r="H16" s="145">
        <f t="shared" si="4"/>
        <v>7100</v>
      </c>
      <c r="I16" s="159">
        <f t="shared" si="5"/>
        <v>0.11807604690629443</v>
      </c>
      <c r="J16" s="158">
        <f t="shared" si="6"/>
        <v>0.15538092253122754</v>
      </c>
      <c r="K16" s="158">
        <f t="shared" si="7"/>
        <v>0.1707656116338751</v>
      </c>
      <c r="L16" s="160">
        <f t="shared" si="8"/>
        <v>0.5800449493173514</v>
      </c>
      <c r="M16" s="145">
        <f t="shared" si="22"/>
        <v>6783.5869708135215</v>
      </c>
      <c r="N16" s="145">
        <f t="shared" si="23"/>
        <v>8926.7893803415536</v>
      </c>
      <c r="O16" s="145">
        <f t="shared" si="24"/>
        <v>9810.6551539777593</v>
      </c>
      <c r="P16" s="145">
        <f t="shared" si="25"/>
        <v>33324.162383231152</v>
      </c>
      <c r="Q16" s="55">
        <f t="shared" si="38"/>
        <v>46183</v>
      </c>
      <c r="R16" s="138">
        <v>58800</v>
      </c>
      <c r="S16" s="139">
        <v>0</v>
      </c>
      <c r="T16" s="139">
        <v>57451</v>
      </c>
      <c r="U16" s="139">
        <v>0</v>
      </c>
      <c r="V16" s="140">
        <v>16083</v>
      </c>
      <c r="W16" s="141">
        <v>0.79166666666666663</v>
      </c>
      <c r="X16" s="140">
        <v>4730</v>
      </c>
      <c r="Y16" s="141">
        <v>0.41666666666666669</v>
      </c>
      <c r="Z16" s="140">
        <v>0</v>
      </c>
      <c r="AA16" s="141">
        <v>0</v>
      </c>
      <c r="AB16" s="55">
        <f t="shared" si="39"/>
        <v>46183</v>
      </c>
      <c r="AC16" s="75">
        <f t="shared" si="46"/>
        <v>1</v>
      </c>
      <c r="AD16" s="161">
        <f t="shared" si="47"/>
        <v>0</v>
      </c>
      <c r="AE16" s="162">
        <v>7723</v>
      </c>
      <c r="AF16" s="117">
        <f t="shared" si="44"/>
        <v>7723</v>
      </c>
      <c r="AG16" s="146">
        <v>0</v>
      </c>
      <c r="AH16" s="147">
        <v>3543</v>
      </c>
      <c r="AI16" s="148">
        <v>0.76944444444444449</v>
      </c>
      <c r="AJ16" s="147">
        <v>0</v>
      </c>
      <c r="AK16" s="164">
        <v>0</v>
      </c>
      <c r="AL16" s="55">
        <f t="shared" si="28"/>
        <v>46183</v>
      </c>
      <c r="AM16" s="76">
        <f t="shared" si="48"/>
        <v>0.59883892551411988</v>
      </c>
      <c r="AN16" s="75">
        <f t="shared" si="49"/>
        <v>0.40116107448588018</v>
      </c>
      <c r="AO16" s="149">
        <v>10163</v>
      </c>
      <c r="AP16" s="116">
        <f t="shared" si="40"/>
        <v>6086</v>
      </c>
      <c r="AQ16" s="150">
        <v>4077</v>
      </c>
      <c r="AR16" s="151">
        <v>3723</v>
      </c>
      <c r="AS16" s="152">
        <v>0.74375000000000002</v>
      </c>
      <c r="AT16" s="151">
        <v>200</v>
      </c>
      <c r="AU16" s="153">
        <v>0.34375</v>
      </c>
      <c r="AV16" s="55">
        <f t="shared" si="41"/>
        <v>46183</v>
      </c>
      <c r="AW16" s="109">
        <f t="shared" si="50"/>
        <v>0.6845126278438739</v>
      </c>
      <c r="AX16" s="109">
        <f t="shared" si="51"/>
        <v>0.31548737215612604</v>
      </c>
      <c r="AY16" s="110">
        <f t="shared" si="45"/>
        <v>9582</v>
      </c>
      <c r="AZ16" s="111">
        <v>9582</v>
      </c>
      <c r="BA16" s="119">
        <f t="shared" si="42"/>
        <v>6559</v>
      </c>
      <c r="BB16" s="112">
        <v>3023</v>
      </c>
      <c r="BC16" s="111">
        <v>4411</v>
      </c>
      <c r="BD16" s="113">
        <v>0.70833333333333337</v>
      </c>
      <c r="BE16" s="114">
        <v>0</v>
      </c>
      <c r="BF16" s="113">
        <v>0</v>
      </c>
      <c r="BG16" s="114">
        <v>169</v>
      </c>
      <c r="BH16" s="113">
        <v>0.3125</v>
      </c>
      <c r="BI16" s="55">
        <f t="shared" si="43"/>
        <v>46183</v>
      </c>
      <c r="BJ16" s="77">
        <f t="shared" si="52"/>
        <v>0.60990010279659457</v>
      </c>
      <c r="BK16" s="75">
        <f t="shared" si="53"/>
        <v>0.39009989720340549</v>
      </c>
      <c r="BL16" s="78">
        <f t="shared" si="54"/>
        <v>37939</v>
      </c>
      <c r="BM16" s="154">
        <v>23139</v>
      </c>
      <c r="BN16" s="154">
        <v>14800</v>
      </c>
      <c r="BO16" s="155">
        <v>4404</v>
      </c>
      <c r="BP16" s="156">
        <v>0.74305555555555558</v>
      </c>
      <c r="BQ16" s="157">
        <v>2898</v>
      </c>
      <c r="BR16" s="156">
        <v>0.74305555555555558</v>
      </c>
    </row>
    <row r="17" spans="1:70" ht="15.75" thickBot="1" x14ac:dyDescent="0.3">
      <c r="B17" s="55">
        <f t="shared" si="37"/>
        <v>46184</v>
      </c>
      <c r="C17" s="163"/>
      <c r="D17" s="86">
        <f t="shared" si="0"/>
        <v>58560</v>
      </c>
      <c r="E17" s="158">
        <f t="shared" si="1"/>
        <v>0.8810621584699454</v>
      </c>
      <c r="F17" s="86">
        <f t="shared" si="2"/>
        <v>51595</v>
      </c>
      <c r="G17" s="158">
        <f t="shared" si="3"/>
        <v>0.11893784153005464</v>
      </c>
      <c r="H17" s="145">
        <f t="shared" si="4"/>
        <v>6965</v>
      </c>
      <c r="I17" s="159">
        <f t="shared" si="5"/>
        <v>0.11818616750889574</v>
      </c>
      <c r="J17" s="158">
        <f t="shared" si="6"/>
        <v>0.15450168944173667</v>
      </c>
      <c r="K17" s="158">
        <f t="shared" si="7"/>
        <v>0.16630170526061694</v>
      </c>
      <c r="L17" s="160">
        <f t="shared" si="8"/>
        <v>0.58311156295786859</v>
      </c>
      <c r="M17" s="145">
        <f t="shared" si="22"/>
        <v>6760.2487815088361</v>
      </c>
      <c r="N17" s="145">
        <f t="shared" si="23"/>
        <v>8837.496636067337</v>
      </c>
      <c r="O17" s="145">
        <f t="shared" si="24"/>
        <v>9512.4575409072895</v>
      </c>
      <c r="P17" s="145">
        <f t="shared" si="25"/>
        <v>33353.981401190082</v>
      </c>
      <c r="Q17" s="55">
        <f t="shared" si="38"/>
        <v>46184</v>
      </c>
      <c r="R17" s="138">
        <v>58560</v>
      </c>
      <c r="S17" s="139">
        <v>0</v>
      </c>
      <c r="T17" s="139">
        <v>57200</v>
      </c>
      <c r="U17" s="139">
        <v>0</v>
      </c>
      <c r="V17" s="140">
        <v>15089</v>
      </c>
      <c r="W17" s="141">
        <v>0.76041666666666663</v>
      </c>
      <c r="X17" s="140">
        <v>4821</v>
      </c>
      <c r="Y17" s="141">
        <v>0.40625</v>
      </c>
      <c r="Z17" s="140">
        <v>0</v>
      </c>
      <c r="AA17" s="141">
        <v>0</v>
      </c>
      <c r="AB17" s="55">
        <f t="shared" si="39"/>
        <v>46184</v>
      </c>
      <c r="AC17" s="75">
        <f t="shared" si="46"/>
        <v>1</v>
      </c>
      <c r="AD17" s="161">
        <f t="shared" si="47"/>
        <v>0</v>
      </c>
      <c r="AE17" s="162">
        <v>7905</v>
      </c>
      <c r="AF17" s="117">
        <f t="shared" si="44"/>
        <v>7905</v>
      </c>
      <c r="AG17" s="146">
        <v>0</v>
      </c>
      <c r="AH17" s="147">
        <v>4339</v>
      </c>
      <c r="AI17" s="148">
        <v>0.73819444444444449</v>
      </c>
      <c r="AJ17" s="147">
        <v>0</v>
      </c>
      <c r="AK17" s="164">
        <v>0</v>
      </c>
      <c r="AL17" s="55">
        <f t="shared" si="28"/>
        <v>46184</v>
      </c>
      <c r="AM17" s="76">
        <f t="shared" si="48"/>
        <v>0.61428294948712991</v>
      </c>
      <c r="AN17" s="75">
        <f t="shared" si="49"/>
        <v>0.38571705051287014</v>
      </c>
      <c r="AO17" s="149">
        <v>10334</v>
      </c>
      <c r="AP17" s="116">
        <f t="shared" si="40"/>
        <v>6348</v>
      </c>
      <c r="AQ17" s="150">
        <v>3986</v>
      </c>
      <c r="AR17" s="151">
        <v>4279</v>
      </c>
      <c r="AS17" s="152">
        <v>0.34930555555555554</v>
      </c>
      <c r="AT17" s="151">
        <v>186</v>
      </c>
      <c r="AU17" s="153">
        <v>0.92708333333333337</v>
      </c>
      <c r="AV17" s="55">
        <f t="shared" si="41"/>
        <v>46184</v>
      </c>
      <c r="AW17" s="109">
        <f t="shared" si="50"/>
        <v>0.69113530326594086</v>
      </c>
      <c r="AX17" s="109">
        <f t="shared" si="51"/>
        <v>0.30886469673405909</v>
      </c>
      <c r="AY17" s="110">
        <f t="shared" si="45"/>
        <v>9645</v>
      </c>
      <c r="AZ17" s="111">
        <v>9645</v>
      </c>
      <c r="BA17" s="119">
        <f t="shared" si="42"/>
        <v>6666</v>
      </c>
      <c r="BB17" s="112">
        <v>2979</v>
      </c>
      <c r="BC17" s="111">
        <v>3917</v>
      </c>
      <c r="BD17" s="113">
        <v>0.73958333333333337</v>
      </c>
      <c r="BE17" s="114">
        <v>0</v>
      </c>
      <c r="BF17" s="113">
        <v>0</v>
      </c>
      <c r="BG17" s="114">
        <v>168</v>
      </c>
      <c r="BH17" s="113">
        <v>0.29166666666666669</v>
      </c>
      <c r="BI17" s="55">
        <f t="shared" si="43"/>
        <v>46184</v>
      </c>
      <c r="BJ17" s="77">
        <f t="shared" si="52"/>
        <v>0.62699348751346085</v>
      </c>
      <c r="BK17" s="75">
        <f t="shared" si="53"/>
        <v>0.37300651248653915</v>
      </c>
      <c r="BL17" s="78">
        <f t="shared" si="54"/>
        <v>39002</v>
      </c>
      <c r="BM17" s="154">
        <v>24454</v>
      </c>
      <c r="BN17" s="154">
        <v>14548</v>
      </c>
      <c r="BO17" s="155">
        <v>4087</v>
      </c>
      <c r="BP17" s="156">
        <v>0.76111111111111107</v>
      </c>
      <c r="BQ17" s="157">
        <v>2720</v>
      </c>
      <c r="BR17" s="156">
        <v>0.80347222222222225</v>
      </c>
    </row>
    <row r="18" spans="1:70" ht="15.75" thickBot="1" x14ac:dyDescent="0.3">
      <c r="B18" s="55">
        <f t="shared" si="37"/>
        <v>46185</v>
      </c>
      <c r="C18" s="163"/>
      <c r="D18" s="86">
        <f t="shared" si="0"/>
        <v>58250</v>
      </c>
      <c r="E18" s="158">
        <f t="shared" si="1"/>
        <v>0.8808583690987124</v>
      </c>
      <c r="F18" s="86">
        <f t="shared" si="2"/>
        <v>51310</v>
      </c>
      <c r="G18" s="158">
        <f t="shared" si="3"/>
        <v>0.11914163090128756</v>
      </c>
      <c r="H18" s="145">
        <f t="shared" si="4"/>
        <v>6940</v>
      </c>
      <c r="I18" s="159">
        <f t="shared" si="5"/>
        <v>0.11995704862709004</v>
      </c>
      <c r="J18" s="158">
        <f t="shared" si="6"/>
        <v>0.15799969320447921</v>
      </c>
      <c r="K18" s="158">
        <f t="shared" si="7"/>
        <v>0.16914629826425789</v>
      </c>
      <c r="L18" s="160">
        <f t="shared" si="8"/>
        <v>0.57554839699340388</v>
      </c>
      <c r="M18" s="145">
        <f t="shared" si="22"/>
        <v>6868.7406043871761</v>
      </c>
      <c r="N18" s="145">
        <f t="shared" si="23"/>
        <v>9047.0624328884787</v>
      </c>
      <c r="O18" s="145">
        <f t="shared" si="24"/>
        <v>9685.317038611407</v>
      </c>
      <c r="P18" s="145">
        <f t="shared" si="25"/>
        <v>32955.901211842305</v>
      </c>
      <c r="Q18" s="55">
        <f t="shared" si="38"/>
        <v>46185</v>
      </c>
      <c r="R18" s="138">
        <v>58250</v>
      </c>
      <c r="S18" s="139">
        <v>0</v>
      </c>
      <c r="T18" s="139">
        <v>57260</v>
      </c>
      <c r="U18" s="139">
        <v>0</v>
      </c>
      <c r="V18" s="140">
        <v>14950</v>
      </c>
      <c r="W18" s="141">
        <v>0.72916666666666663</v>
      </c>
      <c r="X18" s="140">
        <v>4819</v>
      </c>
      <c r="Y18" s="141">
        <v>0.75</v>
      </c>
      <c r="Z18" s="140">
        <v>0</v>
      </c>
      <c r="AA18" s="141" t="s">
        <v>70</v>
      </c>
      <c r="AB18" s="55">
        <f t="shared" si="39"/>
        <v>46185</v>
      </c>
      <c r="AC18" s="75">
        <f t="shared" si="46"/>
        <v>1</v>
      </c>
      <c r="AD18" s="161">
        <f t="shared" si="47"/>
        <v>0</v>
      </c>
      <c r="AE18" s="162">
        <v>7820</v>
      </c>
      <c r="AF18" s="117">
        <f t="shared" si="44"/>
        <v>7820</v>
      </c>
      <c r="AG18" s="146">
        <v>0</v>
      </c>
      <c r="AH18" s="147">
        <v>4120</v>
      </c>
      <c r="AI18" s="148">
        <v>0.77083333333333337</v>
      </c>
      <c r="AJ18" s="147">
        <v>0</v>
      </c>
      <c r="AK18" s="164">
        <v>0</v>
      </c>
      <c r="AL18" s="55">
        <f t="shared" si="28"/>
        <v>46185</v>
      </c>
      <c r="AM18" s="76">
        <f t="shared" si="48"/>
        <v>0.61067961165048545</v>
      </c>
      <c r="AN18" s="75">
        <f t="shared" si="49"/>
        <v>0.38932038834951455</v>
      </c>
      <c r="AO18" s="149">
        <v>10300</v>
      </c>
      <c r="AP18" s="116">
        <f t="shared" si="40"/>
        <v>6290</v>
      </c>
      <c r="AQ18" s="150">
        <v>4010</v>
      </c>
      <c r="AR18" s="151">
        <v>4090</v>
      </c>
      <c r="AS18" s="152">
        <v>0.33333333333333331</v>
      </c>
      <c r="AT18" s="151">
        <v>184</v>
      </c>
      <c r="AU18" s="153">
        <v>0.875</v>
      </c>
      <c r="AV18" s="55">
        <f t="shared" si="41"/>
        <v>46185</v>
      </c>
      <c r="AW18" s="109">
        <f t="shared" si="50"/>
        <v>0.69319371727748691</v>
      </c>
      <c r="AX18" s="109">
        <f t="shared" si="51"/>
        <v>0.30680628272251309</v>
      </c>
      <c r="AY18" s="110">
        <f t="shared" si="45"/>
        <v>9550</v>
      </c>
      <c r="AZ18" s="111">
        <v>9550</v>
      </c>
      <c r="BA18" s="119">
        <f t="shared" si="42"/>
        <v>6620</v>
      </c>
      <c r="BB18" s="112">
        <v>2930</v>
      </c>
      <c r="BC18" s="111">
        <v>4020</v>
      </c>
      <c r="BD18" s="113">
        <v>0.77083333333333337</v>
      </c>
      <c r="BE18" s="114">
        <v>0</v>
      </c>
      <c r="BF18" s="113">
        <v>0</v>
      </c>
      <c r="BG18" s="114">
        <v>168</v>
      </c>
      <c r="BH18" s="113">
        <v>0.33333333333333331</v>
      </c>
      <c r="BI18" s="55">
        <f t="shared" si="43"/>
        <v>46185</v>
      </c>
      <c r="BJ18" s="77">
        <f t="shared" si="52"/>
        <v>0.61966950959488276</v>
      </c>
      <c r="BK18" s="75">
        <f t="shared" si="53"/>
        <v>0.38033049040511729</v>
      </c>
      <c r="BL18" s="78">
        <f t="shared" si="54"/>
        <v>37520</v>
      </c>
      <c r="BM18" s="154">
        <v>23250</v>
      </c>
      <c r="BN18" s="154">
        <v>14270</v>
      </c>
      <c r="BO18" s="155">
        <v>4080</v>
      </c>
      <c r="BP18" s="156">
        <v>0.72916666666666663</v>
      </c>
      <c r="BQ18" s="157">
        <v>2730</v>
      </c>
      <c r="BR18" s="156">
        <v>0.77083333333333337</v>
      </c>
    </row>
    <row r="19" spans="1:70" ht="15.75" thickBot="1" x14ac:dyDescent="0.3">
      <c r="B19" s="55">
        <f t="shared" si="37"/>
        <v>46186</v>
      </c>
      <c r="C19" s="163"/>
      <c r="D19" s="86">
        <f t="shared" si="0"/>
        <v>32720</v>
      </c>
      <c r="E19" s="158">
        <f t="shared" si="1"/>
        <v>0.7955378973105135</v>
      </c>
      <c r="F19" s="86">
        <f t="shared" si="2"/>
        <v>26030</v>
      </c>
      <c r="G19" s="158">
        <f t="shared" si="3"/>
        <v>0.20446210268948656</v>
      </c>
      <c r="H19" s="145">
        <f t="shared" si="4"/>
        <v>6690</v>
      </c>
      <c r="I19" s="159">
        <f t="shared" si="5"/>
        <v>8.2472807379870575E-2</v>
      </c>
      <c r="J19" s="158">
        <f t="shared" si="6"/>
        <v>0.16329340492909267</v>
      </c>
      <c r="K19" s="158">
        <f t="shared" si="7"/>
        <v>0.16751895609239992</v>
      </c>
      <c r="L19" s="160">
        <f t="shared" si="8"/>
        <v>0.62343384276469782</v>
      </c>
      <c r="M19" s="145">
        <f t="shared" si="22"/>
        <v>2630.0578273440728</v>
      </c>
      <c r="N19" s="145">
        <f t="shared" si="23"/>
        <v>5207.4266831887653</v>
      </c>
      <c r="O19" s="145">
        <f t="shared" si="24"/>
        <v>5342.1795097866334</v>
      </c>
      <c r="P19" s="145">
        <f t="shared" si="25"/>
        <v>19881.305245766212</v>
      </c>
      <c r="Q19" s="55">
        <f t="shared" si="38"/>
        <v>46186</v>
      </c>
      <c r="R19" s="138">
        <v>32720</v>
      </c>
      <c r="S19" s="139">
        <v>0</v>
      </c>
      <c r="T19" s="139">
        <v>31890</v>
      </c>
      <c r="U19" s="139">
        <v>0</v>
      </c>
      <c r="V19" s="140">
        <v>6990</v>
      </c>
      <c r="W19" s="141">
        <v>0.77083333333333337</v>
      </c>
      <c r="X19" s="140">
        <v>2285</v>
      </c>
      <c r="Y19" s="141">
        <v>0.72916666666666663</v>
      </c>
      <c r="Z19" s="140">
        <v>0</v>
      </c>
      <c r="AA19" s="141">
        <v>0</v>
      </c>
      <c r="AB19" s="55">
        <f t="shared" si="39"/>
        <v>46186</v>
      </c>
      <c r="AC19" s="75">
        <f t="shared" si="46"/>
        <v>1</v>
      </c>
      <c r="AD19" s="161">
        <f t="shared" si="47"/>
        <v>0</v>
      </c>
      <c r="AE19" s="162">
        <v>2995</v>
      </c>
      <c r="AF19" s="117">
        <f t="shared" si="44"/>
        <v>2995</v>
      </c>
      <c r="AG19" s="146">
        <v>0</v>
      </c>
      <c r="AH19" s="147">
        <v>2100</v>
      </c>
      <c r="AI19" s="148">
        <v>0.72916666666666663</v>
      </c>
      <c r="AJ19" s="147">
        <v>0</v>
      </c>
      <c r="AK19" s="164">
        <v>0</v>
      </c>
      <c r="AL19" s="55">
        <f t="shared" si="28"/>
        <v>46186</v>
      </c>
      <c r="AM19" s="76">
        <f t="shared" ref="AM19" si="56">+AP19/AO19</f>
        <v>0.34907251264755479</v>
      </c>
      <c r="AN19" s="75">
        <f t="shared" ref="AN19" si="57">+AQ19/AO19</f>
        <v>0.65092748735244521</v>
      </c>
      <c r="AO19" s="149">
        <v>5930</v>
      </c>
      <c r="AP19" s="116">
        <f t="shared" si="40"/>
        <v>2070</v>
      </c>
      <c r="AQ19" s="150">
        <v>3860</v>
      </c>
      <c r="AR19" s="151">
        <v>1930</v>
      </c>
      <c r="AS19" s="152">
        <v>0.75</v>
      </c>
      <c r="AT19" s="151">
        <v>183</v>
      </c>
      <c r="AU19" s="153">
        <v>0.79166666666666663</v>
      </c>
      <c r="AV19" s="55">
        <f t="shared" si="41"/>
        <v>46186</v>
      </c>
      <c r="AW19" s="109">
        <f t="shared" ref="AW19" si="58">BA19/AZ19</f>
        <v>0.40421052631578946</v>
      </c>
      <c r="AX19" s="109">
        <f t="shared" ref="AX19" si="59">BB19/AZ19</f>
        <v>0.59578947368421054</v>
      </c>
      <c r="AY19" s="110">
        <f t="shared" si="45"/>
        <v>4750</v>
      </c>
      <c r="AZ19" s="111">
        <v>4750</v>
      </c>
      <c r="BA19" s="119">
        <f t="shared" si="42"/>
        <v>1920</v>
      </c>
      <c r="BB19" s="112">
        <v>2830</v>
      </c>
      <c r="BC19" s="180">
        <v>1720</v>
      </c>
      <c r="BD19" s="113">
        <v>0.72916666666666663</v>
      </c>
      <c r="BE19" s="114">
        <v>0</v>
      </c>
      <c r="BF19" s="113">
        <v>0</v>
      </c>
      <c r="BG19" s="114">
        <v>168</v>
      </c>
      <c r="BH19" s="113">
        <v>0.75</v>
      </c>
      <c r="BI19" s="55">
        <f t="shared" si="43"/>
        <v>46186</v>
      </c>
      <c r="BJ19" s="77">
        <f t="shared" ref="BJ19" si="60">+BM19/BL19</f>
        <v>0.60909893992932862</v>
      </c>
      <c r="BK19" s="75">
        <f t="shared" ref="BK19" si="61">+BN19/BL19</f>
        <v>0.39090106007067138</v>
      </c>
      <c r="BL19" s="78">
        <f t="shared" ref="BL19" si="62">BM19+BN19</f>
        <v>22640</v>
      </c>
      <c r="BM19" s="154">
        <v>13790</v>
      </c>
      <c r="BN19" s="154">
        <v>8850</v>
      </c>
      <c r="BO19" s="155">
        <v>2890</v>
      </c>
      <c r="BP19" s="156">
        <v>0.79166666666666663</v>
      </c>
      <c r="BQ19" s="157">
        <v>1920</v>
      </c>
      <c r="BR19" s="156">
        <v>0.73958333333333337</v>
      </c>
    </row>
    <row r="20" spans="1:70" ht="15.75" thickBot="1" x14ac:dyDescent="0.3">
      <c r="B20" s="55">
        <f t="shared" si="37"/>
        <v>46187</v>
      </c>
      <c r="C20" s="163"/>
      <c r="D20" s="86">
        <f t="shared" si="0"/>
        <v>28650</v>
      </c>
      <c r="E20" s="158">
        <f t="shared" si="1"/>
        <v>0.7663176265270506</v>
      </c>
      <c r="F20" s="86">
        <f t="shared" si="2"/>
        <v>21955</v>
      </c>
      <c r="G20" s="158">
        <f t="shared" si="3"/>
        <v>0.2336823734729494</v>
      </c>
      <c r="H20" s="145">
        <f t="shared" si="4"/>
        <v>6695</v>
      </c>
      <c r="I20" s="159">
        <f t="shared" si="5"/>
        <v>8.2183989762547982E-2</v>
      </c>
      <c r="J20" s="158">
        <f t="shared" si="6"/>
        <v>0.16536328735959049</v>
      </c>
      <c r="K20" s="158">
        <f t="shared" si="7"/>
        <v>0.16772554002541296</v>
      </c>
      <c r="L20" s="160">
        <f t="shared" si="8"/>
        <v>0.62107208872458408</v>
      </c>
      <c r="M20" s="145">
        <f t="shared" si="22"/>
        <v>2286.358595194085</v>
      </c>
      <c r="N20" s="145">
        <f t="shared" si="23"/>
        <v>4600.4066543438075</v>
      </c>
      <c r="O20" s="145">
        <f t="shared" si="24"/>
        <v>4666.1245235069882</v>
      </c>
      <c r="P20" s="145">
        <f t="shared" si="25"/>
        <v>17278.22550831793</v>
      </c>
      <c r="Q20" s="55">
        <f t="shared" si="38"/>
        <v>46187</v>
      </c>
      <c r="R20" s="138">
        <v>28650</v>
      </c>
      <c r="S20" s="139">
        <v>0</v>
      </c>
      <c r="T20" s="139">
        <v>27820</v>
      </c>
      <c r="U20" s="139">
        <v>0</v>
      </c>
      <c r="V20" s="140">
        <v>6490</v>
      </c>
      <c r="W20" s="141">
        <v>0.70833333333333337</v>
      </c>
      <c r="X20" s="140">
        <v>2150</v>
      </c>
      <c r="Y20" s="141">
        <v>0.75</v>
      </c>
      <c r="Z20" s="140">
        <v>0</v>
      </c>
      <c r="AA20" s="141">
        <v>0</v>
      </c>
      <c r="AB20" s="55">
        <f t="shared" si="39"/>
        <v>46187</v>
      </c>
      <c r="AC20" s="75">
        <f t="shared" si="46"/>
        <v>1</v>
      </c>
      <c r="AD20" s="161">
        <f t="shared" si="47"/>
        <v>0</v>
      </c>
      <c r="AE20" s="162">
        <v>2890</v>
      </c>
      <c r="AF20" s="117">
        <f t="shared" si="44"/>
        <v>2890</v>
      </c>
      <c r="AG20" s="146">
        <v>0</v>
      </c>
      <c r="AH20" s="147">
        <v>1975</v>
      </c>
      <c r="AI20" s="148">
        <v>0.77083333333333337</v>
      </c>
      <c r="AJ20" s="147">
        <v>0</v>
      </c>
      <c r="AK20" s="164">
        <v>0</v>
      </c>
      <c r="AL20" s="55">
        <f t="shared" si="28"/>
        <v>46187</v>
      </c>
      <c r="AM20" s="76">
        <f t="shared" si="48"/>
        <v>0.33791917454858128</v>
      </c>
      <c r="AN20" s="75">
        <f t="shared" si="49"/>
        <v>0.66208082545141878</v>
      </c>
      <c r="AO20" s="149">
        <v>5815</v>
      </c>
      <c r="AP20" s="116">
        <f t="shared" si="40"/>
        <v>1965</v>
      </c>
      <c r="AQ20" s="150">
        <v>3850</v>
      </c>
      <c r="AR20" s="151">
        <v>1960</v>
      </c>
      <c r="AS20" s="152">
        <v>0.73958333333333337</v>
      </c>
      <c r="AT20" s="151">
        <v>183</v>
      </c>
      <c r="AU20" s="153">
        <v>0.75</v>
      </c>
      <c r="AV20" s="55">
        <f t="shared" si="41"/>
        <v>46187</v>
      </c>
      <c r="AW20" s="109">
        <f t="shared" si="50"/>
        <v>0.38419913419913421</v>
      </c>
      <c r="AX20" s="109">
        <f t="shared" si="51"/>
        <v>0.61580086580086579</v>
      </c>
      <c r="AY20" s="110">
        <f t="shared" si="45"/>
        <v>4620</v>
      </c>
      <c r="AZ20" s="111">
        <v>4620</v>
      </c>
      <c r="BA20" s="119">
        <f t="shared" si="42"/>
        <v>1775</v>
      </c>
      <c r="BB20" s="112">
        <v>2845</v>
      </c>
      <c r="BC20" s="111">
        <v>1670</v>
      </c>
      <c r="BD20" s="113">
        <v>0.77083333333333337</v>
      </c>
      <c r="BE20" s="114">
        <v>0</v>
      </c>
      <c r="BF20" s="113">
        <v>0</v>
      </c>
      <c r="BG20" s="114">
        <v>168</v>
      </c>
      <c r="BH20" s="113">
        <v>0.70833333333333337</v>
      </c>
      <c r="BI20" s="55">
        <f t="shared" si="43"/>
        <v>46187</v>
      </c>
      <c r="BJ20" s="77">
        <f t="shared" si="52"/>
        <v>0.61584249084249088</v>
      </c>
      <c r="BK20" s="75">
        <f t="shared" si="53"/>
        <v>0.38415750915750918</v>
      </c>
      <c r="BL20" s="78">
        <f t="shared" si="54"/>
        <v>21840</v>
      </c>
      <c r="BM20" s="154">
        <v>13450</v>
      </c>
      <c r="BN20" s="154">
        <v>8390</v>
      </c>
      <c r="BO20" s="155">
        <v>2720</v>
      </c>
      <c r="BP20" s="156">
        <v>0.78125</v>
      </c>
      <c r="BQ20" s="157">
        <v>1860</v>
      </c>
      <c r="BR20" s="156">
        <v>0.79166666666666663</v>
      </c>
    </row>
    <row r="21" spans="1:70" ht="15.75" thickBot="1" x14ac:dyDescent="0.3">
      <c r="A21" s="14"/>
      <c r="B21" s="55">
        <f t="shared" si="37"/>
        <v>46188</v>
      </c>
      <c r="C21" s="163"/>
      <c r="D21" s="86">
        <f t="shared" si="0"/>
        <v>59406</v>
      </c>
      <c r="E21" s="158">
        <f t="shared" si="1"/>
        <v>0.87885062114937884</v>
      </c>
      <c r="F21" s="86">
        <f t="shared" si="2"/>
        <v>52209</v>
      </c>
      <c r="G21" s="158">
        <f t="shared" si="3"/>
        <v>0.12114937885062114</v>
      </c>
      <c r="H21" s="145">
        <f t="shared" si="4"/>
        <v>7197</v>
      </c>
      <c r="I21" s="159">
        <f t="shared" si="5"/>
        <v>0.11985166124271551</v>
      </c>
      <c r="J21" s="158">
        <f t="shared" si="6"/>
        <v>0.16046318020131689</v>
      </c>
      <c r="K21" s="158">
        <f t="shared" si="7"/>
        <v>0.17127908820265295</v>
      </c>
      <c r="L21" s="160">
        <f t="shared" si="8"/>
        <v>0.57251192007871032</v>
      </c>
      <c r="M21" s="145">
        <f t="shared" si="22"/>
        <v>6957.5087868008786</v>
      </c>
      <c r="N21" s="145">
        <f t="shared" si="23"/>
        <v>9315.0480738666465</v>
      </c>
      <c r="O21" s="145">
        <f t="shared" si="24"/>
        <v>9942.9223492522069</v>
      </c>
      <c r="P21" s="145">
        <f t="shared" si="25"/>
        <v>33234.889472489216</v>
      </c>
      <c r="Q21" s="55">
        <f t="shared" si="38"/>
        <v>46188</v>
      </c>
      <c r="R21" s="138">
        <v>59406</v>
      </c>
      <c r="S21" s="139">
        <v>0</v>
      </c>
      <c r="T21" s="139">
        <v>58051</v>
      </c>
      <c r="U21" s="139">
        <v>0</v>
      </c>
      <c r="V21" s="140">
        <v>14275</v>
      </c>
      <c r="W21" s="141">
        <v>0.75</v>
      </c>
      <c r="X21" s="140">
        <v>4940</v>
      </c>
      <c r="Y21" s="141">
        <v>0.78125</v>
      </c>
      <c r="Z21" s="140">
        <v>0</v>
      </c>
      <c r="AA21" s="141">
        <v>0</v>
      </c>
      <c r="AB21" s="55">
        <f t="shared" si="39"/>
        <v>46188</v>
      </c>
      <c r="AC21" s="75">
        <f t="shared" si="46"/>
        <v>1</v>
      </c>
      <c r="AD21" s="161">
        <f t="shared" si="47"/>
        <v>0</v>
      </c>
      <c r="AE21" s="162">
        <v>7918</v>
      </c>
      <c r="AF21" s="117">
        <f t="shared" si="44"/>
        <v>7918</v>
      </c>
      <c r="AG21" s="146">
        <v>0</v>
      </c>
      <c r="AH21" s="147">
        <v>4127</v>
      </c>
      <c r="AI21" s="148">
        <v>0.71805555555555556</v>
      </c>
      <c r="AJ21" s="147">
        <v>0</v>
      </c>
      <c r="AK21" s="164">
        <v>0</v>
      </c>
      <c r="AL21" s="55">
        <f t="shared" si="28"/>
        <v>46188</v>
      </c>
      <c r="AM21" s="76">
        <f t="shared" si="48"/>
        <v>0.60824450523535512</v>
      </c>
      <c r="AN21" s="75">
        <f t="shared" si="49"/>
        <v>0.39175549476464483</v>
      </c>
      <c r="AO21" s="149">
        <v>10601</v>
      </c>
      <c r="AP21" s="116">
        <f t="shared" si="40"/>
        <v>6448</v>
      </c>
      <c r="AQ21" s="150">
        <v>4153</v>
      </c>
      <c r="AR21" s="151">
        <v>4260</v>
      </c>
      <c r="AS21" s="152">
        <v>0.70208333333333328</v>
      </c>
      <c r="AT21" s="151">
        <v>198</v>
      </c>
      <c r="AU21" s="153">
        <v>0.84375</v>
      </c>
      <c r="AV21" s="55">
        <f t="shared" si="41"/>
        <v>46188</v>
      </c>
      <c r="AW21" s="109">
        <f t="shared" si="50"/>
        <v>0.68692790291062433</v>
      </c>
      <c r="AX21" s="109">
        <f t="shared" si="51"/>
        <v>0.31307209708937572</v>
      </c>
      <c r="AY21" s="110">
        <f t="shared" si="45"/>
        <v>9723</v>
      </c>
      <c r="AZ21" s="111">
        <v>9723</v>
      </c>
      <c r="BA21" s="119">
        <f t="shared" si="42"/>
        <v>6679</v>
      </c>
      <c r="BB21" s="112">
        <v>3044</v>
      </c>
      <c r="BC21" s="111">
        <v>4423</v>
      </c>
      <c r="BD21" s="113">
        <v>0.75</v>
      </c>
      <c r="BE21" s="114">
        <v>0</v>
      </c>
      <c r="BF21" s="113">
        <v>0</v>
      </c>
      <c r="BG21" s="114">
        <v>183</v>
      </c>
      <c r="BH21" s="113">
        <v>0.78125</v>
      </c>
      <c r="BI21" s="55">
        <f>BI20+1</f>
        <v>46188</v>
      </c>
      <c r="BJ21" s="77">
        <f t="shared" si="52"/>
        <v>0.60690585093726035</v>
      </c>
      <c r="BK21" s="75">
        <f t="shared" si="53"/>
        <v>0.3930941490627396</v>
      </c>
      <c r="BL21" s="78">
        <f t="shared" si="54"/>
        <v>37823</v>
      </c>
      <c r="BM21" s="154">
        <v>22955</v>
      </c>
      <c r="BN21" s="154">
        <v>14868</v>
      </c>
      <c r="BO21" s="155">
        <v>4233</v>
      </c>
      <c r="BP21" s="156">
        <v>0.81736111111111109</v>
      </c>
      <c r="BQ21" s="157">
        <v>2830</v>
      </c>
      <c r="BR21" s="156">
        <v>0.81805555555555554</v>
      </c>
    </row>
    <row r="22" spans="1:70" ht="15.75" thickBot="1" x14ac:dyDescent="0.3">
      <c r="A22" s="14"/>
      <c r="B22" s="55">
        <f t="shared" si="37"/>
        <v>46189</v>
      </c>
      <c r="C22" s="163"/>
      <c r="D22" s="86">
        <f t="shared" si="0"/>
        <v>59302</v>
      </c>
      <c r="E22" s="158">
        <f t="shared" si="1"/>
        <v>0.87816599777410542</v>
      </c>
      <c r="F22" s="86">
        <f t="shared" si="2"/>
        <v>52077</v>
      </c>
      <c r="G22" s="158">
        <f t="shared" si="3"/>
        <v>0.12183400222589458</v>
      </c>
      <c r="H22" s="145">
        <f t="shared" si="4"/>
        <v>7225</v>
      </c>
      <c r="I22" s="159">
        <f t="shared" si="5"/>
        <v>0.12028987713715877</v>
      </c>
      <c r="J22" s="158">
        <f t="shared" si="6"/>
        <v>0.16121370826545681</v>
      </c>
      <c r="K22" s="158">
        <f t="shared" si="7"/>
        <v>0.17237109755019014</v>
      </c>
      <c r="L22" s="160">
        <f t="shared" si="8"/>
        <v>0.57013230211774735</v>
      </c>
      <c r="M22" s="145">
        <f t="shared" si="22"/>
        <v>6941.6882298311584</v>
      </c>
      <c r="N22" s="145">
        <f t="shared" si="23"/>
        <v>9303.3206765829818</v>
      </c>
      <c r="O22" s="145">
        <f t="shared" si="24"/>
        <v>9947.1912974263723</v>
      </c>
      <c r="P22" s="145">
        <f t="shared" si="25"/>
        <v>32901.194890610961</v>
      </c>
      <c r="Q22" s="55">
        <f t="shared" si="38"/>
        <v>46189</v>
      </c>
      <c r="R22" s="138">
        <v>59302</v>
      </c>
      <c r="S22" s="139">
        <v>0</v>
      </c>
      <c r="T22" s="139">
        <v>57708</v>
      </c>
      <c r="U22" s="139">
        <v>0</v>
      </c>
      <c r="V22" s="140">
        <v>13049</v>
      </c>
      <c r="W22" s="141">
        <v>0.39583333333333331</v>
      </c>
      <c r="X22" s="140">
        <v>4751</v>
      </c>
      <c r="Y22" s="141">
        <v>0.40625</v>
      </c>
      <c r="Z22" s="140">
        <v>0</v>
      </c>
      <c r="AA22" s="141">
        <v>0</v>
      </c>
      <c r="AB22" s="55">
        <f t="shared" si="39"/>
        <v>46189</v>
      </c>
      <c r="AC22" s="75">
        <f t="shared" si="46"/>
        <v>1</v>
      </c>
      <c r="AD22" s="161">
        <f t="shared" si="47"/>
        <v>0</v>
      </c>
      <c r="AE22" s="162">
        <v>7901</v>
      </c>
      <c r="AF22" s="117">
        <f t="shared" si="44"/>
        <v>7901</v>
      </c>
      <c r="AG22" s="146">
        <v>0</v>
      </c>
      <c r="AH22" s="147">
        <v>4264</v>
      </c>
      <c r="AI22" s="148">
        <v>0.34861111111111109</v>
      </c>
      <c r="AJ22" s="147">
        <v>0</v>
      </c>
      <c r="AK22" s="164">
        <v>0</v>
      </c>
      <c r="AL22" s="55">
        <f t="shared" si="28"/>
        <v>46189</v>
      </c>
      <c r="AM22" s="76">
        <f t="shared" si="48"/>
        <v>0.60553404476343375</v>
      </c>
      <c r="AN22" s="75">
        <f t="shared" si="49"/>
        <v>0.39446595523656625</v>
      </c>
      <c r="AO22" s="149">
        <v>10589</v>
      </c>
      <c r="AP22" s="116">
        <f t="shared" si="40"/>
        <v>6412</v>
      </c>
      <c r="AQ22" s="150">
        <v>4177</v>
      </c>
      <c r="AR22" s="151">
        <v>3493</v>
      </c>
      <c r="AS22" s="152">
        <v>0.35902777777777778</v>
      </c>
      <c r="AT22" s="151">
        <v>196</v>
      </c>
      <c r="AU22" s="153">
        <v>0.78125</v>
      </c>
      <c r="AV22" s="55">
        <f t="shared" si="41"/>
        <v>46189</v>
      </c>
      <c r="AW22" s="109">
        <f t="shared" si="50"/>
        <v>0.68722421754746021</v>
      </c>
      <c r="AX22" s="109">
        <f t="shared" si="51"/>
        <v>0.31277578245253979</v>
      </c>
      <c r="AY22" s="110">
        <f t="shared" si="45"/>
        <v>9745</v>
      </c>
      <c r="AZ22" s="111">
        <v>9745</v>
      </c>
      <c r="BA22" s="119">
        <f t="shared" si="42"/>
        <v>6697</v>
      </c>
      <c r="BB22" s="112">
        <v>3048</v>
      </c>
      <c r="BC22" s="111">
        <v>4152</v>
      </c>
      <c r="BD22" s="113">
        <v>0.71875</v>
      </c>
      <c r="BE22" s="114">
        <v>0</v>
      </c>
      <c r="BF22" s="113">
        <v>0</v>
      </c>
      <c r="BG22" s="114">
        <v>174</v>
      </c>
      <c r="BH22" s="113">
        <v>0.33333333333333331</v>
      </c>
      <c r="BI22" s="55">
        <f t="shared" si="43"/>
        <v>46189</v>
      </c>
      <c r="BJ22" s="77">
        <f t="shared" si="52"/>
        <v>0.60702841273232211</v>
      </c>
      <c r="BK22" s="75">
        <f t="shared" si="53"/>
        <v>0.39297158726767784</v>
      </c>
      <c r="BL22" s="78">
        <f t="shared" si="54"/>
        <v>37448</v>
      </c>
      <c r="BM22" s="154">
        <v>22732</v>
      </c>
      <c r="BN22" s="154">
        <v>14716</v>
      </c>
      <c r="BO22" s="155">
        <v>4942</v>
      </c>
      <c r="BP22" s="156">
        <v>0.74375000000000002</v>
      </c>
      <c r="BQ22" s="157">
        <v>3297</v>
      </c>
      <c r="BR22" s="156">
        <v>0.74444444444444446</v>
      </c>
    </row>
    <row r="23" spans="1:70" ht="15.75" thickBot="1" x14ac:dyDescent="0.3">
      <c r="A23" s="14"/>
      <c r="B23" s="55">
        <f t="shared" si="37"/>
        <v>46190</v>
      </c>
      <c r="C23" s="163"/>
      <c r="D23" s="86">
        <f t="shared" si="0"/>
        <v>58514</v>
      </c>
      <c r="E23" s="158">
        <f t="shared" si="1"/>
        <v>0.87697320299415527</v>
      </c>
      <c r="F23" s="86">
        <f t="shared" si="2"/>
        <v>51315.21</v>
      </c>
      <c r="G23" s="158">
        <f t="shared" si="3"/>
        <v>0.12302679700584475</v>
      </c>
      <c r="H23" s="145">
        <f t="shared" si="4"/>
        <v>7198.79</v>
      </c>
      <c r="I23" s="159">
        <f t="shared" si="5"/>
        <v>0.1207611791712286</v>
      </c>
      <c r="J23" s="158">
        <f t="shared" si="6"/>
        <v>0.16145318042867229</v>
      </c>
      <c r="K23" s="158">
        <f t="shared" si="7"/>
        <v>0.17283024110302</v>
      </c>
      <c r="L23" s="160">
        <f t="shared" si="8"/>
        <v>0.56887296209128069</v>
      </c>
      <c r="M23" s="145">
        <f t="shared" si="22"/>
        <v>6883.2133166620233</v>
      </c>
      <c r="N23" s="145">
        <f t="shared" si="23"/>
        <v>9202.5987918545034</v>
      </c>
      <c r="O23" s="145">
        <f t="shared" si="24"/>
        <v>9851.0748673249509</v>
      </c>
      <c r="P23" s="145">
        <f t="shared" si="25"/>
        <v>32424.939662137585</v>
      </c>
      <c r="Q23" s="55">
        <f t="shared" si="38"/>
        <v>46190</v>
      </c>
      <c r="R23" s="138">
        <v>58514</v>
      </c>
      <c r="S23" s="139">
        <v>0</v>
      </c>
      <c r="T23" s="139">
        <v>56998.559999999998</v>
      </c>
      <c r="U23" s="139">
        <v>0</v>
      </c>
      <c r="V23" s="140">
        <v>14113.74</v>
      </c>
      <c r="W23" s="141">
        <v>0.38541666666666669</v>
      </c>
      <c r="X23" s="140">
        <v>4775.7</v>
      </c>
      <c r="Y23" s="141">
        <v>0.42708333333333331</v>
      </c>
      <c r="Z23" s="140">
        <v>0</v>
      </c>
      <c r="AA23" s="141">
        <v>0</v>
      </c>
      <c r="AB23" s="55">
        <f t="shared" si="39"/>
        <v>46190</v>
      </c>
      <c r="AC23" s="75">
        <f t="shared" si="46"/>
        <v>1</v>
      </c>
      <c r="AD23" s="161">
        <f t="shared" si="47"/>
        <v>0</v>
      </c>
      <c r="AE23" s="162">
        <v>7828.94</v>
      </c>
      <c r="AF23" s="117">
        <f t="shared" si="44"/>
        <v>7828.94</v>
      </c>
      <c r="AG23" s="146">
        <v>0</v>
      </c>
      <c r="AH23" s="147">
        <v>3958.85</v>
      </c>
      <c r="AI23" s="148">
        <v>0.70486111111111116</v>
      </c>
      <c r="AJ23" s="147">
        <v>0</v>
      </c>
      <c r="AK23" s="164">
        <v>0</v>
      </c>
      <c r="AL23" s="55">
        <f t="shared" si="28"/>
        <v>46190</v>
      </c>
      <c r="AM23" s="76">
        <f t="shared" si="48"/>
        <v>0.60211521926053313</v>
      </c>
      <c r="AN23" s="75">
        <f t="shared" si="49"/>
        <v>0.39788478073946687</v>
      </c>
      <c r="AO23" s="149">
        <v>10467</v>
      </c>
      <c r="AP23" s="116">
        <f t="shared" si="40"/>
        <v>6302.34</v>
      </c>
      <c r="AQ23" s="150">
        <v>4164.66</v>
      </c>
      <c r="AR23" s="151">
        <v>4110.16</v>
      </c>
      <c r="AS23" s="152">
        <v>0.36666666666666664</v>
      </c>
      <c r="AT23" s="151">
        <v>194.68</v>
      </c>
      <c r="AU23" s="153">
        <v>0.29166666666666669</v>
      </c>
      <c r="AV23" s="55">
        <f t="shared" si="41"/>
        <v>46190</v>
      </c>
      <c r="AW23" s="109">
        <f t="shared" si="50"/>
        <v>0.6857126579656101</v>
      </c>
      <c r="AX23" s="109">
        <f t="shared" si="51"/>
        <v>0.3142873420343899</v>
      </c>
      <c r="AY23" s="110">
        <f t="shared" si="45"/>
        <v>9654</v>
      </c>
      <c r="AZ23" s="111">
        <v>9654</v>
      </c>
      <c r="BA23" s="119">
        <f t="shared" si="42"/>
        <v>6619.87</v>
      </c>
      <c r="BB23" s="112">
        <v>3034.13</v>
      </c>
      <c r="BC23" s="111">
        <v>3737.28</v>
      </c>
      <c r="BD23" s="113">
        <v>0.76041666666666663</v>
      </c>
      <c r="BE23" s="114">
        <v>0</v>
      </c>
      <c r="BF23" s="113">
        <v>0</v>
      </c>
      <c r="BG23" s="114">
        <v>171.38</v>
      </c>
      <c r="BH23" s="113">
        <v>0.82291666666666663</v>
      </c>
      <c r="BI23" s="55">
        <f t="shared" si="43"/>
        <v>46190</v>
      </c>
      <c r="BJ23" s="77">
        <f t="shared" si="52"/>
        <v>0.60789045553145338</v>
      </c>
      <c r="BK23" s="75">
        <f t="shared" si="53"/>
        <v>0.39210954446854662</v>
      </c>
      <c r="BL23" s="78">
        <f t="shared" si="54"/>
        <v>36880</v>
      </c>
      <c r="BM23" s="154">
        <v>22419</v>
      </c>
      <c r="BN23" s="154">
        <v>14461</v>
      </c>
      <c r="BO23" s="155">
        <v>4320.16</v>
      </c>
      <c r="BP23" s="156">
        <v>0.70208333333333328</v>
      </c>
      <c r="BQ23" s="157">
        <v>2885.21</v>
      </c>
      <c r="BR23" s="156">
        <v>0.70208333333333328</v>
      </c>
    </row>
    <row r="24" spans="1:70" ht="15.75" thickBot="1" x14ac:dyDescent="0.3">
      <c r="A24" s="14"/>
      <c r="B24" s="55">
        <f t="shared" si="37"/>
        <v>46191</v>
      </c>
      <c r="C24" s="163"/>
      <c r="D24" s="86">
        <f t="shared" si="0"/>
        <v>57302</v>
      </c>
      <c r="E24" s="158">
        <f t="shared" si="1"/>
        <v>0.87570364036159298</v>
      </c>
      <c r="F24" s="86">
        <f t="shared" si="2"/>
        <v>50179.57</v>
      </c>
      <c r="G24" s="158">
        <f t="shared" si="3"/>
        <v>0.12429635963840704</v>
      </c>
      <c r="H24" s="145">
        <f t="shared" si="4"/>
        <v>7122.43</v>
      </c>
      <c r="I24" s="159">
        <f t="shared" si="5"/>
        <v>0.11756208330674188</v>
      </c>
      <c r="J24" s="158">
        <f t="shared" si="6"/>
        <v>0.15885705914179463</v>
      </c>
      <c r="K24" s="158">
        <f t="shared" si="7"/>
        <v>0.17167606062087976</v>
      </c>
      <c r="L24" s="160">
        <f t="shared" si="8"/>
        <v>0.57679605463576211</v>
      </c>
      <c r="M24" s="145">
        <f t="shared" si="22"/>
        <v>6534.4603301636316</v>
      </c>
      <c r="N24" s="145">
        <f t="shared" si="23"/>
        <v>8829.7614497019185</v>
      </c>
      <c r="O24" s="145">
        <f t="shared" si="24"/>
        <v>9542.280778053997</v>
      </c>
      <c r="P24" s="145">
        <f t="shared" si="25"/>
        <v>32060.089712582841</v>
      </c>
      <c r="Q24" s="55">
        <f t="shared" si="38"/>
        <v>46191</v>
      </c>
      <c r="R24" s="139">
        <v>57302</v>
      </c>
      <c r="S24" s="139">
        <v>0</v>
      </c>
      <c r="T24" s="139">
        <v>55583.06</v>
      </c>
      <c r="U24" s="139">
        <v>0</v>
      </c>
      <c r="V24" s="140">
        <v>12971.7</v>
      </c>
      <c r="W24" s="141">
        <v>0.75</v>
      </c>
      <c r="X24" s="140">
        <v>4924.3999999999996</v>
      </c>
      <c r="Y24" s="141">
        <v>0.40625</v>
      </c>
      <c r="Z24" s="140">
        <v>0</v>
      </c>
      <c r="AA24" s="141">
        <v>0</v>
      </c>
      <c r="AB24" s="55">
        <f t="shared" si="39"/>
        <v>46191</v>
      </c>
      <c r="AC24" s="75">
        <f t="shared" si="46"/>
        <v>1</v>
      </c>
      <c r="AD24" s="161">
        <f t="shared" si="47"/>
        <v>0</v>
      </c>
      <c r="AE24" s="162">
        <v>7478.94</v>
      </c>
      <c r="AF24" s="117">
        <f t="shared" si="44"/>
        <v>7478.94</v>
      </c>
      <c r="AG24" s="146">
        <v>0</v>
      </c>
      <c r="AH24" s="147">
        <v>3986.8</v>
      </c>
      <c r="AI24" s="148">
        <v>0.36180555555555555</v>
      </c>
      <c r="AJ24" s="147">
        <v>0</v>
      </c>
      <c r="AK24" s="164">
        <v>0</v>
      </c>
      <c r="AL24" s="55">
        <f t="shared" si="28"/>
        <v>46191</v>
      </c>
      <c r="AM24" s="76">
        <f t="shared" si="48"/>
        <v>0.59347912131407088</v>
      </c>
      <c r="AN24" s="75">
        <f t="shared" si="49"/>
        <v>0.40652087868592918</v>
      </c>
      <c r="AO24" s="149">
        <v>10106</v>
      </c>
      <c r="AP24" s="116">
        <f t="shared" si="40"/>
        <v>5997.7</v>
      </c>
      <c r="AQ24" s="150">
        <v>4108.3</v>
      </c>
      <c r="AR24" s="151">
        <v>3893.22</v>
      </c>
      <c r="AS24" s="152">
        <v>0.71458333333333335</v>
      </c>
      <c r="AT24" s="151">
        <v>198.31</v>
      </c>
      <c r="AU24" s="153">
        <v>0.69791666666666663</v>
      </c>
      <c r="AV24" s="55">
        <f t="shared" si="41"/>
        <v>46191</v>
      </c>
      <c r="AW24" s="109">
        <f t="shared" si="50"/>
        <v>0.67721889055472262</v>
      </c>
      <c r="AX24" s="109">
        <f t="shared" si="51"/>
        <v>0.32278110944527738</v>
      </c>
      <c r="AY24" s="110">
        <f t="shared" si="45"/>
        <v>9338</v>
      </c>
      <c r="AZ24" s="111">
        <v>9338</v>
      </c>
      <c r="BA24" s="119">
        <f t="shared" si="42"/>
        <v>6323.87</v>
      </c>
      <c r="BB24" s="112">
        <v>3014.13</v>
      </c>
      <c r="BC24" s="111">
        <v>4001.6</v>
      </c>
      <c r="BD24" s="113">
        <v>0.77083333333333337</v>
      </c>
      <c r="BE24" s="114">
        <v>0</v>
      </c>
      <c r="BF24" s="113">
        <v>0</v>
      </c>
      <c r="BG24" s="114">
        <v>173.7</v>
      </c>
      <c r="BH24" s="113">
        <v>0.79166666666666663</v>
      </c>
      <c r="BI24" s="55">
        <f t="shared" si="43"/>
        <v>46191</v>
      </c>
      <c r="BJ24" s="77">
        <f t="shared" si="52"/>
        <v>0.60610726549299609</v>
      </c>
      <c r="BK24" s="75">
        <f t="shared" si="53"/>
        <v>0.39389273450700385</v>
      </c>
      <c r="BL24" s="78">
        <f t="shared" si="54"/>
        <v>36694</v>
      </c>
      <c r="BM24" s="154">
        <v>22240.5</v>
      </c>
      <c r="BN24" s="154">
        <v>14453.5</v>
      </c>
      <c r="BO24" s="155">
        <v>4342.2700000000004</v>
      </c>
      <c r="BP24" s="156">
        <v>0.80208333333333337</v>
      </c>
      <c r="BQ24" s="157">
        <v>2934.6</v>
      </c>
      <c r="BR24" s="156">
        <v>0.80208333333333337</v>
      </c>
    </row>
    <row r="25" spans="1:70" ht="15.75" thickBot="1" x14ac:dyDescent="0.3">
      <c r="A25" s="14"/>
      <c r="B25" s="55">
        <f t="shared" si="37"/>
        <v>46192</v>
      </c>
      <c r="C25" s="163"/>
      <c r="D25" s="86">
        <f t="shared" si="0"/>
        <v>0</v>
      </c>
      <c r="E25" s="158" t="e">
        <f t="shared" si="1"/>
        <v>#DIV/0!</v>
      </c>
      <c r="F25" s="86">
        <f t="shared" si="2"/>
        <v>0</v>
      </c>
      <c r="G25" s="158" t="e">
        <f t="shared" si="3"/>
        <v>#DIV/0!</v>
      </c>
      <c r="H25" s="145">
        <f t="shared" si="4"/>
        <v>0</v>
      </c>
      <c r="I25" s="159" t="e">
        <f t="shared" si="5"/>
        <v>#DIV/0!</v>
      </c>
      <c r="J25" s="158" t="e">
        <f t="shared" si="6"/>
        <v>#DIV/0!</v>
      </c>
      <c r="K25" s="158" t="e">
        <f t="shared" si="7"/>
        <v>#DIV/0!</v>
      </c>
      <c r="L25" s="160" t="e">
        <f t="shared" si="8"/>
        <v>#DIV/0!</v>
      </c>
      <c r="M25" s="145" t="e">
        <f t="shared" si="22"/>
        <v>#DIV/0!</v>
      </c>
      <c r="N25" s="145" t="e">
        <f t="shared" si="23"/>
        <v>#DIV/0!</v>
      </c>
      <c r="O25" s="145" t="e">
        <f t="shared" si="24"/>
        <v>#DIV/0!</v>
      </c>
      <c r="P25" s="145" t="e">
        <f t="shared" si="25"/>
        <v>#DIV/0!</v>
      </c>
      <c r="Q25" s="55">
        <f t="shared" si="38"/>
        <v>46192</v>
      </c>
      <c r="R25" s="139"/>
      <c r="S25" s="139"/>
      <c r="T25" s="139"/>
      <c r="U25" s="139"/>
      <c r="V25" s="140"/>
      <c r="W25" s="141"/>
      <c r="X25" s="140"/>
      <c r="Y25" s="141"/>
      <c r="Z25" s="140"/>
      <c r="AA25" s="141"/>
      <c r="AB25" s="167">
        <f t="shared" si="39"/>
        <v>46192</v>
      </c>
      <c r="AC25" s="75" t="e">
        <f t="shared" si="46"/>
        <v>#DIV/0!</v>
      </c>
      <c r="AD25" s="161" t="e">
        <f t="shared" si="47"/>
        <v>#DIV/0!</v>
      </c>
      <c r="AE25" s="162"/>
      <c r="AF25" s="117">
        <f t="shared" si="44"/>
        <v>0</v>
      </c>
      <c r="AG25" s="146"/>
      <c r="AH25" s="147"/>
      <c r="AI25" s="148"/>
      <c r="AJ25" s="147"/>
      <c r="AK25" s="164"/>
      <c r="AL25" s="167">
        <f t="shared" si="28"/>
        <v>46192</v>
      </c>
      <c r="AM25" s="76" t="e">
        <f t="shared" si="48"/>
        <v>#DIV/0!</v>
      </c>
      <c r="AN25" s="75" t="e">
        <f t="shared" si="49"/>
        <v>#DIV/0!</v>
      </c>
      <c r="AO25" s="149"/>
      <c r="AP25" s="116">
        <f t="shared" si="40"/>
        <v>0</v>
      </c>
      <c r="AQ25" s="150"/>
      <c r="AR25" s="151"/>
      <c r="AS25" s="152"/>
      <c r="AT25" s="151"/>
      <c r="AU25" s="153"/>
      <c r="AV25" s="167">
        <f t="shared" si="41"/>
        <v>46192</v>
      </c>
      <c r="AW25" s="168" t="e">
        <f t="shared" si="50"/>
        <v>#DIV/0!</v>
      </c>
      <c r="AX25" s="168" t="e">
        <f t="shared" si="51"/>
        <v>#DIV/0!</v>
      </c>
      <c r="AY25" s="110">
        <f t="shared" si="45"/>
        <v>0</v>
      </c>
      <c r="AZ25" s="111"/>
      <c r="BA25" s="119">
        <f t="shared" si="42"/>
        <v>0</v>
      </c>
      <c r="BB25" s="112"/>
      <c r="BC25" s="111"/>
      <c r="BD25" s="113"/>
      <c r="BE25" s="114"/>
      <c r="BF25" s="113"/>
      <c r="BG25" s="114"/>
      <c r="BH25" s="113"/>
      <c r="BI25" s="167">
        <f t="shared" si="43"/>
        <v>46192</v>
      </c>
      <c r="BJ25" s="169" t="e">
        <f t="shared" si="52"/>
        <v>#DIV/0!</v>
      </c>
      <c r="BK25" s="75" t="e">
        <f t="shared" si="53"/>
        <v>#DIV/0!</v>
      </c>
      <c r="BL25" s="78">
        <f t="shared" si="54"/>
        <v>0</v>
      </c>
      <c r="BM25" s="154"/>
      <c r="BN25" s="154"/>
      <c r="BO25" s="155"/>
      <c r="BP25" s="156"/>
      <c r="BQ25" s="157"/>
      <c r="BR25" s="156"/>
    </row>
    <row r="26" spans="1:70" ht="15.75" thickBot="1" x14ac:dyDescent="0.3">
      <c r="A26" s="14"/>
      <c r="B26" s="55">
        <f t="shared" si="37"/>
        <v>46193</v>
      </c>
      <c r="C26" s="163"/>
      <c r="D26" s="86">
        <f t="shared" si="0"/>
        <v>0</v>
      </c>
      <c r="E26" s="158" t="e">
        <f t="shared" si="1"/>
        <v>#DIV/0!</v>
      </c>
      <c r="F26" s="86">
        <f t="shared" si="2"/>
        <v>0</v>
      </c>
      <c r="G26" s="158" t="e">
        <f t="shared" si="3"/>
        <v>#DIV/0!</v>
      </c>
      <c r="H26" s="145">
        <f t="shared" si="4"/>
        <v>0</v>
      </c>
      <c r="I26" s="159" t="e">
        <f t="shared" si="5"/>
        <v>#DIV/0!</v>
      </c>
      <c r="J26" s="158" t="e">
        <f t="shared" si="6"/>
        <v>#DIV/0!</v>
      </c>
      <c r="K26" s="158" t="e">
        <f t="shared" si="7"/>
        <v>#DIV/0!</v>
      </c>
      <c r="L26" s="160" t="e">
        <f t="shared" si="8"/>
        <v>#DIV/0!</v>
      </c>
      <c r="M26" s="145" t="e">
        <f t="shared" si="22"/>
        <v>#DIV/0!</v>
      </c>
      <c r="N26" s="145" t="e">
        <f t="shared" si="23"/>
        <v>#DIV/0!</v>
      </c>
      <c r="O26" s="145" t="e">
        <f t="shared" si="24"/>
        <v>#DIV/0!</v>
      </c>
      <c r="P26" s="145" t="e">
        <f t="shared" si="25"/>
        <v>#DIV/0!</v>
      </c>
      <c r="Q26" s="55">
        <f t="shared" si="38"/>
        <v>46193</v>
      </c>
      <c r="R26" s="139"/>
      <c r="S26" s="139"/>
      <c r="T26" s="139"/>
      <c r="U26" s="139"/>
      <c r="V26" s="140"/>
      <c r="W26" s="141"/>
      <c r="X26" s="140"/>
      <c r="Y26" s="141"/>
      <c r="Z26" s="140"/>
      <c r="AA26" s="141"/>
      <c r="AB26" s="55">
        <f t="shared" si="39"/>
        <v>46193</v>
      </c>
      <c r="AC26" s="75" t="e">
        <f t="shared" ref="AC26:AC36" si="63">+AF26/AE26</f>
        <v>#DIV/0!</v>
      </c>
      <c r="AD26" s="161" t="e">
        <f t="shared" ref="AD26:AD36" si="64">+AG26/AE26</f>
        <v>#DIV/0!</v>
      </c>
      <c r="AE26" s="162"/>
      <c r="AF26" s="117">
        <f t="shared" si="44"/>
        <v>0</v>
      </c>
      <c r="AG26" s="146"/>
      <c r="AH26" s="147"/>
      <c r="AI26" s="148"/>
      <c r="AJ26" s="147"/>
      <c r="AK26" s="164"/>
      <c r="AL26" s="55">
        <f t="shared" si="28"/>
        <v>46193</v>
      </c>
      <c r="AM26" s="76" t="e">
        <f t="shared" ref="AM26:AM36" si="65">+AP26/AO26</f>
        <v>#DIV/0!</v>
      </c>
      <c r="AN26" s="75" t="e">
        <f t="shared" ref="AN26:AN36" si="66">+AQ26/AO26</f>
        <v>#DIV/0!</v>
      </c>
      <c r="AO26" s="149"/>
      <c r="AP26" s="116">
        <f t="shared" si="40"/>
        <v>0</v>
      </c>
      <c r="AQ26" s="150"/>
      <c r="AR26" s="151"/>
      <c r="AS26" s="152"/>
      <c r="AT26" s="151"/>
      <c r="AU26" s="153"/>
      <c r="AV26" s="55">
        <f t="shared" si="41"/>
        <v>46193</v>
      </c>
      <c r="AW26" s="109" t="e">
        <f t="shared" ref="AW26:AW36" si="67">BA26/AZ26</f>
        <v>#DIV/0!</v>
      </c>
      <c r="AX26" s="109" t="e">
        <f t="shared" ref="AX26:AX36" si="68">BB26/AZ26</f>
        <v>#DIV/0!</v>
      </c>
      <c r="AY26" s="110">
        <f t="shared" si="45"/>
        <v>0</v>
      </c>
      <c r="AZ26" s="111"/>
      <c r="BA26" s="119">
        <f t="shared" si="42"/>
        <v>0</v>
      </c>
      <c r="BB26" s="112"/>
      <c r="BC26" s="111"/>
      <c r="BD26" s="113"/>
      <c r="BE26" s="114"/>
      <c r="BF26" s="113"/>
      <c r="BG26" s="114"/>
      <c r="BH26" s="113"/>
      <c r="BI26" s="55">
        <f t="shared" si="43"/>
        <v>46193</v>
      </c>
      <c r="BJ26" s="77" t="e">
        <f t="shared" ref="BJ26:BJ36" si="69">+BM26/BL26</f>
        <v>#DIV/0!</v>
      </c>
      <c r="BK26" s="75" t="e">
        <f t="shared" ref="BK26:BK36" si="70">+BN26/BL26</f>
        <v>#DIV/0!</v>
      </c>
      <c r="BL26" s="78">
        <f t="shared" ref="BL26:BL36" si="71">BM26+BN26</f>
        <v>0</v>
      </c>
      <c r="BM26" s="154"/>
      <c r="BN26" s="154"/>
      <c r="BO26" s="155"/>
      <c r="BP26" s="156"/>
      <c r="BQ26" s="157"/>
      <c r="BR26" s="156"/>
    </row>
    <row r="27" spans="1:70" ht="15.75" thickBot="1" x14ac:dyDescent="0.3">
      <c r="A27" s="14"/>
      <c r="B27" s="55">
        <f t="shared" si="37"/>
        <v>46194</v>
      </c>
      <c r="C27" s="163"/>
      <c r="D27" s="86">
        <f t="shared" si="0"/>
        <v>0</v>
      </c>
      <c r="E27" s="158" t="e">
        <f t="shared" si="1"/>
        <v>#DIV/0!</v>
      </c>
      <c r="F27" s="86">
        <f t="shared" si="2"/>
        <v>0</v>
      </c>
      <c r="G27" s="158" t="e">
        <f t="shared" si="3"/>
        <v>#DIV/0!</v>
      </c>
      <c r="H27" s="145">
        <f t="shared" si="4"/>
        <v>0</v>
      </c>
      <c r="I27" s="159" t="e">
        <f t="shared" si="5"/>
        <v>#DIV/0!</v>
      </c>
      <c r="J27" s="158" t="e">
        <f t="shared" si="6"/>
        <v>#DIV/0!</v>
      </c>
      <c r="K27" s="158" t="e">
        <f t="shared" si="7"/>
        <v>#DIV/0!</v>
      </c>
      <c r="L27" s="160" t="e">
        <f t="shared" si="8"/>
        <v>#DIV/0!</v>
      </c>
      <c r="M27" s="145" t="e">
        <f t="shared" si="22"/>
        <v>#DIV/0!</v>
      </c>
      <c r="N27" s="145" t="e">
        <f t="shared" si="23"/>
        <v>#DIV/0!</v>
      </c>
      <c r="O27" s="145" t="e">
        <f t="shared" si="24"/>
        <v>#DIV/0!</v>
      </c>
      <c r="P27" s="145" t="e">
        <f t="shared" si="25"/>
        <v>#DIV/0!</v>
      </c>
      <c r="Q27" s="55">
        <f t="shared" si="38"/>
        <v>46194</v>
      </c>
      <c r="R27" s="139"/>
      <c r="S27" s="139"/>
      <c r="T27" s="139"/>
      <c r="U27" s="139"/>
      <c r="V27" s="140"/>
      <c r="W27" s="141"/>
      <c r="X27" s="140"/>
      <c r="Y27" s="141"/>
      <c r="Z27" s="140"/>
      <c r="AA27" s="141"/>
      <c r="AB27" s="55">
        <f t="shared" si="39"/>
        <v>46194</v>
      </c>
      <c r="AC27" s="75" t="e">
        <f t="shared" si="63"/>
        <v>#DIV/0!</v>
      </c>
      <c r="AD27" s="161" t="e">
        <f t="shared" si="64"/>
        <v>#DIV/0!</v>
      </c>
      <c r="AE27" s="162"/>
      <c r="AF27" s="117">
        <f t="shared" si="44"/>
        <v>0</v>
      </c>
      <c r="AG27" s="146"/>
      <c r="AH27" s="147"/>
      <c r="AI27" s="148"/>
      <c r="AJ27" s="147"/>
      <c r="AK27" s="164"/>
      <c r="AL27" s="55">
        <f t="shared" si="28"/>
        <v>46194</v>
      </c>
      <c r="AM27" s="76" t="e">
        <f t="shared" si="65"/>
        <v>#DIV/0!</v>
      </c>
      <c r="AN27" s="75" t="e">
        <f t="shared" si="66"/>
        <v>#DIV/0!</v>
      </c>
      <c r="AO27" s="149"/>
      <c r="AP27" s="116">
        <f t="shared" si="40"/>
        <v>0</v>
      </c>
      <c r="AQ27" s="150"/>
      <c r="AR27" s="151"/>
      <c r="AS27" s="152"/>
      <c r="AT27" s="151"/>
      <c r="AU27" s="153"/>
      <c r="AV27" s="55">
        <f t="shared" si="41"/>
        <v>46194</v>
      </c>
      <c r="AW27" s="109" t="e">
        <f t="shared" si="67"/>
        <v>#DIV/0!</v>
      </c>
      <c r="AX27" s="109" t="e">
        <f t="shared" si="68"/>
        <v>#DIV/0!</v>
      </c>
      <c r="AY27" s="110">
        <f t="shared" si="45"/>
        <v>0</v>
      </c>
      <c r="AZ27" s="111"/>
      <c r="BA27" s="119">
        <f t="shared" si="42"/>
        <v>0</v>
      </c>
      <c r="BB27" s="112"/>
      <c r="BC27" s="111"/>
      <c r="BD27" s="113"/>
      <c r="BE27" s="114"/>
      <c r="BF27" s="113"/>
      <c r="BG27" s="114"/>
      <c r="BH27" s="113"/>
      <c r="BI27" s="55">
        <f t="shared" si="43"/>
        <v>46194</v>
      </c>
      <c r="BJ27" s="77" t="e">
        <f t="shared" si="69"/>
        <v>#DIV/0!</v>
      </c>
      <c r="BK27" s="75" t="e">
        <f t="shared" si="70"/>
        <v>#DIV/0!</v>
      </c>
      <c r="BL27" s="78">
        <f t="shared" si="71"/>
        <v>0</v>
      </c>
      <c r="BM27" s="154"/>
      <c r="BN27" s="154"/>
      <c r="BO27" s="155"/>
      <c r="BP27" s="156"/>
      <c r="BQ27" s="157"/>
      <c r="BR27" s="156"/>
    </row>
    <row r="28" spans="1:70" ht="15.75" thickBot="1" x14ac:dyDescent="0.3">
      <c r="A28" s="14"/>
      <c r="B28" s="55">
        <f t="shared" si="37"/>
        <v>46195</v>
      </c>
      <c r="C28" s="163"/>
      <c r="D28" s="86">
        <f t="shared" si="0"/>
        <v>0</v>
      </c>
      <c r="E28" s="158" t="e">
        <f t="shared" si="1"/>
        <v>#DIV/0!</v>
      </c>
      <c r="F28" s="86">
        <f t="shared" si="2"/>
        <v>0</v>
      </c>
      <c r="G28" s="158" t="e">
        <f t="shared" si="3"/>
        <v>#DIV/0!</v>
      </c>
      <c r="H28" s="145">
        <f t="shared" si="4"/>
        <v>0</v>
      </c>
      <c r="I28" s="159" t="e">
        <f t="shared" si="5"/>
        <v>#DIV/0!</v>
      </c>
      <c r="J28" s="158" t="e">
        <f t="shared" si="6"/>
        <v>#DIV/0!</v>
      </c>
      <c r="K28" s="158" t="e">
        <f t="shared" si="7"/>
        <v>#DIV/0!</v>
      </c>
      <c r="L28" s="160" t="e">
        <f t="shared" si="8"/>
        <v>#DIV/0!</v>
      </c>
      <c r="M28" s="145" t="e">
        <f t="shared" si="22"/>
        <v>#DIV/0!</v>
      </c>
      <c r="N28" s="145" t="e">
        <f t="shared" si="23"/>
        <v>#DIV/0!</v>
      </c>
      <c r="O28" s="145" t="e">
        <f t="shared" si="24"/>
        <v>#DIV/0!</v>
      </c>
      <c r="P28" s="145" t="e">
        <f t="shared" si="25"/>
        <v>#DIV/0!</v>
      </c>
      <c r="Q28" s="55">
        <f t="shared" si="38"/>
        <v>46195</v>
      </c>
      <c r="R28" s="139"/>
      <c r="S28" s="139"/>
      <c r="T28" s="139"/>
      <c r="U28" s="139"/>
      <c r="V28" s="140"/>
      <c r="W28" s="141"/>
      <c r="X28" s="140"/>
      <c r="Y28" s="141"/>
      <c r="Z28" s="140"/>
      <c r="AA28" s="141"/>
      <c r="AB28" s="55">
        <f t="shared" si="39"/>
        <v>46195</v>
      </c>
      <c r="AC28" s="75" t="e">
        <f t="shared" si="63"/>
        <v>#DIV/0!</v>
      </c>
      <c r="AD28" s="161" t="e">
        <f t="shared" si="64"/>
        <v>#DIV/0!</v>
      </c>
      <c r="AE28" s="162"/>
      <c r="AF28" s="117">
        <f t="shared" si="44"/>
        <v>0</v>
      </c>
      <c r="AG28" s="146"/>
      <c r="AH28" s="147"/>
      <c r="AI28" s="148"/>
      <c r="AJ28" s="147"/>
      <c r="AK28" s="164"/>
      <c r="AL28" s="55">
        <f t="shared" si="28"/>
        <v>46195</v>
      </c>
      <c r="AM28" s="76" t="e">
        <f t="shared" si="65"/>
        <v>#DIV/0!</v>
      </c>
      <c r="AN28" s="75" t="e">
        <f t="shared" si="66"/>
        <v>#DIV/0!</v>
      </c>
      <c r="AO28" s="149"/>
      <c r="AP28" s="116">
        <f t="shared" si="40"/>
        <v>0</v>
      </c>
      <c r="AQ28" s="150"/>
      <c r="AR28" s="151"/>
      <c r="AS28" s="152"/>
      <c r="AT28" s="151"/>
      <c r="AU28" s="153"/>
      <c r="AV28" s="55">
        <f t="shared" si="41"/>
        <v>46195</v>
      </c>
      <c r="AW28" s="109" t="e">
        <f t="shared" si="67"/>
        <v>#DIV/0!</v>
      </c>
      <c r="AX28" s="109" t="e">
        <f t="shared" si="68"/>
        <v>#DIV/0!</v>
      </c>
      <c r="AY28" s="110">
        <f t="shared" si="45"/>
        <v>0</v>
      </c>
      <c r="AZ28" s="111"/>
      <c r="BA28" s="119">
        <f t="shared" si="42"/>
        <v>0</v>
      </c>
      <c r="BB28" s="112"/>
      <c r="BC28" s="111"/>
      <c r="BD28" s="113"/>
      <c r="BE28" s="114"/>
      <c r="BF28" s="113"/>
      <c r="BG28" s="114"/>
      <c r="BH28" s="113"/>
      <c r="BI28" s="55">
        <f t="shared" si="43"/>
        <v>46195</v>
      </c>
      <c r="BJ28" s="77" t="e">
        <f t="shared" si="69"/>
        <v>#DIV/0!</v>
      </c>
      <c r="BK28" s="75" t="e">
        <f t="shared" si="70"/>
        <v>#DIV/0!</v>
      </c>
      <c r="BL28" s="78">
        <f t="shared" si="71"/>
        <v>0</v>
      </c>
      <c r="BM28" s="154"/>
      <c r="BN28" s="154"/>
      <c r="BO28" s="155"/>
      <c r="BP28" s="156"/>
      <c r="BQ28" s="157"/>
      <c r="BR28" s="156"/>
    </row>
    <row r="29" spans="1:70" ht="15.75" thickBot="1" x14ac:dyDescent="0.3">
      <c r="A29" s="14"/>
      <c r="B29" s="55">
        <f t="shared" si="37"/>
        <v>46196</v>
      </c>
      <c r="C29" s="163"/>
      <c r="D29" s="86">
        <f t="shared" si="0"/>
        <v>0</v>
      </c>
      <c r="E29" s="158" t="e">
        <f t="shared" si="1"/>
        <v>#DIV/0!</v>
      </c>
      <c r="F29" s="86">
        <f t="shared" si="2"/>
        <v>0</v>
      </c>
      <c r="G29" s="158" t="e">
        <f t="shared" si="3"/>
        <v>#DIV/0!</v>
      </c>
      <c r="H29" s="145">
        <f t="shared" si="4"/>
        <v>0</v>
      </c>
      <c r="I29" s="159" t="e">
        <f t="shared" si="5"/>
        <v>#DIV/0!</v>
      </c>
      <c r="J29" s="158" t="e">
        <f t="shared" si="6"/>
        <v>#DIV/0!</v>
      </c>
      <c r="K29" s="158" t="e">
        <f t="shared" si="7"/>
        <v>#DIV/0!</v>
      </c>
      <c r="L29" s="160" t="e">
        <f t="shared" si="8"/>
        <v>#DIV/0!</v>
      </c>
      <c r="M29" s="145" t="e">
        <f t="shared" si="22"/>
        <v>#DIV/0!</v>
      </c>
      <c r="N29" s="145" t="e">
        <f t="shared" si="23"/>
        <v>#DIV/0!</v>
      </c>
      <c r="O29" s="145" t="e">
        <f t="shared" si="24"/>
        <v>#DIV/0!</v>
      </c>
      <c r="P29" s="145" t="e">
        <f t="shared" si="25"/>
        <v>#DIV/0!</v>
      </c>
      <c r="Q29" s="55">
        <f t="shared" si="38"/>
        <v>46196</v>
      </c>
      <c r="R29" s="138"/>
      <c r="S29" s="139"/>
      <c r="T29" s="139"/>
      <c r="U29" s="139"/>
      <c r="V29" s="140"/>
      <c r="W29" s="141"/>
      <c r="X29" s="140"/>
      <c r="Y29" s="141"/>
      <c r="Z29" s="140"/>
      <c r="AA29" s="141"/>
      <c r="AB29" s="55">
        <f t="shared" si="39"/>
        <v>46196</v>
      </c>
      <c r="AC29" s="75" t="e">
        <f t="shared" si="63"/>
        <v>#DIV/0!</v>
      </c>
      <c r="AD29" s="161" t="e">
        <f t="shared" si="64"/>
        <v>#DIV/0!</v>
      </c>
      <c r="AE29" s="162"/>
      <c r="AF29" s="117">
        <f t="shared" si="44"/>
        <v>0</v>
      </c>
      <c r="AG29" s="146"/>
      <c r="AH29" s="147"/>
      <c r="AI29" s="148"/>
      <c r="AJ29" s="147"/>
      <c r="AK29" s="164"/>
      <c r="AL29" s="55">
        <f t="shared" si="28"/>
        <v>46196</v>
      </c>
      <c r="AM29" s="76" t="e">
        <f t="shared" si="65"/>
        <v>#DIV/0!</v>
      </c>
      <c r="AN29" s="75" t="e">
        <f t="shared" si="66"/>
        <v>#DIV/0!</v>
      </c>
      <c r="AO29" s="149"/>
      <c r="AP29" s="116">
        <f t="shared" si="40"/>
        <v>0</v>
      </c>
      <c r="AQ29" s="150"/>
      <c r="AR29" s="151"/>
      <c r="AS29" s="152"/>
      <c r="AT29" s="151"/>
      <c r="AU29" s="153"/>
      <c r="AV29" s="55">
        <f t="shared" si="41"/>
        <v>46196</v>
      </c>
      <c r="AW29" s="109" t="e">
        <f t="shared" si="67"/>
        <v>#DIV/0!</v>
      </c>
      <c r="AX29" s="109" t="e">
        <f t="shared" si="68"/>
        <v>#DIV/0!</v>
      </c>
      <c r="AY29" s="110">
        <f t="shared" si="45"/>
        <v>0</v>
      </c>
      <c r="AZ29" s="111"/>
      <c r="BA29" s="119">
        <f t="shared" si="42"/>
        <v>0</v>
      </c>
      <c r="BB29" s="112"/>
      <c r="BC29" s="111"/>
      <c r="BD29" s="113"/>
      <c r="BE29" s="114"/>
      <c r="BF29" s="113"/>
      <c r="BG29" s="114"/>
      <c r="BH29" s="113"/>
      <c r="BI29" s="55">
        <f t="shared" si="43"/>
        <v>46196</v>
      </c>
      <c r="BJ29" s="77" t="e">
        <f t="shared" si="69"/>
        <v>#DIV/0!</v>
      </c>
      <c r="BK29" s="75" t="e">
        <f t="shared" si="70"/>
        <v>#DIV/0!</v>
      </c>
      <c r="BL29" s="78">
        <f t="shared" si="71"/>
        <v>0</v>
      </c>
      <c r="BM29" s="154"/>
      <c r="BN29" s="154"/>
      <c r="BO29" s="155"/>
      <c r="BP29" s="156"/>
      <c r="BQ29" s="157"/>
      <c r="BR29" s="156"/>
    </row>
    <row r="30" spans="1:70" ht="15.75" thickBot="1" x14ac:dyDescent="0.3">
      <c r="A30" s="14"/>
      <c r="B30" s="55">
        <f t="shared" si="37"/>
        <v>46197</v>
      </c>
      <c r="C30" s="163"/>
      <c r="D30" s="86">
        <f t="shared" si="0"/>
        <v>0</v>
      </c>
      <c r="E30" s="158" t="e">
        <f t="shared" si="1"/>
        <v>#DIV/0!</v>
      </c>
      <c r="F30" s="86">
        <f t="shared" si="2"/>
        <v>0</v>
      </c>
      <c r="G30" s="158" t="e">
        <f t="shared" si="3"/>
        <v>#DIV/0!</v>
      </c>
      <c r="H30" s="145">
        <f t="shared" si="4"/>
        <v>0</v>
      </c>
      <c r="I30" s="159" t="e">
        <f t="shared" si="5"/>
        <v>#DIV/0!</v>
      </c>
      <c r="J30" s="158" t="e">
        <f t="shared" si="6"/>
        <v>#DIV/0!</v>
      </c>
      <c r="K30" s="158" t="e">
        <f t="shared" si="7"/>
        <v>#DIV/0!</v>
      </c>
      <c r="L30" s="160" t="e">
        <f t="shared" si="8"/>
        <v>#DIV/0!</v>
      </c>
      <c r="M30" s="145" t="e">
        <f t="shared" si="22"/>
        <v>#DIV/0!</v>
      </c>
      <c r="N30" s="145" t="e">
        <f t="shared" si="23"/>
        <v>#DIV/0!</v>
      </c>
      <c r="O30" s="145" t="e">
        <f t="shared" si="24"/>
        <v>#DIV/0!</v>
      </c>
      <c r="P30" s="145" t="e">
        <f t="shared" si="25"/>
        <v>#DIV/0!</v>
      </c>
      <c r="Q30" s="55">
        <f t="shared" si="38"/>
        <v>46197</v>
      </c>
      <c r="R30" s="138"/>
      <c r="S30" s="139"/>
      <c r="T30" s="139"/>
      <c r="U30" s="139"/>
      <c r="V30" s="140"/>
      <c r="W30" s="141"/>
      <c r="X30" s="140"/>
      <c r="Y30" s="141"/>
      <c r="Z30" s="140"/>
      <c r="AA30" s="141"/>
      <c r="AB30" s="55">
        <f t="shared" si="39"/>
        <v>46197</v>
      </c>
      <c r="AC30" s="75" t="e">
        <f t="shared" si="63"/>
        <v>#DIV/0!</v>
      </c>
      <c r="AD30" s="161" t="e">
        <f t="shared" si="64"/>
        <v>#DIV/0!</v>
      </c>
      <c r="AE30" s="162"/>
      <c r="AF30" s="117">
        <f t="shared" si="44"/>
        <v>0</v>
      </c>
      <c r="AG30" s="146"/>
      <c r="AH30" s="147"/>
      <c r="AI30" s="148"/>
      <c r="AJ30" s="147"/>
      <c r="AK30" s="164"/>
      <c r="AL30" s="55">
        <f t="shared" si="28"/>
        <v>46197</v>
      </c>
      <c r="AM30" s="76" t="e">
        <f t="shared" si="65"/>
        <v>#DIV/0!</v>
      </c>
      <c r="AN30" s="75" t="e">
        <f t="shared" si="66"/>
        <v>#DIV/0!</v>
      </c>
      <c r="AO30" s="149"/>
      <c r="AP30" s="116">
        <f t="shared" si="40"/>
        <v>0</v>
      </c>
      <c r="AQ30" s="150"/>
      <c r="AR30" s="151"/>
      <c r="AS30" s="152"/>
      <c r="AT30" s="151"/>
      <c r="AU30" s="153"/>
      <c r="AV30" s="55">
        <f t="shared" si="41"/>
        <v>46197</v>
      </c>
      <c r="AW30" s="109" t="e">
        <f t="shared" si="67"/>
        <v>#DIV/0!</v>
      </c>
      <c r="AX30" s="109" t="e">
        <f t="shared" si="68"/>
        <v>#DIV/0!</v>
      </c>
      <c r="AY30" s="110">
        <f t="shared" si="45"/>
        <v>0</v>
      </c>
      <c r="AZ30" s="111"/>
      <c r="BA30" s="119">
        <f t="shared" si="42"/>
        <v>0</v>
      </c>
      <c r="BB30" s="112"/>
      <c r="BC30" s="111"/>
      <c r="BD30" s="113"/>
      <c r="BE30" s="114"/>
      <c r="BF30" s="113"/>
      <c r="BG30" s="114"/>
      <c r="BH30" s="113"/>
      <c r="BI30" s="55">
        <f t="shared" si="43"/>
        <v>46197</v>
      </c>
      <c r="BJ30" s="77" t="e">
        <f t="shared" si="69"/>
        <v>#DIV/0!</v>
      </c>
      <c r="BK30" s="75" t="e">
        <f t="shared" si="70"/>
        <v>#DIV/0!</v>
      </c>
      <c r="BL30" s="78">
        <f t="shared" si="71"/>
        <v>0</v>
      </c>
      <c r="BM30" s="154"/>
      <c r="BN30" s="154"/>
      <c r="BO30" s="155"/>
      <c r="BP30" s="156"/>
      <c r="BQ30" s="157"/>
      <c r="BR30" s="156"/>
    </row>
    <row r="31" spans="1:70" ht="15.75" thickBot="1" x14ac:dyDescent="0.3">
      <c r="A31" s="14"/>
      <c r="B31" s="55">
        <f t="shared" si="37"/>
        <v>46198</v>
      </c>
      <c r="C31" s="163"/>
      <c r="D31" s="86">
        <f t="shared" si="0"/>
        <v>0</v>
      </c>
      <c r="E31" s="158" t="e">
        <f t="shared" si="1"/>
        <v>#DIV/0!</v>
      </c>
      <c r="F31" s="86">
        <f t="shared" si="2"/>
        <v>0</v>
      </c>
      <c r="G31" s="158" t="e">
        <f t="shared" si="3"/>
        <v>#DIV/0!</v>
      </c>
      <c r="H31" s="145">
        <f t="shared" si="4"/>
        <v>0</v>
      </c>
      <c r="I31" s="159" t="e">
        <f t="shared" si="5"/>
        <v>#DIV/0!</v>
      </c>
      <c r="J31" s="158" t="e">
        <f t="shared" si="6"/>
        <v>#DIV/0!</v>
      </c>
      <c r="K31" s="158" t="e">
        <f t="shared" si="7"/>
        <v>#DIV/0!</v>
      </c>
      <c r="L31" s="160" t="e">
        <f t="shared" si="8"/>
        <v>#DIV/0!</v>
      </c>
      <c r="M31" s="145" t="e">
        <f t="shared" si="22"/>
        <v>#DIV/0!</v>
      </c>
      <c r="N31" s="145" t="e">
        <f t="shared" si="23"/>
        <v>#DIV/0!</v>
      </c>
      <c r="O31" s="145" t="e">
        <f t="shared" si="24"/>
        <v>#DIV/0!</v>
      </c>
      <c r="P31" s="145" t="e">
        <f t="shared" si="25"/>
        <v>#DIV/0!</v>
      </c>
      <c r="Q31" s="55">
        <f t="shared" si="38"/>
        <v>46198</v>
      </c>
      <c r="R31" s="138"/>
      <c r="S31" s="139"/>
      <c r="T31" s="139"/>
      <c r="U31" s="139"/>
      <c r="V31" s="140"/>
      <c r="W31" s="141"/>
      <c r="X31" s="140"/>
      <c r="Y31" s="141"/>
      <c r="Z31" s="140"/>
      <c r="AA31" s="141"/>
      <c r="AB31" s="55">
        <f t="shared" si="39"/>
        <v>46198</v>
      </c>
      <c r="AC31" s="75" t="e">
        <f t="shared" si="63"/>
        <v>#DIV/0!</v>
      </c>
      <c r="AD31" s="161" t="e">
        <f t="shared" si="64"/>
        <v>#DIV/0!</v>
      </c>
      <c r="AE31" s="162"/>
      <c r="AF31" s="117">
        <f t="shared" si="44"/>
        <v>0</v>
      </c>
      <c r="AG31" s="146"/>
      <c r="AH31" s="147"/>
      <c r="AI31" s="148"/>
      <c r="AJ31" s="147"/>
      <c r="AK31" s="164"/>
      <c r="AL31" s="55">
        <f t="shared" si="28"/>
        <v>46198</v>
      </c>
      <c r="AM31" s="76" t="e">
        <f t="shared" si="65"/>
        <v>#DIV/0!</v>
      </c>
      <c r="AN31" s="75" t="e">
        <f t="shared" si="66"/>
        <v>#DIV/0!</v>
      </c>
      <c r="AO31" s="149"/>
      <c r="AP31" s="116">
        <f t="shared" si="40"/>
        <v>0</v>
      </c>
      <c r="AQ31" s="150"/>
      <c r="AR31" s="151"/>
      <c r="AS31" s="152"/>
      <c r="AT31" s="151"/>
      <c r="AU31" s="153"/>
      <c r="AV31" s="55">
        <f t="shared" si="41"/>
        <v>46198</v>
      </c>
      <c r="AW31" s="109" t="e">
        <f t="shared" si="67"/>
        <v>#DIV/0!</v>
      </c>
      <c r="AX31" s="109" t="e">
        <f t="shared" si="68"/>
        <v>#DIV/0!</v>
      </c>
      <c r="AY31" s="110">
        <f t="shared" si="45"/>
        <v>0</v>
      </c>
      <c r="AZ31" s="111"/>
      <c r="BA31" s="119">
        <f t="shared" si="42"/>
        <v>0</v>
      </c>
      <c r="BB31" s="112"/>
      <c r="BC31" s="111"/>
      <c r="BD31" s="113"/>
      <c r="BE31" s="114"/>
      <c r="BF31" s="113"/>
      <c r="BG31" s="114"/>
      <c r="BH31" s="113"/>
      <c r="BI31" s="55">
        <f t="shared" si="43"/>
        <v>46198</v>
      </c>
      <c r="BJ31" s="77" t="e">
        <f t="shared" si="69"/>
        <v>#DIV/0!</v>
      </c>
      <c r="BK31" s="75" t="e">
        <f t="shared" si="70"/>
        <v>#DIV/0!</v>
      </c>
      <c r="BL31" s="78">
        <f t="shared" si="71"/>
        <v>0</v>
      </c>
      <c r="BM31" s="154"/>
      <c r="BN31" s="154"/>
      <c r="BO31" s="155"/>
      <c r="BP31" s="156"/>
      <c r="BQ31" s="157"/>
      <c r="BR31" s="156"/>
    </row>
    <row r="32" spans="1:70" ht="15.75" thickBot="1" x14ac:dyDescent="0.3">
      <c r="A32" s="14"/>
      <c r="B32" s="55">
        <f t="shared" si="37"/>
        <v>46199</v>
      </c>
      <c r="C32" s="163"/>
      <c r="D32" s="86">
        <f t="shared" si="0"/>
        <v>0</v>
      </c>
      <c r="E32" s="158" t="e">
        <f t="shared" si="1"/>
        <v>#DIV/0!</v>
      </c>
      <c r="F32" s="86">
        <f t="shared" si="2"/>
        <v>0</v>
      </c>
      <c r="G32" s="158" t="e">
        <f t="shared" si="3"/>
        <v>#DIV/0!</v>
      </c>
      <c r="H32" s="145">
        <f t="shared" si="4"/>
        <v>0</v>
      </c>
      <c r="I32" s="159" t="e">
        <f t="shared" si="5"/>
        <v>#DIV/0!</v>
      </c>
      <c r="J32" s="158" t="e">
        <f t="shared" si="6"/>
        <v>#DIV/0!</v>
      </c>
      <c r="K32" s="158" t="e">
        <f t="shared" si="7"/>
        <v>#DIV/0!</v>
      </c>
      <c r="L32" s="160" t="e">
        <f t="shared" si="8"/>
        <v>#DIV/0!</v>
      </c>
      <c r="M32" s="145" t="e">
        <f t="shared" si="22"/>
        <v>#DIV/0!</v>
      </c>
      <c r="N32" s="145" t="e">
        <f t="shared" si="23"/>
        <v>#DIV/0!</v>
      </c>
      <c r="O32" s="145" t="e">
        <f t="shared" si="24"/>
        <v>#DIV/0!</v>
      </c>
      <c r="P32" s="145" t="e">
        <f t="shared" si="25"/>
        <v>#DIV/0!</v>
      </c>
      <c r="Q32" s="55">
        <f t="shared" si="38"/>
        <v>46199</v>
      </c>
      <c r="R32" s="138"/>
      <c r="S32" s="139"/>
      <c r="T32" s="139"/>
      <c r="U32" s="139"/>
      <c r="V32" s="140"/>
      <c r="W32" s="141"/>
      <c r="X32" s="140"/>
      <c r="Y32" s="141"/>
      <c r="Z32" s="140"/>
      <c r="AA32" s="141"/>
      <c r="AB32" s="167">
        <f t="shared" si="39"/>
        <v>46199</v>
      </c>
      <c r="AC32" s="75" t="e">
        <f t="shared" si="63"/>
        <v>#DIV/0!</v>
      </c>
      <c r="AD32" s="161" t="e">
        <f t="shared" si="64"/>
        <v>#DIV/0!</v>
      </c>
      <c r="AE32" s="162"/>
      <c r="AF32" s="117">
        <f t="shared" si="44"/>
        <v>0</v>
      </c>
      <c r="AG32" s="146"/>
      <c r="AH32" s="147"/>
      <c r="AI32" s="148"/>
      <c r="AJ32" s="147"/>
      <c r="AK32" s="164"/>
      <c r="AL32" s="167">
        <f t="shared" si="28"/>
        <v>46199</v>
      </c>
      <c r="AM32" s="76" t="e">
        <f t="shared" si="65"/>
        <v>#DIV/0!</v>
      </c>
      <c r="AN32" s="75" t="e">
        <f t="shared" si="66"/>
        <v>#DIV/0!</v>
      </c>
      <c r="AO32" s="149"/>
      <c r="AP32" s="116">
        <f t="shared" si="40"/>
        <v>0</v>
      </c>
      <c r="AQ32" s="150"/>
      <c r="AR32" s="151"/>
      <c r="AS32" s="152"/>
      <c r="AT32" s="151"/>
      <c r="AU32" s="153"/>
      <c r="AV32" s="167">
        <f t="shared" si="41"/>
        <v>46199</v>
      </c>
      <c r="AW32" s="168" t="e">
        <f t="shared" si="67"/>
        <v>#DIV/0!</v>
      </c>
      <c r="AX32" s="168" t="e">
        <f t="shared" si="68"/>
        <v>#DIV/0!</v>
      </c>
      <c r="AY32" s="110">
        <f t="shared" si="45"/>
        <v>0</v>
      </c>
      <c r="AZ32" s="111"/>
      <c r="BA32" s="119">
        <f t="shared" si="42"/>
        <v>0</v>
      </c>
      <c r="BB32" s="112"/>
      <c r="BC32" s="111"/>
      <c r="BD32" s="113"/>
      <c r="BE32" s="114"/>
      <c r="BF32" s="113"/>
      <c r="BG32" s="114"/>
      <c r="BH32" s="113"/>
      <c r="BI32" s="167">
        <f t="shared" si="43"/>
        <v>46199</v>
      </c>
      <c r="BJ32" s="169" t="e">
        <f t="shared" si="69"/>
        <v>#DIV/0!</v>
      </c>
      <c r="BK32" s="75" t="e">
        <f t="shared" si="70"/>
        <v>#DIV/0!</v>
      </c>
      <c r="BL32" s="78">
        <f t="shared" si="71"/>
        <v>0</v>
      </c>
      <c r="BM32" s="154"/>
      <c r="BN32" s="154"/>
      <c r="BO32" s="155"/>
      <c r="BP32" s="156"/>
      <c r="BQ32" s="157"/>
      <c r="BR32" s="156"/>
    </row>
    <row r="33" spans="1:70" ht="15.75" thickBot="1" x14ac:dyDescent="0.3">
      <c r="A33" s="14"/>
      <c r="B33" s="55">
        <f t="shared" si="37"/>
        <v>46200</v>
      </c>
      <c r="C33" s="163"/>
      <c r="D33" s="86">
        <f t="shared" si="0"/>
        <v>0</v>
      </c>
      <c r="E33" s="158" t="e">
        <f t="shared" si="1"/>
        <v>#DIV/0!</v>
      </c>
      <c r="F33" s="86">
        <f t="shared" si="2"/>
        <v>0</v>
      </c>
      <c r="G33" s="158" t="e">
        <f t="shared" si="3"/>
        <v>#DIV/0!</v>
      </c>
      <c r="H33" s="145">
        <f t="shared" si="4"/>
        <v>0</v>
      </c>
      <c r="I33" s="159" t="e">
        <f t="shared" si="5"/>
        <v>#DIV/0!</v>
      </c>
      <c r="J33" s="158" t="e">
        <f t="shared" si="6"/>
        <v>#DIV/0!</v>
      </c>
      <c r="K33" s="158" t="e">
        <f t="shared" si="7"/>
        <v>#DIV/0!</v>
      </c>
      <c r="L33" s="160" t="e">
        <f t="shared" si="8"/>
        <v>#DIV/0!</v>
      </c>
      <c r="M33" s="145" t="e">
        <f t="shared" si="22"/>
        <v>#DIV/0!</v>
      </c>
      <c r="N33" s="145" t="e">
        <f t="shared" si="23"/>
        <v>#DIV/0!</v>
      </c>
      <c r="O33" s="145" t="e">
        <f t="shared" si="24"/>
        <v>#DIV/0!</v>
      </c>
      <c r="P33" s="145" t="e">
        <f t="shared" si="25"/>
        <v>#DIV/0!</v>
      </c>
      <c r="Q33" s="55">
        <f t="shared" si="38"/>
        <v>46200</v>
      </c>
      <c r="R33" s="138"/>
      <c r="S33" s="139"/>
      <c r="T33" s="139"/>
      <c r="U33" s="139"/>
      <c r="V33" s="140"/>
      <c r="W33" s="141"/>
      <c r="X33" s="140"/>
      <c r="Y33" s="141"/>
      <c r="Z33" s="140"/>
      <c r="AA33" s="141"/>
      <c r="AB33" s="55">
        <f t="shared" si="39"/>
        <v>46200</v>
      </c>
      <c r="AC33" s="75" t="e">
        <f t="shared" si="63"/>
        <v>#DIV/0!</v>
      </c>
      <c r="AD33" s="161" t="e">
        <f t="shared" si="64"/>
        <v>#DIV/0!</v>
      </c>
      <c r="AE33" s="162"/>
      <c r="AF33" s="117">
        <f t="shared" si="44"/>
        <v>0</v>
      </c>
      <c r="AG33" s="146"/>
      <c r="AH33" s="147"/>
      <c r="AI33" s="148"/>
      <c r="AJ33" s="147"/>
      <c r="AK33" s="164"/>
      <c r="AL33" s="167">
        <f t="shared" si="28"/>
        <v>46200</v>
      </c>
      <c r="AM33" s="76" t="e">
        <f t="shared" si="65"/>
        <v>#DIV/0!</v>
      </c>
      <c r="AN33" s="75" t="e">
        <f t="shared" si="66"/>
        <v>#DIV/0!</v>
      </c>
      <c r="AO33" s="149"/>
      <c r="AP33" s="116">
        <v>0</v>
      </c>
      <c r="AQ33" s="150"/>
      <c r="AR33" s="151"/>
      <c r="AS33" s="152"/>
      <c r="AT33" s="151"/>
      <c r="AU33" s="153"/>
      <c r="AV33" s="55">
        <f t="shared" si="41"/>
        <v>46200</v>
      </c>
      <c r="AW33" s="168" t="e">
        <f t="shared" si="67"/>
        <v>#DIV/0!</v>
      </c>
      <c r="AX33" s="168" t="e">
        <f t="shared" si="68"/>
        <v>#DIV/0!</v>
      </c>
      <c r="AY33" s="110">
        <f t="shared" si="45"/>
        <v>0</v>
      </c>
      <c r="AZ33" s="111"/>
      <c r="BA33" s="119">
        <f t="shared" si="42"/>
        <v>0</v>
      </c>
      <c r="BB33" s="112"/>
      <c r="BC33" s="111"/>
      <c r="BD33" s="113"/>
      <c r="BE33" s="114"/>
      <c r="BF33" s="113"/>
      <c r="BG33" s="114"/>
      <c r="BH33" s="113"/>
      <c r="BI33" s="55">
        <f t="shared" si="43"/>
        <v>46200</v>
      </c>
      <c r="BJ33" s="169" t="e">
        <f t="shared" si="69"/>
        <v>#DIV/0!</v>
      </c>
      <c r="BK33" s="75" t="e">
        <f t="shared" si="70"/>
        <v>#DIV/0!</v>
      </c>
      <c r="BL33" s="78">
        <f t="shared" si="71"/>
        <v>0</v>
      </c>
      <c r="BM33" s="154"/>
      <c r="BN33" s="154"/>
      <c r="BO33" s="155"/>
      <c r="BP33" s="156"/>
      <c r="BQ33" s="157"/>
      <c r="BR33" s="156"/>
    </row>
    <row r="34" spans="1:70" ht="15.75" thickBot="1" x14ac:dyDescent="0.3">
      <c r="A34" s="14"/>
      <c r="B34" s="55">
        <f t="shared" si="37"/>
        <v>46201</v>
      </c>
      <c r="C34" s="163"/>
      <c r="D34" s="86">
        <f t="shared" si="0"/>
        <v>0</v>
      </c>
      <c r="E34" s="158" t="e">
        <f t="shared" si="1"/>
        <v>#DIV/0!</v>
      </c>
      <c r="F34" s="86">
        <f t="shared" si="2"/>
        <v>0</v>
      </c>
      <c r="G34" s="158" t="e">
        <f t="shared" si="3"/>
        <v>#DIV/0!</v>
      </c>
      <c r="H34" s="145">
        <f t="shared" si="4"/>
        <v>0</v>
      </c>
      <c r="I34" s="159" t="e">
        <f t="shared" si="5"/>
        <v>#DIV/0!</v>
      </c>
      <c r="J34" s="158" t="e">
        <f t="shared" si="6"/>
        <v>#DIV/0!</v>
      </c>
      <c r="K34" s="158" t="e">
        <f t="shared" si="7"/>
        <v>#DIV/0!</v>
      </c>
      <c r="L34" s="160" t="e">
        <f t="shared" si="8"/>
        <v>#DIV/0!</v>
      </c>
      <c r="M34" s="145" t="e">
        <f t="shared" si="22"/>
        <v>#DIV/0!</v>
      </c>
      <c r="N34" s="145" t="e">
        <f t="shared" si="23"/>
        <v>#DIV/0!</v>
      </c>
      <c r="O34" s="145" t="e">
        <f t="shared" si="24"/>
        <v>#DIV/0!</v>
      </c>
      <c r="P34" s="145" t="e">
        <f t="shared" si="25"/>
        <v>#DIV/0!</v>
      </c>
      <c r="Q34" s="55">
        <f t="shared" si="38"/>
        <v>46201</v>
      </c>
      <c r="R34" s="138"/>
      <c r="S34" s="139"/>
      <c r="T34" s="139"/>
      <c r="U34" s="139"/>
      <c r="V34" s="140"/>
      <c r="W34" s="141"/>
      <c r="X34" s="140"/>
      <c r="Y34" s="141"/>
      <c r="Z34" s="140"/>
      <c r="AA34" s="141"/>
      <c r="AB34" s="55">
        <f t="shared" si="39"/>
        <v>46201</v>
      </c>
      <c r="AC34" s="75" t="e">
        <f t="shared" si="63"/>
        <v>#DIV/0!</v>
      </c>
      <c r="AD34" s="161" t="e">
        <f t="shared" si="64"/>
        <v>#DIV/0!</v>
      </c>
      <c r="AE34" s="162"/>
      <c r="AF34" s="117">
        <f t="shared" si="44"/>
        <v>0</v>
      </c>
      <c r="AG34" s="146"/>
      <c r="AH34" s="147"/>
      <c r="AI34" s="148"/>
      <c r="AJ34" s="147"/>
      <c r="AK34" s="164"/>
      <c r="AL34" s="55">
        <f t="shared" si="28"/>
        <v>46201</v>
      </c>
      <c r="AM34" s="76" t="e">
        <f t="shared" si="65"/>
        <v>#DIV/0!</v>
      </c>
      <c r="AN34" s="75" t="e">
        <f t="shared" si="66"/>
        <v>#DIV/0!</v>
      </c>
      <c r="AO34" s="149"/>
      <c r="AP34" s="116">
        <f t="shared" si="40"/>
        <v>0</v>
      </c>
      <c r="AQ34" s="150"/>
      <c r="AR34" s="151"/>
      <c r="AS34" s="152"/>
      <c r="AT34" s="151"/>
      <c r="AU34" s="153"/>
      <c r="AV34" s="55">
        <f t="shared" si="41"/>
        <v>46201</v>
      </c>
      <c r="AW34" s="109" t="e">
        <f t="shared" si="67"/>
        <v>#DIV/0!</v>
      </c>
      <c r="AX34" s="109" t="e">
        <f t="shared" si="68"/>
        <v>#DIV/0!</v>
      </c>
      <c r="AY34" s="110">
        <f t="shared" si="45"/>
        <v>0</v>
      </c>
      <c r="AZ34" s="111"/>
      <c r="BA34" s="119">
        <f t="shared" si="42"/>
        <v>0</v>
      </c>
      <c r="BB34" s="112"/>
      <c r="BC34" s="111"/>
      <c r="BD34" s="113"/>
      <c r="BE34" s="114"/>
      <c r="BF34" s="113"/>
      <c r="BG34" s="114"/>
      <c r="BH34" s="113"/>
      <c r="BI34" s="55">
        <f t="shared" si="43"/>
        <v>46201</v>
      </c>
      <c r="BJ34" s="77" t="e">
        <f t="shared" si="69"/>
        <v>#DIV/0!</v>
      </c>
      <c r="BK34" s="75" t="e">
        <f t="shared" si="70"/>
        <v>#DIV/0!</v>
      </c>
      <c r="BL34" s="78">
        <f t="shared" si="71"/>
        <v>0</v>
      </c>
      <c r="BM34" s="154"/>
      <c r="BN34" s="154"/>
      <c r="BO34" s="155"/>
      <c r="BP34" s="156"/>
      <c r="BQ34" s="157"/>
      <c r="BR34" s="156"/>
    </row>
    <row r="35" spans="1:70" ht="15.75" thickBot="1" x14ac:dyDescent="0.3">
      <c r="A35" s="14"/>
      <c r="B35" s="55">
        <f t="shared" si="37"/>
        <v>46202</v>
      </c>
      <c r="C35" s="163"/>
      <c r="D35" s="86">
        <f t="shared" si="0"/>
        <v>0</v>
      </c>
      <c r="E35" s="158" t="e">
        <f t="shared" si="1"/>
        <v>#DIV/0!</v>
      </c>
      <c r="F35" s="86">
        <f t="shared" si="2"/>
        <v>0</v>
      </c>
      <c r="G35" s="158" t="e">
        <f t="shared" si="3"/>
        <v>#DIV/0!</v>
      </c>
      <c r="H35" s="145">
        <f t="shared" si="4"/>
        <v>0</v>
      </c>
      <c r="I35" s="159" t="e">
        <f t="shared" si="5"/>
        <v>#DIV/0!</v>
      </c>
      <c r="J35" s="158" t="e">
        <f t="shared" si="6"/>
        <v>#DIV/0!</v>
      </c>
      <c r="K35" s="158" t="e">
        <f t="shared" si="7"/>
        <v>#DIV/0!</v>
      </c>
      <c r="L35" s="160" t="e">
        <f t="shared" si="8"/>
        <v>#DIV/0!</v>
      </c>
      <c r="M35" s="145" t="e">
        <f t="shared" si="22"/>
        <v>#DIV/0!</v>
      </c>
      <c r="N35" s="145" t="e">
        <f t="shared" si="23"/>
        <v>#DIV/0!</v>
      </c>
      <c r="O35" s="145" t="e">
        <f t="shared" si="24"/>
        <v>#DIV/0!</v>
      </c>
      <c r="P35" s="145" t="e">
        <f t="shared" si="25"/>
        <v>#DIV/0!</v>
      </c>
      <c r="Q35" s="55">
        <f t="shared" si="38"/>
        <v>46202</v>
      </c>
      <c r="R35" s="138"/>
      <c r="S35" s="139"/>
      <c r="T35" s="139"/>
      <c r="U35" s="139"/>
      <c r="V35" s="140"/>
      <c r="W35" s="141"/>
      <c r="X35" s="140"/>
      <c r="Y35" s="141"/>
      <c r="Z35" s="140"/>
      <c r="AA35" s="141"/>
      <c r="AB35" s="55">
        <f t="shared" si="39"/>
        <v>46202</v>
      </c>
      <c r="AC35" s="75" t="e">
        <f t="shared" ref="AC35" si="72">+AF35/AE35</f>
        <v>#DIV/0!</v>
      </c>
      <c r="AD35" s="161" t="e">
        <f t="shared" ref="AD35" si="73">+AG35/AE35</f>
        <v>#DIV/0!</v>
      </c>
      <c r="AE35" s="162"/>
      <c r="AF35" s="117">
        <f t="shared" ref="AF35" si="74">AE35-AG35</f>
        <v>0</v>
      </c>
      <c r="AG35" s="146"/>
      <c r="AH35" s="147"/>
      <c r="AI35" s="148"/>
      <c r="AJ35" s="147"/>
      <c r="AK35" s="164"/>
      <c r="AL35" s="55">
        <f t="shared" si="28"/>
        <v>46202</v>
      </c>
      <c r="AM35" s="76" t="e">
        <f t="shared" ref="AM35" si="75">+AP35/AO35</f>
        <v>#DIV/0!</v>
      </c>
      <c r="AN35" s="75" t="e">
        <f t="shared" ref="AN35" si="76">+AQ35/AO35</f>
        <v>#DIV/0!</v>
      </c>
      <c r="AO35" s="149"/>
      <c r="AP35" s="116">
        <f t="shared" ref="AP35" si="77">AO35-AQ35</f>
        <v>0</v>
      </c>
      <c r="AQ35" s="150"/>
      <c r="AR35" s="151"/>
      <c r="AS35" s="152"/>
      <c r="AT35" s="151"/>
      <c r="AU35" s="153"/>
      <c r="AV35" s="55">
        <f t="shared" si="41"/>
        <v>46202</v>
      </c>
      <c r="AW35" s="109" t="e">
        <f t="shared" ref="AW35" si="78">BA35/AZ35</f>
        <v>#DIV/0!</v>
      </c>
      <c r="AX35" s="109" t="e">
        <f t="shared" ref="AX35" si="79">BB35/AZ35</f>
        <v>#DIV/0!</v>
      </c>
      <c r="AY35" s="110">
        <f t="shared" ref="AY35" si="80">BA35+BB35</f>
        <v>0</v>
      </c>
      <c r="AZ35" s="111"/>
      <c r="BA35" s="119">
        <f t="shared" ref="BA35" si="81">AZ35-BB35</f>
        <v>0</v>
      </c>
      <c r="BB35" s="112"/>
      <c r="BC35" s="111"/>
      <c r="BD35" s="113"/>
      <c r="BE35" s="114"/>
      <c r="BF35" s="113"/>
      <c r="BG35" s="114"/>
      <c r="BH35" s="113"/>
      <c r="BI35" s="55">
        <f t="shared" si="43"/>
        <v>46202</v>
      </c>
      <c r="BJ35" s="77" t="e">
        <f t="shared" ref="BJ35" si="82">+BM35/BL35</f>
        <v>#DIV/0!</v>
      </c>
      <c r="BK35" s="75" t="e">
        <f t="shared" ref="BK35" si="83">+BN35/BL35</f>
        <v>#DIV/0!</v>
      </c>
      <c r="BL35" s="78">
        <f t="shared" ref="BL35" si="84">BM35+BN35</f>
        <v>0</v>
      </c>
      <c r="BM35" s="154"/>
      <c r="BN35" s="154"/>
      <c r="BO35" s="155"/>
      <c r="BP35" s="156"/>
      <c r="BQ35" s="157"/>
      <c r="BR35" s="156"/>
    </row>
    <row r="36" spans="1:70" ht="15.75" thickBot="1" x14ac:dyDescent="0.3">
      <c r="A36" s="14"/>
      <c r="B36" s="55">
        <f t="shared" si="37"/>
        <v>46203</v>
      </c>
      <c r="C36" s="163"/>
      <c r="D36" s="86">
        <f t="shared" si="0"/>
        <v>0</v>
      </c>
      <c r="E36" s="158" t="e">
        <f t="shared" si="1"/>
        <v>#DIV/0!</v>
      </c>
      <c r="F36" s="86">
        <f t="shared" si="2"/>
        <v>0</v>
      </c>
      <c r="G36" s="158" t="e">
        <f t="shared" si="3"/>
        <v>#DIV/0!</v>
      </c>
      <c r="H36" s="145">
        <f t="shared" si="4"/>
        <v>0</v>
      </c>
      <c r="I36" s="159" t="e">
        <f t="shared" si="5"/>
        <v>#DIV/0!</v>
      </c>
      <c r="J36" s="158" t="e">
        <f t="shared" si="6"/>
        <v>#DIV/0!</v>
      </c>
      <c r="K36" s="158" t="e">
        <f t="shared" si="7"/>
        <v>#DIV/0!</v>
      </c>
      <c r="L36" s="160" t="e">
        <f t="shared" si="8"/>
        <v>#DIV/0!</v>
      </c>
      <c r="M36" s="145" t="e">
        <f t="shared" si="22"/>
        <v>#DIV/0!</v>
      </c>
      <c r="N36" s="145" t="e">
        <f t="shared" si="23"/>
        <v>#DIV/0!</v>
      </c>
      <c r="O36" s="145" t="e">
        <f t="shared" si="24"/>
        <v>#DIV/0!</v>
      </c>
      <c r="P36" s="145" t="e">
        <f t="shared" si="25"/>
        <v>#DIV/0!</v>
      </c>
      <c r="Q36" s="55">
        <f t="shared" si="38"/>
        <v>46203</v>
      </c>
      <c r="R36" s="138"/>
      <c r="S36" s="139"/>
      <c r="T36" s="139"/>
      <c r="U36" s="139"/>
      <c r="V36" s="140"/>
      <c r="W36" s="141"/>
      <c r="X36" s="140"/>
      <c r="Y36" s="141"/>
      <c r="Z36" s="140"/>
      <c r="AA36" s="141"/>
      <c r="AB36" s="55">
        <f t="shared" si="39"/>
        <v>46203</v>
      </c>
      <c r="AC36" s="75" t="e">
        <f t="shared" si="63"/>
        <v>#DIV/0!</v>
      </c>
      <c r="AD36" s="161" t="e">
        <f t="shared" si="64"/>
        <v>#DIV/0!</v>
      </c>
      <c r="AE36" s="162"/>
      <c r="AF36" s="117">
        <f t="shared" si="44"/>
        <v>0</v>
      </c>
      <c r="AG36" s="146"/>
      <c r="AH36" s="147"/>
      <c r="AI36" s="148"/>
      <c r="AJ36" s="147"/>
      <c r="AK36" s="164"/>
      <c r="AL36" s="55">
        <f t="shared" si="28"/>
        <v>46203</v>
      </c>
      <c r="AM36" s="76" t="e">
        <f t="shared" si="65"/>
        <v>#DIV/0!</v>
      </c>
      <c r="AN36" s="75" t="e">
        <f t="shared" si="66"/>
        <v>#DIV/0!</v>
      </c>
      <c r="AO36" s="149"/>
      <c r="AP36" s="116">
        <f t="shared" si="40"/>
        <v>0</v>
      </c>
      <c r="AQ36" s="150"/>
      <c r="AR36" s="151"/>
      <c r="AS36" s="152"/>
      <c r="AT36" s="151"/>
      <c r="AU36" s="153"/>
      <c r="AV36" s="55">
        <f t="shared" si="41"/>
        <v>46203</v>
      </c>
      <c r="AW36" s="109" t="e">
        <f t="shared" si="67"/>
        <v>#DIV/0!</v>
      </c>
      <c r="AX36" s="109" t="e">
        <f t="shared" si="68"/>
        <v>#DIV/0!</v>
      </c>
      <c r="AY36" s="110">
        <f t="shared" si="45"/>
        <v>0</v>
      </c>
      <c r="AZ36" s="111"/>
      <c r="BA36" s="119">
        <f t="shared" si="42"/>
        <v>0</v>
      </c>
      <c r="BB36" s="112"/>
      <c r="BC36" s="111"/>
      <c r="BD36" s="113"/>
      <c r="BE36" s="114"/>
      <c r="BF36" s="113"/>
      <c r="BG36" s="114"/>
      <c r="BH36" s="113"/>
      <c r="BI36" s="55">
        <f t="shared" si="43"/>
        <v>46203</v>
      </c>
      <c r="BJ36" s="77" t="e">
        <f t="shared" si="69"/>
        <v>#DIV/0!</v>
      </c>
      <c r="BK36" s="75" t="e">
        <f t="shared" si="70"/>
        <v>#DIV/0!</v>
      </c>
      <c r="BL36" s="78">
        <f t="shared" si="71"/>
        <v>0</v>
      </c>
      <c r="BM36" s="154"/>
      <c r="BN36" s="154"/>
      <c r="BO36" s="155"/>
      <c r="BP36" s="156"/>
      <c r="BQ36" s="157"/>
      <c r="BR36" s="156"/>
    </row>
    <row r="37" spans="1:70" ht="15.75" thickBot="1" x14ac:dyDescent="0.3">
      <c r="B37" s="55">
        <f t="shared" si="37"/>
        <v>46204</v>
      </c>
      <c r="D37" s="86">
        <f t="shared" si="0"/>
        <v>0</v>
      </c>
      <c r="E37" s="158" t="e">
        <f t="shared" si="1"/>
        <v>#DIV/0!</v>
      </c>
      <c r="F37" s="86">
        <f t="shared" si="2"/>
        <v>0</v>
      </c>
      <c r="G37" s="158" t="e">
        <f t="shared" si="3"/>
        <v>#DIV/0!</v>
      </c>
      <c r="H37" s="145">
        <f t="shared" si="4"/>
        <v>0</v>
      </c>
      <c r="I37" s="159" t="e">
        <f t="shared" si="5"/>
        <v>#DIV/0!</v>
      </c>
      <c r="J37" s="158" t="e">
        <f t="shared" si="6"/>
        <v>#DIV/0!</v>
      </c>
      <c r="K37" s="158" t="e">
        <f t="shared" si="7"/>
        <v>#DIV/0!</v>
      </c>
      <c r="L37" s="160" t="e">
        <f t="shared" si="8"/>
        <v>#DIV/0!</v>
      </c>
      <c r="M37" s="145" t="e">
        <f t="shared" si="22"/>
        <v>#DIV/0!</v>
      </c>
      <c r="N37" s="145" t="e">
        <f t="shared" si="23"/>
        <v>#DIV/0!</v>
      </c>
      <c r="O37" s="145" t="e">
        <f t="shared" si="24"/>
        <v>#DIV/0!</v>
      </c>
      <c r="P37" s="145" t="e">
        <f t="shared" si="25"/>
        <v>#DIV/0!</v>
      </c>
      <c r="Q37" s="55">
        <f t="shared" si="38"/>
        <v>46204</v>
      </c>
      <c r="R37" s="138"/>
      <c r="S37" s="139"/>
      <c r="T37" s="139"/>
      <c r="U37" s="139"/>
      <c r="V37" s="140"/>
      <c r="W37" s="141"/>
      <c r="X37" s="140"/>
      <c r="Y37" s="141"/>
      <c r="Z37" s="140"/>
      <c r="AA37" s="141"/>
      <c r="AB37" s="55">
        <f t="shared" si="39"/>
        <v>46204</v>
      </c>
      <c r="AC37" s="75" t="e">
        <f t="shared" ref="AC37" si="85">+AF37/AE37</f>
        <v>#DIV/0!</v>
      </c>
      <c r="AD37" s="161" t="e">
        <f t="shared" ref="AD37" si="86">+AG37/AE37</f>
        <v>#DIV/0!</v>
      </c>
      <c r="AE37" s="162"/>
      <c r="AF37" s="117">
        <f t="shared" si="44"/>
        <v>0</v>
      </c>
      <c r="AG37" s="146"/>
      <c r="AH37" s="147"/>
      <c r="AI37" s="148"/>
      <c r="AJ37" s="147"/>
      <c r="AK37" s="164"/>
      <c r="AL37" s="55">
        <f t="shared" si="28"/>
        <v>46204</v>
      </c>
      <c r="AM37" s="76" t="e">
        <f t="shared" ref="AM37" si="87">+AP37/AO37</f>
        <v>#DIV/0!</v>
      </c>
      <c r="AN37" s="75" t="e">
        <f t="shared" ref="AN37" si="88">+AQ37/AO37</f>
        <v>#DIV/0!</v>
      </c>
      <c r="AO37" s="149"/>
      <c r="AP37" s="116">
        <f t="shared" ref="AP37" si="89">AO37-AQ37</f>
        <v>0</v>
      </c>
      <c r="AQ37" s="150"/>
      <c r="AR37" s="151"/>
      <c r="AS37" s="152"/>
      <c r="AT37" s="151"/>
      <c r="AU37" s="153"/>
      <c r="AV37" s="55">
        <f t="shared" si="41"/>
        <v>46204</v>
      </c>
      <c r="AW37" s="109" t="e">
        <f t="shared" ref="AW37" si="90">BA37/AZ37</f>
        <v>#DIV/0!</v>
      </c>
      <c r="AX37" s="109" t="e">
        <f t="shared" ref="AX37" si="91">BB37/AZ37</f>
        <v>#DIV/0!</v>
      </c>
      <c r="AY37" s="110">
        <f t="shared" si="45"/>
        <v>0</v>
      </c>
      <c r="AZ37" s="111"/>
      <c r="BA37" s="119">
        <f t="shared" si="42"/>
        <v>0</v>
      </c>
      <c r="BB37" s="112"/>
      <c r="BC37" s="111"/>
      <c r="BD37" s="113"/>
      <c r="BE37" s="114"/>
      <c r="BF37" s="113"/>
      <c r="BG37" s="114"/>
      <c r="BH37" s="113"/>
      <c r="BI37" s="55">
        <f t="shared" si="43"/>
        <v>46204</v>
      </c>
      <c r="BJ37" s="77" t="e">
        <f t="shared" ref="BJ37" si="92">+BM37/BL37</f>
        <v>#DIV/0!</v>
      </c>
      <c r="BK37" s="75" t="e">
        <f t="shared" ref="BK37" si="93">+BN37/BL37</f>
        <v>#DIV/0!</v>
      </c>
      <c r="BL37" s="78">
        <f t="shared" ref="BL37" si="94">BM37+BN37</f>
        <v>0</v>
      </c>
      <c r="BM37" s="154"/>
      <c r="BN37" s="154"/>
      <c r="BO37" s="155"/>
      <c r="BP37" s="156"/>
      <c r="BQ37" s="157"/>
      <c r="BR37" s="156"/>
    </row>
    <row r="38" spans="1:70" ht="15.75" thickBot="1" x14ac:dyDescent="0.3">
      <c r="R38" s="174" t="e">
        <f>#REF!-S39</f>
        <v>#REF!</v>
      </c>
      <c r="AF38" s="117">
        <f t="shared" si="44"/>
        <v>0</v>
      </c>
      <c r="AY38" s="110">
        <f t="shared" si="45"/>
        <v>0</v>
      </c>
      <c r="BA38" s="119">
        <f t="shared" si="42"/>
        <v>0</v>
      </c>
    </row>
    <row r="39" spans="1:70" ht="15.75" thickBot="1" x14ac:dyDescent="0.3">
      <c r="S39" s="175">
        <f>R36-T36</f>
        <v>0</v>
      </c>
      <c r="T39" s="175"/>
      <c r="U39" s="174"/>
      <c r="AF39" s="117">
        <f t="shared" si="44"/>
        <v>0</v>
      </c>
      <c r="AY39" s="110">
        <f t="shared" si="45"/>
        <v>0</v>
      </c>
      <c r="BA39" s="119">
        <f t="shared" si="42"/>
        <v>0</v>
      </c>
    </row>
    <row r="41" spans="1:70" x14ac:dyDescent="0.25">
      <c r="S41" s="175"/>
      <c r="T41" s="174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A22" zoomScale="110" zoomScaleNormal="100" zoomScaleSheetLayoutView="110" workbookViewId="0">
      <selection activeCell="W33" sqref="W33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44" t="s">
        <v>0</v>
      </c>
      <c r="D2" s="247" t="s">
        <v>37</v>
      </c>
      <c r="E2" s="248"/>
      <c r="F2" s="248"/>
      <c r="G2" s="248"/>
      <c r="H2" s="249"/>
      <c r="J2" s="247" t="s">
        <v>38</v>
      </c>
      <c r="K2" s="248"/>
      <c r="L2" s="249"/>
      <c r="N2" s="247" t="s">
        <v>39</v>
      </c>
      <c r="O2" s="248"/>
      <c r="P2" s="248"/>
      <c r="Q2" s="248"/>
      <c r="R2" s="248"/>
      <c r="S2" s="248"/>
      <c r="T2" s="249"/>
      <c r="V2" s="253" t="s">
        <v>40</v>
      </c>
      <c r="W2" s="254"/>
      <c r="X2" s="255"/>
    </row>
    <row r="3" spans="2:27" ht="15.75" thickBot="1" x14ac:dyDescent="0.3">
      <c r="B3" s="245"/>
      <c r="D3" s="250"/>
      <c r="E3" s="251"/>
      <c r="F3" s="251"/>
      <c r="G3" s="251"/>
      <c r="H3" s="252"/>
      <c r="J3" s="250"/>
      <c r="K3" s="251"/>
      <c r="L3" s="252"/>
      <c r="N3" s="250"/>
      <c r="O3" s="251"/>
      <c r="P3" s="251"/>
      <c r="Q3" s="251"/>
      <c r="R3" s="251"/>
      <c r="S3" s="251"/>
      <c r="T3" s="252"/>
      <c r="V3" s="256"/>
      <c r="W3" s="257"/>
      <c r="X3" s="258"/>
    </row>
    <row r="4" spans="2:27" ht="23.25" customHeight="1" x14ac:dyDescent="0.25">
      <c r="B4" s="245"/>
      <c r="D4" s="259" t="s">
        <v>41</v>
      </c>
      <c r="E4" s="260"/>
      <c r="F4" s="259" t="s">
        <v>42</v>
      </c>
      <c r="G4" s="261"/>
      <c r="H4" s="262"/>
      <c r="J4" s="259" t="s">
        <v>41</v>
      </c>
      <c r="K4" s="260"/>
      <c r="L4" s="16" t="s">
        <v>42</v>
      </c>
      <c r="N4" s="242" t="s">
        <v>41</v>
      </c>
      <c r="O4" s="263"/>
      <c r="P4" s="264"/>
      <c r="Q4" s="265"/>
      <c r="R4" s="259" t="s">
        <v>42</v>
      </c>
      <c r="S4" s="266"/>
      <c r="T4" s="262"/>
      <c r="V4" s="242" t="s">
        <v>41</v>
      </c>
      <c r="W4" s="243"/>
      <c r="X4" s="16" t="s">
        <v>42</v>
      </c>
    </row>
    <row r="5" spans="2:27" ht="23.25" thickBot="1" x14ac:dyDescent="0.3">
      <c r="B5" s="246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46173</v>
      </c>
      <c r="C14" s="13"/>
      <c r="D14" s="170">
        <v>87</v>
      </c>
      <c r="E14" s="171">
        <v>0.16666666666666666</v>
      </c>
      <c r="F14" s="172">
        <v>754</v>
      </c>
      <c r="G14" s="92">
        <f t="shared" ref="G14:G15" si="0">F14-H14</f>
        <v>321</v>
      </c>
      <c r="H14" s="172">
        <v>433</v>
      </c>
      <c r="I14" s="89">
        <v>46173</v>
      </c>
      <c r="J14" s="170">
        <v>35</v>
      </c>
      <c r="K14" s="171">
        <v>0.15625</v>
      </c>
      <c r="L14" s="172">
        <v>647</v>
      </c>
      <c r="M14" s="89">
        <f t="shared" ref="M14" si="1">B14</f>
        <v>46173</v>
      </c>
      <c r="N14" s="170">
        <v>21</v>
      </c>
      <c r="O14" s="171">
        <v>0.70833333333333337</v>
      </c>
      <c r="P14" s="170">
        <v>8</v>
      </c>
      <c r="Q14" s="171">
        <v>0.84375</v>
      </c>
      <c r="R14" s="91">
        <f t="shared" ref="R14:R15" si="2">S14+T14</f>
        <v>475</v>
      </c>
      <c r="S14" s="172">
        <v>317</v>
      </c>
      <c r="T14" s="172">
        <v>158</v>
      </c>
      <c r="U14" s="89">
        <v>46173</v>
      </c>
      <c r="V14" s="170">
        <v>29</v>
      </c>
      <c r="W14" s="171">
        <v>0.8125</v>
      </c>
      <c r="X14" s="172">
        <v>554</v>
      </c>
    </row>
    <row r="15" spans="2:27" s="52" customFormat="1" ht="15.75" thickBot="1" x14ac:dyDescent="0.3">
      <c r="B15" s="89">
        <f>B14+1</f>
        <v>46174</v>
      </c>
      <c r="C15" s="13"/>
      <c r="D15" s="191">
        <v>102</v>
      </c>
      <c r="E15" s="190">
        <v>0.33333333333333331</v>
      </c>
      <c r="F15" s="189">
        <v>1230</v>
      </c>
      <c r="G15" s="193">
        <f t="shared" si="0"/>
        <v>715</v>
      </c>
      <c r="H15" s="189">
        <v>515</v>
      </c>
      <c r="I15" s="89">
        <f t="shared" ref="I15:I45" si="3">I14+1</f>
        <v>46174</v>
      </c>
      <c r="J15" s="191">
        <v>35</v>
      </c>
      <c r="K15" s="190">
        <v>0.75</v>
      </c>
      <c r="L15" s="189">
        <v>650</v>
      </c>
      <c r="M15" s="89">
        <f t="shared" ref="M15:M44" si="4">B15</f>
        <v>46174</v>
      </c>
      <c r="N15" s="191">
        <v>22</v>
      </c>
      <c r="O15" s="190">
        <v>0.83333333333333337</v>
      </c>
      <c r="P15" s="191">
        <v>13</v>
      </c>
      <c r="Q15" s="190">
        <v>0.52083333333333337</v>
      </c>
      <c r="R15" s="192">
        <f t="shared" si="2"/>
        <v>560</v>
      </c>
      <c r="S15" s="189">
        <v>330</v>
      </c>
      <c r="T15" s="189">
        <v>230</v>
      </c>
      <c r="U15" s="89">
        <v>46174</v>
      </c>
      <c r="V15" s="191">
        <v>30</v>
      </c>
      <c r="W15" s="190">
        <v>0.60416666666666663</v>
      </c>
      <c r="X15" s="189">
        <v>550</v>
      </c>
    </row>
    <row r="16" spans="2:27" s="52" customFormat="1" ht="15.75" thickBot="1" x14ac:dyDescent="0.3">
      <c r="B16" s="89">
        <f t="shared" ref="B16:B45" si="5">B15+1</f>
        <v>46175</v>
      </c>
      <c r="C16" s="13"/>
      <c r="D16" s="50">
        <v>101</v>
      </c>
      <c r="E16" s="11">
        <v>0.39583333333333331</v>
      </c>
      <c r="F16" s="10">
        <v>1235</v>
      </c>
      <c r="G16" s="92">
        <f t="shared" ref="G16:G45" si="6">F16-H16</f>
        <v>723</v>
      </c>
      <c r="H16" s="10">
        <v>512</v>
      </c>
      <c r="I16" s="89">
        <f t="shared" si="3"/>
        <v>46175</v>
      </c>
      <c r="J16" s="50">
        <v>35</v>
      </c>
      <c r="K16" s="54">
        <v>0.70833333333333337</v>
      </c>
      <c r="L16" s="53">
        <v>650</v>
      </c>
      <c r="M16" s="89">
        <f t="shared" si="4"/>
        <v>46175</v>
      </c>
      <c r="N16" s="50">
        <v>21</v>
      </c>
      <c r="O16" s="11">
        <v>0.77083333333333337</v>
      </c>
      <c r="P16" s="50">
        <v>13</v>
      </c>
      <c r="Q16" s="11">
        <v>0.57291666666666663</v>
      </c>
      <c r="R16" s="91">
        <f t="shared" ref="R16:R20" si="7">S16+T16</f>
        <v>551</v>
      </c>
      <c r="S16" s="10">
        <v>320</v>
      </c>
      <c r="T16" s="10">
        <v>231</v>
      </c>
      <c r="U16" s="89">
        <v>46175</v>
      </c>
      <c r="V16" s="50">
        <v>30</v>
      </c>
      <c r="W16" s="11">
        <v>0.6875</v>
      </c>
      <c r="X16" s="10">
        <v>551</v>
      </c>
    </row>
    <row r="17" spans="2:24" ht="15.75" thickBot="1" x14ac:dyDescent="0.3">
      <c r="B17" s="89">
        <f t="shared" si="5"/>
        <v>46176</v>
      </c>
      <c r="D17" s="50">
        <v>113</v>
      </c>
      <c r="E17" s="54">
        <v>0.5</v>
      </c>
      <c r="F17" s="53">
        <v>1315</v>
      </c>
      <c r="G17" s="92">
        <f t="shared" si="6"/>
        <v>843</v>
      </c>
      <c r="H17" s="53">
        <v>472</v>
      </c>
      <c r="I17" s="89">
        <f t="shared" si="3"/>
        <v>46176</v>
      </c>
      <c r="J17" s="50">
        <v>33</v>
      </c>
      <c r="K17" s="54">
        <v>0.90625</v>
      </c>
      <c r="L17" s="53">
        <v>657</v>
      </c>
      <c r="M17" s="89">
        <f t="shared" si="4"/>
        <v>46176</v>
      </c>
      <c r="N17" s="50">
        <v>26</v>
      </c>
      <c r="O17" s="54">
        <v>0.82291666666666663</v>
      </c>
      <c r="P17" s="50">
        <v>13.8</v>
      </c>
      <c r="Q17" s="54">
        <v>0.48958333333333331</v>
      </c>
      <c r="R17" s="91">
        <f t="shared" si="7"/>
        <v>564</v>
      </c>
      <c r="S17" s="53">
        <v>332</v>
      </c>
      <c r="T17" s="53">
        <v>232</v>
      </c>
      <c r="U17" s="89">
        <v>46176</v>
      </c>
      <c r="V17" s="50">
        <v>28</v>
      </c>
      <c r="W17" s="54">
        <v>0.26041666666666669</v>
      </c>
      <c r="X17" s="53">
        <v>556</v>
      </c>
    </row>
    <row r="18" spans="2:24" ht="15.75" thickBot="1" x14ac:dyDescent="0.3">
      <c r="B18" s="89">
        <f t="shared" si="5"/>
        <v>46177</v>
      </c>
      <c r="D18" s="50">
        <v>97.62</v>
      </c>
      <c r="E18" s="54">
        <v>0.39583333333333331</v>
      </c>
      <c r="F18" s="53">
        <v>1247.79</v>
      </c>
      <c r="G18" s="92">
        <f t="shared" si="6"/>
        <v>769.25</v>
      </c>
      <c r="H18" s="53">
        <v>478.54</v>
      </c>
      <c r="I18" s="89">
        <f t="shared" si="3"/>
        <v>46177</v>
      </c>
      <c r="J18" s="50">
        <v>32.08</v>
      </c>
      <c r="K18" s="54">
        <v>0.3125</v>
      </c>
      <c r="L18" s="53">
        <v>651.16999999999996</v>
      </c>
      <c r="M18" s="89">
        <f t="shared" si="4"/>
        <v>46177</v>
      </c>
      <c r="N18" s="50">
        <v>20.34</v>
      </c>
      <c r="O18" s="54">
        <v>0.84375</v>
      </c>
      <c r="P18" s="50">
        <v>14.16</v>
      </c>
      <c r="Q18" s="54">
        <v>0.51041666666666663</v>
      </c>
      <c r="R18" s="51">
        <f t="shared" si="7"/>
        <v>565.28</v>
      </c>
      <c r="S18" s="53">
        <v>331.45</v>
      </c>
      <c r="T18" s="53">
        <v>233.83</v>
      </c>
      <c r="U18" s="89">
        <v>46177</v>
      </c>
      <c r="V18" s="50">
        <v>27.29</v>
      </c>
      <c r="W18" s="54">
        <v>0.375</v>
      </c>
      <c r="X18" s="53">
        <v>537.29999999999995</v>
      </c>
    </row>
    <row r="19" spans="2:24" ht="15.75" thickBot="1" x14ac:dyDescent="0.3">
      <c r="B19" s="89">
        <f t="shared" si="5"/>
        <v>46178</v>
      </c>
      <c r="D19" s="90">
        <v>95</v>
      </c>
      <c r="E19" s="88">
        <v>0.4375</v>
      </c>
      <c r="F19" s="87">
        <v>1250</v>
      </c>
      <c r="G19" s="92">
        <f t="shared" si="6"/>
        <v>796</v>
      </c>
      <c r="H19" s="87">
        <v>454</v>
      </c>
      <c r="I19" s="89">
        <f t="shared" si="3"/>
        <v>46178</v>
      </c>
      <c r="J19" s="90">
        <v>32</v>
      </c>
      <c r="K19" s="88">
        <v>0.34375</v>
      </c>
      <c r="L19" s="87">
        <v>640</v>
      </c>
      <c r="M19" s="89">
        <f t="shared" si="4"/>
        <v>46178</v>
      </c>
      <c r="N19" s="90">
        <v>23</v>
      </c>
      <c r="O19" s="88">
        <v>0.29166666666666669</v>
      </c>
      <c r="P19" s="90">
        <v>15</v>
      </c>
      <c r="Q19" s="88">
        <v>0.69791666666666663</v>
      </c>
      <c r="R19" s="91">
        <f t="shared" si="7"/>
        <v>562</v>
      </c>
      <c r="S19" s="87">
        <v>329</v>
      </c>
      <c r="T19" s="87">
        <v>233</v>
      </c>
      <c r="U19" s="89">
        <v>46178</v>
      </c>
      <c r="V19" s="90">
        <v>29</v>
      </c>
      <c r="W19" s="88">
        <v>0.78125</v>
      </c>
      <c r="X19" s="87">
        <v>556</v>
      </c>
    </row>
    <row r="20" spans="2:24" ht="15.75" thickBot="1" x14ac:dyDescent="0.3">
      <c r="B20" s="89">
        <f t="shared" si="5"/>
        <v>46179</v>
      </c>
      <c r="D20" s="170">
        <v>60</v>
      </c>
      <c r="E20" s="171">
        <v>0.21875</v>
      </c>
      <c r="F20" s="172">
        <v>889</v>
      </c>
      <c r="G20" s="92">
        <f t="shared" si="6"/>
        <v>452</v>
      </c>
      <c r="H20" s="172">
        <v>437</v>
      </c>
      <c r="I20" s="89">
        <f t="shared" si="3"/>
        <v>46179</v>
      </c>
      <c r="J20" s="170">
        <v>31</v>
      </c>
      <c r="K20" s="171">
        <v>0.29166666666666669</v>
      </c>
      <c r="L20" s="172">
        <v>624</v>
      </c>
      <c r="M20" s="89">
        <f t="shared" si="4"/>
        <v>46179</v>
      </c>
      <c r="N20" s="170">
        <v>19</v>
      </c>
      <c r="O20" s="171">
        <v>0.79166666666666663</v>
      </c>
      <c r="P20" s="170">
        <v>13</v>
      </c>
      <c r="Q20" s="171">
        <v>0.4375</v>
      </c>
      <c r="R20" s="91">
        <f t="shared" si="7"/>
        <v>523</v>
      </c>
      <c r="S20" s="172">
        <v>320</v>
      </c>
      <c r="T20" s="172">
        <v>203</v>
      </c>
      <c r="U20" s="89">
        <v>46179</v>
      </c>
      <c r="V20" s="170">
        <v>31</v>
      </c>
      <c r="W20" s="171">
        <v>0.375</v>
      </c>
      <c r="X20" s="172">
        <v>507</v>
      </c>
    </row>
    <row r="21" spans="2:24" s="275" customFormat="1" ht="15.75" thickBot="1" x14ac:dyDescent="0.3">
      <c r="B21" s="267">
        <f t="shared" si="5"/>
        <v>46180</v>
      </c>
      <c r="C21" s="268"/>
      <c r="D21" s="269">
        <v>90</v>
      </c>
      <c r="E21" s="270">
        <v>0.47916666666666669</v>
      </c>
      <c r="F21" s="271">
        <v>790</v>
      </c>
      <c r="G21" s="271">
        <f t="shared" si="6"/>
        <v>357</v>
      </c>
      <c r="H21" s="271">
        <v>433</v>
      </c>
      <c r="I21" s="267">
        <f t="shared" si="3"/>
        <v>46180</v>
      </c>
      <c r="J21" s="272"/>
      <c r="K21" s="273"/>
      <c r="L21" s="271"/>
      <c r="M21" s="267">
        <f t="shared" si="4"/>
        <v>46180</v>
      </c>
      <c r="N21" s="272"/>
      <c r="O21" s="273"/>
      <c r="P21" s="272"/>
      <c r="Q21" s="273"/>
      <c r="R21" s="274">
        <f>S21+T21</f>
        <v>0</v>
      </c>
      <c r="S21" s="271"/>
      <c r="T21" s="271"/>
      <c r="U21" s="89">
        <v>46180</v>
      </c>
      <c r="V21" s="272"/>
      <c r="W21" s="273"/>
      <c r="X21" s="271"/>
    </row>
    <row r="22" spans="2:24" ht="15.75" thickBot="1" x14ac:dyDescent="0.3">
      <c r="B22" s="89">
        <f t="shared" si="5"/>
        <v>46181</v>
      </c>
      <c r="D22" s="170">
        <v>104</v>
      </c>
      <c r="E22" s="88">
        <v>0.67708333333333337</v>
      </c>
      <c r="F22" s="87">
        <v>1338</v>
      </c>
      <c r="G22" s="92">
        <f t="shared" si="6"/>
        <v>858</v>
      </c>
      <c r="H22" s="87">
        <v>480</v>
      </c>
      <c r="I22" s="89">
        <f t="shared" si="3"/>
        <v>46181</v>
      </c>
      <c r="J22" s="90">
        <v>33</v>
      </c>
      <c r="K22" s="88">
        <v>0.75</v>
      </c>
      <c r="L22" s="87">
        <v>659</v>
      </c>
      <c r="M22" s="89">
        <f t="shared" si="4"/>
        <v>46181</v>
      </c>
      <c r="N22" s="90">
        <v>20</v>
      </c>
      <c r="O22" s="88">
        <v>0.69791666666666663</v>
      </c>
      <c r="P22" s="90">
        <v>15</v>
      </c>
      <c r="Q22" s="88">
        <v>0.4375</v>
      </c>
      <c r="R22" s="91">
        <f>S22+T22</f>
        <v>561</v>
      </c>
      <c r="S22" s="87">
        <v>331</v>
      </c>
      <c r="T22" s="87">
        <v>230</v>
      </c>
      <c r="U22" s="89">
        <v>46181</v>
      </c>
      <c r="V22" s="90">
        <v>31</v>
      </c>
      <c r="W22" s="88">
        <v>9.375E-2</v>
      </c>
      <c r="X22" s="87">
        <v>581</v>
      </c>
    </row>
    <row r="23" spans="2:24" ht="15.75" thickBot="1" x14ac:dyDescent="0.3">
      <c r="B23" s="89">
        <f t="shared" si="5"/>
        <v>46182</v>
      </c>
      <c r="D23" s="170">
        <v>103</v>
      </c>
      <c r="E23" s="88">
        <v>0.54166666666666663</v>
      </c>
      <c r="F23" s="87">
        <v>1344</v>
      </c>
      <c r="G23" s="92">
        <f t="shared" si="6"/>
        <v>913</v>
      </c>
      <c r="H23" s="87">
        <v>431</v>
      </c>
      <c r="I23" s="89">
        <f t="shared" si="3"/>
        <v>46182</v>
      </c>
      <c r="J23" s="90">
        <v>32</v>
      </c>
      <c r="K23" s="88">
        <v>0.77083333333333337</v>
      </c>
      <c r="L23" s="87">
        <v>658</v>
      </c>
      <c r="M23" s="89">
        <f t="shared" si="4"/>
        <v>46182</v>
      </c>
      <c r="N23" s="90">
        <v>23</v>
      </c>
      <c r="O23" s="88">
        <v>0.4375</v>
      </c>
      <c r="P23" s="90">
        <v>13</v>
      </c>
      <c r="Q23" s="88">
        <v>0.65625</v>
      </c>
      <c r="R23" s="91">
        <f>S23+T23</f>
        <v>559</v>
      </c>
      <c r="S23" s="87">
        <v>331</v>
      </c>
      <c r="T23" s="87">
        <v>228</v>
      </c>
      <c r="U23" s="89">
        <v>46182</v>
      </c>
      <c r="V23" s="90">
        <v>31</v>
      </c>
      <c r="W23" s="88">
        <v>0.5625</v>
      </c>
      <c r="X23" s="87">
        <v>586</v>
      </c>
    </row>
    <row r="24" spans="2:24" ht="15.75" thickBot="1" x14ac:dyDescent="0.3">
      <c r="B24" s="89">
        <f t="shared" si="5"/>
        <v>46183</v>
      </c>
      <c r="D24" s="170">
        <v>105</v>
      </c>
      <c r="E24" s="88">
        <v>0.53125</v>
      </c>
      <c r="F24" s="87">
        <v>1370</v>
      </c>
      <c r="G24" s="92">
        <f t="shared" si="6"/>
        <v>905</v>
      </c>
      <c r="H24" s="87">
        <v>465</v>
      </c>
      <c r="I24" s="89">
        <f t="shared" si="3"/>
        <v>46183</v>
      </c>
      <c r="J24" s="90">
        <v>33</v>
      </c>
      <c r="K24" s="88">
        <v>0.52083333333333337</v>
      </c>
      <c r="L24" s="87">
        <v>664</v>
      </c>
      <c r="M24" s="89">
        <f t="shared" si="4"/>
        <v>46183</v>
      </c>
      <c r="N24" s="90">
        <v>23</v>
      </c>
      <c r="O24" s="88">
        <v>0.65625</v>
      </c>
      <c r="P24" s="90">
        <v>15</v>
      </c>
      <c r="Q24" s="88">
        <v>0.38541666666666669</v>
      </c>
      <c r="R24" s="91">
        <f>S24+T24</f>
        <v>560</v>
      </c>
      <c r="S24" s="87">
        <v>327</v>
      </c>
      <c r="T24" s="87">
        <v>233</v>
      </c>
      <c r="U24" s="89">
        <v>46183</v>
      </c>
      <c r="V24" s="90">
        <v>30</v>
      </c>
      <c r="W24" s="88">
        <v>0.125</v>
      </c>
      <c r="X24" s="87">
        <v>557</v>
      </c>
    </row>
    <row r="25" spans="2:24" ht="15.75" thickBot="1" x14ac:dyDescent="0.3">
      <c r="B25" s="89">
        <f t="shared" si="5"/>
        <v>46184</v>
      </c>
      <c r="D25" s="170">
        <v>116</v>
      </c>
      <c r="E25" s="88">
        <v>0.5</v>
      </c>
      <c r="F25" s="87">
        <v>1402</v>
      </c>
      <c r="G25" s="92">
        <f t="shared" si="6"/>
        <v>935</v>
      </c>
      <c r="H25" s="87">
        <v>467</v>
      </c>
      <c r="I25" s="89">
        <f t="shared" si="3"/>
        <v>46184</v>
      </c>
      <c r="J25" s="90">
        <v>34</v>
      </c>
      <c r="K25" s="88">
        <v>0.36458333333333331</v>
      </c>
      <c r="L25" s="87">
        <v>670</v>
      </c>
      <c r="M25" s="89">
        <f t="shared" si="4"/>
        <v>46184</v>
      </c>
      <c r="N25" s="90">
        <v>22</v>
      </c>
      <c r="O25" s="88">
        <v>0.47916666666666669</v>
      </c>
      <c r="P25" s="90">
        <v>16</v>
      </c>
      <c r="Q25" s="88">
        <v>0.69791666666666663</v>
      </c>
      <c r="R25" s="91">
        <f>S25+T25</f>
        <v>560</v>
      </c>
      <c r="S25" s="87">
        <v>329</v>
      </c>
      <c r="T25" s="87">
        <v>231</v>
      </c>
      <c r="U25" s="89">
        <v>46184</v>
      </c>
      <c r="V25" s="90">
        <v>28</v>
      </c>
      <c r="W25" s="88">
        <v>0.73958333333333337</v>
      </c>
      <c r="X25" s="87">
        <v>514</v>
      </c>
    </row>
    <row r="26" spans="2:24" ht="15.75" thickBot="1" x14ac:dyDescent="0.3">
      <c r="B26" s="89">
        <f t="shared" si="5"/>
        <v>46185</v>
      </c>
      <c r="D26" s="170">
        <v>103</v>
      </c>
      <c r="E26" s="88">
        <v>0.48958333333333331</v>
      </c>
      <c r="F26" s="87">
        <v>1290</v>
      </c>
      <c r="G26" s="92">
        <f t="shared" si="6"/>
        <v>835</v>
      </c>
      <c r="H26" s="87">
        <v>455</v>
      </c>
      <c r="I26" s="89">
        <f t="shared" si="3"/>
        <v>46185</v>
      </c>
      <c r="J26" s="90">
        <v>33</v>
      </c>
      <c r="K26" s="88">
        <v>0.33333333333333331</v>
      </c>
      <c r="L26" s="87">
        <v>650</v>
      </c>
      <c r="M26" s="89">
        <f t="shared" si="4"/>
        <v>46185</v>
      </c>
      <c r="N26" s="90">
        <v>23</v>
      </c>
      <c r="O26" s="88">
        <v>0.72916666666666663</v>
      </c>
      <c r="P26" s="90">
        <v>15</v>
      </c>
      <c r="Q26" s="88">
        <v>0.44791666666666669</v>
      </c>
      <c r="R26" s="91">
        <f>S26+T26</f>
        <v>558</v>
      </c>
      <c r="S26" s="87">
        <v>329</v>
      </c>
      <c r="T26" s="87">
        <v>229</v>
      </c>
      <c r="U26" s="89">
        <v>46185</v>
      </c>
      <c r="V26" s="90">
        <v>30</v>
      </c>
      <c r="W26" s="88">
        <v>0.75</v>
      </c>
      <c r="X26" s="87">
        <v>525</v>
      </c>
    </row>
    <row r="27" spans="2:24" ht="15.75" thickBot="1" x14ac:dyDescent="0.3">
      <c r="B27" s="89">
        <f t="shared" si="5"/>
        <v>46186</v>
      </c>
      <c r="D27" s="170">
        <v>70</v>
      </c>
      <c r="E27" s="88">
        <v>0.39583333333333331</v>
      </c>
      <c r="F27" s="87">
        <v>890</v>
      </c>
      <c r="G27" s="92">
        <f t="shared" si="6"/>
        <v>440</v>
      </c>
      <c r="H27" s="87">
        <v>450</v>
      </c>
      <c r="I27" s="89">
        <f t="shared" si="3"/>
        <v>46186</v>
      </c>
      <c r="J27" s="90">
        <v>32</v>
      </c>
      <c r="K27" s="88">
        <v>0.3125</v>
      </c>
      <c r="L27" s="87">
        <v>635</v>
      </c>
      <c r="M27" s="89">
        <f t="shared" si="4"/>
        <v>46186</v>
      </c>
      <c r="N27" s="90">
        <v>21</v>
      </c>
      <c r="O27" s="88">
        <v>0.75</v>
      </c>
      <c r="P27" s="90">
        <v>13</v>
      </c>
      <c r="Q27" s="88">
        <v>0.45833333333333331</v>
      </c>
      <c r="R27" s="91">
        <f>S27+T27</f>
        <v>525</v>
      </c>
      <c r="S27" s="87">
        <v>320</v>
      </c>
      <c r="T27" s="87">
        <v>205</v>
      </c>
      <c r="U27" s="89">
        <v>46186</v>
      </c>
      <c r="V27" s="90">
        <v>29</v>
      </c>
      <c r="W27" s="88">
        <v>0.70833333333333337</v>
      </c>
      <c r="X27" s="87">
        <v>535</v>
      </c>
    </row>
    <row r="28" spans="2:24" ht="15.75" thickBot="1" x14ac:dyDescent="0.3">
      <c r="B28" s="89">
        <f t="shared" si="5"/>
        <v>46187</v>
      </c>
      <c r="D28" s="170">
        <v>90</v>
      </c>
      <c r="E28" s="88">
        <v>0.36458333333333331</v>
      </c>
      <c r="F28" s="87">
        <v>800</v>
      </c>
      <c r="G28" s="92">
        <f t="shared" si="6"/>
        <v>367</v>
      </c>
      <c r="H28" s="87">
        <v>433</v>
      </c>
      <c r="I28" s="89">
        <f t="shared" si="3"/>
        <v>46187</v>
      </c>
      <c r="J28" s="90">
        <v>33</v>
      </c>
      <c r="K28" s="88">
        <v>0.33333333333333331</v>
      </c>
      <c r="L28" s="87">
        <v>640</v>
      </c>
      <c r="M28" s="89">
        <f t="shared" si="4"/>
        <v>46187</v>
      </c>
      <c r="N28" s="90">
        <v>21</v>
      </c>
      <c r="O28" s="88">
        <v>0.77083333333333337</v>
      </c>
      <c r="P28" s="90">
        <v>13</v>
      </c>
      <c r="Q28" s="88">
        <v>0.52083333333333337</v>
      </c>
      <c r="R28" s="91">
        <f>S28+T28</f>
        <v>523</v>
      </c>
      <c r="S28" s="87">
        <v>320</v>
      </c>
      <c r="T28" s="87">
        <v>203</v>
      </c>
      <c r="U28" s="89">
        <v>46187</v>
      </c>
      <c r="V28" s="90">
        <v>29</v>
      </c>
      <c r="W28" s="88">
        <v>0.77083333333333337</v>
      </c>
      <c r="X28" s="87">
        <v>540</v>
      </c>
    </row>
    <row r="29" spans="2:24" ht="15.75" thickBot="1" x14ac:dyDescent="0.3">
      <c r="B29" s="89">
        <f t="shared" si="5"/>
        <v>46188</v>
      </c>
      <c r="D29" s="170">
        <v>110</v>
      </c>
      <c r="E29" s="88">
        <v>0.39583333333333331</v>
      </c>
      <c r="F29" s="87">
        <v>1281</v>
      </c>
      <c r="G29" s="92">
        <f t="shared" si="6"/>
        <v>819</v>
      </c>
      <c r="H29" s="87">
        <v>462</v>
      </c>
      <c r="I29" s="89">
        <f t="shared" si="3"/>
        <v>46188</v>
      </c>
      <c r="J29" s="90">
        <v>33</v>
      </c>
      <c r="K29" s="88">
        <v>0.44791666666666669</v>
      </c>
      <c r="L29" s="87">
        <v>659</v>
      </c>
      <c r="M29" s="89">
        <f t="shared" si="4"/>
        <v>46188</v>
      </c>
      <c r="N29" s="90">
        <v>20</v>
      </c>
      <c r="O29" s="88">
        <v>0.67708333333333337</v>
      </c>
      <c r="P29" s="90">
        <v>16</v>
      </c>
      <c r="Q29" s="88">
        <v>0.39583333333333331</v>
      </c>
      <c r="R29" s="91">
        <f>S29+T29</f>
        <v>571</v>
      </c>
      <c r="S29" s="87">
        <v>339</v>
      </c>
      <c r="T29" s="87">
        <v>232</v>
      </c>
      <c r="U29" s="89">
        <v>46188</v>
      </c>
      <c r="V29" s="90">
        <v>32</v>
      </c>
      <c r="W29" s="88">
        <v>0.60416666666666663</v>
      </c>
      <c r="X29" s="87">
        <v>574</v>
      </c>
    </row>
    <row r="30" spans="2:24" ht="15.75" thickBot="1" x14ac:dyDescent="0.3">
      <c r="B30" s="89">
        <f t="shared" si="5"/>
        <v>46189</v>
      </c>
      <c r="D30" s="170">
        <v>116</v>
      </c>
      <c r="E30" s="88">
        <v>0.47916666666666669</v>
      </c>
      <c r="F30" s="87">
        <v>1370</v>
      </c>
      <c r="G30" s="92">
        <f t="shared" si="6"/>
        <v>918</v>
      </c>
      <c r="H30" s="87">
        <v>452</v>
      </c>
      <c r="I30" s="89">
        <f t="shared" si="3"/>
        <v>46189</v>
      </c>
      <c r="J30" s="90">
        <v>33</v>
      </c>
      <c r="K30" s="88">
        <v>0.64583333333333337</v>
      </c>
      <c r="L30" s="87">
        <v>665</v>
      </c>
      <c r="M30" s="89">
        <f t="shared" si="4"/>
        <v>46189</v>
      </c>
      <c r="N30" s="90">
        <v>21</v>
      </c>
      <c r="O30" s="88">
        <v>0.36458333333333331</v>
      </c>
      <c r="P30" s="90">
        <v>14</v>
      </c>
      <c r="Q30" s="88">
        <v>0.70833333333333337</v>
      </c>
      <c r="R30" s="91">
        <f>S30+T30</f>
        <v>572</v>
      </c>
      <c r="S30" s="87">
        <v>340</v>
      </c>
      <c r="T30" s="87">
        <v>232</v>
      </c>
      <c r="U30" s="89">
        <v>46189</v>
      </c>
      <c r="V30" s="90">
        <v>29</v>
      </c>
      <c r="W30" s="88">
        <v>0.44791666666666669</v>
      </c>
      <c r="X30" s="87">
        <v>570</v>
      </c>
    </row>
    <row r="31" spans="2:24" ht="15.75" thickBot="1" x14ac:dyDescent="0.3">
      <c r="B31" s="89">
        <f t="shared" si="5"/>
        <v>46190</v>
      </c>
      <c r="D31" s="170">
        <v>117.4</v>
      </c>
      <c r="E31" s="88">
        <v>0.34375</v>
      </c>
      <c r="F31" s="87">
        <v>1336.89</v>
      </c>
      <c r="G31" s="92">
        <f t="shared" si="6"/>
        <v>901.00000000000011</v>
      </c>
      <c r="H31" s="87">
        <v>435.89</v>
      </c>
      <c r="I31" s="89">
        <f t="shared" si="3"/>
        <v>46190</v>
      </c>
      <c r="J31" s="90">
        <v>32.19</v>
      </c>
      <c r="K31" s="88">
        <v>0.25</v>
      </c>
      <c r="L31" s="87">
        <v>652.65</v>
      </c>
      <c r="M31" s="89">
        <f t="shared" si="4"/>
        <v>46190</v>
      </c>
      <c r="N31" s="90">
        <v>22.44</v>
      </c>
      <c r="O31" s="88">
        <v>0.61458333333333337</v>
      </c>
      <c r="P31" s="90">
        <v>14.53</v>
      </c>
      <c r="Q31" s="88">
        <v>0.27083333333333331</v>
      </c>
      <c r="R31" s="91">
        <f>S31+T31</f>
        <v>568.70000000000005</v>
      </c>
      <c r="S31" s="87">
        <v>338.45</v>
      </c>
      <c r="T31" s="87">
        <v>230.25</v>
      </c>
      <c r="U31" s="89">
        <v>46190</v>
      </c>
      <c r="V31" s="90">
        <v>28</v>
      </c>
      <c r="W31" s="88">
        <v>0.625</v>
      </c>
      <c r="X31" s="87">
        <v>557.70000000000005</v>
      </c>
    </row>
    <row r="32" spans="2:24" ht="15.75" thickBot="1" x14ac:dyDescent="0.3">
      <c r="B32" s="89">
        <f t="shared" si="5"/>
        <v>46191</v>
      </c>
      <c r="D32" s="170">
        <v>104.66</v>
      </c>
      <c r="E32" s="88">
        <v>0.53125</v>
      </c>
      <c r="F32" s="87">
        <v>1342.3</v>
      </c>
      <c r="G32" s="92">
        <f t="shared" si="6"/>
        <v>907.8</v>
      </c>
      <c r="H32" s="87">
        <v>434.5</v>
      </c>
      <c r="I32" s="89">
        <f t="shared" si="3"/>
        <v>46191</v>
      </c>
      <c r="J32" s="90">
        <v>33</v>
      </c>
      <c r="K32" s="88">
        <v>0.60416666666666663</v>
      </c>
      <c r="L32" s="87">
        <v>668</v>
      </c>
      <c r="M32" s="89">
        <f t="shared" si="4"/>
        <v>46191</v>
      </c>
      <c r="N32" s="90">
        <v>21</v>
      </c>
      <c r="O32" s="88">
        <v>0.71875</v>
      </c>
      <c r="P32" s="90">
        <v>15</v>
      </c>
      <c r="Q32" s="88">
        <v>0.46875</v>
      </c>
      <c r="R32" s="91">
        <f t="shared" ref="R32:R44" si="8">S32+T32</f>
        <v>576.29999999999995</v>
      </c>
      <c r="S32" s="87">
        <v>347.5</v>
      </c>
      <c r="T32" s="87">
        <v>228.8</v>
      </c>
      <c r="U32" s="89">
        <v>46191</v>
      </c>
      <c r="V32" s="90">
        <v>28</v>
      </c>
      <c r="W32" s="88">
        <v>0.625</v>
      </c>
      <c r="X32" s="87">
        <v>558</v>
      </c>
    </row>
    <row r="33" spans="2:24" ht="15.75" thickBot="1" x14ac:dyDescent="0.3">
      <c r="B33" s="89">
        <f t="shared" si="5"/>
        <v>46192</v>
      </c>
      <c r="D33" s="170"/>
      <c r="E33" s="171"/>
      <c r="F33" s="172"/>
      <c r="G33" s="181">
        <f t="shared" si="6"/>
        <v>0</v>
      </c>
      <c r="H33" s="172"/>
      <c r="I33" s="173">
        <f t="shared" si="3"/>
        <v>46192</v>
      </c>
      <c r="J33" s="170"/>
      <c r="K33" s="171"/>
      <c r="L33" s="172"/>
      <c r="M33" s="173">
        <f t="shared" si="4"/>
        <v>46192</v>
      </c>
      <c r="N33" s="170"/>
      <c r="O33" s="171"/>
      <c r="P33" s="170"/>
      <c r="Q33" s="171"/>
      <c r="R33" s="91">
        <f t="shared" si="8"/>
        <v>0</v>
      </c>
      <c r="S33" s="172"/>
      <c r="T33" s="172"/>
      <c r="U33" s="89">
        <v>46192</v>
      </c>
      <c r="V33" s="170"/>
      <c r="W33" s="171"/>
      <c r="X33" s="172"/>
    </row>
    <row r="34" spans="2:24" ht="15.75" thickBot="1" x14ac:dyDescent="0.3">
      <c r="B34" s="89">
        <f t="shared" si="5"/>
        <v>46193</v>
      </c>
      <c r="D34" s="170"/>
      <c r="E34" s="88"/>
      <c r="F34" s="87"/>
      <c r="G34" s="92">
        <f t="shared" si="6"/>
        <v>0</v>
      </c>
      <c r="H34" s="87"/>
      <c r="I34" s="89">
        <f t="shared" si="3"/>
        <v>46193</v>
      </c>
      <c r="J34" s="90"/>
      <c r="K34" s="88"/>
      <c r="L34" s="87"/>
      <c r="M34" s="89">
        <f t="shared" si="4"/>
        <v>46193</v>
      </c>
      <c r="N34" s="90"/>
      <c r="O34" s="88"/>
      <c r="P34" s="90"/>
      <c r="Q34" s="88"/>
      <c r="R34" s="91">
        <f t="shared" si="8"/>
        <v>0</v>
      </c>
      <c r="S34" s="87"/>
      <c r="T34" s="87"/>
      <c r="U34" s="89">
        <v>46193</v>
      </c>
      <c r="V34" s="90"/>
      <c r="W34" s="88"/>
      <c r="X34" s="87"/>
    </row>
    <row r="35" spans="2:24" ht="15.75" thickBot="1" x14ac:dyDescent="0.3">
      <c r="B35" s="89">
        <f t="shared" si="5"/>
        <v>46194</v>
      </c>
      <c r="D35" s="170"/>
      <c r="E35" s="88"/>
      <c r="F35" s="87"/>
      <c r="G35" s="92">
        <f t="shared" si="6"/>
        <v>0</v>
      </c>
      <c r="H35" s="87"/>
      <c r="I35" s="89">
        <f t="shared" si="3"/>
        <v>46194</v>
      </c>
      <c r="J35" s="90"/>
      <c r="K35" s="88"/>
      <c r="L35" s="87"/>
      <c r="M35" s="89">
        <f t="shared" si="4"/>
        <v>46194</v>
      </c>
      <c r="N35" s="90"/>
      <c r="O35" s="88"/>
      <c r="P35" s="90"/>
      <c r="Q35" s="88"/>
      <c r="R35" s="91">
        <f t="shared" si="8"/>
        <v>0</v>
      </c>
      <c r="S35" s="87"/>
      <c r="T35" s="87"/>
      <c r="U35" s="89">
        <v>46194</v>
      </c>
      <c r="V35" s="90"/>
      <c r="W35" s="88"/>
      <c r="X35" s="87"/>
    </row>
    <row r="36" spans="2:24" ht="15.75" thickBot="1" x14ac:dyDescent="0.3">
      <c r="B36" s="89">
        <f t="shared" si="5"/>
        <v>46195</v>
      </c>
      <c r="D36" s="170"/>
      <c r="E36" s="88"/>
      <c r="F36" s="87"/>
      <c r="G36" s="92">
        <f t="shared" si="6"/>
        <v>0</v>
      </c>
      <c r="H36" s="87"/>
      <c r="I36" s="89">
        <f t="shared" si="3"/>
        <v>46195</v>
      </c>
      <c r="J36" s="90"/>
      <c r="K36" s="88"/>
      <c r="L36" s="87"/>
      <c r="M36" s="89">
        <f t="shared" si="4"/>
        <v>46195</v>
      </c>
      <c r="N36" s="90"/>
      <c r="O36" s="88"/>
      <c r="P36" s="90"/>
      <c r="Q36" s="88"/>
      <c r="R36" s="91">
        <f t="shared" si="8"/>
        <v>0</v>
      </c>
      <c r="S36" s="87"/>
      <c r="T36" s="87"/>
      <c r="U36" s="89">
        <v>46195</v>
      </c>
      <c r="V36" s="90"/>
      <c r="W36" s="88"/>
      <c r="X36" s="87"/>
    </row>
    <row r="37" spans="2:24" ht="15.75" thickBot="1" x14ac:dyDescent="0.3">
      <c r="B37" s="89">
        <f t="shared" si="5"/>
        <v>46196</v>
      </c>
      <c r="D37" s="170"/>
      <c r="E37" s="88"/>
      <c r="F37" s="87"/>
      <c r="G37" s="92">
        <f t="shared" si="6"/>
        <v>0</v>
      </c>
      <c r="H37" s="87"/>
      <c r="I37" s="89">
        <f t="shared" si="3"/>
        <v>46196</v>
      </c>
      <c r="J37" s="90"/>
      <c r="K37" s="88"/>
      <c r="L37" s="87"/>
      <c r="M37" s="89">
        <f t="shared" si="4"/>
        <v>46196</v>
      </c>
      <c r="N37" s="90"/>
      <c r="O37" s="88"/>
      <c r="P37" s="90"/>
      <c r="Q37" s="88"/>
      <c r="R37" s="91">
        <f t="shared" si="8"/>
        <v>0</v>
      </c>
      <c r="S37" s="87"/>
      <c r="T37" s="87"/>
      <c r="U37" s="89">
        <v>46196</v>
      </c>
      <c r="V37" s="90"/>
      <c r="W37" s="88"/>
      <c r="X37" s="87"/>
    </row>
    <row r="38" spans="2:24" ht="15.75" thickBot="1" x14ac:dyDescent="0.3">
      <c r="B38" s="89">
        <f t="shared" si="5"/>
        <v>46197</v>
      </c>
      <c r="D38" s="170"/>
      <c r="E38" s="88"/>
      <c r="F38" s="87"/>
      <c r="G38" s="92">
        <f t="shared" si="6"/>
        <v>0</v>
      </c>
      <c r="H38" s="87"/>
      <c r="I38" s="89">
        <f t="shared" si="3"/>
        <v>46197</v>
      </c>
      <c r="J38" s="90"/>
      <c r="K38" s="88"/>
      <c r="L38" s="87"/>
      <c r="M38" s="89">
        <f t="shared" si="4"/>
        <v>46197</v>
      </c>
      <c r="N38" s="90"/>
      <c r="O38" s="88"/>
      <c r="P38" s="90"/>
      <c r="Q38" s="88"/>
      <c r="R38" s="91">
        <f t="shared" si="8"/>
        <v>0</v>
      </c>
      <c r="S38" s="87"/>
      <c r="T38" s="87"/>
      <c r="U38" s="89">
        <v>46197</v>
      </c>
      <c r="V38" s="90"/>
      <c r="W38" s="88"/>
      <c r="X38" s="87"/>
    </row>
    <row r="39" spans="2:24" ht="15.75" thickBot="1" x14ac:dyDescent="0.3">
      <c r="B39" s="89">
        <f t="shared" si="5"/>
        <v>46198</v>
      </c>
      <c r="D39" s="170"/>
      <c r="E39" s="88"/>
      <c r="F39" s="87"/>
      <c r="G39" s="92">
        <f t="shared" si="6"/>
        <v>0</v>
      </c>
      <c r="H39" s="87"/>
      <c r="I39" s="89">
        <f t="shared" si="3"/>
        <v>46198</v>
      </c>
      <c r="J39" s="90"/>
      <c r="K39" s="88"/>
      <c r="L39" s="87"/>
      <c r="M39" s="89">
        <f t="shared" si="4"/>
        <v>46198</v>
      </c>
      <c r="N39" s="90"/>
      <c r="O39" s="88"/>
      <c r="P39" s="90"/>
      <c r="Q39" s="88"/>
      <c r="R39" s="91">
        <f t="shared" si="8"/>
        <v>0</v>
      </c>
      <c r="S39" s="87"/>
      <c r="T39" s="87"/>
      <c r="U39" s="89">
        <v>46198</v>
      </c>
      <c r="V39" s="90"/>
      <c r="W39" s="88"/>
      <c r="X39" s="87"/>
    </row>
    <row r="40" spans="2:24" ht="15.75" thickBot="1" x14ac:dyDescent="0.3">
      <c r="B40" s="89">
        <f t="shared" si="5"/>
        <v>46199</v>
      </c>
      <c r="D40" s="170"/>
      <c r="E40" s="171"/>
      <c r="F40" s="172"/>
      <c r="G40" s="92">
        <f t="shared" si="6"/>
        <v>0</v>
      </c>
      <c r="H40" s="172"/>
      <c r="I40" s="173">
        <f t="shared" si="3"/>
        <v>46199</v>
      </c>
      <c r="J40" s="170"/>
      <c r="K40" s="171"/>
      <c r="L40" s="172"/>
      <c r="M40" s="173">
        <f t="shared" si="4"/>
        <v>46199</v>
      </c>
      <c r="N40" s="170"/>
      <c r="O40" s="171"/>
      <c r="P40" s="170"/>
      <c r="Q40" s="171"/>
      <c r="R40" s="91">
        <f t="shared" si="8"/>
        <v>0</v>
      </c>
      <c r="S40" s="172"/>
      <c r="T40" s="172"/>
      <c r="U40" s="89">
        <v>46199</v>
      </c>
      <c r="V40" s="170"/>
      <c r="W40" s="171"/>
      <c r="X40" s="172"/>
    </row>
    <row r="41" spans="2:24" ht="15.75" thickBot="1" x14ac:dyDescent="0.3">
      <c r="B41" s="89">
        <f t="shared" si="5"/>
        <v>46200</v>
      </c>
      <c r="D41" s="170"/>
      <c r="E41" s="88"/>
      <c r="F41" s="87"/>
      <c r="G41" s="92">
        <f t="shared" si="6"/>
        <v>0</v>
      </c>
      <c r="H41" s="87"/>
      <c r="I41" s="89">
        <f t="shared" si="3"/>
        <v>46200</v>
      </c>
      <c r="J41" s="90"/>
      <c r="K41" s="88"/>
      <c r="L41" s="87"/>
      <c r="M41" s="89">
        <f t="shared" si="4"/>
        <v>46200</v>
      </c>
      <c r="N41" s="90"/>
      <c r="O41" s="88"/>
      <c r="P41" s="90"/>
      <c r="Q41" s="88"/>
      <c r="R41" s="91">
        <f t="shared" si="8"/>
        <v>0</v>
      </c>
      <c r="S41" s="87"/>
      <c r="T41" s="87"/>
      <c r="U41" s="89">
        <v>46200</v>
      </c>
      <c r="V41" s="90"/>
      <c r="W41" s="88"/>
      <c r="X41" s="87"/>
    </row>
    <row r="42" spans="2:24" ht="15.75" thickBot="1" x14ac:dyDescent="0.3">
      <c r="B42" s="89">
        <f t="shared" si="5"/>
        <v>46201</v>
      </c>
      <c r="D42" s="170"/>
      <c r="E42" s="88"/>
      <c r="F42" s="87"/>
      <c r="G42" s="92">
        <f t="shared" si="6"/>
        <v>0</v>
      </c>
      <c r="H42" s="87"/>
      <c r="I42" s="89">
        <f t="shared" si="3"/>
        <v>46201</v>
      </c>
      <c r="J42" s="90"/>
      <c r="K42" s="88"/>
      <c r="L42" s="87"/>
      <c r="M42" s="89">
        <f t="shared" si="4"/>
        <v>46201</v>
      </c>
      <c r="N42" s="90"/>
      <c r="O42" s="88"/>
      <c r="P42" s="90"/>
      <c r="Q42" s="88"/>
      <c r="R42" s="91">
        <f t="shared" si="8"/>
        <v>0</v>
      </c>
      <c r="S42" s="87"/>
      <c r="T42" s="87"/>
      <c r="U42" s="89">
        <v>46201</v>
      </c>
      <c r="V42" s="90"/>
      <c r="W42" s="88"/>
      <c r="X42" s="87"/>
    </row>
    <row r="43" spans="2:24" ht="15.75" thickBot="1" x14ac:dyDescent="0.3">
      <c r="B43" s="89">
        <f t="shared" si="5"/>
        <v>46202</v>
      </c>
      <c r="D43" s="170"/>
      <c r="E43" s="88"/>
      <c r="F43" s="87"/>
      <c r="G43" s="92">
        <f t="shared" si="6"/>
        <v>0</v>
      </c>
      <c r="H43" s="87"/>
      <c r="I43" s="89">
        <f t="shared" si="3"/>
        <v>46202</v>
      </c>
      <c r="J43" s="90"/>
      <c r="K43" s="88"/>
      <c r="L43" s="87"/>
      <c r="M43" s="173">
        <f t="shared" si="4"/>
        <v>46202</v>
      </c>
      <c r="N43" s="90"/>
      <c r="O43" s="88"/>
      <c r="P43" s="90"/>
      <c r="Q43" s="88"/>
      <c r="R43" s="91">
        <f t="shared" si="8"/>
        <v>0</v>
      </c>
      <c r="S43" s="87"/>
      <c r="T43" s="87"/>
      <c r="U43" s="89">
        <v>46202</v>
      </c>
      <c r="V43" s="90"/>
      <c r="W43" s="88"/>
      <c r="X43" s="87"/>
    </row>
    <row r="44" spans="2:24" ht="15.75" thickBot="1" x14ac:dyDescent="0.3">
      <c r="B44" s="89">
        <f t="shared" si="5"/>
        <v>46203</v>
      </c>
      <c r="D44" s="170"/>
      <c r="E44" s="88"/>
      <c r="F44" s="87"/>
      <c r="G44" s="92">
        <f t="shared" si="6"/>
        <v>0</v>
      </c>
      <c r="H44" s="87"/>
      <c r="I44" s="89">
        <f t="shared" si="3"/>
        <v>46203</v>
      </c>
      <c r="J44" s="90"/>
      <c r="K44" s="88"/>
      <c r="L44" s="87"/>
      <c r="M44" s="89">
        <f t="shared" si="4"/>
        <v>46203</v>
      </c>
      <c r="N44" s="90"/>
      <c r="O44" s="88"/>
      <c r="P44" s="90"/>
      <c r="Q44" s="88"/>
      <c r="R44" s="91">
        <f t="shared" si="8"/>
        <v>0</v>
      </c>
      <c r="S44" s="87"/>
      <c r="T44" s="87"/>
      <c r="U44" s="89">
        <v>46203</v>
      </c>
      <c r="V44" s="90"/>
      <c r="W44" s="88"/>
      <c r="X44" s="87"/>
    </row>
    <row r="45" spans="2:24" x14ac:dyDescent="0.25">
      <c r="B45" s="89">
        <f t="shared" si="5"/>
        <v>46204</v>
      </c>
      <c r="D45" s="170"/>
      <c r="E45" s="171"/>
      <c r="F45" s="172"/>
      <c r="G45" s="92">
        <f t="shared" si="6"/>
        <v>0</v>
      </c>
      <c r="H45" s="172"/>
      <c r="I45" s="89">
        <f t="shared" si="3"/>
        <v>46204</v>
      </c>
      <c r="J45" s="170"/>
      <c r="K45" s="171"/>
      <c r="L45" s="172"/>
      <c r="M45" s="89">
        <f t="shared" ref="M45" si="9">B45</f>
        <v>46204</v>
      </c>
      <c r="N45" s="170"/>
      <c r="O45" s="171"/>
      <c r="P45" s="170"/>
      <c r="Q45" s="171"/>
      <c r="R45" s="91">
        <f t="shared" ref="R45" si="10">S45+T45</f>
        <v>0</v>
      </c>
      <c r="S45" s="172"/>
      <c r="T45" s="172"/>
      <c r="U45" s="89">
        <v>46204</v>
      </c>
      <c r="V45" s="170"/>
      <c r="W45" s="171"/>
      <c r="X45" s="172"/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 t="shared" ref="E48:E78" si="11">F14/J48</f>
        <v>0.3102880658436214</v>
      </c>
      <c r="F48" s="177">
        <f t="shared" ref="F48:F78" si="12">L14/J48</f>
        <v>0.26625514403292183</v>
      </c>
      <c r="G48" s="177">
        <f t="shared" ref="G48:G78" si="13">S14/J48</f>
        <v>0.13045267489711934</v>
      </c>
      <c r="H48" s="177">
        <f t="shared" ref="H48:H78" si="14">T14/J48</f>
        <v>6.5020576131687241E-2</v>
      </c>
      <c r="I48" s="177">
        <f t="shared" ref="I48:I78" si="15">X14/J48</f>
        <v>0.22798353909465022</v>
      </c>
      <c r="J48" s="178">
        <f>F14+L14+S14+T14+X14</f>
        <v>2430</v>
      </c>
    </row>
    <row r="49" spans="4:10" x14ac:dyDescent="0.25">
      <c r="D49" s="179">
        <v>45839</v>
      </c>
      <c r="E49" s="177">
        <f t="shared" si="11"/>
        <v>0.41137123745819398</v>
      </c>
      <c r="F49" s="177">
        <f t="shared" si="12"/>
        <v>0.21739130434782608</v>
      </c>
      <c r="G49" s="177">
        <f t="shared" si="13"/>
        <v>0.11036789297658862</v>
      </c>
      <c r="H49" s="177">
        <f t="shared" si="14"/>
        <v>7.6923076923076927E-2</v>
      </c>
      <c r="I49" s="177">
        <f t="shared" si="15"/>
        <v>0.18394648829431437</v>
      </c>
      <c r="J49" s="178">
        <f t="shared" ref="J49:J78" si="16">F15+L15+S15+T15+X15</f>
        <v>2990</v>
      </c>
    </row>
    <row r="50" spans="4:10" x14ac:dyDescent="0.25">
      <c r="D50" s="179">
        <v>45840</v>
      </c>
      <c r="E50" s="177">
        <f t="shared" si="11"/>
        <v>0.4134583193839973</v>
      </c>
      <c r="F50" s="177">
        <f t="shared" si="12"/>
        <v>0.21760964178105122</v>
      </c>
      <c r="G50" s="177">
        <f t="shared" si="13"/>
        <v>0.10713090056913291</v>
      </c>
      <c r="H50" s="177">
        <f t="shared" si="14"/>
        <v>7.7335118848342821E-2</v>
      </c>
      <c r="I50" s="177">
        <f t="shared" si="15"/>
        <v>0.18446601941747573</v>
      </c>
      <c r="J50" s="178">
        <f t="shared" si="16"/>
        <v>2987</v>
      </c>
    </row>
    <row r="51" spans="4:10" x14ac:dyDescent="0.25">
      <c r="D51" s="179">
        <v>45841</v>
      </c>
      <c r="E51" s="177">
        <f t="shared" si="11"/>
        <v>0.42529107373868047</v>
      </c>
      <c r="F51" s="177">
        <f t="shared" si="12"/>
        <v>0.21248382923673997</v>
      </c>
      <c r="G51" s="177">
        <f t="shared" si="13"/>
        <v>0.1073738680465718</v>
      </c>
      <c r="H51" s="177">
        <f t="shared" si="14"/>
        <v>7.5032341526520052E-2</v>
      </c>
      <c r="I51" s="177">
        <f t="shared" si="15"/>
        <v>0.17981888745148772</v>
      </c>
      <c r="J51" s="178">
        <f t="shared" si="16"/>
        <v>3092</v>
      </c>
    </row>
    <row r="52" spans="4:10" x14ac:dyDescent="0.25">
      <c r="D52" s="179">
        <v>45842</v>
      </c>
      <c r="E52" s="177">
        <f t="shared" si="11"/>
        <v>0.41571659881260953</v>
      </c>
      <c r="F52" s="177">
        <f t="shared" si="12"/>
        <v>0.21694530141194185</v>
      </c>
      <c r="G52" s="177">
        <f t="shared" si="13"/>
        <v>0.11042664765420417</v>
      </c>
      <c r="H52" s="177">
        <f t="shared" si="14"/>
        <v>7.7903342950618681E-2</v>
      </c>
      <c r="I52" s="177">
        <f t="shared" si="15"/>
        <v>0.17900810917062573</v>
      </c>
      <c r="J52" s="178">
        <f t="shared" si="16"/>
        <v>3001.54</v>
      </c>
    </row>
    <row r="53" spans="4:10" x14ac:dyDescent="0.25">
      <c r="D53" s="179">
        <v>45843</v>
      </c>
      <c r="E53" s="177">
        <f t="shared" si="11"/>
        <v>0.41555851063829785</v>
      </c>
      <c r="F53" s="177">
        <f t="shared" si="12"/>
        <v>0.21276595744680851</v>
      </c>
      <c r="G53" s="177">
        <f t="shared" si="13"/>
        <v>0.109375</v>
      </c>
      <c r="H53" s="177">
        <f t="shared" si="14"/>
        <v>7.7460106382978719E-2</v>
      </c>
      <c r="I53" s="177">
        <f t="shared" si="15"/>
        <v>0.1848404255319149</v>
      </c>
      <c r="J53" s="178">
        <f t="shared" si="16"/>
        <v>3008</v>
      </c>
    </row>
    <row r="54" spans="4:10" x14ac:dyDescent="0.25">
      <c r="D54" s="179">
        <v>45844</v>
      </c>
      <c r="E54" s="177">
        <f t="shared" si="11"/>
        <v>0.34958710184821079</v>
      </c>
      <c r="F54" s="177">
        <f t="shared" si="12"/>
        <v>0.24537947306331104</v>
      </c>
      <c r="G54" s="177">
        <f t="shared" si="13"/>
        <v>0.12583562721195438</v>
      </c>
      <c r="H54" s="177">
        <f t="shared" si="14"/>
        <v>7.9826976012583567E-2</v>
      </c>
      <c r="I54" s="177">
        <f t="shared" si="15"/>
        <v>0.19937082186394023</v>
      </c>
      <c r="J54" s="178">
        <f t="shared" si="16"/>
        <v>2543</v>
      </c>
    </row>
    <row r="55" spans="4:10" x14ac:dyDescent="0.25">
      <c r="D55" s="179">
        <v>45845</v>
      </c>
      <c r="E55" s="177">
        <f t="shared" si="11"/>
        <v>1</v>
      </c>
      <c r="F55" s="177">
        <f>L21/J55</f>
        <v>0</v>
      </c>
      <c r="G55" s="177">
        <f>S21/J55</f>
        <v>0</v>
      </c>
      <c r="H55" s="177">
        <f>T21/J55</f>
        <v>0</v>
      </c>
      <c r="I55" s="177">
        <f>X21/J55</f>
        <v>0</v>
      </c>
      <c r="J55" s="178">
        <f>F21+L21+S21+T21+X21</f>
        <v>790</v>
      </c>
    </row>
    <row r="56" spans="4:10" x14ac:dyDescent="0.25">
      <c r="D56" s="179">
        <v>45846</v>
      </c>
      <c r="E56" s="177">
        <f t="shared" si="11"/>
        <v>0.42625039821599237</v>
      </c>
      <c r="F56" s="177">
        <f>L22/J56</f>
        <v>0.20993947116916215</v>
      </c>
      <c r="G56" s="177">
        <f>S22/J56</f>
        <v>0.10544759477540618</v>
      </c>
      <c r="H56" s="177">
        <f>T22/J56</f>
        <v>7.3271742593182546E-2</v>
      </c>
      <c r="I56" s="177">
        <f>X22/J56</f>
        <v>0.18509079324625677</v>
      </c>
      <c r="J56" s="178">
        <f>F22+L22+S22+T22+X22</f>
        <v>3139</v>
      </c>
    </row>
    <row r="57" spans="4:10" x14ac:dyDescent="0.25">
      <c r="D57" s="179">
        <v>45847</v>
      </c>
      <c r="E57" s="177">
        <f t="shared" si="11"/>
        <v>0.42707340324118209</v>
      </c>
      <c r="F57" s="177">
        <f>L23/J57</f>
        <v>0.20908802033682872</v>
      </c>
      <c r="G57" s="177">
        <f>S23/J57</f>
        <v>0.10517953606609469</v>
      </c>
      <c r="H57" s="177">
        <f>T23/J57</f>
        <v>7.2449952335557677E-2</v>
      </c>
      <c r="I57" s="177">
        <f>X23/J57</f>
        <v>0.18620908802033684</v>
      </c>
      <c r="J57" s="178">
        <f>F23+L23+S23+T23+X23</f>
        <v>3147</v>
      </c>
    </row>
    <row r="58" spans="4:10" x14ac:dyDescent="0.25">
      <c r="D58" s="179">
        <v>45848</v>
      </c>
      <c r="E58" s="177">
        <f t="shared" si="11"/>
        <v>0.43478260869565216</v>
      </c>
      <c r="F58" s="177">
        <f>L24/J58</f>
        <v>0.21072675341161537</v>
      </c>
      <c r="G58" s="177">
        <f>S24/J58</f>
        <v>0.10377657886385275</v>
      </c>
      <c r="H58" s="177">
        <f>T24/J58</f>
        <v>7.3944779435099972E-2</v>
      </c>
      <c r="I58" s="177">
        <f>X24/J58</f>
        <v>0.17676927959377975</v>
      </c>
      <c r="J58" s="178">
        <f>F24+L24+S24+T24+X24</f>
        <v>3151</v>
      </c>
    </row>
    <row r="59" spans="4:10" x14ac:dyDescent="0.25">
      <c r="D59" s="179">
        <v>45849</v>
      </c>
      <c r="E59" s="177">
        <f t="shared" si="11"/>
        <v>0.44564526382708203</v>
      </c>
      <c r="F59" s="177">
        <f>L25/J59</f>
        <v>0.21296884933248569</v>
      </c>
      <c r="G59" s="177">
        <f>S25/J59</f>
        <v>0.10457724094087731</v>
      </c>
      <c r="H59" s="177">
        <f>T25/J59</f>
        <v>7.3426573426573424E-2</v>
      </c>
      <c r="I59" s="177">
        <f>X25/J59</f>
        <v>0.16338207247298156</v>
      </c>
      <c r="J59" s="178">
        <f>F25+L25+S25+T25+X25</f>
        <v>3146</v>
      </c>
    </row>
    <row r="60" spans="4:10" x14ac:dyDescent="0.25">
      <c r="D60" s="179">
        <v>45850</v>
      </c>
      <c r="E60" s="177">
        <f t="shared" si="11"/>
        <v>0.42672841548130996</v>
      </c>
      <c r="F60" s="177">
        <f>L26/J60</f>
        <v>0.21501819384717169</v>
      </c>
      <c r="G60" s="177">
        <f>S26/J60</f>
        <v>0.10883228580879921</v>
      </c>
      <c r="H60" s="177">
        <f>T26/J60</f>
        <v>7.5752563678465099E-2</v>
      </c>
      <c r="I60" s="177">
        <f>X26/J60</f>
        <v>0.17366854118425407</v>
      </c>
      <c r="J60" s="178">
        <f>F26+L26+S26+T26+X26</f>
        <v>3023</v>
      </c>
    </row>
    <row r="61" spans="4:10" x14ac:dyDescent="0.25">
      <c r="D61" s="179">
        <v>45851</v>
      </c>
      <c r="E61" s="177">
        <f t="shared" si="11"/>
        <v>0.34429400386847198</v>
      </c>
      <c r="F61" s="177">
        <f>L27/J61</f>
        <v>0.24564796905222436</v>
      </c>
      <c r="G61" s="177">
        <f>S27/J61</f>
        <v>0.12379110251450677</v>
      </c>
      <c r="H61" s="177">
        <f>T27/J61</f>
        <v>7.9303675048355893E-2</v>
      </c>
      <c r="I61" s="177">
        <f>X27/J61</f>
        <v>0.20696324951644102</v>
      </c>
      <c r="J61" s="178">
        <f>F27+L27+S27+T27+X27</f>
        <v>2585</v>
      </c>
    </row>
    <row r="62" spans="4:10" x14ac:dyDescent="0.25">
      <c r="D62" s="179">
        <v>45852</v>
      </c>
      <c r="E62" s="177">
        <f t="shared" si="11"/>
        <v>0.31961646024770274</v>
      </c>
      <c r="F62" s="177">
        <f>L28/J62</f>
        <v>0.25569316819816218</v>
      </c>
      <c r="G62" s="177">
        <f>S28/J62</f>
        <v>0.12784658409908109</v>
      </c>
      <c r="H62" s="177">
        <f>T28/J62</f>
        <v>8.1102676787854572E-2</v>
      </c>
      <c r="I62" s="177">
        <f>X28/J62</f>
        <v>0.21574111066719937</v>
      </c>
      <c r="J62" s="178">
        <f>F28+L28+S28+T28+X28</f>
        <v>2503</v>
      </c>
    </row>
    <row r="63" spans="4:10" x14ac:dyDescent="0.25">
      <c r="D63" s="179">
        <v>45853</v>
      </c>
      <c r="E63" s="177">
        <f t="shared" si="11"/>
        <v>0.41523500810372771</v>
      </c>
      <c r="F63" s="177">
        <f>L29/J63</f>
        <v>0.21361426256077795</v>
      </c>
      <c r="G63" s="177">
        <f>S29/J63</f>
        <v>0.10988654781199352</v>
      </c>
      <c r="H63" s="177">
        <f>T29/J63</f>
        <v>7.5202593192868719E-2</v>
      </c>
      <c r="I63" s="177">
        <f>X29/J63</f>
        <v>0.18606158833063208</v>
      </c>
      <c r="J63" s="178">
        <f>F29+L29+S29+T29+X29</f>
        <v>3085</v>
      </c>
    </row>
    <row r="64" spans="4:10" x14ac:dyDescent="0.25">
      <c r="D64" s="179">
        <v>45854</v>
      </c>
      <c r="E64" s="177">
        <f t="shared" si="11"/>
        <v>0.43122442555870316</v>
      </c>
      <c r="F64" s="177">
        <f>L30/J64</f>
        <v>0.20931696569090336</v>
      </c>
      <c r="G64" s="177">
        <f>S30/J64</f>
        <v>0.10701920050361977</v>
      </c>
      <c r="H64" s="177">
        <f>T30/J64</f>
        <v>7.3024866225999366E-2</v>
      </c>
      <c r="I64" s="177">
        <f>X30/J64</f>
        <v>0.17941454202077431</v>
      </c>
      <c r="J64" s="178">
        <f>F30+L30+S30+T30+X30</f>
        <v>3177</v>
      </c>
    </row>
    <row r="65" spans="4:10" x14ac:dyDescent="0.25">
      <c r="D65" s="179">
        <v>45855</v>
      </c>
      <c r="E65" s="177">
        <f t="shared" si="11"/>
        <v>0.42904869798519879</v>
      </c>
      <c r="F65" s="177">
        <f>L31/J65</f>
        <v>0.20945525266853665</v>
      </c>
      <c r="G65" s="177">
        <f>S31/J65</f>
        <v>0.10861890793789356</v>
      </c>
      <c r="H65" s="177">
        <f>T31/J65</f>
        <v>7.3894234163687372E-2</v>
      </c>
      <c r="I65" s="177">
        <f>X31/J65</f>
        <v>0.17898290724468383</v>
      </c>
      <c r="J65" s="178">
        <f>F31+L31+S31+T31+X31</f>
        <v>3115.9399999999996</v>
      </c>
    </row>
    <row r="66" spans="4:10" x14ac:dyDescent="0.25">
      <c r="D66" s="179">
        <v>45856</v>
      </c>
      <c r="E66" s="177">
        <f t="shared" si="11"/>
        <v>0.42685874197036183</v>
      </c>
      <c r="F66" s="177">
        <f t="shared" si="12"/>
        <v>0.21242765375564457</v>
      </c>
      <c r="G66" s="177">
        <f t="shared" si="13"/>
        <v>0.11050690071869235</v>
      </c>
      <c r="H66" s="177">
        <f t="shared" si="14"/>
        <v>7.2759651466005215E-2</v>
      </c>
      <c r="I66" s="177">
        <f t="shared" si="15"/>
        <v>0.17744705208929593</v>
      </c>
      <c r="J66" s="178">
        <f t="shared" si="16"/>
        <v>3144.6000000000004</v>
      </c>
    </row>
    <row r="67" spans="4:10" x14ac:dyDescent="0.25">
      <c r="D67" s="179">
        <v>45857</v>
      </c>
      <c r="E67" s="177" t="e">
        <f t="shared" si="11"/>
        <v>#DIV/0!</v>
      </c>
      <c r="F67" s="177" t="e">
        <f t="shared" si="12"/>
        <v>#DIV/0!</v>
      </c>
      <c r="G67" s="177" t="e">
        <f t="shared" si="13"/>
        <v>#DIV/0!</v>
      </c>
      <c r="H67" s="177" t="e">
        <f t="shared" si="14"/>
        <v>#DIV/0!</v>
      </c>
      <c r="I67" s="177" t="e">
        <f t="shared" si="15"/>
        <v>#DIV/0!</v>
      </c>
      <c r="J67" s="178">
        <f t="shared" si="16"/>
        <v>0</v>
      </c>
    </row>
    <row r="68" spans="4:10" x14ac:dyDescent="0.25">
      <c r="D68" s="179">
        <v>45858</v>
      </c>
      <c r="E68" s="177" t="e">
        <f t="shared" si="11"/>
        <v>#DIV/0!</v>
      </c>
      <c r="F68" s="177" t="e">
        <f t="shared" si="12"/>
        <v>#DIV/0!</v>
      </c>
      <c r="G68" s="177" t="e">
        <f t="shared" si="13"/>
        <v>#DIV/0!</v>
      </c>
      <c r="H68" s="177" t="e">
        <f t="shared" si="14"/>
        <v>#DIV/0!</v>
      </c>
      <c r="I68" s="177" t="e">
        <f t="shared" si="15"/>
        <v>#DIV/0!</v>
      </c>
      <c r="J68" s="178">
        <f t="shared" si="16"/>
        <v>0</v>
      </c>
    </row>
    <row r="69" spans="4:10" x14ac:dyDescent="0.25">
      <c r="D69" s="179">
        <v>45859</v>
      </c>
      <c r="E69" s="177" t="e">
        <f t="shared" si="11"/>
        <v>#DIV/0!</v>
      </c>
      <c r="F69" s="177" t="e">
        <f t="shared" si="12"/>
        <v>#DIV/0!</v>
      </c>
      <c r="G69" s="177" t="e">
        <f t="shared" si="13"/>
        <v>#DIV/0!</v>
      </c>
      <c r="H69" s="177" t="e">
        <f t="shared" si="14"/>
        <v>#DIV/0!</v>
      </c>
      <c r="I69" s="177" t="e">
        <f t="shared" si="15"/>
        <v>#DIV/0!</v>
      </c>
      <c r="J69" s="178">
        <f t="shared" si="16"/>
        <v>0</v>
      </c>
    </row>
    <row r="70" spans="4:10" x14ac:dyDescent="0.25">
      <c r="D70" s="179">
        <v>45860</v>
      </c>
      <c r="E70" s="177" t="e">
        <f t="shared" si="11"/>
        <v>#DIV/0!</v>
      </c>
      <c r="F70" s="177" t="e">
        <f t="shared" si="12"/>
        <v>#DIV/0!</v>
      </c>
      <c r="G70" s="177" t="e">
        <f t="shared" si="13"/>
        <v>#DIV/0!</v>
      </c>
      <c r="H70" s="177" t="e">
        <f t="shared" si="14"/>
        <v>#DIV/0!</v>
      </c>
      <c r="I70" s="177" t="e">
        <f t="shared" si="15"/>
        <v>#DIV/0!</v>
      </c>
      <c r="J70" s="178">
        <f t="shared" si="16"/>
        <v>0</v>
      </c>
    </row>
    <row r="71" spans="4:10" x14ac:dyDescent="0.25">
      <c r="D71" s="179">
        <v>45861</v>
      </c>
      <c r="E71" s="177" t="e">
        <f t="shared" si="11"/>
        <v>#DIV/0!</v>
      </c>
      <c r="F71" s="177" t="e">
        <f t="shared" si="12"/>
        <v>#DIV/0!</v>
      </c>
      <c r="G71" s="177" t="e">
        <f t="shared" si="13"/>
        <v>#DIV/0!</v>
      </c>
      <c r="H71" s="177" t="e">
        <f t="shared" si="14"/>
        <v>#DIV/0!</v>
      </c>
      <c r="I71" s="177" t="e">
        <f t="shared" si="15"/>
        <v>#DIV/0!</v>
      </c>
      <c r="J71" s="178">
        <f t="shared" si="16"/>
        <v>0</v>
      </c>
    </row>
    <row r="72" spans="4:10" x14ac:dyDescent="0.25">
      <c r="D72" s="179">
        <v>45862</v>
      </c>
      <c r="E72" s="177" t="e">
        <f t="shared" si="11"/>
        <v>#DIV/0!</v>
      </c>
      <c r="F72" s="177" t="e">
        <f t="shared" si="12"/>
        <v>#DIV/0!</v>
      </c>
      <c r="G72" s="177" t="e">
        <f t="shared" si="13"/>
        <v>#DIV/0!</v>
      </c>
      <c r="H72" s="177" t="e">
        <f t="shared" si="14"/>
        <v>#DIV/0!</v>
      </c>
      <c r="I72" s="177" t="e">
        <f t="shared" si="15"/>
        <v>#DIV/0!</v>
      </c>
      <c r="J72" s="178">
        <f t="shared" si="16"/>
        <v>0</v>
      </c>
    </row>
    <row r="73" spans="4:10" x14ac:dyDescent="0.25">
      <c r="D73" s="179">
        <v>45863</v>
      </c>
      <c r="E73" s="177" t="e">
        <f t="shared" si="11"/>
        <v>#DIV/0!</v>
      </c>
      <c r="F73" s="177" t="e">
        <f t="shared" si="12"/>
        <v>#DIV/0!</v>
      </c>
      <c r="G73" s="177" t="e">
        <f t="shared" si="13"/>
        <v>#DIV/0!</v>
      </c>
      <c r="H73" s="177" t="e">
        <f t="shared" si="14"/>
        <v>#DIV/0!</v>
      </c>
      <c r="I73" s="177" t="e">
        <f t="shared" si="15"/>
        <v>#DIV/0!</v>
      </c>
      <c r="J73" s="178">
        <f t="shared" si="16"/>
        <v>0</v>
      </c>
    </row>
    <row r="74" spans="4:10" x14ac:dyDescent="0.25">
      <c r="D74" s="179">
        <v>45864</v>
      </c>
      <c r="E74" s="177" t="e">
        <f t="shared" si="11"/>
        <v>#DIV/0!</v>
      </c>
      <c r="F74" s="177" t="e">
        <f t="shared" si="12"/>
        <v>#DIV/0!</v>
      </c>
      <c r="G74" s="177" t="e">
        <f t="shared" si="13"/>
        <v>#DIV/0!</v>
      </c>
      <c r="H74" s="177" t="e">
        <f t="shared" si="14"/>
        <v>#DIV/0!</v>
      </c>
      <c r="I74" s="177" t="e">
        <f t="shared" si="15"/>
        <v>#DIV/0!</v>
      </c>
      <c r="J74" s="178">
        <f t="shared" si="16"/>
        <v>0</v>
      </c>
    </row>
    <row r="75" spans="4:10" x14ac:dyDescent="0.25">
      <c r="D75" s="179">
        <v>45865</v>
      </c>
      <c r="E75" s="177" t="e">
        <f t="shared" si="11"/>
        <v>#DIV/0!</v>
      </c>
      <c r="F75" s="177" t="e">
        <f t="shared" si="12"/>
        <v>#DIV/0!</v>
      </c>
      <c r="G75" s="177" t="e">
        <f t="shared" si="13"/>
        <v>#DIV/0!</v>
      </c>
      <c r="H75" s="177" t="e">
        <f t="shared" si="14"/>
        <v>#DIV/0!</v>
      </c>
      <c r="I75" s="177" t="e">
        <f t="shared" si="15"/>
        <v>#DIV/0!</v>
      </c>
      <c r="J75" s="178">
        <f t="shared" si="16"/>
        <v>0</v>
      </c>
    </row>
    <row r="76" spans="4:10" x14ac:dyDescent="0.25">
      <c r="D76" s="179">
        <v>45866</v>
      </c>
      <c r="E76" s="177" t="e">
        <f t="shared" si="11"/>
        <v>#DIV/0!</v>
      </c>
      <c r="F76" s="177" t="e">
        <f t="shared" si="12"/>
        <v>#DIV/0!</v>
      </c>
      <c r="G76" s="177" t="e">
        <f t="shared" si="13"/>
        <v>#DIV/0!</v>
      </c>
      <c r="H76" s="177" t="e">
        <f t="shared" si="14"/>
        <v>#DIV/0!</v>
      </c>
      <c r="I76" s="177" t="e">
        <f t="shared" si="15"/>
        <v>#DIV/0!</v>
      </c>
      <c r="J76" s="178">
        <f t="shared" si="16"/>
        <v>0</v>
      </c>
    </row>
    <row r="77" spans="4:10" x14ac:dyDescent="0.25">
      <c r="D77" s="179">
        <v>45867</v>
      </c>
      <c r="E77" s="177" t="e">
        <f t="shared" si="11"/>
        <v>#DIV/0!</v>
      </c>
      <c r="F77" s="177" t="e">
        <f t="shared" si="12"/>
        <v>#DIV/0!</v>
      </c>
      <c r="G77" s="177" t="e">
        <f t="shared" si="13"/>
        <v>#DIV/0!</v>
      </c>
      <c r="H77" s="177" t="e">
        <f t="shared" si="14"/>
        <v>#DIV/0!</v>
      </c>
      <c r="I77" s="177" t="e">
        <f t="shared" si="15"/>
        <v>#DIV/0!</v>
      </c>
      <c r="J77" s="178">
        <f t="shared" si="16"/>
        <v>0</v>
      </c>
    </row>
    <row r="78" spans="4:10" x14ac:dyDescent="0.25">
      <c r="D78" s="179">
        <v>45868</v>
      </c>
      <c r="E78" s="177" t="e">
        <f t="shared" si="11"/>
        <v>#DIV/0!</v>
      </c>
      <c r="F78" s="177" t="e">
        <f t="shared" si="12"/>
        <v>#DIV/0!</v>
      </c>
      <c r="G78" s="177" t="e">
        <f t="shared" si="13"/>
        <v>#DIV/0!</v>
      </c>
      <c r="H78" s="177" t="e">
        <f t="shared" si="14"/>
        <v>#DIV/0!</v>
      </c>
      <c r="I78" s="177" t="e">
        <f t="shared" si="15"/>
        <v>#DIV/0!</v>
      </c>
      <c r="J78" s="178">
        <f t="shared" si="16"/>
        <v>0</v>
      </c>
    </row>
    <row r="79" spans="4:10" x14ac:dyDescent="0.25">
      <c r="D79" s="179">
        <v>45869</v>
      </c>
      <c r="E79" s="177" t="e">
        <f t="shared" ref="E79" si="17">F45/J79</f>
        <v>#DIV/0!</v>
      </c>
      <c r="F79" s="177" t="e">
        <f t="shared" ref="F79" si="18">L45/J79</f>
        <v>#DIV/0!</v>
      </c>
      <c r="G79" s="177" t="e">
        <f t="shared" ref="G79" si="19">S45/J79</f>
        <v>#DIV/0!</v>
      </c>
      <c r="H79" s="177" t="e">
        <f t="shared" ref="H79" si="20">T45/J79</f>
        <v>#DIV/0!</v>
      </c>
      <c r="I79" s="177" t="e">
        <f t="shared" ref="I79" si="21">X45/J79</f>
        <v>#DIV/0!</v>
      </c>
      <c r="J79" s="178">
        <f t="shared" ref="J79" si="22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phoneticPr fontId="9" type="noConversion"/>
  <conditionalFormatting sqref="L16:L19 L27:L32 L21:L25 L41:L42 L34:L39">
    <cfRule type="cellIs" dxfId="99" priority="328" operator="equal">
      <formula>MAX($L$14:$L$16)</formula>
    </cfRule>
  </conditionalFormatting>
  <conditionalFormatting sqref="T16:T19 T27:T32 T21:T25 T41:T43 T34:T39">
    <cfRule type="cellIs" dxfId="98" priority="329" operator="equal">
      <formula>MAX($T$14:$T$16)</formula>
    </cfRule>
  </conditionalFormatting>
  <conditionalFormatting sqref="X16:X19 X27:X32 X21:X25 X41:X43 X34:X39">
    <cfRule type="cellIs" dxfId="97" priority="330" operator="equal">
      <formula>MAX($X$14:$X$16)</formula>
    </cfRule>
  </conditionalFormatting>
  <conditionalFormatting sqref="J16:J19 J27:J32 J21 J41:J42 J34:J39 J23:J25">
    <cfRule type="cellIs" dxfId="96" priority="331" operator="equal">
      <formula>MAX($J$14:$J$16)</formula>
    </cfRule>
  </conditionalFormatting>
  <conditionalFormatting sqref="V16:V19 V27:V32 V21 V41:V43 V34:V39 V23">
    <cfRule type="cellIs" dxfId="95" priority="332" operator="equal">
      <formula>MAX($V$14:$V$16)</formula>
    </cfRule>
  </conditionalFormatting>
  <conditionalFormatting sqref="D16:D19">
    <cfRule type="cellIs" dxfId="94" priority="333" operator="equal">
      <formula>MAX($D$14:$D$16)</formula>
    </cfRule>
  </conditionalFormatting>
  <conditionalFormatting sqref="S16:S19 S27:S32 S21:S25 S41:S43 S34:S39">
    <cfRule type="cellIs" dxfId="93" priority="334" operator="equal">
      <formula>MAX($S$14:$S$16)</formula>
    </cfRule>
  </conditionalFormatting>
  <conditionalFormatting sqref="N16:N19 N27:N32 N21 N41:N42 N34:N39 N23:N25">
    <cfRule type="cellIs" dxfId="92" priority="335" operator="equal">
      <formula>MAX($N$14:$N$16)</formula>
    </cfRule>
  </conditionalFormatting>
  <conditionalFormatting sqref="P16:P19 P27:P32 P21 P41:P42 P39 P34:P37 P23:P25">
    <cfRule type="cellIs" dxfId="91" priority="336" operator="equal">
      <formula>MAX($P$14:$P$16)</formula>
    </cfRule>
  </conditionalFormatting>
  <conditionalFormatting sqref="L26">
    <cfRule type="cellIs" dxfId="90" priority="260" operator="equal">
      <formula>MAX($L$14:$L$16)</formula>
    </cfRule>
  </conditionalFormatting>
  <conditionalFormatting sqref="T26">
    <cfRule type="cellIs" dxfId="89" priority="261" operator="equal">
      <formula>MAX($T$14:$T$16)</formula>
    </cfRule>
  </conditionalFormatting>
  <conditionalFormatting sqref="X26">
    <cfRule type="cellIs" dxfId="88" priority="262" operator="equal">
      <formula>MAX($X$14:$X$16)</formula>
    </cfRule>
  </conditionalFormatting>
  <conditionalFormatting sqref="J26">
    <cfRule type="cellIs" dxfId="87" priority="263" operator="equal">
      <formula>MAX($J$14:$J$16)</formula>
    </cfRule>
  </conditionalFormatting>
  <conditionalFormatting sqref="V26">
    <cfRule type="cellIs" dxfId="86" priority="264" operator="equal">
      <formula>MAX($V$14:$V$16)</formula>
    </cfRule>
  </conditionalFormatting>
  <conditionalFormatting sqref="S26">
    <cfRule type="cellIs" dxfId="85" priority="266" operator="equal">
      <formula>MAX($S$14:$S$16)</formula>
    </cfRule>
  </conditionalFormatting>
  <conditionalFormatting sqref="N26">
    <cfRule type="cellIs" dxfId="84" priority="267" operator="equal">
      <formula>MAX($N$14:$N$16)</formula>
    </cfRule>
  </conditionalFormatting>
  <conditionalFormatting sqref="P26">
    <cfRule type="cellIs" dxfId="83" priority="268" operator="equal">
      <formula>MAX($P$14:$P$16)</formula>
    </cfRule>
  </conditionalFormatting>
  <conditionalFormatting sqref="L40">
    <cfRule type="cellIs" dxfId="82" priority="250" operator="equal">
      <formula>MAX($L$14:$L$16)</formula>
    </cfRule>
  </conditionalFormatting>
  <conditionalFormatting sqref="T40">
    <cfRule type="cellIs" dxfId="81" priority="251" operator="equal">
      <formula>MAX($T$14:$T$16)</formula>
    </cfRule>
  </conditionalFormatting>
  <conditionalFormatting sqref="X40">
    <cfRule type="cellIs" dxfId="80" priority="252" operator="equal">
      <formula>MAX($X$14:$X$16)</formula>
    </cfRule>
  </conditionalFormatting>
  <conditionalFormatting sqref="J40">
    <cfRule type="cellIs" dxfId="79" priority="253" operator="equal">
      <formula>MAX($J$14:$J$16)</formula>
    </cfRule>
  </conditionalFormatting>
  <conditionalFormatting sqref="V40">
    <cfRule type="cellIs" dxfId="78" priority="254" operator="equal">
      <formula>MAX($V$14:$V$16)</formula>
    </cfRule>
  </conditionalFormatting>
  <conditionalFormatting sqref="S40">
    <cfRule type="cellIs" dxfId="77" priority="256" operator="equal">
      <formula>MAX($S$14:$S$16)</formula>
    </cfRule>
  </conditionalFormatting>
  <conditionalFormatting sqref="N40">
    <cfRule type="cellIs" dxfId="76" priority="257" operator="equal">
      <formula>MAX($N$14:$N$16)</formula>
    </cfRule>
  </conditionalFormatting>
  <conditionalFormatting sqref="P40">
    <cfRule type="cellIs" dxfId="75" priority="258" operator="equal">
      <formula>MAX($P$14:$P$16)</formula>
    </cfRule>
  </conditionalFormatting>
  <conditionalFormatting sqref="D20:D32 D45 D34:D42">
    <cfRule type="cellIs" dxfId="74" priority="246" operator="equal">
      <formula>MAX($D$14:$D$42)</formula>
    </cfRule>
  </conditionalFormatting>
  <conditionalFormatting sqref="L20">
    <cfRule type="cellIs" dxfId="73" priority="237" operator="equal">
      <formula>MAX($L$14:$L$42)</formula>
    </cfRule>
  </conditionalFormatting>
  <conditionalFormatting sqref="T20">
    <cfRule type="cellIs" dxfId="72" priority="238" operator="equal">
      <formula>MAX($T$14:$T$42)</formula>
    </cfRule>
  </conditionalFormatting>
  <conditionalFormatting sqref="X20">
    <cfRule type="cellIs" dxfId="71" priority="239" operator="equal">
      <formula>MAX($X$14:$X$42)</formula>
    </cfRule>
  </conditionalFormatting>
  <conditionalFormatting sqref="J20">
    <cfRule type="cellIs" dxfId="70" priority="240" operator="equal">
      <formula>MAX($J$14:$J$42)</formula>
    </cfRule>
  </conditionalFormatting>
  <conditionalFormatting sqref="V20">
    <cfRule type="cellIs" dxfId="69" priority="241" operator="equal">
      <formula>MAX($V$14:$V$42)</formula>
    </cfRule>
  </conditionalFormatting>
  <conditionalFormatting sqref="S20">
    <cfRule type="cellIs" dxfId="68" priority="242" operator="equal">
      <formula>MAX($S$14:$S$42)</formula>
    </cfRule>
  </conditionalFormatting>
  <conditionalFormatting sqref="N20">
    <cfRule type="cellIs" dxfId="67" priority="243" operator="equal">
      <formula>MAX($N$14:$N$42)</formula>
    </cfRule>
  </conditionalFormatting>
  <conditionalFormatting sqref="P20">
    <cfRule type="cellIs" dxfId="66" priority="244" operator="equal">
      <formula>MAX($P$14:$P$42)</formula>
    </cfRule>
  </conditionalFormatting>
  <conditionalFormatting sqref="E48:E64">
    <cfRule type="top10" dxfId="65" priority="236" rank="2"/>
  </conditionalFormatting>
  <conditionalFormatting sqref="F48:F79">
    <cfRule type="top10" dxfId="64" priority="235" rank="2"/>
  </conditionalFormatting>
  <conditionalFormatting sqref="G48:G64">
    <cfRule type="top10" dxfId="63" priority="234" rank="2"/>
  </conditionalFormatting>
  <conditionalFormatting sqref="H48:H64">
    <cfRule type="top10" dxfId="62" priority="233" rank="2"/>
  </conditionalFormatting>
  <conditionalFormatting sqref="I48:I64">
    <cfRule type="top10" dxfId="61" priority="232" rank="2"/>
  </conditionalFormatting>
  <conditionalFormatting sqref="V24">
    <cfRule type="cellIs" dxfId="60" priority="202" operator="equal">
      <formula>MAX($J$14:$J$16)</formula>
    </cfRule>
  </conditionalFormatting>
  <conditionalFormatting sqref="V25">
    <cfRule type="cellIs" dxfId="59" priority="201" operator="equal">
      <formula>MAX($J$14:$J$16)</formula>
    </cfRule>
  </conditionalFormatting>
  <conditionalFormatting sqref="G18:G32 G34:G45">
    <cfRule type="cellIs" dxfId="58" priority="190" operator="equal">
      <formula>MAX($G$14:$G$16)</formula>
    </cfRule>
  </conditionalFormatting>
  <conditionalFormatting sqref="L45">
    <cfRule type="cellIs" dxfId="57" priority="180" operator="equal">
      <formula>MAX($L$14:$L$16)</formula>
    </cfRule>
  </conditionalFormatting>
  <conditionalFormatting sqref="T45">
    <cfRule type="cellIs" dxfId="56" priority="181" operator="equal">
      <formula>MAX($T$14:$T$16)</formula>
    </cfRule>
  </conditionalFormatting>
  <conditionalFormatting sqref="X45">
    <cfRule type="cellIs" dxfId="55" priority="182" operator="equal">
      <formula>MAX($X$14:$X$16)</formula>
    </cfRule>
  </conditionalFormatting>
  <conditionalFormatting sqref="J45">
    <cfRule type="cellIs" dxfId="54" priority="183" operator="equal">
      <formula>MAX($J$14:$J$16)</formula>
    </cfRule>
  </conditionalFormatting>
  <conditionalFormatting sqref="V45">
    <cfRule type="cellIs" dxfId="53" priority="184" operator="equal">
      <formula>MAX($V$14:$V$16)</formula>
    </cfRule>
  </conditionalFormatting>
  <conditionalFormatting sqref="S45">
    <cfRule type="cellIs" dxfId="52" priority="186" operator="equal">
      <formula>MAX($S$14:$S$16)</formula>
    </cfRule>
  </conditionalFormatting>
  <conditionalFormatting sqref="N45">
    <cfRule type="cellIs" dxfId="51" priority="187" operator="equal">
      <formula>MAX($N$14:$N$16)</formula>
    </cfRule>
  </conditionalFormatting>
  <conditionalFormatting sqref="P45">
    <cfRule type="cellIs" dxfId="50" priority="188" operator="equal">
      <formula>MAX($P$14:$P$16)</formula>
    </cfRule>
  </conditionalFormatting>
  <conditionalFormatting sqref="N43">
    <cfRule type="cellIs" dxfId="49" priority="139" operator="equal">
      <formula>MAX($N$14:$N$16)</formula>
    </cfRule>
  </conditionalFormatting>
  <conditionalFormatting sqref="P43">
    <cfRule type="cellIs" dxfId="48" priority="140" operator="equal">
      <formula>MAX($P$14:$P$16)</formula>
    </cfRule>
  </conditionalFormatting>
  <conditionalFormatting sqref="L43">
    <cfRule type="cellIs" dxfId="47" priority="135" operator="equal">
      <formula>MAX($L$14:$L$16)</formula>
    </cfRule>
  </conditionalFormatting>
  <conditionalFormatting sqref="J43">
    <cfRule type="cellIs" dxfId="46" priority="136" operator="equal">
      <formula>MAX($J$14:$J$16)</formula>
    </cfRule>
  </conditionalFormatting>
  <conditionalFormatting sqref="D43">
    <cfRule type="cellIs" dxfId="45" priority="133" operator="equal">
      <formula>MAX($D$14:$D$42)</formula>
    </cfRule>
  </conditionalFormatting>
  <conditionalFormatting sqref="L33">
    <cfRule type="cellIs" dxfId="44" priority="88" operator="equal">
      <formula>MAX($L$14:$L$16)</formula>
    </cfRule>
  </conditionalFormatting>
  <conditionalFormatting sqref="T33">
    <cfRule type="cellIs" dxfId="43" priority="89" operator="equal">
      <formula>MAX($T$14:$T$16)</formula>
    </cfRule>
  </conditionalFormatting>
  <conditionalFormatting sqref="X33">
    <cfRule type="cellIs" dxfId="42" priority="90" operator="equal">
      <formula>MAX($X$14:$X$16)</formula>
    </cfRule>
  </conditionalFormatting>
  <conditionalFormatting sqref="J33">
    <cfRule type="cellIs" dxfId="41" priority="91" operator="equal">
      <formula>MAX($J$14:$J$16)</formula>
    </cfRule>
  </conditionalFormatting>
  <conditionalFormatting sqref="V33">
    <cfRule type="cellIs" dxfId="40" priority="92" operator="equal">
      <formula>MAX($V$14:$V$16)</formula>
    </cfRule>
  </conditionalFormatting>
  <conditionalFormatting sqref="S33">
    <cfRule type="cellIs" dxfId="39" priority="93" operator="equal">
      <formula>MAX($S$14:$S$16)</formula>
    </cfRule>
  </conditionalFormatting>
  <conditionalFormatting sqref="N33">
    <cfRule type="cellIs" dxfId="38" priority="94" operator="equal">
      <formula>MAX($N$14:$N$16)</formula>
    </cfRule>
  </conditionalFormatting>
  <conditionalFormatting sqref="P33">
    <cfRule type="cellIs" dxfId="37" priority="95" operator="equal">
      <formula>MAX($P$14:$P$16)</formula>
    </cfRule>
  </conditionalFormatting>
  <conditionalFormatting sqref="D33">
    <cfRule type="cellIs" dxfId="36" priority="87" operator="equal">
      <formula>MAX($D$14:$D$42)</formula>
    </cfRule>
  </conditionalFormatting>
  <conditionalFormatting sqref="G33">
    <cfRule type="cellIs" dxfId="35" priority="86" operator="equal">
      <formula>MAX($G$14:$G$16)</formula>
    </cfRule>
  </conditionalFormatting>
  <conditionalFormatting sqref="P38">
    <cfRule type="cellIs" dxfId="34" priority="85" operator="equal">
      <formula>MAX($P$14:$P$16)</formula>
    </cfRule>
  </conditionalFormatting>
  <conditionalFormatting sqref="G16:G17">
    <cfRule type="cellIs" dxfId="33" priority="74" operator="equal">
      <formula>MAX($G$14:$G$16)</formula>
    </cfRule>
  </conditionalFormatting>
  <conditionalFormatting sqref="D44">
    <cfRule type="cellIs" dxfId="32" priority="45" operator="equal">
      <formula>MAX($D$14:$D$42)</formula>
    </cfRule>
  </conditionalFormatting>
  <conditionalFormatting sqref="L44">
    <cfRule type="cellIs" dxfId="31" priority="41" operator="equal">
      <formula>MAX($L$14:$L$16)</formula>
    </cfRule>
  </conditionalFormatting>
  <conditionalFormatting sqref="J44">
    <cfRule type="cellIs" dxfId="30" priority="42" operator="equal">
      <formula>MAX($J$14:$J$16)</formula>
    </cfRule>
  </conditionalFormatting>
  <conditionalFormatting sqref="N44">
    <cfRule type="cellIs" dxfId="29" priority="37" operator="equal">
      <formula>MAX($N$14:$N$16)</formula>
    </cfRule>
  </conditionalFormatting>
  <conditionalFormatting sqref="P44">
    <cfRule type="cellIs" dxfId="28" priority="38" operator="equal">
      <formula>MAX($P$14:$P$16)</formula>
    </cfRule>
  </conditionalFormatting>
  <conditionalFormatting sqref="T44">
    <cfRule type="cellIs" dxfId="27" priority="33" operator="equal">
      <formula>MAX($T$14:$T$16)</formula>
    </cfRule>
  </conditionalFormatting>
  <conditionalFormatting sqref="S44">
    <cfRule type="cellIs" dxfId="26" priority="34" operator="equal">
      <formula>MAX($S$14:$S$16)</formula>
    </cfRule>
  </conditionalFormatting>
  <conditionalFormatting sqref="X44">
    <cfRule type="cellIs" dxfId="25" priority="29" operator="equal">
      <formula>MAX($X$14:$X$16)</formula>
    </cfRule>
  </conditionalFormatting>
  <conditionalFormatting sqref="V44">
    <cfRule type="cellIs" dxfId="24" priority="30" operator="equal">
      <formula>MAX($V$14:$V$16)</formula>
    </cfRule>
  </conditionalFormatting>
  <conditionalFormatting sqref="D14">
    <cfRule type="cellIs" dxfId="23" priority="28" operator="equal">
      <formula>MAX($D$14:$D$42)</formula>
    </cfRule>
  </conditionalFormatting>
  <conditionalFormatting sqref="G14">
    <cfRule type="cellIs" dxfId="22" priority="27" operator="equal">
      <formula>MAX($G$14:$G$16)</formula>
    </cfRule>
  </conditionalFormatting>
  <conditionalFormatting sqref="L14">
    <cfRule type="cellIs" dxfId="21" priority="19" operator="equal">
      <formula>MAX($L$14:$L$16)</formula>
    </cfRule>
  </conditionalFormatting>
  <conditionalFormatting sqref="T14">
    <cfRule type="cellIs" dxfId="20" priority="20" operator="equal">
      <formula>MAX($T$14:$T$16)</formula>
    </cfRule>
  </conditionalFormatting>
  <conditionalFormatting sqref="X14">
    <cfRule type="cellIs" dxfId="19" priority="21" operator="equal">
      <formula>MAX($X$14:$X$16)</formula>
    </cfRule>
  </conditionalFormatting>
  <conditionalFormatting sqref="J14">
    <cfRule type="cellIs" dxfId="18" priority="22" operator="equal">
      <formula>MAX($J$14:$J$16)</formula>
    </cfRule>
  </conditionalFormatting>
  <conditionalFormatting sqref="V14">
    <cfRule type="cellIs" dxfId="17" priority="23" operator="equal">
      <formula>MAX($V$14:$V$16)</formula>
    </cfRule>
  </conditionalFormatting>
  <conditionalFormatting sqref="S14">
    <cfRule type="cellIs" dxfId="16" priority="24" operator="equal">
      <formula>MAX($S$14:$S$16)</formula>
    </cfRule>
  </conditionalFormatting>
  <conditionalFormatting sqref="N14">
    <cfRule type="cellIs" dxfId="15" priority="25" operator="equal">
      <formula>MAX($N$14:$N$16)</formula>
    </cfRule>
  </conditionalFormatting>
  <conditionalFormatting sqref="P14">
    <cfRule type="cellIs" dxfId="14" priority="26" operator="equal">
      <formula>MAX($P$14:$P$16)</formula>
    </cfRule>
  </conditionalFormatting>
  <conditionalFormatting sqref="D15">
    <cfRule type="cellIs" dxfId="13" priority="18" operator="equal">
      <formula>MAX($D$14:$D$42)</formula>
    </cfRule>
  </conditionalFormatting>
  <conditionalFormatting sqref="G15">
    <cfRule type="cellIs" dxfId="12" priority="17" operator="equal">
      <formula>MAX($G$14:$G$16)</formula>
    </cfRule>
  </conditionalFormatting>
  <conditionalFormatting sqref="L15">
    <cfRule type="cellIs" dxfId="11" priority="15" operator="equal">
      <formula>MAX($L$14:$L$16)</formula>
    </cfRule>
  </conditionalFormatting>
  <conditionalFormatting sqref="J15">
    <cfRule type="cellIs" dxfId="10" priority="16" operator="equal">
      <formula>MAX($J$14:$J$16)</formula>
    </cfRule>
  </conditionalFormatting>
  <conditionalFormatting sqref="T15">
    <cfRule type="cellIs" dxfId="9" priority="11" operator="equal">
      <formula>MAX($T$14:$T$16)</formula>
    </cfRule>
  </conditionalFormatting>
  <conditionalFormatting sqref="S15">
    <cfRule type="cellIs" dxfId="8" priority="12" operator="equal">
      <formula>MAX($S$14:$S$16)</formula>
    </cfRule>
  </conditionalFormatting>
  <conditionalFormatting sqref="N15">
    <cfRule type="cellIs" dxfId="7" priority="13" operator="equal">
      <formula>MAX($N$14:$N$16)</formula>
    </cfRule>
  </conditionalFormatting>
  <conditionalFormatting sqref="P15">
    <cfRule type="cellIs" dxfId="6" priority="14" operator="equal">
      <formula>MAX($P$14:$P$16)</formula>
    </cfRule>
  </conditionalFormatting>
  <conditionalFormatting sqref="X15">
    <cfRule type="cellIs" dxfId="5" priority="9" operator="equal">
      <formula>MAX($X$14:$X$16)</formula>
    </cfRule>
  </conditionalFormatting>
  <conditionalFormatting sqref="V15">
    <cfRule type="cellIs" dxfId="4" priority="10" operator="equal">
      <formula>MAX($V$14:$V$16)</formula>
    </cfRule>
  </conditionalFormatting>
  <conditionalFormatting sqref="V22">
    <cfRule type="cellIs" dxfId="3" priority="7" operator="equal">
      <formula>MAX($V$14:$V$16)</formula>
    </cfRule>
  </conditionalFormatting>
  <conditionalFormatting sqref="N22">
    <cfRule type="cellIs" dxfId="2" priority="3" operator="equal">
      <formula>MAX($N$14:$N$16)</formula>
    </cfRule>
  </conditionalFormatting>
  <conditionalFormatting sqref="P22">
    <cfRule type="cellIs" dxfId="1" priority="4" operator="equal">
      <formula>MAX($P$14:$P$16)</formula>
    </cfRule>
  </conditionalFormatting>
  <conditionalFormatting sqref="J22">
    <cfRule type="cellIs" dxfId="0" priority="1" operator="equal">
      <formula>MAX($J$14:$J$16)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B3450C23-B9A2-45D4-8942-0C308DF3F8F2}"/>
</file>

<file path=customXml/itemProps2.xml><?xml version="1.0" encoding="utf-8"?>
<ds:datastoreItem xmlns:ds="http://schemas.openxmlformats.org/officeDocument/2006/customXml" ds:itemID="{2F8AAD19-02EA-4280-B365-8810DF5CEEF3}"/>
</file>

<file path=customXml/itemProps3.xml><?xml version="1.0" encoding="utf-8"?>
<ds:datastoreItem xmlns:ds="http://schemas.openxmlformats.org/officeDocument/2006/customXml" ds:itemID="{F5BCA511-7B91-4B72-B4F3-8175C2C80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Gilbet Gustavo Manriquez Henriquez</cp:lastModifiedBy>
  <dcterms:created xsi:type="dcterms:W3CDTF">2022-10-03T10:52:32Z</dcterms:created>
  <dcterms:modified xsi:type="dcterms:W3CDTF">2026-06-19T14:24:21Z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