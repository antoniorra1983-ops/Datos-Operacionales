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vgmh\Desktop\CONSUMO ENERGETICO DIARIO\Energia 2025\DICIEMBRE 2025\"/>
    </mc:Choice>
  </mc:AlternateContent>
  <xr:revisionPtr revIDLastSave="0" documentId="13_ncr:1_{382F1D06-9528-4797-BD47-8D426EEBE580}" xr6:coauthVersionLast="47" xr6:coauthVersionMax="47" xr10:uidLastSave="{00000000-0000-0000-0000-000000000000}"/>
  <bookViews>
    <workbookView xWindow="-108" yWindow="-108" windowWidth="17016" windowHeight="12096" xr2:uid="{00000000-000D-0000-FFFF-FFFF00000000}"/>
  </bookViews>
  <sheets>
    <sheet name="SEAT-SERs" sheetId="1" r:id="rId1"/>
    <sheet name="SAFs" sheetId="2" r:id="rId2"/>
    <sheet name="Hoja2" sheetId="5" r:id="rId3"/>
    <sheet name="Hoja1" sheetId="4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36" i="1" l="1"/>
  <c r="BB35" i="1"/>
  <c r="BL32" i="1"/>
  <c r="BK32" i="1"/>
  <c r="BJ32" i="1"/>
  <c r="BI32" i="1"/>
  <c r="BA32" i="1"/>
  <c r="AW32" i="1" s="1"/>
  <c r="AY32" i="1"/>
  <c r="AX32" i="1"/>
  <c r="AV32" i="1"/>
  <c r="AP32" i="1"/>
  <c r="AN32" i="1"/>
  <c r="AM32" i="1"/>
  <c r="AL32" i="1"/>
  <c r="AF32" i="1"/>
  <c r="AC32" i="1" s="1"/>
  <c r="AD32" i="1"/>
  <c r="AB32" i="1"/>
  <c r="AL27" i="1"/>
  <c r="AL28" i="1" s="1"/>
  <c r="AL29" i="1" s="1"/>
  <c r="AL30" i="1" s="1"/>
  <c r="AL31" i="1" s="1"/>
  <c r="U33" i="2"/>
  <c r="R33" i="2"/>
  <c r="M33" i="2"/>
  <c r="I33" i="2"/>
  <c r="G33" i="2"/>
  <c r="BL25" i="1"/>
  <c r="BJ25" i="1" s="1"/>
  <c r="BK25" i="1"/>
  <c r="BI25" i="1"/>
  <c r="BA25" i="1"/>
  <c r="AY25" i="1"/>
  <c r="AX25" i="1"/>
  <c r="AW25" i="1"/>
  <c r="AV25" i="1"/>
  <c r="AP25" i="1"/>
  <c r="AM25" i="1" s="1"/>
  <c r="AN25" i="1"/>
  <c r="AL25" i="1"/>
  <c r="AF25" i="1"/>
  <c r="AD25" i="1"/>
  <c r="AC25" i="1"/>
  <c r="AB25" i="1"/>
  <c r="BB23" i="1" l="1"/>
  <c r="G28" i="2"/>
  <c r="BL13" i="1" l="1"/>
  <c r="BK13" i="1"/>
  <c r="BJ13" i="1"/>
  <c r="BI13" i="1"/>
  <c r="BA13" i="1"/>
  <c r="AY13" i="1" s="1"/>
  <c r="AX13" i="1"/>
  <c r="AV13" i="1"/>
  <c r="AP13" i="1"/>
  <c r="AN13" i="1"/>
  <c r="AM13" i="1"/>
  <c r="AL13" i="1"/>
  <c r="AF13" i="1"/>
  <c r="AD13" i="1"/>
  <c r="AC13" i="1"/>
  <c r="AB13" i="1"/>
  <c r="BA14" i="1"/>
  <c r="AP14" i="1"/>
  <c r="AF14" i="1"/>
  <c r="H35" i="1"/>
  <c r="H34" i="1"/>
  <c r="BA33" i="1"/>
  <c r="AN30" i="1"/>
  <c r="H25" i="1"/>
  <c r="H24" i="1"/>
  <c r="H29" i="1"/>
  <c r="H23" i="1"/>
  <c r="H11" i="1"/>
  <c r="H12" i="1"/>
  <c r="H13" i="1"/>
  <c r="H14" i="1"/>
  <c r="H15" i="1"/>
  <c r="H16" i="1"/>
  <c r="H17" i="1"/>
  <c r="H18" i="1"/>
  <c r="H19" i="1"/>
  <c r="H20" i="1"/>
  <c r="H21" i="1"/>
  <c r="H22" i="1"/>
  <c r="H26" i="1"/>
  <c r="H27" i="1"/>
  <c r="H28" i="1"/>
  <c r="H30" i="1"/>
  <c r="H31" i="1"/>
  <c r="H32" i="1"/>
  <c r="H33" i="1"/>
  <c r="H36" i="1"/>
  <c r="H37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R45" i="2"/>
  <c r="G45" i="2"/>
  <c r="AD37" i="1"/>
  <c r="AF37" i="1"/>
  <c r="AC37" i="1" s="1"/>
  <c r="AN37" i="1"/>
  <c r="AP37" i="1"/>
  <c r="AM37" i="1" s="1"/>
  <c r="AX37" i="1"/>
  <c r="BA37" i="1"/>
  <c r="AY37" i="1" s="1"/>
  <c r="BL37" i="1"/>
  <c r="BK37" i="1" s="1"/>
  <c r="H10" i="1"/>
  <c r="R14" i="2"/>
  <c r="M14" i="2"/>
  <c r="G14" i="2"/>
  <c r="BL6" i="1"/>
  <c r="BK6" i="1"/>
  <c r="BJ6" i="1"/>
  <c r="BA6" i="1"/>
  <c r="AW6" i="1" s="1"/>
  <c r="AX6" i="1"/>
  <c r="AP6" i="1"/>
  <c r="AM6" i="1" s="1"/>
  <c r="AN6" i="1"/>
  <c r="AF6" i="1"/>
  <c r="AC6" i="1" s="1"/>
  <c r="AD6" i="1"/>
  <c r="H6" i="1"/>
  <c r="G6" i="1" s="1"/>
  <c r="D6" i="1"/>
  <c r="AF36" i="1"/>
  <c r="H9" i="1"/>
  <c r="H8" i="1"/>
  <c r="F37" i="1" l="1"/>
  <c r="F29" i="1"/>
  <c r="F26" i="1"/>
  <c r="F22" i="1"/>
  <c r="AW13" i="1"/>
  <c r="F17" i="1"/>
  <c r="F35" i="1"/>
  <c r="F16" i="1"/>
  <c r="F36" i="1"/>
  <c r="F21" i="1"/>
  <c r="F20" i="1"/>
  <c r="F11" i="1"/>
  <c r="AY6" i="1"/>
  <c r="I6" i="1" s="1"/>
  <c r="M6" i="1" s="1"/>
  <c r="F34" i="1"/>
  <c r="F33" i="1"/>
  <c r="F32" i="1"/>
  <c r="F31" i="1"/>
  <c r="F30" i="1"/>
  <c r="F28" i="1"/>
  <c r="F27" i="1"/>
  <c r="F25" i="1"/>
  <c r="F24" i="1"/>
  <c r="F23" i="1"/>
  <c r="F19" i="1"/>
  <c r="F18" i="1"/>
  <c r="F15" i="1"/>
  <c r="F14" i="1"/>
  <c r="F13" i="1"/>
  <c r="F12" i="1"/>
  <c r="I37" i="1"/>
  <c r="M37" i="1" s="1"/>
  <c r="F6" i="1"/>
  <c r="E6" i="1" s="1"/>
  <c r="G37" i="1"/>
  <c r="AW37" i="1"/>
  <c r="J37" i="1"/>
  <c r="N37" i="1" s="1"/>
  <c r="L37" i="1"/>
  <c r="P37" i="1" s="1"/>
  <c r="K37" i="1"/>
  <c r="O37" i="1" s="1"/>
  <c r="E37" i="1"/>
  <c r="BJ37" i="1"/>
  <c r="BL26" i="1"/>
  <c r="BA19" i="1"/>
  <c r="L6" i="1" l="1"/>
  <c r="P6" i="1" s="1"/>
  <c r="J6" i="1"/>
  <c r="N6" i="1" s="1"/>
  <c r="K6" i="1"/>
  <c r="O6" i="1" s="1"/>
  <c r="AP27" i="1"/>
  <c r="AF22" i="1"/>
  <c r="G19" i="2"/>
  <c r="G20" i="2"/>
  <c r="G21" i="2"/>
  <c r="G22" i="2"/>
  <c r="G23" i="2"/>
  <c r="G24" i="2"/>
  <c r="G25" i="2"/>
  <c r="G26" i="2"/>
  <c r="G27" i="2"/>
  <c r="G29" i="2"/>
  <c r="G30" i="2"/>
  <c r="G31" i="2"/>
  <c r="G32" i="2"/>
  <c r="G34" i="2"/>
  <c r="G35" i="2"/>
  <c r="G36" i="2"/>
  <c r="G37" i="2"/>
  <c r="G38" i="2"/>
  <c r="G39" i="2"/>
  <c r="G40" i="2"/>
  <c r="G41" i="2"/>
  <c r="G42" i="2"/>
  <c r="G43" i="2"/>
  <c r="G44" i="2"/>
  <c r="G15" i="2"/>
  <c r="G16" i="2"/>
  <c r="G17" i="2"/>
  <c r="G18" i="2"/>
  <c r="AF7" i="1"/>
  <c r="AF8" i="1"/>
  <c r="AF9" i="1"/>
  <c r="AF10" i="1"/>
  <c r="AF11" i="1"/>
  <c r="AF12" i="1"/>
  <c r="AF15" i="1"/>
  <c r="AF16" i="1"/>
  <c r="AF17" i="1"/>
  <c r="AF18" i="1"/>
  <c r="AF19" i="1"/>
  <c r="AF20" i="1"/>
  <c r="AF21" i="1"/>
  <c r="AF23" i="1"/>
  <c r="AF24" i="1"/>
  <c r="AF26" i="1"/>
  <c r="AF27" i="1"/>
  <c r="AF28" i="1"/>
  <c r="AF29" i="1"/>
  <c r="AF30" i="1"/>
  <c r="AF31" i="1"/>
  <c r="AF33" i="1"/>
  <c r="AF34" i="1"/>
  <c r="AF35" i="1"/>
  <c r="AP7" i="1"/>
  <c r="AP8" i="1"/>
  <c r="AP9" i="1"/>
  <c r="AP10" i="1"/>
  <c r="AP11" i="1"/>
  <c r="AP12" i="1"/>
  <c r="AP15" i="1"/>
  <c r="AP16" i="1"/>
  <c r="AP17" i="1"/>
  <c r="AP18" i="1"/>
  <c r="AP19" i="1"/>
  <c r="AP20" i="1"/>
  <c r="AP21" i="1"/>
  <c r="AP22" i="1"/>
  <c r="AP23" i="1"/>
  <c r="AP24" i="1"/>
  <c r="AP26" i="1"/>
  <c r="AP28" i="1"/>
  <c r="AP29" i="1"/>
  <c r="AP30" i="1"/>
  <c r="AP31" i="1"/>
  <c r="AP33" i="1"/>
  <c r="AP34" i="1"/>
  <c r="AP35" i="1"/>
  <c r="AP36" i="1"/>
  <c r="AX7" i="1"/>
  <c r="BA7" i="1"/>
  <c r="AW7" i="1" s="1"/>
  <c r="AX8" i="1"/>
  <c r="AX9" i="1"/>
  <c r="AX10" i="1"/>
  <c r="BA10" i="1"/>
  <c r="AY10" i="1" s="1"/>
  <c r="AX11" i="1"/>
  <c r="AX12" i="1"/>
  <c r="BA12" i="1"/>
  <c r="AW12" i="1" s="1"/>
  <c r="AX14" i="1"/>
  <c r="AY14" i="1"/>
  <c r="AX15" i="1"/>
  <c r="BA15" i="1"/>
  <c r="AW15" i="1" s="1"/>
  <c r="AX16" i="1"/>
  <c r="BA16" i="1"/>
  <c r="AY16" i="1" s="1"/>
  <c r="AX17" i="1"/>
  <c r="BA17" i="1"/>
  <c r="AW17" i="1" s="1"/>
  <c r="AX18" i="1"/>
  <c r="BA18" i="1"/>
  <c r="AY18" i="1" s="1"/>
  <c r="AX19" i="1"/>
  <c r="AW19" i="1"/>
  <c r="AX20" i="1"/>
  <c r="BA20" i="1"/>
  <c r="AY20" i="1" s="1"/>
  <c r="AX21" i="1"/>
  <c r="BA21" i="1"/>
  <c r="AW21" i="1" s="1"/>
  <c r="AX22" i="1"/>
  <c r="BA22" i="1"/>
  <c r="AY22" i="1" s="1"/>
  <c r="AX23" i="1"/>
  <c r="BA23" i="1"/>
  <c r="AW23" i="1" s="1"/>
  <c r="AX24" i="1"/>
  <c r="BA24" i="1"/>
  <c r="AY24" i="1" s="1"/>
  <c r="AX26" i="1"/>
  <c r="BA26" i="1"/>
  <c r="AY26" i="1" s="1"/>
  <c r="BA27" i="1"/>
  <c r="AW27" i="1" s="1"/>
  <c r="AX27" i="1"/>
  <c r="BA28" i="1"/>
  <c r="AX29" i="1"/>
  <c r="BA29" i="1"/>
  <c r="AW29" i="1" s="1"/>
  <c r="AX30" i="1"/>
  <c r="BA30" i="1"/>
  <c r="AY30" i="1" s="1"/>
  <c r="AX31" i="1"/>
  <c r="BA31" i="1"/>
  <c r="AW31" i="1" s="1"/>
  <c r="AX33" i="1"/>
  <c r="AW33" i="1"/>
  <c r="AX34" i="1"/>
  <c r="BA34" i="1"/>
  <c r="AY34" i="1" s="1"/>
  <c r="AX35" i="1"/>
  <c r="BA35" i="1"/>
  <c r="AW35" i="1" s="1"/>
  <c r="AX36" i="1"/>
  <c r="BA36" i="1"/>
  <c r="AY36" i="1" s="1"/>
  <c r="AY29" i="1" l="1"/>
  <c r="AW36" i="1"/>
  <c r="AY31" i="1"/>
  <c r="AW30" i="1"/>
  <c r="BA8" i="1"/>
  <c r="AW34" i="1"/>
  <c r="AW10" i="1"/>
  <c r="BA9" i="1"/>
  <c r="AY7" i="1"/>
  <c r="AX28" i="1"/>
  <c r="AY12" i="1"/>
  <c r="AY33" i="1"/>
  <c r="AY35" i="1"/>
  <c r="AW28" i="1"/>
  <c r="AY28" i="1"/>
  <c r="AW26" i="1"/>
  <c r="AW24" i="1"/>
  <c r="AW22" i="1"/>
  <c r="AW20" i="1"/>
  <c r="AW18" i="1"/>
  <c r="AW16" i="1"/>
  <c r="AW14" i="1"/>
  <c r="AY27" i="1"/>
  <c r="AY23" i="1"/>
  <c r="AY21" i="1"/>
  <c r="AY19" i="1"/>
  <c r="AY17" i="1"/>
  <c r="AY15" i="1"/>
  <c r="BA11" i="1"/>
  <c r="AY9" i="1" l="1"/>
  <c r="AW9" i="1"/>
  <c r="AW8" i="1"/>
  <c r="AY8" i="1"/>
  <c r="AW11" i="1"/>
  <c r="AY11" i="1"/>
  <c r="R44" i="2" l="1"/>
  <c r="BL36" i="1"/>
  <c r="AM36" i="1"/>
  <c r="AN36" i="1"/>
  <c r="AD36" i="1"/>
  <c r="AC36" i="1"/>
  <c r="E36" i="1" l="1"/>
  <c r="L36" i="1"/>
  <c r="P36" i="1" s="1"/>
  <c r="K36" i="1"/>
  <c r="O36" i="1" s="1"/>
  <c r="G36" i="1"/>
  <c r="I36" i="1"/>
  <c r="M36" i="1" s="1"/>
  <c r="J36" i="1"/>
  <c r="N36" i="1" s="1"/>
  <c r="BJ36" i="1"/>
  <c r="BK36" i="1"/>
  <c r="AB7" i="1" l="1"/>
  <c r="AB8" i="1" s="1"/>
  <c r="AB9" i="1" s="1"/>
  <c r="AB10" i="1" s="1"/>
  <c r="AB11" i="1" s="1"/>
  <c r="AB12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6" i="1" s="1"/>
  <c r="AB27" i="1" s="1"/>
  <c r="AB28" i="1" s="1"/>
  <c r="AB29" i="1" s="1"/>
  <c r="AB30" i="1" s="1"/>
  <c r="AB31" i="1" s="1"/>
  <c r="AB33" i="1" s="1"/>
  <c r="AB34" i="1" s="1"/>
  <c r="AB35" i="1" s="1"/>
  <c r="AL7" i="1"/>
  <c r="AV7" i="1"/>
  <c r="AV8" i="1" s="1"/>
  <c r="AV9" i="1" s="1"/>
  <c r="AV10" i="1" s="1"/>
  <c r="AV11" i="1" s="1"/>
  <c r="AV12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26" i="1" s="1"/>
  <c r="AV27" i="1" s="1"/>
  <c r="AV28" i="1" s="1"/>
  <c r="AV29" i="1" s="1"/>
  <c r="AV30" i="1" s="1"/>
  <c r="AV31" i="1" s="1"/>
  <c r="AV33" i="1" s="1"/>
  <c r="AV34" i="1" s="1"/>
  <c r="AV35" i="1" s="1"/>
  <c r="BI7" i="1"/>
  <c r="BI8" i="1" s="1"/>
  <c r="BI9" i="1" s="1"/>
  <c r="BI10" i="1" s="1"/>
  <c r="BI11" i="1" s="1"/>
  <c r="BI12" i="1" s="1"/>
  <c r="BI14" i="1" s="1"/>
  <c r="BI15" i="1" s="1"/>
  <c r="BI16" i="1" s="1"/>
  <c r="BI17" i="1" s="1"/>
  <c r="BI18" i="1" s="1"/>
  <c r="BI19" i="1" s="1"/>
  <c r="BI20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AD11" i="1"/>
  <c r="AC15" i="1"/>
  <c r="AM15" i="1"/>
  <c r="H7" i="1"/>
  <c r="J49" i="2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J48" i="2"/>
  <c r="H48" i="2" s="1"/>
  <c r="BL15" i="1"/>
  <c r="BK15" i="1" s="1"/>
  <c r="AN15" i="1"/>
  <c r="AD15" i="1"/>
  <c r="BI21" i="1" l="1"/>
  <c r="BI22" i="1" s="1"/>
  <c r="BI23" i="1" s="1"/>
  <c r="BI24" i="1" s="1"/>
  <c r="BI26" i="1" s="1"/>
  <c r="BI27" i="1" s="1"/>
  <c r="BI28" i="1" s="1"/>
  <c r="AB36" i="1"/>
  <c r="AB37" i="1" s="1"/>
  <c r="Q36" i="1"/>
  <c r="Q37" i="1" s="1"/>
  <c r="AV36" i="1"/>
  <c r="AV37" i="1" s="1"/>
  <c r="E48" i="2"/>
  <c r="I48" i="2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  <c r="BJ15" i="1"/>
  <c r="BI29" i="1" l="1"/>
  <c r="BI30" i="1" s="1"/>
  <c r="BI31" i="1" s="1"/>
  <c r="BI33" i="1" s="1"/>
  <c r="BI34" i="1" s="1"/>
  <c r="BI35" i="1" s="1"/>
  <c r="BI36" i="1" s="1"/>
  <c r="BI37" i="1" s="1"/>
  <c r="R20" i="2"/>
  <c r="S39" i="1" l="1"/>
  <c r="R38" i="1" s="1"/>
  <c r="R43" i="2"/>
  <c r="R41" i="2"/>
  <c r="R42" i="2"/>
  <c r="R40" i="2"/>
  <c r="BL33" i="1"/>
  <c r="BJ33" i="1" s="1"/>
  <c r="AM33" i="1"/>
  <c r="AN33" i="1"/>
  <c r="AC33" i="1"/>
  <c r="AD33" i="1"/>
  <c r="R39" i="2"/>
  <c r="AD31" i="1"/>
  <c r="R38" i="2"/>
  <c r="R37" i="2"/>
  <c r="R36" i="2"/>
  <c r="R35" i="2"/>
  <c r="R34" i="2"/>
  <c r="R32" i="2"/>
  <c r="R31" i="2"/>
  <c r="R30" i="2"/>
  <c r="BK33" i="1" l="1"/>
  <c r="R29" i="2"/>
  <c r="R25" i="2"/>
  <c r="R28" i="2"/>
  <c r="R27" i="2"/>
  <c r="R26" i="2"/>
  <c r="R24" i="2"/>
  <c r="BL19" i="1"/>
  <c r="BJ19" i="1" s="1"/>
  <c r="AM19" i="1"/>
  <c r="AN19" i="1"/>
  <c r="AC19" i="1"/>
  <c r="R23" i="2"/>
  <c r="R22" i="2"/>
  <c r="R21" i="2"/>
  <c r="R19" i="2"/>
  <c r="R18" i="2"/>
  <c r="AD24" i="1"/>
  <c r="AC24" i="1"/>
  <c r="AN24" i="1"/>
  <c r="AM24" i="1"/>
  <c r="BL24" i="1"/>
  <c r="BJ24" i="1" s="1"/>
  <c r="AD26" i="1"/>
  <c r="AC26" i="1"/>
  <c r="AN26" i="1"/>
  <c r="BJ26" i="1"/>
  <c r="AD27" i="1"/>
  <c r="AC27" i="1"/>
  <c r="AN27" i="1"/>
  <c r="BL27" i="1"/>
  <c r="BK27" i="1" s="1"/>
  <c r="AD28" i="1"/>
  <c r="AC28" i="1"/>
  <c r="AN28" i="1"/>
  <c r="BL28" i="1"/>
  <c r="BJ28" i="1" s="1"/>
  <c r="AD29" i="1"/>
  <c r="AC29" i="1"/>
  <c r="AN29" i="1"/>
  <c r="BL29" i="1"/>
  <c r="BK29" i="1" s="1"/>
  <c r="AD30" i="1"/>
  <c r="AC30" i="1"/>
  <c r="BL30" i="1"/>
  <c r="BJ30" i="1" s="1"/>
  <c r="AC31" i="1"/>
  <c r="AN31" i="1"/>
  <c r="BL31" i="1"/>
  <c r="BK31" i="1" s="1"/>
  <c r="AD34" i="1"/>
  <c r="AC34" i="1"/>
  <c r="AN34" i="1"/>
  <c r="BL34" i="1"/>
  <c r="BK34" i="1" s="1"/>
  <c r="AD35" i="1"/>
  <c r="AC35" i="1"/>
  <c r="AN35" i="1"/>
  <c r="BL35" i="1"/>
  <c r="BK35" i="1" s="1"/>
  <c r="AC11" i="1"/>
  <c r="AN11" i="1"/>
  <c r="AM11" i="1"/>
  <c r="BL11" i="1"/>
  <c r="AD12" i="1"/>
  <c r="AC12" i="1"/>
  <c r="AN12" i="1"/>
  <c r="AM12" i="1"/>
  <c r="BL12" i="1"/>
  <c r="BK12" i="1" s="1"/>
  <c r="AD14" i="1"/>
  <c r="AC14" i="1"/>
  <c r="AN14" i="1"/>
  <c r="AM14" i="1"/>
  <c r="BL14" i="1"/>
  <c r="BK14" i="1" s="1"/>
  <c r="AD16" i="1"/>
  <c r="AC16" i="1"/>
  <c r="AN16" i="1"/>
  <c r="AM16" i="1"/>
  <c r="BL16" i="1"/>
  <c r="BK16" i="1" s="1"/>
  <c r="AD17" i="1"/>
  <c r="AC17" i="1"/>
  <c r="AN17" i="1"/>
  <c r="AM17" i="1"/>
  <c r="BL17" i="1"/>
  <c r="AD18" i="1"/>
  <c r="AC18" i="1"/>
  <c r="AN18" i="1"/>
  <c r="AM18" i="1"/>
  <c r="BL18" i="1"/>
  <c r="BK18" i="1" s="1"/>
  <c r="AD19" i="1"/>
  <c r="AD20" i="1"/>
  <c r="AC20" i="1"/>
  <c r="AN20" i="1"/>
  <c r="AM20" i="1"/>
  <c r="BL20" i="1"/>
  <c r="AD21" i="1"/>
  <c r="AC21" i="1"/>
  <c r="AN21" i="1"/>
  <c r="AM21" i="1"/>
  <c r="BL21" i="1"/>
  <c r="AD22" i="1"/>
  <c r="AC22" i="1"/>
  <c r="AN22" i="1"/>
  <c r="AM22" i="1"/>
  <c r="BL22" i="1"/>
  <c r="AD23" i="1"/>
  <c r="AC23" i="1"/>
  <c r="AN23" i="1"/>
  <c r="AM23" i="1"/>
  <c r="BL23" i="1"/>
  <c r="BK23" i="1" s="1"/>
  <c r="D7" i="1"/>
  <c r="D8" i="1"/>
  <c r="D9" i="1"/>
  <c r="D10" i="1"/>
  <c r="R15" i="2"/>
  <c r="R16" i="2"/>
  <c r="R17" i="2"/>
  <c r="AC8" i="1"/>
  <c r="AC9" i="1"/>
  <c r="AC10" i="1"/>
  <c r="AD7" i="1"/>
  <c r="AD8" i="1"/>
  <c r="AD9" i="1"/>
  <c r="AD10" i="1"/>
  <c r="AN7" i="1"/>
  <c r="AN8" i="1"/>
  <c r="AN9" i="1"/>
  <c r="AN10" i="1"/>
  <c r="BL7" i="1"/>
  <c r="BK7" i="1" s="1"/>
  <c r="BL8" i="1"/>
  <c r="BK8" i="1" s="1"/>
  <c r="BL9" i="1"/>
  <c r="BK9" i="1" s="1"/>
  <c r="BL10" i="1"/>
  <c r="BK10" i="1" s="1"/>
  <c r="AM7" i="1"/>
  <c r="AM8" i="1"/>
  <c r="AM9" i="1"/>
  <c r="AM10" i="1"/>
  <c r="G12" i="1" l="1"/>
  <c r="L35" i="1"/>
  <c r="P35" i="1" s="1"/>
  <c r="I34" i="1"/>
  <c r="M34" i="1" s="1"/>
  <c r="K32" i="1"/>
  <c r="O32" i="1" s="1"/>
  <c r="K31" i="1"/>
  <c r="O31" i="1" s="1"/>
  <c r="L30" i="1"/>
  <c r="P30" i="1" s="1"/>
  <c r="J29" i="1"/>
  <c r="N29" i="1" s="1"/>
  <c r="J27" i="1"/>
  <c r="N27" i="1" s="1"/>
  <c r="I26" i="1"/>
  <c r="M26" i="1" s="1"/>
  <c r="K25" i="1"/>
  <c r="O25" i="1" s="1"/>
  <c r="K24" i="1"/>
  <c r="O24" i="1" s="1"/>
  <c r="I23" i="1"/>
  <c r="M23" i="1" s="1"/>
  <c r="I22" i="1"/>
  <c r="M22" i="1" s="1"/>
  <c r="I21" i="1"/>
  <c r="M21" i="1" s="1"/>
  <c r="K20" i="1"/>
  <c r="O20" i="1" s="1"/>
  <c r="I18" i="1"/>
  <c r="M18" i="1" s="1"/>
  <c r="I17" i="1"/>
  <c r="M17" i="1" s="1"/>
  <c r="I16" i="1"/>
  <c r="M16" i="1" s="1"/>
  <c r="I14" i="1"/>
  <c r="M14" i="1" s="1"/>
  <c r="J10" i="1"/>
  <c r="N10" i="1" s="1"/>
  <c r="I9" i="1"/>
  <c r="M9" i="1" s="1"/>
  <c r="L28" i="1"/>
  <c r="P28" i="1" s="1"/>
  <c r="E13" i="1"/>
  <c r="G24" i="1"/>
  <c r="I19" i="1"/>
  <c r="M19" i="1" s="1"/>
  <c r="G15" i="1"/>
  <c r="BK19" i="1"/>
  <c r="E16" i="1"/>
  <c r="BJ35" i="1"/>
  <c r="BJ34" i="1"/>
  <c r="E35" i="1"/>
  <c r="E34" i="1"/>
  <c r="E33" i="1"/>
  <c r="E32" i="1"/>
  <c r="BJ31" i="1"/>
  <c r="E31" i="1"/>
  <c r="BK30" i="1"/>
  <c r="E30" i="1"/>
  <c r="BJ29" i="1"/>
  <c r="E29" i="1"/>
  <c r="BJ27" i="1"/>
  <c r="G18" i="1"/>
  <c r="E18" i="1"/>
  <c r="G19" i="1"/>
  <c r="E17" i="1"/>
  <c r="E19" i="1"/>
  <c r="G17" i="1"/>
  <c r="G16" i="1"/>
  <c r="E15" i="1"/>
  <c r="G14" i="1"/>
  <c r="E14" i="1"/>
  <c r="G13" i="1"/>
  <c r="K12" i="1"/>
  <c r="O12" i="1" s="1"/>
  <c r="L12" i="1"/>
  <c r="P12" i="1" s="1"/>
  <c r="E12" i="1"/>
  <c r="I11" i="1"/>
  <c r="M11" i="1" s="1"/>
  <c r="E11" i="1"/>
  <c r="F10" i="1"/>
  <c r="E10" i="1" s="1"/>
  <c r="F9" i="1"/>
  <c r="E9" i="1" s="1"/>
  <c r="G8" i="1"/>
  <c r="I15" i="1"/>
  <c r="M15" i="1" s="1"/>
  <c r="I13" i="1"/>
  <c r="M13" i="1" s="1"/>
  <c r="G35" i="1"/>
  <c r="K33" i="1"/>
  <c r="O33" i="1" s="1"/>
  <c r="G33" i="1"/>
  <c r="G31" i="1"/>
  <c r="G29" i="1"/>
  <c r="E27" i="1"/>
  <c r="E25" i="1"/>
  <c r="F8" i="1"/>
  <c r="E8" i="1" s="1"/>
  <c r="E23" i="1"/>
  <c r="E22" i="1"/>
  <c r="E21" i="1"/>
  <c r="E20" i="1"/>
  <c r="G11" i="1"/>
  <c r="G34" i="1"/>
  <c r="G32" i="1"/>
  <c r="G30" i="1"/>
  <c r="BK28" i="1"/>
  <c r="E28" i="1"/>
  <c r="BK26" i="1"/>
  <c r="E26" i="1"/>
  <c r="BK24" i="1"/>
  <c r="BK22" i="1"/>
  <c r="L19" i="1"/>
  <c r="P19" i="1" s="1"/>
  <c r="BK17" i="1"/>
  <c r="BK21" i="1"/>
  <c r="BK20" i="1"/>
  <c r="BJ10" i="1"/>
  <c r="BK11" i="1"/>
  <c r="E24" i="1"/>
  <c r="BJ9" i="1"/>
  <c r="L33" i="1"/>
  <c r="P33" i="1" s="1"/>
  <c r="I33" i="1"/>
  <c r="M33" i="1" s="1"/>
  <c r="J33" i="1"/>
  <c r="N33" i="1" s="1"/>
  <c r="AM35" i="1"/>
  <c r="AM34" i="1"/>
  <c r="AM31" i="1"/>
  <c r="AM30" i="1"/>
  <c r="AM29" i="1"/>
  <c r="AM28" i="1"/>
  <c r="G28" i="1"/>
  <c r="AM27" i="1"/>
  <c r="G27" i="1"/>
  <c r="AM26" i="1"/>
  <c r="G26" i="1"/>
  <c r="G25" i="1"/>
  <c r="K19" i="1"/>
  <c r="O19" i="1" s="1"/>
  <c r="J19" i="1"/>
  <c r="N19" i="1" s="1"/>
  <c r="BJ23" i="1"/>
  <c r="BJ22" i="1"/>
  <c r="BJ21" i="1"/>
  <c r="BJ20" i="1"/>
  <c r="BJ18" i="1"/>
  <c r="BJ17" i="1"/>
  <c r="BJ16" i="1"/>
  <c r="BJ14" i="1"/>
  <c r="BJ12" i="1"/>
  <c r="BJ11" i="1"/>
  <c r="G23" i="1"/>
  <c r="G22" i="1"/>
  <c r="G21" i="1"/>
  <c r="G20" i="1"/>
  <c r="J8" i="1"/>
  <c r="N8" i="1" s="1"/>
  <c r="L8" i="1"/>
  <c r="P8" i="1" s="1"/>
  <c r="K8" i="1"/>
  <c r="O8" i="1" s="1"/>
  <c r="G10" i="1"/>
  <c r="I8" i="1"/>
  <c r="M8" i="1" s="1"/>
  <c r="G9" i="1"/>
  <c r="I7" i="1"/>
  <c r="M7" i="1" s="1"/>
  <c r="J7" i="1"/>
  <c r="N7" i="1" s="1"/>
  <c r="L7" i="1"/>
  <c r="P7" i="1" s="1"/>
  <c r="K7" i="1"/>
  <c r="O7" i="1" s="1"/>
  <c r="AC7" i="1"/>
  <c r="G7" i="1"/>
  <c r="F7" i="1"/>
  <c r="E7" i="1" s="1"/>
  <c r="BJ8" i="1"/>
  <c r="BJ7" i="1"/>
  <c r="U15" i="2"/>
  <c r="U16" i="2" s="1"/>
  <c r="U17" i="2" s="1"/>
  <c r="U18" i="2" s="1"/>
  <c r="U19" i="2" s="1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AL8" i="1"/>
  <c r="AL9" i="1" s="1"/>
  <c r="AL10" i="1" s="1"/>
  <c r="AL11" i="1" s="1"/>
  <c r="AL12" i="1" s="1"/>
  <c r="AL14" i="1" s="1"/>
  <c r="U20" i="2" l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4" i="2" s="1"/>
  <c r="U35" i="2" s="1"/>
  <c r="U36" i="2" s="1"/>
  <c r="U37" i="2" s="1"/>
  <c r="U38" i="2" s="1"/>
  <c r="U39" i="2" s="1"/>
  <c r="I32" i="1"/>
  <c r="M32" i="1" s="1"/>
  <c r="L34" i="1"/>
  <c r="P34" i="1" s="1"/>
  <c r="J35" i="1"/>
  <c r="N35" i="1" s="1"/>
  <c r="K34" i="1"/>
  <c r="O34" i="1" s="1"/>
  <c r="J34" i="1"/>
  <c r="N34" i="1" s="1"/>
  <c r="AL15" i="1"/>
  <c r="AL16" i="1" s="1"/>
  <c r="AL17" i="1" s="1"/>
  <c r="AL18" i="1" s="1"/>
  <c r="AL19" i="1" s="1"/>
  <c r="K22" i="1"/>
  <c r="O22" i="1" s="1"/>
  <c r="L9" i="1"/>
  <c r="P9" i="1" s="1"/>
  <c r="K9" i="1"/>
  <c r="O9" i="1" s="1"/>
  <c r="J9" i="1"/>
  <c r="N9" i="1" s="1"/>
  <c r="I26" i="2"/>
  <c r="I27" i="2" s="1"/>
  <c r="I28" i="2" s="1"/>
  <c r="I29" i="2" s="1"/>
  <c r="I30" i="2" s="1"/>
  <c r="I31" i="2" s="1"/>
  <c r="I32" i="2" s="1"/>
  <c r="I34" i="2" s="1"/>
  <c r="I35" i="2" s="1"/>
  <c r="I36" i="2" s="1"/>
  <c r="I37" i="2" s="1"/>
  <c r="I38" i="2" s="1"/>
  <c r="I39" i="2" s="1"/>
  <c r="K11" i="1"/>
  <c r="O11" i="1" s="1"/>
  <c r="K23" i="1"/>
  <c r="O23" i="1" s="1"/>
  <c r="J24" i="1"/>
  <c r="N24" i="1" s="1"/>
  <c r="K18" i="1"/>
  <c r="O18" i="1" s="1"/>
  <c r="J26" i="1"/>
  <c r="N26" i="1" s="1"/>
  <c r="L26" i="1"/>
  <c r="P26" i="1" s="1"/>
  <c r="K35" i="1"/>
  <c r="O35" i="1" s="1"/>
  <c r="I35" i="1"/>
  <c r="M35" i="1" s="1"/>
  <c r="J30" i="1"/>
  <c r="N30" i="1" s="1"/>
  <c r="L29" i="1"/>
  <c r="P29" i="1" s="1"/>
  <c r="I29" i="1"/>
  <c r="M29" i="1" s="1"/>
  <c r="K29" i="1"/>
  <c r="O29" i="1" s="1"/>
  <c r="I28" i="1"/>
  <c r="M28" i="1" s="1"/>
  <c r="K26" i="1"/>
  <c r="O26" i="1" s="1"/>
  <c r="I25" i="1"/>
  <c r="M25" i="1" s="1"/>
  <c r="L25" i="1"/>
  <c r="P25" i="1" s="1"/>
  <c r="I20" i="1"/>
  <c r="M20" i="1" s="1"/>
  <c r="J20" i="1"/>
  <c r="N20" i="1" s="1"/>
  <c r="L20" i="1"/>
  <c r="P20" i="1" s="1"/>
  <c r="L24" i="1"/>
  <c r="P24" i="1" s="1"/>
  <c r="J18" i="1"/>
  <c r="N18" i="1" s="1"/>
  <c r="L18" i="1"/>
  <c r="P18" i="1" s="1"/>
  <c r="L21" i="1"/>
  <c r="P21" i="1" s="1"/>
  <c r="K21" i="1"/>
  <c r="O21" i="1" s="1"/>
  <c r="K17" i="1"/>
  <c r="O17" i="1" s="1"/>
  <c r="J17" i="1"/>
  <c r="N17" i="1" s="1"/>
  <c r="J16" i="1"/>
  <c r="N16" i="1" s="1"/>
  <c r="K16" i="1"/>
  <c r="O16" i="1" s="1"/>
  <c r="L16" i="1"/>
  <c r="P16" i="1" s="1"/>
  <c r="L15" i="1"/>
  <c r="P15" i="1" s="1"/>
  <c r="K15" i="1"/>
  <c r="O15" i="1" s="1"/>
  <c r="J15" i="1"/>
  <c r="N15" i="1" s="1"/>
  <c r="L14" i="1"/>
  <c r="P14" i="1" s="1"/>
  <c r="J14" i="1"/>
  <c r="N14" i="1" s="1"/>
  <c r="K14" i="1"/>
  <c r="O14" i="1" s="1"/>
  <c r="K13" i="1"/>
  <c r="O13" i="1" s="1"/>
  <c r="J12" i="1"/>
  <c r="N12" i="1" s="1"/>
  <c r="I12" i="1"/>
  <c r="M12" i="1" s="1"/>
  <c r="L11" i="1"/>
  <c r="P11" i="1" s="1"/>
  <c r="J11" i="1"/>
  <c r="N11" i="1" s="1"/>
  <c r="L10" i="1"/>
  <c r="P10" i="1" s="1"/>
  <c r="I10" i="1"/>
  <c r="M10" i="1" s="1"/>
  <c r="K10" i="1"/>
  <c r="O10" i="1" s="1"/>
  <c r="L32" i="1"/>
  <c r="P32" i="1" s="1"/>
  <c r="K27" i="1"/>
  <c r="O27" i="1" s="1"/>
  <c r="J32" i="1"/>
  <c r="N32" i="1" s="1"/>
  <c r="I27" i="1"/>
  <c r="M27" i="1" s="1"/>
  <c r="L22" i="1"/>
  <c r="P22" i="1" s="1"/>
  <c r="J25" i="1"/>
  <c r="N25" i="1" s="1"/>
  <c r="L27" i="1"/>
  <c r="P27" i="1" s="1"/>
  <c r="I24" i="1"/>
  <c r="M24" i="1" s="1"/>
  <c r="K28" i="1"/>
  <c r="O28" i="1" s="1"/>
  <c r="J31" i="1"/>
  <c r="N31" i="1" s="1"/>
  <c r="J13" i="1"/>
  <c r="N13" i="1" s="1"/>
  <c r="L13" i="1"/>
  <c r="P13" i="1" s="1"/>
  <c r="J22" i="1"/>
  <c r="N22" i="1" s="1"/>
  <c r="L23" i="1"/>
  <c r="P23" i="1" s="1"/>
  <c r="J23" i="1"/>
  <c r="N23" i="1" s="1"/>
  <c r="J28" i="1"/>
  <c r="N28" i="1" s="1"/>
  <c r="I31" i="1"/>
  <c r="M31" i="1" s="1"/>
  <c r="L17" i="1"/>
  <c r="P17" i="1" s="1"/>
  <c r="I30" i="1"/>
  <c r="M30" i="1" s="1"/>
  <c r="J21" i="1"/>
  <c r="N21" i="1" s="1"/>
  <c r="L31" i="1"/>
  <c r="P31" i="1" s="1"/>
  <c r="K30" i="1"/>
  <c r="O30" i="1" s="1"/>
  <c r="AL20" i="1" l="1"/>
  <c r="AL21" i="1" s="1"/>
  <c r="AL22" i="1" s="1"/>
  <c r="AL23" i="1" s="1"/>
  <c r="AL24" i="1" s="1"/>
  <c r="AL26" i="1" s="1"/>
  <c r="AL33" i="1" s="1"/>
  <c r="AL34" i="1" s="1"/>
  <c r="AL35" i="1" s="1"/>
  <c r="I40" i="2"/>
  <c r="U40" i="2"/>
  <c r="U41" i="2" s="1"/>
  <c r="U42" i="2" s="1"/>
  <c r="U43" i="2" s="1"/>
  <c r="B15" i="2"/>
  <c r="I41" i="2" l="1"/>
  <c r="I42" i="2" s="1"/>
  <c r="I43" i="2" s="1"/>
  <c r="I44" i="2" s="1"/>
  <c r="I45" i="2" s="1"/>
  <c r="U44" i="2"/>
  <c r="U45" i="2" s="1"/>
  <c r="AL36" i="1"/>
  <c r="AL37" i="1" s="1"/>
  <c r="B16" i="2"/>
  <c r="M15" i="2"/>
  <c r="B17" i="2" l="1"/>
  <c r="M16" i="2"/>
  <c r="B18" i="2" l="1"/>
  <c r="M17" i="2"/>
  <c r="B19" i="2" l="1"/>
  <c r="M18" i="2"/>
  <c r="B20" i="2" l="1"/>
  <c r="M20" i="2" s="1"/>
  <c r="M19" i="2"/>
  <c r="B21" i="2" l="1"/>
  <c r="B22" i="2" l="1"/>
  <c r="M21" i="2"/>
  <c r="B23" i="2" l="1"/>
  <c r="M22" i="2"/>
  <c r="B24" i="2" l="1"/>
  <c r="M23" i="2"/>
  <c r="B25" i="2" l="1"/>
  <c r="M24" i="2"/>
  <c r="B26" i="2" l="1"/>
  <c r="M25" i="2"/>
  <c r="B27" i="2" l="1"/>
  <c r="M26" i="2"/>
  <c r="B28" i="2" l="1"/>
  <c r="M27" i="2"/>
  <c r="B29" i="2" l="1"/>
  <c r="M28" i="2"/>
  <c r="B30" i="2" l="1"/>
  <c r="M29" i="2"/>
  <c r="B31" i="2" l="1"/>
  <c r="M30" i="2"/>
  <c r="B32" i="2" l="1"/>
  <c r="M31" i="2"/>
  <c r="B33" i="2" l="1"/>
  <c r="M32" i="2"/>
  <c r="B34" i="2" l="1"/>
  <c r="B35" i="2" l="1"/>
  <c r="M34" i="2"/>
  <c r="B36" i="2" l="1"/>
  <c r="M35" i="2"/>
  <c r="B37" i="2" l="1"/>
  <c r="M36" i="2"/>
  <c r="B38" i="2" l="1"/>
  <c r="M37" i="2"/>
  <c r="B39" i="2" l="1"/>
  <c r="M38" i="2"/>
  <c r="B40" i="2" l="1"/>
  <c r="M39" i="2"/>
  <c r="B41" i="2" l="1"/>
  <c r="M40" i="2"/>
  <c r="B42" i="2" l="1"/>
  <c r="M41" i="2"/>
  <c r="B43" i="2" l="1"/>
  <c r="M42" i="2"/>
  <c r="M43" i="2" l="1"/>
  <c r="B44" i="2"/>
  <c r="B45" i="2" s="1"/>
  <c r="M45" i="2" s="1"/>
  <c r="M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<sst xmlns="http://schemas.openxmlformats.org/spreadsheetml/2006/main" count="126" uniqueCount="72">
  <si>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</si>
  <si>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</si>
  <si>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</si>
  <si>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</si>
  <si>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</si>
  <si>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</si>
  <si>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</si>
  <si>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</si>
  <si>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</si>
  <si>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</si>
  <si>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</si>
  <si>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</si>
  <si>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</si>
  <si>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</si>
  <si>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</si>
  <si>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</si>
  <si>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</si>
  <si>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</si>
  <si>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</si>
  <si>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</si>
  <si>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</si>
  <si>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</si>
  <si>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</si>
  <si>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</si>
  <si>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</si>
  <si>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</si>
  <si>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</si>
  <si>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</si>
  <si>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</si>
  <si>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</si>
  <si>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</si>
  <si>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</si>
  <si>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</si>
  <si>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</si>
  <si>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</si>
  <si>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</si>
  <si>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</si>
  <si>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</si>
  <si>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</si>
  <si>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</si>
  <si>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</si>
  <si>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</si>
  <si>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</si>
  <si>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</si>
  <si>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</si>
  <si>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</si>
  <si>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</si>
  <si>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</si>
  <si>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</si>
  <si>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</si>
  <si>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</si>
  <si>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</si>
  <si>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</si>
  <si>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</si>
  <si>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</si>
  <si>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</si>
  <si>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</si>
  <si>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</si>
  <si>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</si>
  <si>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</si>
  <si>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</si>
  <si>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</si>
  <si>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</si>
  <si>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</si>
  <si>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</si>
  <si>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</si>
  <si>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</si>
  <si>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</si>
  <si>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</si>
  <si>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0.00</t>
  </si>
  <si>
    <t>20.00</t>
  </si>
  <si>
    <t>10;45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</si>
</sst>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5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165" fontId="8" fillId="0" borderId="50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5" fontId="9" fillId="9" borderId="47" xfId="0" applyNumberFormat="1" applyFont="1" applyFill="1" applyBorder="1" applyAlignment="1">
      <alignment horizontal="center"/>
    </xf>
    <xf numFmtId="0" fontId="4" fillId="0" borderId="65" xfId="0" applyFont="1" applyBorder="1" applyAlignment="1">
      <alignment horizontal="center"/>
    </xf>
    <xf numFmtId="166" fontId="8" fillId="9" borderId="55" xfId="1" applyNumberFormat="1" applyFont="1" applyFill="1" applyBorder="1" applyAlignment="1">
      <alignment horizontal="center"/>
    </xf>
    <xf numFmtId="165" fontId="4" fillId="0" borderId="58" xfId="2" applyNumberFormat="1" applyFont="1" applyFill="1" applyBorder="1" applyAlignment="1">
      <alignment horizontal="center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85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</c:numCache>
            </c:numRef>
          </c:cat>
          <c:val>
            <c:numRef>
              <c:f>'SEAT-SERs'!$D$7:$D$18</c:f>
              <c:numCache>
                <c:formatCode>#,##0\ "Kwh"</c:formatCode>
                <c:ptCount val="12"/>
                <c:pt idx="0">
                  <c:v>54108</c:v>
                </c:pt>
                <c:pt idx="1">
                  <c:v>54172</c:v>
                </c:pt>
                <c:pt idx="2">
                  <c:v>54220</c:v>
                </c:pt>
                <c:pt idx="3">
                  <c:v>52000</c:v>
                </c:pt>
                <c:pt idx="4">
                  <c:v>52400</c:v>
                </c:pt>
                <c:pt idx="5">
                  <c:v>32110</c:v>
                </c:pt>
                <c:pt idx="6">
                  <c:v>28422</c:v>
                </c:pt>
                <c:pt idx="7">
                  <c:v>28098</c:v>
                </c:pt>
                <c:pt idx="8">
                  <c:v>51594</c:v>
                </c:pt>
                <c:pt idx="9">
                  <c:v>52162</c:v>
                </c:pt>
                <c:pt idx="10">
                  <c:v>53218</c:v>
                </c:pt>
                <c:pt idx="11">
                  <c:v>53238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'SEAT-SERs'!$B$7:$B$18</c15:sqref>
                        </c15:formulaRef>
                      </c:ext>
                    </c:extLst>
                    <c:numCache>
                      <c:formatCode>dd/mm/yy;@</c:formatCode>
                      <c:ptCount val="12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</c:numCache>
            </c:numRef>
          </c:cat>
          <c:val>
            <c:numRef>
              <c:f>'SEAT-SERs'!$F$7:$F$18</c:f>
              <c:numCache>
                <c:formatCode>#,##0\ "Kwh"</c:formatCode>
                <c:ptCount val="12"/>
                <c:pt idx="0">
                  <c:v>47358.71</c:v>
                </c:pt>
                <c:pt idx="1">
                  <c:v>47285.59</c:v>
                </c:pt>
                <c:pt idx="2">
                  <c:v>47425</c:v>
                </c:pt>
                <c:pt idx="3">
                  <c:v>45370</c:v>
                </c:pt>
                <c:pt idx="4">
                  <c:v>45620</c:v>
                </c:pt>
                <c:pt idx="5">
                  <c:v>25607</c:v>
                </c:pt>
                <c:pt idx="6">
                  <c:v>22126.28</c:v>
                </c:pt>
                <c:pt idx="7">
                  <c:v>21643</c:v>
                </c:pt>
                <c:pt idx="8">
                  <c:v>44950.36</c:v>
                </c:pt>
                <c:pt idx="9">
                  <c:v>45464</c:v>
                </c:pt>
                <c:pt idx="10">
                  <c:v>46594</c:v>
                </c:pt>
                <c:pt idx="11">
                  <c:v>46552.62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810556262679557"/>
          <c:y val="0.22546791970382762"/>
          <c:w val="0.68856108367877211"/>
          <c:h val="0.6431328352692393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'SEAT-SERs'!$H$7:$H$18</c:f>
              <c:numCache>
                <c:formatCode>#,##0\ "Kwh"</c:formatCode>
                <c:ptCount val="12"/>
                <c:pt idx="0">
                  <c:v>6749.29</c:v>
                </c:pt>
                <c:pt idx="1">
                  <c:v>6886.41</c:v>
                </c:pt>
                <c:pt idx="2">
                  <c:v>6795</c:v>
                </c:pt>
                <c:pt idx="3">
                  <c:v>6630</c:v>
                </c:pt>
                <c:pt idx="4">
                  <c:v>6780</c:v>
                </c:pt>
                <c:pt idx="5">
                  <c:v>6503</c:v>
                </c:pt>
                <c:pt idx="6">
                  <c:v>6295.7199999999993</c:v>
                </c:pt>
                <c:pt idx="7">
                  <c:v>6455</c:v>
                </c:pt>
                <c:pt idx="8">
                  <c:v>6643.6399999999994</c:v>
                </c:pt>
                <c:pt idx="9">
                  <c:v>6698</c:v>
                </c:pt>
                <c:pt idx="10">
                  <c:v>6624</c:v>
                </c:pt>
                <c:pt idx="11">
                  <c:v>6685.38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B-4D7D-9D79-CD5F7F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185152"/>
        <c:axId val="1839190560"/>
      </c:lineChart>
      <c:catAx>
        <c:axId val="183918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90560"/>
        <c:crosses val="autoZero"/>
        <c:auto val="1"/>
        <c:lblAlgn val="ctr"/>
        <c:lblOffset val="100"/>
        <c:noMultiLvlLbl val="0"/>
      </c:catAx>
      <c:valAx>
        <c:axId val="1839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018790524530543"/>
          <c:y val="0.22340111419076794"/>
          <c:w val="0.64337923307230283"/>
          <c:h val="0.616173662567531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SAFs!$J$48:$J$78</c:f>
              <c:numCache>
                <c:formatCode>#,##0\ "Kwh"</c:formatCode>
                <c:ptCount val="31"/>
                <c:pt idx="0">
                  <c:v>2352</c:v>
                </c:pt>
                <c:pt idx="1">
                  <c:v>2938.1800000000003</c:v>
                </c:pt>
                <c:pt idx="2">
                  <c:v>3000.1000000000004</c:v>
                </c:pt>
                <c:pt idx="3">
                  <c:v>3061</c:v>
                </c:pt>
                <c:pt idx="4">
                  <c:v>2918</c:v>
                </c:pt>
                <c:pt idx="5">
                  <c:v>2921</c:v>
                </c:pt>
                <c:pt idx="6">
                  <c:v>2565</c:v>
                </c:pt>
                <c:pt idx="7">
                  <c:v>2514</c:v>
                </c:pt>
                <c:pt idx="8">
                  <c:v>2889.2800000000007</c:v>
                </c:pt>
                <c:pt idx="9">
                  <c:v>0</c:v>
                </c:pt>
                <c:pt idx="10">
                  <c:v>2987</c:v>
                </c:pt>
                <c:pt idx="11">
                  <c:v>2927</c:v>
                </c:pt>
                <c:pt idx="12">
                  <c:v>2926.21</c:v>
                </c:pt>
                <c:pt idx="13">
                  <c:v>2483.17</c:v>
                </c:pt>
                <c:pt idx="14">
                  <c:v>2283</c:v>
                </c:pt>
                <c:pt idx="15">
                  <c:v>2936</c:v>
                </c:pt>
                <c:pt idx="16">
                  <c:v>3127</c:v>
                </c:pt>
                <c:pt idx="17">
                  <c:v>2954</c:v>
                </c:pt>
                <c:pt idx="18">
                  <c:v>2994</c:v>
                </c:pt>
                <c:pt idx="19">
                  <c:v>2906</c:v>
                </c:pt>
                <c:pt idx="20">
                  <c:v>2435</c:v>
                </c:pt>
                <c:pt idx="21">
                  <c:v>2403</c:v>
                </c:pt>
                <c:pt idx="22">
                  <c:v>3046</c:v>
                </c:pt>
                <c:pt idx="23">
                  <c:v>3027</c:v>
                </c:pt>
                <c:pt idx="24">
                  <c:v>2641</c:v>
                </c:pt>
                <c:pt idx="25">
                  <c:v>2472</c:v>
                </c:pt>
                <c:pt idx="26">
                  <c:v>2752</c:v>
                </c:pt>
                <c:pt idx="27">
                  <c:v>2508</c:v>
                </c:pt>
                <c:pt idx="28">
                  <c:v>2435</c:v>
                </c:pt>
                <c:pt idx="29">
                  <c:v>2973</c:v>
                </c:pt>
                <c:pt idx="30">
                  <c:v>2975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A-4936-9D31-DF7BEEE6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83056"/>
        <c:axId val="390285968"/>
      </c:scatterChart>
      <c:valAx>
        <c:axId val="3902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5968"/>
        <c:crosses val="autoZero"/>
        <c:crossBetween val="midCat"/>
      </c:valAx>
      <c:valAx>
        <c:axId val="390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39</xdr:row>
      <xdr:rowOff>42862</xdr:rowOff>
    </xdr:from>
    <xdr:to>
      <xdr:col>6</xdr:col>
      <xdr:colOff>23812</xdr:colOff>
      <xdr:row>52</xdr:row>
      <xdr:rowOff>182562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39</xdr:row>
      <xdr:rowOff>42862</xdr:rowOff>
    </xdr:from>
    <xdr:to>
      <xdr:col>15</xdr:col>
      <xdr:colOff>31750</xdr:colOff>
      <xdr:row>52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55561</xdr:colOff>
      <xdr:row>39</xdr:row>
      <xdr:rowOff>47625</xdr:rowOff>
    </xdr:from>
    <xdr:to>
      <xdr:col>9</xdr:col>
      <xdr:colOff>666749</xdr:colOff>
      <xdr:row>52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8814-1448-4974-AF54-1FE5D7E69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116897</xdr:colOff>
      <xdr:row>51</xdr:row>
      <xdr:rowOff>185551</xdr:rowOff>
    </xdr:from>
    <xdr:to>
      <xdr:col>17</xdr:col>
      <xdr:colOff>389660</xdr:colOff>
      <xdr:row>62</xdr:row>
      <xdr:rowOff>71255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9934D-C1AE-44EA-B79B-2A7F3DC68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1"/>
  <sheetViews>
    <sheetView tabSelected="1" topLeftCell="H1" zoomScale="136" zoomScaleNormal="136" zoomScaleSheetLayoutView="120" workbookViewId="0">
      <selection activeCell="H37" sqref="H37"/>
    </sheetView>
  </sheetViews>
  <sheetFormatPr baseColWidth="10" defaultColWidth="11.44140625" defaultRowHeight="14.4" x14ac:dyDescent="0.3"/>
  <cols>
    <col min="1" max="1" width="2.33203125" style="134" customWidth="1"/>
    <col min="2" max="2" width="10.44140625" style="14" customWidth="1"/>
    <col min="3" max="3" width="2.33203125" style="167" customWidth="1"/>
    <col min="4" max="4" width="15.88671875" style="14" customWidth="1"/>
    <col min="5" max="5" width="10" style="14" customWidth="1"/>
    <col min="6" max="6" width="13.109375" style="14" customWidth="1"/>
    <col min="7" max="7" width="9.33203125" style="14" customWidth="1"/>
    <col min="8" max="8" width="15.109375" style="14" customWidth="1"/>
    <col min="9" max="9" width="10.44140625" style="14" customWidth="1"/>
    <col min="10" max="12" width="10.33203125" style="14" customWidth="1"/>
    <col min="13" max="13" width="11.5546875" style="14" customWidth="1"/>
    <col min="14" max="15" width="11.6640625" style="14" customWidth="1"/>
    <col min="16" max="16" width="11.5546875" style="14" customWidth="1"/>
    <col min="17" max="17" width="10.33203125" style="14" customWidth="1"/>
    <col min="18" max="22" width="11.6640625" style="14" customWidth="1"/>
    <col min="23" max="23" width="10.44140625" style="14" customWidth="1"/>
    <col min="24" max="27" width="11.6640625" style="14" customWidth="1"/>
    <col min="28" max="28" width="11.6640625" style="13" customWidth="1"/>
    <col min="29" max="29" width="9.6640625" style="14" customWidth="1"/>
    <col min="30" max="30" width="10.33203125" style="14" customWidth="1"/>
    <col min="31" max="31" width="10.5546875" style="14" customWidth="1"/>
    <col min="32" max="32" width="12" style="14" customWidth="1"/>
    <col min="33" max="33" width="13.44140625" style="14" customWidth="1"/>
    <col min="34" max="34" width="11.44140625" style="14" customWidth="1"/>
    <col min="35" max="35" width="9.5546875" style="14" customWidth="1"/>
    <col min="36" max="36" width="10.33203125" style="14" customWidth="1"/>
    <col min="37" max="37" width="8.5546875" style="14" customWidth="1"/>
    <col min="38" max="39" width="10.33203125" style="14" customWidth="1"/>
    <col min="40" max="40" width="9.6640625" style="14" customWidth="1"/>
    <col min="41" max="41" width="11" style="14" customWidth="1"/>
    <col min="42" max="42" width="11.88671875" style="14" customWidth="1"/>
    <col min="43" max="43" width="11.33203125" style="14" customWidth="1"/>
    <col min="44" max="44" width="12" style="14" customWidth="1"/>
    <col min="45" max="45" width="11.33203125" style="14" customWidth="1"/>
    <col min="46" max="46" width="9.33203125" style="14" customWidth="1"/>
    <col min="47" max="47" width="9.44140625" style="14" customWidth="1"/>
    <col min="48" max="52" width="10.44140625" style="14" customWidth="1"/>
    <col min="53" max="53" width="10.5546875" style="14" customWidth="1"/>
    <col min="54" max="61" width="10.44140625" style="14" customWidth="1"/>
    <col min="62" max="62" width="11" style="14" customWidth="1"/>
    <col min="63" max="63" width="11.33203125" style="14" customWidth="1"/>
    <col min="64" max="64" width="13.88671875" style="14" customWidth="1"/>
    <col min="65" max="65" width="13.33203125" style="14" customWidth="1"/>
    <col min="66" max="66" width="12.6640625" style="14" customWidth="1"/>
    <col min="67" max="67" width="10.44140625" style="14" customWidth="1"/>
    <col min="68" max="68" width="10.33203125" style="14" customWidth="1"/>
    <col min="69" max="69" width="10.44140625" style="14" customWidth="1"/>
    <col min="70" max="70" width="9.33203125" style="14" customWidth="1"/>
    <col min="71" max="71" width="2.6640625" style="14" customWidth="1"/>
    <col min="72" max="72" width="6.88671875" style="14" customWidth="1"/>
    <col min="73" max="73" width="6.44140625" style="14" customWidth="1"/>
    <col min="74" max="16384" width="11.44140625" style="14"/>
  </cols>
  <sheetData>
    <row r="1" spans="1:71" s="133" customFormat="1" ht="14.7" customHeight="1" x14ac:dyDescent="0.3">
      <c r="A1" s="127">
        <v>1.1111111E+55</v>
      </c>
      <c r="B1" s="186" t="s">
        <v>0</v>
      </c>
      <c r="C1" s="128"/>
      <c r="D1" s="188" t="s">
        <v>1</v>
      </c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90"/>
      <c r="P1" s="191"/>
      <c r="Q1" s="129"/>
      <c r="R1" s="196" t="s">
        <v>2</v>
      </c>
      <c r="S1" s="197"/>
      <c r="T1" s="197"/>
      <c r="U1" s="197"/>
      <c r="V1" s="197"/>
      <c r="W1" s="197"/>
      <c r="X1" s="197"/>
      <c r="Y1" s="197"/>
      <c r="Z1" s="197"/>
      <c r="AA1" s="198"/>
      <c r="AB1" s="130"/>
      <c r="AC1" s="196" t="s">
        <v>3</v>
      </c>
      <c r="AD1" s="197"/>
      <c r="AE1" s="197"/>
      <c r="AF1" s="197"/>
      <c r="AG1" s="197"/>
      <c r="AH1" s="197"/>
      <c r="AI1" s="197"/>
      <c r="AJ1" s="197"/>
      <c r="AK1" s="198"/>
      <c r="AL1" s="131"/>
      <c r="AM1" s="196" t="s">
        <v>4</v>
      </c>
      <c r="AN1" s="197"/>
      <c r="AO1" s="197"/>
      <c r="AP1" s="197"/>
      <c r="AQ1" s="197"/>
      <c r="AR1" s="197"/>
      <c r="AS1" s="197"/>
      <c r="AT1" s="197"/>
      <c r="AU1" s="198"/>
      <c r="AV1" s="131"/>
      <c r="AW1" s="196" t="s">
        <v>57</v>
      </c>
      <c r="AX1" s="197"/>
      <c r="AY1" s="197"/>
      <c r="AZ1" s="197"/>
      <c r="BA1" s="197"/>
      <c r="BB1" s="197"/>
      <c r="BC1" s="197"/>
      <c r="BD1" s="197"/>
      <c r="BE1" s="197"/>
      <c r="BF1" s="197"/>
      <c r="BG1" s="197"/>
      <c r="BH1" s="198"/>
      <c r="BI1" s="131"/>
      <c r="BJ1" s="196" t="s">
        <v>5</v>
      </c>
      <c r="BK1" s="197"/>
      <c r="BL1" s="197"/>
      <c r="BM1" s="197"/>
      <c r="BN1" s="197"/>
      <c r="BO1" s="197"/>
      <c r="BP1" s="197"/>
      <c r="BQ1" s="197"/>
      <c r="BR1" s="198"/>
      <c r="BS1" s="132"/>
    </row>
    <row r="2" spans="1:71" ht="15" customHeight="1" thickBot="1" x14ac:dyDescent="0.35">
      <c r="B2" s="186"/>
      <c r="C2" s="1"/>
      <c r="D2" s="192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4"/>
      <c r="P2" s="195"/>
      <c r="Q2" s="58"/>
      <c r="R2" s="199"/>
      <c r="S2" s="200"/>
      <c r="T2" s="200"/>
      <c r="U2" s="200"/>
      <c r="V2" s="200"/>
      <c r="W2" s="200"/>
      <c r="X2" s="200"/>
      <c r="Y2" s="200"/>
      <c r="Z2" s="200"/>
      <c r="AA2" s="201"/>
      <c r="AB2" s="60"/>
      <c r="AC2" s="199"/>
      <c r="AD2" s="200"/>
      <c r="AE2" s="200"/>
      <c r="AF2" s="200"/>
      <c r="AG2" s="200"/>
      <c r="AH2" s="200"/>
      <c r="AI2" s="200"/>
      <c r="AJ2" s="200"/>
      <c r="AK2" s="201"/>
      <c r="AL2" s="59"/>
      <c r="AM2" s="199"/>
      <c r="AN2" s="200"/>
      <c r="AO2" s="200"/>
      <c r="AP2" s="200"/>
      <c r="AQ2" s="200"/>
      <c r="AR2" s="200"/>
      <c r="AS2" s="200"/>
      <c r="AT2" s="200"/>
      <c r="AU2" s="201"/>
      <c r="AV2" s="59"/>
      <c r="AW2" s="199"/>
      <c r="AX2" s="200"/>
      <c r="AY2" s="200"/>
      <c r="AZ2" s="200"/>
      <c r="BA2" s="200"/>
      <c r="BB2" s="200"/>
      <c r="BC2" s="200"/>
      <c r="BD2" s="200"/>
      <c r="BE2" s="200"/>
      <c r="BF2" s="200"/>
      <c r="BG2" s="200"/>
      <c r="BH2" s="201"/>
      <c r="BI2" s="59"/>
      <c r="BJ2" s="199"/>
      <c r="BK2" s="200"/>
      <c r="BL2" s="200"/>
      <c r="BM2" s="200"/>
      <c r="BN2" s="200"/>
      <c r="BO2" s="200"/>
      <c r="BP2" s="200"/>
      <c r="BQ2" s="200"/>
      <c r="BR2" s="201"/>
      <c r="BS2" s="135"/>
    </row>
    <row r="3" spans="1:71" ht="30" customHeight="1" thickBot="1" x14ac:dyDescent="0.35">
      <c r="B3" s="186"/>
      <c r="C3" s="1"/>
      <c r="D3" s="205" t="s">
        <v>6</v>
      </c>
      <c r="E3" s="205" t="s">
        <v>7</v>
      </c>
      <c r="F3" s="205" t="s">
        <v>8</v>
      </c>
      <c r="G3" s="205" t="s">
        <v>9</v>
      </c>
      <c r="H3" s="205" t="s">
        <v>10</v>
      </c>
      <c r="I3" s="207" t="s">
        <v>11</v>
      </c>
      <c r="J3" s="208"/>
      <c r="K3" s="209"/>
      <c r="L3" s="210"/>
      <c r="M3" s="207" t="s">
        <v>12</v>
      </c>
      <c r="N3" s="208"/>
      <c r="O3" s="209"/>
      <c r="P3" s="210"/>
      <c r="Q3" s="58"/>
      <c r="R3" s="211" t="s">
        <v>13</v>
      </c>
      <c r="S3" s="203"/>
      <c r="T3" s="212"/>
      <c r="U3" s="212"/>
      <c r="V3" s="211" t="s">
        <v>14</v>
      </c>
      <c r="W3" s="203"/>
      <c r="X3" s="203"/>
      <c r="Y3" s="203"/>
      <c r="Z3" s="203"/>
      <c r="AA3" s="204"/>
      <c r="AB3" s="60"/>
      <c r="AC3" s="213" t="s">
        <v>15</v>
      </c>
      <c r="AD3" s="215" t="s">
        <v>9</v>
      </c>
      <c r="AE3" s="211" t="s">
        <v>13</v>
      </c>
      <c r="AF3" s="203"/>
      <c r="AG3" s="204"/>
      <c r="AH3" s="211" t="s">
        <v>14</v>
      </c>
      <c r="AI3" s="203"/>
      <c r="AJ3" s="203"/>
      <c r="AK3" s="204"/>
      <c r="AL3" s="59"/>
      <c r="AM3" s="216" t="s">
        <v>15</v>
      </c>
      <c r="AN3" s="213" t="s">
        <v>9</v>
      </c>
      <c r="AO3" s="202" t="s">
        <v>13</v>
      </c>
      <c r="AP3" s="203"/>
      <c r="AQ3" s="204"/>
      <c r="AR3" s="211" t="s">
        <v>14</v>
      </c>
      <c r="AS3" s="203"/>
      <c r="AT3" s="203"/>
      <c r="AU3" s="204"/>
      <c r="AV3" s="59"/>
      <c r="AW3" s="213" t="s">
        <v>15</v>
      </c>
      <c r="AX3" s="213" t="s">
        <v>9</v>
      </c>
      <c r="AY3" s="202" t="s">
        <v>13</v>
      </c>
      <c r="AZ3" s="202"/>
      <c r="BA3" s="203"/>
      <c r="BB3" s="204"/>
      <c r="BC3" s="211" t="s">
        <v>14</v>
      </c>
      <c r="BD3" s="202"/>
      <c r="BE3" s="202"/>
      <c r="BF3" s="203"/>
      <c r="BG3" s="203"/>
      <c r="BH3" s="204"/>
      <c r="BI3" s="59"/>
      <c r="BJ3" s="216" t="s">
        <v>16</v>
      </c>
      <c r="BK3" s="213" t="s">
        <v>17</v>
      </c>
      <c r="BL3" s="217" t="s">
        <v>18</v>
      </c>
      <c r="BM3" s="218"/>
      <c r="BN3" s="219"/>
      <c r="BO3" s="202" t="s">
        <v>14</v>
      </c>
      <c r="BP3" s="203"/>
      <c r="BQ3" s="203"/>
      <c r="BR3" s="204"/>
      <c r="BS3" s="135"/>
    </row>
    <row r="4" spans="1:71" ht="56.25" customHeight="1" thickBot="1" x14ac:dyDescent="0.35">
      <c r="B4" s="187"/>
      <c r="C4" s="2"/>
      <c r="D4" s="206"/>
      <c r="E4" s="206"/>
      <c r="F4" s="206"/>
      <c r="G4" s="206"/>
      <c r="H4" s="206"/>
      <c r="I4" s="80" t="s">
        <v>3</v>
      </c>
      <c r="J4" s="81" t="s">
        <v>4</v>
      </c>
      <c r="K4" s="82" t="s">
        <v>57</v>
      </c>
      <c r="L4" s="82" t="s">
        <v>5</v>
      </c>
      <c r="M4" s="81" t="s">
        <v>3</v>
      </c>
      <c r="N4" s="81" t="s">
        <v>4</v>
      </c>
      <c r="O4" s="81" t="s">
        <v>57</v>
      </c>
      <c r="P4" s="81" t="s">
        <v>19</v>
      </c>
      <c r="Q4" s="60"/>
      <c r="R4" s="122" t="s">
        <v>20</v>
      </c>
      <c r="S4" s="62" t="s">
        <v>21</v>
      </c>
      <c r="T4" s="62" t="s">
        <v>59</v>
      </c>
      <c r="U4" s="62" t="s">
        <v>22</v>
      </c>
      <c r="V4" s="123" t="s">
        <v>23</v>
      </c>
      <c r="W4" s="62" t="s">
        <v>24</v>
      </c>
      <c r="X4" s="123" t="s">
        <v>25</v>
      </c>
      <c r="Y4" s="62" t="s">
        <v>24</v>
      </c>
      <c r="Z4" s="125" t="s">
        <v>26</v>
      </c>
      <c r="AA4" s="125" t="s">
        <v>24</v>
      </c>
      <c r="AB4" s="60"/>
      <c r="AC4" s="214"/>
      <c r="AD4" s="197"/>
      <c r="AE4" s="62" t="s">
        <v>27</v>
      </c>
      <c r="AF4" s="122" t="s">
        <v>28</v>
      </c>
      <c r="AG4" s="62" t="s">
        <v>29</v>
      </c>
      <c r="AH4" s="124" t="s">
        <v>30</v>
      </c>
      <c r="AI4" s="62" t="s">
        <v>24</v>
      </c>
      <c r="AJ4" s="62" t="s">
        <v>31</v>
      </c>
      <c r="AK4" s="62" t="s">
        <v>24</v>
      </c>
      <c r="AL4" s="61"/>
      <c r="AM4" s="196"/>
      <c r="AN4" s="214"/>
      <c r="AO4" s="123" t="s">
        <v>27</v>
      </c>
      <c r="AP4" s="62" t="s">
        <v>28</v>
      </c>
      <c r="AQ4" s="122" t="s">
        <v>29</v>
      </c>
      <c r="AR4" s="62" t="s">
        <v>30</v>
      </c>
      <c r="AS4" s="123" t="s">
        <v>24</v>
      </c>
      <c r="AT4" s="62" t="s">
        <v>31</v>
      </c>
      <c r="AU4" s="124" t="s">
        <v>24</v>
      </c>
      <c r="AV4" s="61"/>
      <c r="AW4" s="214"/>
      <c r="AX4" s="214"/>
      <c r="AY4" s="123" t="s">
        <v>27</v>
      </c>
      <c r="AZ4" s="62" t="s">
        <v>58</v>
      </c>
      <c r="BA4" s="123" t="s">
        <v>60</v>
      </c>
      <c r="BB4" s="62" t="s">
        <v>29</v>
      </c>
      <c r="BC4" s="123" t="s">
        <v>55</v>
      </c>
      <c r="BD4" s="62" t="s">
        <v>24</v>
      </c>
      <c r="BE4" s="123" t="s">
        <v>56</v>
      </c>
      <c r="BF4" s="62" t="s">
        <v>24</v>
      </c>
      <c r="BG4" s="123" t="s">
        <v>31</v>
      </c>
      <c r="BH4" s="62" t="s">
        <v>24</v>
      </c>
      <c r="BI4" s="61"/>
      <c r="BJ4" s="196"/>
      <c r="BK4" s="214"/>
      <c r="BL4" s="123" t="s">
        <v>32</v>
      </c>
      <c r="BM4" s="62" t="s">
        <v>33</v>
      </c>
      <c r="BN4" s="62" t="s">
        <v>34</v>
      </c>
      <c r="BO4" s="62" t="s">
        <v>35</v>
      </c>
      <c r="BP4" s="123" t="s">
        <v>24</v>
      </c>
      <c r="BQ4" s="62" t="s">
        <v>36</v>
      </c>
      <c r="BR4" s="124" t="s">
        <v>24</v>
      </c>
      <c r="BS4" s="136"/>
    </row>
    <row r="5" spans="1:71" ht="15" thickBot="1" x14ac:dyDescent="0.35">
      <c r="B5" s="137"/>
      <c r="C5" s="138"/>
      <c r="D5" s="83"/>
      <c r="E5" s="71"/>
      <c r="F5" s="83"/>
      <c r="G5" s="71"/>
      <c r="H5" s="84"/>
      <c r="I5" s="85"/>
      <c r="J5" s="71"/>
      <c r="K5" s="86"/>
      <c r="L5" s="86"/>
      <c r="M5" s="84"/>
      <c r="N5" s="84"/>
      <c r="O5" s="84"/>
      <c r="P5" s="84"/>
      <c r="Q5" s="63"/>
      <c r="R5" s="139"/>
      <c r="S5" s="140"/>
      <c r="T5" s="140"/>
      <c r="U5" s="140"/>
      <c r="V5" s="141"/>
      <c r="W5" s="142"/>
      <c r="X5" s="141"/>
      <c r="Y5" s="142"/>
      <c r="Z5" s="141"/>
      <c r="AA5" s="142"/>
      <c r="AB5" s="64"/>
      <c r="AC5" s="143"/>
      <c r="AD5" s="144"/>
      <c r="AE5" s="94"/>
      <c r="AF5" s="119"/>
      <c r="AG5" s="94"/>
      <c r="AH5" s="94"/>
      <c r="AI5" s="95"/>
      <c r="AJ5" s="96"/>
      <c r="AK5" s="97"/>
      <c r="AL5" s="67"/>
      <c r="AM5" s="68"/>
      <c r="AN5" s="69"/>
      <c r="AO5" s="98"/>
      <c r="AP5" s="116"/>
      <c r="AQ5" s="99"/>
      <c r="AR5" s="100"/>
      <c r="AS5" s="101"/>
      <c r="AT5" s="102"/>
      <c r="AU5" s="103"/>
      <c r="AV5" s="67"/>
      <c r="AW5" s="104"/>
      <c r="AX5" s="105"/>
      <c r="AY5" s="106"/>
      <c r="AZ5" s="107"/>
      <c r="BA5" s="121"/>
      <c r="BB5" s="108"/>
      <c r="BC5" s="108"/>
      <c r="BD5" s="109"/>
      <c r="BE5" s="108"/>
      <c r="BF5" s="109"/>
      <c r="BG5" s="108"/>
      <c r="BH5" s="109"/>
      <c r="BI5" s="67"/>
      <c r="BJ5" s="72"/>
      <c r="BK5" s="69"/>
      <c r="BL5" s="73"/>
      <c r="BM5" s="65"/>
      <c r="BN5" s="65"/>
      <c r="BO5" s="70"/>
      <c r="BP5" s="74"/>
      <c r="BQ5" s="75"/>
      <c r="BR5" s="66"/>
      <c r="BS5" s="145"/>
    </row>
    <row r="6" spans="1:71" ht="15" thickBot="1" x14ac:dyDescent="0.35">
      <c r="B6" s="168">
        <v>45991</v>
      </c>
      <c r="C6" s="183"/>
      <c r="D6" s="87">
        <f t="shared" ref="D6" si="0">R6</f>
        <v>30250</v>
      </c>
      <c r="E6" s="159">
        <f t="shared" ref="E6" si="1">F6/D6</f>
        <v>0.7900165289256198</v>
      </c>
      <c r="F6" s="87">
        <f t="shared" ref="F6" si="2">D6-H6</f>
        <v>23898</v>
      </c>
      <c r="G6" s="159">
        <f t="shared" ref="G6" si="3">H6/D6</f>
        <v>0.20998347107438017</v>
      </c>
      <c r="H6" s="146">
        <f t="shared" ref="H6" si="4">U6+AG6+AQ6+BB6</f>
        <v>6352</v>
      </c>
      <c r="I6" s="160">
        <f t="shared" ref="I6" si="5">AE6/(AE6+AO6+BL6+AY6)</f>
        <v>5.9618794326241134E-2</v>
      </c>
      <c r="J6" s="159">
        <f t="shared" ref="J6" si="6">AO6/(AE6+AO6+BL6+AY6)</f>
        <v>0.14652593085106383</v>
      </c>
      <c r="K6" s="159">
        <f t="shared" ref="K6" si="7">AY6/(AF6+AP6+BM6+AZ6+AY6)</f>
        <v>0.2474152289368656</v>
      </c>
      <c r="L6" s="161">
        <f t="shared" ref="L6" si="8">BL6/(AE6+AO6+BL6+AY6)</f>
        <v>0.57574246453900713</v>
      </c>
      <c r="M6" s="146">
        <f>(S6+T6)*I6</f>
        <v>1730.3758865248226</v>
      </c>
      <c r="N6" s="146">
        <f>(S6+T6)*J6</f>
        <v>4252.7686170212764</v>
      </c>
      <c r="O6" s="146">
        <f>(S6+T6)*K6</f>
        <v>7180.9796046635875</v>
      </c>
      <c r="P6" s="146">
        <f>(S6+T6)*L6</f>
        <v>16710.349290780141</v>
      </c>
      <c r="Q6" s="56">
        <v>45991</v>
      </c>
      <c r="R6" s="139">
        <v>30250</v>
      </c>
      <c r="S6" s="140">
        <v>0</v>
      </c>
      <c r="T6" s="140">
        <v>29024</v>
      </c>
      <c r="U6" s="140">
        <v>0</v>
      </c>
      <c r="V6" s="141">
        <v>6370</v>
      </c>
      <c r="W6" s="142">
        <v>0.92708333333333337</v>
      </c>
      <c r="X6" s="141">
        <v>2135</v>
      </c>
      <c r="Y6" s="142">
        <v>0.76041666666666663</v>
      </c>
      <c r="Z6" s="141">
        <v>0</v>
      </c>
      <c r="AA6" s="142">
        <v>0</v>
      </c>
      <c r="AB6" s="56">
        <v>45991</v>
      </c>
      <c r="AC6" s="76">
        <f t="shared" ref="AC6" si="9">+AF6/AE6</f>
        <v>1</v>
      </c>
      <c r="AD6" s="162">
        <f t="shared" ref="AD6" si="10">+AG6/AE6</f>
        <v>0</v>
      </c>
      <c r="AE6" s="163">
        <v>2152</v>
      </c>
      <c r="AF6" s="118">
        <f t="shared" ref="AF6" si="11">+AE6-AG6</f>
        <v>2152</v>
      </c>
      <c r="AG6" s="147">
        <v>0</v>
      </c>
      <c r="AH6" s="148">
        <v>1643</v>
      </c>
      <c r="AI6" s="149">
        <v>0.38611111111111113</v>
      </c>
      <c r="AJ6" s="148">
        <v>0</v>
      </c>
      <c r="AK6" s="165">
        <v>0</v>
      </c>
      <c r="AL6" s="56">
        <v>45991</v>
      </c>
      <c r="AM6" s="77">
        <f t="shared" ref="AM6" si="12">+AP6/AO6</f>
        <v>0.30913216108905273</v>
      </c>
      <c r="AN6" s="76">
        <f t="shared" ref="AN6" si="13">+AQ6/AO6</f>
        <v>0.69086783891094727</v>
      </c>
      <c r="AO6" s="150">
        <v>5289</v>
      </c>
      <c r="AP6" s="117">
        <f t="shared" ref="AP6" si="14">AO6-AQ6</f>
        <v>1635</v>
      </c>
      <c r="AQ6" s="151">
        <v>3654</v>
      </c>
      <c r="AR6" s="152">
        <v>1662</v>
      </c>
      <c r="AS6" s="153">
        <v>0.76597222222222228</v>
      </c>
      <c r="AT6" s="152">
        <v>179</v>
      </c>
      <c r="AU6" s="154">
        <v>0.92708333333333337</v>
      </c>
      <c r="AV6" s="56">
        <v>45991</v>
      </c>
      <c r="AW6" s="110">
        <f t="shared" ref="AW6" si="15">BA6/AZ6</f>
        <v>0.65730979296329228</v>
      </c>
      <c r="AX6" s="110">
        <f t="shared" ref="AX6" si="16">BB6/AZ6</f>
        <v>0.34269020703670772</v>
      </c>
      <c r="AY6" s="111">
        <f t="shared" ref="AY6" si="17">BA6+BB6</f>
        <v>7873</v>
      </c>
      <c r="AZ6" s="112">
        <v>7873</v>
      </c>
      <c r="BA6" s="120">
        <f t="shared" ref="BA6" si="18">AZ6-BB6</f>
        <v>5175</v>
      </c>
      <c r="BB6" s="113">
        <v>2698</v>
      </c>
      <c r="BC6" s="112">
        <v>1854</v>
      </c>
      <c r="BD6" s="114">
        <v>0.71875</v>
      </c>
      <c r="BE6" s="115">
        <v>0</v>
      </c>
      <c r="BF6" s="114">
        <v>0</v>
      </c>
      <c r="BG6" s="115">
        <v>157</v>
      </c>
      <c r="BH6" s="114">
        <v>0.875</v>
      </c>
      <c r="BI6" s="56">
        <v>45991</v>
      </c>
      <c r="BJ6" s="78">
        <f t="shared" ref="BJ6" si="19">+BM6/BL6</f>
        <v>0.59128091617746126</v>
      </c>
      <c r="BK6" s="76">
        <f t="shared" ref="BK6" si="20">+BN6/BL6</f>
        <v>0.40871908382253874</v>
      </c>
      <c r="BL6" s="79">
        <f t="shared" ref="BL6" si="21">BM6+BN6</f>
        <v>20782</v>
      </c>
      <c r="BM6" s="155">
        <v>12288</v>
      </c>
      <c r="BN6" s="155">
        <v>8494</v>
      </c>
      <c r="BO6" s="156">
        <v>5870</v>
      </c>
      <c r="BP6" s="157">
        <v>0.46666666666666667</v>
      </c>
      <c r="BQ6" s="158">
        <v>1788</v>
      </c>
      <c r="BR6" s="157">
        <v>0.40972222222222221</v>
      </c>
    </row>
    <row r="7" spans="1:71" ht="15" thickBot="1" x14ac:dyDescent="0.35">
      <c r="A7" s="166"/>
      <c r="B7" s="56">
        <f>B6+1</f>
        <v>45992</v>
      </c>
      <c r="C7" s="126"/>
      <c r="D7" s="87">
        <f t="shared" ref="D7:D37" si="22">R7</f>
        <v>54108</v>
      </c>
      <c r="E7" s="159">
        <f t="shared" ref="E7:E10" si="23">F7/D7</f>
        <v>0.87526262290234347</v>
      </c>
      <c r="F7" s="87">
        <f t="shared" ref="F7:F37" si="24">D7-H7</f>
        <v>47358.71</v>
      </c>
      <c r="G7" s="159">
        <f t="shared" ref="G7:G10" si="25">H7/D7</f>
        <v>0.12473737709765653</v>
      </c>
      <c r="H7" s="146">
        <f t="shared" ref="H7:H37" si="26">U7+AG7+AQ7+BB7</f>
        <v>6749.29</v>
      </c>
      <c r="I7" s="160">
        <f t="shared" ref="I7:I10" si="27">AE7/(AE7+AO7+BL7+AY7)</f>
        <v>0.11934165843104581</v>
      </c>
      <c r="J7" s="159">
        <f t="shared" ref="J7:J10" si="28">AO7/(AE7+AO7+BL7+AY7)</f>
        <v>0.16055473642348039</v>
      </c>
      <c r="K7" s="159">
        <f t="shared" ref="K7:K10" si="29">AY7/(AF7+AP7+BM7+AZ7+AY7)</f>
        <v>0.17646774206502419</v>
      </c>
      <c r="L7" s="161">
        <f t="shared" ref="L7:L10" si="30">BL7/(AE7+AO7+BL7+AY7)</f>
        <v>0.56887427190928352</v>
      </c>
      <c r="M7" s="146">
        <f t="shared" ref="M7:M10" si="31">(S7+T7)*I7</f>
        <v>6274.552383500868</v>
      </c>
      <c r="N7" s="146">
        <f t="shared" ref="N7:N10" si="32">(S7+T7)*J7</f>
        <v>8441.3868330007463</v>
      </c>
      <c r="O7" s="146">
        <f t="shared" ref="O7:O10" si="33">(S7+T7)*K7</f>
        <v>9278.035064552696</v>
      </c>
      <c r="P7" s="146">
        <f t="shared" ref="P7:P10" si="34">(S7+T7)*L7</f>
        <v>29909.349892125814</v>
      </c>
      <c r="Q7" s="56">
        <f>Q6+1</f>
        <v>45992</v>
      </c>
      <c r="R7" s="139">
        <v>54108</v>
      </c>
      <c r="S7" s="140">
        <v>0</v>
      </c>
      <c r="T7" s="140">
        <v>52576.38</v>
      </c>
      <c r="U7" s="140">
        <v>0</v>
      </c>
      <c r="V7" s="141">
        <v>13724.5</v>
      </c>
      <c r="W7" s="142">
        <v>0.82291666666666663</v>
      </c>
      <c r="X7" s="141">
        <v>4376.3999999999996</v>
      </c>
      <c r="Y7" s="142">
        <v>0.84375</v>
      </c>
      <c r="Z7" s="141">
        <v>0</v>
      </c>
      <c r="AA7" s="142">
        <v>0</v>
      </c>
      <c r="AB7" s="56">
        <f>AB6+1</f>
        <v>45992</v>
      </c>
      <c r="AC7" s="76">
        <f t="shared" ref="AC7:AC10" si="35">+AF7/AE7</f>
        <v>1</v>
      </c>
      <c r="AD7" s="162">
        <f t="shared" ref="AD7:AD10" si="36">+AG7/AE7</f>
        <v>0</v>
      </c>
      <c r="AE7" s="163">
        <v>7109</v>
      </c>
      <c r="AF7" s="118">
        <f t="shared" ref="AF7:AF36" si="37">+AE7-AG7</f>
        <v>7109</v>
      </c>
      <c r="AG7" s="147">
        <v>0</v>
      </c>
      <c r="AH7" s="148">
        <v>4107</v>
      </c>
      <c r="AI7" s="149">
        <v>0.35208333333333336</v>
      </c>
      <c r="AJ7" s="148">
        <v>0</v>
      </c>
      <c r="AK7" s="165">
        <v>0</v>
      </c>
      <c r="AL7" s="56">
        <f t="shared" ref="AL7:AL37" si="38">AL6+1</f>
        <v>45992</v>
      </c>
      <c r="AM7" s="77">
        <f t="shared" ref="AM7:AM10" si="39">+AP7/AO7</f>
        <v>0.58987034713509001</v>
      </c>
      <c r="AN7" s="76">
        <f t="shared" ref="AN7:AN10" si="40">+AQ7/AO7</f>
        <v>0.4101296528649101</v>
      </c>
      <c r="AO7" s="150">
        <v>9564</v>
      </c>
      <c r="AP7" s="117">
        <f t="shared" ref="AP7:AP36" si="41">AO7-AQ7</f>
        <v>5641.52</v>
      </c>
      <c r="AQ7" s="151">
        <v>3922.48</v>
      </c>
      <c r="AR7" s="152">
        <v>3784.6</v>
      </c>
      <c r="AS7" s="153">
        <v>0.75555555555555554</v>
      </c>
      <c r="AT7" s="152">
        <v>183.9</v>
      </c>
      <c r="AU7" s="154">
        <v>0.85416666666666663</v>
      </c>
      <c r="AV7" s="56">
        <f>AV6+1</f>
        <v>45992</v>
      </c>
      <c r="AW7" s="110">
        <f t="shared" ref="AW7:AW10" si="42">BA7/AZ7</f>
        <v>0.68620636065937735</v>
      </c>
      <c r="AX7" s="110">
        <f t="shared" ref="AX7:AX10" si="43">BB7/AZ7</f>
        <v>0.31379363934062277</v>
      </c>
      <c r="AY7" s="111">
        <f t="shared" ref="AY7:AY36" si="44">BA7+BB7</f>
        <v>9008.5</v>
      </c>
      <c r="AZ7" s="112">
        <v>9008.5</v>
      </c>
      <c r="BA7" s="120">
        <f t="shared" ref="BA7:BA13" si="45">AZ7-BB7</f>
        <v>6181.6900000000005</v>
      </c>
      <c r="BB7" s="113">
        <v>2826.81</v>
      </c>
      <c r="BC7" s="112">
        <v>4135</v>
      </c>
      <c r="BD7" s="114">
        <v>0.39583333333333331</v>
      </c>
      <c r="BE7" s="115">
        <v>0</v>
      </c>
      <c r="BF7" s="114">
        <v>0</v>
      </c>
      <c r="BG7" s="115">
        <v>171.15</v>
      </c>
      <c r="BH7" s="114">
        <v>0.89583333333333337</v>
      </c>
      <c r="BI7" s="56">
        <f>BI6+1</f>
        <v>45992</v>
      </c>
      <c r="BJ7" s="78">
        <f t="shared" ref="BJ7:BJ10" si="46">+BM7/BL7</f>
        <v>0.59850349559137328</v>
      </c>
      <c r="BK7" s="76">
        <f t="shared" ref="BK7:BK10" si="47">+BN7/BL7</f>
        <v>0.40149650440862666</v>
      </c>
      <c r="BL7" s="79">
        <f t="shared" ref="BL7:BL10" si="48">BM7+BN7</f>
        <v>33886.97</v>
      </c>
      <c r="BM7" s="155">
        <v>20281.47</v>
      </c>
      <c r="BN7" s="155">
        <v>13605.5</v>
      </c>
      <c r="BO7" s="156">
        <v>5402</v>
      </c>
      <c r="BP7" s="157">
        <v>0.28055555555555556</v>
      </c>
      <c r="BQ7" s="158">
        <v>3579.9</v>
      </c>
      <c r="BR7" s="157">
        <v>0.28680555555555554</v>
      </c>
    </row>
    <row r="8" spans="1:71" ht="15" thickBot="1" x14ac:dyDescent="0.35">
      <c r="A8" s="166"/>
      <c r="B8" s="56">
        <f t="shared" ref="B8:B37" si="49">B7+1</f>
        <v>45993</v>
      </c>
      <c r="C8" s="164"/>
      <c r="D8" s="87">
        <f t="shared" si="22"/>
        <v>54172</v>
      </c>
      <c r="E8" s="159">
        <f t="shared" si="23"/>
        <v>0.87287879347264263</v>
      </c>
      <c r="F8" s="87">
        <f t="shared" si="24"/>
        <v>47285.59</v>
      </c>
      <c r="G8" s="159">
        <f t="shared" si="25"/>
        <v>0.12712120652735731</v>
      </c>
      <c r="H8" s="146">
        <f t="shared" si="26"/>
        <v>6886.41</v>
      </c>
      <c r="I8" s="160">
        <f t="shared" si="27"/>
        <v>0.11641536390352712</v>
      </c>
      <c r="J8" s="159">
        <f t="shared" si="28"/>
        <v>0.15902843851537346</v>
      </c>
      <c r="K8" s="159">
        <f t="shared" si="29"/>
        <v>0.17327377353547019</v>
      </c>
      <c r="L8" s="161">
        <f t="shared" si="30"/>
        <v>0.57664421331229454</v>
      </c>
      <c r="M8" s="146">
        <f t="shared" si="31"/>
        <v>6147.6334331764847</v>
      </c>
      <c r="N8" s="146">
        <f t="shared" si="32"/>
        <v>8397.9340240102119</v>
      </c>
      <c r="O8" s="146">
        <f t="shared" si="33"/>
        <v>9150.1981144177262</v>
      </c>
      <c r="P8" s="146">
        <f t="shared" si="34"/>
        <v>30451.283455542321</v>
      </c>
      <c r="Q8" s="56">
        <f t="shared" ref="Q8:Q37" si="50">Q7+1</f>
        <v>45993</v>
      </c>
      <c r="R8" s="139">
        <v>54172</v>
      </c>
      <c r="S8" s="140">
        <v>0</v>
      </c>
      <c r="T8" s="140">
        <v>52807.75</v>
      </c>
      <c r="U8" s="140">
        <v>0</v>
      </c>
      <c r="V8" s="141">
        <v>15543</v>
      </c>
      <c r="W8" s="142">
        <v>0.79166666666666663</v>
      </c>
      <c r="X8" s="141">
        <v>4640.12</v>
      </c>
      <c r="Y8" s="142">
        <v>0.79166666666666663</v>
      </c>
      <c r="Z8" s="141">
        <v>0</v>
      </c>
      <c r="AA8" s="142">
        <v>0</v>
      </c>
      <c r="AB8" s="56">
        <f t="shared" ref="AB8:AB37" si="51">AB7+1</f>
        <v>45993</v>
      </c>
      <c r="AC8" s="76">
        <f t="shared" si="35"/>
        <v>1</v>
      </c>
      <c r="AD8" s="162">
        <f t="shared" si="36"/>
        <v>0</v>
      </c>
      <c r="AE8" s="163">
        <v>7006</v>
      </c>
      <c r="AF8" s="118">
        <f t="shared" si="37"/>
        <v>7006</v>
      </c>
      <c r="AG8" s="147">
        <v>0</v>
      </c>
      <c r="AH8" s="148">
        <v>3920.25</v>
      </c>
      <c r="AI8" s="149">
        <v>0.74583333333333335</v>
      </c>
      <c r="AJ8" s="148">
        <v>0</v>
      </c>
      <c r="AK8" s="165">
        <v>0</v>
      </c>
      <c r="AL8" s="56">
        <f t="shared" si="38"/>
        <v>45993</v>
      </c>
      <c r="AM8" s="77">
        <f t="shared" si="39"/>
        <v>0.58292670184420869</v>
      </c>
      <c r="AN8" s="76">
        <f t="shared" si="40"/>
        <v>0.41707329815579125</v>
      </c>
      <c r="AO8" s="150">
        <v>9570.5</v>
      </c>
      <c r="AP8" s="117">
        <f t="shared" si="41"/>
        <v>5578.9</v>
      </c>
      <c r="AQ8" s="151">
        <v>3991.6</v>
      </c>
      <c r="AR8" s="152">
        <v>3856</v>
      </c>
      <c r="AS8" s="153">
        <v>0.35972222222222222</v>
      </c>
      <c r="AT8" s="152">
        <v>195</v>
      </c>
      <c r="AU8" s="154">
        <v>0.625</v>
      </c>
      <c r="AV8" s="56">
        <f t="shared" ref="AV8:AV37" si="52">AV7+1</f>
        <v>45993</v>
      </c>
      <c r="AW8" s="110">
        <f t="shared" si="42"/>
        <v>0.67479525922597317</v>
      </c>
      <c r="AX8" s="110">
        <f t="shared" si="43"/>
        <v>0.32520474077402683</v>
      </c>
      <c r="AY8" s="111">
        <f t="shared" si="44"/>
        <v>8901.5</v>
      </c>
      <c r="AZ8" s="112">
        <v>8901.5</v>
      </c>
      <c r="BA8" s="120">
        <f t="shared" si="45"/>
        <v>6006.6900000000005</v>
      </c>
      <c r="BB8" s="113">
        <v>2894.81</v>
      </c>
      <c r="BC8" s="112">
        <v>4591</v>
      </c>
      <c r="BD8" s="114">
        <v>0.75</v>
      </c>
      <c r="BE8" s="115">
        <v>0</v>
      </c>
      <c r="BF8" s="114">
        <v>0</v>
      </c>
      <c r="BG8" s="115">
        <v>166.02</v>
      </c>
      <c r="BH8" s="114">
        <v>0.89583333333333337</v>
      </c>
      <c r="BI8" s="56">
        <f t="shared" ref="BI8:BI37" si="53">BI7+1</f>
        <v>45993</v>
      </c>
      <c r="BJ8" s="78">
        <f t="shared" si="46"/>
        <v>0.60468903894930315</v>
      </c>
      <c r="BK8" s="76">
        <f t="shared" si="47"/>
        <v>0.39531096105069702</v>
      </c>
      <c r="BL8" s="79">
        <f t="shared" si="48"/>
        <v>34703.06</v>
      </c>
      <c r="BM8" s="155">
        <v>20984.560000000001</v>
      </c>
      <c r="BN8" s="155">
        <v>13718.5</v>
      </c>
      <c r="BO8" s="156">
        <v>3925.69</v>
      </c>
      <c r="BP8" s="157">
        <v>0.35972222222222222</v>
      </c>
      <c r="BQ8" s="158">
        <v>2656</v>
      </c>
      <c r="BR8" s="157">
        <v>0.35972222222222222</v>
      </c>
    </row>
    <row r="9" spans="1:71" ht="15" thickBot="1" x14ac:dyDescent="0.35">
      <c r="A9" s="166" t="s">
        <v>67</v>
      </c>
      <c r="B9" s="56">
        <f t="shared" si="49"/>
        <v>45994</v>
      </c>
      <c r="C9" s="164"/>
      <c r="D9" s="87">
        <f t="shared" si="22"/>
        <v>54220</v>
      </c>
      <c r="E9" s="159">
        <f t="shared" si="23"/>
        <v>0.87467724087052745</v>
      </c>
      <c r="F9" s="87">
        <f t="shared" si="24"/>
        <v>47425</v>
      </c>
      <c r="G9" s="159">
        <f t="shared" si="25"/>
        <v>0.12532275912947252</v>
      </c>
      <c r="H9" s="146">
        <f t="shared" si="26"/>
        <v>6795</v>
      </c>
      <c r="I9" s="160">
        <f t="shared" si="27"/>
        <v>0.11822208899547029</v>
      </c>
      <c r="J9" s="159">
        <f t="shared" si="28"/>
        <v>0.16043831601385558</v>
      </c>
      <c r="K9" s="159">
        <f t="shared" si="29"/>
        <v>0.17323384048841942</v>
      </c>
      <c r="L9" s="161">
        <f t="shared" si="30"/>
        <v>0.57249200639488407</v>
      </c>
      <c r="M9" s="146">
        <f t="shared" si="31"/>
        <v>6246.9734046096455</v>
      </c>
      <c r="N9" s="146">
        <f t="shared" si="32"/>
        <v>8477.7210564881425</v>
      </c>
      <c r="O9" s="146">
        <f t="shared" si="33"/>
        <v>9153.8493652485704</v>
      </c>
      <c r="P9" s="146">
        <f t="shared" si="34"/>
        <v>30251.05010991207</v>
      </c>
      <c r="Q9" s="56">
        <f t="shared" si="50"/>
        <v>45994</v>
      </c>
      <c r="R9" s="139">
        <v>54220</v>
      </c>
      <c r="S9" s="140">
        <v>0</v>
      </c>
      <c r="T9" s="140">
        <v>52841</v>
      </c>
      <c r="U9" s="140">
        <v>0</v>
      </c>
      <c r="V9" s="141">
        <v>13117</v>
      </c>
      <c r="W9" s="142">
        <v>0.40625</v>
      </c>
      <c r="X9" s="141">
        <v>4679</v>
      </c>
      <c r="Y9" s="142">
        <v>0.80208333333333337</v>
      </c>
      <c r="Z9" s="141">
        <v>0</v>
      </c>
      <c r="AA9" s="142">
        <v>0</v>
      </c>
      <c r="AB9" s="56">
        <f t="shared" si="51"/>
        <v>45994</v>
      </c>
      <c r="AC9" s="76">
        <f t="shared" si="35"/>
        <v>1</v>
      </c>
      <c r="AD9" s="162">
        <f t="shared" si="36"/>
        <v>0</v>
      </c>
      <c r="AE9" s="163">
        <v>7099</v>
      </c>
      <c r="AF9" s="118">
        <f t="shared" si="37"/>
        <v>7099</v>
      </c>
      <c r="AG9" s="147">
        <v>0</v>
      </c>
      <c r="AH9" s="148">
        <v>4086</v>
      </c>
      <c r="AI9" s="149">
        <v>0.75624999999999998</v>
      </c>
      <c r="AJ9" s="148">
        <v>0</v>
      </c>
      <c r="AK9" s="165">
        <v>0</v>
      </c>
      <c r="AL9" s="56">
        <f t="shared" si="38"/>
        <v>45994</v>
      </c>
      <c r="AM9" s="77">
        <f t="shared" si="39"/>
        <v>0.59269254722856546</v>
      </c>
      <c r="AN9" s="76">
        <f t="shared" si="40"/>
        <v>0.40730745277143449</v>
      </c>
      <c r="AO9" s="150">
        <v>9634</v>
      </c>
      <c r="AP9" s="117">
        <f t="shared" si="41"/>
        <v>5710</v>
      </c>
      <c r="AQ9" s="151">
        <v>3924</v>
      </c>
      <c r="AR9" s="152">
        <v>4090</v>
      </c>
      <c r="AS9" s="153">
        <v>0.3576388888888889</v>
      </c>
      <c r="AT9" s="152">
        <v>184</v>
      </c>
      <c r="AU9" s="154">
        <v>0.88541666666666663</v>
      </c>
      <c r="AV9" s="56">
        <f t="shared" si="52"/>
        <v>45994</v>
      </c>
      <c r="AW9" s="110">
        <f t="shared" si="42"/>
        <v>0.67878720071604381</v>
      </c>
      <c r="AX9" s="110">
        <f t="shared" si="43"/>
        <v>0.32121279928395613</v>
      </c>
      <c r="AY9" s="111">
        <f t="shared" si="44"/>
        <v>8938</v>
      </c>
      <c r="AZ9" s="112">
        <v>8938</v>
      </c>
      <c r="BA9" s="120">
        <f t="shared" si="45"/>
        <v>6067</v>
      </c>
      <c r="BB9" s="113">
        <v>2871</v>
      </c>
      <c r="BC9" s="112">
        <v>4067</v>
      </c>
      <c r="BD9" s="114">
        <v>0.70833333333333337</v>
      </c>
      <c r="BE9" s="115">
        <v>0</v>
      </c>
      <c r="BF9" s="114">
        <v>0</v>
      </c>
      <c r="BG9" s="115">
        <v>166</v>
      </c>
      <c r="BH9" s="114">
        <v>0.90625</v>
      </c>
      <c r="BI9" s="56">
        <f t="shared" si="53"/>
        <v>45994</v>
      </c>
      <c r="BJ9" s="78">
        <f t="shared" si="46"/>
        <v>0.60825551967885505</v>
      </c>
      <c r="BK9" s="76">
        <f t="shared" si="47"/>
        <v>0.39174448032114495</v>
      </c>
      <c r="BL9" s="79">
        <f t="shared" si="48"/>
        <v>34377</v>
      </c>
      <c r="BM9" s="155">
        <v>20910</v>
      </c>
      <c r="BN9" s="155">
        <v>13467</v>
      </c>
      <c r="BO9" s="156">
        <v>4415</v>
      </c>
      <c r="BP9" s="157">
        <v>0.70625000000000004</v>
      </c>
      <c r="BQ9" s="158">
        <v>2928</v>
      </c>
      <c r="BR9" s="157">
        <v>0.70625000000000004</v>
      </c>
    </row>
    <row r="10" spans="1:71" ht="15" thickBot="1" x14ac:dyDescent="0.35">
      <c r="B10" s="56">
        <f t="shared" si="49"/>
        <v>45995</v>
      </c>
      <c r="C10" s="164"/>
      <c r="D10" s="87">
        <f t="shared" si="22"/>
        <v>52000</v>
      </c>
      <c r="E10" s="159">
        <f t="shared" si="23"/>
        <v>0.87250000000000005</v>
      </c>
      <c r="F10" s="87">
        <f t="shared" si="24"/>
        <v>45370</v>
      </c>
      <c r="G10" s="159">
        <f t="shared" si="25"/>
        <v>0.1275</v>
      </c>
      <c r="H10" s="146">
        <f t="shared" si="26"/>
        <v>6630</v>
      </c>
      <c r="I10" s="160">
        <f t="shared" si="27"/>
        <v>0.11914312537338909</v>
      </c>
      <c r="J10" s="159">
        <f t="shared" si="28"/>
        <v>0.15789024494324486</v>
      </c>
      <c r="K10" s="159">
        <f t="shared" si="29"/>
        <v>0.17550328881801874</v>
      </c>
      <c r="L10" s="161">
        <f t="shared" si="30"/>
        <v>0.57267218571306644</v>
      </c>
      <c r="M10" s="146">
        <f t="shared" si="31"/>
        <v>6082.2565503115129</v>
      </c>
      <c r="N10" s="146">
        <f t="shared" si="32"/>
        <v>8060.2970043526502</v>
      </c>
      <c r="O10" s="146">
        <f t="shared" si="33"/>
        <v>8959.4428941598562</v>
      </c>
      <c r="P10" s="146">
        <f t="shared" si="34"/>
        <v>29234.915080652041</v>
      </c>
      <c r="Q10" s="56">
        <f t="shared" si="50"/>
        <v>45995</v>
      </c>
      <c r="R10" s="139">
        <v>52000</v>
      </c>
      <c r="S10" s="140">
        <v>0</v>
      </c>
      <c r="T10" s="140">
        <v>51050</v>
      </c>
      <c r="U10" s="140">
        <v>0</v>
      </c>
      <c r="V10" s="141">
        <v>12900</v>
      </c>
      <c r="W10" s="142">
        <v>0.75</v>
      </c>
      <c r="X10" s="141">
        <v>3980</v>
      </c>
      <c r="Y10" s="142">
        <v>0.77083333333333337</v>
      </c>
      <c r="Z10" s="141">
        <v>0</v>
      </c>
      <c r="AA10" s="142">
        <v>0</v>
      </c>
      <c r="AB10" s="56">
        <f t="shared" si="51"/>
        <v>45995</v>
      </c>
      <c r="AC10" s="76">
        <f t="shared" si="35"/>
        <v>1</v>
      </c>
      <c r="AD10" s="162">
        <f t="shared" si="36"/>
        <v>0</v>
      </c>
      <c r="AE10" s="163">
        <v>6980</v>
      </c>
      <c r="AF10" s="118">
        <f t="shared" si="37"/>
        <v>6980</v>
      </c>
      <c r="AG10" s="147">
        <v>0</v>
      </c>
      <c r="AH10" s="148">
        <v>3980</v>
      </c>
      <c r="AI10" s="149">
        <v>0.73958333333333337</v>
      </c>
      <c r="AJ10" s="148">
        <v>0</v>
      </c>
      <c r="AK10" s="165">
        <v>0</v>
      </c>
      <c r="AL10" s="56">
        <f t="shared" si="38"/>
        <v>45995</v>
      </c>
      <c r="AM10" s="77">
        <f t="shared" si="39"/>
        <v>0.58702702702702703</v>
      </c>
      <c r="AN10" s="76">
        <f t="shared" si="40"/>
        <v>0.41297297297297297</v>
      </c>
      <c r="AO10" s="150">
        <v>9250</v>
      </c>
      <c r="AP10" s="117">
        <f t="shared" si="41"/>
        <v>5430</v>
      </c>
      <c r="AQ10" s="151">
        <v>3820</v>
      </c>
      <c r="AR10" s="152">
        <v>3750</v>
      </c>
      <c r="AS10" s="153">
        <v>0.72916666666666663</v>
      </c>
      <c r="AT10" s="152">
        <v>184</v>
      </c>
      <c r="AU10" s="154">
        <v>0.875</v>
      </c>
      <c r="AV10" s="56">
        <f t="shared" si="52"/>
        <v>45995</v>
      </c>
      <c r="AW10" s="110">
        <f t="shared" si="42"/>
        <v>0.6808631459398069</v>
      </c>
      <c r="AX10" s="110">
        <f t="shared" si="43"/>
        <v>0.3191368540601931</v>
      </c>
      <c r="AY10" s="111">
        <f t="shared" si="44"/>
        <v>8805</v>
      </c>
      <c r="AZ10" s="112">
        <v>8805</v>
      </c>
      <c r="BA10" s="120">
        <f t="shared" si="45"/>
        <v>5995</v>
      </c>
      <c r="BB10" s="113">
        <v>2810</v>
      </c>
      <c r="BC10" s="112">
        <v>4070</v>
      </c>
      <c r="BD10" s="114">
        <v>0.77083333333333337</v>
      </c>
      <c r="BE10" s="115">
        <v>0</v>
      </c>
      <c r="BF10" s="114">
        <v>0</v>
      </c>
      <c r="BG10" s="115">
        <v>165</v>
      </c>
      <c r="BH10" s="114">
        <v>0.85416666666666663</v>
      </c>
      <c r="BI10" s="56">
        <f t="shared" si="53"/>
        <v>45995</v>
      </c>
      <c r="BJ10" s="78">
        <f t="shared" si="46"/>
        <v>0.60059612518628913</v>
      </c>
      <c r="BK10" s="76">
        <f t="shared" si="47"/>
        <v>0.39940387481371087</v>
      </c>
      <c r="BL10" s="79">
        <f t="shared" si="48"/>
        <v>33550</v>
      </c>
      <c r="BM10" s="155">
        <v>20150</v>
      </c>
      <c r="BN10" s="155">
        <v>13400</v>
      </c>
      <c r="BO10" s="156">
        <v>4520</v>
      </c>
      <c r="BP10" s="157">
        <v>0.73958333333333337</v>
      </c>
      <c r="BQ10" s="158">
        <v>2790</v>
      </c>
      <c r="BR10" s="157">
        <v>0.72916666666666663</v>
      </c>
      <c r="BS10" s="14" t="s">
        <v>68</v>
      </c>
    </row>
    <row r="11" spans="1:71" ht="15" thickBot="1" x14ac:dyDescent="0.35">
      <c r="B11" s="56">
        <f t="shared" si="49"/>
        <v>45996</v>
      </c>
      <c r="C11" s="164"/>
      <c r="D11" s="87">
        <f t="shared" si="22"/>
        <v>52400</v>
      </c>
      <c r="E11" s="159">
        <f t="shared" ref="E11:E24" si="54">F11/D11</f>
        <v>0.87061068702290079</v>
      </c>
      <c r="F11" s="87">
        <f t="shared" si="24"/>
        <v>45620</v>
      </c>
      <c r="G11" s="159">
        <f t="shared" ref="G11:G24" si="55">H11/D11</f>
        <v>0.12938931297709924</v>
      </c>
      <c r="H11" s="146">
        <f t="shared" si="26"/>
        <v>6780</v>
      </c>
      <c r="I11" s="160">
        <f t="shared" ref="I11:I24" si="56">AE11/(AE11+AO11+BL11+AY11)</f>
        <v>0.11886046077316174</v>
      </c>
      <c r="J11" s="159">
        <f t="shared" ref="J11:J24" si="57">AO11/(AE11+AO11+BL11+AY11)</f>
        <v>0.15755250335308399</v>
      </c>
      <c r="K11" s="159">
        <f t="shared" ref="K11:K24" si="58">AY11/(AF11+AP11+BM11+AZ11+AY11)</f>
        <v>0.17664201740647489</v>
      </c>
      <c r="L11" s="161">
        <f t="shared" ref="L11:L24" si="59">BL11/(AE11+AO11+BL11+AY11)</f>
        <v>0.57231625948625664</v>
      </c>
      <c r="M11" s="146">
        <f t="shared" ref="M11:M24" si="60">(S11+T11)*I11</f>
        <v>6121.3137298178299</v>
      </c>
      <c r="N11" s="146">
        <f t="shared" ref="N11:N24" si="61">(S11+T11)*J11</f>
        <v>8113.9539226838251</v>
      </c>
      <c r="O11" s="146">
        <f t="shared" ref="O11:O24" si="62">(S11+T11)*K11</f>
        <v>9097.0638964334576</v>
      </c>
      <c r="P11" s="146">
        <f t="shared" ref="P11:P24" si="63">(S11+T11)*L11</f>
        <v>29474.287363542218</v>
      </c>
      <c r="Q11" s="56">
        <f t="shared" si="50"/>
        <v>45996</v>
      </c>
      <c r="R11" s="139">
        <v>52400</v>
      </c>
      <c r="S11" s="140">
        <v>0</v>
      </c>
      <c r="T11" s="140">
        <v>51500</v>
      </c>
      <c r="U11" s="140">
        <v>0</v>
      </c>
      <c r="V11" s="141">
        <v>13050</v>
      </c>
      <c r="W11" s="142">
        <v>0.73958333333333337</v>
      </c>
      <c r="X11" s="141">
        <v>4020</v>
      </c>
      <c r="Y11" s="142">
        <v>0.83333333333333337</v>
      </c>
      <c r="Z11" s="141">
        <v>0</v>
      </c>
      <c r="AA11" s="142">
        <v>0</v>
      </c>
      <c r="AB11" s="56">
        <f t="shared" si="51"/>
        <v>45996</v>
      </c>
      <c r="AC11" s="76">
        <f t="shared" ref="AC11:AC25" si="64">+AF11/AE11</f>
        <v>1</v>
      </c>
      <c r="AD11" s="162">
        <f t="shared" ref="AD11:AD25" si="65">+AG11/AE11</f>
        <v>0</v>
      </c>
      <c r="AE11" s="163">
        <v>7001</v>
      </c>
      <c r="AF11" s="118">
        <f t="shared" si="37"/>
        <v>7001</v>
      </c>
      <c r="AG11" s="147">
        <v>0</v>
      </c>
      <c r="AH11" s="148">
        <v>3995</v>
      </c>
      <c r="AI11" s="149">
        <v>0.77083333333333337</v>
      </c>
      <c r="AJ11" s="148">
        <v>0</v>
      </c>
      <c r="AK11" s="165" t="s">
        <v>69</v>
      </c>
      <c r="AL11" s="56">
        <f t="shared" si="38"/>
        <v>45996</v>
      </c>
      <c r="AM11" s="77">
        <f t="shared" ref="AM11:AM25" si="66">+AP11/AO11</f>
        <v>0.57866379310344829</v>
      </c>
      <c r="AN11" s="76">
        <f t="shared" ref="AN11:AN25" si="67">+AQ11/AO11</f>
        <v>0.42133620689655171</v>
      </c>
      <c r="AO11" s="150">
        <v>9280</v>
      </c>
      <c r="AP11" s="117">
        <f t="shared" si="41"/>
        <v>5370</v>
      </c>
      <c r="AQ11" s="151">
        <v>3910</v>
      </c>
      <c r="AR11" s="152">
        <v>3758</v>
      </c>
      <c r="AS11" s="153">
        <v>0.75</v>
      </c>
      <c r="AT11" s="152">
        <v>185</v>
      </c>
      <c r="AU11" s="154" t="s">
        <v>70</v>
      </c>
      <c r="AV11" s="56">
        <f t="shared" si="52"/>
        <v>45996</v>
      </c>
      <c r="AW11" s="110">
        <f t="shared" ref="AW11:AW25" si="68">BA11/AZ11</f>
        <v>0.67789001122334458</v>
      </c>
      <c r="AX11" s="110">
        <f t="shared" ref="AX11:AX25" si="69">BB11/AZ11</f>
        <v>0.32210998877665542</v>
      </c>
      <c r="AY11" s="111">
        <f t="shared" si="44"/>
        <v>8910</v>
      </c>
      <c r="AZ11" s="112">
        <v>8910</v>
      </c>
      <c r="BA11" s="170">
        <f t="shared" si="45"/>
        <v>6040</v>
      </c>
      <c r="BB11" s="113">
        <v>2870</v>
      </c>
      <c r="BC11" s="112">
        <v>4083</v>
      </c>
      <c r="BD11" s="114">
        <v>0.73958333333333337</v>
      </c>
      <c r="BE11" s="115">
        <v>0</v>
      </c>
      <c r="BF11" s="114" t="s">
        <v>69</v>
      </c>
      <c r="BG11" s="115">
        <v>165</v>
      </c>
      <c r="BH11" s="114">
        <v>0.875</v>
      </c>
      <c r="BI11" s="56">
        <f t="shared" si="53"/>
        <v>45996</v>
      </c>
      <c r="BJ11" s="78">
        <f t="shared" ref="BJ11:BJ25" si="70">+BM11/BL11</f>
        <v>0.60071195490952245</v>
      </c>
      <c r="BK11" s="76">
        <f t="shared" ref="BK11:BK25" si="71">+BN11/BL11</f>
        <v>0.39928804509047761</v>
      </c>
      <c r="BL11" s="79">
        <f t="shared" ref="BL11:BL25" si="72">BM11+BN11</f>
        <v>33710</v>
      </c>
      <c r="BM11" s="155">
        <v>20250</v>
      </c>
      <c r="BN11" s="155">
        <v>13460</v>
      </c>
      <c r="BO11" s="156">
        <v>4550</v>
      </c>
      <c r="BP11" s="157">
        <v>0.77083333333333337</v>
      </c>
      <c r="BQ11" s="158">
        <v>2810</v>
      </c>
      <c r="BR11" s="157">
        <v>0.79166666666666663</v>
      </c>
    </row>
    <row r="12" spans="1:71" ht="15" thickBot="1" x14ac:dyDescent="0.35">
      <c r="B12" s="56">
        <f t="shared" si="49"/>
        <v>45997</v>
      </c>
      <c r="C12" s="164"/>
      <c r="D12" s="87">
        <f t="shared" si="22"/>
        <v>32110</v>
      </c>
      <c r="E12" s="159">
        <f t="shared" si="54"/>
        <v>0.79747742136406108</v>
      </c>
      <c r="F12" s="87">
        <f t="shared" si="24"/>
        <v>25607</v>
      </c>
      <c r="G12" s="159">
        <f>H12/D12</f>
        <v>0.20252257863593895</v>
      </c>
      <c r="H12" s="146">
        <f t="shared" si="26"/>
        <v>6503</v>
      </c>
      <c r="I12" s="160">
        <f t="shared" si="56"/>
        <v>7.3264418460148001E-2</v>
      </c>
      <c r="J12" s="159">
        <f t="shared" si="57"/>
        <v>0.16248658419476925</v>
      </c>
      <c r="K12" s="159">
        <f t="shared" si="58"/>
        <v>0.17372652222502613</v>
      </c>
      <c r="L12" s="161">
        <f t="shared" si="59"/>
        <v>0.62814212280404447</v>
      </c>
      <c r="M12" s="146">
        <f t="shared" si="60"/>
        <v>2249.9502909111452</v>
      </c>
      <c r="N12" s="146">
        <f t="shared" si="61"/>
        <v>4989.9630006213638</v>
      </c>
      <c r="O12" s="146">
        <f t="shared" si="62"/>
        <v>5335.1414975305524</v>
      </c>
      <c r="P12" s="146">
        <f t="shared" si="63"/>
        <v>19290.244591312206</v>
      </c>
      <c r="Q12" s="56">
        <f t="shared" si="50"/>
        <v>45997</v>
      </c>
      <c r="R12" s="139">
        <v>32110</v>
      </c>
      <c r="S12" s="140">
        <v>0</v>
      </c>
      <c r="T12" s="140">
        <v>30710</v>
      </c>
      <c r="U12" s="140">
        <v>0</v>
      </c>
      <c r="V12" s="141">
        <v>6400</v>
      </c>
      <c r="W12" s="142">
        <v>0.625</v>
      </c>
      <c r="X12" s="141">
        <v>1985</v>
      </c>
      <c r="Y12" s="142">
        <v>0.51041666666666663</v>
      </c>
      <c r="Z12" s="141">
        <v>0</v>
      </c>
      <c r="AA12" s="142">
        <v>0</v>
      </c>
      <c r="AB12" s="56">
        <f t="shared" si="51"/>
        <v>45997</v>
      </c>
      <c r="AC12" s="76">
        <f t="shared" si="64"/>
        <v>1</v>
      </c>
      <c r="AD12" s="162">
        <f t="shared" si="65"/>
        <v>0</v>
      </c>
      <c r="AE12" s="163">
        <v>2594</v>
      </c>
      <c r="AF12" s="118">
        <f t="shared" si="37"/>
        <v>2594</v>
      </c>
      <c r="AG12" s="147">
        <v>0</v>
      </c>
      <c r="AH12" s="148">
        <v>1564</v>
      </c>
      <c r="AI12" s="149">
        <v>0.58194444444444449</v>
      </c>
      <c r="AJ12" s="148">
        <v>0</v>
      </c>
      <c r="AK12" s="165">
        <v>0</v>
      </c>
      <c r="AL12" s="56">
        <f t="shared" si="38"/>
        <v>45997</v>
      </c>
      <c r="AM12" s="77">
        <f t="shared" si="66"/>
        <v>0.34277768120980356</v>
      </c>
      <c r="AN12" s="76">
        <f t="shared" si="67"/>
        <v>0.65722231879019644</v>
      </c>
      <c r="AO12" s="150">
        <v>5753</v>
      </c>
      <c r="AP12" s="117">
        <f t="shared" si="41"/>
        <v>1972</v>
      </c>
      <c r="AQ12" s="151">
        <v>3781</v>
      </c>
      <c r="AR12" s="152">
        <v>1611</v>
      </c>
      <c r="AS12" s="153">
        <v>0.94166666666666665</v>
      </c>
      <c r="AT12" s="152">
        <v>176</v>
      </c>
      <c r="AU12" s="154">
        <v>0.95833333333333337</v>
      </c>
      <c r="AV12" s="56">
        <f t="shared" si="52"/>
        <v>45997</v>
      </c>
      <c r="AW12" s="110">
        <f t="shared" si="68"/>
        <v>0.435152521269973</v>
      </c>
      <c r="AX12" s="110">
        <f t="shared" si="69"/>
        <v>0.56484747873002694</v>
      </c>
      <c r="AY12" s="111">
        <f t="shared" si="44"/>
        <v>4819</v>
      </c>
      <c r="AZ12" s="112">
        <v>4819</v>
      </c>
      <c r="BA12" s="170">
        <f t="shared" si="45"/>
        <v>2097</v>
      </c>
      <c r="BB12" s="113">
        <v>2722</v>
      </c>
      <c r="BC12" s="112">
        <v>1708</v>
      </c>
      <c r="BD12" s="114">
        <v>0.90625</v>
      </c>
      <c r="BE12" s="115">
        <v>0</v>
      </c>
      <c r="BF12" s="114">
        <v>0</v>
      </c>
      <c r="BG12" s="115">
        <v>160</v>
      </c>
      <c r="BH12" s="114">
        <v>0.90625</v>
      </c>
      <c r="BI12" s="56">
        <f t="shared" si="53"/>
        <v>45997</v>
      </c>
      <c r="BJ12" s="78">
        <f t="shared" si="70"/>
        <v>0.60858812949640284</v>
      </c>
      <c r="BK12" s="76">
        <f t="shared" si="71"/>
        <v>0.3914118705035971</v>
      </c>
      <c r="BL12" s="79">
        <f t="shared" si="72"/>
        <v>22240</v>
      </c>
      <c r="BM12" s="155">
        <v>13535</v>
      </c>
      <c r="BN12" s="155">
        <v>8705</v>
      </c>
      <c r="BO12" s="156">
        <v>2544</v>
      </c>
      <c r="BP12" s="157">
        <v>0.36875000000000002</v>
      </c>
      <c r="BQ12" s="158">
        <v>1699</v>
      </c>
      <c r="BR12" s="157">
        <v>0.36875000000000002</v>
      </c>
    </row>
    <row r="13" spans="1:71" ht="15" thickBot="1" x14ac:dyDescent="0.35">
      <c r="B13" s="56">
        <f t="shared" si="49"/>
        <v>45998</v>
      </c>
      <c r="C13" s="164"/>
      <c r="D13" s="87">
        <f t="shared" si="22"/>
        <v>28422</v>
      </c>
      <c r="E13" s="159">
        <f t="shared" si="54"/>
        <v>0.77849130954894097</v>
      </c>
      <c r="F13" s="87">
        <f t="shared" si="24"/>
        <v>22126.28</v>
      </c>
      <c r="G13" s="159">
        <f t="shared" si="55"/>
        <v>0.221508690451059</v>
      </c>
      <c r="H13" s="146">
        <f t="shared" si="26"/>
        <v>6295.7199999999993</v>
      </c>
      <c r="I13" s="160">
        <f t="shared" si="56"/>
        <v>6.5992010068937165E-2</v>
      </c>
      <c r="J13" s="159">
        <f t="shared" si="57"/>
        <v>0.16952342039681564</v>
      </c>
      <c r="K13" s="159">
        <f t="shared" si="58"/>
        <v>0.1841016887955228</v>
      </c>
      <c r="L13" s="161">
        <f t="shared" si="59"/>
        <v>0.61990148888028185</v>
      </c>
      <c r="M13" s="146">
        <f t="shared" si="60"/>
        <v>1787.2286126919907</v>
      </c>
      <c r="N13" s="146">
        <f t="shared" si="61"/>
        <v>4591.1180328967594</v>
      </c>
      <c r="O13" s="146">
        <f t="shared" si="62"/>
        <v>4985.9339868047464</v>
      </c>
      <c r="P13" s="146">
        <f t="shared" si="63"/>
        <v>16788.482072600233</v>
      </c>
      <c r="Q13" s="56">
        <f t="shared" si="50"/>
        <v>45998</v>
      </c>
      <c r="R13" s="139">
        <v>28422</v>
      </c>
      <c r="S13" s="140">
        <v>0</v>
      </c>
      <c r="T13" s="140">
        <v>27082.5</v>
      </c>
      <c r="U13" s="140">
        <v>0</v>
      </c>
      <c r="V13" s="141">
        <v>6143.55</v>
      </c>
      <c r="W13" s="142">
        <v>0.63541666666666663</v>
      </c>
      <c r="X13" s="141">
        <v>1849.88</v>
      </c>
      <c r="Y13" s="142">
        <v>0.45833333333333331</v>
      </c>
      <c r="Z13" s="141">
        <v>0</v>
      </c>
      <c r="AA13" s="142">
        <v>0</v>
      </c>
      <c r="AB13" s="168">
        <f t="shared" si="51"/>
        <v>45998</v>
      </c>
      <c r="AC13" s="76">
        <f t="shared" si="64"/>
        <v>1</v>
      </c>
      <c r="AD13" s="162">
        <f t="shared" si="65"/>
        <v>0</v>
      </c>
      <c r="AE13" s="163">
        <v>2048</v>
      </c>
      <c r="AF13" s="118">
        <f t="shared" si="37"/>
        <v>2048</v>
      </c>
      <c r="AG13" s="147">
        <v>0</v>
      </c>
      <c r="AH13" s="148">
        <v>1593.6</v>
      </c>
      <c r="AI13" s="149">
        <v>0.9243055555555556</v>
      </c>
      <c r="AJ13" s="148">
        <v>0</v>
      </c>
      <c r="AK13" s="165">
        <v>0</v>
      </c>
      <c r="AL13" s="168">
        <f t="shared" si="38"/>
        <v>45998</v>
      </c>
      <c r="AM13" s="77">
        <f t="shared" si="66"/>
        <v>0.30666033073560162</v>
      </c>
      <c r="AN13" s="76">
        <f t="shared" si="67"/>
        <v>0.69333966926439838</v>
      </c>
      <c r="AO13" s="150">
        <v>5261</v>
      </c>
      <c r="AP13" s="117">
        <f t="shared" si="41"/>
        <v>1613.3400000000001</v>
      </c>
      <c r="AQ13" s="151">
        <v>3647.66</v>
      </c>
      <c r="AR13" s="152">
        <v>1777.69</v>
      </c>
      <c r="AS13" s="153">
        <v>0.93194444444444446</v>
      </c>
      <c r="AT13" s="152">
        <v>179.67</v>
      </c>
      <c r="AU13" s="154">
        <v>0.91666666666666663</v>
      </c>
      <c r="AV13" s="168">
        <f t="shared" si="52"/>
        <v>45998</v>
      </c>
      <c r="AW13" s="169">
        <f t="shared" si="68"/>
        <v>0.40983730777802541</v>
      </c>
      <c r="AX13" s="169">
        <f t="shared" si="69"/>
        <v>0.59016269222197459</v>
      </c>
      <c r="AY13" s="111">
        <f t="shared" si="44"/>
        <v>4487</v>
      </c>
      <c r="AZ13" s="112">
        <v>4487</v>
      </c>
      <c r="BA13" s="170">
        <f t="shared" si="45"/>
        <v>1838.94</v>
      </c>
      <c r="BB13" s="113">
        <v>2648.06</v>
      </c>
      <c r="BC13" s="112">
        <v>1606.97</v>
      </c>
      <c r="BD13" s="114">
        <v>0.89583333333333337</v>
      </c>
      <c r="BE13" s="115">
        <v>0</v>
      </c>
      <c r="BF13" s="114">
        <v>0</v>
      </c>
      <c r="BG13" s="115">
        <v>158.22999999999999</v>
      </c>
      <c r="BH13" s="114">
        <v>0.875</v>
      </c>
      <c r="BI13" s="168">
        <f t="shared" si="53"/>
        <v>45998</v>
      </c>
      <c r="BJ13" s="171">
        <f t="shared" si="70"/>
        <v>0.61009582047254252</v>
      </c>
      <c r="BK13" s="76">
        <f t="shared" si="71"/>
        <v>0.3899041795274576</v>
      </c>
      <c r="BL13" s="79">
        <f t="shared" si="72"/>
        <v>19238.059999999998</v>
      </c>
      <c r="BM13" s="155">
        <v>11737.06</v>
      </c>
      <c r="BN13" s="155">
        <v>7501</v>
      </c>
      <c r="BO13" s="156">
        <v>2461.86</v>
      </c>
      <c r="BP13" s="157">
        <v>0.41111111111111109</v>
      </c>
      <c r="BQ13" s="158">
        <v>1636</v>
      </c>
      <c r="BR13" s="157">
        <v>0.41180555555555554</v>
      </c>
    </row>
    <row r="14" spans="1:71" ht="15" thickBot="1" x14ac:dyDescent="0.35">
      <c r="B14" s="56">
        <f t="shared" si="49"/>
        <v>45999</v>
      </c>
      <c r="C14" s="164"/>
      <c r="D14" s="87">
        <f t="shared" si="22"/>
        <v>28098</v>
      </c>
      <c r="E14" s="159">
        <f t="shared" si="54"/>
        <v>0.77026834650153031</v>
      </c>
      <c r="F14" s="87">
        <f t="shared" si="24"/>
        <v>21643</v>
      </c>
      <c r="G14" s="159">
        <f t="shared" si="55"/>
        <v>0.22973165349846963</v>
      </c>
      <c r="H14" s="146">
        <f t="shared" si="26"/>
        <v>6455</v>
      </c>
      <c r="I14" s="160">
        <f t="shared" si="56"/>
        <v>6.5749235474006115E-2</v>
      </c>
      <c r="J14" s="159">
        <f t="shared" si="57"/>
        <v>0.17307567180688399</v>
      </c>
      <c r="K14" s="159">
        <f t="shared" si="58"/>
        <v>0.18776100888980773</v>
      </c>
      <c r="L14" s="161">
        <f t="shared" si="59"/>
        <v>0.61344264428394824</v>
      </c>
      <c r="M14" s="146">
        <f t="shared" si="60"/>
        <v>1753.992354740061</v>
      </c>
      <c r="N14" s="146">
        <f t="shared" si="61"/>
        <v>4617.1396967922446</v>
      </c>
      <c r="O14" s="146">
        <f t="shared" si="62"/>
        <v>5008.900434153401</v>
      </c>
      <c r="P14" s="146">
        <f t="shared" si="63"/>
        <v>16364.809421562886</v>
      </c>
      <c r="Q14" s="56">
        <f t="shared" si="50"/>
        <v>45999</v>
      </c>
      <c r="R14" s="139">
        <v>28098</v>
      </c>
      <c r="S14" s="140">
        <v>0</v>
      </c>
      <c r="T14" s="140">
        <v>26677</v>
      </c>
      <c r="U14" s="140">
        <v>0</v>
      </c>
      <c r="V14" s="141">
        <v>7357</v>
      </c>
      <c r="W14" s="142">
        <v>0.80208333333333337</v>
      </c>
      <c r="X14" s="141">
        <v>1830</v>
      </c>
      <c r="Y14" s="142">
        <v>0.96875</v>
      </c>
      <c r="Z14" s="141">
        <v>0</v>
      </c>
      <c r="AA14" s="142">
        <v>0</v>
      </c>
      <c r="AB14" s="56">
        <f t="shared" si="51"/>
        <v>45999</v>
      </c>
      <c r="AC14" s="76">
        <f t="shared" si="64"/>
        <v>1</v>
      </c>
      <c r="AD14" s="162">
        <f t="shared" si="65"/>
        <v>0</v>
      </c>
      <c r="AE14" s="163">
        <v>2021</v>
      </c>
      <c r="AF14" s="118">
        <f t="shared" ref="AF14" si="73">+AE14-AG14</f>
        <v>2021</v>
      </c>
      <c r="AG14" s="147">
        <v>0</v>
      </c>
      <c r="AH14" s="148">
        <v>1376</v>
      </c>
      <c r="AI14" s="149">
        <v>0.3840277777777778</v>
      </c>
      <c r="AJ14" s="148">
        <v>0</v>
      </c>
      <c r="AK14" s="165">
        <v>0</v>
      </c>
      <c r="AL14" s="56">
        <f t="shared" si="38"/>
        <v>45999</v>
      </c>
      <c r="AM14" s="77">
        <f t="shared" si="66"/>
        <v>0.29906015037593986</v>
      </c>
      <c r="AN14" s="76">
        <f t="shared" si="67"/>
        <v>0.7009398496240602</v>
      </c>
      <c r="AO14" s="150">
        <v>5320</v>
      </c>
      <c r="AP14" s="117">
        <f t="shared" ref="AP14" si="74">AO14-AQ14</f>
        <v>1591</v>
      </c>
      <c r="AQ14" s="151">
        <v>3729</v>
      </c>
      <c r="AR14" s="152">
        <v>1817</v>
      </c>
      <c r="AS14" s="153">
        <v>0.3923611111111111</v>
      </c>
      <c r="AT14" s="152">
        <v>180</v>
      </c>
      <c r="AU14" s="154">
        <v>0.88541666666666663</v>
      </c>
      <c r="AV14" s="56">
        <f t="shared" si="52"/>
        <v>45999</v>
      </c>
      <c r="AW14" s="110">
        <f t="shared" si="68"/>
        <v>0.39969169786390663</v>
      </c>
      <c r="AX14" s="110">
        <f t="shared" si="69"/>
        <v>0.60030830213609332</v>
      </c>
      <c r="AY14" s="111">
        <f t="shared" si="44"/>
        <v>4541</v>
      </c>
      <c r="AZ14" s="112">
        <v>4541</v>
      </c>
      <c r="BA14" s="170">
        <f t="shared" ref="BA14" si="75">AZ14-BB14</f>
        <v>1815</v>
      </c>
      <c r="BB14" s="113">
        <v>2726</v>
      </c>
      <c r="BC14" s="112">
        <v>1501</v>
      </c>
      <c r="BD14" s="114">
        <v>0.76041666666666663</v>
      </c>
      <c r="BE14" s="115">
        <v>0</v>
      </c>
      <c r="BF14" s="114">
        <v>0</v>
      </c>
      <c r="BG14" s="115">
        <v>163</v>
      </c>
      <c r="BH14" s="114">
        <v>0.92708333333333337</v>
      </c>
      <c r="BI14" s="56">
        <f t="shared" si="53"/>
        <v>45999</v>
      </c>
      <c r="BJ14" s="78">
        <f t="shared" si="70"/>
        <v>0.60940814594823933</v>
      </c>
      <c r="BK14" s="76">
        <f t="shared" si="71"/>
        <v>0.39059185405176072</v>
      </c>
      <c r="BL14" s="79">
        <f t="shared" si="72"/>
        <v>18856</v>
      </c>
      <c r="BM14" s="155">
        <v>11491</v>
      </c>
      <c r="BN14" s="155">
        <v>7365</v>
      </c>
      <c r="BO14" s="156">
        <v>2406</v>
      </c>
      <c r="BP14" s="157">
        <v>0.81944444444444442</v>
      </c>
      <c r="BQ14" s="158">
        <v>1599</v>
      </c>
      <c r="BR14" s="157">
        <v>0.81944444444444442</v>
      </c>
    </row>
    <row r="15" spans="1:71" ht="15" thickBot="1" x14ac:dyDescent="0.35">
      <c r="B15" s="56">
        <f t="shared" si="49"/>
        <v>46000</v>
      </c>
      <c r="C15" s="164"/>
      <c r="D15" s="87">
        <f t="shared" si="22"/>
        <v>51594</v>
      </c>
      <c r="E15" s="159">
        <f t="shared" si="54"/>
        <v>0.87123231383494204</v>
      </c>
      <c r="F15" s="87">
        <f t="shared" si="24"/>
        <v>44950.36</v>
      </c>
      <c r="G15" s="159">
        <f t="shared" si="55"/>
        <v>0.12876768616505793</v>
      </c>
      <c r="H15" s="146">
        <f t="shared" si="26"/>
        <v>6643.6399999999994</v>
      </c>
      <c r="I15" s="160">
        <f t="shared" si="56"/>
        <v>0.115961001476931</v>
      </c>
      <c r="J15" s="159">
        <f t="shared" si="57"/>
        <v>0.16184767788967741</v>
      </c>
      <c r="K15" s="159">
        <f t="shared" si="58"/>
        <v>0.17184639530236542</v>
      </c>
      <c r="L15" s="161">
        <f t="shared" si="59"/>
        <v>0.57606124836558736</v>
      </c>
      <c r="M15" s="146">
        <f t="shared" si="60"/>
        <v>5831.1859300185833</v>
      </c>
      <c r="N15" s="146">
        <f t="shared" si="61"/>
        <v>8138.6318684408461</v>
      </c>
      <c r="O15" s="146">
        <f t="shared" si="62"/>
        <v>8641.4248725759226</v>
      </c>
      <c r="P15" s="146">
        <f t="shared" si="63"/>
        <v>28967.671919999833</v>
      </c>
      <c r="Q15" s="56">
        <f t="shared" si="50"/>
        <v>46000</v>
      </c>
      <c r="R15" s="139">
        <v>51594</v>
      </c>
      <c r="S15" s="140">
        <v>0</v>
      </c>
      <c r="T15" s="140">
        <v>50285.75</v>
      </c>
      <c r="U15" s="140">
        <v>0</v>
      </c>
      <c r="V15" s="141">
        <v>14088.2</v>
      </c>
      <c r="W15" s="142">
        <v>0.8125</v>
      </c>
      <c r="X15" s="141">
        <v>4287.76</v>
      </c>
      <c r="Y15" s="142">
        <v>0.8125</v>
      </c>
      <c r="Z15" s="141">
        <v>0</v>
      </c>
      <c r="AA15" s="142">
        <v>0</v>
      </c>
      <c r="AB15" s="56">
        <f t="shared" si="51"/>
        <v>46000</v>
      </c>
      <c r="AC15" s="76">
        <f t="shared" si="64"/>
        <v>1</v>
      </c>
      <c r="AD15" s="162">
        <f t="shared" si="65"/>
        <v>0</v>
      </c>
      <c r="AE15" s="163">
        <v>6640</v>
      </c>
      <c r="AF15" s="118">
        <f t="shared" si="37"/>
        <v>6640</v>
      </c>
      <c r="AG15" s="147">
        <v>0</v>
      </c>
      <c r="AH15" s="148">
        <v>4310.9399999999996</v>
      </c>
      <c r="AI15" s="149">
        <v>0.77569444444444446</v>
      </c>
      <c r="AJ15" s="148">
        <v>0</v>
      </c>
      <c r="AK15" s="165">
        <v>0</v>
      </c>
      <c r="AL15" s="168">
        <f t="shared" si="38"/>
        <v>46000</v>
      </c>
      <c r="AM15" s="77">
        <f t="shared" si="66"/>
        <v>0.58058915565147029</v>
      </c>
      <c r="AN15" s="76">
        <f t="shared" si="67"/>
        <v>0.41941084434852982</v>
      </c>
      <c r="AO15" s="150">
        <v>9267.5</v>
      </c>
      <c r="AP15" s="117">
        <f t="shared" si="41"/>
        <v>5380.6100000000006</v>
      </c>
      <c r="AQ15" s="151">
        <v>3886.89</v>
      </c>
      <c r="AR15" s="152">
        <v>3767.28</v>
      </c>
      <c r="AS15" s="153">
        <v>0.34930555555555554</v>
      </c>
      <c r="AT15" s="152">
        <v>189.01</v>
      </c>
      <c r="AU15" s="154">
        <v>0.875</v>
      </c>
      <c r="AV15" s="56">
        <f t="shared" si="52"/>
        <v>46000</v>
      </c>
      <c r="AW15" s="169">
        <f t="shared" si="68"/>
        <v>0.67054078279055873</v>
      </c>
      <c r="AX15" s="169">
        <f t="shared" si="69"/>
        <v>0.32945921720944127</v>
      </c>
      <c r="AY15" s="111">
        <f t="shared" si="44"/>
        <v>8367.5</v>
      </c>
      <c r="AZ15" s="112">
        <v>8367.5</v>
      </c>
      <c r="BA15" s="170">
        <f t="shared" ref="BA15:BA25" si="76">AZ15-BB15</f>
        <v>5610.75</v>
      </c>
      <c r="BB15" s="113">
        <v>2756.75</v>
      </c>
      <c r="BC15" s="112">
        <v>4011.88</v>
      </c>
      <c r="BD15" s="114">
        <v>0.32291666666666669</v>
      </c>
      <c r="BE15" s="115">
        <v>0</v>
      </c>
      <c r="BF15" s="114">
        <v>0</v>
      </c>
      <c r="BG15" s="115">
        <v>168.42</v>
      </c>
      <c r="BH15" s="114">
        <v>0.91666666666666663</v>
      </c>
      <c r="BI15" s="56">
        <f t="shared" si="53"/>
        <v>46000</v>
      </c>
      <c r="BJ15" s="171">
        <f t="shared" si="70"/>
        <v>0.6043883351629179</v>
      </c>
      <c r="BK15" s="76">
        <f t="shared" si="71"/>
        <v>0.39561166483708204</v>
      </c>
      <c r="BL15" s="79">
        <f t="shared" si="72"/>
        <v>32985.630000000005</v>
      </c>
      <c r="BM15" s="155">
        <v>19936.13</v>
      </c>
      <c r="BN15" s="155">
        <v>13049.5</v>
      </c>
      <c r="BO15" s="156">
        <v>3853.86</v>
      </c>
      <c r="BP15" s="157">
        <v>0.77777777777777779</v>
      </c>
      <c r="BQ15" s="158">
        <v>2554.19</v>
      </c>
      <c r="BR15" s="157">
        <v>0.70138888888888884</v>
      </c>
    </row>
    <row r="16" spans="1:71" ht="15" thickBot="1" x14ac:dyDescent="0.35">
      <c r="B16" s="56">
        <f t="shared" si="49"/>
        <v>46001</v>
      </c>
      <c r="C16" s="164"/>
      <c r="D16" s="87">
        <f t="shared" si="22"/>
        <v>52162</v>
      </c>
      <c r="E16" s="159">
        <f t="shared" si="54"/>
        <v>0.87159234691921317</v>
      </c>
      <c r="F16" s="87">
        <f t="shared" si="24"/>
        <v>45464</v>
      </c>
      <c r="G16" s="159">
        <f t="shared" si="55"/>
        <v>0.12840765308078678</v>
      </c>
      <c r="H16" s="146">
        <f t="shared" si="26"/>
        <v>6698</v>
      </c>
      <c r="I16" s="160">
        <f t="shared" si="56"/>
        <v>0.1172574788172229</v>
      </c>
      <c r="J16" s="159">
        <f t="shared" si="57"/>
        <v>0.163548331315926</v>
      </c>
      <c r="K16" s="159">
        <f t="shared" si="58"/>
        <v>0.1705443683579542</v>
      </c>
      <c r="L16" s="161">
        <f t="shared" si="59"/>
        <v>0.57406190558533632</v>
      </c>
      <c r="M16" s="146">
        <f t="shared" si="60"/>
        <v>5960.4321632370747</v>
      </c>
      <c r="N16" s="146">
        <f t="shared" si="61"/>
        <v>8313.4887774511499</v>
      </c>
      <c r="O16" s="146">
        <f t="shared" si="62"/>
        <v>8669.1113323715272</v>
      </c>
      <c r="P16" s="146">
        <f t="shared" si="63"/>
        <v>29180.714784713815</v>
      </c>
      <c r="Q16" s="56">
        <f t="shared" si="50"/>
        <v>46001</v>
      </c>
      <c r="R16" s="139">
        <v>52162</v>
      </c>
      <c r="S16" s="140">
        <v>0</v>
      </c>
      <c r="T16" s="140">
        <v>50832</v>
      </c>
      <c r="U16" s="140">
        <v>0</v>
      </c>
      <c r="V16" s="141">
        <v>14249</v>
      </c>
      <c r="W16" s="142">
        <v>0.42708333333333331</v>
      </c>
      <c r="X16" s="141">
        <v>4212</v>
      </c>
      <c r="Y16" s="142">
        <v>0.40625</v>
      </c>
      <c r="Z16" s="141">
        <v>0</v>
      </c>
      <c r="AA16" s="142">
        <v>0</v>
      </c>
      <c r="AB16" s="56">
        <f t="shared" si="51"/>
        <v>46001</v>
      </c>
      <c r="AC16" s="76">
        <f t="shared" si="64"/>
        <v>1</v>
      </c>
      <c r="AD16" s="162">
        <f t="shared" si="65"/>
        <v>0</v>
      </c>
      <c r="AE16" s="163">
        <v>6781</v>
      </c>
      <c r="AF16" s="118">
        <f t="shared" si="37"/>
        <v>6781</v>
      </c>
      <c r="AG16" s="147">
        <v>0</v>
      </c>
      <c r="AH16" s="148">
        <v>3865</v>
      </c>
      <c r="AI16" s="149">
        <v>0.76041666666666663</v>
      </c>
      <c r="AJ16" s="148">
        <v>0</v>
      </c>
      <c r="AK16" s="165">
        <v>0</v>
      </c>
      <c r="AL16" s="56">
        <f t="shared" si="38"/>
        <v>46001</v>
      </c>
      <c r="AM16" s="77">
        <f t="shared" si="66"/>
        <v>0.58225840558257558</v>
      </c>
      <c r="AN16" s="76">
        <f t="shared" si="67"/>
        <v>0.41774159441742442</v>
      </c>
      <c r="AO16" s="150">
        <v>9458</v>
      </c>
      <c r="AP16" s="117">
        <f t="shared" si="41"/>
        <v>5507</v>
      </c>
      <c r="AQ16" s="151">
        <v>3951</v>
      </c>
      <c r="AR16" s="152">
        <v>3296</v>
      </c>
      <c r="AS16" s="153">
        <v>0.34236111111111112</v>
      </c>
      <c r="AT16" s="152">
        <v>191</v>
      </c>
      <c r="AU16" s="154">
        <v>0.71875</v>
      </c>
      <c r="AV16" s="56">
        <f t="shared" si="52"/>
        <v>46001</v>
      </c>
      <c r="AW16" s="110">
        <f t="shared" si="68"/>
        <v>0.67270344334564514</v>
      </c>
      <c r="AX16" s="110">
        <f t="shared" si="69"/>
        <v>0.32729655665435481</v>
      </c>
      <c r="AY16" s="111">
        <f t="shared" si="44"/>
        <v>8393</v>
      </c>
      <c r="AZ16" s="112">
        <v>8393</v>
      </c>
      <c r="BA16" s="120">
        <f t="shared" si="76"/>
        <v>5646</v>
      </c>
      <c r="BB16" s="113">
        <v>2747</v>
      </c>
      <c r="BC16" s="112">
        <v>4099</v>
      </c>
      <c r="BD16" s="114">
        <v>0.73958333333333337</v>
      </c>
      <c r="BE16" s="115">
        <v>0</v>
      </c>
      <c r="BF16" s="114">
        <v>0</v>
      </c>
      <c r="BG16" s="115">
        <v>158</v>
      </c>
      <c r="BH16" s="114">
        <v>0.89583333333333337</v>
      </c>
      <c r="BI16" s="56">
        <f t="shared" si="53"/>
        <v>46001</v>
      </c>
      <c r="BJ16" s="78">
        <f t="shared" si="70"/>
        <v>0.60663292969455995</v>
      </c>
      <c r="BK16" s="76">
        <f t="shared" si="71"/>
        <v>0.3933670703054401</v>
      </c>
      <c r="BL16" s="79">
        <f t="shared" si="72"/>
        <v>33198</v>
      </c>
      <c r="BM16" s="155">
        <v>20139</v>
      </c>
      <c r="BN16" s="155">
        <v>13059</v>
      </c>
      <c r="BO16" s="156">
        <v>4014</v>
      </c>
      <c r="BP16" s="157">
        <v>0.38541666666666669</v>
      </c>
      <c r="BQ16" s="158">
        <v>2698</v>
      </c>
      <c r="BR16" s="157">
        <v>0.38541666666666669</v>
      </c>
    </row>
    <row r="17" spans="1:70" ht="15" thickBot="1" x14ac:dyDescent="0.35">
      <c r="B17" s="56">
        <f t="shared" si="49"/>
        <v>46002</v>
      </c>
      <c r="C17" s="164"/>
      <c r="D17" s="87">
        <f t="shared" si="22"/>
        <v>53218</v>
      </c>
      <c r="E17" s="159">
        <f t="shared" si="54"/>
        <v>0.87553083543162091</v>
      </c>
      <c r="F17" s="87">
        <f t="shared" si="24"/>
        <v>46594</v>
      </c>
      <c r="G17" s="159">
        <f t="shared" si="55"/>
        <v>0.12446916456837911</v>
      </c>
      <c r="H17" s="146">
        <f t="shared" si="26"/>
        <v>6624</v>
      </c>
      <c r="I17" s="160">
        <f t="shared" si="56"/>
        <v>0.11919793928986312</v>
      </c>
      <c r="J17" s="159">
        <f t="shared" si="57"/>
        <v>0.16093405390844656</v>
      </c>
      <c r="K17" s="159">
        <f t="shared" si="58"/>
        <v>0.16980983036789826</v>
      </c>
      <c r="L17" s="161">
        <f t="shared" si="59"/>
        <v>0.57509638533932694</v>
      </c>
      <c r="M17" s="146">
        <f t="shared" si="60"/>
        <v>6200.4384059800996</v>
      </c>
      <c r="N17" s="146">
        <f t="shared" si="61"/>
        <v>8371.467616209573</v>
      </c>
      <c r="O17" s="146">
        <f t="shared" si="62"/>
        <v>8833.1677560773314</v>
      </c>
      <c r="P17" s="146">
        <f t="shared" si="63"/>
        <v>29915.36377258111</v>
      </c>
      <c r="Q17" s="56">
        <f t="shared" si="50"/>
        <v>46002</v>
      </c>
      <c r="R17" s="139">
        <v>53218</v>
      </c>
      <c r="S17" s="140">
        <v>0</v>
      </c>
      <c r="T17" s="140">
        <v>52018</v>
      </c>
      <c r="U17" s="140">
        <v>0</v>
      </c>
      <c r="V17" s="141">
        <v>13565</v>
      </c>
      <c r="W17" s="142">
        <v>0.79166666666666663</v>
      </c>
      <c r="X17" s="141">
        <v>4423</v>
      </c>
      <c r="Y17" s="142">
        <v>0.78125</v>
      </c>
      <c r="Z17" s="141">
        <v>0</v>
      </c>
      <c r="AA17" s="142">
        <v>0</v>
      </c>
      <c r="AB17" s="56">
        <f t="shared" si="51"/>
        <v>46002</v>
      </c>
      <c r="AC17" s="76">
        <f t="shared" si="64"/>
        <v>1</v>
      </c>
      <c r="AD17" s="162">
        <f t="shared" si="65"/>
        <v>0</v>
      </c>
      <c r="AE17" s="163">
        <v>7080</v>
      </c>
      <c r="AF17" s="118">
        <f t="shared" si="37"/>
        <v>7080</v>
      </c>
      <c r="AG17" s="147">
        <v>0</v>
      </c>
      <c r="AH17" s="148">
        <v>3578</v>
      </c>
      <c r="AI17" s="149">
        <v>0.32569444444444445</v>
      </c>
      <c r="AJ17" s="148">
        <v>0</v>
      </c>
      <c r="AK17" s="165">
        <v>0</v>
      </c>
      <c r="AL17" s="56">
        <f t="shared" si="38"/>
        <v>46002</v>
      </c>
      <c r="AM17" s="77">
        <f t="shared" si="66"/>
        <v>0.59127523799560622</v>
      </c>
      <c r="AN17" s="76">
        <f t="shared" si="67"/>
        <v>0.40872476200439378</v>
      </c>
      <c r="AO17" s="150">
        <v>9559</v>
      </c>
      <c r="AP17" s="117">
        <f t="shared" si="41"/>
        <v>5652</v>
      </c>
      <c r="AQ17" s="151">
        <v>3907</v>
      </c>
      <c r="AR17" s="152">
        <v>4071</v>
      </c>
      <c r="AS17" s="153">
        <v>0.35</v>
      </c>
      <c r="AT17" s="152">
        <v>184</v>
      </c>
      <c r="AU17" s="154">
        <v>0.26041666666666669</v>
      </c>
      <c r="AV17" s="56">
        <f t="shared" si="52"/>
        <v>46002</v>
      </c>
      <c r="AW17" s="110">
        <f t="shared" si="68"/>
        <v>0.68403302709617397</v>
      </c>
      <c r="AX17" s="110">
        <f t="shared" si="69"/>
        <v>0.31596697290382603</v>
      </c>
      <c r="AY17" s="111">
        <f t="shared" si="44"/>
        <v>8599</v>
      </c>
      <c r="AZ17" s="112">
        <v>8599</v>
      </c>
      <c r="BA17" s="120">
        <f t="shared" si="76"/>
        <v>5882</v>
      </c>
      <c r="BB17" s="113">
        <v>2717</v>
      </c>
      <c r="BC17" s="112">
        <v>4240</v>
      </c>
      <c r="BD17" s="114">
        <v>0.75</v>
      </c>
      <c r="BE17" s="115">
        <v>0</v>
      </c>
      <c r="BF17" s="114">
        <v>0</v>
      </c>
      <c r="BG17" s="115">
        <v>160</v>
      </c>
      <c r="BH17" s="114">
        <v>0.97916666666666663</v>
      </c>
      <c r="BI17" s="56">
        <f t="shared" si="53"/>
        <v>46002</v>
      </c>
      <c r="BJ17" s="78">
        <f t="shared" si="70"/>
        <v>0.60625311045405306</v>
      </c>
      <c r="BK17" s="76">
        <f t="shared" si="71"/>
        <v>0.39374688954594689</v>
      </c>
      <c r="BL17" s="79">
        <f t="shared" si="72"/>
        <v>34159</v>
      </c>
      <c r="BM17" s="155">
        <v>20709</v>
      </c>
      <c r="BN17" s="155">
        <v>13450</v>
      </c>
      <c r="BO17" s="156">
        <v>4439</v>
      </c>
      <c r="BP17" s="157">
        <v>0.75138888888888888</v>
      </c>
      <c r="BQ17" s="158">
        <v>2962</v>
      </c>
      <c r="BR17" s="157">
        <v>0.75138888888888888</v>
      </c>
    </row>
    <row r="18" spans="1:70" ht="15" thickBot="1" x14ac:dyDescent="0.35">
      <c r="B18" s="56">
        <f t="shared" si="49"/>
        <v>46003</v>
      </c>
      <c r="C18" s="164"/>
      <c r="D18" s="87">
        <f t="shared" si="22"/>
        <v>53238</v>
      </c>
      <c r="E18" s="159">
        <f t="shared" si="54"/>
        <v>0.87442465907810218</v>
      </c>
      <c r="F18" s="87">
        <f t="shared" si="24"/>
        <v>46552.62</v>
      </c>
      <c r="G18" s="159">
        <f t="shared" si="55"/>
        <v>0.1255753409218979</v>
      </c>
      <c r="H18" s="146">
        <f t="shared" si="26"/>
        <v>6685.38</v>
      </c>
      <c r="I18" s="160">
        <f t="shared" si="56"/>
        <v>0.11941099897935235</v>
      </c>
      <c r="J18" s="159">
        <f t="shared" si="57"/>
        <v>0.16107095684352435</v>
      </c>
      <c r="K18" s="159">
        <f t="shared" si="58"/>
        <v>0.171178564717307</v>
      </c>
      <c r="L18" s="161">
        <f t="shared" si="59"/>
        <v>0.57315812670221655</v>
      </c>
      <c r="M18" s="146">
        <f t="shared" si="60"/>
        <v>6205.0432982133207</v>
      </c>
      <c r="N18" s="146">
        <f t="shared" si="61"/>
        <v>8369.8509336776879</v>
      </c>
      <c r="O18" s="146">
        <f t="shared" si="62"/>
        <v>8895.0801423289613</v>
      </c>
      <c r="P18" s="146">
        <f t="shared" si="63"/>
        <v>29783.445606422305</v>
      </c>
      <c r="Q18" s="56">
        <f t="shared" si="50"/>
        <v>46003</v>
      </c>
      <c r="R18" s="139">
        <v>53238</v>
      </c>
      <c r="S18" s="140">
        <v>0</v>
      </c>
      <c r="T18" s="140">
        <v>51963.75</v>
      </c>
      <c r="U18" s="140">
        <v>0</v>
      </c>
      <c r="V18" s="141">
        <v>13556.67</v>
      </c>
      <c r="W18" s="142">
        <v>0.78125</v>
      </c>
      <c r="X18" s="141">
        <v>4426.8</v>
      </c>
      <c r="Y18" s="142">
        <v>0.79166666666666663</v>
      </c>
      <c r="Z18" s="141">
        <v>0</v>
      </c>
      <c r="AA18" s="142">
        <v>0</v>
      </c>
      <c r="AB18" s="56">
        <f t="shared" si="51"/>
        <v>46003</v>
      </c>
      <c r="AC18" s="76">
        <f t="shared" si="64"/>
        <v>1</v>
      </c>
      <c r="AD18" s="162">
        <f t="shared" si="65"/>
        <v>0</v>
      </c>
      <c r="AE18" s="163">
        <v>7001</v>
      </c>
      <c r="AF18" s="118">
        <f t="shared" si="37"/>
        <v>7001</v>
      </c>
      <c r="AG18" s="147">
        <v>0</v>
      </c>
      <c r="AH18" s="148">
        <v>4040.39</v>
      </c>
      <c r="AI18" s="149">
        <v>0.3263888888888889</v>
      </c>
      <c r="AJ18" s="148">
        <v>0</v>
      </c>
      <c r="AK18" s="165">
        <v>0</v>
      </c>
      <c r="AL18" s="56">
        <f t="shared" si="38"/>
        <v>46003</v>
      </c>
      <c r="AM18" s="77">
        <f t="shared" si="66"/>
        <v>0.58850002647323552</v>
      </c>
      <c r="AN18" s="76">
        <f t="shared" si="67"/>
        <v>0.41149997352676443</v>
      </c>
      <c r="AO18" s="150">
        <v>9443.5</v>
      </c>
      <c r="AP18" s="117">
        <f t="shared" si="41"/>
        <v>5557.5</v>
      </c>
      <c r="AQ18" s="151">
        <v>3886</v>
      </c>
      <c r="AR18" s="152">
        <v>4005.35</v>
      </c>
      <c r="AS18" s="153">
        <v>0.35555555555555557</v>
      </c>
      <c r="AT18" s="152">
        <v>178.54</v>
      </c>
      <c r="AU18" s="154">
        <v>0.90625</v>
      </c>
      <c r="AV18" s="56">
        <f t="shared" si="52"/>
        <v>46003</v>
      </c>
      <c r="AW18" s="110">
        <f t="shared" si="68"/>
        <v>0.67376995688148233</v>
      </c>
      <c r="AX18" s="110">
        <f t="shared" si="69"/>
        <v>0.32623004311851767</v>
      </c>
      <c r="AY18" s="111">
        <f t="shared" si="44"/>
        <v>8581</v>
      </c>
      <c r="AZ18" s="112">
        <v>8581</v>
      </c>
      <c r="BA18" s="120">
        <f t="shared" si="76"/>
        <v>5781.62</v>
      </c>
      <c r="BB18" s="113">
        <v>2799.38</v>
      </c>
      <c r="BC18" s="112">
        <v>4380.25</v>
      </c>
      <c r="BD18" s="114">
        <v>0.73958333333333337</v>
      </c>
      <c r="BE18" s="115">
        <v>0</v>
      </c>
      <c r="BF18" s="114">
        <v>0</v>
      </c>
      <c r="BG18" s="115">
        <v>165.13</v>
      </c>
      <c r="BH18" s="114">
        <v>0.89583333333333337</v>
      </c>
      <c r="BI18" s="56">
        <f t="shared" si="53"/>
        <v>46003</v>
      </c>
      <c r="BJ18" s="78">
        <f t="shared" si="70"/>
        <v>0.60732283178698676</v>
      </c>
      <c r="BK18" s="76">
        <f t="shared" si="71"/>
        <v>0.39267716821301307</v>
      </c>
      <c r="BL18" s="79">
        <f t="shared" si="72"/>
        <v>33603.94</v>
      </c>
      <c r="BM18" s="155">
        <v>20408.439999999999</v>
      </c>
      <c r="BN18" s="155">
        <v>13195.5</v>
      </c>
      <c r="BO18" s="156">
        <v>4307</v>
      </c>
      <c r="BP18" s="157">
        <v>0.37291666666666667</v>
      </c>
      <c r="BQ18" s="158">
        <v>2872</v>
      </c>
      <c r="BR18" s="157">
        <v>0.37291666666666667</v>
      </c>
    </row>
    <row r="19" spans="1:70" ht="15" thickBot="1" x14ac:dyDescent="0.35">
      <c r="B19" s="56">
        <f t="shared" si="49"/>
        <v>46004</v>
      </c>
      <c r="C19" s="164"/>
      <c r="D19" s="87">
        <f t="shared" si="22"/>
        <v>33112</v>
      </c>
      <c r="E19" s="159">
        <f t="shared" si="54"/>
        <v>0.80954336796327608</v>
      </c>
      <c r="F19" s="87">
        <f t="shared" si="24"/>
        <v>26805.599999999999</v>
      </c>
      <c r="G19" s="159">
        <f t="shared" si="55"/>
        <v>0.19045663203672383</v>
      </c>
      <c r="H19" s="146">
        <f t="shared" si="26"/>
        <v>6306.4</v>
      </c>
      <c r="I19" s="160">
        <f t="shared" si="56"/>
        <v>5.8521044100385666E-2</v>
      </c>
      <c r="J19" s="159">
        <f t="shared" si="57"/>
        <v>0.16434240679671344</v>
      </c>
      <c r="K19" s="159">
        <f t="shared" si="58"/>
        <v>0.17584495893409269</v>
      </c>
      <c r="L19" s="161">
        <f t="shared" si="59"/>
        <v>0.63837963221731597</v>
      </c>
      <c r="M19" s="146">
        <f t="shared" si="60"/>
        <v>1857.3994187021406</v>
      </c>
      <c r="N19" s="146">
        <f t="shared" si="61"/>
        <v>5216.0636493208876</v>
      </c>
      <c r="O19" s="146">
        <f t="shared" si="62"/>
        <v>5581.1431516091679</v>
      </c>
      <c r="P19" s="146">
        <f t="shared" si="63"/>
        <v>20261.531146945392</v>
      </c>
      <c r="Q19" s="56">
        <f t="shared" si="50"/>
        <v>46004</v>
      </c>
      <c r="R19" s="139">
        <v>33112</v>
      </c>
      <c r="S19" s="140">
        <v>0</v>
      </c>
      <c r="T19" s="140">
        <v>31739</v>
      </c>
      <c r="U19" s="140">
        <v>0</v>
      </c>
      <c r="V19" s="141">
        <v>7289.83</v>
      </c>
      <c r="W19" s="142">
        <v>0.89583333333333337</v>
      </c>
      <c r="X19" s="141">
        <v>2310.59</v>
      </c>
      <c r="Y19" s="142">
        <v>0.46875</v>
      </c>
      <c r="Z19" s="141">
        <v>0</v>
      </c>
      <c r="AA19" s="142">
        <v>0</v>
      </c>
      <c r="AB19" s="56">
        <f t="shared" si="51"/>
        <v>46004</v>
      </c>
      <c r="AC19" s="76">
        <f t="shared" si="64"/>
        <v>1</v>
      </c>
      <c r="AD19" s="162">
        <f t="shared" si="65"/>
        <v>0</v>
      </c>
      <c r="AE19" s="163">
        <v>2094</v>
      </c>
      <c r="AF19" s="118">
        <f t="shared" si="37"/>
        <v>2094</v>
      </c>
      <c r="AG19" s="147">
        <v>0</v>
      </c>
      <c r="AH19" s="148">
        <v>1586.4</v>
      </c>
      <c r="AI19" s="149">
        <v>0.3527777777777778</v>
      </c>
      <c r="AJ19" s="148">
        <v>0</v>
      </c>
      <c r="AK19" s="165">
        <v>0</v>
      </c>
      <c r="AL19" s="56">
        <f t="shared" si="38"/>
        <v>46004</v>
      </c>
      <c r="AM19" s="77">
        <f t="shared" ref="AM19" si="77">+AP19/AO19</f>
        <v>0.3811070487203469</v>
      </c>
      <c r="AN19" s="76">
        <f t="shared" ref="AN19" si="78">+AQ19/AO19</f>
        <v>0.61889295127965316</v>
      </c>
      <c r="AO19" s="150">
        <v>5880.5</v>
      </c>
      <c r="AP19" s="117">
        <f t="shared" si="41"/>
        <v>2241.1</v>
      </c>
      <c r="AQ19" s="151">
        <v>3639.4</v>
      </c>
      <c r="AR19" s="152">
        <v>1645</v>
      </c>
      <c r="AS19" s="153">
        <v>0.95208333333333328</v>
      </c>
      <c r="AT19" s="152">
        <v>184.03</v>
      </c>
      <c r="AU19" s="154">
        <v>0.98958333333333337</v>
      </c>
      <c r="AV19" s="56">
        <f t="shared" si="52"/>
        <v>46004</v>
      </c>
      <c r="AW19" s="110">
        <f t="shared" ref="AW19" si="79">BA19/AZ19</f>
        <v>0.46283987915407854</v>
      </c>
      <c r="AX19" s="110">
        <f t="shared" ref="AX19" si="80">BB19/AZ19</f>
        <v>0.53716012084592146</v>
      </c>
      <c r="AY19" s="111">
        <f t="shared" si="44"/>
        <v>4965</v>
      </c>
      <c r="AZ19" s="112">
        <v>4965</v>
      </c>
      <c r="BA19" s="120">
        <f t="shared" si="76"/>
        <v>2298</v>
      </c>
      <c r="BB19" s="113">
        <v>2667</v>
      </c>
      <c r="BC19" s="184">
        <v>1601.8</v>
      </c>
      <c r="BD19" s="114">
        <v>0.85416666666666663</v>
      </c>
      <c r="BE19" s="115">
        <v>0</v>
      </c>
      <c r="BF19" s="114">
        <v>0</v>
      </c>
      <c r="BG19" s="115">
        <v>168.25</v>
      </c>
      <c r="BH19" s="114">
        <v>0.89583333333333337</v>
      </c>
      <c r="BI19" s="56">
        <f t="shared" si="53"/>
        <v>46004</v>
      </c>
      <c r="BJ19" s="78">
        <f t="shared" ref="BJ19" si="81">+BM19/BL19</f>
        <v>0.61157929298456826</v>
      </c>
      <c r="BK19" s="76">
        <f t="shared" ref="BK19" si="82">+BN19/BL19</f>
        <v>0.38842070701543174</v>
      </c>
      <c r="BL19" s="79">
        <f t="shared" ref="BL19" si="83">BM19+BN19</f>
        <v>22842.5</v>
      </c>
      <c r="BM19" s="155">
        <v>13970</v>
      </c>
      <c r="BN19" s="155">
        <v>8872.5</v>
      </c>
      <c r="BO19" s="156">
        <v>2950.72</v>
      </c>
      <c r="BP19" s="157">
        <v>0.42291666666666666</v>
      </c>
      <c r="BQ19" s="158">
        <v>1956.1</v>
      </c>
      <c r="BR19" s="157">
        <v>0.42291666666666666</v>
      </c>
    </row>
    <row r="20" spans="1:70" ht="15" thickBot="1" x14ac:dyDescent="0.35">
      <c r="B20" s="56">
        <f t="shared" si="49"/>
        <v>46005</v>
      </c>
      <c r="C20" s="164"/>
      <c r="D20" s="87">
        <f t="shared" si="22"/>
        <v>39463</v>
      </c>
      <c r="E20" s="159">
        <f t="shared" si="54"/>
        <v>0.84309353064896231</v>
      </c>
      <c r="F20" s="87">
        <f t="shared" si="24"/>
        <v>33271</v>
      </c>
      <c r="G20" s="159">
        <f t="shared" si="55"/>
        <v>0.15690646935103769</v>
      </c>
      <c r="H20" s="146">
        <f t="shared" si="26"/>
        <v>6192</v>
      </c>
      <c r="I20" s="160">
        <f t="shared" si="56"/>
        <v>9.2183770883054891E-2</v>
      </c>
      <c r="J20" s="159">
        <f t="shared" si="57"/>
        <v>0.15416743161373234</v>
      </c>
      <c r="K20" s="159">
        <f t="shared" si="58"/>
        <v>0.168586768077848</v>
      </c>
      <c r="L20" s="161">
        <f t="shared" si="59"/>
        <v>0.61529282173673583</v>
      </c>
      <c r="M20" s="146">
        <f t="shared" si="60"/>
        <v>3533.4961217183773</v>
      </c>
      <c r="N20" s="146">
        <f t="shared" si="61"/>
        <v>5909.3918211859745</v>
      </c>
      <c r="O20" s="146">
        <f t="shared" si="62"/>
        <v>6462.0994071919922</v>
      </c>
      <c r="P20" s="146">
        <f t="shared" si="63"/>
        <v>23584.789149990822</v>
      </c>
      <c r="Q20" s="56">
        <f t="shared" si="50"/>
        <v>46005</v>
      </c>
      <c r="R20" s="139">
        <v>39463</v>
      </c>
      <c r="S20" s="140">
        <v>0</v>
      </c>
      <c r="T20" s="140">
        <v>38331</v>
      </c>
      <c r="U20" s="140">
        <v>0</v>
      </c>
      <c r="V20" s="141">
        <v>11274</v>
      </c>
      <c r="W20" s="142">
        <v>0.66666666666666663</v>
      </c>
      <c r="X20" s="141">
        <v>3290</v>
      </c>
      <c r="Y20" s="142">
        <v>0.65625</v>
      </c>
      <c r="Z20" s="141">
        <v>0</v>
      </c>
      <c r="AA20" s="142">
        <v>0</v>
      </c>
      <c r="AB20" s="56">
        <f t="shared" si="51"/>
        <v>46005</v>
      </c>
      <c r="AC20" s="76">
        <f t="shared" si="64"/>
        <v>1</v>
      </c>
      <c r="AD20" s="162">
        <f t="shared" si="65"/>
        <v>0</v>
      </c>
      <c r="AE20" s="163">
        <v>4017</v>
      </c>
      <c r="AF20" s="118">
        <f t="shared" si="37"/>
        <v>4017</v>
      </c>
      <c r="AG20" s="147">
        <v>0</v>
      </c>
      <c r="AH20" s="148">
        <v>2913</v>
      </c>
      <c r="AI20" s="149">
        <v>0.59236111111111112</v>
      </c>
      <c r="AJ20" s="148">
        <v>0</v>
      </c>
      <c r="AK20" s="165">
        <v>0</v>
      </c>
      <c r="AL20" s="56">
        <f t="shared" si="38"/>
        <v>46005</v>
      </c>
      <c r="AM20" s="77">
        <f t="shared" si="66"/>
        <v>0.46993152724025006</v>
      </c>
      <c r="AN20" s="76">
        <f t="shared" si="67"/>
        <v>0.53006847275974989</v>
      </c>
      <c r="AO20" s="150">
        <v>6718</v>
      </c>
      <c r="AP20" s="117">
        <f t="shared" si="41"/>
        <v>3157</v>
      </c>
      <c r="AQ20" s="151">
        <v>3561</v>
      </c>
      <c r="AR20" s="152">
        <v>2870</v>
      </c>
      <c r="AS20" s="153">
        <v>0.63402777777777775</v>
      </c>
      <c r="AT20" s="152">
        <v>169</v>
      </c>
      <c r="AU20" s="154">
        <v>0.13541666666666666</v>
      </c>
      <c r="AV20" s="56">
        <f t="shared" si="52"/>
        <v>46005</v>
      </c>
      <c r="AW20" s="110">
        <f t="shared" si="68"/>
        <v>0.56360922209321607</v>
      </c>
      <c r="AX20" s="110">
        <f t="shared" si="69"/>
        <v>0.43639077790678388</v>
      </c>
      <c r="AY20" s="111">
        <f t="shared" si="44"/>
        <v>6029</v>
      </c>
      <c r="AZ20" s="112">
        <v>6029</v>
      </c>
      <c r="BA20" s="120">
        <f t="shared" ref="BA20" si="84">AZ20-BB20</f>
        <v>3398</v>
      </c>
      <c r="BB20" s="113">
        <v>2631</v>
      </c>
      <c r="BC20" s="112">
        <v>3391</v>
      </c>
      <c r="BD20" s="114">
        <v>0.69791666666666663</v>
      </c>
      <c r="BE20" s="115">
        <v>0</v>
      </c>
      <c r="BF20" s="114">
        <v>0</v>
      </c>
      <c r="BG20" s="115">
        <v>153</v>
      </c>
      <c r="BH20" s="114">
        <v>0.91666666666666663</v>
      </c>
      <c r="BI20" s="56">
        <f t="shared" si="53"/>
        <v>46005</v>
      </c>
      <c r="BJ20" s="78">
        <f t="shared" si="70"/>
        <v>0.6165149932865881</v>
      </c>
      <c r="BK20" s="76">
        <f t="shared" si="71"/>
        <v>0.3834850067134119</v>
      </c>
      <c r="BL20" s="79">
        <f t="shared" si="72"/>
        <v>26812</v>
      </c>
      <c r="BM20" s="155">
        <v>16530</v>
      </c>
      <c r="BN20" s="155">
        <v>10282</v>
      </c>
      <c r="BO20" s="156">
        <v>3655</v>
      </c>
      <c r="BP20" s="157">
        <v>0.68888888888888888</v>
      </c>
      <c r="BQ20" s="158">
        <v>2435</v>
      </c>
      <c r="BR20" s="157">
        <v>0.68888888888888888</v>
      </c>
    </row>
    <row r="21" spans="1:70" ht="15" thickBot="1" x14ac:dyDescent="0.35">
      <c r="A21" s="14"/>
      <c r="B21" s="56">
        <f t="shared" si="49"/>
        <v>46006</v>
      </c>
      <c r="C21" s="164"/>
      <c r="D21" s="87">
        <f t="shared" si="22"/>
        <v>54200</v>
      </c>
      <c r="E21" s="159">
        <f t="shared" si="54"/>
        <v>0.87712177121771218</v>
      </c>
      <c r="F21" s="87">
        <f t="shared" si="24"/>
        <v>47540</v>
      </c>
      <c r="G21" s="159">
        <f t="shared" si="55"/>
        <v>0.12287822878228782</v>
      </c>
      <c r="H21" s="146">
        <f t="shared" si="26"/>
        <v>6660</v>
      </c>
      <c r="I21" s="160">
        <f t="shared" si="56"/>
        <v>0.11885976075337236</v>
      </c>
      <c r="J21" s="159">
        <f t="shared" si="57"/>
        <v>0.15864935946381606</v>
      </c>
      <c r="K21" s="159">
        <f t="shared" si="58"/>
        <v>0.17093172611402035</v>
      </c>
      <c r="L21" s="161">
        <f t="shared" si="59"/>
        <v>0.57571901247136681</v>
      </c>
      <c r="M21" s="146">
        <f t="shared" si="60"/>
        <v>6252.0234156273864</v>
      </c>
      <c r="N21" s="146">
        <f t="shared" si="61"/>
        <v>8344.956307796725</v>
      </c>
      <c r="O21" s="146">
        <f t="shared" si="62"/>
        <v>8991.0087935974698</v>
      </c>
      <c r="P21" s="146">
        <f t="shared" si="63"/>
        <v>30282.820055993896</v>
      </c>
      <c r="Q21" s="56">
        <f t="shared" si="50"/>
        <v>46006</v>
      </c>
      <c r="R21" s="139">
        <v>54200</v>
      </c>
      <c r="S21" s="140">
        <v>0</v>
      </c>
      <c r="T21" s="140">
        <v>52600</v>
      </c>
      <c r="U21" s="140">
        <v>0</v>
      </c>
      <c r="V21" s="141">
        <v>12980</v>
      </c>
      <c r="W21" s="142">
        <v>0.72916666666666663</v>
      </c>
      <c r="X21" s="141">
        <v>4520</v>
      </c>
      <c r="Y21" s="142">
        <v>0.6875</v>
      </c>
      <c r="Z21" s="141">
        <v>0</v>
      </c>
      <c r="AA21" s="142">
        <v>0</v>
      </c>
      <c r="AB21" s="56">
        <f t="shared" si="51"/>
        <v>46006</v>
      </c>
      <c r="AC21" s="76">
        <f t="shared" si="64"/>
        <v>1</v>
      </c>
      <c r="AD21" s="162">
        <f t="shared" si="65"/>
        <v>0</v>
      </c>
      <c r="AE21" s="163">
        <v>7005</v>
      </c>
      <c r="AF21" s="118">
        <f t="shared" si="37"/>
        <v>7005</v>
      </c>
      <c r="AG21" s="147">
        <v>0</v>
      </c>
      <c r="AH21" s="148">
        <v>4050</v>
      </c>
      <c r="AI21" s="149">
        <v>0.66666666666666663</v>
      </c>
      <c r="AJ21" s="148">
        <v>0</v>
      </c>
      <c r="AK21" s="165">
        <v>0</v>
      </c>
      <c r="AL21" s="56">
        <f t="shared" si="38"/>
        <v>46006</v>
      </c>
      <c r="AM21" s="77">
        <f t="shared" si="66"/>
        <v>0.5903743315508021</v>
      </c>
      <c r="AN21" s="76">
        <f t="shared" si="67"/>
        <v>0.40962566844919784</v>
      </c>
      <c r="AO21" s="150">
        <v>9350</v>
      </c>
      <c r="AP21" s="117">
        <f t="shared" si="41"/>
        <v>5520</v>
      </c>
      <c r="AQ21" s="151">
        <v>3830</v>
      </c>
      <c r="AR21" s="152">
        <v>4010</v>
      </c>
      <c r="AS21" s="153">
        <v>0.70833333333333337</v>
      </c>
      <c r="AT21" s="152">
        <v>182</v>
      </c>
      <c r="AU21" s="154">
        <v>0.70833333333333337</v>
      </c>
      <c r="AV21" s="56">
        <f t="shared" si="52"/>
        <v>46006</v>
      </c>
      <c r="AW21" s="110">
        <f t="shared" si="68"/>
        <v>0.67283236994219653</v>
      </c>
      <c r="AX21" s="110">
        <f t="shared" si="69"/>
        <v>0.32716763005780347</v>
      </c>
      <c r="AY21" s="111">
        <f t="shared" si="44"/>
        <v>8650</v>
      </c>
      <c r="AZ21" s="112">
        <v>8650</v>
      </c>
      <c r="BA21" s="120">
        <f t="shared" si="76"/>
        <v>5820</v>
      </c>
      <c r="BB21" s="113">
        <v>2830</v>
      </c>
      <c r="BC21" s="112">
        <v>4070</v>
      </c>
      <c r="BD21" s="114">
        <v>0.75</v>
      </c>
      <c r="BE21" s="115">
        <v>0</v>
      </c>
      <c r="BF21" s="114">
        <v>0</v>
      </c>
      <c r="BG21" s="115">
        <v>165</v>
      </c>
      <c r="BH21" s="114">
        <v>0.89583333333333337</v>
      </c>
      <c r="BI21" s="56">
        <f>BI20+1</f>
        <v>46006</v>
      </c>
      <c r="BJ21" s="78">
        <f t="shared" si="70"/>
        <v>0.61243737105806073</v>
      </c>
      <c r="BK21" s="76">
        <f t="shared" si="71"/>
        <v>0.38756262894193927</v>
      </c>
      <c r="BL21" s="79">
        <f t="shared" si="72"/>
        <v>33930</v>
      </c>
      <c r="BM21" s="155">
        <v>20780</v>
      </c>
      <c r="BN21" s="155">
        <v>13150</v>
      </c>
      <c r="BO21" s="156">
        <v>4280</v>
      </c>
      <c r="BP21" s="157">
        <v>0.73958333333333337</v>
      </c>
      <c r="BQ21" s="158">
        <v>2850</v>
      </c>
      <c r="BR21" s="157">
        <v>0.73958333333333337</v>
      </c>
    </row>
    <row r="22" spans="1:70" ht="15" thickBot="1" x14ac:dyDescent="0.35">
      <c r="A22" s="14"/>
      <c r="B22" s="56">
        <f t="shared" si="49"/>
        <v>46007</v>
      </c>
      <c r="C22" s="164"/>
      <c r="D22" s="87">
        <f t="shared" si="22"/>
        <v>54762</v>
      </c>
      <c r="E22" s="159">
        <f t="shared" si="54"/>
        <v>0.87396369745443925</v>
      </c>
      <c r="F22" s="87">
        <f t="shared" si="24"/>
        <v>47860</v>
      </c>
      <c r="G22" s="159">
        <f t="shared" si="55"/>
        <v>0.12603630254556078</v>
      </c>
      <c r="H22" s="146">
        <f t="shared" si="26"/>
        <v>6902</v>
      </c>
      <c r="I22" s="160">
        <f t="shared" si="56"/>
        <v>0.11737050478389971</v>
      </c>
      <c r="J22" s="159">
        <f t="shared" si="57"/>
        <v>0.16283404816892114</v>
      </c>
      <c r="K22" s="159">
        <f t="shared" si="58"/>
        <v>0.1734529560616517</v>
      </c>
      <c r="L22" s="161">
        <f t="shared" si="59"/>
        <v>0.57053777631144842</v>
      </c>
      <c r="M22" s="146">
        <f t="shared" si="60"/>
        <v>6284.3689376443417</v>
      </c>
      <c r="N22" s="146">
        <f t="shared" si="61"/>
        <v>8718.6234411085443</v>
      </c>
      <c r="O22" s="146">
        <f t="shared" si="62"/>
        <v>9287.1916264090178</v>
      </c>
      <c r="P22" s="146">
        <f t="shared" si="63"/>
        <v>30548.304157043884</v>
      </c>
      <c r="Q22" s="56">
        <f t="shared" si="50"/>
        <v>46007</v>
      </c>
      <c r="R22" s="139">
        <v>54762</v>
      </c>
      <c r="S22" s="140">
        <v>0</v>
      </c>
      <c r="T22" s="140">
        <v>53543</v>
      </c>
      <c r="U22" s="140">
        <v>0</v>
      </c>
      <c r="V22" s="141">
        <v>15443</v>
      </c>
      <c r="W22" s="142">
        <v>0.75</v>
      </c>
      <c r="X22" s="141">
        <v>4674</v>
      </c>
      <c r="Y22" s="142">
        <v>0.80208333333333337</v>
      </c>
      <c r="Z22" s="141">
        <v>0</v>
      </c>
      <c r="AA22" s="142">
        <v>0</v>
      </c>
      <c r="AB22" s="56">
        <f t="shared" si="51"/>
        <v>46007</v>
      </c>
      <c r="AC22" s="76">
        <f t="shared" si="64"/>
        <v>1</v>
      </c>
      <c r="AD22" s="162">
        <f t="shared" si="65"/>
        <v>0</v>
      </c>
      <c r="AE22" s="163">
        <v>7115</v>
      </c>
      <c r="AF22" s="118">
        <f t="shared" si="37"/>
        <v>7115</v>
      </c>
      <c r="AG22" s="147">
        <v>0</v>
      </c>
      <c r="AH22" s="148">
        <v>4117</v>
      </c>
      <c r="AI22" s="149">
        <v>0.7729166666666667</v>
      </c>
      <c r="AJ22" s="148">
        <v>0</v>
      </c>
      <c r="AK22" s="165">
        <v>0</v>
      </c>
      <c r="AL22" s="56">
        <f t="shared" si="38"/>
        <v>46007</v>
      </c>
      <c r="AM22" s="77">
        <f t="shared" si="66"/>
        <v>0.60095228446965865</v>
      </c>
      <c r="AN22" s="76">
        <f t="shared" si="67"/>
        <v>0.39904771553034141</v>
      </c>
      <c r="AO22" s="150">
        <v>9871</v>
      </c>
      <c r="AP22" s="117">
        <f t="shared" si="41"/>
        <v>5932</v>
      </c>
      <c r="AQ22" s="151">
        <v>3939</v>
      </c>
      <c r="AR22" s="152">
        <v>3347</v>
      </c>
      <c r="AS22" s="153">
        <v>0.72638888888888886</v>
      </c>
      <c r="AT22" s="152">
        <v>195</v>
      </c>
      <c r="AU22" s="154">
        <v>0.67708333333333337</v>
      </c>
      <c r="AV22" s="56">
        <f t="shared" si="52"/>
        <v>46007</v>
      </c>
      <c r="AW22" s="110">
        <f t="shared" si="68"/>
        <v>0.67252431476569408</v>
      </c>
      <c r="AX22" s="110">
        <f t="shared" si="69"/>
        <v>0.32747568523430592</v>
      </c>
      <c r="AY22" s="111">
        <f t="shared" si="44"/>
        <v>9048</v>
      </c>
      <c r="AZ22" s="112">
        <v>9048</v>
      </c>
      <c r="BA22" s="120">
        <f t="shared" si="76"/>
        <v>6085</v>
      </c>
      <c r="BB22" s="113">
        <v>2963</v>
      </c>
      <c r="BC22" s="112">
        <v>4825</v>
      </c>
      <c r="BD22" s="114">
        <v>0.71875</v>
      </c>
      <c r="BE22" s="115">
        <v>0</v>
      </c>
      <c r="BF22" s="114">
        <v>0</v>
      </c>
      <c r="BG22" s="115">
        <v>176</v>
      </c>
      <c r="BH22" s="114">
        <v>0.89583333333333337</v>
      </c>
      <c r="BI22" s="56">
        <f t="shared" si="53"/>
        <v>46007</v>
      </c>
      <c r="BJ22" s="78">
        <f t="shared" si="70"/>
        <v>0.60778927889897649</v>
      </c>
      <c r="BK22" s="76">
        <f t="shared" si="71"/>
        <v>0.39221072110102356</v>
      </c>
      <c r="BL22" s="79">
        <f t="shared" si="72"/>
        <v>34586</v>
      </c>
      <c r="BM22" s="155">
        <v>21021</v>
      </c>
      <c r="BN22" s="155">
        <v>13565</v>
      </c>
      <c r="BO22" s="156">
        <v>4483</v>
      </c>
      <c r="BP22" s="157">
        <v>0.70902777777777781</v>
      </c>
      <c r="BQ22" s="158">
        <v>3019</v>
      </c>
      <c r="BR22" s="157">
        <v>0.70972222222222225</v>
      </c>
    </row>
    <row r="23" spans="1:70" ht="15" thickBot="1" x14ac:dyDescent="0.35">
      <c r="A23" s="14"/>
      <c r="B23" s="56">
        <f t="shared" si="49"/>
        <v>46008</v>
      </c>
      <c r="C23" s="164"/>
      <c r="D23" s="87">
        <f t="shared" si="22"/>
        <v>52704</v>
      </c>
      <c r="E23" s="159">
        <f t="shared" si="54"/>
        <v>0.86659456587735273</v>
      </c>
      <c r="F23" s="87">
        <f t="shared" si="24"/>
        <v>45673</v>
      </c>
      <c r="G23" s="159">
        <f t="shared" si="55"/>
        <v>0.13340543412264724</v>
      </c>
      <c r="H23" s="146">
        <f t="shared" si="26"/>
        <v>7031</v>
      </c>
      <c r="I23" s="160">
        <f t="shared" si="56"/>
        <v>0.11702255175602322</v>
      </c>
      <c r="J23" s="159">
        <f t="shared" si="57"/>
        <v>0.15856435897874963</v>
      </c>
      <c r="K23" s="159">
        <f t="shared" si="58"/>
        <v>0.17123823665148383</v>
      </c>
      <c r="L23" s="161">
        <f t="shared" si="59"/>
        <v>0.57828045000770556</v>
      </c>
      <c r="M23" s="146">
        <f t="shared" si="60"/>
        <v>6020.8102878473946</v>
      </c>
      <c r="N23" s="146">
        <f t="shared" si="61"/>
        <v>8158.1362694566678</v>
      </c>
      <c r="O23" s="146">
        <f t="shared" si="62"/>
        <v>8810.2072757188434</v>
      </c>
      <c r="P23" s="146">
        <f t="shared" si="63"/>
        <v>29752.529152896452</v>
      </c>
      <c r="Q23" s="56">
        <f t="shared" si="50"/>
        <v>46008</v>
      </c>
      <c r="R23" s="139">
        <v>52704</v>
      </c>
      <c r="S23" s="140">
        <v>0</v>
      </c>
      <c r="T23" s="140">
        <v>51450</v>
      </c>
      <c r="U23" s="140">
        <v>0</v>
      </c>
      <c r="V23" s="141">
        <v>15440</v>
      </c>
      <c r="W23" s="142">
        <v>0.80208333333333337</v>
      </c>
      <c r="X23" s="141">
        <v>4380</v>
      </c>
      <c r="Y23" s="142">
        <v>0.79166666666666663</v>
      </c>
      <c r="Z23" s="141">
        <v>0</v>
      </c>
      <c r="AA23" s="142">
        <v>0</v>
      </c>
      <c r="AB23" s="56">
        <f t="shared" si="51"/>
        <v>46008</v>
      </c>
      <c r="AC23" s="76">
        <f t="shared" si="64"/>
        <v>1</v>
      </c>
      <c r="AD23" s="162">
        <f t="shared" si="65"/>
        <v>0</v>
      </c>
      <c r="AE23" s="163">
        <v>6834</v>
      </c>
      <c r="AF23" s="118">
        <f t="shared" si="37"/>
        <v>6834</v>
      </c>
      <c r="AG23" s="147">
        <v>0</v>
      </c>
      <c r="AH23" s="148">
        <v>4331</v>
      </c>
      <c r="AI23" s="149">
        <v>0.75208333333333333</v>
      </c>
      <c r="AJ23" s="148">
        <v>0</v>
      </c>
      <c r="AK23" s="165">
        <v>0</v>
      </c>
      <c r="AL23" s="56">
        <f t="shared" si="38"/>
        <v>46008</v>
      </c>
      <c r="AM23" s="77">
        <f t="shared" si="66"/>
        <v>0.5825053995680346</v>
      </c>
      <c r="AN23" s="76">
        <f t="shared" si="67"/>
        <v>0.41749460043196546</v>
      </c>
      <c r="AO23" s="150">
        <v>9260</v>
      </c>
      <c r="AP23" s="117">
        <f t="shared" si="41"/>
        <v>5394</v>
      </c>
      <c r="AQ23" s="151">
        <v>3866</v>
      </c>
      <c r="AR23" s="152">
        <v>3520</v>
      </c>
      <c r="AS23" s="153">
        <v>0.80138888888888893</v>
      </c>
      <c r="AT23" s="152">
        <v>187</v>
      </c>
      <c r="AU23" s="154">
        <v>0.61458333333333337</v>
      </c>
      <c r="AV23" s="56">
        <f t="shared" si="52"/>
        <v>46008</v>
      </c>
      <c r="AW23" s="110">
        <f t="shared" si="68"/>
        <v>0.62913053667682217</v>
      </c>
      <c r="AX23" s="110">
        <f t="shared" si="69"/>
        <v>0.37086946332317788</v>
      </c>
      <c r="AY23" s="111">
        <f t="shared" si="44"/>
        <v>8534</v>
      </c>
      <c r="AZ23" s="112">
        <v>8534</v>
      </c>
      <c r="BA23" s="120">
        <f t="shared" si="76"/>
        <v>5369</v>
      </c>
      <c r="BB23" s="113">
        <f>1748+1417</f>
        <v>3165</v>
      </c>
      <c r="BC23" s="112">
        <v>3876</v>
      </c>
      <c r="BD23" s="114">
        <v>0.76041666666666663</v>
      </c>
      <c r="BE23" s="115">
        <v>0</v>
      </c>
      <c r="BF23" s="114">
        <v>0</v>
      </c>
      <c r="BG23" s="115">
        <v>157</v>
      </c>
      <c r="BH23" s="114">
        <v>0.89583333333333337</v>
      </c>
      <c r="BI23" s="56">
        <f t="shared" si="53"/>
        <v>46008</v>
      </c>
      <c r="BJ23" s="78">
        <f t="shared" si="70"/>
        <v>0.60824375943857156</v>
      </c>
      <c r="BK23" s="76">
        <f t="shared" si="71"/>
        <v>0.39175624056142844</v>
      </c>
      <c r="BL23" s="79">
        <f t="shared" si="72"/>
        <v>33771</v>
      </c>
      <c r="BM23" s="155">
        <v>20541</v>
      </c>
      <c r="BN23" s="155">
        <v>13230</v>
      </c>
      <c r="BO23" s="156">
        <v>3992</v>
      </c>
      <c r="BP23" s="157">
        <v>0.31944444444444442</v>
      </c>
      <c r="BQ23" s="158">
        <v>2618</v>
      </c>
      <c r="BR23" s="157">
        <v>0.31944444444444442</v>
      </c>
    </row>
    <row r="24" spans="1:70" ht="15" thickBot="1" x14ac:dyDescent="0.35">
      <c r="A24" s="14"/>
      <c r="B24" s="56">
        <f t="shared" si="49"/>
        <v>46009</v>
      </c>
      <c r="C24" s="164"/>
      <c r="D24" s="87">
        <f t="shared" si="22"/>
        <v>53454</v>
      </c>
      <c r="E24" s="159">
        <f t="shared" si="54"/>
        <v>0.87202080293336326</v>
      </c>
      <c r="F24" s="87">
        <f t="shared" si="24"/>
        <v>46613</v>
      </c>
      <c r="G24" s="159">
        <f t="shared" si="55"/>
        <v>0.12797919706663674</v>
      </c>
      <c r="H24" s="146">
        <f t="shared" si="26"/>
        <v>6841</v>
      </c>
      <c r="I24" s="160">
        <f t="shared" si="56"/>
        <v>0.11687829884824877</v>
      </c>
      <c r="J24" s="159">
        <f t="shared" si="57"/>
        <v>0.15627055192998432</v>
      </c>
      <c r="K24" s="159">
        <f t="shared" si="58"/>
        <v>0.17159316646801748</v>
      </c>
      <c r="L24" s="161">
        <f t="shared" si="59"/>
        <v>0.58118750105394512</v>
      </c>
      <c r="M24" s="146">
        <f t="shared" si="60"/>
        <v>6107.9430195106324</v>
      </c>
      <c r="N24" s="146">
        <f t="shared" si="61"/>
        <v>8166.542773309051</v>
      </c>
      <c r="O24" s="146">
        <f t="shared" si="62"/>
        <v>8967.287286452125</v>
      </c>
      <c r="P24" s="146">
        <f t="shared" si="63"/>
        <v>30372.277617578118</v>
      </c>
      <c r="Q24" s="56">
        <f t="shared" si="50"/>
        <v>46009</v>
      </c>
      <c r="R24" s="139">
        <v>53454</v>
      </c>
      <c r="S24" s="140">
        <v>0</v>
      </c>
      <c r="T24" s="140">
        <v>52259</v>
      </c>
      <c r="U24" s="140">
        <v>0</v>
      </c>
      <c r="V24" s="141">
        <v>12409</v>
      </c>
      <c r="W24" s="142">
        <v>0.80208333333333337</v>
      </c>
      <c r="X24" s="141">
        <v>4399</v>
      </c>
      <c r="Y24" s="142">
        <v>0.82291666666666663</v>
      </c>
      <c r="Z24" s="141">
        <v>0</v>
      </c>
      <c r="AA24" s="142">
        <v>0</v>
      </c>
      <c r="AB24" s="56">
        <f t="shared" si="51"/>
        <v>46009</v>
      </c>
      <c r="AC24" s="76">
        <f t="shared" si="64"/>
        <v>1</v>
      </c>
      <c r="AD24" s="162">
        <f t="shared" si="65"/>
        <v>0</v>
      </c>
      <c r="AE24" s="163">
        <v>6931</v>
      </c>
      <c r="AF24" s="118">
        <f t="shared" si="37"/>
        <v>6931</v>
      </c>
      <c r="AG24" s="147">
        <v>0</v>
      </c>
      <c r="AH24" s="148">
        <v>4378</v>
      </c>
      <c r="AI24" s="149">
        <v>0.34444444444444444</v>
      </c>
      <c r="AJ24" s="148">
        <v>0</v>
      </c>
      <c r="AK24" s="165">
        <v>0</v>
      </c>
      <c r="AL24" s="56">
        <f t="shared" si="38"/>
        <v>46009</v>
      </c>
      <c r="AM24" s="77">
        <f t="shared" si="66"/>
        <v>0.55983597712312505</v>
      </c>
      <c r="AN24" s="76">
        <f t="shared" si="67"/>
        <v>0.44016402287687495</v>
      </c>
      <c r="AO24" s="150">
        <v>9267</v>
      </c>
      <c r="AP24" s="117">
        <f t="shared" si="41"/>
        <v>5188</v>
      </c>
      <c r="AQ24" s="151">
        <v>4079</v>
      </c>
      <c r="AR24" s="152">
        <v>3627</v>
      </c>
      <c r="AS24" s="153">
        <v>0.36458333333333331</v>
      </c>
      <c r="AT24" s="152">
        <v>174</v>
      </c>
      <c r="AU24" s="154">
        <v>0.76041666666666663</v>
      </c>
      <c r="AV24" s="56">
        <f t="shared" si="52"/>
        <v>46009</v>
      </c>
      <c r="AW24" s="110">
        <f t="shared" si="68"/>
        <v>0.68025005788376935</v>
      </c>
      <c r="AX24" s="110">
        <f t="shared" si="69"/>
        <v>0.31974994211623059</v>
      </c>
      <c r="AY24" s="111">
        <f t="shared" si="44"/>
        <v>8638</v>
      </c>
      <c r="AZ24" s="112">
        <v>8638</v>
      </c>
      <c r="BA24" s="120">
        <f t="shared" si="76"/>
        <v>5876</v>
      </c>
      <c r="BB24" s="113">
        <v>2762</v>
      </c>
      <c r="BC24" s="112">
        <v>3627</v>
      </c>
      <c r="BD24" s="114">
        <v>0.36458333333333331</v>
      </c>
      <c r="BE24" s="115">
        <v>0</v>
      </c>
      <c r="BF24" s="114">
        <v>0</v>
      </c>
      <c r="BG24" s="115">
        <v>164</v>
      </c>
      <c r="BH24" s="114">
        <v>0.92708333333333337</v>
      </c>
      <c r="BI24" s="56">
        <f t="shared" si="53"/>
        <v>46009</v>
      </c>
      <c r="BJ24" s="78">
        <f t="shared" si="70"/>
        <v>0.60771797475699985</v>
      </c>
      <c r="BK24" s="76">
        <f t="shared" si="71"/>
        <v>0.39228202524300015</v>
      </c>
      <c r="BL24" s="79">
        <f t="shared" si="72"/>
        <v>34465</v>
      </c>
      <c r="BM24" s="155">
        <v>20945</v>
      </c>
      <c r="BN24" s="155">
        <v>13520</v>
      </c>
      <c r="BO24" s="156">
        <v>4365</v>
      </c>
      <c r="BP24" s="157">
        <v>0.82361111111111107</v>
      </c>
      <c r="BQ24" s="158">
        <v>2930</v>
      </c>
      <c r="BR24" s="157">
        <v>0.82361111111111107</v>
      </c>
    </row>
    <row r="25" spans="1:70" ht="15" thickBot="1" x14ac:dyDescent="0.35">
      <c r="A25" s="14"/>
      <c r="B25" s="56">
        <f t="shared" si="49"/>
        <v>46010</v>
      </c>
      <c r="C25" s="164"/>
      <c r="D25" s="87">
        <f t="shared" si="22"/>
        <v>52240</v>
      </c>
      <c r="E25" s="159">
        <f t="shared" ref="E25:E36" si="85">F25/D25</f>
        <v>0.87716309341500764</v>
      </c>
      <c r="F25" s="87">
        <f t="shared" si="24"/>
        <v>45823</v>
      </c>
      <c r="G25" s="159">
        <f t="shared" ref="G25:G36" si="86">H25/D25</f>
        <v>0.12283690658499234</v>
      </c>
      <c r="H25" s="146">
        <f t="shared" si="26"/>
        <v>6417</v>
      </c>
      <c r="I25" s="160">
        <f t="shared" ref="I25:I36" si="87">AE25/(AE25+AO25+BL25+AY25)</f>
        <v>0.11713579734936845</v>
      </c>
      <c r="J25" s="159">
        <f t="shared" ref="J25:J36" si="88">AO25/(AE25+AO25+BL25+AY25)</f>
        <v>0.1581220949320063</v>
      </c>
      <c r="K25" s="159">
        <f t="shared" ref="K25:K36" si="89">AY25/(AF25+AP25+BM25+AZ25+AY25)</f>
        <v>0.1685745712307003</v>
      </c>
      <c r="L25" s="161">
        <f t="shared" ref="L25:L36" si="90">BL25/(AE25+AO25+BL25+AY25)</f>
        <v>0.58173932576503729</v>
      </c>
      <c r="M25" s="146">
        <f t="shared" ref="M25:M35" si="91">(S25+T25)*I25</f>
        <v>5973.6913932230918</v>
      </c>
      <c r="N25" s="146">
        <f t="shared" ref="N25:N35" si="92">(S25+T25)*J25</f>
        <v>8063.9105973424575</v>
      </c>
      <c r="O25" s="146">
        <f t="shared" ref="O25:O35" si="93">(S25+T25)*K25</f>
        <v>8596.9659836232531</v>
      </c>
      <c r="P25" s="146">
        <f t="shared" ref="P25:P35" si="94">(S25+T25)*L25</f>
        <v>29667.542135365373</v>
      </c>
      <c r="Q25" s="56">
        <f t="shared" si="50"/>
        <v>46010</v>
      </c>
      <c r="R25" s="139">
        <v>52240</v>
      </c>
      <c r="S25" s="140">
        <v>0</v>
      </c>
      <c r="T25" s="140">
        <v>50998</v>
      </c>
      <c r="U25" s="140">
        <v>0</v>
      </c>
      <c r="V25" s="141">
        <v>12896</v>
      </c>
      <c r="W25" s="142">
        <v>0.42291666666666666</v>
      </c>
      <c r="X25" s="141">
        <v>4446</v>
      </c>
      <c r="Y25" s="142">
        <v>0.80208333333333337</v>
      </c>
      <c r="Z25" s="141">
        <v>0</v>
      </c>
      <c r="AA25" s="142">
        <v>0</v>
      </c>
      <c r="AB25" s="168">
        <f t="shared" si="51"/>
        <v>46010</v>
      </c>
      <c r="AC25" s="76">
        <f t="shared" si="64"/>
        <v>1</v>
      </c>
      <c r="AD25" s="162">
        <f t="shared" si="65"/>
        <v>0</v>
      </c>
      <c r="AE25" s="163">
        <v>6779</v>
      </c>
      <c r="AF25" s="118">
        <f t="shared" si="37"/>
        <v>6779</v>
      </c>
      <c r="AG25" s="147">
        <v>0</v>
      </c>
      <c r="AH25" s="148">
        <v>4550</v>
      </c>
      <c r="AI25" s="149">
        <v>0.77708333333333335</v>
      </c>
      <c r="AJ25" s="148">
        <v>0</v>
      </c>
      <c r="AK25" s="165">
        <v>0</v>
      </c>
      <c r="AL25" s="168">
        <f t="shared" si="38"/>
        <v>46010</v>
      </c>
      <c r="AM25" s="77">
        <f t="shared" si="66"/>
        <v>0.58376133755873671</v>
      </c>
      <c r="AN25" s="76">
        <f t="shared" si="67"/>
        <v>0.41623866244126323</v>
      </c>
      <c r="AO25" s="150">
        <v>9151</v>
      </c>
      <c r="AP25" s="117">
        <f t="shared" si="41"/>
        <v>5342</v>
      </c>
      <c r="AQ25" s="151">
        <v>3809</v>
      </c>
      <c r="AR25" s="152">
        <v>3836</v>
      </c>
      <c r="AS25" s="153">
        <v>0.74722222222222223</v>
      </c>
      <c r="AT25" s="152">
        <v>180</v>
      </c>
      <c r="AU25" s="154">
        <v>0.875</v>
      </c>
      <c r="AV25" s="168">
        <f t="shared" si="52"/>
        <v>46010</v>
      </c>
      <c r="AW25" s="169">
        <f t="shared" si="68"/>
        <v>0.68487191880135334</v>
      </c>
      <c r="AX25" s="169">
        <f t="shared" si="69"/>
        <v>0.31512808119864671</v>
      </c>
      <c r="AY25" s="111">
        <f t="shared" si="44"/>
        <v>8276</v>
      </c>
      <c r="AZ25" s="112">
        <v>8276</v>
      </c>
      <c r="BA25" s="170">
        <f t="shared" si="76"/>
        <v>5668</v>
      </c>
      <c r="BB25" s="113">
        <v>2608</v>
      </c>
      <c r="BC25" s="112">
        <v>3845</v>
      </c>
      <c r="BD25" s="114">
        <v>0.76041666666666663</v>
      </c>
      <c r="BE25" s="115">
        <v>0</v>
      </c>
      <c r="BF25" s="114">
        <v>0</v>
      </c>
      <c r="BG25" s="115">
        <v>157</v>
      </c>
      <c r="BH25" s="114">
        <v>0.92708333333333337</v>
      </c>
      <c r="BI25" s="168">
        <f t="shared" si="53"/>
        <v>46010</v>
      </c>
      <c r="BJ25" s="171">
        <f t="shared" si="70"/>
        <v>0.60655835090741672</v>
      </c>
      <c r="BK25" s="76">
        <f t="shared" si="71"/>
        <v>0.39344164909258322</v>
      </c>
      <c r="BL25" s="79">
        <f t="shared" si="72"/>
        <v>33667</v>
      </c>
      <c r="BM25" s="155">
        <v>20421</v>
      </c>
      <c r="BN25" s="155">
        <v>13246</v>
      </c>
      <c r="BO25" s="156">
        <v>4227</v>
      </c>
      <c r="BP25" s="157">
        <v>0.83263888888888893</v>
      </c>
      <c r="BQ25" s="158">
        <v>2864</v>
      </c>
      <c r="BR25" s="157">
        <v>0.83333333333333337</v>
      </c>
    </row>
    <row r="26" spans="1:70" ht="15" thickBot="1" x14ac:dyDescent="0.35">
      <c r="A26" s="14"/>
      <c r="B26" s="56">
        <f t="shared" si="49"/>
        <v>46011</v>
      </c>
      <c r="C26" s="164"/>
      <c r="D26" s="87">
        <f t="shared" si="22"/>
        <v>33238</v>
      </c>
      <c r="E26" s="159">
        <f t="shared" si="85"/>
        <v>0.81036765148324208</v>
      </c>
      <c r="F26" s="87">
        <f t="shared" si="24"/>
        <v>26935</v>
      </c>
      <c r="G26" s="159">
        <f t="shared" si="86"/>
        <v>0.18963234851675792</v>
      </c>
      <c r="H26" s="146">
        <f t="shared" si="26"/>
        <v>6303</v>
      </c>
      <c r="I26" s="160">
        <f t="shared" si="87"/>
        <v>7.7262693156732898E-2</v>
      </c>
      <c r="J26" s="159">
        <f t="shared" si="88"/>
        <v>0.16627149592565341</v>
      </c>
      <c r="K26" s="159">
        <f t="shared" si="89"/>
        <v>0.16929688843046245</v>
      </c>
      <c r="L26" s="161">
        <f t="shared" si="90"/>
        <v>0.62227127790041692</v>
      </c>
      <c r="M26" s="146">
        <f t="shared" si="91"/>
        <v>2457.7262693156736</v>
      </c>
      <c r="N26" s="146">
        <f t="shared" si="92"/>
        <v>5289.096285395035</v>
      </c>
      <c r="O26" s="146">
        <f t="shared" si="93"/>
        <v>5385.3340209730104</v>
      </c>
      <c r="P26" s="146">
        <f t="shared" si="94"/>
        <v>19794.449350012263</v>
      </c>
      <c r="Q26" s="56">
        <f t="shared" si="50"/>
        <v>46011</v>
      </c>
      <c r="R26" s="139">
        <v>33238</v>
      </c>
      <c r="S26" s="140">
        <v>0</v>
      </c>
      <c r="T26" s="140">
        <v>31810</v>
      </c>
      <c r="U26" s="140">
        <v>0</v>
      </c>
      <c r="V26" s="141">
        <v>6478</v>
      </c>
      <c r="W26" s="142">
        <v>0.92708333333333337</v>
      </c>
      <c r="X26" s="141">
        <v>2083</v>
      </c>
      <c r="Y26" s="142">
        <v>0.71875</v>
      </c>
      <c r="Z26" s="141">
        <v>0</v>
      </c>
      <c r="AA26" s="142">
        <v>0</v>
      </c>
      <c r="AB26" s="56">
        <f t="shared" si="51"/>
        <v>46011</v>
      </c>
      <c r="AC26" s="76">
        <f t="shared" ref="AC26:AC36" si="95">+AF26/AE26</f>
        <v>1</v>
      </c>
      <c r="AD26" s="162">
        <f t="shared" ref="AD26:AD36" si="96">+AG26/AE26</f>
        <v>0</v>
      </c>
      <c r="AE26" s="163">
        <v>2835</v>
      </c>
      <c r="AF26" s="118">
        <f t="shared" si="37"/>
        <v>2835</v>
      </c>
      <c r="AG26" s="147">
        <v>0</v>
      </c>
      <c r="AH26" s="148">
        <v>2019</v>
      </c>
      <c r="AI26" s="149">
        <v>0.94166666666666665</v>
      </c>
      <c r="AJ26" s="148">
        <v>0</v>
      </c>
      <c r="AK26" s="165">
        <v>0</v>
      </c>
      <c r="AL26" s="56">
        <f t="shared" si="38"/>
        <v>46011</v>
      </c>
      <c r="AM26" s="77">
        <f t="shared" ref="AM26:AM36" si="97">+AP26/AO26</f>
        <v>0.40501557121783316</v>
      </c>
      <c r="AN26" s="76">
        <f t="shared" ref="AN26:AN36" si="98">+AQ26/AO26</f>
        <v>0.59498442878216684</v>
      </c>
      <c r="AO26" s="150">
        <v>6101</v>
      </c>
      <c r="AP26" s="117">
        <f t="shared" si="41"/>
        <v>2471</v>
      </c>
      <c r="AQ26" s="151">
        <v>3630</v>
      </c>
      <c r="AR26" s="152">
        <v>1906</v>
      </c>
      <c r="AS26" s="153">
        <v>0.35138888888888886</v>
      </c>
      <c r="AT26" s="152">
        <v>177</v>
      </c>
      <c r="AU26" s="154">
        <v>0.84375</v>
      </c>
      <c r="AV26" s="56">
        <f t="shared" si="52"/>
        <v>46011</v>
      </c>
      <c r="AW26" s="110">
        <f t="shared" ref="AW26:AW36" si="99">BA26/AZ26</f>
        <v>0.45714865962632006</v>
      </c>
      <c r="AX26" s="110">
        <f t="shared" ref="AX26:AX36" si="100">BB26/AZ26</f>
        <v>0.54285134037367988</v>
      </c>
      <c r="AY26" s="111">
        <f t="shared" si="44"/>
        <v>4924</v>
      </c>
      <c r="AZ26" s="112">
        <v>4924</v>
      </c>
      <c r="BA26" s="120">
        <f t="shared" ref="BA26:BA36" si="101">AZ26-BB26</f>
        <v>2251</v>
      </c>
      <c r="BB26" s="113">
        <v>2673</v>
      </c>
      <c r="BC26" s="112">
        <v>1566</v>
      </c>
      <c r="BD26" s="114">
        <v>0.36458333333333331</v>
      </c>
      <c r="BE26" s="115">
        <v>0</v>
      </c>
      <c r="BF26" s="114">
        <v>0</v>
      </c>
      <c r="BG26" s="115">
        <v>156</v>
      </c>
      <c r="BH26" s="114">
        <v>0.9375</v>
      </c>
      <c r="BI26" s="56">
        <f t="shared" si="53"/>
        <v>46011</v>
      </c>
      <c r="BJ26" s="78">
        <f t="shared" ref="BJ26:BJ36" si="102">+BM26/BL26</f>
        <v>0.61012569526562432</v>
      </c>
      <c r="BK26" s="76">
        <f t="shared" ref="BK26:BK36" si="103">+BN26/BL26</f>
        <v>0.38987430473437568</v>
      </c>
      <c r="BL26" s="79">
        <f t="shared" ref="BL26:BL36" si="104">BM26+BN26</f>
        <v>22833</v>
      </c>
      <c r="BM26" s="155">
        <v>13931</v>
      </c>
      <c r="BN26" s="155">
        <v>8902</v>
      </c>
      <c r="BO26" s="156">
        <v>2733</v>
      </c>
      <c r="BP26" s="157">
        <v>0.81180555555555556</v>
      </c>
      <c r="BQ26" s="158">
        <v>1815</v>
      </c>
      <c r="BR26" s="157">
        <v>0.81874999999999998</v>
      </c>
    </row>
    <row r="27" spans="1:70" ht="15" thickBot="1" x14ac:dyDescent="0.35">
      <c r="A27" s="14"/>
      <c r="B27" s="56">
        <f t="shared" si="49"/>
        <v>46012</v>
      </c>
      <c r="C27" s="164"/>
      <c r="D27" s="87">
        <f t="shared" si="22"/>
        <v>28394</v>
      </c>
      <c r="E27" s="159">
        <f t="shared" si="85"/>
        <v>0.78210185250405018</v>
      </c>
      <c r="F27" s="87">
        <f t="shared" si="24"/>
        <v>22207</v>
      </c>
      <c r="G27" s="159">
        <f t="shared" si="86"/>
        <v>0.21789814749594985</v>
      </c>
      <c r="H27" s="146">
        <f t="shared" si="26"/>
        <v>6187</v>
      </c>
      <c r="I27" s="160">
        <f t="shared" si="87"/>
        <v>6.4974848445762928E-2</v>
      </c>
      <c r="J27" s="159">
        <f t="shared" si="88"/>
        <v>0.16558106539404102</v>
      </c>
      <c r="K27" s="159">
        <f t="shared" si="89"/>
        <v>0.17964787861295509</v>
      </c>
      <c r="L27" s="161">
        <f t="shared" si="90"/>
        <v>0.62895008383851414</v>
      </c>
      <c r="M27" s="146">
        <f t="shared" si="91"/>
        <v>1770.1747710563652</v>
      </c>
      <c r="N27" s="146">
        <f t="shared" si="92"/>
        <v>4511.0905455952534</v>
      </c>
      <c r="O27" s="146">
        <f t="shared" si="93"/>
        <v>4894.3268049313483</v>
      </c>
      <c r="P27" s="146">
        <f t="shared" si="94"/>
        <v>17135.11608409648</v>
      </c>
      <c r="Q27" s="56">
        <f t="shared" si="50"/>
        <v>46012</v>
      </c>
      <c r="R27" s="139">
        <v>28394</v>
      </c>
      <c r="S27" s="140">
        <v>0</v>
      </c>
      <c r="T27" s="140">
        <v>27244</v>
      </c>
      <c r="U27" s="140">
        <v>0</v>
      </c>
      <c r="V27" s="141">
        <v>6117</v>
      </c>
      <c r="W27" s="142">
        <v>0.75</v>
      </c>
      <c r="X27" s="141">
        <v>1895</v>
      </c>
      <c r="Y27" s="142">
        <v>0.78125</v>
      </c>
      <c r="Z27" s="141">
        <v>0</v>
      </c>
      <c r="AA27" s="142">
        <v>0</v>
      </c>
      <c r="AB27" s="56">
        <f t="shared" si="51"/>
        <v>46012</v>
      </c>
      <c r="AC27" s="76">
        <f t="shared" si="95"/>
        <v>1</v>
      </c>
      <c r="AD27" s="162">
        <f t="shared" si="96"/>
        <v>0</v>
      </c>
      <c r="AE27" s="163">
        <v>2015</v>
      </c>
      <c r="AF27" s="118">
        <f t="shared" si="37"/>
        <v>2015</v>
      </c>
      <c r="AG27" s="147">
        <v>0</v>
      </c>
      <c r="AH27" s="148">
        <v>1681</v>
      </c>
      <c r="AI27" s="149">
        <v>0.93402777777777779</v>
      </c>
      <c r="AJ27" s="148">
        <v>0</v>
      </c>
      <c r="AK27" s="165">
        <v>0</v>
      </c>
      <c r="AL27" s="56">
        <f t="shared" si="38"/>
        <v>46012</v>
      </c>
      <c r="AM27" s="77">
        <f t="shared" si="97"/>
        <v>0.30457643622200586</v>
      </c>
      <c r="AN27" s="76">
        <f t="shared" si="98"/>
        <v>0.69542356377799419</v>
      </c>
      <c r="AO27" s="150">
        <v>5135</v>
      </c>
      <c r="AP27" s="117">
        <f t="shared" si="41"/>
        <v>1564</v>
      </c>
      <c r="AQ27" s="151">
        <v>3571</v>
      </c>
      <c r="AR27" s="152">
        <v>1771</v>
      </c>
      <c r="AS27" s="153">
        <v>0.94305555555555554</v>
      </c>
      <c r="AT27" s="152">
        <v>170</v>
      </c>
      <c r="AU27" s="154">
        <v>0.89583333333333337</v>
      </c>
      <c r="AV27" s="56">
        <f t="shared" si="52"/>
        <v>46012</v>
      </c>
      <c r="AW27" s="110">
        <f t="shared" si="99"/>
        <v>0.3995868717007115</v>
      </c>
      <c r="AX27" s="110">
        <f t="shared" si="100"/>
        <v>0.6004131282992885</v>
      </c>
      <c r="AY27" s="111">
        <f t="shared" si="44"/>
        <v>4357</v>
      </c>
      <c r="AZ27" s="112">
        <v>4357</v>
      </c>
      <c r="BA27" s="120">
        <f t="shared" si="101"/>
        <v>1741</v>
      </c>
      <c r="BB27" s="113">
        <v>2616</v>
      </c>
      <c r="BC27" s="112">
        <v>1534</v>
      </c>
      <c r="BD27" s="114">
        <v>0.70833333333333337</v>
      </c>
      <c r="BE27" s="115">
        <v>0</v>
      </c>
      <c r="BF27" s="114">
        <v>0</v>
      </c>
      <c r="BG27" s="115">
        <v>156</v>
      </c>
      <c r="BH27" s="114">
        <v>0.92708333333333337</v>
      </c>
      <c r="BI27" s="56">
        <f t="shared" si="53"/>
        <v>46012</v>
      </c>
      <c r="BJ27" s="78">
        <f t="shared" si="102"/>
        <v>0.61317610869007944</v>
      </c>
      <c r="BK27" s="76">
        <f t="shared" si="103"/>
        <v>0.38682389130992051</v>
      </c>
      <c r="BL27" s="79">
        <f t="shared" si="104"/>
        <v>19505</v>
      </c>
      <c r="BM27" s="155">
        <v>11960</v>
      </c>
      <c r="BN27" s="155">
        <v>7545</v>
      </c>
      <c r="BO27" s="156">
        <v>2360</v>
      </c>
      <c r="BP27" s="157">
        <v>0.95138888888888884</v>
      </c>
      <c r="BQ27" s="158">
        <v>1577</v>
      </c>
      <c r="BR27" s="157">
        <v>0.41249999999999998</v>
      </c>
    </row>
    <row r="28" spans="1:70" ht="15" thickBot="1" x14ac:dyDescent="0.35">
      <c r="A28" s="14"/>
      <c r="B28" s="56">
        <f t="shared" si="49"/>
        <v>46013</v>
      </c>
      <c r="C28" s="164"/>
      <c r="D28" s="87">
        <f t="shared" si="22"/>
        <v>53160</v>
      </c>
      <c r="E28" s="159">
        <f t="shared" si="85"/>
        <v>0.87588412340105337</v>
      </c>
      <c r="F28" s="87">
        <f t="shared" si="24"/>
        <v>46562</v>
      </c>
      <c r="G28" s="159">
        <f t="shared" si="86"/>
        <v>0.12411587659894657</v>
      </c>
      <c r="H28" s="146">
        <f t="shared" si="26"/>
        <v>6598</v>
      </c>
      <c r="I28" s="160">
        <f t="shared" si="87"/>
        <v>0.11801011177057441</v>
      </c>
      <c r="J28" s="159">
        <f t="shared" si="88"/>
        <v>0.15942102504269601</v>
      </c>
      <c r="K28" s="159">
        <f t="shared" si="89"/>
        <v>0.17098876716128136</v>
      </c>
      <c r="L28" s="161">
        <f t="shared" si="90"/>
        <v>0.57662456247146554</v>
      </c>
      <c r="M28" s="146">
        <f t="shared" si="91"/>
        <v>6120.8304672043832</v>
      </c>
      <c r="N28" s="146">
        <f t="shared" si="92"/>
        <v>8268.6903058895132</v>
      </c>
      <c r="O28" s="146">
        <f t="shared" si="93"/>
        <v>8868.6743863541797</v>
      </c>
      <c r="P28" s="146">
        <f t="shared" si="94"/>
        <v>29907.786181707503</v>
      </c>
      <c r="Q28" s="56">
        <f t="shared" si="50"/>
        <v>46013</v>
      </c>
      <c r="R28" s="139">
        <v>53160</v>
      </c>
      <c r="S28" s="140">
        <v>0</v>
      </c>
      <c r="T28" s="140">
        <v>51867</v>
      </c>
      <c r="U28" s="140">
        <v>0</v>
      </c>
      <c r="V28" s="141">
        <v>15480</v>
      </c>
      <c r="W28" s="142">
        <v>0.79166666666666663</v>
      </c>
      <c r="X28" s="141">
        <v>4591</v>
      </c>
      <c r="Y28" s="142">
        <v>0.79166666666666663</v>
      </c>
      <c r="Z28" s="141">
        <v>0</v>
      </c>
      <c r="AA28" s="142">
        <v>0</v>
      </c>
      <c r="AB28" s="56">
        <f t="shared" si="51"/>
        <v>46013</v>
      </c>
      <c r="AC28" s="76">
        <f t="shared" si="95"/>
        <v>1</v>
      </c>
      <c r="AD28" s="162">
        <f t="shared" si="96"/>
        <v>0</v>
      </c>
      <c r="AE28" s="163">
        <v>6979</v>
      </c>
      <c r="AF28" s="118">
        <f t="shared" si="37"/>
        <v>6979</v>
      </c>
      <c r="AG28" s="147">
        <v>0</v>
      </c>
      <c r="AH28" s="148">
        <v>1290</v>
      </c>
      <c r="AI28" s="149">
        <v>0.7</v>
      </c>
      <c r="AJ28" s="148">
        <v>0</v>
      </c>
      <c r="AK28" s="165">
        <v>0</v>
      </c>
      <c r="AL28" s="56">
        <f t="shared" si="38"/>
        <v>46013</v>
      </c>
      <c r="AM28" s="77">
        <f t="shared" si="97"/>
        <v>0.58845990666100978</v>
      </c>
      <c r="AN28" s="76">
        <f t="shared" si="98"/>
        <v>0.41154009333899022</v>
      </c>
      <c r="AO28" s="150">
        <v>9428</v>
      </c>
      <c r="AP28" s="117">
        <f t="shared" si="41"/>
        <v>5548</v>
      </c>
      <c r="AQ28" s="151">
        <v>3880</v>
      </c>
      <c r="AR28" s="152">
        <v>4510</v>
      </c>
      <c r="AS28" s="153">
        <v>0.35416666666666669</v>
      </c>
      <c r="AT28" s="152">
        <v>180</v>
      </c>
      <c r="AU28" s="154">
        <v>0.71875</v>
      </c>
      <c r="AV28" s="56">
        <f t="shared" si="52"/>
        <v>46013</v>
      </c>
      <c r="AW28" s="110">
        <f t="shared" si="99"/>
        <v>0.68508863399374353</v>
      </c>
      <c r="AX28" s="110">
        <f t="shared" si="100"/>
        <v>0.31491136600625652</v>
      </c>
      <c r="AY28" s="111">
        <f t="shared" si="44"/>
        <v>8631</v>
      </c>
      <c r="AZ28" s="112">
        <v>8631</v>
      </c>
      <c r="BA28" s="120">
        <f t="shared" si="101"/>
        <v>5913</v>
      </c>
      <c r="BB28" s="113">
        <v>2718</v>
      </c>
      <c r="BC28" s="112">
        <v>5068</v>
      </c>
      <c r="BD28" s="114">
        <v>0.35416666666666669</v>
      </c>
      <c r="BE28" s="115">
        <v>0</v>
      </c>
      <c r="BF28" s="114">
        <v>0</v>
      </c>
      <c r="BG28" s="115">
        <v>154</v>
      </c>
      <c r="BH28" s="114">
        <v>0.89583333333333337</v>
      </c>
      <c r="BI28" s="56">
        <f t="shared" si="53"/>
        <v>46013</v>
      </c>
      <c r="BJ28" s="78">
        <f t="shared" si="102"/>
        <v>0.60666842614586081</v>
      </c>
      <c r="BK28" s="76">
        <f t="shared" si="103"/>
        <v>0.39333157385413919</v>
      </c>
      <c r="BL28" s="79">
        <f t="shared" si="104"/>
        <v>34101</v>
      </c>
      <c r="BM28" s="155">
        <v>20688</v>
      </c>
      <c r="BN28" s="155">
        <v>13413</v>
      </c>
      <c r="BO28" s="156">
        <v>4195</v>
      </c>
      <c r="BP28" s="157">
        <v>0.74305555555555558</v>
      </c>
      <c r="BQ28" s="158">
        <v>2828</v>
      </c>
      <c r="BR28" s="157">
        <v>0.28958333333333336</v>
      </c>
    </row>
    <row r="29" spans="1:70" ht="15" thickBot="1" x14ac:dyDescent="0.35">
      <c r="A29" s="14"/>
      <c r="B29" s="56">
        <f t="shared" si="49"/>
        <v>46014</v>
      </c>
      <c r="C29" s="164"/>
      <c r="D29" s="87">
        <f t="shared" si="22"/>
        <v>54326</v>
      </c>
      <c r="E29" s="159">
        <f t="shared" si="85"/>
        <v>0.87871369141847366</v>
      </c>
      <c r="F29" s="87">
        <f t="shared" si="24"/>
        <v>47737</v>
      </c>
      <c r="G29" s="159">
        <f t="shared" si="86"/>
        <v>0.12128630858152634</v>
      </c>
      <c r="H29" s="146">
        <f t="shared" si="26"/>
        <v>6589</v>
      </c>
      <c r="I29" s="160">
        <f t="shared" si="87"/>
        <v>0.11877356453568522</v>
      </c>
      <c r="J29" s="159">
        <f t="shared" si="88"/>
        <v>0.15750660222233295</v>
      </c>
      <c r="K29" s="159">
        <f t="shared" si="89"/>
        <v>0.17121250413110675</v>
      </c>
      <c r="L29" s="161">
        <f t="shared" si="90"/>
        <v>0.57744116132675605</v>
      </c>
      <c r="M29" s="146">
        <f t="shared" si="91"/>
        <v>6282.8840168086763</v>
      </c>
      <c r="N29" s="146">
        <f t="shared" si="92"/>
        <v>8331.784244356968</v>
      </c>
      <c r="O29" s="146">
        <f t="shared" si="93"/>
        <v>9056.7990435272841</v>
      </c>
      <c r="P29" s="146">
        <f t="shared" si="94"/>
        <v>30545.48255186274</v>
      </c>
      <c r="Q29" s="56">
        <f t="shared" si="50"/>
        <v>46014</v>
      </c>
      <c r="R29" s="139">
        <v>54326</v>
      </c>
      <c r="S29" s="140">
        <v>0</v>
      </c>
      <c r="T29" s="140">
        <v>52898</v>
      </c>
      <c r="U29" s="140">
        <v>0</v>
      </c>
      <c r="V29" s="141">
        <v>14229</v>
      </c>
      <c r="W29" s="142">
        <v>0.8125</v>
      </c>
      <c r="X29" s="141">
        <v>4505</v>
      </c>
      <c r="Y29" s="142">
        <v>0.80208333333333337</v>
      </c>
      <c r="Z29" s="141">
        <v>0</v>
      </c>
      <c r="AA29" s="142">
        <v>0</v>
      </c>
      <c r="AB29" s="56">
        <f t="shared" si="51"/>
        <v>46014</v>
      </c>
      <c r="AC29" s="76">
        <f t="shared" si="95"/>
        <v>1</v>
      </c>
      <c r="AD29" s="162">
        <f t="shared" si="96"/>
        <v>0</v>
      </c>
      <c r="AE29" s="163">
        <v>7151</v>
      </c>
      <c r="AF29" s="118">
        <f t="shared" si="37"/>
        <v>7151</v>
      </c>
      <c r="AG29" s="147">
        <v>0</v>
      </c>
      <c r="AH29" s="148">
        <v>3965</v>
      </c>
      <c r="AI29" s="149">
        <v>0.34444444444444444</v>
      </c>
      <c r="AJ29" s="148">
        <v>0</v>
      </c>
      <c r="AK29" s="165">
        <v>0</v>
      </c>
      <c r="AL29" s="56">
        <f t="shared" si="38"/>
        <v>46014</v>
      </c>
      <c r="AM29" s="77">
        <f t="shared" si="97"/>
        <v>0.59126858589054099</v>
      </c>
      <c r="AN29" s="76">
        <f t="shared" si="98"/>
        <v>0.40873141410945901</v>
      </c>
      <c r="AO29" s="150">
        <v>9483</v>
      </c>
      <c r="AP29" s="117">
        <f t="shared" si="41"/>
        <v>5607</v>
      </c>
      <c r="AQ29" s="151">
        <v>3876</v>
      </c>
      <c r="AR29" s="152">
        <v>4599</v>
      </c>
      <c r="AS29" s="153">
        <v>0.34652777777777777</v>
      </c>
      <c r="AT29" s="152">
        <v>183</v>
      </c>
      <c r="AU29" s="154">
        <v>0.90625</v>
      </c>
      <c r="AV29" s="56">
        <f t="shared" si="52"/>
        <v>46014</v>
      </c>
      <c r="AW29" s="110">
        <f t="shared" si="99"/>
        <v>0.6919495855569433</v>
      </c>
      <c r="AX29" s="110">
        <f t="shared" si="100"/>
        <v>0.30805041444305664</v>
      </c>
      <c r="AY29" s="111">
        <f t="shared" si="44"/>
        <v>8807</v>
      </c>
      <c r="AZ29" s="112">
        <v>8807</v>
      </c>
      <c r="BA29" s="120">
        <f t="shared" si="101"/>
        <v>6094</v>
      </c>
      <c r="BB29" s="182">
        <v>2713</v>
      </c>
      <c r="BC29" s="112">
        <v>3664</v>
      </c>
      <c r="BD29" s="114">
        <v>0.75</v>
      </c>
      <c r="BE29" s="115">
        <v>0</v>
      </c>
      <c r="BF29" s="114">
        <v>0</v>
      </c>
      <c r="BG29" s="115">
        <v>167</v>
      </c>
      <c r="BH29" s="114">
        <v>0.90625</v>
      </c>
      <c r="BI29" s="56">
        <f t="shared" si="53"/>
        <v>46014</v>
      </c>
      <c r="BJ29" s="78">
        <f t="shared" si="102"/>
        <v>0.60596559857331878</v>
      </c>
      <c r="BK29" s="76">
        <f t="shared" si="103"/>
        <v>0.39403440142668122</v>
      </c>
      <c r="BL29" s="79">
        <f t="shared" si="104"/>
        <v>34766</v>
      </c>
      <c r="BM29" s="155">
        <v>21067</v>
      </c>
      <c r="BN29" s="155">
        <v>13699</v>
      </c>
      <c r="BO29" s="156">
        <v>3798</v>
      </c>
      <c r="BP29" s="157">
        <v>0.77013888888888893</v>
      </c>
      <c r="BQ29" s="158">
        <v>2513</v>
      </c>
      <c r="BR29" s="157">
        <v>0.74791666666666667</v>
      </c>
    </row>
    <row r="30" spans="1:70" ht="15" thickBot="1" x14ac:dyDescent="0.35">
      <c r="A30" s="14"/>
      <c r="B30" s="56">
        <f t="shared" si="49"/>
        <v>46015</v>
      </c>
      <c r="C30" s="164"/>
      <c r="D30" s="87">
        <f t="shared" si="22"/>
        <v>53760</v>
      </c>
      <c r="E30" s="159">
        <f t="shared" si="85"/>
        <v>0.87646949404761909</v>
      </c>
      <c r="F30" s="87">
        <f t="shared" si="24"/>
        <v>47119</v>
      </c>
      <c r="G30" s="159">
        <f t="shared" si="86"/>
        <v>0.12353050595238095</v>
      </c>
      <c r="H30" s="146">
        <f t="shared" si="26"/>
        <v>6641</v>
      </c>
      <c r="I30" s="160">
        <f t="shared" si="87"/>
        <v>0.11979087867937532</v>
      </c>
      <c r="J30" s="159">
        <f t="shared" si="88"/>
        <v>0.15941298098744264</v>
      </c>
      <c r="K30" s="159">
        <f t="shared" si="89"/>
        <v>0.1718046074246031</v>
      </c>
      <c r="L30" s="161">
        <f t="shared" si="90"/>
        <v>0.57399095600719485</v>
      </c>
      <c r="M30" s="146">
        <f t="shared" si="91"/>
        <v>6284.4690772773884</v>
      </c>
      <c r="N30" s="146">
        <f t="shared" si="92"/>
        <v>8363.1238085632158</v>
      </c>
      <c r="O30" s="146">
        <f t="shared" si="93"/>
        <v>9013.2133147095283</v>
      </c>
      <c r="P30" s="146">
        <f t="shared" si="94"/>
        <v>30112.713534049457</v>
      </c>
      <c r="Q30" s="56">
        <f t="shared" si="50"/>
        <v>46015</v>
      </c>
      <c r="R30" s="139">
        <v>53760</v>
      </c>
      <c r="S30" s="140">
        <v>0</v>
      </c>
      <c r="T30" s="140">
        <v>52462</v>
      </c>
      <c r="U30" s="140">
        <v>0</v>
      </c>
      <c r="V30" s="141">
        <v>14264</v>
      </c>
      <c r="W30" s="142">
        <v>0.45833333333333331</v>
      </c>
      <c r="X30" s="141">
        <v>4423</v>
      </c>
      <c r="Y30" s="142">
        <v>0.40625</v>
      </c>
      <c r="Z30" s="141">
        <v>0</v>
      </c>
      <c r="AA30" s="142">
        <v>0</v>
      </c>
      <c r="AB30" s="56">
        <f t="shared" si="51"/>
        <v>46015</v>
      </c>
      <c r="AC30" s="76">
        <f t="shared" si="95"/>
        <v>1</v>
      </c>
      <c r="AD30" s="162">
        <f t="shared" si="96"/>
        <v>0</v>
      </c>
      <c r="AE30" s="163">
        <v>7126</v>
      </c>
      <c r="AF30" s="118">
        <f t="shared" si="37"/>
        <v>7126</v>
      </c>
      <c r="AG30" s="147">
        <v>0</v>
      </c>
      <c r="AH30" s="148">
        <v>3289</v>
      </c>
      <c r="AI30" s="149">
        <v>0.57152777777777775</v>
      </c>
      <c r="AJ30" s="148">
        <v>0</v>
      </c>
      <c r="AK30" s="165">
        <v>0</v>
      </c>
      <c r="AL30" s="56">
        <f t="shared" si="38"/>
        <v>46015</v>
      </c>
      <c r="AM30" s="77">
        <f t="shared" si="97"/>
        <v>0.58958135611093532</v>
      </c>
      <c r="AN30" s="76">
        <f t="shared" si="98"/>
        <v>0.41041864388906463</v>
      </c>
      <c r="AO30" s="150">
        <v>9483</v>
      </c>
      <c r="AP30" s="117">
        <f t="shared" si="41"/>
        <v>5591</v>
      </c>
      <c r="AQ30" s="151">
        <v>3892</v>
      </c>
      <c r="AR30" s="152">
        <v>3665</v>
      </c>
      <c r="AS30" s="153">
        <v>0.34444444444444444</v>
      </c>
      <c r="AT30" s="152">
        <v>180</v>
      </c>
      <c r="AU30" s="154">
        <v>0.95833333333333337</v>
      </c>
      <c r="AV30" s="56">
        <f t="shared" si="52"/>
        <v>46015</v>
      </c>
      <c r="AW30" s="110">
        <f t="shared" si="99"/>
        <v>0.68521699301500061</v>
      </c>
      <c r="AX30" s="110">
        <f t="shared" si="100"/>
        <v>0.31478300698499945</v>
      </c>
      <c r="AY30" s="111">
        <f t="shared" si="44"/>
        <v>8733</v>
      </c>
      <c r="AZ30" s="112">
        <v>8733</v>
      </c>
      <c r="BA30" s="120">
        <f t="shared" si="101"/>
        <v>5984</v>
      </c>
      <c r="BB30" s="113">
        <v>2749</v>
      </c>
      <c r="BC30" s="112">
        <v>4498</v>
      </c>
      <c r="BD30" s="114">
        <v>0.375</v>
      </c>
      <c r="BE30" s="115">
        <v>0</v>
      </c>
      <c r="BF30" s="114">
        <v>0</v>
      </c>
      <c r="BG30" s="115">
        <v>161</v>
      </c>
      <c r="BH30" s="114">
        <v>0.88541666666666663</v>
      </c>
      <c r="BI30" s="56">
        <f t="shared" si="53"/>
        <v>46015</v>
      </c>
      <c r="BJ30" s="78">
        <f t="shared" si="102"/>
        <v>0.60471518523942014</v>
      </c>
      <c r="BK30" s="76">
        <f t="shared" si="103"/>
        <v>0.39528481476057986</v>
      </c>
      <c r="BL30" s="79">
        <f t="shared" si="104"/>
        <v>34145</v>
      </c>
      <c r="BM30" s="155">
        <v>20648</v>
      </c>
      <c r="BN30" s="155">
        <v>13497</v>
      </c>
      <c r="BO30" s="156">
        <v>3824</v>
      </c>
      <c r="BP30" s="157">
        <v>0.67291666666666672</v>
      </c>
      <c r="BQ30" s="158">
        <v>2579</v>
      </c>
      <c r="BR30" s="157">
        <v>0.59861111111111109</v>
      </c>
    </row>
    <row r="31" spans="1:70" ht="15" thickBot="1" x14ac:dyDescent="0.35">
      <c r="A31" s="14"/>
      <c r="B31" s="56">
        <f t="shared" si="49"/>
        <v>46016</v>
      </c>
      <c r="C31" s="164"/>
      <c r="D31" s="87">
        <f t="shared" si="22"/>
        <v>27752</v>
      </c>
      <c r="E31" s="159">
        <f t="shared" si="85"/>
        <v>0.76978235802825024</v>
      </c>
      <c r="F31" s="87">
        <f t="shared" si="24"/>
        <v>21363</v>
      </c>
      <c r="G31" s="159">
        <f t="shared" si="86"/>
        <v>0.23021764197174979</v>
      </c>
      <c r="H31" s="146">
        <f t="shared" si="26"/>
        <v>6389</v>
      </c>
      <c r="I31" s="160">
        <f t="shared" si="87"/>
        <v>6.2816817413775969E-2</v>
      </c>
      <c r="J31" s="159">
        <f t="shared" si="88"/>
        <v>0.17271311665507075</v>
      </c>
      <c r="K31" s="159">
        <f t="shared" si="89"/>
        <v>0.18754507275272558</v>
      </c>
      <c r="L31" s="161">
        <f t="shared" si="90"/>
        <v>0.61799688566411559</v>
      </c>
      <c r="M31" s="146">
        <f t="shared" si="91"/>
        <v>1653.2130006957559</v>
      </c>
      <c r="N31" s="146">
        <f t="shared" si="92"/>
        <v>4545.4638041281523</v>
      </c>
      <c r="O31" s="146">
        <f t="shared" si="93"/>
        <v>4935.8112247062318</v>
      </c>
      <c r="P31" s="146">
        <f t="shared" si="94"/>
        <v>16264.442036908194</v>
      </c>
      <c r="Q31" s="56">
        <f t="shared" si="50"/>
        <v>46016</v>
      </c>
      <c r="R31" s="139">
        <v>27752</v>
      </c>
      <c r="S31" s="140">
        <v>0</v>
      </c>
      <c r="T31" s="140">
        <v>26318</v>
      </c>
      <c r="U31" s="140">
        <v>0</v>
      </c>
      <c r="V31" s="141">
        <v>6226</v>
      </c>
      <c r="W31" s="142">
        <v>0.58333333333333337</v>
      </c>
      <c r="X31" s="141">
        <v>1778</v>
      </c>
      <c r="Y31" s="142">
        <v>0.96875</v>
      </c>
      <c r="Z31" s="141">
        <v>0</v>
      </c>
      <c r="AA31" s="142">
        <v>0</v>
      </c>
      <c r="AB31" s="56">
        <f t="shared" si="51"/>
        <v>46016</v>
      </c>
      <c r="AC31" s="76">
        <f t="shared" si="95"/>
        <v>1</v>
      </c>
      <c r="AD31" s="162">
        <f t="shared" si="96"/>
        <v>0</v>
      </c>
      <c r="AE31" s="163">
        <v>1896</v>
      </c>
      <c r="AF31" s="118">
        <f t="shared" si="37"/>
        <v>1896</v>
      </c>
      <c r="AG31" s="147">
        <v>0</v>
      </c>
      <c r="AH31" s="148">
        <v>1643</v>
      </c>
      <c r="AI31" s="149">
        <v>0.92500000000000004</v>
      </c>
      <c r="AJ31" s="148">
        <v>0</v>
      </c>
      <c r="AK31" s="165">
        <v>0</v>
      </c>
      <c r="AL31" s="56">
        <f t="shared" si="38"/>
        <v>46016</v>
      </c>
      <c r="AM31" s="77">
        <f t="shared" si="97"/>
        <v>0.28486476117398812</v>
      </c>
      <c r="AN31" s="76">
        <f t="shared" si="98"/>
        <v>0.71513523882601193</v>
      </c>
      <c r="AO31" s="150">
        <v>5213</v>
      </c>
      <c r="AP31" s="117">
        <f t="shared" si="41"/>
        <v>1485</v>
      </c>
      <c r="AQ31" s="151">
        <v>3728</v>
      </c>
      <c r="AR31" s="152">
        <v>1555</v>
      </c>
      <c r="AS31" s="153">
        <v>0.80694444444444446</v>
      </c>
      <c r="AT31" s="152">
        <v>171</v>
      </c>
      <c r="AU31" s="154">
        <v>0.28125</v>
      </c>
      <c r="AV31" s="56">
        <f t="shared" si="52"/>
        <v>46016</v>
      </c>
      <c r="AW31" s="110">
        <f t="shared" si="99"/>
        <v>0.39809997738068309</v>
      </c>
      <c r="AX31" s="110">
        <f t="shared" si="100"/>
        <v>0.60190002261931685</v>
      </c>
      <c r="AY31" s="111">
        <f t="shared" si="44"/>
        <v>4421</v>
      </c>
      <c r="AZ31" s="112">
        <v>4421</v>
      </c>
      <c r="BA31" s="120">
        <f t="shared" si="101"/>
        <v>1760</v>
      </c>
      <c r="BB31" s="113">
        <v>2661</v>
      </c>
      <c r="BC31" s="112">
        <v>1545</v>
      </c>
      <c r="BD31" s="114">
        <v>0.5</v>
      </c>
      <c r="BE31" s="115">
        <v>0</v>
      </c>
      <c r="BF31" s="114">
        <v>0</v>
      </c>
      <c r="BG31" s="115">
        <v>150</v>
      </c>
      <c r="BH31" s="114">
        <v>0.90625</v>
      </c>
      <c r="BI31" s="56">
        <f t="shared" si="53"/>
        <v>46016</v>
      </c>
      <c r="BJ31" s="78">
        <f t="shared" si="102"/>
        <v>0.60848120945692385</v>
      </c>
      <c r="BK31" s="76">
        <f t="shared" si="103"/>
        <v>0.3915187905430762</v>
      </c>
      <c r="BL31" s="79">
        <f t="shared" si="104"/>
        <v>18653</v>
      </c>
      <c r="BM31" s="155">
        <v>11350</v>
      </c>
      <c r="BN31" s="155">
        <v>7303</v>
      </c>
      <c r="BO31" s="156">
        <v>2321</v>
      </c>
      <c r="BP31" s="157">
        <v>0.40833333333333333</v>
      </c>
      <c r="BQ31" s="158">
        <v>1562</v>
      </c>
      <c r="BR31" s="157">
        <v>0.40902777777777777</v>
      </c>
    </row>
    <row r="32" spans="1:70" ht="15" thickBot="1" x14ac:dyDescent="0.35">
      <c r="A32" s="14"/>
      <c r="B32" s="56">
        <f t="shared" si="49"/>
        <v>46017</v>
      </c>
      <c r="C32" s="164"/>
      <c r="D32" s="87">
        <f t="shared" si="22"/>
        <v>52730</v>
      </c>
      <c r="E32" s="159">
        <f t="shared" si="85"/>
        <v>0.87756495353688602</v>
      </c>
      <c r="F32" s="87">
        <f t="shared" si="24"/>
        <v>46274</v>
      </c>
      <c r="G32" s="159">
        <f t="shared" si="86"/>
        <v>0.12243504646311398</v>
      </c>
      <c r="H32" s="146">
        <f t="shared" si="26"/>
        <v>6456</v>
      </c>
      <c r="I32" s="160">
        <f t="shared" si="87"/>
        <v>0.11714750652608739</v>
      </c>
      <c r="J32" s="159">
        <f t="shared" si="88"/>
        <v>0.15659219581652373</v>
      </c>
      <c r="K32" s="159">
        <f t="shared" si="89"/>
        <v>0.1655099093316216</v>
      </c>
      <c r="L32" s="161">
        <f t="shared" si="90"/>
        <v>0.58639861680848904</v>
      </c>
      <c r="M32" s="146">
        <f t="shared" si="91"/>
        <v>5980.8487981828657</v>
      </c>
      <c r="N32" s="146">
        <f t="shared" si="92"/>
        <v>7994.657965216802</v>
      </c>
      <c r="O32" s="146">
        <f t="shared" si="93"/>
        <v>8449.9429110166093</v>
      </c>
      <c r="P32" s="146">
        <f t="shared" si="94"/>
        <v>29937.9949825406</v>
      </c>
      <c r="Q32" s="56">
        <f t="shared" si="50"/>
        <v>46017</v>
      </c>
      <c r="R32" s="139">
        <v>52730</v>
      </c>
      <c r="S32" s="140">
        <v>0</v>
      </c>
      <c r="T32" s="140">
        <v>51054</v>
      </c>
      <c r="U32" s="140">
        <v>0</v>
      </c>
      <c r="V32" s="141">
        <v>1282</v>
      </c>
      <c r="W32" s="142">
        <v>0.76041666666666663</v>
      </c>
      <c r="X32" s="141">
        <v>4448</v>
      </c>
      <c r="Y32" s="142">
        <v>0.77083333333333337</v>
      </c>
      <c r="Z32" s="141">
        <v>0</v>
      </c>
      <c r="AA32" s="142">
        <v>0</v>
      </c>
      <c r="AB32" s="168">
        <f t="shared" si="51"/>
        <v>46017</v>
      </c>
      <c r="AC32" s="76">
        <f t="shared" si="95"/>
        <v>1</v>
      </c>
      <c r="AD32" s="162">
        <f t="shared" si="96"/>
        <v>0</v>
      </c>
      <c r="AE32" s="163">
        <v>6911</v>
      </c>
      <c r="AF32" s="118">
        <f t="shared" si="37"/>
        <v>6911</v>
      </c>
      <c r="AG32" s="147">
        <v>0</v>
      </c>
      <c r="AH32" s="148">
        <v>4364</v>
      </c>
      <c r="AI32" s="149">
        <v>0.34375</v>
      </c>
      <c r="AJ32" s="148">
        <v>0</v>
      </c>
      <c r="AK32" s="165">
        <v>0</v>
      </c>
      <c r="AL32" s="168">
        <f t="shared" si="38"/>
        <v>46017</v>
      </c>
      <c r="AM32" s="77">
        <f t="shared" si="97"/>
        <v>0.59017103269105864</v>
      </c>
      <c r="AN32" s="76">
        <f t="shared" si="98"/>
        <v>0.40982896730894131</v>
      </c>
      <c r="AO32" s="150">
        <v>9238</v>
      </c>
      <c r="AP32" s="117">
        <f t="shared" si="41"/>
        <v>5452</v>
      </c>
      <c r="AQ32" s="151">
        <v>3786</v>
      </c>
      <c r="AR32" s="152">
        <v>3464</v>
      </c>
      <c r="AS32" s="153">
        <v>0.72083333333333333</v>
      </c>
      <c r="AT32" s="152">
        <v>183</v>
      </c>
      <c r="AU32" s="154">
        <v>0.89583333333333337</v>
      </c>
      <c r="AV32" s="168">
        <f t="shared" si="52"/>
        <v>46017</v>
      </c>
      <c r="AW32" s="169">
        <f t="shared" si="99"/>
        <v>0.67640286025936247</v>
      </c>
      <c r="AX32" s="169">
        <f t="shared" si="100"/>
        <v>0.32359713974063747</v>
      </c>
      <c r="AY32" s="111">
        <f t="shared" si="44"/>
        <v>8251</v>
      </c>
      <c r="AZ32" s="112">
        <v>8251</v>
      </c>
      <c r="BA32" s="170">
        <f t="shared" si="101"/>
        <v>5581</v>
      </c>
      <c r="BB32" s="113">
        <v>2670</v>
      </c>
      <c r="BC32" s="112">
        <v>3831</v>
      </c>
      <c r="BD32" s="114">
        <v>0.82291666666666663</v>
      </c>
      <c r="BE32" s="115">
        <v>0</v>
      </c>
      <c r="BF32" s="114">
        <v>0</v>
      </c>
      <c r="BG32" s="115">
        <v>160</v>
      </c>
      <c r="BH32" s="114">
        <v>0.89583333333333337</v>
      </c>
      <c r="BI32" s="168">
        <f t="shared" si="53"/>
        <v>46017</v>
      </c>
      <c r="BJ32" s="171">
        <f t="shared" si="102"/>
        <v>0.60666589582008446</v>
      </c>
      <c r="BK32" s="76">
        <f t="shared" si="103"/>
        <v>0.3933341041799156</v>
      </c>
      <c r="BL32" s="79">
        <f t="shared" si="104"/>
        <v>34594</v>
      </c>
      <c r="BM32" s="155">
        <v>20987</v>
      </c>
      <c r="BN32" s="155">
        <v>13607</v>
      </c>
      <c r="BO32" s="156">
        <v>4080</v>
      </c>
      <c r="BP32" s="157">
        <v>0.81388888888888888</v>
      </c>
      <c r="BQ32" s="158">
        <v>2725</v>
      </c>
      <c r="BR32" s="157">
        <v>0.81388888888888888</v>
      </c>
    </row>
    <row r="33" spans="1:70" ht="15" thickBot="1" x14ac:dyDescent="0.35">
      <c r="A33" s="14"/>
      <c r="B33" s="56">
        <f t="shared" si="49"/>
        <v>46018</v>
      </c>
      <c r="C33" s="164"/>
      <c r="D33" s="87">
        <f t="shared" si="22"/>
        <v>34134</v>
      </c>
      <c r="E33" s="159">
        <f t="shared" si="85"/>
        <v>0.81610710728306091</v>
      </c>
      <c r="F33" s="87">
        <f t="shared" si="24"/>
        <v>27857</v>
      </c>
      <c r="G33" s="159">
        <f t="shared" si="86"/>
        <v>0.18389289271693912</v>
      </c>
      <c r="H33" s="146">
        <f t="shared" si="26"/>
        <v>6277</v>
      </c>
      <c r="I33" s="160">
        <f t="shared" si="87"/>
        <v>7.8672910126110787E-2</v>
      </c>
      <c r="J33" s="159">
        <f t="shared" si="88"/>
        <v>0.15332836694513916</v>
      </c>
      <c r="K33" s="159">
        <f t="shared" si="89"/>
        <v>0.1684352366515075</v>
      </c>
      <c r="L33" s="161">
        <f t="shared" si="90"/>
        <v>0.63497046772734533</v>
      </c>
      <c r="M33" s="146">
        <f t="shared" si="91"/>
        <v>2585.6638642047569</v>
      </c>
      <c r="N33" s="146">
        <f t="shared" si="92"/>
        <v>5039.2901080189431</v>
      </c>
      <c r="O33" s="146">
        <f t="shared" si="93"/>
        <v>5535.7924877884452</v>
      </c>
      <c r="P33" s="146">
        <f t="shared" si="94"/>
        <v>20868.939392326931</v>
      </c>
      <c r="Q33" s="56">
        <f t="shared" si="50"/>
        <v>46018</v>
      </c>
      <c r="R33" s="139">
        <v>34134</v>
      </c>
      <c r="S33" s="140">
        <v>0</v>
      </c>
      <c r="T33" s="140">
        <v>32866</v>
      </c>
      <c r="U33" s="140">
        <v>0</v>
      </c>
      <c r="V33" s="141">
        <v>7428</v>
      </c>
      <c r="W33" s="142">
        <v>0.79166666666666663</v>
      </c>
      <c r="X33" s="141">
        <v>2297</v>
      </c>
      <c r="Y33" s="142">
        <v>0.73958333333333337</v>
      </c>
      <c r="Z33" s="141">
        <v>0</v>
      </c>
      <c r="AA33" s="142">
        <v>0</v>
      </c>
      <c r="AB33" s="56">
        <f t="shared" si="51"/>
        <v>46018</v>
      </c>
      <c r="AC33" s="76">
        <f t="shared" si="95"/>
        <v>1</v>
      </c>
      <c r="AD33" s="162">
        <f t="shared" si="96"/>
        <v>0</v>
      </c>
      <c r="AE33" s="163">
        <v>2957</v>
      </c>
      <c r="AF33" s="118">
        <f t="shared" si="37"/>
        <v>2957</v>
      </c>
      <c r="AG33" s="147">
        <v>0</v>
      </c>
      <c r="AH33" s="148">
        <v>1999</v>
      </c>
      <c r="AI33" s="149">
        <v>0.93819444444444444</v>
      </c>
      <c r="AJ33" s="148">
        <v>0</v>
      </c>
      <c r="AK33" s="165">
        <v>0</v>
      </c>
      <c r="AL33" s="168">
        <f t="shared" si="38"/>
        <v>46018</v>
      </c>
      <c r="AM33" s="77">
        <f t="shared" si="97"/>
        <v>0.37810168315113657</v>
      </c>
      <c r="AN33" s="76">
        <f t="shared" si="98"/>
        <v>0.62189831684886343</v>
      </c>
      <c r="AO33" s="150">
        <v>5763</v>
      </c>
      <c r="AP33" s="117">
        <f t="shared" si="41"/>
        <v>2179</v>
      </c>
      <c r="AQ33" s="151">
        <v>3584</v>
      </c>
      <c r="AR33" s="152">
        <v>2036</v>
      </c>
      <c r="AS33" s="153">
        <v>0.94305555555555554</v>
      </c>
      <c r="AT33" s="152">
        <v>179</v>
      </c>
      <c r="AU33" s="154">
        <v>0.92708333333333337</v>
      </c>
      <c r="AV33" s="56">
        <f t="shared" si="52"/>
        <v>46018</v>
      </c>
      <c r="AW33" s="169">
        <f t="shared" si="99"/>
        <v>0.46139999999999998</v>
      </c>
      <c r="AX33" s="169">
        <f t="shared" si="100"/>
        <v>0.53859999999999997</v>
      </c>
      <c r="AY33" s="111">
        <f t="shared" si="44"/>
        <v>5000</v>
      </c>
      <c r="AZ33" s="112">
        <v>5000</v>
      </c>
      <c r="BA33" s="170">
        <f t="shared" si="101"/>
        <v>2307</v>
      </c>
      <c r="BB33" s="113">
        <v>2693</v>
      </c>
      <c r="BC33" s="112">
        <v>1711</v>
      </c>
      <c r="BD33" s="114">
        <v>0.75</v>
      </c>
      <c r="BE33" s="115">
        <v>0</v>
      </c>
      <c r="BF33" s="114">
        <v>0</v>
      </c>
      <c r="BG33" s="115">
        <v>160</v>
      </c>
      <c r="BH33" s="114">
        <v>0.88541666666666663</v>
      </c>
      <c r="BI33" s="56">
        <f t="shared" si="53"/>
        <v>46018</v>
      </c>
      <c r="BJ33" s="171">
        <f t="shared" si="102"/>
        <v>0.60961200033520491</v>
      </c>
      <c r="BK33" s="76">
        <f t="shared" si="103"/>
        <v>0.39038799966479509</v>
      </c>
      <c r="BL33" s="79">
        <f t="shared" si="104"/>
        <v>23866</v>
      </c>
      <c r="BM33" s="155">
        <v>14549</v>
      </c>
      <c r="BN33" s="155">
        <v>9317</v>
      </c>
      <c r="BO33" s="156">
        <v>2786</v>
      </c>
      <c r="BP33" s="157">
        <v>0.74305555555555558</v>
      </c>
      <c r="BQ33" s="158">
        <v>1826</v>
      </c>
      <c r="BR33" s="157">
        <v>0.74305555555555558</v>
      </c>
    </row>
    <row r="34" spans="1:70" ht="15" thickBot="1" x14ac:dyDescent="0.35">
      <c r="A34" s="14"/>
      <c r="B34" s="56">
        <f t="shared" si="49"/>
        <v>46019</v>
      </c>
      <c r="C34" s="164"/>
      <c r="D34" s="87">
        <f t="shared" si="22"/>
        <v>28868</v>
      </c>
      <c r="E34" s="159">
        <f t="shared" si="85"/>
        <v>0.78561036441734788</v>
      </c>
      <c r="F34" s="87">
        <f t="shared" si="24"/>
        <v>22679</v>
      </c>
      <c r="G34" s="159">
        <f t="shared" si="86"/>
        <v>0.21438963558265206</v>
      </c>
      <c r="H34" s="146">
        <f t="shared" si="26"/>
        <v>6189</v>
      </c>
      <c r="I34" s="160">
        <f t="shared" si="87"/>
        <v>6.325472592779921E-2</v>
      </c>
      <c r="J34" s="159">
        <f t="shared" si="88"/>
        <v>0.16166150344565974</v>
      </c>
      <c r="K34" s="159">
        <f t="shared" si="89"/>
        <v>0.18213321513478664</v>
      </c>
      <c r="L34" s="161">
        <f t="shared" si="90"/>
        <v>0.63219953214895364</v>
      </c>
      <c r="M34" s="146">
        <f t="shared" si="91"/>
        <v>1749.6257191629261</v>
      </c>
      <c r="N34" s="146">
        <f t="shared" si="92"/>
        <v>4471.5571853069487</v>
      </c>
      <c r="O34" s="146">
        <f t="shared" si="93"/>
        <v>5037.8047306281987</v>
      </c>
      <c r="P34" s="146">
        <f t="shared" si="94"/>
        <v>17486.639059240057</v>
      </c>
      <c r="Q34" s="56">
        <f t="shared" si="50"/>
        <v>46019</v>
      </c>
      <c r="R34" s="139">
        <v>28868</v>
      </c>
      <c r="S34" s="140">
        <v>0</v>
      </c>
      <c r="T34" s="140">
        <v>27660</v>
      </c>
      <c r="U34" s="140">
        <v>0</v>
      </c>
      <c r="V34" s="141">
        <v>6064</v>
      </c>
      <c r="W34" s="142">
        <v>0.59375</v>
      </c>
      <c r="X34" s="141">
        <v>1914</v>
      </c>
      <c r="Y34" s="142">
        <v>0.67708333333333337</v>
      </c>
      <c r="Z34" s="141">
        <v>0</v>
      </c>
      <c r="AA34" s="142">
        <v>0</v>
      </c>
      <c r="AB34" s="56">
        <f t="shared" si="51"/>
        <v>46019</v>
      </c>
      <c r="AC34" s="76">
        <f t="shared" si="95"/>
        <v>1</v>
      </c>
      <c r="AD34" s="162">
        <f t="shared" si="96"/>
        <v>0</v>
      </c>
      <c r="AE34" s="163">
        <v>2001</v>
      </c>
      <c r="AF34" s="118">
        <f t="shared" si="37"/>
        <v>2001</v>
      </c>
      <c r="AG34" s="147">
        <v>0</v>
      </c>
      <c r="AH34" s="148">
        <v>1467</v>
      </c>
      <c r="AI34" s="149">
        <v>0.60277777777777775</v>
      </c>
      <c r="AJ34" s="148">
        <v>0</v>
      </c>
      <c r="AK34" s="165">
        <v>0</v>
      </c>
      <c r="AL34" s="56">
        <f t="shared" si="38"/>
        <v>46019</v>
      </c>
      <c r="AM34" s="77">
        <f t="shared" si="97"/>
        <v>0.30856472428627296</v>
      </c>
      <c r="AN34" s="76">
        <f t="shared" si="98"/>
        <v>0.69143527571372698</v>
      </c>
      <c r="AO34" s="150">
        <v>5114</v>
      </c>
      <c r="AP34" s="117">
        <f t="shared" si="41"/>
        <v>1578</v>
      </c>
      <c r="AQ34" s="151">
        <v>3536</v>
      </c>
      <c r="AR34" s="152">
        <v>1804</v>
      </c>
      <c r="AS34" s="153">
        <v>0.3923611111111111</v>
      </c>
      <c r="AT34" s="152">
        <v>177</v>
      </c>
      <c r="AU34" s="154">
        <v>7.2916666666666671E-2</v>
      </c>
      <c r="AV34" s="56">
        <f t="shared" si="52"/>
        <v>46019</v>
      </c>
      <c r="AW34" s="110">
        <f t="shared" si="99"/>
        <v>0.41305309734513274</v>
      </c>
      <c r="AX34" s="110">
        <f t="shared" si="100"/>
        <v>0.58694690265486726</v>
      </c>
      <c r="AY34" s="111">
        <f t="shared" si="44"/>
        <v>4520</v>
      </c>
      <c r="AZ34" s="112">
        <v>4520</v>
      </c>
      <c r="BA34" s="120">
        <f t="shared" si="101"/>
        <v>1867</v>
      </c>
      <c r="BB34" s="113">
        <v>2653</v>
      </c>
      <c r="BC34" s="112">
        <v>1535</v>
      </c>
      <c r="BD34" s="114">
        <v>0.55208333333333337</v>
      </c>
      <c r="BE34" s="115">
        <v>0</v>
      </c>
      <c r="BF34" s="114">
        <v>0</v>
      </c>
      <c r="BG34" s="115">
        <v>160</v>
      </c>
      <c r="BH34" s="114">
        <v>0.89583333333333337</v>
      </c>
      <c r="BI34" s="56">
        <f t="shared" si="53"/>
        <v>46019</v>
      </c>
      <c r="BJ34" s="78">
        <f t="shared" si="102"/>
        <v>0.60993049652482623</v>
      </c>
      <c r="BK34" s="76">
        <f t="shared" si="103"/>
        <v>0.39006950347517377</v>
      </c>
      <c r="BL34" s="79">
        <f t="shared" si="104"/>
        <v>19999</v>
      </c>
      <c r="BM34" s="155">
        <v>12198</v>
      </c>
      <c r="BN34" s="155">
        <v>7801</v>
      </c>
      <c r="BO34" s="156">
        <v>2387</v>
      </c>
      <c r="BP34" s="157">
        <v>0.40972222222222221</v>
      </c>
      <c r="BQ34" s="158">
        <v>1602</v>
      </c>
      <c r="BR34" s="157">
        <v>0.40972222222222221</v>
      </c>
    </row>
    <row r="35" spans="1:70" ht="15" thickBot="1" x14ac:dyDescent="0.35">
      <c r="A35" s="14"/>
      <c r="B35" s="56">
        <f t="shared" si="49"/>
        <v>46020</v>
      </c>
      <c r="C35" s="164"/>
      <c r="D35" s="87">
        <f t="shared" si="22"/>
        <v>52748</v>
      </c>
      <c r="E35" s="159">
        <f t="shared" si="85"/>
        <v>0.86670584666717221</v>
      </c>
      <c r="F35" s="87">
        <f t="shared" si="24"/>
        <v>45717</v>
      </c>
      <c r="G35" s="159">
        <f t="shared" si="86"/>
        <v>0.13329415333282779</v>
      </c>
      <c r="H35" s="146">
        <f t="shared" si="26"/>
        <v>7031</v>
      </c>
      <c r="I35" s="160">
        <f t="shared" si="87"/>
        <v>0.11585075236603799</v>
      </c>
      <c r="J35" s="159">
        <f t="shared" si="88"/>
        <v>0.15767345271328387</v>
      </c>
      <c r="K35" s="159">
        <f t="shared" si="89"/>
        <v>0.17090683627345093</v>
      </c>
      <c r="L35" s="161">
        <f t="shared" si="90"/>
        <v>0.58102403486076126</v>
      </c>
      <c r="M35" s="146">
        <f t="shared" si="91"/>
        <v>5934.4547899502959</v>
      </c>
      <c r="N35" s="146">
        <f t="shared" si="92"/>
        <v>8076.8226152379657</v>
      </c>
      <c r="O35" s="146">
        <f t="shared" si="93"/>
        <v>8754.7026881075235</v>
      </c>
      <c r="P35" s="146">
        <f t="shared" si="94"/>
        <v>29762.956185742496</v>
      </c>
      <c r="Q35" s="56">
        <f t="shared" si="50"/>
        <v>46020</v>
      </c>
      <c r="R35" s="139">
        <v>52748</v>
      </c>
      <c r="S35" s="140">
        <v>0</v>
      </c>
      <c r="T35" s="140">
        <v>51225</v>
      </c>
      <c r="U35" s="140">
        <v>0</v>
      </c>
      <c r="V35" s="141">
        <v>13866</v>
      </c>
      <c r="W35" s="142">
        <v>0.39583333333333331</v>
      </c>
      <c r="X35" s="141">
        <v>4750</v>
      </c>
      <c r="Y35" s="142">
        <v>0.80208333333333337</v>
      </c>
      <c r="Z35" s="141">
        <v>0</v>
      </c>
      <c r="AA35" s="142">
        <v>0</v>
      </c>
      <c r="AB35" s="56">
        <f t="shared" si="51"/>
        <v>46020</v>
      </c>
      <c r="AC35" s="76">
        <f t="shared" si="95"/>
        <v>1</v>
      </c>
      <c r="AD35" s="162">
        <f t="shared" si="96"/>
        <v>0</v>
      </c>
      <c r="AE35" s="163">
        <v>6806</v>
      </c>
      <c r="AF35" s="118">
        <f t="shared" si="37"/>
        <v>6806</v>
      </c>
      <c r="AG35" s="147">
        <v>0</v>
      </c>
      <c r="AH35" s="148">
        <v>4301</v>
      </c>
      <c r="AI35" s="149">
        <v>0.34166666666666667</v>
      </c>
      <c r="AJ35" s="148">
        <v>0</v>
      </c>
      <c r="AK35" s="165">
        <v>0</v>
      </c>
      <c r="AL35" s="56">
        <f t="shared" si="38"/>
        <v>46020</v>
      </c>
      <c r="AM35" s="77">
        <f t="shared" si="97"/>
        <v>0.58318039512037134</v>
      </c>
      <c r="AN35" s="76">
        <f t="shared" si="98"/>
        <v>0.4168196048796286</v>
      </c>
      <c r="AO35" s="150">
        <v>9263</v>
      </c>
      <c r="AP35" s="117">
        <f t="shared" si="41"/>
        <v>5402</v>
      </c>
      <c r="AQ35" s="151">
        <v>3861</v>
      </c>
      <c r="AR35" s="152">
        <v>3970</v>
      </c>
      <c r="AS35" s="153">
        <v>0.36319444444444443</v>
      </c>
      <c r="AT35" s="152">
        <v>185</v>
      </c>
      <c r="AU35" s="154">
        <v>0.64583333333333337</v>
      </c>
      <c r="AV35" s="56">
        <f t="shared" si="52"/>
        <v>46020</v>
      </c>
      <c r="AW35" s="110">
        <f t="shared" si="99"/>
        <v>0.62902282036278523</v>
      </c>
      <c r="AX35" s="110">
        <f t="shared" si="100"/>
        <v>0.37097717963721477</v>
      </c>
      <c r="AY35" s="111">
        <f t="shared" si="44"/>
        <v>8545</v>
      </c>
      <c r="AZ35" s="112">
        <v>8545</v>
      </c>
      <c r="BA35" s="120">
        <f t="shared" si="101"/>
        <v>5375</v>
      </c>
      <c r="BB35" s="113">
        <f>1761+1409</f>
        <v>3170</v>
      </c>
      <c r="BC35" s="112">
        <v>4392</v>
      </c>
      <c r="BD35" s="114">
        <v>0.76041666666666663</v>
      </c>
      <c r="BE35" s="115">
        <v>0</v>
      </c>
      <c r="BF35" s="114">
        <v>0</v>
      </c>
      <c r="BG35" s="115">
        <v>159</v>
      </c>
      <c r="BH35" s="114">
        <v>0.94791666666666663</v>
      </c>
      <c r="BI35" s="56">
        <f t="shared" si="53"/>
        <v>46020</v>
      </c>
      <c r="BJ35" s="78">
        <f t="shared" si="102"/>
        <v>0.60643346809632626</v>
      </c>
      <c r="BK35" s="76">
        <f t="shared" si="103"/>
        <v>0.39356653190367374</v>
      </c>
      <c r="BL35" s="79">
        <f t="shared" si="104"/>
        <v>34134</v>
      </c>
      <c r="BM35" s="155">
        <v>20700</v>
      </c>
      <c r="BN35" s="155">
        <v>13434</v>
      </c>
      <c r="BO35" s="156">
        <v>3970</v>
      </c>
      <c r="BP35" s="157">
        <v>0.75208333333333333</v>
      </c>
      <c r="BQ35" s="158">
        <v>2645</v>
      </c>
      <c r="BR35" s="157">
        <v>0.75208333333333333</v>
      </c>
    </row>
    <row r="36" spans="1:70" ht="15" thickBot="1" x14ac:dyDescent="0.35">
      <c r="A36" s="14"/>
      <c r="B36" s="56">
        <f t="shared" si="49"/>
        <v>46021</v>
      </c>
      <c r="C36" s="164"/>
      <c r="D36" s="87">
        <f t="shared" si="22"/>
        <v>53296</v>
      </c>
      <c r="E36" s="159">
        <f t="shared" si="85"/>
        <v>0.86693185229660763</v>
      </c>
      <c r="F36" s="87">
        <f t="shared" si="24"/>
        <v>46204</v>
      </c>
      <c r="G36" s="159">
        <f t="shared" si="86"/>
        <v>0.13306814770339237</v>
      </c>
      <c r="H36" s="146">
        <f t="shared" si="26"/>
        <v>7092</v>
      </c>
      <c r="I36" s="160">
        <f t="shared" si="87"/>
        <v>0.11652786241451689</v>
      </c>
      <c r="J36" s="159">
        <f t="shared" si="88"/>
        <v>0.15777980905951655</v>
      </c>
      <c r="K36" s="159">
        <f t="shared" si="89"/>
        <v>0.17179070136464614</v>
      </c>
      <c r="L36" s="161">
        <f t="shared" si="90"/>
        <v>0.57908456902972438</v>
      </c>
      <c r="M36" s="146">
        <f>(S36+T36)*I36</f>
        <v>6039.0564696323381</v>
      </c>
      <c r="N36" s="146">
        <f>(S36+T36)*J36</f>
        <v>8176.9386045094452</v>
      </c>
      <c r="O36" s="146">
        <f>(S36+T36)*K36</f>
        <v>8903.0530982227865</v>
      </c>
      <c r="P36" s="146">
        <f>(S36+T36)*L36</f>
        <v>30011.057789965467</v>
      </c>
      <c r="Q36" s="56">
        <f t="shared" si="50"/>
        <v>46021</v>
      </c>
      <c r="R36" s="139">
        <v>53296</v>
      </c>
      <c r="S36" s="140">
        <v>0</v>
      </c>
      <c r="T36" s="140">
        <v>51825</v>
      </c>
      <c r="U36" s="140">
        <v>0</v>
      </c>
      <c r="V36" s="141">
        <v>12571</v>
      </c>
      <c r="W36" s="142">
        <v>0.78125</v>
      </c>
      <c r="X36" s="141">
        <v>4499</v>
      </c>
      <c r="Y36" s="142">
        <v>0.78125</v>
      </c>
      <c r="Z36" s="141">
        <v>0</v>
      </c>
      <c r="AA36" s="142">
        <v>0</v>
      </c>
      <c r="AB36" s="56">
        <f t="shared" si="51"/>
        <v>46021</v>
      </c>
      <c r="AC36" s="76">
        <f t="shared" si="95"/>
        <v>1</v>
      </c>
      <c r="AD36" s="162">
        <f t="shared" si="96"/>
        <v>0</v>
      </c>
      <c r="AE36" s="163">
        <v>6884</v>
      </c>
      <c r="AF36" s="118">
        <f t="shared" si="37"/>
        <v>6884</v>
      </c>
      <c r="AG36" s="147">
        <v>0</v>
      </c>
      <c r="AH36" s="148">
        <v>3889</v>
      </c>
      <c r="AI36" s="149">
        <v>0.33958333333333335</v>
      </c>
      <c r="AJ36" s="148">
        <v>0</v>
      </c>
      <c r="AK36" s="165">
        <v>0</v>
      </c>
      <c r="AL36" s="56">
        <f t="shared" si="38"/>
        <v>46021</v>
      </c>
      <c r="AM36" s="77">
        <f t="shared" si="97"/>
        <v>0.58352108142903125</v>
      </c>
      <c r="AN36" s="76">
        <f t="shared" si="98"/>
        <v>0.4164789185709688</v>
      </c>
      <c r="AO36" s="150">
        <v>9321</v>
      </c>
      <c r="AP36" s="117">
        <f t="shared" si="41"/>
        <v>5439</v>
      </c>
      <c r="AQ36" s="151">
        <v>3882</v>
      </c>
      <c r="AR36" s="152">
        <v>4098</v>
      </c>
      <c r="AS36" s="153">
        <v>0.68888888888888888</v>
      </c>
      <c r="AT36" s="152">
        <v>176</v>
      </c>
      <c r="AU36" s="154">
        <v>0.92708333333333337</v>
      </c>
      <c r="AV36" s="56">
        <f t="shared" si="52"/>
        <v>46021</v>
      </c>
      <c r="AW36" s="110">
        <f t="shared" si="99"/>
        <v>0.62937305161066848</v>
      </c>
      <c r="AX36" s="110">
        <f t="shared" si="100"/>
        <v>0.37062694838933147</v>
      </c>
      <c r="AY36" s="111">
        <f t="shared" si="44"/>
        <v>8661</v>
      </c>
      <c r="AZ36" s="112">
        <v>8661</v>
      </c>
      <c r="BA36" s="120">
        <f t="shared" si="101"/>
        <v>5451</v>
      </c>
      <c r="BB36" s="113">
        <f>1787+1423</f>
        <v>3210</v>
      </c>
      <c r="BC36" s="112">
        <v>3417</v>
      </c>
      <c r="BD36" s="114">
        <v>0.82291666666666663</v>
      </c>
      <c r="BE36" s="115">
        <v>0</v>
      </c>
      <c r="BF36" s="114">
        <v>0</v>
      </c>
      <c r="BG36" s="115">
        <v>163</v>
      </c>
      <c r="BH36" s="114">
        <v>0.89583333333333337</v>
      </c>
      <c r="BI36" s="56">
        <f t="shared" si="53"/>
        <v>46021</v>
      </c>
      <c r="BJ36" s="78">
        <f t="shared" si="102"/>
        <v>0.60716164864074829</v>
      </c>
      <c r="BK36" s="76">
        <f t="shared" si="103"/>
        <v>0.39283835135925166</v>
      </c>
      <c r="BL36" s="79">
        <f t="shared" si="104"/>
        <v>34210</v>
      </c>
      <c r="BM36" s="155">
        <v>20771</v>
      </c>
      <c r="BN36" s="155">
        <v>13439</v>
      </c>
      <c r="BO36" s="156">
        <v>3981</v>
      </c>
      <c r="BP36" s="157">
        <v>0.37638888888888888</v>
      </c>
      <c r="BQ36" s="158">
        <v>2674</v>
      </c>
      <c r="BR36" s="157">
        <v>0.37638888888888888</v>
      </c>
    </row>
    <row r="37" spans="1:70" ht="15" thickBot="1" x14ac:dyDescent="0.35">
      <c r="B37" s="56">
        <f t="shared" si="49"/>
        <v>46022</v>
      </c>
      <c r="D37" s="87">
        <f t="shared" si="22"/>
        <v>57120</v>
      </c>
      <c r="E37" s="159">
        <f t="shared" ref="E37" si="105">F37/D37</f>
        <v>0.88509558823529422</v>
      </c>
      <c r="F37" s="87">
        <f t="shared" si="24"/>
        <v>50556.66</v>
      </c>
      <c r="G37" s="159">
        <f t="shared" ref="G37" si="106">H37/D37</f>
        <v>0.11490441176470588</v>
      </c>
      <c r="H37" s="146">
        <f t="shared" si="26"/>
        <v>6563.34</v>
      </c>
      <c r="I37" s="160">
        <f t="shared" ref="I37" si="107">AE37/(AE37+AO37+BL37+AY37)</f>
        <v>0.12126730904776706</v>
      </c>
      <c r="J37" s="159">
        <f t="shared" ref="J37" si="108">AO37/(AE37+AO37+BL37+AY37)</f>
        <v>0.15687668196631907</v>
      </c>
      <c r="K37" s="159">
        <f t="shared" ref="K37" si="109">AY37/(AF37+AP37+BM37+AZ37+AY37)</f>
        <v>0.16983013715952441</v>
      </c>
      <c r="L37" s="161">
        <f t="shared" ref="L37" si="110">BL37/(AE37+AO37+BL37+AY37)</f>
        <v>0.57570513594259221</v>
      </c>
      <c r="M37" s="146">
        <f>(S37+T37)*I37</f>
        <v>6680.6766890960107</v>
      </c>
      <c r="N37" s="146">
        <f>(S37+T37)*J37</f>
        <v>8642.4148478655006</v>
      </c>
      <c r="O37" s="146">
        <f>(S37+T37)*K37</f>
        <v>9356.027171186779</v>
      </c>
      <c r="P37" s="146">
        <f>(S37+T37)*L37</f>
        <v>31715.883791645378</v>
      </c>
      <c r="Q37" s="56">
        <f t="shared" si="50"/>
        <v>46022</v>
      </c>
      <c r="R37" s="139">
        <v>57120</v>
      </c>
      <c r="S37" s="140">
        <v>0</v>
      </c>
      <c r="T37" s="140">
        <v>55090.5</v>
      </c>
      <c r="U37" s="140">
        <v>0</v>
      </c>
      <c r="V37" s="141">
        <v>13375.65</v>
      </c>
      <c r="W37" s="142">
        <v>0.40625</v>
      </c>
      <c r="X37" s="141">
        <v>4087</v>
      </c>
      <c r="Y37" s="142">
        <v>0.39583333333333331</v>
      </c>
      <c r="Z37" s="141">
        <v>0</v>
      </c>
      <c r="AA37" s="142">
        <v>0</v>
      </c>
      <c r="AB37" s="56">
        <f t="shared" si="51"/>
        <v>46022</v>
      </c>
      <c r="AC37" s="76">
        <f t="shared" ref="AC37" si="111">+AF37/AE37</f>
        <v>1</v>
      </c>
      <c r="AD37" s="162">
        <f t="shared" ref="AD37" si="112">+AG37/AE37</f>
        <v>0</v>
      </c>
      <c r="AE37" s="163">
        <v>7756</v>
      </c>
      <c r="AF37" s="118">
        <f t="shared" ref="AF37" si="113">+AE37-AG37</f>
        <v>7756</v>
      </c>
      <c r="AG37" s="147">
        <v>0</v>
      </c>
      <c r="AH37" s="148">
        <v>3481.22</v>
      </c>
      <c r="AI37" s="149">
        <v>0.82986111111111116</v>
      </c>
      <c r="AJ37" s="148">
        <v>0</v>
      </c>
      <c r="AK37" s="165">
        <v>0</v>
      </c>
      <c r="AL37" s="56">
        <f t="shared" si="38"/>
        <v>46022</v>
      </c>
      <c r="AM37" s="77">
        <f t="shared" ref="AM37" si="114">+AP37/AO37</f>
        <v>0.62041261773060252</v>
      </c>
      <c r="AN37" s="76">
        <f t="shared" ref="AN37" si="115">+AQ37/AO37</f>
        <v>0.37958738226939753</v>
      </c>
      <c r="AO37" s="150">
        <v>10033.5</v>
      </c>
      <c r="AP37" s="117">
        <f t="shared" ref="AP37" si="116">AO37-AQ37</f>
        <v>6224.91</v>
      </c>
      <c r="AQ37" s="151">
        <v>3808.59</v>
      </c>
      <c r="AR37" s="152">
        <v>3822.7</v>
      </c>
      <c r="AS37" s="153">
        <v>0.36319444444444443</v>
      </c>
      <c r="AT37" s="152">
        <v>179.26</v>
      </c>
      <c r="AU37" s="154">
        <v>0.88541666666666663</v>
      </c>
      <c r="AV37" s="56">
        <f t="shared" si="52"/>
        <v>46022</v>
      </c>
      <c r="AW37" s="110">
        <f t="shared" ref="AW37" si="117">BA37/AZ37</f>
        <v>0.70529553356512431</v>
      </c>
      <c r="AX37" s="110">
        <f t="shared" ref="AX37" si="118">BB37/AZ37</f>
        <v>0.29470446643487563</v>
      </c>
      <c r="AY37" s="111">
        <f t="shared" ref="AY37" si="119">BA37+BB37</f>
        <v>9347.5</v>
      </c>
      <c r="AZ37" s="112">
        <v>9347.5</v>
      </c>
      <c r="BA37" s="120">
        <f t="shared" ref="BA37" si="120">AZ37-BB37</f>
        <v>6592.75</v>
      </c>
      <c r="BB37" s="113">
        <v>2754.75</v>
      </c>
      <c r="BC37" s="112">
        <v>3690.77</v>
      </c>
      <c r="BD37" s="114">
        <v>0.625</v>
      </c>
      <c r="BE37" s="115">
        <v>0</v>
      </c>
      <c r="BF37" s="114">
        <v>0</v>
      </c>
      <c r="BG37" s="115">
        <v>162.41</v>
      </c>
      <c r="BH37" s="114">
        <v>0.89583333333333337</v>
      </c>
      <c r="BI37" s="56">
        <f t="shared" si="53"/>
        <v>46022</v>
      </c>
      <c r="BJ37" s="78">
        <f t="shared" ref="BJ37" si="121">+BM37/BL37</f>
        <v>0.60738309350564135</v>
      </c>
      <c r="BK37" s="76">
        <f t="shared" ref="BK37" si="122">+BN37/BL37</f>
        <v>0.3926169064943586</v>
      </c>
      <c r="BL37" s="79">
        <f t="shared" ref="BL37" si="123">BM37+BN37</f>
        <v>36820.880000000005</v>
      </c>
      <c r="BM37" s="155">
        <v>22364.38</v>
      </c>
      <c r="BN37" s="155">
        <v>14456.5</v>
      </c>
      <c r="BO37" s="156">
        <v>4686.13</v>
      </c>
      <c r="BP37" s="157">
        <v>0.66388888888888886</v>
      </c>
      <c r="BQ37" s="158">
        <v>3104.58</v>
      </c>
      <c r="BR37" s="157">
        <v>0.66388888888888886</v>
      </c>
    </row>
    <row r="38" spans="1:70" x14ac:dyDescent="0.3">
      <c r="R38" s="176" t="e">
        <f>#REF!-S39</f>
        <v>#REF!</v>
      </c>
    </row>
    <row r="39" spans="1:70" x14ac:dyDescent="0.3">
      <c r="S39" s="177">
        <f>R36-T36</f>
        <v>1471</v>
      </c>
      <c r="T39" s="177"/>
      <c r="U39" s="176"/>
    </row>
    <row r="41" spans="1:70" x14ac:dyDescent="0.3">
      <c r="S41" s="177"/>
      <c r="T41" s="176"/>
    </row>
  </sheetData>
  <mergeCells count="32"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8"/>
  <sheetViews>
    <sheetView topLeftCell="A34" zoomScale="148" zoomScaleNormal="148" workbookViewId="0">
      <selection activeCell="A45" sqref="A45"/>
    </sheetView>
  </sheetViews>
  <sheetFormatPr baseColWidth="10" defaultRowHeight="14.4" x14ac:dyDescent="0.3"/>
  <cols>
    <col min="1" max="1" width="2.5546875" customWidth="1"/>
    <col min="3" max="3" width="1.6640625" style="13" customWidth="1"/>
    <col min="8" max="8" width="12.5546875" customWidth="1"/>
    <col min="9" max="9" width="9.6640625" customWidth="1"/>
    <col min="13" max="13" width="9.33203125" customWidth="1"/>
    <col min="16" max="16" width="11.88671875" bestFit="1" customWidth="1"/>
    <col min="20" max="20" width="10.6640625" customWidth="1"/>
    <col min="21" max="21" width="11" customWidth="1"/>
    <col min="27" max="27" width="21.6640625" customWidth="1"/>
  </cols>
  <sheetData>
    <row r="1" spans="2:27" ht="18.600000000000001" thickBot="1" x14ac:dyDescent="0.35">
      <c r="C1" s="15"/>
    </row>
    <row r="2" spans="2:27" ht="15" customHeight="1" x14ac:dyDescent="0.3">
      <c r="B2" s="222" t="s">
        <v>0</v>
      </c>
      <c r="D2" s="225" t="s">
        <v>37</v>
      </c>
      <c r="E2" s="226"/>
      <c r="F2" s="226"/>
      <c r="G2" s="226"/>
      <c r="H2" s="227"/>
      <c r="J2" s="225" t="s">
        <v>38</v>
      </c>
      <c r="K2" s="226"/>
      <c r="L2" s="227"/>
      <c r="N2" s="225" t="s">
        <v>39</v>
      </c>
      <c r="O2" s="226"/>
      <c r="P2" s="226"/>
      <c r="Q2" s="226"/>
      <c r="R2" s="226"/>
      <c r="S2" s="226"/>
      <c r="T2" s="227"/>
      <c r="V2" s="231" t="s">
        <v>40</v>
      </c>
      <c r="W2" s="232"/>
      <c r="X2" s="233"/>
    </row>
    <row r="3" spans="2:27" ht="15" thickBot="1" x14ac:dyDescent="0.35">
      <c r="B3" s="223"/>
      <c r="D3" s="228"/>
      <c r="E3" s="229"/>
      <c r="F3" s="229"/>
      <c r="G3" s="229"/>
      <c r="H3" s="230"/>
      <c r="J3" s="228"/>
      <c r="K3" s="229"/>
      <c r="L3" s="230"/>
      <c r="N3" s="228"/>
      <c r="O3" s="229"/>
      <c r="P3" s="229"/>
      <c r="Q3" s="229"/>
      <c r="R3" s="229"/>
      <c r="S3" s="229"/>
      <c r="T3" s="230"/>
      <c r="V3" s="234"/>
      <c r="W3" s="235"/>
      <c r="X3" s="236"/>
    </row>
    <row r="4" spans="2:27" ht="23.25" customHeight="1" x14ac:dyDescent="0.3">
      <c r="B4" s="223"/>
      <c r="D4" s="237" t="s">
        <v>41</v>
      </c>
      <c r="E4" s="238"/>
      <c r="F4" s="237" t="s">
        <v>42</v>
      </c>
      <c r="G4" s="239"/>
      <c r="H4" s="240"/>
      <c r="J4" s="237" t="s">
        <v>41</v>
      </c>
      <c r="K4" s="238"/>
      <c r="L4" s="16" t="s">
        <v>42</v>
      </c>
      <c r="N4" s="220" t="s">
        <v>41</v>
      </c>
      <c r="O4" s="241"/>
      <c r="P4" s="242"/>
      <c r="Q4" s="243"/>
      <c r="R4" s="237" t="s">
        <v>42</v>
      </c>
      <c r="S4" s="244"/>
      <c r="T4" s="240"/>
      <c r="V4" s="220" t="s">
        <v>41</v>
      </c>
      <c r="W4" s="221"/>
      <c r="X4" s="16" t="s">
        <v>42</v>
      </c>
    </row>
    <row r="5" spans="2:27" ht="15" thickBot="1" x14ac:dyDescent="0.35">
      <c r="B5" s="224"/>
      <c r="D5" s="17" t="s">
        <v>43</v>
      </c>
      <c r="E5" s="18" t="s">
        <v>44</v>
      </c>
      <c r="F5" s="17" t="s">
        <v>45</v>
      </c>
      <c r="G5" s="19" t="s">
        <v>46</v>
      </c>
      <c r="H5" s="20" t="s">
        <v>47</v>
      </c>
      <c r="J5" s="17" t="s">
        <v>48</v>
      </c>
      <c r="K5" s="18" t="s">
        <v>44</v>
      </c>
      <c r="L5" s="21" t="s">
        <v>38</v>
      </c>
      <c r="N5" s="17" t="s">
        <v>49</v>
      </c>
      <c r="O5" s="18" t="s">
        <v>44</v>
      </c>
      <c r="P5" s="17" t="s">
        <v>50</v>
      </c>
      <c r="Q5" s="18" t="s">
        <v>44</v>
      </c>
      <c r="R5" s="22" t="s">
        <v>51</v>
      </c>
      <c r="S5" s="23" t="s">
        <v>49</v>
      </c>
      <c r="T5" s="24" t="s">
        <v>50</v>
      </c>
      <c r="V5" s="17" t="s">
        <v>52</v>
      </c>
      <c r="W5" s="18" t="s">
        <v>44</v>
      </c>
      <c r="X5" s="21" t="s">
        <v>40</v>
      </c>
    </row>
    <row r="6" spans="2:27" ht="15" thickBot="1" x14ac:dyDescent="0.35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53</v>
      </c>
    </row>
    <row r="7" spans="2:27" ht="15" thickBot="1" x14ac:dyDescent="0.35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" thickBot="1" x14ac:dyDescent="0.35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7"/>
      <c r="AA8" s="38" t="s">
        <v>54</v>
      </c>
    </row>
    <row r="9" spans="2:27" ht="15" thickBot="1" x14ac:dyDescent="0.35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" thickBot="1" x14ac:dyDescent="0.35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" thickBot="1" x14ac:dyDescent="0.35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" thickBot="1" x14ac:dyDescent="0.35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" thickBot="1" x14ac:dyDescent="0.35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" thickBot="1" x14ac:dyDescent="0.35">
      <c r="B14" s="90">
        <v>45991</v>
      </c>
      <c r="C14" s="13"/>
      <c r="D14" s="172">
        <v>58</v>
      </c>
      <c r="E14" s="173">
        <v>0.80208333333333337</v>
      </c>
      <c r="F14" s="174">
        <v>832</v>
      </c>
      <c r="G14" s="93">
        <f t="shared" ref="G14" si="0">F14-H14</f>
        <v>354</v>
      </c>
      <c r="H14" s="174">
        <v>478</v>
      </c>
      <c r="I14" s="90">
        <v>45991</v>
      </c>
      <c r="J14" s="172">
        <v>29</v>
      </c>
      <c r="K14" s="173">
        <v>0.83333333333333337</v>
      </c>
      <c r="L14" s="174">
        <v>566</v>
      </c>
      <c r="M14" s="90">
        <f t="shared" ref="M14" si="1">B14</f>
        <v>45991</v>
      </c>
      <c r="N14" s="172">
        <v>19</v>
      </c>
      <c r="O14" s="173">
        <v>0.53125</v>
      </c>
      <c r="P14" s="172">
        <v>10</v>
      </c>
      <c r="Q14" s="173">
        <v>0.30208333333333331</v>
      </c>
      <c r="R14" s="92">
        <f t="shared" ref="R14" si="2">S14+T14</f>
        <v>473</v>
      </c>
      <c r="S14" s="174">
        <v>280</v>
      </c>
      <c r="T14" s="174">
        <v>193</v>
      </c>
      <c r="U14" s="90">
        <v>45991</v>
      </c>
      <c r="V14" s="172">
        <v>27</v>
      </c>
      <c r="W14" s="173">
        <v>0.90625</v>
      </c>
      <c r="X14" s="174">
        <v>481</v>
      </c>
    </row>
    <row r="15" spans="2:27" s="52" customFormat="1" ht="15" thickBot="1" x14ac:dyDescent="0.35">
      <c r="B15" s="55">
        <f t="shared" ref="B15:B16" si="3">B14+1</f>
        <v>45992</v>
      </c>
      <c r="C15" s="13"/>
      <c r="D15" s="172">
        <v>112.4</v>
      </c>
      <c r="E15" s="173">
        <v>0.53125</v>
      </c>
      <c r="F15" s="174">
        <v>1287.4100000000001</v>
      </c>
      <c r="G15" s="93">
        <f t="shared" ref="G15:G44" si="4">F15-H15</f>
        <v>770.55000000000007</v>
      </c>
      <c r="H15" s="174">
        <v>516.86</v>
      </c>
      <c r="I15" s="90">
        <f t="shared" ref="I15:I45" si="5">I14+1</f>
        <v>45992</v>
      </c>
      <c r="J15" s="172">
        <v>30.78</v>
      </c>
      <c r="K15" s="173">
        <v>0.625</v>
      </c>
      <c r="L15" s="174">
        <v>604.19000000000005</v>
      </c>
      <c r="M15" s="90">
        <f t="shared" ref="M15:M44" si="6">B15</f>
        <v>45992</v>
      </c>
      <c r="N15" s="172">
        <v>18.05</v>
      </c>
      <c r="O15" s="173">
        <v>0.77083333333333337</v>
      </c>
      <c r="P15" s="172">
        <v>14.18</v>
      </c>
      <c r="Q15" s="173">
        <v>0.84375</v>
      </c>
      <c r="R15" s="92">
        <f t="shared" ref="R15:R25" si="7">S15+T15</f>
        <v>522.41</v>
      </c>
      <c r="S15" s="174">
        <v>290.18</v>
      </c>
      <c r="T15" s="174">
        <v>232.23</v>
      </c>
      <c r="U15" s="90">
        <f t="shared" ref="U15:U45" si="8">U14+1</f>
        <v>45992</v>
      </c>
      <c r="V15" s="172">
        <v>29.55</v>
      </c>
      <c r="W15" s="173">
        <v>0.27083333333333331</v>
      </c>
      <c r="X15" s="174">
        <v>524.16999999999996</v>
      </c>
    </row>
    <row r="16" spans="2:27" s="52" customFormat="1" ht="15" thickBot="1" x14ac:dyDescent="0.35">
      <c r="B16" s="55">
        <f t="shared" si="3"/>
        <v>45993</v>
      </c>
      <c r="C16" s="13"/>
      <c r="D16" s="50">
        <v>122.96</v>
      </c>
      <c r="E16" s="11">
        <v>0.55208333333333337</v>
      </c>
      <c r="F16" s="10">
        <v>1299.0899999999999</v>
      </c>
      <c r="G16" s="93">
        <f t="shared" si="4"/>
        <v>753.00999999999988</v>
      </c>
      <c r="H16" s="10">
        <v>546.08000000000004</v>
      </c>
      <c r="I16" s="90">
        <f t="shared" si="5"/>
        <v>45993</v>
      </c>
      <c r="J16" s="50">
        <v>34.299999999999997</v>
      </c>
      <c r="K16" s="54">
        <v>0.61458333333333337</v>
      </c>
      <c r="L16" s="53">
        <v>632.92999999999995</v>
      </c>
      <c r="M16" s="90">
        <f t="shared" si="6"/>
        <v>45993</v>
      </c>
      <c r="N16" s="50">
        <v>28.2</v>
      </c>
      <c r="O16" s="11">
        <v>0.63541666666666663</v>
      </c>
      <c r="P16" s="50">
        <v>14</v>
      </c>
      <c r="Q16" s="11">
        <v>0.78125</v>
      </c>
      <c r="R16" s="92">
        <f t="shared" si="7"/>
        <v>535.43000000000006</v>
      </c>
      <c r="S16" s="10">
        <v>291.8</v>
      </c>
      <c r="T16" s="10">
        <v>243.63</v>
      </c>
      <c r="U16" s="90">
        <f t="shared" si="8"/>
        <v>45993</v>
      </c>
      <c r="V16" s="50">
        <v>28.56</v>
      </c>
      <c r="W16" s="11">
        <v>0.84375</v>
      </c>
      <c r="X16" s="10">
        <v>532.65</v>
      </c>
    </row>
    <row r="17" spans="2:24" ht="15" thickBot="1" x14ac:dyDescent="0.35">
      <c r="B17" s="55">
        <f t="shared" ref="B17:B45" si="9">B16+1</f>
        <v>45994</v>
      </c>
      <c r="D17" s="50">
        <v>126</v>
      </c>
      <c r="E17" s="54">
        <v>0.51041666666666663</v>
      </c>
      <c r="F17" s="53">
        <v>1401</v>
      </c>
      <c r="G17" s="93">
        <f t="shared" si="4"/>
        <v>845</v>
      </c>
      <c r="H17" s="53">
        <v>556</v>
      </c>
      <c r="I17" s="90">
        <f t="shared" si="5"/>
        <v>45994</v>
      </c>
      <c r="J17" s="50">
        <v>34</v>
      </c>
      <c r="K17" s="54">
        <v>0.57291666666666663</v>
      </c>
      <c r="L17" s="53">
        <v>621</v>
      </c>
      <c r="M17" s="90">
        <f t="shared" si="6"/>
        <v>45994</v>
      </c>
      <c r="N17" s="50">
        <v>19</v>
      </c>
      <c r="O17" s="54">
        <v>0.4375</v>
      </c>
      <c r="P17" s="50">
        <v>15</v>
      </c>
      <c r="Q17" s="54">
        <v>0.28125</v>
      </c>
      <c r="R17" s="92">
        <f t="shared" si="7"/>
        <v>524</v>
      </c>
      <c r="S17" s="53">
        <v>291</v>
      </c>
      <c r="T17" s="53">
        <v>233</v>
      </c>
      <c r="U17" s="90">
        <f t="shared" si="8"/>
        <v>45994</v>
      </c>
      <c r="V17" s="50">
        <v>28</v>
      </c>
      <c r="W17" s="54">
        <v>0.88541666666666663</v>
      </c>
      <c r="X17" s="53">
        <v>515</v>
      </c>
    </row>
    <row r="18" spans="2:24" ht="15" thickBot="1" x14ac:dyDescent="0.35">
      <c r="B18" s="55">
        <f t="shared" si="9"/>
        <v>45995</v>
      </c>
      <c r="D18" s="50">
        <v>121</v>
      </c>
      <c r="E18" s="54">
        <v>0.5625</v>
      </c>
      <c r="F18" s="53">
        <v>1270</v>
      </c>
      <c r="G18" s="93">
        <f t="shared" si="4"/>
        <v>722</v>
      </c>
      <c r="H18" s="53">
        <v>548</v>
      </c>
      <c r="I18" s="90">
        <f t="shared" si="5"/>
        <v>45995</v>
      </c>
      <c r="J18" s="50">
        <v>32</v>
      </c>
      <c r="K18" s="54">
        <v>0.64583333333333337</v>
      </c>
      <c r="L18" s="53">
        <v>615</v>
      </c>
      <c r="M18" s="90">
        <f t="shared" si="6"/>
        <v>45995</v>
      </c>
      <c r="N18" s="50">
        <v>19</v>
      </c>
      <c r="O18" s="54">
        <v>0.40625</v>
      </c>
      <c r="P18" s="50">
        <v>14</v>
      </c>
      <c r="Q18" s="54">
        <v>0.3125</v>
      </c>
      <c r="R18" s="51">
        <f t="shared" si="7"/>
        <v>521</v>
      </c>
      <c r="S18" s="53">
        <v>290</v>
      </c>
      <c r="T18" s="53">
        <v>231</v>
      </c>
      <c r="U18" s="90">
        <f t="shared" si="8"/>
        <v>45995</v>
      </c>
      <c r="V18" s="50">
        <v>28</v>
      </c>
      <c r="W18" s="54">
        <v>0.85416666666666663</v>
      </c>
      <c r="X18" s="53">
        <v>512</v>
      </c>
    </row>
    <row r="19" spans="2:24" ht="15" thickBot="1" x14ac:dyDescent="0.35">
      <c r="B19" s="90">
        <f t="shared" si="9"/>
        <v>45996</v>
      </c>
      <c r="D19" s="91">
        <v>120</v>
      </c>
      <c r="E19" s="89">
        <v>0.625</v>
      </c>
      <c r="F19" s="88">
        <v>1265</v>
      </c>
      <c r="G19" s="93">
        <f t="shared" si="4"/>
        <v>718</v>
      </c>
      <c r="H19" s="88">
        <v>547</v>
      </c>
      <c r="I19" s="90">
        <f t="shared" si="5"/>
        <v>45996</v>
      </c>
      <c r="J19" s="91">
        <v>32</v>
      </c>
      <c r="K19" s="89">
        <v>0.5625</v>
      </c>
      <c r="L19" s="88">
        <v>618</v>
      </c>
      <c r="M19" s="90">
        <f t="shared" si="6"/>
        <v>45996</v>
      </c>
      <c r="N19" s="91">
        <v>20</v>
      </c>
      <c r="O19" s="89">
        <v>0.39583333333333331</v>
      </c>
      <c r="P19" s="91">
        <v>15</v>
      </c>
      <c r="Q19" s="89">
        <v>0.33333333333333331</v>
      </c>
      <c r="R19" s="92">
        <f t="shared" si="7"/>
        <v>523</v>
      </c>
      <c r="S19" s="88">
        <v>291</v>
      </c>
      <c r="T19" s="88">
        <v>232</v>
      </c>
      <c r="U19" s="90">
        <f t="shared" si="8"/>
        <v>45996</v>
      </c>
      <c r="V19" s="91">
        <v>29</v>
      </c>
      <c r="W19" s="89">
        <v>0.82291666666666663</v>
      </c>
      <c r="X19" s="88">
        <v>515</v>
      </c>
    </row>
    <row r="20" spans="2:24" ht="15" thickBot="1" x14ac:dyDescent="0.35">
      <c r="B20" s="90">
        <f t="shared" si="9"/>
        <v>45997</v>
      </c>
      <c r="D20" s="172">
        <v>80</v>
      </c>
      <c r="E20" s="173">
        <v>0.375</v>
      </c>
      <c r="F20" s="174">
        <v>934</v>
      </c>
      <c r="G20" s="93">
        <f t="shared" si="4"/>
        <v>454</v>
      </c>
      <c r="H20" s="174">
        <v>480</v>
      </c>
      <c r="I20" s="90">
        <f t="shared" si="5"/>
        <v>45997</v>
      </c>
      <c r="J20" s="172">
        <v>29</v>
      </c>
      <c r="K20" s="173">
        <v>0.88541666666666663</v>
      </c>
      <c r="L20" s="174">
        <v>570</v>
      </c>
      <c r="M20" s="90">
        <f t="shared" si="6"/>
        <v>45997</v>
      </c>
      <c r="N20" s="172">
        <v>15</v>
      </c>
      <c r="O20" s="173">
        <v>0.34375</v>
      </c>
      <c r="P20" s="172">
        <v>15</v>
      </c>
      <c r="Q20" s="173">
        <v>0.35416666666666669</v>
      </c>
      <c r="R20" s="92">
        <f t="shared" si="7"/>
        <v>500</v>
      </c>
      <c r="S20" s="174">
        <v>283</v>
      </c>
      <c r="T20" s="174">
        <v>217</v>
      </c>
      <c r="U20" s="175">
        <f t="shared" si="8"/>
        <v>45997</v>
      </c>
      <c r="V20" s="172">
        <v>30</v>
      </c>
      <c r="W20" s="173">
        <v>0.47916666666666669</v>
      </c>
      <c r="X20" s="174">
        <v>561</v>
      </c>
    </row>
    <row r="21" spans="2:24" ht="15" thickBot="1" x14ac:dyDescent="0.35">
      <c r="B21" s="90">
        <f t="shared" si="9"/>
        <v>45998</v>
      </c>
      <c r="D21" s="172">
        <v>54</v>
      </c>
      <c r="E21" s="173">
        <v>0.625</v>
      </c>
      <c r="F21" s="88">
        <v>964</v>
      </c>
      <c r="G21" s="93">
        <f t="shared" si="4"/>
        <v>438</v>
      </c>
      <c r="H21" s="88">
        <v>526</v>
      </c>
      <c r="I21" s="90">
        <f t="shared" si="5"/>
        <v>45998</v>
      </c>
      <c r="J21" s="91">
        <v>33</v>
      </c>
      <c r="K21" s="89">
        <v>0.83333333333333337</v>
      </c>
      <c r="L21" s="88">
        <v>578</v>
      </c>
      <c r="M21" s="90">
        <f t="shared" si="6"/>
        <v>45998</v>
      </c>
      <c r="N21" s="91">
        <v>19</v>
      </c>
      <c r="O21" s="89">
        <v>0.57291666666666663</v>
      </c>
      <c r="P21" s="91">
        <v>10</v>
      </c>
      <c r="Q21" s="89">
        <v>0.61458333333333337</v>
      </c>
      <c r="R21" s="92">
        <f t="shared" si="7"/>
        <v>472</v>
      </c>
      <c r="S21" s="88">
        <v>282</v>
      </c>
      <c r="T21" s="88">
        <v>190</v>
      </c>
      <c r="U21" s="90">
        <f t="shared" si="8"/>
        <v>45998</v>
      </c>
      <c r="V21" s="91">
        <v>28</v>
      </c>
      <c r="W21" s="89">
        <v>7.2916666666666671E-2</v>
      </c>
      <c r="X21" s="88">
        <v>500</v>
      </c>
    </row>
    <row r="22" spans="2:24" ht="15" thickBot="1" x14ac:dyDescent="0.35">
      <c r="B22" s="90">
        <f t="shared" si="9"/>
        <v>45999</v>
      </c>
      <c r="D22" s="172">
        <v>103.74</v>
      </c>
      <c r="E22" s="89">
        <v>0.70833333333333337</v>
      </c>
      <c r="F22" s="88">
        <v>1242.53</v>
      </c>
      <c r="G22" s="93">
        <f t="shared" si="4"/>
        <v>722.97</v>
      </c>
      <c r="H22" s="88">
        <v>519.55999999999995</v>
      </c>
      <c r="I22" s="90">
        <f t="shared" si="5"/>
        <v>45999</v>
      </c>
      <c r="J22" s="91">
        <v>32.270000000000003</v>
      </c>
      <c r="K22" s="89">
        <v>0.66666666666666663</v>
      </c>
      <c r="L22" s="88">
        <v>593.1</v>
      </c>
      <c r="M22" s="90">
        <f t="shared" si="6"/>
        <v>45999</v>
      </c>
      <c r="N22" s="91">
        <v>21.23</v>
      </c>
      <c r="O22" s="89">
        <v>0.38541666666666669</v>
      </c>
      <c r="P22" s="91">
        <v>14.08</v>
      </c>
      <c r="Q22" s="89">
        <v>0.375</v>
      </c>
      <c r="R22" s="92">
        <f t="shared" si="7"/>
        <v>545.93000000000006</v>
      </c>
      <c r="S22" s="88">
        <v>312.22000000000003</v>
      </c>
      <c r="T22" s="88">
        <v>233.71</v>
      </c>
      <c r="U22" s="90">
        <f t="shared" si="8"/>
        <v>45999</v>
      </c>
      <c r="V22" s="91">
        <v>27.24</v>
      </c>
      <c r="W22" s="89">
        <v>0.85416666666666663</v>
      </c>
      <c r="X22" s="88">
        <v>507.72</v>
      </c>
    </row>
    <row r="23" spans="2:24" ht="15" thickBot="1" x14ac:dyDescent="0.35">
      <c r="B23" s="90">
        <f t="shared" si="9"/>
        <v>46000</v>
      </c>
      <c r="D23" s="172"/>
      <c r="E23" s="89"/>
      <c r="F23" s="88"/>
      <c r="G23" s="93">
        <f t="shared" si="4"/>
        <v>0</v>
      </c>
      <c r="H23" s="88"/>
      <c r="I23" s="90">
        <f t="shared" si="5"/>
        <v>46000</v>
      </c>
      <c r="J23" s="91"/>
      <c r="K23" s="89"/>
      <c r="L23" s="88"/>
      <c r="M23" s="90">
        <f t="shared" si="6"/>
        <v>46000</v>
      </c>
      <c r="N23" s="91"/>
      <c r="O23" s="89"/>
      <c r="P23" s="91"/>
      <c r="Q23" s="89"/>
      <c r="R23" s="92">
        <f t="shared" si="7"/>
        <v>0</v>
      </c>
      <c r="S23" s="88"/>
      <c r="T23" s="88"/>
      <c r="U23" s="90">
        <f t="shared" si="8"/>
        <v>46000</v>
      </c>
      <c r="V23" s="91"/>
      <c r="W23" s="89"/>
      <c r="X23" s="88"/>
    </row>
    <row r="24" spans="2:24" ht="15" thickBot="1" x14ac:dyDescent="0.35">
      <c r="B24" s="90">
        <f t="shared" si="9"/>
        <v>46001</v>
      </c>
      <c r="D24" s="172">
        <v>104</v>
      </c>
      <c r="E24" s="89">
        <v>0.51041666666666663</v>
      </c>
      <c r="F24" s="88">
        <v>1225</v>
      </c>
      <c r="G24" s="93">
        <f t="shared" si="4"/>
        <v>707</v>
      </c>
      <c r="H24" s="88">
        <v>518</v>
      </c>
      <c r="I24" s="90">
        <f t="shared" si="5"/>
        <v>46001</v>
      </c>
      <c r="J24" s="91">
        <v>31</v>
      </c>
      <c r="K24" s="89">
        <v>0.59375</v>
      </c>
      <c r="L24" s="88">
        <v>593</v>
      </c>
      <c r="M24" s="90">
        <f t="shared" si="6"/>
        <v>46001</v>
      </c>
      <c r="N24" s="91">
        <v>22</v>
      </c>
      <c r="O24" s="89">
        <v>0.42708333333333331</v>
      </c>
      <c r="P24" s="91">
        <v>15</v>
      </c>
      <c r="Q24" s="89">
        <v>0.69791666666666663</v>
      </c>
      <c r="R24" s="92">
        <f t="shared" si="7"/>
        <v>587</v>
      </c>
      <c r="S24" s="88">
        <v>349</v>
      </c>
      <c r="T24" s="88">
        <v>238</v>
      </c>
      <c r="U24" s="90">
        <f t="shared" si="8"/>
        <v>46001</v>
      </c>
      <c r="V24" s="91">
        <v>29</v>
      </c>
      <c r="W24" s="89">
        <v>0.42708333333333331</v>
      </c>
      <c r="X24" s="88">
        <v>582</v>
      </c>
    </row>
    <row r="25" spans="2:24" ht="15" thickBot="1" x14ac:dyDescent="0.35">
      <c r="B25" s="90">
        <f t="shared" si="9"/>
        <v>46002</v>
      </c>
      <c r="D25" s="172">
        <v>97</v>
      </c>
      <c r="E25" s="89">
        <v>0.48958333333333331</v>
      </c>
      <c r="F25" s="88">
        <v>1230</v>
      </c>
      <c r="G25" s="93">
        <f t="shared" si="4"/>
        <v>716</v>
      </c>
      <c r="H25" s="88">
        <v>514</v>
      </c>
      <c r="I25" s="90">
        <f t="shared" si="5"/>
        <v>46002</v>
      </c>
      <c r="J25" s="91">
        <v>32</v>
      </c>
      <c r="K25" s="89">
        <v>0.85416666666666663</v>
      </c>
      <c r="L25" s="88">
        <v>589</v>
      </c>
      <c r="M25" s="90">
        <f t="shared" si="6"/>
        <v>46002</v>
      </c>
      <c r="N25" s="91">
        <v>20</v>
      </c>
      <c r="O25" s="89">
        <v>0.36458333333333331</v>
      </c>
      <c r="P25" s="91">
        <v>13</v>
      </c>
      <c r="Q25" s="89">
        <v>0.79166666666666663</v>
      </c>
      <c r="R25" s="92">
        <f t="shared" si="7"/>
        <v>587</v>
      </c>
      <c r="S25" s="88">
        <v>347</v>
      </c>
      <c r="T25" s="88">
        <v>240</v>
      </c>
      <c r="U25" s="90">
        <f t="shared" si="8"/>
        <v>46002</v>
      </c>
      <c r="V25" s="91">
        <v>28</v>
      </c>
      <c r="W25" s="89">
        <v>0.4375</v>
      </c>
      <c r="X25" s="88">
        <v>521</v>
      </c>
    </row>
    <row r="26" spans="2:24" ht="15" thickBot="1" x14ac:dyDescent="0.35">
      <c r="B26" s="90">
        <f t="shared" si="9"/>
        <v>46003</v>
      </c>
      <c r="D26" s="172">
        <v>92.3</v>
      </c>
      <c r="E26" s="89">
        <v>0.5625</v>
      </c>
      <c r="F26" s="88">
        <v>1221.54</v>
      </c>
      <c r="G26" s="93">
        <f t="shared" si="4"/>
        <v>673.57999999999993</v>
      </c>
      <c r="H26" s="88">
        <v>547.96</v>
      </c>
      <c r="I26" s="90">
        <f t="shared" si="5"/>
        <v>46003</v>
      </c>
      <c r="J26" s="91">
        <v>32.99</v>
      </c>
      <c r="K26" s="89">
        <v>0.125</v>
      </c>
      <c r="L26" s="88">
        <v>589.24</v>
      </c>
      <c r="M26" s="90">
        <f t="shared" si="6"/>
        <v>46003</v>
      </c>
      <c r="N26" s="91">
        <v>24.29</v>
      </c>
      <c r="O26" s="89">
        <v>0.44791666666666669</v>
      </c>
      <c r="P26" s="91">
        <v>14.34</v>
      </c>
      <c r="Q26" s="89">
        <v>0.5</v>
      </c>
      <c r="R26" s="92">
        <f t="shared" ref="R26:R44" si="10">S26+T26</f>
        <v>578.46</v>
      </c>
      <c r="S26" s="88">
        <v>344.06</v>
      </c>
      <c r="T26" s="88">
        <v>234.4</v>
      </c>
      <c r="U26" s="90">
        <f t="shared" si="8"/>
        <v>46003</v>
      </c>
      <c r="V26" s="91">
        <v>27.65</v>
      </c>
      <c r="W26" s="89">
        <v>0.40625</v>
      </c>
      <c r="X26" s="88">
        <v>536.97</v>
      </c>
    </row>
    <row r="27" spans="2:24" ht="15" thickBot="1" x14ac:dyDescent="0.35">
      <c r="B27" s="90">
        <f t="shared" si="9"/>
        <v>46004</v>
      </c>
      <c r="D27" s="172">
        <v>69.2</v>
      </c>
      <c r="E27" s="89">
        <v>0.23958333333333334</v>
      </c>
      <c r="F27" s="88">
        <v>918.39</v>
      </c>
      <c r="G27" s="93">
        <f t="shared" si="4"/>
        <v>423.59999999999997</v>
      </c>
      <c r="H27" s="88">
        <v>494.79</v>
      </c>
      <c r="I27" s="90">
        <f t="shared" si="5"/>
        <v>46004</v>
      </c>
      <c r="J27" s="91">
        <v>28.21</v>
      </c>
      <c r="K27" s="89">
        <v>0.27083333333333331</v>
      </c>
      <c r="L27" s="88">
        <v>566.28</v>
      </c>
      <c r="M27" s="90">
        <f t="shared" si="6"/>
        <v>46004</v>
      </c>
      <c r="N27" s="91">
        <v>20.63</v>
      </c>
      <c r="O27" s="89">
        <v>0.36458333333333331</v>
      </c>
      <c r="P27" s="91">
        <v>12.63</v>
      </c>
      <c r="Q27" s="89">
        <v>0.46875</v>
      </c>
      <c r="R27" s="92">
        <f t="shared" si="10"/>
        <v>536.59999999999991</v>
      </c>
      <c r="S27" s="88">
        <v>336.09</v>
      </c>
      <c r="T27" s="88">
        <v>200.51</v>
      </c>
      <c r="U27" s="90">
        <f t="shared" si="8"/>
        <v>46004</v>
      </c>
      <c r="V27" s="91">
        <v>25.1</v>
      </c>
      <c r="W27" s="89">
        <v>0.88541666666666663</v>
      </c>
      <c r="X27" s="88">
        <v>461.9</v>
      </c>
    </row>
    <row r="28" spans="2:24" ht="15" thickBot="1" x14ac:dyDescent="0.35">
      <c r="B28" s="90">
        <f t="shared" si="9"/>
        <v>46005</v>
      </c>
      <c r="D28" s="172">
        <v>75</v>
      </c>
      <c r="E28" s="89">
        <v>0.94791666666666663</v>
      </c>
      <c r="F28" s="88">
        <v>804</v>
      </c>
      <c r="G28" s="93">
        <f t="shared" si="4"/>
        <v>326</v>
      </c>
      <c r="H28" s="88">
        <v>478</v>
      </c>
      <c r="I28" s="90">
        <f t="shared" si="5"/>
        <v>46005</v>
      </c>
      <c r="J28" s="91">
        <v>27</v>
      </c>
      <c r="K28" s="89">
        <v>0.88541666666666663</v>
      </c>
      <c r="L28" s="88">
        <v>555</v>
      </c>
      <c r="M28" s="90">
        <f t="shared" si="6"/>
        <v>46005</v>
      </c>
      <c r="N28" s="91">
        <v>20</v>
      </c>
      <c r="O28" s="89">
        <v>0.66666666666666663</v>
      </c>
      <c r="P28" s="91">
        <v>9</v>
      </c>
      <c r="Q28" s="89">
        <v>0.97222222222222221</v>
      </c>
      <c r="R28" s="92">
        <f t="shared" si="10"/>
        <v>511</v>
      </c>
      <c r="S28" s="88">
        <v>332</v>
      </c>
      <c r="T28" s="88">
        <v>179</v>
      </c>
      <c r="U28" s="90">
        <f t="shared" si="8"/>
        <v>46005</v>
      </c>
      <c r="V28" s="91">
        <v>24</v>
      </c>
      <c r="W28" s="89">
        <v>0.9375</v>
      </c>
      <c r="X28" s="88">
        <v>413</v>
      </c>
    </row>
    <row r="29" spans="2:24" ht="15" thickBot="1" x14ac:dyDescent="0.35">
      <c r="B29" s="90">
        <f t="shared" si="9"/>
        <v>46006</v>
      </c>
      <c r="D29" s="172">
        <v>118</v>
      </c>
      <c r="E29" s="89">
        <v>0.875</v>
      </c>
      <c r="F29" s="88">
        <v>1280</v>
      </c>
      <c r="G29" s="93">
        <f t="shared" si="4"/>
        <v>730</v>
      </c>
      <c r="H29" s="88">
        <v>550</v>
      </c>
      <c r="I29" s="90">
        <f t="shared" si="5"/>
        <v>46006</v>
      </c>
      <c r="J29" s="91">
        <v>30</v>
      </c>
      <c r="K29" s="89">
        <v>0.85416666666666663</v>
      </c>
      <c r="L29" s="88">
        <v>605</v>
      </c>
      <c r="M29" s="90">
        <f t="shared" si="6"/>
        <v>46006</v>
      </c>
      <c r="N29" s="91">
        <v>21</v>
      </c>
      <c r="O29" s="89">
        <v>0.72916666666666663</v>
      </c>
      <c r="P29" s="91">
        <v>13</v>
      </c>
      <c r="Q29" s="89">
        <v>0.875</v>
      </c>
      <c r="R29" s="92">
        <f t="shared" si="10"/>
        <v>539</v>
      </c>
      <c r="S29" s="88">
        <v>309</v>
      </c>
      <c r="T29" s="88">
        <v>230</v>
      </c>
      <c r="U29" s="90">
        <f t="shared" si="8"/>
        <v>46006</v>
      </c>
      <c r="V29" s="91">
        <v>28</v>
      </c>
      <c r="W29" s="89">
        <v>0.86458333333333337</v>
      </c>
      <c r="X29" s="88">
        <v>512</v>
      </c>
    </row>
    <row r="30" spans="2:24" ht="15" thickBot="1" x14ac:dyDescent="0.35">
      <c r="B30" s="90">
        <f t="shared" si="9"/>
        <v>46007</v>
      </c>
      <c r="D30" s="172">
        <v>108</v>
      </c>
      <c r="E30" s="89">
        <v>0.5625</v>
      </c>
      <c r="F30" s="88">
        <v>1422</v>
      </c>
      <c r="G30" s="93">
        <f t="shared" si="4"/>
        <v>809</v>
      </c>
      <c r="H30" s="88">
        <v>613</v>
      </c>
      <c r="I30" s="90">
        <f t="shared" si="5"/>
        <v>46007</v>
      </c>
      <c r="J30" s="91">
        <v>38</v>
      </c>
      <c r="K30" s="89">
        <v>0.73958333333333337</v>
      </c>
      <c r="L30" s="88">
        <v>652</v>
      </c>
      <c r="M30" s="90">
        <f t="shared" si="6"/>
        <v>46007</v>
      </c>
      <c r="N30" s="91">
        <v>22</v>
      </c>
      <c r="O30" s="89">
        <v>0.61458333333333337</v>
      </c>
      <c r="P30" s="91">
        <v>16</v>
      </c>
      <c r="Q30" s="89">
        <v>0.58333333333333337</v>
      </c>
      <c r="R30" s="92">
        <f t="shared" si="10"/>
        <v>591</v>
      </c>
      <c r="S30" s="88">
        <v>347</v>
      </c>
      <c r="T30" s="88">
        <v>244</v>
      </c>
      <c r="U30" s="90">
        <f t="shared" si="8"/>
        <v>46007</v>
      </c>
      <c r="V30" s="91">
        <v>24</v>
      </c>
      <c r="W30" s="89">
        <v>0.25</v>
      </c>
      <c r="X30" s="88">
        <v>462</v>
      </c>
    </row>
    <row r="31" spans="2:24" ht="15" thickBot="1" x14ac:dyDescent="0.35">
      <c r="B31" s="90">
        <f t="shared" si="9"/>
        <v>46008</v>
      </c>
      <c r="D31" s="172">
        <v>102</v>
      </c>
      <c r="E31" s="89">
        <v>0.67708333333333337</v>
      </c>
      <c r="F31" s="88">
        <v>1288</v>
      </c>
      <c r="G31" s="93">
        <f t="shared" si="4"/>
        <v>721</v>
      </c>
      <c r="H31" s="88">
        <v>567</v>
      </c>
      <c r="I31" s="90">
        <f t="shared" si="5"/>
        <v>46008</v>
      </c>
      <c r="J31" s="91">
        <v>33</v>
      </c>
      <c r="K31" s="89">
        <v>0.625</v>
      </c>
      <c r="L31" s="88">
        <v>606</v>
      </c>
      <c r="M31" s="90">
        <f t="shared" si="6"/>
        <v>46008</v>
      </c>
      <c r="N31" s="91">
        <v>24</v>
      </c>
      <c r="O31" s="89">
        <v>0.64583333333333337</v>
      </c>
      <c r="P31" s="91">
        <v>14</v>
      </c>
      <c r="Q31" s="89">
        <v>0.375</v>
      </c>
      <c r="R31" s="92">
        <f t="shared" si="10"/>
        <v>583</v>
      </c>
      <c r="S31" s="88">
        <v>349</v>
      </c>
      <c r="T31" s="88">
        <v>234</v>
      </c>
      <c r="U31" s="90">
        <f t="shared" si="8"/>
        <v>46008</v>
      </c>
      <c r="V31" s="91">
        <v>27</v>
      </c>
      <c r="W31" s="89">
        <v>0.60416666666666663</v>
      </c>
      <c r="X31" s="88">
        <v>477</v>
      </c>
    </row>
    <row r="32" spans="2:24" ht="15" thickBot="1" x14ac:dyDescent="0.35">
      <c r="B32" s="90">
        <f t="shared" si="9"/>
        <v>46009</v>
      </c>
      <c r="D32" s="172">
        <v>114</v>
      </c>
      <c r="E32" s="89">
        <v>0.66666666666666663</v>
      </c>
      <c r="F32" s="88">
        <v>1385</v>
      </c>
      <c r="G32" s="93">
        <f t="shared" si="4"/>
        <v>811</v>
      </c>
      <c r="H32" s="88">
        <v>574</v>
      </c>
      <c r="I32" s="90">
        <f t="shared" si="5"/>
        <v>46009</v>
      </c>
      <c r="J32" s="91">
        <v>34</v>
      </c>
      <c r="K32" s="89">
        <v>0.10416666666666667</v>
      </c>
      <c r="L32" s="88">
        <v>603</v>
      </c>
      <c r="M32" s="90">
        <f t="shared" si="6"/>
        <v>46009</v>
      </c>
      <c r="N32" s="91">
        <v>26</v>
      </c>
      <c r="O32" s="89">
        <v>0.70833333333333337</v>
      </c>
      <c r="P32" s="91">
        <v>14</v>
      </c>
      <c r="Q32" s="89">
        <v>0.375</v>
      </c>
      <c r="R32" s="92">
        <f t="shared" si="10"/>
        <v>575</v>
      </c>
      <c r="S32" s="88">
        <v>345</v>
      </c>
      <c r="T32" s="88">
        <v>230</v>
      </c>
      <c r="U32" s="90">
        <f t="shared" si="8"/>
        <v>46009</v>
      </c>
      <c r="V32" s="91">
        <v>24</v>
      </c>
      <c r="W32" s="89">
        <v>0.96875</v>
      </c>
      <c r="X32" s="88">
        <v>431</v>
      </c>
    </row>
    <row r="33" spans="2:24" ht="15" thickBot="1" x14ac:dyDescent="0.35">
      <c r="B33" s="90">
        <f t="shared" si="9"/>
        <v>46010</v>
      </c>
      <c r="D33" s="172">
        <v>101</v>
      </c>
      <c r="E33" s="173">
        <v>0.52083333333333337</v>
      </c>
      <c r="F33" s="174">
        <v>1215</v>
      </c>
      <c r="G33" s="185">
        <f t="shared" si="4"/>
        <v>695</v>
      </c>
      <c r="H33" s="174">
        <v>520</v>
      </c>
      <c r="I33" s="175">
        <f t="shared" si="5"/>
        <v>46010</v>
      </c>
      <c r="J33" s="172">
        <v>28</v>
      </c>
      <c r="K33" s="173">
        <v>0.30208333333333331</v>
      </c>
      <c r="L33" s="174">
        <v>600</v>
      </c>
      <c r="M33" s="175">
        <f t="shared" si="6"/>
        <v>46010</v>
      </c>
      <c r="N33" s="172">
        <v>27</v>
      </c>
      <c r="O33" s="173">
        <v>0.61458333333333337</v>
      </c>
      <c r="P33" s="172">
        <v>13</v>
      </c>
      <c r="Q33" s="173">
        <v>0.625</v>
      </c>
      <c r="R33" s="92">
        <f t="shared" si="10"/>
        <v>578</v>
      </c>
      <c r="S33" s="174">
        <v>344</v>
      </c>
      <c r="T33" s="174">
        <v>234</v>
      </c>
      <c r="U33" s="175">
        <f t="shared" si="8"/>
        <v>46010</v>
      </c>
      <c r="V33" s="172">
        <v>25</v>
      </c>
      <c r="W33" s="173">
        <v>0.41666666666666669</v>
      </c>
      <c r="X33" s="174">
        <v>513</v>
      </c>
    </row>
    <row r="34" spans="2:24" ht="15" thickBot="1" x14ac:dyDescent="0.35">
      <c r="B34" s="90">
        <f t="shared" si="9"/>
        <v>46011</v>
      </c>
      <c r="D34" s="172">
        <v>73</v>
      </c>
      <c r="E34" s="89">
        <v>0.91666666666666663</v>
      </c>
      <c r="F34" s="88">
        <v>849</v>
      </c>
      <c r="G34" s="93">
        <f t="shared" si="4"/>
        <v>342</v>
      </c>
      <c r="H34" s="88">
        <v>507</v>
      </c>
      <c r="I34" s="90">
        <f t="shared" si="5"/>
        <v>46011</v>
      </c>
      <c r="J34" s="91">
        <v>30</v>
      </c>
      <c r="K34" s="89">
        <v>0.27083333333333331</v>
      </c>
      <c r="L34" s="88">
        <v>593</v>
      </c>
      <c r="M34" s="90">
        <f t="shared" si="6"/>
        <v>46011</v>
      </c>
      <c r="N34" s="91">
        <v>23</v>
      </c>
      <c r="O34" s="89">
        <v>0.40625</v>
      </c>
      <c r="P34" s="91">
        <v>14</v>
      </c>
      <c r="Q34" s="89">
        <v>0.55208333333333337</v>
      </c>
      <c r="R34" s="92">
        <f t="shared" si="10"/>
        <v>545</v>
      </c>
      <c r="S34" s="88">
        <v>334</v>
      </c>
      <c r="T34" s="88">
        <v>211</v>
      </c>
      <c r="U34" s="90">
        <f t="shared" si="8"/>
        <v>46011</v>
      </c>
      <c r="V34" s="91">
        <v>25</v>
      </c>
      <c r="W34" s="89">
        <v>0.84375</v>
      </c>
      <c r="X34" s="88">
        <v>448</v>
      </c>
    </row>
    <row r="35" spans="2:24" ht="15" thickBot="1" x14ac:dyDescent="0.35">
      <c r="B35" s="90">
        <f t="shared" si="9"/>
        <v>46012</v>
      </c>
      <c r="D35" s="172">
        <v>75</v>
      </c>
      <c r="E35" s="89">
        <v>0.14583333333333334</v>
      </c>
      <c r="F35" s="88">
        <v>860</v>
      </c>
      <c r="G35" s="93">
        <f t="shared" si="4"/>
        <v>356</v>
      </c>
      <c r="H35" s="88">
        <v>504</v>
      </c>
      <c r="I35" s="90">
        <f t="shared" si="5"/>
        <v>46012</v>
      </c>
      <c r="J35" s="91">
        <v>30</v>
      </c>
      <c r="K35" s="89">
        <v>0.29166666666666669</v>
      </c>
      <c r="L35" s="88">
        <v>581</v>
      </c>
      <c r="M35" s="90">
        <f t="shared" si="6"/>
        <v>46012</v>
      </c>
      <c r="N35" s="91">
        <v>21</v>
      </c>
      <c r="O35" s="89">
        <v>0.76041666666666663</v>
      </c>
      <c r="P35" s="91">
        <v>10</v>
      </c>
      <c r="Q35" s="89">
        <v>0.77083333333333337</v>
      </c>
      <c r="R35" s="92">
        <f t="shared" si="10"/>
        <v>520</v>
      </c>
      <c r="S35" s="88">
        <v>332</v>
      </c>
      <c r="T35" s="88">
        <v>188</v>
      </c>
      <c r="U35" s="90">
        <f t="shared" si="8"/>
        <v>46012</v>
      </c>
      <c r="V35" s="91">
        <v>25</v>
      </c>
      <c r="W35" s="89">
        <v>0.83333333333333337</v>
      </c>
      <c r="X35" s="88">
        <v>442</v>
      </c>
    </row>
    <row r="36" spans="2:24" ht="15" thickBot="1" x14ac:dyDescent="0.35">
      <c r="B36" s="90">
        <f t="shared" si="9"/>
        <v>46013</v>
      </c>
      <c r="D36" s="172">
        <v>117</v>
      </c>
      <c r="E36" s="89">
        <v>0.6875</v>
      </c>
      <c r="F36" s="88">
        <v>1366</v>
      </c>
      <c r="G36" s="93">
        <f t="shared" si="4"/>
        <v>802</v>
      </c>
      <c r="H36" s="88">
        <v>564</v>
      </c>
      <c r="I36" s="90">
        <f t="shared" si="5"/>
        <v>46013</v>
      </c>
      <c r="J36" s="91">
        <v>33</v>
      </c>
      <c r="K36" s="89">
        <v>0.60416666666666663</v>
      </c>
      <c r="L36" s="88">
        <v>624</v>
      </c>
      <c r="M36" s="90">
        <f t="shared" si="6"/>
        <v>46013</v>
      </c>
      <c r="N36" s="91">
        <v>21</v>
      </c>
      <c r="O36" s="89">
        <v>0.61458333333333337</v>
      </c>
      <c r="P36" s="91">
        <v>15</v>
      </c>
      <c r="Q36" s="89">
        <v>0.28125</v>
      </c>
      <c r="R36" s="92">
        <f t="shared" si="10"/>
        <v>582</v>
      </c>
      <c r="S36" s="88">
        <v>345</v>
      </c>
      <c r="T36" s="88">
        <v>237</v>
      </c>
      <c r="U36" s="90">
        <f t="shared" si="8"/>
        <v>46013</v>
      </c>
      <c r="V36" s="91">
        <v>26</v>
      </c>
      <c r="W36" s="89">
        <v>0.86458333333333337</v>
      </c>
      <c r="X36" s="88">
        <v>474</v>
      </c>
    </row>
    <row r="37" spans="2:24" ht="15" thickBot="1" x14ac:dyDescent="0.35">
      <c r="B37" s="90">
        <f t="shared" si="9"/>
        <v>46014</v>
      </c>
      <c r="D37" s="172">
        <v>117</v>
      </c>
      <c r="E37" s="89">
        <v>0.72916666666666696</v>
      </c>
      <c r="F37" s="88">
        <v>1351</v>
      </c>
      <c r="G37" s="93">
        <f t="shared" si="4"/>
        <v>759</v>
      </c>
      <c r="H37" s="88">
        <v>592</v>
      </c>
      <c r="I37" s="90">
        <f t="shared" si="5"/>
        <v>46014</v>
      </c>
      <c r="J37" s="91">
        <v>34</v>
      </c>
      <c r="K37" s="89">
        <v>0.64583333333333304</v>
      </c>
      <c r="L37" s="88">
        <v>629</v>
      </c>
      <c r="M37" s="90">
        <f t="shared" si="6"/>
        <v>46014</v>
      </c>
      <c r="N37" s="91">
        <v>22</v>
      </c>
      <c r="O37" s="89">
        <v>0.65625</v>
      </c>
      <c r="P37" s="91">
        <v>16</v>
      </c>
      <c r="Q37" s="89">
        <v>0.32291666666666702</v>
      </c>
      <c r="R37" s="92">
        <f t="shared" si="10"/>
        <v>590</v>
      </c>
      <c r="S37" s="88">
        <v>342</v>
      </c>
      <c r="T37" s="88">
        <v>248</v>
      </c>
      <c r="U37" s="90">
        <f t="shared" si="8"/>
        <v>46014</v>
      </c>
      <c r="V37" s="91">
        <v>27</v>
      </c>
      <c r="W37" s="89">
        <v>0.90625</v>
      </c>
      <c r="X37" s="88">
        <v>457</v>
      </c>
    </row>
    <row r="38" spans="2:24" ht="15" thickBot="1" x14ac:dyDescent="0.35">
      <c r="B38" s="90">
        <f t="shared" si="9"/>
        <v>46015</v>
      </c>
      <c r="D38" s="172">
        <v>75</v>
      </c>
      <c r="E38" s="89">
        <v>0.14583333333333334</v>
      </c>
      <c r="F38" s="88">
        <v>1003</v>
      </c>
      <c r="G38" s="93">
        <f t="shared" si="4"/>
        <v>426</v>
      </c>
      <c r="H38" s="88">
        <v>577</v>
      </c>
      <c r="I38" s="90">
        <f t="shared" si="5"/>
        <v>46015</v>
      </c>
      <c r="J38" s="91">
        <v>30</v>
      </c>
      <c r="K38" s="89">
        <v>0.61458333333333337</v>
      </c>
      <c r="L38" s="88">
        <v>623</v>
      </c>
      <c r="M38" s="90">
        <f t="shared" si="6"/>
        <v>46015</v>
      </c>
      <c r="N38" s="91">
        <v>21</v>
      </c>
      <c r="O38" s="89">
        <v>0.60416666666666663</v>
      </c>
      <c r="P38" s="91">
        <v>13</v>
      </c>
      <c r="Q38" s="89">
        <v>0.61458333333333337</v>
      </c>
      <c r="R38" s="92">
        <f t="shared" si="10"/>
        <v>571</v>
      </c>
      <c r="S38" s="88">
        <v>336</v>
      </c>
      <c r="T38" s="88">
        <v>235</v>
      </c>
      <c r="U38" s="90">
        <f t="shared" si="8"/>
        <v>46015</v>
      </c>
      <c r="V38" s="91">
        <v>24</v>
      </c>
      <c r="W38" s="89">
        <v>0.25</v>
      </c>
      <c r="X38" s="88">
        <v>444</v>
      </c>
    </row>
    <row r="39" spans="2:24" ht="15" thickBot="1" x14ac:dyDescent="0.35">
      <c r="B39" s="90">
        <f t="shared" si="9"/>
        <v>46016</v>
      </c>
      <c r="D39" s="172">
        <v>64</v>
      </c>
      <c r="E39" s="89">
        <v>0.92708333333333337</v>
      </c>
      <c r="F39" s="88">
        <v>911</v>
      </c>
      <c r="G39" s="93">
        <f t="shared" si="4"/>
        <v>376</v>
      </c>
      <c r="H39" s="88">
        <v>535</v>
      </c>
      <c r="I39" s="90">
        <f t="shared" si="5"/>
        <v>46016</v>
      </c>
      <c r="J39" s="91">
        <v>30</v>
      </c>
      <c r="K39" s="89">
        <v>0.67708333333333337</v>
      </c>
      <c r="L39" s="88">
        <v>599</v>
      </c>
      <c r="M39" s="90">
        <f t="shared" si="6"/>
        <v>46016</v>
      </c>
      <c r="N39" s="91">
        <v>19</v>
      </c>
      <c r="O39" s="89" t="s">
        <v>71</v>
      </c>
      <c r="P39" s="91">
        <v>10</v>
      </c>
      <c r="Q39" s="89">
        <v>0.47916666666666669</v>
      </c>
      <c r="R39" s="92">
        <f t="shared" si="10"/>
        <v>528</v>
      </c>
      <c r="S39" s="88">
        <v>327</v>
      </c>
      <c r="T39" s="88">
        <v>201</v>
      </c>
      <c r="U39" s="90">
        <f t="shared" si="8"/>
        <v>46016</v>
      </c>
      <c r="V39" s="91">
        <v>22</v>
      </c>
      <c r="W39" s="89">
        <v>0.98958333333333337</v>
      </c>
      <c r="X39" s="88">
        <v>434</v>
      </c>
    </row>
    <row r="40" spans="2:24" ht="15" thickBot="1" x14ac:dyDescent="0.35">
      <c r="B40" s="90">
        <f t="shared" si="9"/>
        <v>46017</v>
      </c>
      <c r="D40" s="172">
        <v>80</v>
      </c>
      <c r="E40" s="173">
        <v>0.95833333333333337</v>
      </c>
      <c r="F40" s="174">
        <v>1088</v>
      </c>
      <c r="G40" s="93">
        <f t="shared" si="4"/>
        <v>540</v>
      </c>
      <c r="H40" s="174">
        <v>548</v>
      </c>
      <c r="I40" s="175">
        <f t="shared" si="5"/>
        <v>46017</v>
      </c>
      <c r="J40" s="172">
        <v>32</v>
      </c>
      <c r="K40" s="173">
        <v>0.55208333333333337</v>
      </c>
      <c r="L40" s="174">
        <v>611</v>
      </c>
      <c r="M40" s="175">
        <f t="shared" si="6"/>
        <v>46017</v>
      </c>
      <c r="N40" s="172">
        <v>23</v>
      </c>
      <c r="O40" s="173">
        <v>0.42708333333333331</v>
      </c>
      <c r="P40" s="172">
        <v>14</v>
      </c>
      <c r="Q40" s="173">
        <v>0.79166666666666663</v>
      </c>
      <c r="R40" s="92">
        <f t="shared" si="10"/>
        <v>576</v>
      </c>
      <c r="S40" s="174">
        <v>339</v>
      </c>
      <c r="T40" s="174">
        <v>237</v>
      </c>
      <c r="U40" s="175">
        <f t="shared" si="8"/>
        <v>46017</v>
      </c>
      <c r="V40" s="172">
        <v>24</v>
      </c>
      <c r="W40" s="173">
        <v>0.89583333333333337</v>
      </c>
      <c r="X40" s="174">
        <v>477</v>
      </c>
    </row>
    <row r="41" spans="2:24" ht="15" thickBot="1" x14ac:dyDescent="0.35">
      <c r="B41" s="90">
        <f t="shared" si="9"/>
        <v>46018</v>
      </c>
      <c r="D41" s="172">
        <v>70</v>
      </c>
      <c r="E41" s="89">
        <v>0.80208333333333337</v>
      </c>
      <c r="F41" s="88">
        <v>931</v>
      </c>
      <c r="G41" s="93">
        <f t="shared" si="4"/>
        <v>383</v>
      </c>
      <c r="H41" s="88">
        <v>548</v>
      </c>
      <c r="I41" s="90">
        <f t="shared" si="5"/>
        <v>46018</v>
      </c>
      <c r="J41" s="91">
        <v>30</v>
      </c>
      <c r="K41" s="89">
        <v>0.92708333333333337</v>
      </c>
      <c r="L41" s="88">
        <v>605</v>
      </c>
      <c r="M41" s="90">
        <f t="shared" si="6"/>
        <v>46018</v>
      </c>
      <c r="N41" s="91">
        <v>22</v>
      </c>
      <c r="O41" s="89">
        <v>0.6875</v>
      </c>
      <c r="P41" s="91">
        <v>13</v>
      </c>
      <c r="Q41" s="89">
        <v>0.46875</v>
      </c>
      <c r="R41" s="92">
        <f t="shared" si="10"/>
        <v>540</v>
      </c>
      <c r="S41" s="88">
        <v>331</v>
      </c>
      <c r="T41" s="88">
        <v>209</v>
      </c>
      <c r="U41" s="90">
        <f t="shared" si="8"/>
        <v>46018</v>
      </c>
      <c r="V41" s="91">
        <v>25</v>
      </c>
      <c r="W41" s="89">
        <v>0.86458333333333337</v>
      </c>
      <c r="X41" s="88">
        <v>432</v>
      </c>
    </row>
    <row r="42" spans="2:24" ht="15" thickBot="1" x14ac:dyDescent="0.35">
      <c r="B42" s="90">
        <f t="shared" si="9"/>
        <v>46019</v>
      </c>
      <c r="D42" s="172">
        <v>79</v>
      </c>
      <c r="E42" s="89">
        <v>0.96875</v>
      </c>
      <c r="F42" s="88">
        <v>901</v>
      </c>
      <c r="G42" s="93">
        <f t="shared" si="4"/>
        <v>382</v>
      </c>
      <c r="H42" s="88">
        <v>519</v>
      </c>
      <c r="I42" s="90">
        <f t="shared" si="5"/>
        <v>46019</v>
      </c>
      <c r="J42" s="91">
        <v>29</v>
      </c>
      <c r="K42" s="89">
        <v>0</v>
      </c>
      <c r="L42" s="88">
        <v>586</v>
      </c>
      <c r="M42" s="90">
        <f t="shared" si="6"/>
        <v>46019</v>
      </c>
      <c r="N42" s="91">
        <v>23</v>
      </c>
      <c r="O42" s="89">
        <v>0.59375</v>
      </c>
      <c r="P42" s="91">
        <v>10</v>
      </c>
      <c r="Q42" s="89">
        <v>0.75</v>
      </c>
      <c r="R42" s="92">
        <f t="shared" si="10"/>
        <v>511</v>
      </c>
      <c r="S42" s="88">
        <v>326</v>
      </c>
      <c r="T42" s="88">
        <v>185</v>
      </c>
      <c r="U42" s="90">
        <f t="shared" si="8"/>
        <v>46019</v>
      </c>
      <c r="V42" s="91">
        <v>23</v>
      </c>
      <c r="W42" s="89">
        <v>0.98958333333333337</v>
      </c>
      <c r="X42" s="88">
        <v>437</v>
      </c>
    </row>
    <row r="43" spans="2:24" ht="15" thickBot="1" x14ac:dyDescent="0.35">
      <c r="B43" s="90">
        <f t="shared" si="9"/>
        <v>46020</v>
      </c>
      <c r="D43" s="172">
        <v>129</v>
      </c>
      <c r="E43" s="89">
        <v>0.42708333333333331</v>
      </c>
      <c r="F43" s="88">
        <v>1290</v>
      </c>
      <c r="G43" s="93">
        <f t="shared" si="4"/>
        <v>754</v>
      </c>
      <c r="H43" s="88">
        <v>536</v>
      </c>
      <c r="I43" s="90">
        <f t="shared" si="5"/>
        <v>46020</v>
      </c>
      <c r="J43" s="91">
        <v>30</v>
      </c>
      <c r="K43" s="89">
        <v>0.64583333333333337</v>
      </c>
      <c r="L43" s="88">
        <v>613</v>
      </c>
      <c r="M43" s="175">
        <f t="shared" si="6"/>
        <v>46020</v>
      </c>
      <c r="N43" s="91">
        <v>23</v>
      </c>
      <c r="O43" s="89">
        <v>0.90625</v>
      </c>
      <c r="P43" s="91">
        <v>14</v>
      </c>
      <c r="Q43" s="89">
        <v>0.48958333333333331</v>
      </c>
      <c r="R43" s="92">
        <f t="shared" si="10"/>
        <v>570</v>
      </c>
      <c r="S43" s="88">
        <v>341</v>
      </c>
      <c r="T43" s="88">
        <v>229</v>
      </c>
      <c r="U43" s="90">
        <f t="shared" si="8"/>
        <v>46020</v>
      </c>
      <c r="V43" s="91">
        <v>25</v>
      </c>
      <c r="W43" s="89">
        <v>0.38541666666666669</v>
      </c>
      <c r="X43" s="88">
        <v>500</v>
      </c>
    </row>
    <row r="44" spans="2:24" ht="15" thickBot="1" x14ac:dyDescent="0.35">
      <c r="B44" s="90">
        <f t="shared" si="9"/>
        <v>46021</v>
      </c>
      <c r="D44" s="172">
        <v>113</v>
      </c>
      <c r="E44" s="173">
        <v>0.65625</v>
      </c>
      <c r="F44" s="174">
        <v>1266</v>
      </c>
      <c r="G44" s="93">
        <f t="shared" si="4"/>
        <v>713</v>
      </c>
      <c r="H44" s="174">
        <v>553</v>
      </c>
      <c r="I44" s="90">
        <f t="shared" si="5"/>
        <v>46021</v>
      </c>
      <c r="J44" s="172">
        <v>32</v>
      </c>
      <c r="K44" s="173">
        <v>0.57291666666666663</v>
      </c>
      <c r="L44" s="174">
        <v>636</v>
      </c>
      <c r="M44" s="90">
        <f t="shared" si="6"/>
        <v>46021</v>
      </c>
      <c r="N44" s="172">
        <v>29</v>
      </c>
      <c r="O44" s="173">
        <v>0.51041666666666663</v>
      </c>
      <c r="P44" s="172">
        <v>14</v>
      </c>
      <c r="Q44" s="173">
        <v>0.32291666666666669</v>
      </c>
      <c r="R44" s="92">
        <f t="shared" si="10"/>
        <v>573</v>
      </c>
      <c r="S44" s="174">
        <v>339</v>
      </c>
      <c r="T44" s="174">
        <v>234</v>
      </c>
      <c r="U44" s="90">
        <f t="shared" si="8"/>
        <v>46021</v>
      </c>
      <c r="V44" s="172">
        <v>27</v>
      </c>
      <c r="W44" s="173">
        <v>0.6875</v>
      </c>
      <c r="X44" s="174">
        <v>500</v>
      </c>
    </row>
    <row r="45" spans="2:24" x14ac:dyDescent="0.3">
      <c r="B45" s="90">
        <f t="shared" si="9"/>
        <v>46022</v>
      </c>
      <c r="D45" s="172">
        <v>62.42</v>
      </c>
      <c r="E45" s="173">
        <v>0.33333333333333331</v>
      </c>
      <c r="F45" s="174">
        <v>890.13</v>
      </c>
      <c r="G45" s="93">
        <f t="shared" ref="G45" si="11">F45-H45</f>
        <v>348.1</v>
      </c>
      <c r="H45" s="174">
        <v>542.03</v>
      </c>
      <c r="I45" s="90">
        <f t="shared" si="5"/>
        <v>46022</v>
      </c>
      <c r="J45" s="172">
        <v>31.2</v>
      </c>
      <c r="K45" s="173">
        <v>0.54166666666666663</v>
      </c>
      <c r="L45" s="174">
        <v>603.26</v>
      </c>
      <c r="M45" s="90">
        <f t="shared" ref="M45" si="12">B45</f>
        <v>46022</v>
      </c>
      <c r="N45" s="172">
        <v>21.4</v>
      </c>
      <c r="O45" s="173">
        <v>0.79166666666666663</v>
      </c>
      <c r="P45" s="172">
        <v>12.2</v>
      </c>
      <c r="Q45" s="173">
        <v>0.46875</v>
      </c>
      <c r="R45" s="92">
        <f t="shared" ref="R45" si="13">S45+T45</f>
        <v>551.54999999999995</v>
      </c>
      <c r="S45" s="174">
        <v>336.91</v>
      </c>
      <c r="T45" s="174">
        <v>214.64</v>
      </c>
      <c r="U45" s="90">
        <f t="shared" si="8"/>
        <v>46022</v>
      </c>
      <c r="V45" s="172">
        <v>25.86</v>
      </c>
      <c r="W45" s="173">
        <v>0.40625</v>
      </c>
      <c r="X45" s="174">
        <v>516.63</v>
      </c>
    </row>
    <row r="47" spans="2:24" x14ac:dyDescent="0.3">
      <c r="E47" s="178" t="s">
        <v>61</v>
      </c>
      <c r="F47" s="178" t="s">
        <v>62</v>
      </c>
      <c r="G47" s="178" t="s">
        <v>63</v>
      </c>
      <c r="H47" s="178" t="s">
        <v>64</v>
      </c>
      <c r="I47" s="178" t="s">
        <v>65</v>
      </c>
      <c r="J47" s="178" t="s">
        <v>66</v>
      </c>
    </row>
    <row r="48" spans="2:24" x14ac:dyDescent="0.3">
      <c r="D48" s="181">
        <v>45838</v>
      </c>
      <c r="E48" s="179">
        <f t="shared" ref="E48:E78" si="14">F14/J48</f>
        <v>0.35374149659863946</v>
      </c>
      <c r="F48" s="179">
        <f t="shared" ref="F48:F78" si="15">L14/J48</f>
        <v>0.24064625850340135</v>
      </c>
      <c r="G48" s="179">
        <f t="shared" ref="G48:G78" si="16">S14/J48</f>
        <v>0.11904761904761904</v>
      </c>
      <c r="H48" s="179">
        <f t="shared" ref="H48:H78" si="17">T14/J48</f>
        <v>8.2057823129251695E-2</v>
      </c>
      <c r="I48" s="179">
        <f t="shared" ref="I48:I78" si="18">X14/J48</f>
        <v>0.20450680272108843</v>
      </c>
      <c r="J48" s="180">
        <f>F14+L14+S14+T14+X14</f>
        <v>2352</v>
      </c>
    </row>
    <row r="49" spans="4:10" x14ac:dyDescent="0.3">
      <c r="D49" s="181">
        <v>45839</v>
      </c>
      <c r="E49" s="179">
        <f t="shared" si="14"/>
        <v>0.43816580332042282</v>
      </c>
      <c r="F49" s="179">
        <f t="shared" si="15"/>
        <v>0.2056341000211015</v>
      </c>
      <c r="G49" s="179">
        <f t="shared" si="16"/>
        <v>9.8761818540729282E-2</v>
      </c>
      <c r="H49" s="179">
        <f t="shared" si="17"/>
        <v>7.903872465267614E-2</v>
      </c>
      <c r="I49" s="179">
        <f t="shared" si="18"/>
        <v>0.17839955346507019</v>
      </c>
      <c r="J49" s="180">
        <f t="shared" ref="J49:J78" si="19">F15+L15+S15+T15+X15</f>
        <v>2938.1800000000003</v>
      </c>
    </row>
    <row r="50" spans="4:10" x14ac:dyDescent="0.3">
      <c r="D50" s="181">
        <v>45840</v>
      </c>
      <c r="E50" s="179">
        <f t="shared" si="14"/>
        <v>0.43301556614779502</v>
      </c>
      <c r="F50" s="179">
        <f t="shared" si="15"/>
        <v>0.21096963434552177</v>
      </c>
      <c r="G50" s="179">
        <f t="shared" si="16"/>
        <v>9.726342455251491E-2</v>
      </c>
      <c r="H50" s="179">
        <f t="shared" si="17"/>
        <v>8.1207293090230309E-2</v>
      </c>
      <c r="I50" s="179">
        <f t="shared" si="18"/>
        <v>0.17754408186393783</v>
      </c>
      <c r="J50" s="180">
        <f t="shared" si="19"/>
        <v>3000.1000000000004</v>
      </c>
    </row>
    <row r="51" spans="4:10" x14ac:dyDescent="0.3">
      <c r="D51" s="181">
        <v>45841</v>
      </c>
      <c r="E51" s="179">
        <f t="shared" si="14"/>
        <v>0.45769356419470764</v>
      </c>
      <c r="F51" s="179">
        <f t="shared" si="15"/>
        <v>0.20287487749101601</v>
      </c>
      <c r="G51" s="179">
        <f t="shared" si="16"/>
        <v>9.5066971577915715E-2</v>
      </c>
      <c r="H51" s="179">
        <f t="shared" si="17"/>
        <v>7.6118915387128394E-2</v>
      </c>
      <c r="I51" s="179">
        <f t="shared" si="18"/>
        <v>0.16824567134923227</v>
      </c>
      <c r="J51" s="180">
        <f t="shared" si="19"/>
        <v>3061</v>
      </c>
    </row>
    <row r="52" spans="4:10" x14ac:dyDescent="0.3">
      <c r="D52" s="181">
        <v>45842</v>
      </c>
      <c r="E52" s="179">
        <f t="shared" si="14"/>
        <v>0.43522960932145305</v>
      </c>
      <c r="F52" s="179">
        <f t="shared" si="15"/>
        <v>0.21076079506511308</v>
      </c>
      <c r="G52" s="179">
        <f t="shared" si="16"/>
        <v>9.9383139136394794E-2</v>
      </c>
      <c r="H52" s="179">
        <f t="shared" si="17"/>
        <v>7.9163810829335157E-2</v>
      </c>
      <c r="I52" s="179">
        <f t="shared" si="18"/>
        <v>0.17546264564770392</v>
      </c>
      <c r="J52" s="180">
        <f t="shared" si="19"/>
        <v>2918</v>
      </c>
    </row>
    <row r="53" spans="4:10" x14ac:dyDescent="0.3">
      <c r="D53" s="181">
        <v>45843</v>
      </c>
      <c r="E53" s="179">
        <f t="shared" si="14"/>
        <v>0.43307086614173229</v>
      </c>
      <c r="F53" s="179">
        <f t="shared" si="15"/>
        <v>0.21157137966449846</v>
      </c>
      <c r="G53" s="179">
        <f t="shared" si="16"/>
        <v>9.9623416638137618E-2</v>
      </c>
      <c r="H53" s="179">
        <f t="shared" si="17"/>
        <v>7.9424854501882913E-2</v>
      </c>
      <c r="I53" s="179">
        <f t="shared" si="18"/>
        <v>0.17630948305374872</v>
      </c>
      <c r="J53" s="180">
        <f t="shared" si="19"/>
        <v>2921</v>
      </c>
    </row>
    <row r="54" spans="4:10" x14ac:dyDescent="0.3">
      <c r="D54" s="181">
        <v>45844</v>
      </c>
      <c r="E54" s="179">
        <f t="shared" si="14"/>
        <v>0.36413255360623781</v>
      </c>
      <c r="F54" s="179">
        <f t="shared" si="15"/>
        <v>0.22222222222222221</v>
      </c>
      <c r="G54" s="179">
        <f t="shared" si="16"/>
        <v>0.11033138401559454</v>
      </c>
      <c r="H54" s="179">
        <f t="shared" si="17"/>
        <v>8.4600389863547759E-2</v>
      </c>
      <c r="I54" s="179">
        <f t="shared" si="18"/>
        <v>0.21871345029239767</v>
      </c>
      <c r="J54" s="180">
        <f t="shared" si="19"/>
        <v>2565</v>
      </c>
    </row>
    <row r="55" spans="4:10" x14ac:dyDescent="0.3">
      <c r="D55" s="181">
        <v>45845</v>
      </c>
      <c r="E55" s="179">
        <f t="shared" si="14"/>
        <v>0.38345266507557679</v>
      </c>
      <c r="F55" s="179">
        <f t="shared" si="15"/>
        <v>0.22991249005568815</v>
      </c>
      <c r="G55" s="179">
        <f t="shared" si="16"/>
        <v>0.11217183770883055</v>
      </c>
      <c r="H55" s="179">
        <f t="shared" si="17"/>
        <v>7.5576770087509945E-2</v>
      </c>
      <c r="I55" s="179">
        <f t="shared" si="18"/>
        <v>0.19888623707239458</v>
      </c>
      <c r="J55" s="180">
        <f t="shared" si="19"/>
        <v>2514</v>
      </c>
    </row>
    <row r="56" spans="4:10" x14ac:dyDescent="0.3">
      <c r="D56" s="181">
        <v>45846</v>
      </c>
      <c r="E56" s="179">
        <f t="shared" si="14"/>
        <v>0.43004831653560738</v>
      </c>
      <c r="F56" s="179">
        <f t="shared" si="15"/>
        <v>0.2052760549341012</v>
      </c>
      <c r="G56" s="179">
        <f t="shared" si="16"/>
        <v>0.10806152397829215</v>
      </c>
      <c r="H56" s="179">
        <f t="shared" si="17"/>
        <v>8.0888664303909605E-2</v>
      </c>
      <c r="I56" s="179">
        <f t="shared" si="18"/>
        <v>0.17572544024808945</v>
      </c>
      <c r="J56" s="180">
        <f t="shared" si="19"/>
        <v>2889.2800000000007</v>
      </c>
    </row>
    <row r="57" spans="4:10" x14ac:dyDescent="0.3">
      <c r="D57" s="181">
        <v>45847</v>
      </c>
      <c r="E57" s="179" t="e">
        <f t="shared" si="14"/>
        <v>#DIV/0!</v>
      </c>
      <c r="F57" s="179" t="e">
        <f t="shared" si="15"/>
        <v>#DIV/0!</v>
      </c>
      <c r="G57" s="179" t="e">
        <f t="shared" si="16"/>
        <v>#DIV/0!</v>
      </c>
      <c r="H57" s="179" t="e">
        <f t="shared" si="17"/>
        <v>#DIV/0!</v>
      </c>
      <c r="I57" s="179" t="e">
        <f t="shared" si="18"/>
        <v>#DIV/0!</v>
      </c>
      <c r="J57" s="180">
        <f t="shared" si="19"/>
        <v>0</v>
      </c>
    </row>
    <row r="58" spans="4:10" x14ac:dyDescent="0.3">
      <c r="D58" s="181">
        <v>45848</v>
      </c>
      <c r="E58" s="179">
        <f t="shared" si="14"/>
        <v>0.41011047874121193</v>
      </c>
      <c r="F58" s="179">
        <f t="shared" si="15"/>
        <v>0.19852695011717442</v>
      </c>
      <c r="G58" s="179">
        <f t="shared" si="16"/>
        <v>0.11683963843321057</v>
      </c>
      <c r="H58" s="179">
        <f t="shared" si="17"/>
        <v>7.9678607298292597E-2</v>
      </c>
      <c r="I58" s="179">
        <f t="shared" si="18"/>
        <v>0.19484432541011049</v>
      </c>
      <c r="J58" s="180">
        <f t="shared" si="19"/>
        <v>2987</v>
      </c>
    </row>
    <row r="59" spans="4:10" x14ac:dyDescent="0.3">
      <c r="D59" s="181">
        <v>45849</v>
      </c>
      <c r="E59" s="179">
        <f t="shared" si="14"/>
        <v>0.4202254868466006</v>
      </c>
      <c r="F59" s="179">
        <f t="shared" si="15"/>
        <v>0.20122992825418518</v>
      </c>
      <c r="G59" s="179">
        <f t="shared" si="16"/>
        <v>0.11855141783395969</v>
      </c>
      <c r="H59" s="179">
        <f t="shared" si="17"/>
        <v>8.199521694567817E-2</v>
      </c>
      <c r="I59" s="179">
        <f t="shared" si="18"/>
        <v>0.17799795011957636</v>
      </c>
      <c r="J59" s="180">
        <f t="shared" si="19"/>
        <v>2927</v>
      </c>
    </row>
    <row r="60" spans="4:10" x14ac:dyDescent="0.3">
      <c r="D60" s="181">
        <v>45850</v>
      </c>
      <c r="E60" s="179">
        <f t="shared" si="14"/>
        <v>0.4174478250023067</v>
      </c>
      <c r="F60" s="179">
        <f t="shared" si="15"/>
        <v>0.20136627241380489</v>
      </c>
      <c r="G60" s="179">
        <f t="shared" si="16"/>
        <v>0.11757871102894188</v>
      </c>
      <c r="H60" s="179">
        <f t="shared" si="17"/>
        <v>8.0103615256594707E-2</v>
      </c>
      <c r="I60" s="179">
        <f t="shared" si="18"/>
        <v>0.18350357629835179</v>
      </c>
      <c r="J60" s="180">
        <f t="shared" si="19"/>
        <v>2926.21</v>
      </c>
    </row>
    <row r="61" spans="4:10" x14ac:dyDescent="0.3">
      <c r="D61" s="181">
        <v>45851</v>
      </c>
      <c r="E61" s="179">
        <f t="shared" si="14"/>
        <v>0.36984580193865096</v>
      </c>
      <c r="F61" s="179">
        <f t="shared" si="15"/>
        <v>0.22804721384359505</v>
      </c>
      <c r="G61" s="179">
        <f t="shared" si="16"/>
        <v>0.1353471570613369</v>
      </c>
      <c r="H61" s="179">
        <f t="shared" si="17"/>
        <v>8.0747592794693873E-2</v>
      </c>
      <c r="I61" s="179">
        <f t="shared" si="18"/>
        <v>0.18601223436172309</v>
      </c>
      <c r="J61" s="180">
        <f t="shared" si="19"/>
        <v>2483.17</v>
      </c>
    </row>
    <row r="62" spans="4:10" x14ac:dyDescent="0.3">
      <c r="D62" s="181">
        <v>45852</v>
      </c>
      <c r="E62" s="179">
        <f t="shared" si="14"/>
        <v>0.35216819973718794</v>
      </c>
      <c r="F62" s="179">
        <f t="shared" si="15"/>
        <v>0.24310118265440211</v>
      </c>
      <c r="G62" s="179">
        <f t="shared" si="16"/>
        <v>0.14542268944371442</v>
      </c>
      <c r="H62" s="179">
        <f t="shared" si="17"/>
        <v>7.840560665790626E-2</v>
      </c>
      <c r="I62" s="179">
        <f t="shared" si="18"/>
        <v>0.18090232150678931</v>
      </c>
      <c r="J62" s="180">
        <f t="shared" si="19"/>
        <v>2283</v>
      </c>
    </row>
    <row r="63" spans="4:10" x14ac:dyDescent="0.3">
      <c r="D63" s="181">
        <v>45853</v>
      </c>
      <c r="E63" s="179">
        <f t="shared" si="14"/>
        <v>0.43596730245231607</v>
      </c>
      <c r="F63" s="179">
        <f t="shared" si="15"/>
        <v>0.20606267029972752</v>
      </c>
      <c r="G63" s="179">
        <f t="shared" si="16"/>
        <v>0.10524523160762943</v>
      </c>
      <c r="H63" s="179">
        <f t="shared" si="17"/>
        <v>7.833787465940055E-2</v>
      </c>
      <c r="I63" s="179">
        <f t="shared" si="18"/>
        <v>0.17438692098092642</v>
      </c>
      <c r="J63" s="180">
        <f t="shared" si="19"/>
        <v>2936</v>
      </c>
    </row>
    <row r="64" spans="4:10" x14ac:dyDescent="0.3">
      <c r="D64" s="181">
        <v>45854</v>
      </c>
      <c r="E64" s="179">
        <f t="shared" si="14"/>
        <v>0.45474896066517428</v>
      </c>
      <c r="F64" s="179">
        <f t="shared" si="15"/>
        <v>0.20850655580428526</v>
      </c>
      <c r="G64" s="179">
        <f t="shared" si="16"/>
        <v>0.11096897985289415</v>
      </c>
      <c r="H64" s="179">
        <f t="shared" si="17"/>
        <v>7.8030060761112893E-2</v>
      </c>
      <c r="I64" s="179">
        <f t="shared" si="18"/>
        <v>0.14774544291653341</v>
      </c>
      <c r="J64" s="180">
        <f t="shared" si="19"/>
        <v>3127</v>
      </c>
    </row>
    <row r="65" spans="4:10" x14ac:dyDescent="0.3">
      <c r="D65" s="181">
        <v>45855</v>
      </c>
      <c r="E65" s="179">
        <f t="shared" si="14"/>
        <v>0.43601895734597157</v>
      </c>
      <c r="F65" s="179">
        <f t="shared" si="15"/>
        <v>0.20514556533513881</v>
      </c>
      <c r="G65" s="179">
        <f t="shared" si="16"/>
        <v>0.11814488828706839</v>
      </c>
      <c r="H65" s="179">
        <f t="shared" si="17"/>
        <v>7.9214624238320916E-2</v>
      </c>
      <c r="I65" s="179">
        <f t="shared" si="18"/>
        <v>0.16147596479350035</v>
      </c>
      <c r="J65" s="180">
        <f t="shared" si="19"/>
        <v>2954</v>
      </c>
    </row>
    <row r="66" spans="4:10" x14ac:dyDescent="0.3">
      <c r="D66" s="181">
        <v>45856</v>
      </c>
      <c r="E66" s="179">
        <f t="shared" si="14"/>
        <v>0.46259185036740147</v>
      </c>
      <c r="F66" s="179">
        <f t="shared" si="15"/>
        <v>0.20140280561122245</v>
      </c>
      <c r="G66" s="179">
        <f t="shared" si="16"/>
        <v>0.11523046092184369</v>
      </c>
      <c r="H66" s="179">
        <f t="shared" si="17"/>
        <v>7.6820307281229128E-2</v>
      </c>
      <c r="I66" s="179">
        <f t="shared" si="18"/>
        <v>0.14395457581830326</v>
      </c>
      <c r="J66" s="180">
        <f t="shared" si="19"/>
        <v>2994</v>
      </c>
    </row>
    <row r="67" spans="4:10" x14ac:dyDescent="0.3">
      <c r="D67" s="181">
        <v>45857</v>
      </c>
      <c r="E67" s="179">
        <f t="shared" si="14"/>
        <v>0.41810048176187198</v>
      </c>
      <c r="F67" s="179">
        <f t="shared" si="15"/>
        <v>0.20646937370956642</v>
      </c>
      <c r="G67" s="179">
        <f t="shared" si="16"/>
        <v>0.11837577426015142</v>
      </c>
      <c r="H67" s="179">
        <f t="shared" si="17"/>
        <v>8.0523055746730895E-2</v>
      </c>
      <c r="I67" s="179">
        <f t="shared" si="18"/>
        <v>0.17653131452167928</v>
      </c>
      <c r="J67" s="180">
        <f t="shared" si="19"/>
        <v>2906</v>
      </c>
    </row>
    <row r="68" spans="4:10" x14ac:dyDescent="0.3">
      <c r="D68" s="181">
        <v>45858</v>
      </c>
      <c r="E68" s="179">
        <f t="shared" si="14"/>
        <v>0.34866529774127308</v>
      </c>
      <c r="F68" s="179">
        <f t="shared" si="15"/>
        <v>0.24353182751540042</v>
      </c>
      <c r="G68" s="179">
        <f t="shared" si="16"/>
        <v>0.13716632443531829</v>
      </c>
      <c r="H68" s="179">
        <f t="shared" si="17"/>
        <v>8.6652977412731008E-2</v>
      </c>
      <c r="I68" s="179">
        <f t="shared" si="18"/>
        <v>0.1839835728952772</v>
      </c>
      <c r="J68" s="180">
        <f t="shared" si="19"/>
        <v>2435</v>
      </c>
    </row>
    <row r="69" spans="4:10" x14ac:dyDescent="0.3">
      <c r="D69" s="181">
        <v>45859</v>
      </c>
      <c r="E69" s="179">
        <f t="shared" si="14"/>
        <v>0.35788597586350396</v>
      </c>
      <c r="F69" s="179">
        <f t="shared" si="15"/>
        <v>0.24178110694964627</v>
      </c>
      <c r="G69" s="179">
        <f t="shared" si="16"/>
        <v>0.13816063254265501</v>
      </c>
      <c r="H69" s="179">
        <f t="shared" si="17"/>
        <v>7.8235538909696214E-2</v>
      </c>
      <c r="I69" s="179">
        <f t="shared" si="18"/>
        <v>0.18393674573449853</v>
      </c>
      <c r="J69" s="180">
        <f t="shared" si="19"/>
        <v>2403</v>
      </c>
    </row>
    <row r="70" spans="4:10" x14ac:dyDescent="0.3">
      <c r="D70" s="181">
        <v>45860</v>
      </c>
      <c r="E70" s="179">
        <f t="shared" si="14"/>
        <v>0.44845699277741302</v>
      </c>
      <c r="F70" s="179">
        <f t="shared" si="15"/>
        <v>0.20485883125410373</v>
      </c>
      <c r="G70" s="179">
        <f t="shared" si="16"/>
        <v>0.11326329612606698</v>
      </c>
      <c r="H70" s="179">
        <f t="shared" si="17"/>
        <v>7.7806959947472096E-2</v>
      </c>
      <c r="I70" s="179">
        <f t="shared" si="18"/>
        <v>0.15561391989494419</v>
      </c>
      <c r="J70" s="180">
        <f t="shared" si="19"/>
        <v>3046</v>
      </c>
    </row>
    <row r="71" spans="4:10" x14ac:dyDescent="0.3">
      <c r="D71" s="181">
        <v>45861</v>
      </c>
      <c r="E71" s="179">
        <f t="shared" si="14"/>
        <v>0.44631648496861581</v>
      </c>
      <c r="F71" s="179">
        <f t="shared" si="15"/>
        <v>0.20779649818301948</v>
      </c>
      <c r="G71" s="179">
        <f t="shared" si="16"/>
        <v>0.11298315163528246</v>
      </c>
      <c r="H71" s="179">
        <f t="shared" si="17"/>
        <v>8.1929302940204826E-2</v>
      </c>
      <c r="I71" s="179">
        <f t="shared" si="18"/>
        <v>0.15097456227287745</v>
      </c>
      <c r="J71" s="180">
        <f t="shared" si="19"/>
        <v>3027</v>
      </c>
    </row>
    <row r="72" spans="4:10" x14ac:dyDescent="0.3">
      <c r="D72" s="181">
        <v>45862</v>
      </c>
      <c r="E72" s="179">
        <f t="shared" si="14"/>
        <v>0.37978038621734189</v>
      </c>
      <c r="F72" s="179">
        <f t="shared" si="15"/>
        <v>0.23589549413101099</v>
      </c>
      <c r="G72" s="179">
        <f t="shared" si="16"/>
        <v>0.12722453616054524</v>
      </c>
      <c r="H72" s="179">
        <f t="shared" si="17"/>
        <v>8.8981446421809926E-2</v>
      </c>
      <c r="I72" s="179">
        <f t="shared" si="18"/>
        <v>0.16811813706929193</v>
      </c>
      <c r="J72" s="180">
        <f t="shared" si="19"/>
        <v>2641</v>
      </c>
    </row>
    <row r="73" spans="4:10" x14ac:dyDescent="0.3">
      <c r="D73" s="181">
        <v>45863</v>
      </c>
      <c r="E73" s="179">
        <f t="shared" si="14"/>
        <v>0.36852750809061491</v>
      </c>
      <c r="F73" s="179">
        <f t="shared" si="15"/>
        <v>0.24231391585760517</v>
      </c>
      <c r="G73" s="179">
        <f t="shared" si="16"/>
        <v>0.13228155339805825</v>
      </c>
      <c r="H73" s="179">
        <f t="shared" si="17"/>
        <v>8.1310679611650491E-2</v>
      </c>
      <c r="I73" s="179">
        <f t="shared" si="18"/>
        <v>0.17556634304207119</v>
      </c>
      <c r="J73" s="180">
        <f t="shared" si="19"/>
        <v>2472</v>
      </c>
    </row>
    <row r="74" spans="4:10" x14ac:dyDescent="0.3">
      <c r="D74" s="181">
        <v>45864</v>
      </c>
      <c r="E74" s="179">
        <f t="shared" si="14"/>
        <v>0.39534883720930231</v>
      </c>
      <c r="F74" s="179">
        <f t="shared" si="15"/>
        <v>0.22202034883720931</v>
      </c>
      <c r="G74" s="179">
        <f t="shared" si="16"/>
        <v>0.12318313953488372</v>
      </c>
      <c r="H74" s="179">
        <f t="shared" si="17"/>
        <v>8.6119186046511628E-2</v>
      </c>
      <c r="I74" s="179">
        <f t="shared" si="18"/>
        <v>0.17332848837209303</v>
      </c>
      <c r="J74" s="180">
        <f t="shared" si="19"/>
        <v>2752</v>
      </c>
    </row>
    <row r="75" spans="4:10" x14ac:dyDescent="0.3">
      <c r="D75" s="181">
        <v>45865</v>
      </c>
      <c r="E75" s="179">
        <f t="shared" si="14"/>
        <v>0.37121212121212122</v>
      </c>
      <c r="F75" s="179">
        <f t="shared" si="15"/>
        <v>0.2412280701754386</v>
      </c>
      <c r="G75" s="179">
        <f t="shared" si="16"/>
        <v>0.13197767145135567</v>
      </c>
      <c r="H75" s="179">
        <f t="shared" si="17"/>
        <v>8.3333333333333329E-2</v>
      </c>
      <c r="I75" s="179">
        <f t="shared" si="18"/>
        <v>0.17224880382775121</v>
      </c>
      <c r="J75" s="180">
        <f t="shared" si="19"/>
        <v>2508</v>
      </c>
    </row>
    <row r="76" spans="4:10" x14ac:dyDescent="0.3">
      <c r="D76" s="181">
        <v>45866</v>
      </c>
      <c r="E76" s="179">
        <f t="shared" si="14"/>
        <v>0.3700205338809035</v>
      </c>
      <c r="F76" s="179">
        <f t="shared" si="15"/>
        <v>0.24065708418891171</v>
      </c>
      <c r="G76" s="179">
        <f t="shared" si="16"/>
        <v>0.13388090349075976</v>
      </c>
      <c r="H76" s="179">
        <f t="shared" si="17"/>
        <v>7.5975359342915813E-2</v>
      </c>
      <c r="I76" s="179">
        <f t="shared" si="18"/>
        <v>0.17946611909650925</v>
      </c>
      <c r="J76" s="180">
        <f t="shared" si="19"/>
        <v>2435</v>
      </c>
    </row>
    <row r="77" spans="4:10" x14ac:dyDescent="0.3">
      <c r="D77" s="181">
        <v>45867</v>
      </c>
      <c r="E77" s="179">
        <f t="shared" si="14"/>
        <v>0.43390514631685168</v>
      </c>
      <c r="F77" s="179">
        <f t="shared" si="15"/>
        <v>0.2061890346451396</v>
      </c>
      <c r="G77" s="179">
        <f t="shared" si="16"/>
        <v>0.11469895728220653</v>
      </c>
      <c r="H77" s="179">
        <f t="shared" si="17"/>
        <v>7.7026572485704672E-2</v>
      </c>
      <c r="I77" s="179">
        <f t="shared" si="18"/>
        <v>0.16818028927009754</v>
      </c>
      <c r="J77" s="180">
        <f t="shared" si="19"/>
        <v>2973</v>
      </c>
    </row>
    <row r="78" spans="4:10" x14ac:dyDescent="0.3">
      <c r="D78" s="181">
        <v>45868</v>
      </c>
      <c r="E78" s="179">
        <f t="shared" si="14"/>
        <v>0.42554621848739493</v>
      </c>
      <c r="F78" s="179">
        <f t="shared" si="15"/>
        <v>0.21378151260504202</v>
      </c>
      <c r="G78" s="179">
        <f t="shared" si="16"/>
        <v>0.11394957983193277</v>
      </c>
      <c r="H78" s="179">
        <f t="shared" si="17"/>
        <v>7.8655462184873945E-2</v>
      </c>
      <c r="I78" s="179">
        <f t="shared" si="18"/>
        <v>0.16806722689075632</v>
      </c>
      <c r="J78" s="180">
        <f t="shared" si="19"/>
        <v>2975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L16:L19 L27:L32 L21:L25 L41:L42 L34:L39">
    <cfRule type="cellIs" dxfId="84" priority="244" operator="equal">
      <formula>MAX($L$14:$L$16)</formula>
    </cfRule>
  </conditionalFormatting>
  <conditionalFormatting sqref="T16:T19 T27:T32 T21:T25 T41:T43 T34:T39">
    <cfRule type="cellIs" dxfId="83" priority="245" operator="equal">
      <formula>MAX($T$14:$T$16)</formula>
    </cfRule>
  </conditionalFormatting>
  <conditionalFormatting sqref="X16:X19 X27:X32 X21:X25 X41:X43 X34:X39">
    <cfRule type="cellIs" dxfId="82" priority="246" operator="equal">
      <formula>MAX($X$14:$X$16)</formula>
    </cfRule>
  </conditionalFormatting>
  <conditionalFormatting sqref="J16:J19 J27:J32 J21:J25 J41:J42 J34:J39">
    <cfRule type="cellIs" dxfId="81" priority="247" operator="equal">
      <formula>MAX($J$14:$J$16)</formula>
    </cfRule>
  </conditionalFormatting>
  <conditionalFormatting sqref="V16:V19 V27:V32 V21:V23 V41:V43 V34:V39">
    <cfRule type="cellIs" dxfId="80" priority="248" operator="equal">
      <formula>MAX($V$14:$V$16)</formula>
    </cfRule>
  </conditionalFormatting>
  <conditionalFormatting sqref="D16:D19">
    <cfRule type="cellIs" dxfId="79" priority="249" operator="equal">
      <formula>MAX($D$14:$D$16)</formula>
    </cfRule>
  </conditionalFormatting>
  <conditionalFormatting sqref="S16:S19 S27:S32 S21:S25 S41:S43 S34:S39">
    <cfRule type="cellIs" dxfId="78" priority="250" operator="equal">
      <formula>MAX($S$14:$S$16)</formula>
    </cfRule>
  </conditionalFormatting>
  <conditionalFormatting sqref="N16:N19 N27:N32 N21:N25 N41:N42 N34:N39">
    <cfRule type="cellIs" dxfId="77" priority="251" operator="equal">
      <formula>MAX($N$14:$N$16)</formula>
    </cfRule>
  </conditionalFormatting>
  <conditionalFormatting sqref="P16:P19 P27:P32 P21:P25 P41:P42 P39 P34:P37">
    <cfRule type="cellIs" dxfId="76" priority="252" operator="equal">
      <formula>MAX($P$14:$P$16)</formula>
    </cfRule>
  </conditionalFormatting>
  <conditionalFormatting sqref="L26">
    <cfRule type="cellIs" dxfId="75" priority="176" operator="equal">
      <formula>MAX($L$14:$L$16)</formula>
    </cfRule>
  </conditionalFormatting>
  <conditionalFormatting sqref="T26">
    <cfRule type="cellIs" dxfId="74" priority="177" operator="equal">
      <formula>MAX($T$14:$T$16)</formula>
    </cfRule>
  </conditionalFormatting>
  <conditionalFormatting sqref="X26">
    <cfRule type="cellIs" dxfId="73" priority="178" operator="equal">
      <formula>MAX($X$14:$X$16)</formula>
    </cfRule>
  </conditionalFormatting>
  <conditionalFormatting sqref="J26">
    <cfRule type="cellIs" dxfId="72" priority="179" operator="equal">
      <formula>MAX($J$14:$J$16)</formula>
    </cfRule>
  </conditionalFormatting>
  <conditionalFormatting sqref="V26">
    <cfRule type="cellIs" dxfId="71" priority="180" operator="equal">
      <formula>MAX($V$14:$V$16)</formula>
    </cfRule>
  </conditionalFormatting>
  <conditionalFormatting sqref="S26">
    <cfRule type="cellIs" dxfId="70" priority="182" operator="equal">
      <formula>MAX($S$14:$S$16)</formula>
    </cfRule>
  </conditionalFormatting>
  <conditionalFormatting sqref="N26">
    <cfRule type="cellIs" dxfId="69" priority="183" operator="equal">
      <formula>MAX($N$14:$N$16)</formula>
    </cfRule>
  </conditionalFormatting>
  <conditionalFormatting sqref="P26">
    <cfRule type="cellIs" dxfId="68" priority="184" operator="equal">
      <formula>MAX($P$14:$P$16)</formula>
    </cfRule>
  </conditionalFormatting>
  <conditionalFormatting sqref="L40">
    <cfRule type="cellIs" dxfId="67" priority="166" operator="equal">
      <formula>MAX($L$14:$L$16)</formula>
    </cfRule>
  </conditionalFormatting>
  <conditionalFormatting sqref="T40">
    <cfRule type="cellIs" dxfId="66" priority="167" operator="equal">
      <formula>MAX($T$14:$T$16)</formula>
    </cfRule>
  </conditionalFormatting>
  <conditionalFormatting sqref="X40">
    <cfRule type="cellIs" dxfId="65" priority="168" operator="equal">
      <formula>MAX($X$14:$X$16)</formula>
    </cfRule>
  </conditionalFormatting>
  <conditionalFormatting sqref="J40">
    <cfRule type="cellIs" dxfId="64" priority="169" operator="equal">
      <formula>MAX($J$14:$J$16)</formula>
    </cfRule>
  </conditionalFormatting>
  <conditionalFormatting sqref="V40">
    <cfRule type="cellIs" dxfId="63" priority="170" operator="equal">
      <formula>MAX($V$14:$V$16)</formula>
    </cfRule>
  </conditionalFormatting>
  <conditionalFormatting sqref="S40">
    <cfRule type="cellIs" dxfId="62" priority="172" operator="equal">
      <formula>MAX($S$14:$S$16)</formula>
    </cfRule>
  </conditionalFormatting>
  <conditionalFormatting sqref="N40">
    <cfRule type="cellIs" dxfId="61" priority="173" operator="equal">
      <formula>MAX($N$14:$N$16)</formula>
    </cfRule>
  </conditionalFormatting>
  <conditionalFormatting sqref="P40">
    <cfRule type="cellIs" dxfId="60" priority="174" operator="equal">
      <formula>MAX($P$14:$P$16)</formula>
    </cfRule>
  </conditionalFormatting>
  <conditionalFormatting sqref="D20:D32 D44:D45 D34:D42">
    <cfRule type="cellIs" dxfId="59" priority="162" operator="equal">
      <formula>MAX($D$14:$D$42)</formula>
    </cfRule>
  </conditionalFormatting>
  <conditionalFormatting sqref="L20">
    <cfRule type="cellIs" dxfId="58" priority="153" operator="equal">
      <formula>MAX($L$14:$L$42)</formula>
    </cfRule>
  </conditionalFormatting>
  <conditionalFormatting sqref="T20">
    <cfRule type="cellIs" dxfId="57" priority="154" operator="equal">
      <formula>MAX($T$14:$T$42)</formula>
    </cfRule>
  </conditionalFormatting>
  <conditionalFormatting sqref="X20">
    <cfRule type="cellIs" dxfId="56" priority="155" operator="equal">
      <formula>MAX($X$14:$X$42)</formula>
    </cfRule>
  </conditionalFormatting>
  <conditionalFormatting sqref="J20">
    <cfRule type="cellIs" dxfId="55" priority="156" operator="equal">
      <formula>MAX($J$14:$J$42)</formula>
    </cfRule>
  </conditionalFormatting>
  <conditionalFormatting sqref="V20">
    <cfRule type="cellIs" dxfId="54" priority="157" operator="equal">
      <formula>MAX($V$14:$V$42)</formula>
    </cfRule>
  </conditionalFormatting>
  <conditionalFormatting sqref="S20">
    <cfRule type="cellIs" dxfId="53" priority="158" operator="equal">
      <formula>MAX($S$14:$S$42)</formula>
    </cfRule>
  </conditionalFormatting>
  <conditionalFormatting sqref="N20">
    <cfRule type="cellIs" dxfId="52" priority="159" operator="equal">
      <formula>MAX($N$14:$N$42)</formula>
    </cfRule>
  </conditionalFormatting>
  <conditionalFormatting sqref="P20">
    <cfRule type="cellIs" dxfId="51" priority="160" operator="equal">
      <formula>MAX($P$14:$P$42)</formula>
    </cfRule>
  </conditionalFormatting>
  <conditionalFormatting sqref="E48:E64">
    <cfRule type="top10" dxfId="50" priority="152" rank="2"/>
  </conditionalFormatting>
  <conditionalFormatting sqref="F48:F78">
    <cfRule type="top10" dxfId="49" priority="151" rank="2"/>
  </conditionalFormatting>
  <conditionalFormatting sqref="G48:G64">
    <cfRule type="top10" dxfId="48" priority="150" rank="2"/>
  </conditionalFormatting>
  <conditionalFormatting sqref="H48:H64">
    <cfRule type="top10" dxfId="47" priority="149" rank="2"/>
  </conditionalFormatting>
  <conditionalFormatting sqref="I48:I64">
    <cfRule type="top10" dxfId="46" priority="148" rank="2"/>
  </conditionalFormatting>
  <conditionalFormatting sqref="V24">
    <cfRule type="cellIs" dxfId="45" priority="118" operator="equal">
      <formula>MAX($J$14:$J$16)</formula>
    </cfRule>
  </conditionalFormatting>
  <conditionalFormatting sqref="V25">
    <cfRule type="cellIs" dxfId="44" priority="117" operator="equal">
      <formula>MAX($J$14:$J$16)</formula>
    </cfRule>
  </conditionalFormatting>
  <conditionalFormatting sqref="G15:G32 G34:G45">
    <cfRule type="cellIs" dxfId="43" priority="106" operator="equal">
      <formula>MAX($G$14:$G$16)</formula>
    </cfRule>
  </conditionalFormatting>
  <conditionalFormatting sqref="L44:L45">
    <cfRule type="cellIs" dxfId="42" priority="96" operator="equal">
      <formula>MAX($L$14:$L$16)</formula>
    </cfRule>
  </conditionalFormatting>
  <conditionalFormatting sqref="T44:T45">
    <cfRule type="cellIs" dxfId="41" priority="97" operator="equal">
      <formula>MAX($T$14:$T$16)</formula>
    </cfRule>
  </conditionalFormatting>
  <conditionalFormatting sqref="X44:X45">
    <cfRule type="cellIs" dxfId="40" priority="98" operator="equal">
      <formula>MAX($X$14:$X$16)</formula>
    </cfRule>
  </conditionalFormatting>
  <conditionalFormatting sqref="J44:J45">
    <cfRule type="cellIs" dxfId="39" priority="99" operator="equal">
      <formula>MAX($J$14:$J$16)</formula>
    </cfRule>
  </conditionalFormatting>
  <conditionalFormatting sqref="V44:V45">
    <cfRule type="cellIs" dxfId="38" priority="100" operator="equal">
      <formula>MAX($V$14:$V$16)</formula>
    </cfRule>
  </conditionalFormatting>
  <conditionalFormatting sqref="S44:S45">
    <cfRule type="cellIs" dxfId="37" priority="102" operator="equal">
      <formula>MAX($S$14:$S$16)</formula>
    </cfRule>
  </conditionalFormatting>
  <conditionalFormatting sqref="N44:N45">
    <cfRule type="cellIs" dxfId="36" priority="103" operator="equal">
      <formula>MAX($N$14:$N$16)</formula>
    </cfRule>
  </conditionalFormatting>
  <conditionalFormatting sqref="P44:P45">
    <cfRule type="cellIs" dxfId="35" priority="104" operator="equal">
      <formula>MAX($P$14:$P$16)</formula>
    </cfRule>
  </conditionalFormatting>
  <conditionalFormatting sqref="D15">
    <cfRule type="cellIs" dxfId="34" priority="85" operator="equal">
      <formula>MAX($D$14:$D$16)</formula>
    </cfRule>
  </conditionalFormatting>
  <conditionalFormatting sqref="L15">
    <cfRule type="cellIs" dxfId="33" priority="82" operator="equal">
      <formula>MAX($L$14:$L$16)</formula>
    </cfRule>
  </conditionalFormatting>
  <conditionalFormatting sqref="J15">
    <cfRule type="cellIs" dxfId="32" priority="83" operator="equal">
      <formula>MAX($J$14:$J$16)</formula>
    </cfRule>
  </conditionalFormatting>
  <conditionalFormatting sqref="N15">
    <cfRule type="cellIs" dxfId="31" priority="78" operator="equal">
      <formula>MAX($N$14:$N$16)</formula>
    </cfRule>
  </conditionalFormatting>
  <conditionalFormatting sqref="P15">
    <cfRule type="cellIs" dxfId="30" priority="79" operator="equal">
      <formula>MAX($P$14:$P$16)</formula>
    </cfRule>
  </conditionalFormatting>
  <conditionalFormatting sqref="T15">
    <cfRule type="cellIs" dxfId="29" priority="74" operator="equal">
      <formula>MAX($T$14:$T$16)</formula>
    </cfRule>
  </conditionalFormatting>
  <conditionalFormatting sqref="S15">
    <cfRule type="cellIs" dxfId="28" priority="75" operator="equal">
      <formula>MAX($S$14:$S$16)</formula>
    </cfRule>
  </conditionalFormatting>
  <conditionalFormatting sqref="X15">
    <cfRule type="cellIs" dxfId="27" priority="70" operator="equal">
      <formula>MAX($X$14:$X$16)</formula>
    </cfRule>
  </conditionalFormatting>
  <conditionalFormatting sqref="V15">
    <cfRule type="cellIs" dxfId="26" priority="71" operator="equal">
      <formula>MAX($V$14:$V$16)</formula>
    </cfRule>
  </conditionalFormatting>
  <conditionalFormatting sqref="N43">
    <cfRule type="cellIs" dxfId="25" priority="55" operator="equal">
      <formula>MAX($N$14:$N$16)</formula>
    </cfRule>
  </conditionalFormatting>
  <conditionalFormatting sqref="P43">
    <cfRule type="cellIs" dxfId="24" priority="56" operator="equal">
      <formula>MAX($P$14:$P$16)</formula>
    </cfRule>
  </conditionalFormatting>
  <conditionalFormatting sqref="L43">
    <cfRule type="cellIs" dxfId="23" priority="51" operator="equal">
      <formula>MAX($L$14:$L$16)</formula>
    </cfRule>
  </conditionalFormatting>
  <conditionalFormatting sqref="J43">
    <cfRule type="cellIs" dxfId="22" priority="52" operator="equal">
      <formula>MAX($J$14:$J$16)</formula>
    </cfRule>
  </conditionalFormatting>
  <conditionalFormatting sqref="D43">
    <cfRule type="cellIs" dxfId="21" priority="49" operator="equal">
      <formula>MAX($D$14:$D$42)</formula>
    </cfRule>
  </conditionalFormatting>
  <conditionalFormatting sqref="G14">
    <cfRule type="cellIs" dxfId="20" priority="38" operator="equal">
      <formula>MAX($G$14:$G$16)</formula>
    </cfRule>
  </conditionalFormatting>
  <conditionalFormatting sqref="D14">
    <cfRule type="cellIs" dxfId="19" priority="20" operator="equal">
      <formula>MAX($D$14:$D$42)</formula>
    </cfRule>
  </conditionalFormatting>
  <conditionalFormatting sqref="L14">
    <cfRule type="cellIs" dxfId="18" priority="18" operator="equal">
      <formula>MAX($L$14:$L$16)</formula>
    </cfRule>
  </conditionalFormatting>
  <conditionalFormatting sqref="J14">
    <cfRule type="cellIs" dxfId="17" priority="19" operator="equal">
      <formula>MAX($J$14:$J$16)</formula>
    </cfRule>
  </conditionalFormatting>
  <conditionalFormatting sqref="N14">
    <cfRule type="cellIs" dxfId="16" priority="16" operator="equal">
      <formula>MAX($N$14:$N$16)</formula>
    </cfRule>
  </conditionalFormatting>
  <conditionalFormatting sqref="P14">
    <cfRule type="cellIs" dxfId="15" priority="17" operator="equal">
      <formula>MAX($P$14:$P$16)</formula>
    </cfRule>
  </conditionalFormatting>
  <conditionalFormatting sqref="T14">
    <cfRule type="cellIs" dxfId="14" priority="14" operator="equal">
      <formula>MAX($T$14:$T$16)</formula>
    </cfRule>
  </conditionalFormatting>
  <conditionalFormatting sqref="S14">
    <cfRule type="cellIs" dxfId="13" priority="15" operator="equal">
      <formula>MAX($S$14:$S$16)</formula>
    </cfRule>
  </conditionalFormatting>
  <conditionalFormatting sqref="X14">
    <cfRule type="cellIs" dxfId="12" priority="12" operator="equal">
      <formula>MAX($X$14:$X$16)</formula>
    </cfRule>
  </conditionalFormatting>
  <conditionalFormatting sqref="V14">
    <cfRule type="cellIs" dxfId="11" priority="13" operator="equal">
      <formula>MAX($V$14:$V$16)</formula>
    </cfRule>
  </conditionalFormatting>
  <conditionalFormatting sqref="L33">
    <cfRule type="cellIs" dxfId="10" priority="4" operator="equal">
      <formula>MAX($L$14:$L$16)</formula>
    </cfRule>
  </conditionalFormatting>
  <conditionalFormatting sqref="T33">
    <cfRule type="cellIs" dxfId="9" priority="5" operator="equal">
      <formula>MAX($T$14:$T$16)</formula>
    </cfRule>
  </conditionalFormatting>
  <conditionalFormatting sqref="X33">
    <cfRule type="cellIs" dxfId="8" priority="6" operator="equal">
      <formula>MAX($X$14:$X$16)</formula>
    </cfRule>
  </conditionalFormatting>
  <conditionalFormatting sqref="J33">
    <cfRule type="cellIs" dxfId="7" priority="7" operator="equal">
      <formula>MAX($J$14:$J$16)</formula>
    </cfRule>
  </conditionalFormatting>
  <conditionalFormatting sqref="V33">
    <cfRule type="cellIs" dxfId="6" priority="8" operator="equal">
      <formula>MAX($V$14:$V$16)</formula>
    </cfRule>
  </conditionalFormatting>
  <conditionalFormatting sqref="S33">
    <cfRule type="cellIs" dxfId="5" priority="9" operator="equal">
      <formula>MAX($S$14:$S$16)</formula>
    </cfRule>
  </conditionalFormatting>
  <conditionalFormatting sqref="N33">
    <cfRule type="cellIs" dxfId="4" priority="10" operator="equal">
      <formula>MAX($N$14:$N$16)</formula>
    </cfRule>
  </conditionalFormatting>
  <conditionalFormatting sqref="P33">
    <cfRule type="cellIs" dxfId="3" priority="11" operator="equal">
      <formula>MAX($P$14:$P$16)</formula>
    </cfRule>
  </conditionalFormatting>
  <conditionalFormatting sqref="D33">
    <cfRule type="cellIs" dxfId="2" priority="3" operator="equal">
      <formula>MAX($D$14:$D$42)</formula>
    </cfRule>
  </conditionalFormatting>
  <conditionalFormatting sqref="G33">
    <cfRule type="cellIs" dxfId="1" priority="2" operator="equal">
      <formula>MAX($G$14:$G$16)</formula>
    </cfRule>
  </conditionalFormatting>
  <conditionalFormatting sqref="P38">
    <cfRule type="cellIs" dxfId="0" priority="1" operator="equal">
      <formula>MAX($P$14:$P$16)</formula>
    </cfRule>
  </conditionalFormatting>
  <pageMargins left="0.7" right="0.7" top="0.75" bottom="0.75" header="0.3" footer="0.3"/>
  <pageSetup paperSize="9" orientation="portrait" horizontalDpi="4294967295" verticalDpi="4294967295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4F7-E930-4E8B-8B3D-93EA2DB49FD8}">
  <dimension ref="A1"/>
  <sheetViews>
    <sheetView topLeftCell="A4"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4.4" x14ac:dyDescent="0.3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4.4" x14ac:dyDescent="0.3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TaxCatchAll xmlns="ffac592c-cdc9-47d3-9b5f-572462ebd9e4" xsi:nil="true"/>
    <_Flow_SignoffStatus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5DF5F4-F535-449E-BFD1-30AF598CE38B}"/>
</file>

<file path=customXml/itemProps2.xml><?xml version="1.0" encoding="utf-8"?>
<ds:datastoreItem xmlns:ds="http://schemas.openxmlformats.org/officeDocument/2006/customXml" ds:itemID="{0A66B61F-7644-4293-9AF4-A707BF39E80C}"/>
</file>

<file path=customXml/itemProps3.xml><?xml version="1.0" encoding="utf-8"?>
<ds:datastoreItem xmlns:ds="http://schemas.openxmlformats.org/officeDocument/2006/customXml" ds:itemID="{3F389B20-D093-4ABA-9DB2-98C46314DE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SEAT-SERs</vt:lpstr>
      <vt:lpstr>SAFs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Gilbet Gustavo Manriquez Henriquez</cp:lastModifiedBy>
  <dcterms:created xsi:type="dcterms:W3CDTF">2022-10-03T10:52:32Z</dcterms:created>
  <dcterms:modified xsi:type="dcterms:W3CDTF">2026-01-01T11:30:52Z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7297100</vt:r8>
  </property>
  <property fmtid="{D5CDD505-2E9C-101B-9397-08002B2CF9AE}" pid="3" name="ContentTypeId">
    <vt:lpwstr>0x010100E3C748FF7EC2ED4E8EAD43CD1EEC2D0E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