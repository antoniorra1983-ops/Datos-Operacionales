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51600" windowHeight="17235" tabRatio="686" activeTab="3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52511"/>
</workbook>
</file>

<file path=xl/calcChain.xml><?xml version="1.0" encoding="utf-8"?>
<calcChain xmlns="http://schemas.openxmlformats.org/spreadsheetml/2006/main">
  <c r="X234" i="2" l="1"/>
  <c r="X233" i="2"/>
  <c r="X232" i="2"/>
  <c r="X231" i="2"/>
  <c r="X230" i="2"/>
  <c r="X229" i="2"/>
  <c r="X235" i="2" s="1"/>
  <c r="X227" i="2"/>
  <c r="X226" i="2"/>
  <c r="X225" i="2"/>
  <c r="X228" i="2" s="1"/>
  <c r="X224" i="2"/>
  <c r="X223" i="2"/>
  <c r="X222" i="2"/>
  <c r="X220" i="2"/>
  <c r="X219" i="2"/>
  <c r="X218" i="2"/>
  <c r="X221" i="2" s="1"/>
  <c r="X217" i="2"/>
  <c r="X216" i="2"/>
  <c r="X215" i="2"/>
  <c r="X214" i="2"/>
  <c r="X213" i="2"/>
  <c r="X212" i="2"/>
  <c r="X211" i="2"/>
  <c r="X210" i="2"/>
  <c r="X209" i="2"/>
  <c r="X208" i="2"/>
  <c r="X206" i="2"/>
  <c r="X205" i="2"/>
  <c r="X204" i="2"/>
  <c r="X207" i="2" s="1"/>
  <c r="X203" i="2"/>
  <c r="X202" i="2"/>
  <c r="X201" i="2"/>
  <c r="X197" i="2"/>
  <c r="X196" i="2"/>
  <c r="X198" i="2"/>
  <c r="X200" i="2" s="1"/>
  <c r="X199" i="2"/>
  <c r="X195" i="2"/>
  <c r="X194" i="2"/>
  <c r="X193" i="2"/>
  <c r="X192" i="2"/>
  <c r="X191" i="2"/>
  <c r="X190" i="2"/>
  <c r="X188" i="2"/>
  <c r="X187" i="2"/>
  <c r="X189" i="2"/>
  <c r="X186" i="2"/>
  <c r="X185" i="2"/>
  <c r="X184" i="2"/>
  <c r="X183" i="2"/>
  <c r="X182" i="2"/>
  <c r="X181" i="2"/>
  <c r="X179" i="2"/>
  <c r="X178" i="2"/>
  <c r="X177" i="2"/>
  <c r="X180" i="2" s="1"/>
  <c r="X176" i="2"/>
  <c r="X175" i="2"/>
  <c r="X174" i="2"/>
  <c r="X172" i="2"/>
  <c r="X171" i="2"/>
  <c r="X170" i="2"/>
  <c r="X173" i="2" s="1"/>
  <c r="X169" i="2"/>
  <c r="X168" i="2"/>
  <c r="X167" i="2"/>
  <c r="X165" i="2"/>
  <c r="X166" i="2" s="1"/>
  <c r="X164" i="2"/>
  <c r="X163" i="2"/>
  <c r="X162" i="2"/>
  <c r="X161" i="2"/>
  <c r="X160" i="2"/>
  <c r="X158" i="2"/>
  <c r="X157" i="2"/>
  <c r="X156" i="2"/>
  <c r="X155" i="2"/>
  <c r="X154" i="2"/>
  <c r="X153" i="2"/>
  <c r="X159" i="2" s="1"/>
  <c r="X151" i="2"/>
  <c r="X150" i="2"/>
  <c r="X149" i="2"/>
  <c r="X148" i="2"/>
  <c r="X147" i="2"/>
  <c r="X146" i="2"/>
  <c r="X152" i="2" s="1"/>
  <c r="X144" i="2"/>
  <c r="X145" i="2" s="1"/>
  <c r="X143" i="2"/>
  <c r="X142" i="2"/>
  <c r="X141" i="2"/>
  <c r="X140" i="2"/>
  <c r="X139" i="2"/>
  <c r="X138" i="2"/>
  <c r="X137" i="2"/>
  <c r="X136" i="2"/>
  <c r="X135" i="2"/>
  <c r="X134" i="2"/>
  <c r="X133" i="2"/>
  <c r="X132" i="2"/>
  <c r="X130" i="2"/>
  <c r="X129" i="2"/>
  <c r="X128" i="2"/>
  <c r="X127" i="2"/>
  <c r="X126" i="2"/>
  <c r="X125" i="2"/>
  <c r="X131" i="2" s="1"/>
  <c r="X123" i="2"/>
  <c r="X122" i="2"/>
  <c r="X121" i="2"/>
  <c r="X120" i="2"/>
  <c r="X119" i="2"/>
  <c r="X118" i="2"/>
  <c r="X124" i="2" s="1"/>
  <c r="X116" i="2"/>
  <c r="X115" i="2"/>
  <c r="X114" i="2"/>
  <c r="X117" i="2" s="1"/>
  <c r="X113" i="2"/>
  <c r="X112" i="2"/>
  <c r="X111" i="2"/>
  <c r="X110" i="2"/>
  <c r="X109" i="2"/>
  <c r="X108" i="2"/>
  <c r="X107" i="2"/>
  <c r="X106" i="2"/>
  <c r="X105" i="2"/>
  <c r="X104" i="2"/>
  <c r="X102" i="2"/>
  <c r="X101" i="2"/>
  <c r="X100" i="2"/>
  <c r="X103" i="2" s="1"/>
  <c r="X99" i="2"/>
  <c r="X98" i="2"/>
  <c r="X97" i="2"/>
  <c r="X95" i="2"/>
  <c r="X94" i="2"/>
  <c r="X93" i="2"/>
  <c r="X96" i="2" s="1"/>
  <c r="X92" i="2"/>
  <c r="X91" i="2"/>
  <c r="X90" i="2"/>
  <c r="X86" i="2"/>
  <c r="X85" i="2"/>
  <c r="X87" i="2"/>
  <c r="X88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0" i="2"/>
  <c r="X69" i="2"/>
  <c r="X68" i="2"/>
  <c r="X67" i="2"/>
  <c r="X66" i="2"/>
  <c r="X71" i="2" s="1"/>
  <c r="X65" i="2"/>
  <c r="X63" i="2"/>
  <c r="X62" i="2"/>
  <c r="X61" i="2"/>
  <c r="X64" i="2" s="1"/>
  <c r="X60" i="2"/>
  <c r="X59" i="2"/>
  <c r="X58" i="2"/>
  <c r="X57" i="2"/>
  <c r="X56" i="2"/>
  <c r="X55" i="2"/>
  <c r="X54" i="2"/>
  <c r="X53" i="2"/>
  <c r="X52" i="2"/>
  <c r="X51" i="2"/>
  <c r="X49" i="2"/>
  <c r="X48" i="2"/>
  <c r="X47" i="2"/>
  <c r="X50" i="2" s="1"/>
  <c r="X46" i="2"/>
  <c r="X45" i="2"/>
  <c r="X44" i="2"/>
  <c r="H234" i="2"/>
  <c r="H233" i="2"/>
  <c r="H232" i="2"/>
  <c r="H231" i="2"/>
  <c r="H230" i="2"/>
  <c r="H229" i="2"/>
  <c r="H235" i="2" s="1"/>
  <c r="H228" i="2"/>
  <c r="H227" i="2"/>
  <c r="H226" i="2"/>
  <c r="H225" i="2"/>
  <c r="H224" i="2"/>
  <c r="H223" i="2"/>
  <c r="H222" i="2"/>
  <c r="H220" i="2"/>
  <c r="H219" i="2"/>
  <c r="H218" i="2"/>
  <c r="H221" i="2" s="1"/>
  <c r="H217" i="2"/>
  <c r="H216" i="2"/>
  <c r="H215" i="2"/>
  <c r="H213" i="2"/>
  <c r="H212" i="2"/>
  <c r="H211" i="2"/>
  <c r="H214" i="2" s="1"/>
  <c r="H210" i="2"/>
  <c r="H209" i="2"/>
  <c r="H208" i="2"/>
  <c r="H207" i="2"/>
  <c r="H206" i="2"/>
  <c r="H205" i="2"/>
  <c r="H204" i="2"/>
  <c r="H203" i="2"/>
  <c r="H202" i="2"/>
  <c r="H201" i="2"/>
  <c r="H200" i="2"/>
  <c r="H198" i="2"/>
  <c r="H199" i="2"/>
  <c r="H197" i="2"/>
  <c r="H196" i="2"/>
  <c r="H195" i="2"/>
  <c r="H194" i="2"/>
  <c r="H193" i="2"/>
  <c r="H192" i="2"/>
  <c r="H191" i="2"/>
  <c r="H190" i="2"/>
  <c r="H189" i="2"/>
  <c r="H187" i="2"/>
  <c r="H188" i="2"/>
  <c r="H186" i="2"/>
  <c r="H185" i="2"/>
  <c r="H184" i="2"/>
  <c r="H183" i="2"/>
  <c r="H182" i="2"/>
  <c r="H181" i="2"/>
  <c r="H179" i="2"/>
  <c r="H178" i="2"/>
  <c r="H180" i="2" s="1"/>
  <c r="H177" i="2"/>
  <c r="H176" i="2"/>
  <c r="H175" i="2"/>
  <c r="H174" i="2"/>
  <c r="H172" i="2"/>
  <c r="H171" i="2"/>
  <c r="H173" i="2" s="1"/>
  <c r="H170" i="2"/>
  <c r="H169" i="2"/>
  <c r="H168" i="2"/>
  <c r="H167" i="2"/>
  <c r="H165" i="2"/>
  <c r="H164" i="2"/>
  <c r="H163" i="2"/>
  <c r="H166" i="2" s="1"/>
  <c r="H162" i="2"/>
  <c r="H161" i="2"/>
  <c r="H160" i="2"/>
  <c r="H158" i="2"/>
  <c r="H157" i="2"/>
  <c r="H156" i="2"/>
  <c r="H159" i="2" s="1"/>
  <c r="H155" i="2"/>
  <c r="H154" i="2"/>
  <c r="H153" i="2"/>
  <c r="H151" i="2"/>
  <c r="H150" i="2"/>
  <c r="H149" i="2"/>
  <c r="H148" i="2"/>
  <c r="H147" i="2"/>
  <c r="H152" i="2" s="1"/>
  <c r="H146" i="2"/>
  <c r="H144" i="2"/>
  <c r="H143" i="2"/>
  <c r="H145" i="2" s="1"/>
  <c r="H142" i="2"/>
  <c r="H141" i="2"/>
  <c r="H140" i="2"/>
  <c r="H139" i="2"/>
  <c r="H137" i="2"/>
  <c r="H136" i="2"/>
  <c r="H135" i="2"/>
  <c r="H138" i="2" s="1"/>
  <c r="H134" i="2"/>
  <c r="H133" i="2"/>
  <c r="H132" i="2"/>
  <c r="H131" i="2"/>
  <c r="H130" i="2"/>
  <c r="H129" i="2"/>
  <c r="H128" i="2"/>
  <c r="H127" i="2"/>
  <c r="H126" i="2"/>
  <c r="H125" i="2"/>
  <c r="H123" i="2"/>
  <c r="H122" i="2"/>
  <c r="H121" i="2"/>
  <c r="H124" i="2" s="1"/>
  <c r="H120" i="2"/>
  <c r="H119" i="2"/>
  <c r="H118" i="2"/>
  <c r="H116" i="2"/>
  <c r="H115" i="2"/>
  <c r="H117" i="2" s="1"/>
  <c r="H114" i="2"/>
  <c r="H113" i="2"/>
  <c r="H112" i="2"/>
  <c r="H111" i="2"/>
  <c r="H109" i="2"/>
  <c r="H108" i="2"/>
  <c r="H107" i="2"/>
  <c r="H106" i="2"/>
  <c r="H105" i="2"/>
  <c r="H104" i="2"/>
  <c r="H110" i="2" s="1"/>
  <c r="H102" i="2"/>
  <c r="H101" i="2"/>
  <c r="H100" i="2"/>
  <c r="H103" i="2" s="1"/>
  <c r="H99" i="2"/>
  <c r="H98" i="2"/>
  <c r="H97" i="2"/>
  <c r="H95" i="2"/>
  <c r="H94" i="2"/>
  <c r="H93" i="2"/>
  <c r="H96" i="2" s="1"/>
  <c r="H92" i="2"/>
  <c r="H91" i="2"/>
  <c r="H90" i="2"/>
  <c r="H89" i="2"/>
  <c r="H86" i="2"/>
  <c r="H87" i="2"/>
  <c r="H88" i="2"/>
  <c r="H85" i="2"/>
  <c r="H84" i="2"/>
  <c r="H83" i="2"/>
  <c r="H82" i="2"/>
  <c r="H81" i="2"/>
  <c r="H80" i="2"/>
  <c r="H79" i="2"/>
  <c r="H77" i="2"/>
  <c r="H76" i="2"/>
  <c r="H75" i="2"/>
  <c r="H78" i="2" s="1"/>
  <c r="H74" i="2"/>
  <c r="H73" i="2"/>
  <c r="H72" i="2"/>
  <c r="H70" i="2"/>
  <c r="H69" i="2"/>
  <c r="H68" i="2"/>
  <c r="H71" i="2" s="1"/>
  <c r="H67" i="2"/>
  <c r="H66" i="2"/>
  <c r="H65" i="2"/>
  <c r="H63" i="2"/>
  <c r="H62" i="2"/>
  <c r="H61" i="2"/>
  <c r="H60" i="2"/>
  <c r="H59" i="2"/>
  <c r="H58" i="2"/>
  <c r="H64" i="2" s="1"/>
  <c r="H56" i="2"/>
  <c r="H55" i="2"/>
  <c r="H54" i="2"/>
  <c r="H57" i="2" s="1"/>
  <c r="H53" i="2"/>
  <c r="H52" i="2"/>
  <c r="H51" i="2"/>
  <c r="H49" i="2"/>
  <c r="H48" i="2"/>
  <c r="H47" i="2"/>
  <c r="H46" i="2"/>
  <c r="H45" i="2"/>
  <c r="H50" i="2" s="1"/>
  <c r="H44" i="2"/>
  <c r="H42" i="2"/>
  <c r="X42" i="2" s="1"/>
  <c r="H41" i="2"/>
  <c r="X41" i="2" s="1"/>
  <c r="H40" i="2"/>
  <c r="H39" i="2"/>
  <c r="H38" i="2"/>
  <c r="H37" i="2"/>
  <c r="H43" i="2" s="1"/>
  <c r="H35" i="2"/>
  <c r="X35" i="2" s="1"/>
  <c r="H34" i="2"/>
  <c r="X34" i="2" s="1"/>
  <c r="H33" i="2"/>
  <c r="X33" i="2" s="1"/>
  <c r="H32" i="2"/>
  <c r="H31" i="2"/>
  <c r="H30" i="2"/>
  <c r="H29" i="2"/>
  <c r="H28" i="2"/>
  <c r="X28" i="2" s="1"/>
  <c r="H27" i="2"/>
  <c r="X27" i="2" s="1"/>
  <c r="H26" i="2"/>
  <c r="X26" i="2" s="1"/>
  <c r="H25" i="2"/>
  <c r="X25" i="2" s="1"/>
  <c r="H24" i="2"/>
  <c r="H23" i="2"/>
  <c r="X40" i="2"/>
  <c r="X39" i="2"/>
  <c r="X38" i="2"/>
  <c r="X37" i="2"/>
  <c r="X32" i="2"/>
  <c r="X31" i="2"/>
  <c r="X30" i="2"/>
  <c r="X24" i="2"/>
  <c r="X23" i="2"/>
  <c r="H21" i="2"/>
  <c r="X21" i="2" s="1"/>
  <c r="H20" i="2"/>
  <c r="X20" i="2" s="1"/>
  <c r="H19" i="2"/>
  <c r="X19" i="2" s="1"/>
  <c r="H18" i="2"/>
  <c r="H17" i="2"/>
  <c r="H16" i="2"/>
  <c r="H15" i="2"/>
  <c r="H14" i="2"/>
  <c r="X14" i="2" s="1"/>
  <c r="X18" i="2"/>
  <c r="X17" i="2"/>
  <c r="X16" i="2"/>
  <c r="X15" i="2"/>
  <c r="X12" i="2"/>
  <c r="X13" i="2"/>
  <c r="X11" i="2"/>
  <c r="X10" i="2"/>
  <c r="X9" i="2"/>
  <c r="X8" i="2"/>
  <c r="X7" i="2"/>
  <c r="X6" i="2"/>
  <c r="X5" i="2"/>
  <c r="H13" i="2"/>
  <c r="H11" i="2"/>
  <c r="H12" i="2"/>
  <c r="H10" i="2"/>
  <c r="H9" i="2"/>
  <c r="H8" i="2"/>
  <c r="H7" i="2"/>
  <c r="H6" i="2"/>
  <c r="H5" i="2"/>
  <c r="X89" i="2" l="1"/>
  <c r="X43" i="2"/>
  <c r="X36" i="2"/>
  <c r="H36" i="2"/>
  <c r="X29" i="2"/>
  <c r="X22" i="2"/>
  <c r="H22" i="2"/>
  <c r="AB49" i="4"/>
  <c r="AB16" i="4"/>
  <c r="AB15" i="4"/>
  <c r="AB33" i="4"/>
  <c r="BB72" i="3"/>
  <c r="BB73" i="3"/>
  <c r="BB90" i="3"/>
  <c r="BB91" i="3"/>
  <c r="AB32" i="4"/>
  <c r="X239" i="2" l="1"/>
  <c r="E197" i="2"/>
  <c r="E196" i="2"/>
  <c r="I196" i="2" s="1"/>
  <c r="D197" i="2"/>
  <c r="I197" i="2" s="1"/>
  <c r="D196" i="2"/>
  <c r="M196" i="2" l="1"/>
  <c r="K196" i="2"/>
  <c r="M197" i="2"/>
  <c r="K197" i="2"/>
  <c r="G196" i="2"/>
  <c r="J196" i="2" s="1"/>
  <c r="G197" i="2"/>
  <c r="J197" i="2" s="1"/>
  <c r="B243" i="2"/>
  <c r="B252" i="2"/>
  <c r="C252" i="2"/>
  <c r="C251" i="2"/>
  <c r="B251" i="2"/>
  <c r="G249" i="2"/>
  <c r="G250" i="2"/>
  <c r="F250" i="2"/>
  <c r="F249" i="2"/>
  <c r="E249" i="2"/>
  <c r="D249" i="2"/>
  <c r="D250" i="2"/>
  <c r="C249" i="2"/>
  <c r="C250" i="2"/>
  <c r="B250" i="2"/>
  <c r="B249" i="2"/>
  <c r="B248" i="2"/>
  <c r="D248" i="2" s="1"/>
  <c r="E248" i="2" s="1"/>
  <c r="C248" i="2"/>
  <c r="G247" i="2"/>
  <c r="F247" i="2"/>
  <c r="F246" i="2"/>
  <c r="E247" i="2"/>
  <c r="E246" i="2"/>
  <c r="D247" i="2"/>
  <c r="C247" i="2"/>
  <c r="B247" i="2"/>
  <c r="B246" i="2"/>
  <c r="C246" i="2"/>
  <c r="D246" i="2"/>
  <c r="F245" i="2"/>
  <c r="E245" i="2"/>
  <c r="C245" i="2"/>
  <c r="B245" i="2"/>
  <c r="G245" i="2"/>
  <c r="C244" i="2"/>
  <c r="B244" i="2"/>
  <c r="L197" i="2" l="1"/>
  <c r="W197" i="2"/>
  <c r="L196" i="2"/>
  <c r="W196" i="2"/>
  <c r="F248" i="2"/>
  <c r="G248" i="2" s="1"/>
  <c r="G246" i="2"/>
  <c r="D245" i="2"/>
  <c r="Y90" i="2"/>
  <c r="Z90" i="2"/>
  <c r="Z92" i="2" l="1"/>
  <c r="BB93" i="3" l="1"/>
  <c r="AB37" i="4" s="1"/>
  <c r="BB92" i="3"/>
  <c r="AB36" i="4" s="1"/>
  <c r="BB75" i="3"/>
  <c r="AB20" i="4" s="1"/>
  <c r="BB74" i="3"/>
  <c r="AB19" i="4" s="1"/>
  <c r="BB55" i="3"/>
  <c r="D199" i="2" s="1"/>
  <c r="BC55" i="3"/>
  <c r="E199" i="2" s="1"/>
  <c r="BC54" i="3"/>
  <c r="E198" i="2" s="1"/>
  <c r="BB54" i="3"/>
  <c r="D198" i="2" s="1"/>
  <c r="C200" i="2"/>
  <c r="B200" i="2"/>
  <c r="G199" i="2" l="1"/>
  <c r="J199" i="2" s="1"/>
  <c r="I198" i="2"/>
  <c r="M198" i="2" s="1"/>
  <c r="G198" i="2"/>
  <c r="J198" i="2" s="1"/>
  <c r="W198" i="2" s="1"/>
  <c r="I199" i="2"/>
  <c r="L199" i="2" l="1"/>
  <c r="W199" i="2"/>
  <c r="K198" i="2"/>
  <c r="L198" i="2"/>
  <c r="M199" i="2"/>
  <c r="K199" i="2"/>
  <c r="AZ95" i="3"/>
  <c r="AA35" i="4" s="1"/>
  <c r="AZ94" i="3"/>
  <c r="AA34" i="4" s="1"/>
  <c r="X92" i="3"/>
  <c r="M36" i="4" s="1"/>
  <c r="X93" i="3"/>
  <c r="M37" i="4" s="1"/>
  <c r="AZ77" i="3"/>
  <c r="AA18" i="4" s="1"/>
  <c r="AZ76" i="3"/>
  <c r="AA17" i="4" s="1"/>
  <c r="AZ57" i="3"/>
  <c r="BA57" i="3"/>
  <c r="E188" i="2" s="1"/>
  <c r="J250" i="2" s="1"/>
  <c r="BA56" i="3"/>
  <c r="E187" i="2" s="1"/>
  <c r="J249" i="2" s="1"/>
  <c r="AZ56" i="3"/>
  <c r="D187" i="2" s="1"/>
  <c r="I249" i="2" s="1"/>
  <c r="C189" i="2"/>
  <c r="B189" i="2"/>
  <c r="K249" i="2" l="1"/>
  <c r="L249" i="2" s="1"/>
  <c r="M249" i="2"/>
  <c r="N249" i="2" s="1"/>
  <c r="D188" i="2"/>
  <c r="G187" i="2"/>
  <c r="J187" i="2" s="1"/>
  <c r="I187" i="2"/>
  <c r="C173" i="2"/>
  <c r="B173" i="2"/>
  <c r="G188" i="2" l="1"/>
  <c r="J188" i="2" s="1"/>
  <c r="L188" i="2" s="1"/>
  <c r="I250" i="2"/>
  <c r="I188" i="2"/>
  <c r="W187" i="2"/>
  <c r="L187" i="2"/>
  <c r="M187" i="2"/>
  <c r="K187" i="2"/>
  <c r="AL42" i="3"/>
  <c r="AM42" i="3"/>
  <c r="AL43" i="3"/>
  <c r="AM43" i="3"/>
  <c r="AL44" i="3"/>
  <c r="AM44" i="3"/>
  <c r="AL45" i="3"/>
  <c r="AM45" i="3"/>
  <c r="AL46" i="3"/>
  <c r="AM46" i="3"/>
  <c r="AL47" i="3"/>
  <c r="AM47" i="3"/>
  <c r="AP80" i="3"/>
  <c r="AP81" i="3"/>
  <c r="AP82" i="3"/>
  <c r="AP83" i="3"/>
  <c r="AP84" i="3"/>
  <c r="AP85" i="3"/>
  <c r="AP62" i="3"/>
  <c r="AP63" i="3"/>
  <c r="AP64" i="3"/>
  <c r="AP65" i="3"/>
  <c r="AP66" i="3"/>
  <c r="AP67" i="3"/>
  <c r="AP42" i="3"/>
  <c r="AQ42" i="3"/>
  <c r="AP43" i="3"/>
  <c r="AQ43" i="3"/>
  <c r="AP44" i="3"/>
  <c r="AQ44" i="3"/>
  <c r="AP45" i="3"/>
  <c r="AQ45" i="3"/>
  <c r="AP46" i="3"/>
  <c r="AQ46" i="3"/>
  <c r="AP47" i="3"/>
  <c r="AQ47" i="3"/>
  <c r="M250" i="2" l="1"/>
  <c r="N250" i="2" s="1"/>
  <c r="K250" i="2"/>
  <c r="L250" i="2" s="1"/>
  <c r="W188" i="2"/>
  <c r="K188" i="2"/>
  <c r="M188" i="2"/>
  <c r="AL85" i="3"/>
  <c r="AL84" i="3"/>
  <c r="AL83" i="3"/>
  <c r="AL82" i="3"/>
  <c r="AL81" i="3"/>
  <c r="AL80" i="3"/>
  <c r="AL67" i="3"/>
  <c r="AL66" i="3"/>
  <c r="AL65" i="3"/>
  <c r="AL64" i="3"/>
  <c r="AL63" i="3"/>
  <c r="AL62" i="3"/>
  <c r="R79" i="1" l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X91" i="3" l="1"/>
  <c r="M33" i="4" s="1"/>
  <c r="X90" i="3"/>
  <c r="M32" i="4" s="1"/>
  <c r="X73" i="3"/>
  <c r="M16" i="4" s="1"/>
  <c r="X74" i="3"/>
  <c r="M19" i="4" s="1"/>
  <c r="X75" i="3"/>
  <c r="M20" i="4" s="1"/>
  <c r="X72" i="3"/>
  <c r="M15" i="4" s="1"/>
  <c r="X53" i="3"/>
  <c r="D86" i="2" s="1"/>
  <c r="I246" i="2" s="1"/>
  <c r="Y53" i="3"/>
  <c r="E86" i="2" s="1"/>
  <c r="J246" i="2" s="1"/>
  <c r="X54" i="3"/>
  <c r="D87" i="2" s="1"/>
  <c r="I247" i="2" s="1"/>
  <c r="Y54" i="3"/>
  <c r="E87" i="2" s="1"/>
  <c r="J247" i="2" s="1"/>
  <c r="X55" i="3"/>
  <c r="D88" i="2" s="1"/>
  <c r="I248" i="2" s="1"/>
  <c r="Y55" i="3"/>
  <c r="E88" i="2" s="1"/>
  <c r="J248" i="2" s="1"/>
  <c r="Y52" i="3"/>
  <c r="E85" i="2" s="1"/>
  <c r="J245" i="2" s="1"/>
  <c r="X52" i="3"/>
  <c r="D85" i="2" s="1"/>
  <c r="I245" i="2" l="1"/>
  <c r="M245" i="2" s="1"/>
  <c r="M248" i="2"/>
  <c r="N248" i="2" s="1"/>
  <c r="K248" i="2"/>
  <c r="L248" i="2" s="1"/>
  <c r="K247" i="2"/>
  <c r="L247" i="2" s="1"/>
  <c r="M247" i="2"/>
  <c r="N247" i="2" s="1"/>
  <c r="K246" i="2"/>
  <c r="L246" i="2" s="1"/>
  <c r="M246" i="2"/>
  <c r="N246" i="2" s="1"/>
  <c r="G87" i="2"/>
  <c r="J87" i="2" s="1"/>
  <c r="L87" i="2" s="1"/>
  <c r="I86" i="2"/>
  <c r="K86" i="2" s="1"/>
  <c r="I87" i="2"/>
  <c r="K87" i="2" s="1"/>
  <c r="G85" i="2"/>
  <c r="J85" i="2" s="1"/>
  <c r="W85" i="2" s="1"/>
  <c r="G86" i="2"/>
  <c r="J86" i="2" s="1"/>
  <c r="L86" i="2" s="1"/>
  <c r="I85" i="2"/>
  <c r="G88" i="2"/>
  <c r="I88" i="2"/>
  <c r="K88" i="2" s="1"/>
  <c r="C89" i="2"/>
  <c r="B89" i="2"/>
  <c r="M87" i="2" l="1"/>
  <c r="M86" i="2"/>
  <c r="W86" i="2"/>
  <c r="L85" i="2"/>
  <c r="J88" i="2"/>
  <c r="L88" i="2" s="1"/>
  <c r="K85" i="2"/>
  <c r="M85" i="2"/>
  <c r="M88" i="2"/>
  <c r="W87" i="2"/>
  <c r="P62" i="3"/>
  <c r="P63" i="3"/>
  <c r="P64" i="3"/>
  <c r="P65" i="3"/>
  <c r="P66" i="3"/>
  <c r="P67" i="3"/>
  <c r="P80" i="3"/>
  <c r="P81" i="3"/>
  <c r="P82" i="3"/>
  <c r="P83" i="3"/>
  <c r="P84" i="3"/>
  <c r="P85" i="3"/>
  <c r="P42" i="3"/>
  <c r="Q42" i="3"/>
  <c r="P43" i="3"/>
  <c r="Q43" i="3"/>
  <c r="P44" i="3"/>
  <c r="Q44" i="3"/>
  <c r="P45" i="3"/>
  <c r="Q45" i="3"/>
  <c r="P46" i="3"/>
  <c r="Q46" i="3"/>
  <c r="P47" i="3"/>
  <c r="Q47" i="3"/>
  <c r="W88" i="2" l="1"/>
  <c r="E39" i="4"/>
  <c r="N80" i="3"/>
  <c r="N81" i="3"/>
  <c r="N82" i="3"/>
  <c r="N83" i="3"/>
  <c r="N84" i="3"/>
  <c r="N85" i="3"/>
  <c r="N62" i="3"/>
  <c r="N63" i="3"/>
  <c r="N64" i="3"/>
  <c r="N65" i="3"/>
  <c r="N66" i="3"/>
  <c r="N67" i="3"/>
  <c r="N42" i="3"/>
  <c r="O42" i="3"/>
  <c r="N43" i="3"/>
  <c r="O43" i="3"/>
  <c r="N44" i="3"/>
  <c r="O44" i="3"/>
  <c r="N45" i="3"/>
  <c r="O45" i="3"/>
  <c r="N46" i="3"/>
  <c r="O46" i="3"/>
  <c r="N47" i="3"/>
  <c r="O47" i="3"/>
  <c r="S35" i="3" l="1"/>
  <c r="R35" i="3"/>
  <c r="B22" i="2" l="1"/>
  <c r="C22" i="2"/>
  <c r="F88" i="3"/>
  <c r="D30" i="4" s="1"/>
  <c r="F89" i="3"/>
  <c r="D31" i="4" s="1"/>
  <c r="D89" i="3"/>
  <c r="C31" i="4" s="1"/>
  <c r="D88" i="3"/>
  <c r="C30" i="4" s="1"/>
  <c r="D71" i="3"/>
  <c r="C14" i="4" s="1"/>
  <c r="F71" i="3"/>
  <c r="D14" i="4" s="1"/>
  <c r="F70" i="3"/>
  <c r="D13" i="4" s="1"/>
  <c r="D70" i="3"/>
  <c r="C13" i="4" s="1"/>
  <c r="F51" i="3"/>
  <c r="D21" i="2" s="1"/>
  <c r="G51" i="3"/>
  <c r="E21" i="2" s="1"/>
  <c r="F50" i="3"/>
  <c r="D20" i="2" s="1"/>
  <c r="G50" i="3"/>
  <c r="E20" i="2" s="1"/>
  <c r="D51" i="3"/>
  <c r="D12" i="2" s="1"/>
  <c r="E51" i="3"/>
  <c r="E12" i="2" s="1"/>
  <c r="E50" i="3"/>
  <c r="E11" i="2" s="1"/>
  <c r="J251" i="2" s="1"/>
  <c r="D50" i="3"/>
  <c r="D11" i="2" s="1"/>
  <c r="I251" i="2" s="1"/>
  <c r="C13" i="2"/>
  <c r="B13" i="2"/>
  <c r="J252" i="2" l="1"/>
  <c r="I252" i="2"/>
  <c r="I11" i="2"/>
  <c r="M11" i="2" s="1"/>
  <c r="G11" i="2"/>
  <c r="J11" i="2" s="1"/>
  <c r="W11" i="2" s="1"/>
  <c r="I12" i="2"/>
  <c r="G12" i="2"/>
  <c r="J12" i="2" s="1"/>
  <c r="G20" i="2"/>
  <c r="J20" i="2" s="1"/>
  <c r="L11" i="2" l="1"/>
  <c r="K11" i="2"/>
  <c r="L12" i="2"/>
  <c r="W12" i="2"/>
  <c r="M12" i="2"/>
  <c r="K12" i="2"/>
  <c r="I21" i="2"/>
  <c r="K21" i="2" s="1"/>
  <c r="W20" i="2"/>
  <c r="L20" i="2"/>
  <c r="G21" i="2"/>
  <c r="J21" i="2" s="1"/>
  <c r="I20" i="2"/>
  <c r="M21" i="2" l="1"/>
  <c r="M20" i="2"/>
  <c r="K20" i="2"/>
  <c r="L21" i="2"/>
  <c r="W21" i="2"/>
  <c r="AX89" i="3"/>
  <c r="AX88" i="3"/>
  <c r="AX80" i="3"/>
  <c r="AX81" i="3"/>
  <c r="AX82" i="3"/>
  <c r="AX83" i="3"/>
  <c r="AX84" i="3"/>
  <c r="AX85" i="3"/>
  <c r="AX71" i="3"/>
  <c r="AX70" i="3"/>
  <c r="AX62" i="3"/>
  <c r="AX63" i="3"/>
  <c r="AX64" i="3"/>
  <c r="AX65" i="3"/>
  <c r="AX66" i="3"/>
  <c r="AX67" i="3"/>
  <c r="AY50" i="3"/>
  <c r="AY51" i="3"/>
  <c r="AX51" i="3"/>
  <c r="AX50" i="3"/>
  <c r="AX42" i="3"/>
  <c r="AY42" i="3"/>
  <c r="AX43" i="3"/>
  <c r="AY43" i="3"/>
  <c r="AX44" i="3"/>
  <c r="AY44" i="3"/>
  <c r="AX45" i="3"/>
  <c r="AY45" i="3"/>
  <c r="AX46" i="3"/>
  <c r="AY46" i="3"/>
  <c r="AX47" i="3"/>
  <c r="AY47" i="3"/>
  <c r="AV80" i="3" l="1"/>
  <c r="AV81" i="3"/>
  <c r="AV82" i="3"/>
  <c r="AV83" i="3"/>
  <c r="AV84" i="3"/>
  <c r="AV85" i="3"/>
  <c r="AV62" i="3"/>
  <c r="AV63" i="3"/>
  <c r="AV64" i="3"/>
  <c r="AV65" i="3"/>
  <c r="AV66" i="3"/>
  <c r="AV67" i="3"/>
  <c r="AV42" i="3"/>
  <c r="AW42" i="3"/>
  <c r="AV43" i="3"/>
  <c r="AW43" i="3"/>
  <c r="AV44" i="3"/>
  <c r="AW44" i="3"/>
  <c r="AV45" i="3"/>
  <c r="AW45" i="3"/>
  <c r="AV46" i="3"/>
  <c r="AW46" i="3"/>
  <c r="AV47" i="3"/>
  <c r="AW47" i="3"/>
  <c r="AZ88" i="3" l="1"/>
  <c r="BB88" i="3"/>
  <c r="BD88" i="3"/>
  <c r="BF88" i="3"/>
  <c r="AZ89" i="3"/>
  <c r="BB89" i="3"/>
  <c r="BD89" i="3"/>
  <c r="BF89" i="3"/>
  <c r="AZ70" i="3"/>
  <c r="BB70" i="3"/>
  <c r="BD70" i="3"/>
  <c r="BF70" i="3"/>
  <c r="AZ71" i="3"/>
  <c r="BB71" i="3"/>
  <c r="BD71" i="3"/>
  <c r="BF71" i="3"/>
  <c r="AZ50" i="3"/>
  <c r="BA50" i="3"/>
  <c r="BB50" i="3"/>
  <c r="BC50" i="3"/>
  <c r="BD50" i="3"/>
  <c r="BE50" i="3"/>
  <c r="BF50" i="3"/>
  <c r="BG50" i="3"/>
  <c r="AZ51" i="3"/>
  <c r="BA51" i="3"/>
  <c r="BB51" i="3"/>
  <c r="BC51" i="3"/>
  <c r="BD51" i="3"/>
  <c r="BE51" i="3"/>
  <c r="BF51" i="3"/>
  <c r="BG51" i="3"/>
  <c r="C214" i="2"/>
  <c r="B214" i="2"/>
  <c r="C207" i="2"/>
  <c r="B207" i="2"/>
  <c r="D252" i="2" l="1"/>
  <c r="E252" i="2" s="1"/>
  <c r="F252" i="2"/>
  <c r="G252" i="2" s="1"/>
  <c r="F251" i="2"/>
  <c r="G251" i="2" s="1"/>
  <c r="D251" i="2"/>
  <c r="E251" i="2" s="1"/>
  <c r="C180" i="2"/>
  <c r="B180" i="2"/>
  <c r="K252" i="2" l="1"/>
  <c r="L252" i="2" s="1"/>
  <c r="M252" i="2"/>
  <c r="N252" i="2" s="1"/>
  <c r="M251" i="2"/>
  <c r="N251" i="2" s="1"/>
  <c r="K251" i="2"/>
  <c r="L251" i="2" s="1"/>
  <c r="AT80" i="3"/>
  <c r="AT81" i="3"/>
  <c r="AT82" i="3"/>
  <c r="AT83" i="3"/>
  <c r="AT84" i="3"/>
  <c r="AT85" i="3"/>
  <c r="AT62" i="3"/>
  <c r="AT63" i="3"/>
  <c r="AT64" i="3"/>
  <c r="AT65" i="3"/>
  <c r="AT66" i="3"/>
  <c r="AT67" i="3"/>
  <c r="AT42" i="3"/>
  <c r="AU42" i="3"/>
  <c r="AT43" i="3"/>
  <c r="AU43" i="3"/>
  <c r="AT44" i="3"/>
  <c r="AU44" i="3"/>
  <c r="AT45" i="3"/>
  <c r="AU45" i="3"/>
  <c r="AT46" i="3"/>
  <c r="AU46" i="3"/>
  <c r="AT47" i="3"/>
  <c r="AU47" i="3"/>
  <c r="AR80" i="3" l="1"/>
  <c r="AR81" i="3"/>
  <c r="AR82" i="3"/>
  <c r="AR83" i="3"/>
  <c r="AR84" i="3"/>
  <c r="AR85" i="3"/>
  <c r="AR62" i="3"/>
  <c r="AR63" i="3"/>
  <c r="AR64" i="3"/>
  <c r="AR65" i="3"/>
  <c r="AR66" i="3"/>
  <c r="AR67" i="3"/>
  <c r="AR42" i="3"/>
  <c r="AS42" i="3"/>
  <c r="AR43" i="3"/>
  <c r="AS43" i="3"/>
  <c r="AR44" i="3"/>
  <c r="AS44" i="3"/>
  <c r="AR45" i="3"/>
  <c r="AS45" i="3"/>
  <c r="AR46" i="3"/>
  <c r="AS46" i="3"/>
  <c r="AR47" i="3"/>
  <c r="AS47" i="3"/>
  <c r="C152" i="2" l="1"/>
  <c r="B152" i="2"/>
  <c r="AN80" i="3" l="1"/>
  <c r="AN81" i="3"/>
  <c r="AN82" i="3"/>
  <c r="AN83" i="3"/>
  <c r="AN84" i="3"/>
  <c r="AN85" i="3"/>
  <c r="AN62" i="3"/>
  <c r="AN63" i="3"/>
  <c r="AN64" i="3"/>
  <c r="AN65" i="3"/>
  <c r="AN66" i="3"/>
  <c r="AN67" i="3"/>
  <c r="AN42" i="3"/>
  <c r="AO42" i="3"/>
  <c r="AN43" i="3"/>
  <c r="AO43" i="3"/>
  <c r="AN44" i="3"/>
  <c r="AO44" i="3"/>
  <c r="AN45" i="3"/>
  <c r="AO45" i="3"/>
  <c r="AN46" i="3"/>
  <c r="AO46" i="3"/>
  <c r="AN47" i="3"/>
  <c r="AO47" i="3"/>
  <c r="C145" i="2" l="1"/>
  <c r="B145" i="2"/>
  <c r="C138" i="2"/>
  <c r="B138" i="2"/>
  <c r="C131" i="2"/>
  <c r="B131" i="2"/>
  <c r="C124" i="2"/>
  <c r="B124" i="2"/>
  <c r="C117" i="2"/>
  <c r="B117" i="2"/>
  <c r="C110" i="2" l="1"/>
  <c r="B110" i="2"/>
  <c r="AB80" i="3" l="1"/>
  <c r="AB81" i="3"/>
  <c r="AB82" i="3"/>
  <c r="AB83" i="3"/>
  <c r="AB84" i="3"/>
  <c r="AB85" i="3"/>
  <c r="AB62" i="3"/>
  <c r="AB63" i="3"/>
  <c r="AB64" i="3"/>
  <c r="AB65" i="3"/>
  <c r="AB66" i="3"/>
  <c r="AB67" i="3"/>
  <c r="AB42" i="3"/>
  <c r="D97" i="2" s="1"/>
  <c r="AC42" i="3"/>
  <c r="E97" i="2" s="1"/>
  <c r="AB43" i="3"/>
  <c r="AC43" i="3"/>
  <c r="AB44" i="3"/>
  <c r="AC44" i="3"/>
  <c r="AB45" i="3"/>
  <c r="AC45" i="3"/>
  <c r="AB46" i="3"/>
  <c r="AC46" i="3"/>
  <c r="AB47" i="3"/>
  <c r="AC47" i="3"/>
  <c r="Z80" i="3" l="1"/>
  <c r="Z81" i="3"/>
  <c r="Z82" i="3"/>
  <c r="Z83" i="3"/>
  <c r="Z84" i="3"/>
  <c r="Z85" i="3"/>
  <c r="Z62" i="3"/>
  <c r="Z63" i="3"/>
  <c r="Z64" i="3"/>
  <c r="Z65" i="3"/>
  <c r="Z66" i="3"/>
  <c r="Z67" i="3"/>
  <c r="Z42" i="3"/>
  <c r="AA42" i="3"/>
  <c r="Z43" i="3"/>
  <c r="AA43" i="3"/>
  <c r="Z44" i="3"/>
  <c r="AA44" i="3"/>
  <c r="Z45" i="3"/>
  <c r="AA45" i="3"/>
  <c r="Z46" i="3"/>
  <c r="AA46" i="3"/>
  <c r="Z47" i="3"/>
  <c r="AA47" i="3"/>
  <c r="X80" i="3" l="1"/>
  <c r="X81" i="3"/>
  <c r="X82" i="3"/>
  <c r="X83" i="3"/>
  <c r="X84" i="3"/>
  <c r="X85" i="3"/>
  <c r="X62" i="3"/>
  <c r="X63" i="3"/>
  <c r="X64" i="3"/>
  <c r="X65" i="3"/>
  <c r="X66" i="3"/>
  <c r="X67" i="3"/>
  <c r="X42" i="3"/>
  <c r="D79" i="2" s="1"/>
  <c r="Y42" i="3"/>
  <c r="E79" i="2" s="1"/>
  <c r="X43" i="3"/>
  <c r="Y43" i="3"/>
  <c r="X44" i="3"/>
  <c r="D81" i="2" s="1"/>
  <c r="Y44" i="3"/>
  <c r="E81" i="2" s="1"/>
  <c r="X45" i="3"/>
  <c r="D82" i="2" s="1"/>
  <c r="Y45" i="3"/>
  <c r="E82" i="2" s="1"/>
  <c r="X46" i="3"/>
  <c r="D83" i="2" s="1"/>
  <c r="Y46" i="3"/>
  <c r="E83" i="2" s="1"/>
  <c r="X47" i="3"/>
  <c r="D84" i="2" s="1"/>
  <c r="Y47" i="3"/>
  <c r="E84" i="2" s="1"/>
  <c r="E80" i="2" l="1"/>
  <c r="E89" i="2" s="1"/>
  <c r="Y59" i="3"/>
  <c r="D80" i="2"/>
  <c r="X59" i="3"/>
  <c r="I83" i="2"/>
  <c r="M83" i="2" s="1"/>
  <c r="G83" i="2"/>
  <c r="J83" i="2" s="1"/>
  <c r="L83" i="2" s="1"/>
  <c r="G84" i="2"/>
  <c r="J84" i="2" s="1"/>
  <c r="L84" i="2" s="1"/>
  <c r="I84" i="2"/>
  <c r="M84" i="2" s="1"/>
  <c r="I82" i="2"/>
  <c r="M82" i="2" s="1"/>
  <c r="G82" i="2"/>
  <c r="J82" i="2" s="1"/>
  <c r="I81" i="2"/>
  <c r="G81" i="2"/>
  <c r="J81" i="2" s="1"/>
  <c r="G79" i="2"/>
  <c r="I79" i="2"/>
  <c r="V80" i="3"/>
  <c r="V81" i="3"/>
  <c r="V82" i="3"/>
  <c r="V83" i="3"/>
  <c r="V84" i="3"/>
  <c r="V85" i="3"/>
  <c r="V62" i="3"/>
  <c r="V63" i="3"/>
  <c r="V64" i="3"/>
  <c r="V65" i="3"/>
  <c r="V66" i="3"/>
  <c r="V67" i="3"/>
  <c r="V42" i="3"/>
  <c r="W42" i="3"/>
  <c r="V43" i="3"/>
  <c r="W43" i="3"/>
  <c r="V44" i="3"/>
  <c r="W44" i="3"/>
  <c r="V45" i="3"/>
  <c r="W45" i="3"/>
  <c r="V46" i="3"/>
  <c r="W46" i="3"/>
  <c r="V47" i="3"/>
  <c r="W47" i="3"/>
  <c r="G80" i="2" l="1"/>
  <c r="J80" i="2" s="1"/>
  <c r="L80" i="2" s="1"/>
  <c r="I80" i="2"/>
  <c r="K80" i="2" s="1"/>
  <c r="D89" i="2"/>
  <c r="K79" i="2"/>
  <c r="M79" i="2"/>
  <c r="W81" i="2"/>
  <c r="L81" i="2"/>
  <c r="W84" i="2"/>
  <c r="W82" i="2"/>
  <c r="L82" i="2"/>
  <c r="K84" i="2"/>
  <c r="W83" i="2"/>
  <c r="M81" i="2"/>
  <c r="K81" i="2"/>
  <c r="K82" i="2"/>
  <c r="J79" i="2"/>
  <c r="W79" i="2" s="1"/>
  <c r="K83" i="2"/>
  <c r="C71" i="2"/>
  <c r="B71" i="2"/>
  <c r="C64" i="2"/>
  <c r="B64" i="2"/>
  <c r="G89" i="2" l="1"/>
  <c r="W80" i="2"/>
  <c r="I89" i="2"/>
  <c r="M80" i="2"/>
  <c r="M89" i="2" s="1"/>
  <c r="J89" i="2"/>
  <c r="L79" i="2"/>
  <c r="L89" i="2" s="1"/>
  <c r="K89" i="2"/>
  <c r="B36" i="2" l="1"/>
  <c r="C36" i="2"/>
  <c r="H69" i="3" l="1"/>
  <c r="H68" i="3"/>
  <c r="H67" i="3"/>
  <c r="I49" i="3"/>
  <c r="H49" i="3"/>
  <c r="H48" i="3"/>
  <c r="A14" i="2" l="1"/>
  <c r="AG39" i="4" l="1"/>
  <c r="BL80" i="3"/>
  <c r="BL81" i="3"/>
  <c r="BL82" i="3"/>
  <c r="BL83" i="3"/>
  <c r="BL84" i="3"/>
  <c r="BL85" i="3"/>
  <c r="BL62" i="3"/>
  <c r="BL63" i="3"/>
  <c r="BL64" i="3"/>
  <c r="BL65" i="3"/>
  <c r="BL66" i="3"/>
  <c r="BL67" i="3"/>
  <c r="BL42" i="3"/>
  <c r="BM42" i="3"/>
  <c r="BL43" i="3"/>
  <c r="BM43" i="3"/>
  <c r="BL44" i="3"/>
  <c r="BM44" i="3"/>
  <c r="BL45" i="3"/>
  <c r="BM45" i="3"/>
  <c r="BL46" i="3"/>
  <c r="BM46" i="3"/>
  <c r="BL47" i="3"/>
  <c r="BM47" i="3"/>
  <c r="BJ80" i="3" l="1"/>
  <c r="BJ81" i="3"/>
  <c r="BJ82" i="3"/>
  <c r="BJ83" i="3"/>
  <c r="BJ84" i="3"/>
  <c r="BJ85" i="3"/>
  <c r="BJ62" i="3"/>
  <c r="BJ63" i="3"/>
  <c r="BJ64" i="3"/>
  <c r="BJ65" i="3"/>
  <c r="BJ66" i="3"/>
  <c r="BJ67" i="3"/>
  <c r="BJ42" i="3"/>
  <c r="BK42" i="3"/>
  <c r="BJ43" i="3"/>
  <c r="BK43" i="3"/>
  <c r="BJ44" i="3"/>
  <c r="BK44" i="3"/>
  <c r="BJ45" i="3"/>
  <c r="BK45" i="3"/>
  <c r="BJ46" i="3"/>
  <c r="BK46" i="3"/>
  <c r="BJ47" i="3"/>
  <c r="BK47" i="3"/>
  <c r="C235" i="2" l="1"/>
  <c r="B235" i="2"/>
  <c r="C228" i="2"/>
  <c r="B228" i="2"/>
  <c r="C221" i="2"/>
  <c r="B221" i="2"/>
  <c r="C166" i="2"/>
  <c r="B166" i="2"/>
  <c r="C159" i="2"/>
  <c r="B159" i="2"/>
  <c r="BH80" i="3" l="1"/>
  <c r="BH81" i="3"/>
  <c r="BH82" i="3"/>
  <c r="BH83" i="3"/>
  <c r="BH84" i="3"/>
  <c r="BH85" i="3"/>
  <c r="BH62" i="3"/>
  <c r="BH63" i="3"/>
  <c r="BH64" i="3"/>
  <c r="BH65" i="3"/>
  <c r="BH66" i="3"/>
  <c r="BH67" i="3"/>
  <c r="BH42" i="3"/>
  <c r="BI42" i="3"/>
  <c r="BH43" i="3"/>
  <c r="BI43" i="3"/>
  <c r="BH44" i="3"/>
  <c r="BI44" i="3"/>
  <c r="BH45" i="3"/>
  <c r="BI45" i="3"/>
  <c r="BH46" i="3"/>
  <c r="D219" i="2" s="1"/>
  <c r="BI46" i="3"/>
  <c r="BH47" i="3"/>
  <c r="D220" i="2" s="1"/>
  <c r="BI47" i="3"/>
  <c r="BD80" i="3" l="1"/>
  <c r="BD81" i="3"/>
  <c r="BD82" i="3"/>
  <c r="BD83" i="3"/>
  <c r="BD84" i="3"/>
  <c r="BD85" i="3"/>
  <c r="BD62" i="3"/>
  <c r="BD63" i="3"/>
  <c r="BD64" i="3"/>
  <c r="BD65" i="3"/>
  <c r="BD66" i="3"/>
  <c r="BD67" i="3"/>
  <c r="BD42" i="3"/>
  <c r="BE42" i="3"/>
  <c r="BD43" i="3"/>
  <c r="BE43" i="3"/>
  <c r="BD44" i="3"/>
  <c r="BE44" i="3"/>
  <c r="BD45" i="3"/>
  <c r="BE45" i="3"/>
  <c r="BD46" i="3"/>
  <c r="BE46" i="3"/>
  <c r="BD47" i="3"/>
  <c r="BE47" i="3"/>
  <c r="BE59" i="3" l="1"/>
  <c r="BD59" i="3"/>
  <c r="U22" i="4" l="1"/>
  <c r="U23" i="4"/>
  <c r="U24" i="4"/>
  <c r="U25" i="4"/>
  <c r="U26" i="4"/>
  <c r="AJ80" i="3" l="1"/>
  <c r="AJ81" i="3"/>
  <c r="AJ82" i="3"/>
  <c r="AJ83" i="3"/>
  <c r="AJ84" i="3"/>
  <c r="AJ85" i="3"/>
  <c r="AJ62" i="3"/>
  <c r="AJ63" i="3"/>
  <c r="AJ64" i="3"/>
  <c r="AJ65" i="3"/>
  <c r="AJ66" i="3"/>
  <c r="AJ67" i="3"/>
  <c r="AJ42" i="3"/>
  <c r="AK42" i="3"/>
  <c r="AJ43" i="3"/>
  <c r="AK43" i="3"/>
  <c r="AJ44" i="3"/>
  <c r="AK44" i="3"/>
  <c r="AJ45" i="3"/>
  <c r="AK45" i="3"/>
  <c r="AJ46" i="3"/>
  <c r="AK46" i="3"/>
  <c r="AJ47" i="3"/>
  <c r="AK47" i="3"/>
  <c r="B78" i="2" l="1"/>
  <c r="C78" i="2"/>
  <c r="J39" i="4" l="1"/>
  <c r="R80" i="3"/>
  <c r="R81" i="3"/>
  <c r="R82" i="3"/>
  <c r="R83" i="3"/>
  <c r="R84" i="3"/>
  <c r="R85" i="3"/>
  <c r="R62" i="3"/>
  <c r="R63" i="3"/>
  <c r="R64" i="3"/>
  <c r="R65" i="3"/>
  <c r="R66" i="3"/>
  <c r="R67" i="3"/>
  <c r="R42" i="3"/>
  <c r="S42" i="3"/>
  <c r="R43" i="3"/>
  <c r="S43" i="3"/>
  <c r="R44" i="3"/>
  <c r="S44" i="3"/>
  <c r="R45" i="3"/>
  <c r="S45" i="3"/>
  <c r="R46" i="3"/>
  <c r="S46" i="3"/>
  <c r="R47" i="3"/>
  <c r="S47" i="3"/>
  <c r="B81" i="1" l="1"/>
  <c r="G40" i="4" l="1"/>
  <c r="AF45" i="1" l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1" i="1" l="1"/>
  <c r="N235" i="2" s="1"/>
  <c r="B33" i="13" s="1"/>
  <c r="G33" i="13"/>
  <c r="AG40" i="4"/>
  <c r="AG48" i="4" s="1"/>
  <c r="AG41" i="4"/>
  <c r="BC42" i="3" l="1"/>
  <c r="BB42" i="3"/>
  <c r="E190" i="2" l="1"/>
  <c r="D190" i="2"/>
  <c r="AG26" i="4"/>
  <c r="AG25" i="4"/>
  <c r="AG24" i="4"/>
  <c r="AG23" i="4"/>
  <c r="AG22" i="4"/>
  <c r="AG10" i="4"/>
  <c r="AG9" i="4"/>
  <c r="AG8" i="4"/>
  <c r="AG7" i="4"/>
  <c r="AG6" i="4"/>
  <c r="AG5" i="4"/>
  <c r="E234" i="2"/>
  <c r="D234" i="2"/>
  <c r="E233" i="2"/>
  <c r="D233" i="2"/>
  <c r="E232" i="2"/>
  <c r="D232" i="2"/>
  <c r="E231" i="2"/>
  <c r="D231" i="2"/>
  <c r="E230" i="2"/>
  <c r="D230" i="2"/>
  <c r="D229" i="2"/>
  <c r="BM35" i="3"/>
  <c r="BL35" i="3"/>
  <c r="I190" i="2" l="1"/>
  <c r="M190" i="2" s="1"/>
  <c r="G190" i="2"/>
  <c r="J190" i="2" s="1"/>
  <c r="W190" i="2" s="1"/>
  <c r="E229" i="2"/>
  <c r="I229" i="2" s="1"/>
  <c r="I231" i="2"/>
  <c r="G231" i="2"/>
  <c r="J231" i="2" s="1"/>
  <c r="L231" i="2" s="1"/>
  <c r="I230" i="2"/>
  <c r="G230" i="2"/>
  <c r="J230" i="2" s="1"/>
  <c r="L230" i="2" s="1"/>
  <c r="G232" i="2"/>
  <c r="J232" i="2" s="1"/>
  <c r="L232" i="2" s="1"/>
  <c r="I232" i="2"/>
  <c r="I233" i="2"/>
  <c r="G233" i="2"/>
  <c r="J233" i="2" s="1"/>
  <c r="L233" i="2" s="1"/>
  <c r="G234" i="2"/>
  <c r="J234" i="2" s="1"/>
  <c r="L234" i="2" s="1"/>
  <c r="I234" i="2"/>
  <c r="D235" i="2"/>
  <c r="AG47" i="4"/>
  <c r="AG52" i="4" s="1"/>
  <c r="AG49" i="4"/>
  <c r="AG46" i="4"/>
  <c r="BL59" i="3"/>
  <c r="BM59" i="3"/>
  <c r="K190" i="2" l="1"/>
  <c r="L190" i="2"/>
  <c r="G229" i="2"/>
  <c r="J229" i="2" s="1"/>
  <c r="W229" i="2" s="1"/>
  <c r="K229" i="2"/>
  <c r="M229" i="2"/>
  <c r="M231" i="2"/>
  <c r="K231" i="2"/>
  <c r="K233" i="2"/>
  <c r="M233" i="2"/>
  <c r="M232" i="2"/>
  <c r="K232" i="2"/>
  <c r="M230" i="2"/>
  <c r="K230" i="2"/>
  <c r="E235" i="2"/>
  <c r="H33" i="13" s="1"/>
  <c r="M234" i="2"/>
  <c r="K234" i="2"/>
  <c r="I235" i="2"/>
  <c r="AF10" i="4"/>
  <c r="K235" i="2" l="1"/>
  <c r="L229" i="2"/>
  <c r="L235" i="2" s="1"/>
  <c r="G235" i="2"/>
  <c r="J235" i="2"/>
  <c r="M235" i="2"/>
  <c r="D227" i="2"/>
  <c r="D226" i="2"/>
  <c r="D225" i="2"/>
  <c r="D224" i="2"/>
  <c r="D223" i="2"/>
  <c r="D222" i="2"/>
  <c r="E227" i="2"/>
  <c r="E226" i="2"/>
  <c r="E225" i="2"/>
  <c r="E224" i="2"/>
  <c r="E223" i="2"/>
  <c r="E222" i="2"/>
  <c r="I222" i="2" l="1"/>
  <c r="G222" i="2"/>
  <c r="J222" i="2" s="1"/>
  <c r="L222" i="2" s="1"/>
  <c r="G223" i="2"/>
  <c r="J223" i="2" s="1"/>
  <c r="L223" i="2" s="1"/>
  <c r="I223" i="2"/>
  <c r="I224" i="2"/>
  <c r="G224" i="2"/>
  <c r="J224" i="2" s="1"/>
  <c r="L224" i="2" s="1"/>
  <c r="I225" i="2"/>
  <c r="G225" i="2"/>
  <c r="J225" i="2" s="1"/>
  <c r="L225" i="2" s="1"/>
  <c r="I226" i="2"/>
  <c r="G226" i="2"/>
  <c r="J226" i="2" s="1"/>
  <c r="L226" i="2" s="1"/>
  <c r="I227" i="2"/>
  <c r="G227" i="2"/>
  <c r="J227" i="2" s="1"/>
  <c r="L227" i="2" s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45" i="1"/>
  <c r="K227" i="2" l="1"/>
  <c r="M227" i="2"/>
  <c r="M226" i="2"/>
  <c r="K226" i="2"/>
  <c r="M225" i="2"/>
  <c r="K225" i="2"/>
  <c r="K224" i="2"/>
  <c r="M224" i="2"/>
  <c r="M223" i="2"/>
  <c r="K223" i="2"/>
  <c r="M222" i="2"/>
  <c r="K222" i="2"/>
  <c r="E206" i="2" l="1"/>
  <c r="D206" i="2"/>
  <c r="E205" i="2"/>
  <c r="D205" i="2"/>
  <c r="E204" i="2"/>
  <c r="D204" i="2"/>
  <c r="E203" i="2"/>
  <c r="D203" i="2"/>
  <c r="BF44" i="3"/>
  <c r="D210" i="2" s="1"/>
  <c r="E202" i="2"/>
  <c r="D202" i="2"/>
  <c r="E201" i="2"/>
  <c r="E207" i="2" s="1"/>
  <c r="D201" i="2"/>
  <c r="D207" i="2" l="1"/>
  <c r="I205" i="2"/>
  <c r="G205" i="2"/>
  <c r="J205" i="2" s="1"/>
  <c r="L205" i="2" s="1"/>
  <c r="I202" i="2"/>
  <c r="G202" i="2"/>
  <c r="J202" i="2" s="1"/>
  <c r="L202" i="2" s="1"/>
  <c r="I206" i="2"/>
  <c r="G206" i="2"/>
  <c r="J206" i="2" s="1"/>
  <c r="L206" i="2" s="1"/>
  <c r="G203" i="2"/>
  <c r="J203" i="2" s="1"/>
  <c r="L203" i="2" s="1"/>
  <c r="I203" i="2"/>
  <c r="G204" i="2"/>
  <c r="J204" i="2" s="1"/>
  <c r="L204" i="2" s="1"/>
  <c r="I204" i="2"/>
  <c r="I201" i="2"/>
  <c r="G201" i="2"/>
  <c r="BB85" i="3"/>
  <c r="BB84" i="3"/>
  <c r="BB83" i="3"/>
  <c r="BB82" i="3"/>
  <c r="BB81" i="3"/>
  <c r="BB80" i="3"/>
  <c r="BB67" i="3"/>
  <c r="AB10" i="4" s="1"/>
  <c r="BB66" i="3"/>
  <c r="AB9" i="4" s="1"/>
  <c r="BB65" i="3"/>
  <c r="BB64" i="3"/>
  <c r="BB63" i="3"/>
  <c r="BB62" i="3"/>
  <c r="BC46" i="3"/>
  <c r="E194" i="2" s="1"/>
  <c r="BC47" i="3"/>
  <c r="E195" i="2" s="1"/>
  <c r="BB47" i="3"/>
  <c r="D195" i="2" s="1"/>
  <c r="BB46" i="3"/>
  <c r="D194" i="2" s="1"/>
  <c r="BC45" i="3"/>
  <c r="E193" i="2" s="1"/>
  <c r="BB45" i="3"/>
  <c r="D193" i="2" s="1"/>
  <c r="BC44" i="3"/>
  <c r="E192" i="2" s="1"/>
  <c r="BB44" i="3"/>
  <c r="D192" i="2" s="1"/>
  <c r="BC43" i="3"/>
  <c r="BB43" i="3"/>
  <c r="BC59" i="3" l="1"/>
  <c r="BB59" i="3"/>
  <c r="I192" i="2"/>
  <c r="M192" i="2" s="1"/>
  <c r="D191" i="2"/>
  <c r="D200" i="2" s="1"/>
  <c r="E191" i="2"/>
  <c r="E200" i="2" s="1"/>
  <c r="G193" i="2"/>
  <c r="J193" i="2" s="1"/>
  <c r="W193" i="2" s="1"/>
  <c r="I193" i="2"/>
  <c r="G192" i="2"/>
  <c r="J192" i="2" s="1"/>
  <c r="W192" i="2" s="1"/>
  <c r="I194" i="2"/>
  <c r="G194" i="2"/>
  <c r="J194" i="2" s="1"/>
  <c r="W194" i="2" s="1"/>
  <c r="I195" i="2"/>
  <c r="G195" i="2"/>
  <c r="J195" i="2" s="1"/>
  <c r="W195" i="2" s="1"/>
  <c r="I207" i="2"/>
  <c r="J201" i="2"/>
  <c r="W201" i="2" s="1"/>
  <c r="G207" i="2"/>
  <c r="K201" i="2"/>
  <c r="M201" i="2"/>
  <c r="K204" i="2"/>
  <c r="M204" i="2"/>
  <c r="K203" i="2"/>
  <c r="M203" i="2"/>
  <c r="M206" i="2"/>
  <c r="K206" i="2"/>
  <c r="M202" i="2"/>
  <c r="K202" i="2"/>
  <c r="M205" i="2"/>
  <c r="K205" i="2"/>
  <c r="AZ85" i="3"/>
  <c r="AZ84" i="3"/>
  <c r="AZ83" i="3"/>
  <c r="AZ82" i="3"/>
  <c r="AZ81" i="3"/>
  <c r="AZ80" i="3"/>
  <c r="AZ67" i="3"/>
  <c r="AA10" i="4" s="1"/>
  <c r="AZ66" i="3"/>
  <c r="AA9" i="4" s="1"/>
  <c r="AZ65" i="3"/>
  <c r="AZ64" i="3"/>
  <c r="AZ63" i="3"/>
  <c r="AZ62" i="3"/>
  <c r="BA47" i="3"/>
  <c r="E186" i="2" s="1"/>
  <c r="AZ47" i="3"/>
  <c r="D186" i="2" s="1"/>
  <c r="BA46" i="3"/>
  <c r="E185" i="2" s="1"/>
  <c r="AZ46" i="3"/>
  <c r="D185" i="2" s="1"/>
  <c r="BA45" i="3"/>
  <c r="E184" i="2" s="1"/>
  <c r="AZ45" i="3"/>
  <c r="D184" i="2" s="1"/>
  <c r="BA44" i="3"/>
  <c r="E183" i="2" s="1"/>
  <c r="AZ44" i="3"/>
  <c r="D183" i="2" s="1"/>
  <c r="BA43" i="3"/>
  <c r="E182" i="2" s="1"/>
  <c r="AZ43" i="3"/>
  <c r="D182" i="2" s="1"/>
  <c r="BA42" i="3"/>
  <c r="AZ42" i="3"/>
  <c r="AZ59" i="3" l="1"/>
  <c r="BA59" i="3"/>
  <c r="K192" i="2"/>
  <c r="L192" i="2"/>
  <c r="L193" i="2"/>
  <c r="M195" i="2"/>
  <c r="K195" i="2"/>
  <c r="M194" i="2"/>
  <c r="K194" i="2"/>
  <c r="K193" i="2"/>
  <c r="M193" i="2"/>
  <c r="I191" i="2"/>
  <c r="I200" i="2" s="1"/>
  <c r="G191" i="2"/>
  <c r="G200" i="2" s="1"/>
  <c r="L194" i="2"/>
  <c r="L195" i="2"/>
  <c r="D181" i="2"/>
  <c r="D189" i="2" s="1"/>
  <c r="E181" i="2"/>
  <c r="E189" i="2" s="1"/>
  <c r="K207" i="2"/>
  <c r="M207" i="2"/>
  <c r="L201" i="2"/>
  <c r="L207" i="2" s="1"/>
  <c r="J207" i="2"/>
  <c r="G182" i="2"/>
  <c r="J182" i="2" s="1"/>
  <c r="L182" i="2" s="1"/>
  <c r="I182" i="2"/>
  <c r="I184" i="2"/>
  <c r="G184" i="2"/>
  <c r="J184" i="2" s="1"/>
  <c r="L184" i="2" s="1"/>
  <c r="I183" i="2"/>
  <c r="G183" i="2"/>
  <c r="J183" i="2" s="1"/>
  <c r="L183" i="2" s="1"/>
  <c r="I185" i="2"/>
  <c r="G185" i="2"/>
  <c r="J185" i="2" s="1"/>
  <c r="L185" i="2" s="1"/>
  <c r="I186" i="2"/>
  <c r="G186" i="2"/>
  <c r="J186" i="2" s="1"/>
  <c r="L186" i="2" s="1"/>
  <c r="E179" i="2"/>
  <c r="D179" i="2"/>
  <c r="E178" i="2"/>
  <c r="D178" i="2"/>
  <c r="E177" i="2"/>
  <c r="D177" i="2"/>
  <c r="E176" i="2"/>
  <c r="D176" i="2"/>
  <c r="E175" i="2"/>
  <c r="D175" i="2"/>
  <c r="G181" i="2" l="1"/>
  <c r="G189" i="2" s="1"/>
  <c r="I181" i="2"/>
  <c r="M191" i="2"/>
  <c r="M200" i="2" s="1"/>
  <c r="K191" i="2"/>
  <c r="K200" i="2" s="1"/>
  <c r="J191" i="2"/>
  <c r="W191" i="2" s="1"/>
  <c r="D174" i="2"/>
  <c r="D180" i="2" s="1"/>
  <c r="AX59" i="3"/>
  <c r="E174" i="2"/>
  <c r="E180" i="2" s="1"/>
  <c r="AY59" i="3"/>
  <c r="M184" i="2"/>
  <c r="K184" i="2"/>
  <c r="M182" i="2"/>
  <c r="K182" i="2"/>
  <c r="K185" i="2"/>
  <c r="M185" i="2"/>
  <c r="K186" i="2"/>
  <c r="M186" i="2"/>
  <c r="K183" i="2"/>
  <c r="M183" i="2"/>
  <c r="M181" i="2"/>
  <c r="G176" i="2"/>
  <c r="J176" i="2" s="1"/>
  <c r="L176" i="2" s="1"/>
  <c r="I176" i="2"/>
  <c r="I177" i="2"/>
  <c r="G177" i="2"/>
  <c r="J177" i="2" s="1"/>
  <c r="L177" i="2" s="1"/>
  <c r="I175" i="2"/>
  <c r="G175" i="2"/>
  <c r="J175" i="2" s="1"/>
  <c r="L175" i="2" s="1"/>
  <c r="I178" i="2"/>
  <c r="G178" i="2"/>
  <c r="J178" i="2" s="1"/>
  <c r="L178" i="2" s="1"/>
  <c r="I179" i="2"/>
  <c r="G179" i="2"/>
  <c r="J179" i="2" s="1"/>
  <c r="L179" i="2" s="1"/>
  <c r="U10" i="4"/>
  <c r="U9" i="4"/>
  <c r="W200" i="2" l="1"/>
  <c r="J200" i="2"/>
  <c r="J181" i="2"/>
  <c r="W181" i="2" s="1"/>
  <c r="M189" i="2"/>
  <c r="K181" i="2"/>
  <c r="K189" i="2" s="1"/>
  <c r="I189" i="2"/>
  <c r="L191" i="2"/>
  <c r="L200" i="2" s="1"/>
  <c r="I174" i="2"/>
  <c r="M174" i="2" s="1"/>
  <c r="G174" i="2"/>
  <c r="J174" i="2" s="1"/>
  <c r="M175" i="2"/>
  <c r="K175" i="2"/>
  <c r="K179" i="2"/>
  <c r="M179" i="2"/>
  <c r="M177" i="2"/>
  <c r="K177" i="2"/>
  <c r="K178" i="2"/>
  <c r="M178" i="2"/>
  <c r="K176" i="2"/>
  <c r="M176" i="2"/>
  <c r="T10" i="4"/>
  <c r="T9" i="4"/>
  <c r="J189" i="2" l="1"/>
  <c r="L181" i="2"/>
  <c r="L189" i="2" s="1"/>
  <c r="I180" i="2"/>
  <c r="K174" i="2"/>
  <c r="K180" i="2" s="1"/>
  <c r="J180" i="2"/>
  <c r="W174" i="2"/>
  <c r="G180" i="2"/>
  <c r="L174" i="2"/>
  <c r="L180" i="2" s="1"/>
  <c r="M180" i="2"/>
  <c r="AF85" i="3"/>
  <c r="AF84" i="3"/>
  <c r="AF83" i="3"/>
  <c r="AF82" i="3"/>
  <c r="AF81" i="3"/>
  <c r="AF80" i="3"/>
  <c r="AF67" i="3"/>
  <c r="AF66" i="3"/>
  <c r="AF65" i="3"/>
  <c r="AF64" i="3"/>
  <c r="AF63" i="3"/>
  <c r="AF62" i="3"/>
  <c r="AG47" i="3"/>
  <c r="AF47" i="3"/>
  <c r="AG46" i="3"/>
  <c r="AF46" i="3"/>
  <c r="AG45" i="3"/>
  <c r="AF45" i="3"/>
  <c r="AG44" i="3"/>
  <c r="AF44" i="3"/>
  <c r="AG43" i="3"/>
  <c r="AF43" i="3"/>
  <c r="AG42" i="3"/>
  <c r="AF42" i="3"/>
  <c r="E111" i="2" l="1"/>
  <c r="AD85" i="3"/>
  <c r="AD84" i="3"/>
  <c r="AD83" i="3"/>
  <c r="AD82" i="3"/>
  <c r="AD81" i="3"/>
  <c r="AD80" i="3"/>
  <c r="AD67" i="3"/>
  <c r="AD66" i="3"/>
  <c r="AD65" i="3"/>
  <c r="AD64" i="3"/>
  <c r="AD63" i="3"/>
  <c r="AD62" i="3"/>
  <c r="AE47" i="3"/>
  <c r="E109" i="2" s="1"/>
  <c r="AD47" i="3"/>
  <c r="D109" i="2" s="1"/>
  <c r="AE46" i="3"/>
  <c r="E108" i="2" s="1"/>
  <c r="AD46" i="3"/>
  <c r="D108" i="2" s="1"/>
  <c r="AE45" i="3"/>
  <c r="E107" i="2" s="1"/>
  <c r="AD45" i="3"/>
  <c r="D107" i="2" s="1"/>
  <c r="AE44" i="3"/>
  <c r="E106" i="2" s="1"/>
  <c r="AD44" i="3"/>
  <c r="D106" i="2" s="1"/>
  <c r="AE43" i="3"/>
  <c r="E105" i="2" s="1"/>
  <c r="AD43" i="3"/>
  <c r="D105" i="2" s="1"/>
  <c r="AE42" i="3"/>
  <c r="E104" i="2" s="1"/>
  <c r="AD42" i="3"/>
  <c r="D104" i="2" s="1"/>
  <c r="I105" i="2" l="1"/>
  <c r="G105" i="2"/>
  <c r="J105" i="2" s="1"/>
  <c r="I104" i="2"/>
  <c r="G104" i="2"/>
  <c r="J104" i="2" s="1"/>
  <c r="G106" i="2"/>
  <c r="J106" i="2" s="1"/>
  <c r="I106" i="2"/>
  <c r="I107" i="2"/>
  <c r="G107" i="2"/>
  <c r="J107" i="2" s="1"/>
  <c r="G108" i="2"/>
  <c r="J108" i="2" s="1"/>
  <c r="I108" i="2"/>
  <c r="I109" i="2"/>
  <c r="G109" i="2"/>
  <c r="J109" i="2" s="1"/>
  <c r="C96" i="2"/>
  <c r="B96" i="2"/>
  <c r="L109" i="2" l="1"/>
  <c r="W109" i="2"/>
  <c r="L107" i="2"/>
  <c r="W107" i="2"/>
  <c r="L104" i="2"/>
  <c r="W104" i="2"/>
  <c r="L105" i="2"/>
  <c r="W105" i="2"/>
  <c r="L108" i="2"/>
  <c r="W108" i="2"/>
  <c r="L106" i="2"/>
  <c r="W106" i="2"/>
  <c r="M105" i="2"/>
  <c r="K105" i="2"/>
  <c r="M108" i="2"/>
  <c r="K108" i="2"/>
  <c r="M106" i="2"/>
  <c r="K106" i="2"/>
  <c r="K104" i="2"/>
  <c r="M104" i="2"/>
  <c r="M109" i="2"/>
  <c r="K109" i="2"/>
  <c r="M107" i="2"/>
  <c r="K107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W231" i="2" l="1"/>
  <c r="W230" i="2"/>
  <c r="W234" i="2"/>
  <c r="W232" i="2"/>
  <c r="W233" i="2" l="1"/>
  <c r="O35" i="3" l="1"/>
  <c r="N35" i="3"/>
  <c r="M35" i="3"/>
  <c r="L35" i="3"/>
  <c r="C57" i="2"/>
  <c r="B57" i="2"/>
  <c r="C50" i="2"/>
  <c r="B50" i="2"/>
  <c r="C43" i="2"/>
  <c r="B43" i="2"/>
  <c r="C29" i="2"/>
  <c r="B29" i="2"/>
  <c r="V45" i="1" l="1"/>
  <c r="AF41" i="4" l="1"/>
  <c r="AQ35" i="3" l="1"/>
  <c r="AP35" i="3"/>
  <c r="J34" i="13" l="1"/>
  <c r="I34" i="13"/>
  <c r="B242" i="2" l="1"/>
  <c r="B241" i="2"/>
  <c r="B240" i="2"/>
  <c r="B239" i="2"/>
  <c r="V239" i="2" l="1"/>
  <c r="U239" i="2"/>
  <c r="T239" i="2"/>
  <c r="Q239" i="2"/>
  <c r="D160" i="2" l="1"/>
  <c r="D161" i="2"/>
  <c r="C243" i="2" l="1"/>
  <c r="C240" i="2" l="1"/>
  <c r="C241" i="2"/>
  <c r="F241" i="2" s="1"/>
  <c r="C242" i="2"/>
  <c r="F242" i="2" s="1"/>
  <c r="P239" i="2" l="1"/>
  <c r="S239" i="2"/>
  <c r="R239" i="2"/>
  <c r="C239" i="2" l="1"/>
  <c r="C254" i="2" s="1"/>
  <c r="B254" i="2"/>
  <c r="AF40" i="4" l="1"/>
  <c r="AF39" i="4" l="1"/>
  <c r="AE41" i="4" l="1"/>
  <c r="AE40" i="4"/>
  <c r="AE39" i="4"/>
  <c r="Z39" i="4"/>
  <c r="Z41" i="4"/>
  <c r="Z40" i="4"/>
  <c r="BJ35" i="3"/>
  <c r="BK35" i="3"/>
  <c r="BI35" i="3" l="1"/>
  <c r="BH35" i="3"/>
  <c r="AD81" i="1" l="1"/>
  <c r="N221" i="2" s="1"/>
  <c r="B31" i="13" s="1"/>
  <c r="AE81" i="1"/>
  <c r="N228" i="2" s="1"/>
  <c r="B32" i="13" l="1"/>
  <c r="G31" i="13"/>
  <c r="AF26" i="4"/>
  <c r="AE26" i="4"/>
  <c r="AF25" i="4"/>
  <c r="AE25" i="4"/>
  <c r="AF24" i="4"/>
  <c r="AE24" i="4"/>
  <c r="AF23" i="4"/>
  <c r="AE23" i="4"/>
  <c r="AF22" i="4"/>
  <c r="AE22" i="4"/>
  <c r="AE10" i="4"/>
  <c r="AF9" i="4"/>
  <c r="AF8" i="4"/>
  <c r="AF7" i="4"/>
  <c r="AE7" i="4"/>
  <c r="AF6" i="4"/>
  <c r="AE6" i="4"/>
  <c r="AF5" i="4"/>
  <c r="AE5" i="4"/>
  <c r="E220" i="2"/>
  <c r="E219" i="2"/>
  <c r="E218" i="2"/>
  <c r="D218" i="2"/>
  <c r="E217" i="2"/>
  <c r="D217" i="2"/>
  <c r="E216" i="2"/>
  <c r="D216" i="2"/>
  <c r="E215" i="2"/>
  <c r="D215" i="2"/>
  <c r="AE48" i="4" l="1"/>
  <c r="AF48" i="4"/>
  <c r="I216" i="2"/>
  <c r="G216" i="2"/>
  <c r="J216" i="2" s="1"/>
  <c r="L216" i="2" s="1"/>
  <c r="I217" i="2"/>
  <c r="G217" i="2"/>
  <c r="J217" i="2" s="1"/>
  <c r="L217" i="2" s="1"/>
  <c r="I215" i="2"/>
  <c r="G215" i="2"/>
  <c r="J215" i="2" s="1"/>
  <c r="G218" i="2"/>
  <c r="J218" i="2" s="1"/>
  <c r="L218" i="2" s="1"/>
  <c r="I218" i="2"/>
  <c r="I219" i="2"/>
  <c r="G219" i="2"/>
  <c r="J219" i="2" s="1"/>
  <c r="L219" i="2" s="1"/>
  <c r="I220" i="2"/>
  <c r="G220" i="2"/>
  <c r="J220" i="2" s="1"/>
  <c r="L220" i="2" s="1"/>
  <c r="AF49" i="4"/>
  <c r="BJ59" i="3"/>
  <c r="BH59" i="3"/>
  <c r="BK59" i="3"/>
  <c r="E221" i="2"/>
  <c r="BI59" i="3"/>
  <c r="G32" i="13"/>
  <c r="AF47" i="4"/>
  <c r="AF52" i="4" s="1"/>
  <c r="AF46" i="4"/>
  <c r="AE8" i="4"/>
  <c r="AE9" i="4"/>
  <c r="AE47" i="4"/>
  <c r="L215" i="2" l="1"/>
  <c r="W215" i="2"/>
  <c r="M219" i="2"/>
  <c r="K219" i="2"/>
  <c r="K220" i="2"/>
  <c r="M220" i="2"/>
  <c r="M215" i="2"/>
  <c r="K215" i="2"/>
  <c r="M217" i="2"/>
  <c r="K217" i="2"/>
  <c r="M218" i="2"/>
  <c r="K218" i="2"/>
  <c r="K216" i="2"/>
  <c r="M216" i="2"/>
  <c r="AE49" i="4"/>
  <c r="W216" i="2"/>
  <c r="W224" i="2"/>
  <c r="W226" i="2"/>
  <c r="AE52" i="4"/>
  <c r="D221" i="2"/>
  <c r="H31" i="13" s="1"/>
  <c r="AE46" i="4"/>
  <c r="W223" i="2"/>
  <c r="W225" i="2"/>
  <c r="AU35" i="3" l="1"/>
  <c r="AT35" i="3"/>
  <c r="AS35" i="3"/>
  <c r="AR35" i="3"/>
  <c r="AO35" i="3"/>
  <c r="AN35" i="3"/>
  <c r="AM35" i="3"/>
  <c r="AL35" i="3"/>
  <c r="C103" i="2" l="1"/>
  <c r="B103" i="2"/>
  <c r="AG35" i="3" l="1"/>
  <c r="AF35" i="3"/>
  <c r="AE35" i="3"/>
  <c r="AD35" i="3"/>
  <c r="L76" i="1" l="1"/>
  <c r="L77" i="1"/>
  <c r="L78" i="1"/>
  <c r="L79" i="1"/>
  <c r="K76" i="1" l="1"/>
  <c r="K77" i="1"/>
  <c r="K78" i="1"/>
  <c r="K79" i="1"/>
  <c r="BE35" i="3" l="1"/>
  <c r="BD35" i="3"/>
  <c r="BC35" i="3"/>
  <c r="BB35" i="3"/>
  <c r="BA35" i="3"/>
  <c r="AZ35" i="3"/>
  <c r="AY35" i="3"/>
  <c r="AX35" i="3"/>
  <c r="AK35" i="3"/>
  <c r="AJ35" i="3"/>
  <c r="AC35" i="3"/>
  <c r="AB35" i="3"/>
  <c r="AA35" i="3"/>
  <c r="Z35" i="3"/>
  <c r="Y35" i="3"/>
  <c r="X35" i="3"/>
  <c r="W35" i="3"/>
  <c r="V35" i="3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35" i="3" l="1"/>
  <c r="AV35" i="3"/>
  <c r="AI35" i="3"/>
  <c r="AH35" i="3"/>
  <c r="U35" i="3"/>
  <c r="T35" i="3"/>
  <c r="Q35" i="3"/>
  <c r="P35" i="3"/>
  <c r="K35" i="3"/>
  <c r="J35" i="3"/>
  <c r="I35" i="3"/>
  <c r="H35" i="3"/>
  <c r="G35" i="3"/>
  <c r="F35" i="3"/>
  <c r="E35" i="3"/>
  <c r="D35" i="3"/>
  <c r="G3" i="13" l="1"/>
  <c r="D41" i="4"/>
  <c r="AF50" i="4" l="1"/>
  <c r="AF53" i="4"/>
  <c r="AF51" i="4"/>
  <c r="B11" i="11"/>
  <c r="K32" i="13" l="1"/>
  <c r="BG35" i="3" l="1"/>
  <c r="BF35" i="3"/>
  <c r="D40" i="4" l="1"/>
  <c r="R59" i="3" l="1"/>
  <c r="N42" i="4" l="1"/>
  <c r="G42" i="4" l="1"/>
  <c r="D39" i="4" l="1"/>
  <c r="E42" i="4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41" i="4" l="1"/>
  <c r="AC41" i="4"/>
  <c r="AB41" i="4"/>
  <c r="AA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G41" i="4"/>
  <c r="F41" i="4"/>
  <c r="E41" i="4"/>
  <c r="I41" i="4"/>
  <c r="H41" i="4"/>
  <c r="C41" i="4"/>
  <c r="AE50" i="4" l="1"/>
  <c r="AE53" i="4"/>
  <c r="AE51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AG51" i="4" l="1"/>
  <c r="AG53" i="4"/>
  <c r="K33" i="13" s="1"/>
  <c r="AG50" i="4"/>
  <c r="K31" i="13"/>
  <c r="AD40" i="4"/>
  <c r="AD48" i="4" s="1"/>
  <c r="AD39" i="4"/>
  <c r="G10" i="13" l="1"/>
  <c r="G11" i="13" l="1"/>
  <c r="C45" i="1" l="1"/>
  <c r="D45" i="1"/>
  <c r="F45" i="1"/>
  <c r="G45" i="1"/>
  <c r="H45" i="1"/>
  <c r="I45" i="1"/>
  <c r="J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J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J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J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J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J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J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J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J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J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J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J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J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J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J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J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J61" i="1"/>
  <c r="K61" i="1"/>
  <c r="L61" i="1"/>
  <c r="M61" i="1"/>
  <c r="N61" i="1"/>
  <c r="O61" i="1"/>
  <c r="P61" i="1"/>
  <c r="C62" i="1"/>
  <c r="D62" i="1"/>
  <c r="F62" i="1"/>
  <c r="G62" i="1"/>
  <c r="H62" i="1"/>
  <c r="I62" i="1"/>
  <c r="J62" i="1"/>
  <c r="K62" i="1"/>
  <c r="L62" i="1"/>
  <c r="M62" i="1"/>
  <c r="N62" i="1"/>
  <c r="O62" i="1"/>
  <c r="P62" i="1"/>
  <c r="C63" i="1"/>
  <c r="D63" i="1"/>
  <c r="F63" i="1"/>
  <c r="G63" i="1"/>
  <c r="H63" i="1"/>
  <c r="I63" i="1"/>
  <c r="J63" i="1"/>
  <c r="K63" i="1"/>
  <c r="L63" i="1"/>
  <c r="M63" i="1"/>
  <c r="N63" i="1"/>
  <c r="O63" i="1"/>
  <c r="P63" i="1"/>
  <c r="C64" i="1"/>
  <c r="D64" i="1"/>
  <c r="F64" i="1"/>
  <c r="G64" i="1"/>
  <c r="H64" i="1"/>
  <c r="I64" i="1"/>
  <c r="J64" i="1"/>
  <c r="K64" i="1"/>
  <c r="L64" i="1"/>
  <c r="M64" i="1"/>
  <c r="N64" i="1"/>
  <c r="O64" i="1"/>
  <c r="P64" i="1"/>
  <c r="C65" i="1"/>
  <c r="D65" i="1"/>
  <c r="F65" i="1"/>
  <c r="G65" i="1"/>
  <c r="H65" i="1"/>
  <c r="I65" i="1"/>
  <c r="J65" i="1"/>
  <c r="K65" i="1"/>
  <c r="L65" i="1"/>
  <c r="M65" i="1"/>
  <c r="N65" i="1"/>
  <c r="O65" i="1"/>
  <c r="P65" i="1"/>
  <c r="C66" i="1"/>
  <c r="D66" i="1"/>
  <c r="F66" i="1"/>
  <c r="G66" i="1"/>
  <c r="H66" i="1"/>
  <c r="I66" i="1"/>
  <c r="J66" i="1"/>
  <c r="K66" i="1"/>
  <c r="L66" i="1"/>
  <c r="M66" i="1"/>
  <c r="N66" i="1"/>
  <c r="O66" i="1"/>
  <c r="P66" i="1"/>
  <c r="C67" i="1"/>
  <c r="D67" i="1"/>
  <c r="F67" i="1"/>
  <c r="G67" i="1"/>
  <c r="H67" i="1"/>
  <c r="I67" i="1"/>
  <c r="J67" i="1"/>
  <c r="K67" i="1"/>
  <c r="L67" i="1"/>
  <c r="M67" i="1"/>
  <c r="N67" i="1"/>
  <c r="O67" i="1"/>
  <c r="P67" i="1"/>
  <c r="C68" i="1"/>
  <c r="D68" i="1"/>
  <c r="F68" i="1"/>
  <c r="G68" i="1"/>
  <c r="H68" i="1"/>
  <c r="I68" i="1"/>
  <c r="J68" i="1"/>
  <c r="K68" i="1"/>
  <c r="L68" i="1"/>
  <c r="M68" i="1"/>
  <c r="N68" i="1"/>
  <c r="O68" i="1"/>
  <c r="P68" i="1"/>
  <c r="C69" i="1"/>
  <c r="D69" i="1"/>
  <c r="F69" i="1"/>
  <c r="G69" i="1"/>
  <c r="H69" i="1"/>
  <c r="I69" i="1"/>
  <c r="J69" i="1"/>
  <c r="K69" i="1"/>
  <c r="L69" i="1"/>
  <c r="M69" i="1"/>
  <c r="N69" i="1"/>
  <c r="O69" i="1"/>
  <c r="P69" i="1"/>
  <c r="C70" i="1"/>
  <c r="D70" i="1"/>
  <c r="F70" i="1"/>
  <c r="G70" i="1"/>
  <c r="H70" i="1"/>
  <c r="I70" i="1"/>
  <c r="J70" i="1"/>
  <c r="K70" i="1"/>
  <c r="L70" i="1"/>
  <c r="M70" i="1"/>
  <c r="N70" i="1"/>
  <c r="O70" i="1"/>
  <c r="P70" i="1"/>
  <c r="C71" i="1"/>
  <c r="D71" i="1"/>
  <c r="F71" i="1"/>
  <c r="G71" i="1"/>
  <c r="H71" i="1"/>
  <c r="I71" i="1"/>
  <c r="J71" i="1"/>
  <c r="K71" i="1"/>
  <c r="L71" i="1"/>
  <c r="M71" i="1"/>
  <c r="N71" i="1"/>
  <c r="O71" i="1"/>
  <c r="P71" i="1"/>
  <c r="C72" i="1"/>
  <c r="D72" i="1"/>
  <c r="F72" i="1"/>
  <c r="G72" i="1"/>
  <c r="H72" i="1"/>
  <c r="I72" i="1"/>
  <c r="J72" i="1"/>
  <c r="K72" i="1"/>
  <c r="L72" i="1"/>
  <c r="M72" i="1"/>
  <c r="N72" i="1"/>
  <c r="O72" i="1"/>
  <c r="P72" i="1"/>
  <c r="C73" i="1"/>
  <c r="D73" i="1"/>
  <c r="F73" i="1"/>
  <c r="G73" i="1"/>
  <c r="H73" i="1"/>
  <c r="I73" i="1"/>
  <c r="J73" i="1"/>
  <c r="K73" i="1"/>
  <c r="L73" i="1"/>
  <c r="M73" i="1"/>
  <c r="N73" i="1"/>
  <c r="O73" i="1"/>
  <c r="P73" i="1"/>
  <c r="C74" i="1"/>
  <c r="D74" i="1"/>
  <c r="F74" i="1"/>
  <c r="G74" i="1"/>
  <c r="H74" i="1"/>
  <c r="I74" i="1"/>
  <c r="J74" i="1"/>
  <c r="K74" i="1"/>
  <c r="L74" i="1"/>
  <c r="M74" i="1"/>
  <c r="N74" i="1"/>
  <c r="O74" i="1"/>
  <c r="P74" i="1"/>
  <c r="C75" i="1"/>
  <c r="D75" i="1"/>
  <c r="F75" i="1"/>
  <c r="G75" i="1"/>
  <c r="H75" i="1"/>
  <c r="I75" i="1"/>
  <c r="J75" i="1"/>
  <c r="K75" i="1"/>
  <c r="L75" i="1"/>
  <c r="M75" i="1"/>
  <c r="N75" i="1"/>
  <c r="O75" i="1"/>
  <c r="P75" i="1"/>
  <c r="C76" i="1"/>
  <c r="D76" i="1"/>
  <c r="F76" i="1"/>
  <c r="G76" i="1"/>
  <c r="H76" i="1"/>
  <c r="I76" i="1"/>
  <c r="J76" i="1"/>
  <c r="M76" i="1"/>
  <c r="N76" i="1"/>
  <c r="O76" i="1"/>
  <c r="P76" i="1"/>
  <c r="C77" i="1"/>
  <c r="D77" i="1"/>
  <c r="F77" i="1"/>
  <c r="G77" i="1"/>
  <c r="H77" i="1"/>
  <c r="I77" i="1"/>
  <c r="J77" i="1"/>
  <c r="M77" i="1"/>
  <c r="N77" i="1"/>
  <c r="O77" i="1"/>
  <c r="P77" i="1"/>
  <c r="C78" i="1"/>
  <c r="D78" i="1"/>
  <c r="F78" i="1"/>
  <c r="G78" i="1"/>
  <c r="H78" i="1"/>
  <c r="I78" i="1"/>
  <c r="J78" i="1"/>
  <c r="M78" i="1"/>
  <c r="N78" i="1"/>
  <c r="O78" i="1"/>
  <c r="P78" i="1"/>
  <c r="C79" i="1"/>
  <c r="D79" i="1"/>
  <c r="F79" i="1"/>
  <c r="G79" i="1"/>
  <c r="H79" i="1"/>
  <c r="I79" i="1"/>
  <c r="J79" i="1"/>
  <c r="M79" i="1"/>
  <c r="N79" i="1"/>
  <c r="O79" i="1"/>
  <c r="P79" i="1"/>
  <c r="AC39" i="4" l="1"/>
  <c r="AC48" i="4" s="1"/>
  <c r="AB40" i="4" l="1"/>
  <c r="AB39" i="4"/>
  <c r="AB48" i="4" l="1"/>
  <c r="AA40" i="4"/>
  <c r="AA39" i="4"/>
  <c r="Y40" i="4" l="1"/>
  <c r="X40" i="4"/>
  <c r="W40" i="4"/>
  <c r="X39" i="4"/>
  <c r="W39" i="4"/>
  <c r="V40" i="4" l="1"/>
  <c r="V39" i="4"/>
  <c r="U40" i="4"/>
  <c r="T40" i="4"/>
  <c r="U39" i="4"/>
  <c r="T39" i="4"/>
  <c r="U48" i="4" l="1"/>
  <c r="S39" i="4"/>
  <c r="S40" i="4"/>
  <c r="R40" i="4"/>
  <c r="R39" i="4"/>
  <c r="Q40" i="4" l="1"/>
  <c r="Q39" i="4"/>
  <c r="P40" i="4" l="1"/>
  <c r="P39" i="4"/>
  <c r="O40" i="4" l="1"/>
  <c r="O39" i="4"/>
  <c r="N40" i="4" l="1"/>
  <c r="N39" i="4"/>
  <c r="M39" i="4" l="1"/>
  <c r="L39" i="4"/>
  <c r="M40" i="4"/>
  <c r="L40" i="4"/>
  <c r="L48" i="4" s="1"/>
  <c r="K40" i="4"/>
  <c r="K39" i="4"/>
  <c r="J40" i="4"/>
  <c r="I40" i="4" l="1"/>
  <c r="I39" i="4"/>
  <c r="H40" i="4" l="1"/>
  <c r="H39" i="4"/>
  <c r="G39" i="4"/>
  <c r="F40" i="4"/>
  <c r="F39" i="4"/>
  <c r="E40" i="4"/>
  <c r="C40" i="4"/>
  <c r="C39" i="4"/>
  <c r="E228" i="2" l="1"/>
  <c r="N13" i="2"/>
  <c r="C81" i="1" l="1"/>
  <c r="N22" i="2" s="1"/>
  <c r="Q81" i="1"/>
  <c r="N124" i="2" s="1"/>
  <c r="B18" i="13" s="1"/>
  <c r="AC81" i="1"/>
  <c r="N214" i="2" s="1"/>
  <c r="B30" i="13" s="1"/>
  <c r="O81" i="1"/>
  <c r="K81" i="1"/>
  <c r="N78" i="2" s="1"/>
  <c r="B12" i="13" s="1"/>
  <c r="G81" i="1"/>
  <c r="F81" i="1"/>
  <c r="N43" i="2" s="1"/>
  <c r="N81" i="1"/>
  <c r="N103" i="2" s="1"/>
  <c r="B15" i="13" s="1"/>
  <c r="J81" i="1"/>
  <c r="N71" i="2" s="1"/>
  <c r="M81" i="1"/>
  <c r="I81" i="1"/>
  <c r="N64" i="2" s="1"/>
  <c r="B10" i="13" s="1"/>
  <c r="E81" i="1"/>
  <c r="N36" i="2" s="1"/>
  <c r="P81" i="1"/>
  <c r="N117" i="2" s="1"/>
  <c r="L81" i="1"/>
  <c r="N89" i="2" s="1"/>
  <c r="H81" i="1"/>
  <c r="N57" i="2" s="1"/>
  <c r="B9" i="13" s="1"/>
  <c r="D81" i="1"/>
  <c r="N29" i="2" s="1"/>
  <c r="AB81" i="1"/>
  <c r="AA81" i="1"/>
  <c r="N200" i="2" s="1"/>
  <c r="O200" i="2" s="1"/>
  <c r="Z81" i="1"/>
  <c r="N189" i="2" s="1"/>
  <c r="Y81" i="1"/>
  <c r="N180" i="2" s="1"/>
  <c r="X81" i="1"/>
  <c r="N173" i="2" s="1"/>
  <c r="W81" i="1"/>
  <c r="N166" i="2" s="1"/>
  <c r="R81" i="1"/>
  <c r="N131" i="2" s="1"/>
  <c r="B19" i="13" s="1"/>
  <c r="V81" i="1"/>
  <c r="N159" i="2" s="1"/>
  <c r="U81" i="1"/>
  <c r="T81" i="1"/>
  <c r="N145" i="2" s="1"/>
  <c r="S81" i="1"/>
  <c r="N138" i="2" s="1"/>
  <c r="B11" i="13" l="1"/>
  <c r="B20" i="13"/>
  <c r="B27" i="13"/>
  <c r="B26" i="13"/>
  <c r="B24" i="13"/>
  <c r="B23" i="13"/>
  <c r="N50" i="2"/>
  <c r="B8" i="13" s="1"/>
  <c r="B25" i="13"/>
  <c r="B17" i="13"/>
  <c r="B6" i="13"/>
  <c r="B7" i="13"/>
  <c r="B5" i="13"/>
  <c r="B4" i="13"/>
  <c r="G29" i="13"/>
  <c r="G8" i="13" l="1"/>
  <c r="G7" i="13"/>
  <c r="V8" i="4" l="1"/>
  <c r="C259" i="2" l="1"/>
  <c r="B3" i="13" l="1"/>
  <c r="D62" i="2" l="1"/>
  <c r="T42" i="3" l="1"/>
  <c r="D65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59" i="2"/>
  <c r="D74" i="2"/>
  <c r="BF84" i="3"/>
  <c r="AH84" i="3"/>
  <c r="T84" i="3"/>
  <c r="L84" i="3"/>
  <c r="J84" i="3"/>
  <c r="H84" i="3"/>
  <c r="F84" i="3"/>
  <c r="D84" i="3"/>
  <c r="BF66" i="3"/>
  <c r="AD9" i="4" s="1"/>
  <c r="AC9" i="4"/>
  <c r="Z9" i="4"/>
  <c r="Y9" i="4"/>
  <c r="X9" i="4"/>
  <c r="W9" i="4"/>
  <c r="V9" i="4"/>
  <c r="S9" i="4"/>
  <c r="AH66" i="3"/>
  <c r="R9" i="4" s="1"/>
  <c r="Q9" i="4"/>
  <c r="P9" i="4"/>
  <c r="O9" i="4"/>
  <c r="N9" i="4"/>
  <c r="M9" i="4"/>
  <c r="L9" i="4"/>
  <c r="T66" i="3"/>
  <c r="K9" i="4" s="1"/>
  <c r="J9" i="4"/>
  <c r="I9" i="4"/>
  <c r="H9" i="4"/>
  <c r="L66" i="3"/>
  <c r="G9" i="4" s="1"/>
  <c r="J66" i="3"/>
  <c r="F9" i="4" s="1"/>
  <c r="H66" i="3"/>
  <c r="E9" i="4" s="1"/>
  <c r="F66" i="3"/>
  <c r="D9" i="4" s="1"/>
  <c r="D66" i="3"/>
  <c r="C9" i="4" s="1"/>
  <c r="BG46" i="3"/>
  <c r="E212" i="2" s="1"/>
  <c r="BF46" i="3"/>
  <c r="D212" i="2" s="1"/>
  <c r="E171" i="2"/>
  <c r="D171" i="2"/>
  <c r="E164" i="2"/>
  <c r="D164" i="2"/>
  <c r="E157" i="2"/>
  <c r="D157" i="2"/>
  <c r="E150" i="2"/>
  <c r="D150" i="2"/>
  <c r="E143" i="2"/>
  <c r="D143" i="2"/>
  <c r="E136" i="2"/>
  <c r="D136" i="2"/>
  <c r="E129" i="2"/>
  <c r="D129" i="2"/>
  <c r="AI46" i="3"/>
  <c r="E122" i="2" s="1"/>
  <c r="AH46" i="3"/>
  <c r="D122" i="2" s="1"/>
  <c r="E115" i="2"/>
  <c r="D115" i="2"/>
  <c r="E101" i="2"/>
  <c r="D101" i="2"/>
  <c r="E94" i="2"/>
  <c r="D94" i="2"/>
  <c r="E76" i="2"/>
  <c r="D76" i="2"/>
  <c r="U46" i="3"/>
  <c r="E69" i="2" s="1"/>
  <c r="T46" i="3"/>
  <c r="D69" i="2" s="1"/>
  <c r="E62" i="2"/>
  <c r="E55" i="2"/>
  <c r="D55" i="2"/>
  <c r="E48" i="2"/>
  <c r="D48" i="2"/>
  <c r="M46" i="3"/>
  <c r="E41" i="2" s="1"/>
  <c r="L46" i="3"/>
  <c r="D41" i="2" s="1"/>
  <c r="K46" i="3"/>
  <c r="E34" i="2" s="1"/>
  <c r="J46" i="3"/>
  <c r="D34" i="2" s="1"/>
  <c r="I46" i="3"/>
  <c r="E27" i="2" s="1"/>
  <c r="H46" i="3"/>
  <c r="D27" i="2" s="1"/>
  <c r="G46" i="3"/>
  <c r="E18" i="2" s="1"/>
  <c r="F46" i="3"/>
  <c r="D18" i="2" s="1"/>
  <c r="E46" i="3"/>
  <c r="E9" i="2" s="1"/>
  <c r="D46" i="3"/>
  <c r="D9" i="2" s="1"/>
  <c r="D140" i="2"/>
  <c r="E140" i="2"/>
  <c r="D141" i="2"/>
  <c r="E141" i="2"/>
  <c r="D142" i="2"/>
  <c r="E142" i="2"/>
  <c r="D144" i="2"/>
  <c r="E144" i="2"/>
  <c r="L42" i="3"/>
  <c r="L43" i="3"/>
  <c r="D38" i="2" s="1"/>
  <c r="L44" i="3"/>
  <c r="D39" i="2" s="1"/>
  <c r="L45" i="3"/>
  <c r="D40" i="2" s="1"/>
  <c r="L47" i="3"/>
  <c r="D42" i="2" s="1"/>
  <c r="L62" i="3"/>
  <c r="BG43" i="3"/>
  <c r="E209" i="2" s="1"/>
  <c r="BF43" i="3"/>
  <c r="D209" i="2" s="1"/>
  <c r="A23" i="2"/>
  <c r="A30" i="2" s="1"/>
  <c r="A37" i="2" s="1"/>
  <c r="A44" i="2" s="1"/>
  <c r="D167" i="2"/>
  <c r="O10" i="4"/>
  <c r="O8" i="4"/>
  <c r="O7" i="4"/>
  <c r="O6" i="4"/>
  <c r="N26" i="4"/>
  <c r="N25" i="4"/>
  <c r="N24" i="4"/>
  <c r="N23" i="4"/>
  <c r="N22" i="4"/>
  <c r="N10" i="4"/>
  <c r="N8" i="4"/>
  <c r="N7" i="4"/>
  <c r="N6" i="4"/>
  <c r="N5" i="4"/>
  <c r="T80" i="3"/>
  <c r="K22" i="4" s="1"/>
  <c r="O26" i="4"/>
  <c r="O25" i="4"/>
  <c r="O24" i="4"/>
  <c r="O23" i="4"/>
  <c r="O22" i="4"/>
  <c r="E102" i="2"/>
  <c r="D102" i="2"/>
  <c r="E100" i="2"/>
  <c r="D100" i="2"/>
  <c r="E99" i="2"/>
  <c r="D99" i="2"/>
  <c r="E98" i="2"/>
  <c r="D98" i="2"/>
  <c r="E95" i="2"/>
  <c r="D95" i="2"/>
  <c r="E93" i="2"/>
  <c r="D93" i="2"/>
  <c r="E92" i="2"/>
  <c r="D92" i="2"/>
  <c r="E91" i="2"/>
  <c r="D91" i="2"/>
  <c r="O5" i="4"/>
  <c r="AC26" i="4"/>
  <c r="AC25" i="4"/>
  <c r="AC24" i="4"/>
  <c r="AC23" i="4"/>
  <c r="AC22" i="4"/>
  <c r="AC10" i="4"/>
  <c r="AC8" i="4"/>
  <c r="AC7" i="4"/>
  <c r="AC6" i="4"/>
  <c r="AC5" i="4"/>
  <c r="AB26" i="4"/>
  <c r="AB25" i="4"/>
  <c r="AB24" i="4"/>
  <c r="AB23" i="4"/>
  <c r="AB22" i="4"/>
  <c r="AB8" i="4"/>
  <c r="AB7" i="4"/>
  <c r="AB6" i="4"/>
  <c r="AB5" i="4"/>
  <c r="D146" i="2"/>
  <c r="BF85" i="3"/>
  <c r="AA26" i="4"/>
  <c r="Z26" i="4"/>
  <c r="Y26" i="4"/>
  <c r="X26" i="4"/>
  <c r="W26" i="4"/>
  <c r="V26" i="4"/>
  <c r="T26" i="4"/>
  <c r="S26" i="4"/>
  <c r="AH85" i="3"/>
  <c r="R26" i="4" s="1"/>
  <c r="Q26" i="4"/>
  <c r="P26" i="4"/>
  <c r="M26" i="4"/>
  <c r="L26" i="4"/>
  <c r="T85" i="3"/>
  <c r="K26" i="4" s="1"/>
  <c r="J26" i="4"/>
  <c r="I26" i="4"/>
  <c r="H26" i="4"/>
  <c r="L85" i="3"/>
  <c r="G26" i="4" s="1"/>
  <c r="J85" i="3"/>
  <c r="F26" i="4" s="1"/>
  <c r="H85" i="3"/>
  <c r="E26" i="4" s="1"/>
  <c r="F85" i="3"/>
  <c r="D26" i="4" s="1"/>
  <c r="D85" i="3"/>
  <c r="C26" i="4" s="1"/>
  <c r="BF83" i="3"/>
  <c r="AA25" i="4"/>
  <c r="Z25" i="4"/>
  <c r="Y25" i="4"/>
  <c r="X25" i="4"/>
  <c r="W25" i="4"/>
  <c r="V25" i="4"/>
  <c r="T25" i="4"/>
  <c r="S25" i="4"/>
  <c r="AH83" i="3"/>
  <c r="R25" i="4" s="1"/>
  <c r="Q25" i="4"/>
  <c r="P25" i="4"/>
  <c r="M25" i="4"/>
  <c r="L25" i="4"/>
  <c r="T83" i="3"/>
  <c r="K25" i="4" s="1"/>
  <c r="J25" i="4"/>
  <c r="I25" i="4"/>
  <c r="H25" i="4"/>
  <c r="L83" i="3"/>
  <c r="G25" i="4" s="1"/>
  <c r="J83" i="3"/>
  <c r="F25" i="4" s="1"/>
  <c r="H83" i="3"/>
  <c r="E25" i="4" s="1"/>
  <c r="F83" i="3"/>
  <c r="D83" i="3"/>
  <c r="C25" i="4" s="1"/>
  <c r="BF82" i="3"/>
  <c r="AA24" i="4"/>
  <c r="Z24" i="4"/>
  <c r="Y24" i="4"/>
  <c r="X24" i="4"/>
  <c r="W24" i="4"/>
  <c r="V24" i="4"/>
  <c r="T24" i="4"/>
  <c r="S24" i="4"/>
  <c r="AH82" i="3"/>
  <c r="R24" i="4" s="1"/>
  <c r="Q24" i="4"/>
  <c r="P24" i="4"/>
  <c r="M24" i="4"/>
  <c r="L24" i="4"/>
  <c r="T82" i="3"/>
  <c r="K24" i="4" s="1"/>
  <c r="J24" i="4"/>
  <c r="I24" i="4"/>
  <c r="H24" i="4"/>
  <c r="L82" i="3"/>
  <c r="G24" i="4" s="1"/>
  <c r="J82" i="3"/>
  <c r="F24" i="4" s="1"/>
  <c r="H82" i="3"/>
  <c r="E24" i="4" s="1"/>
  <c r="F82" i="3"/>
  <c r="D82" i="3"/>
  <c r="C24" i="4" s="1"/>
  <c r="BF81" i="3"/>
  <c r="AD23" i="4" s="1"/>
  <c r="AA23" i="4"/>
  <c r="AA47" i="4" s="1"/>
  <c r="Z23" i="4"/>
  <c r="Y23" i="4"/>
  <c r="X23" i="4"/>
  <c r="W23" i="4"/>
  <c r="V23" i="4"/>
  <c r="T23" i="4"/>
  <c r="S23" i="4"/>
  <c r="AH81" i="3"/>
  <c r="R23" i="4" s="1"/>
  <c r="Q23" i="4"/>
  <c r="P23" i="4"/>
  <c r="M23" i="4"/>
  <c r="L23" i="4"/>
  <c r="T81" i="3"/>
  <c r="K23" i="4" s="1"/>
  <c r="J23" i="4"/>
  <c r="I23" i="4"/>
  <c r="H23" i="4"/>
  <c r="L81" i="3"/>
  <c r="G23" i="4" s="1"/>
  <c r="J81" i="3"/>
  <c r="F23" i="4" s="1"/>
  <c r="H81" i="3"/>
  <c r="E23" i="4" s="1"/>
  <c r="F81" i="3"/>
  <c r="D23" i="4" s="1"/>
  <c r="D81" i="3"/>
  <c r="C23" i="4" s="1"/>
  <c r="BF80" i="3"/>
  <c r="AA22" i="4"/>
  <c r="Z22" i="4"/>
  <c r="Y22" i="4"/>
  <c r="X22" i="4"/>
  <c r="W22" i="4"/>
  <c r="V22" i="4"/>
  <c r="V48" i="4" s="1"/>
  <c r="T22" i="4"/>
  <c r="S22" i="4"/>
  <c r="AH80" i="3"/>
  <c r="R22" i="4" s="1"/>
  <c r="Q22" i="4"/>
  <c r="P22" i="4"/>
  <c r="M22" i="4"/>
  <c r="L22" i="4"/>
  <c r="J22" i="4"/>
  <c r="L80" i="3"/>
  <c r="J80" i="3"/>
  <c r="F22" i="4" s="1"/>
  <c r="H80" i="3"/>
  <c r="E22" i="4" s="1"/>
  <c r="F80" i="3"/>
  <c r="D22" i="4" s="1"/>
  <c r="D80" i="3"/>
  <c r="C22" i="4" s="1"/>
  <c r="BF67" i="3"/>
  <c r="AD10" i="4" s="1"/>
  <c r="Z10" i="4"/>
  <c r="Y10" i="4"/>
  <c r="X10" i="4"/>
  <c r="W10" i="4"/>
  <c r="V10" i="4"/>
  <c r="S10" i="4"/>
  <c r="AH67" i="3"/>
  <c r="R10" i="4" s="1"/>
  <c r="Q10" i="4"/>
  <c r="P10" i="4"/>
  <c r="M10" i="4"/>
  <c r="L10" i="4"/>
  <c r="T67" i="3"/>
  <c r="K10" i="4" s="1"/>
  <c r="J10" i="4"/>
  <c r="L67" i="3"/>
  <c r="J67" i="3"/>
  <c r="F10" i="4" s="1"/>
  <c r="E10" i="4"/>
  <c r="F67" i="3"/>
  <c r="D10" i="4" s="1"/>
  <c r="D67" i="3"/>
  <c r="C10" i="4" s="1"/>
  <c r="BF65" i="3"/>
  <c r="AA8" i="4"/>
  <c r="Z8" i="4"/>
  <c r="Y8" i="4"/>
  <c r="X8" i="4"/>
  <c r="W8" i="4"/>
  <c r="U8" i="4"/>
  <c r="T8" i="4"/>
  <c r="S8" i="4"/>
  <c r="AH65" i="3"/>
  <c r="R8" i="4" s="1"/>
  <c r="Q8" i="4"/>
  <c r="P8" i="4"/>
  <c r="M8" i="4"/>
  <c r="L8" i="4"/>
  <c r="T65" i="3"/>
  <c r="K8" i="4" s="1"/>
  <c r="J8" i="4"/>
  <c r="L65" i="3"/>
  <c r="J65" i="3"/>
  <c r="F8" i="4" s="1"/>
  <c r="H65" i="3"/>
  <c r="E8" i="4" s="1"/>
  <c r="F65" i="3"/>
  <c r="D8" i="4" s="1"/>
  <c r="D65" i="3"/>
  <c r="C8" i="4" s="1"/>
  <c r="BF64" i="3"/>
  <c r="AA7" i="4"/>
  <c r="Z7" i="4"/>
  <c r="Y7" i="4"/>
  <c r="X7" i="4"/>
  <c r="W7" i="4"/>
  <c r="V7" i="4"/>
  <c r="U7" i="4"/>
  <c r="T7" i="4"/>
  <c r="S7" i="4"/>
  <c r="AH64" i="3"/>
  <c r="R7" i="4" s="1"/>
  <c r="Q7" i="4"/>
  <c r="P7" i="4"/>
  <c r="M7" i="4"/>
  <c r="L7" i="4"/>
  <c r="T64" i="3"/>
  <c r="K7" i="4" s="1"/>
  <c r="J7" i="4"/>
  <c r="L64" i="3"/>
  <c r="J64" i="3"/>
  <c r="F7" i="4" s="1"/>
  <c r="H64" i="3"/>
  <c r="E7" i="4" s="1"/>
  <c r="F64" i="3"/>
  <c r="D7" i="4" s="1"/>
  <c r="D64" i="3"/>
  <c r="C7" i="4" s="1"/>
  <c r="BF63" i="3"/>
  <c r="AA6" i="4"/>
  <c r="AA46" i="4" s="1"/>
  <c r="Z6" i="4"/>
  <c r="Y6" i="4"/>
  <c r="X6" i="4"/>
  <c r="W6" i="4"/>
  <c r="V6" i="4"/>
  <c r="U6" i="4"/>
  <c r="T6" i="4"/>
  <c r="S6" i="4"/>
  <c r="AH63" i="3"/>
  <c r="R6" i="4" s="1"/>
  <c r="Q6" i="4"/>
  <c r="P6" i="4"/>
  <c r="M6" i="4"/>
  <c r="L6" i="4"/>
  <c r="T63" i="3"/>
  <c r="K6" i="4" s="1"/>
  <c r="J6" i="4"/>
  <c r="L63" i="3"/>
  <c r="J63" i="3"/>
  <c r="F6" i="4" s="1"/>
  <c r="H63" i="3"/>
  <c r="E6" i="4" s="1"/>
  <c r="F63" i="3"/>
  <c r="D6" i="4" s="1"/>
  <c r="D63" i="3"/>
  <c r="C6" i="4" s="1"/>
  <c r="BF62" i="3"/>
  <c r="AA5" i="4"/>
  <c r="Z5" i="4"/>
  <c r="Y5" i="4"/>
  <c r="X5" i="4"/>
  <c r="W5" i="4"/>
  <c r="V5" i="4"/>
  <c r="U5" i="4"/>
  <c r="T5" i="4"/>
  <c r="S5" i="4"/>
  <c r="AH62" i="3"/>
  <c r="R5" i="4" s="1"/>
  <c r="Q5" i="4"/>
  <c r="P5" i="4"/>
  <c r="M5" i="4"/>
  <c r="L5" i="4"/>
  <c r="T62" i="3"/>
  <c r="K5" i="4" s="1"/>
  <c r="J5" i="4"/>
  <c r="J62" i="3"/>
  <c r="F5" i="4" s="1"/>
  <c r="H62" i="3"/>
  <c r="E5" i="4" s="1"/>
  <c r="F62" i="3"/>
  <c r="D5" i="4" s="1"/>
  <c r="D62" i="3"/>
  <c r="C5" i="4" s="1"/>
  <c r="BG47" i="3"/>
  <c r="E213" i="2" s="1"/>
  <c r="BF47" i="3"/>
  <c r="D213" i="2" s="1"/>
  <c r="E172" i="2"/>
  <c r="D172" i="2"/>
  <c r="E165" i="2"/>
  <c r="D165" i="2"/>
  <c r="E158" i="2"/>
  <c r="D158" i="2"/>
  <c r="E151" i="2"/>
  <c r="D151" i="2"/>
  <c r="E137" i="2"/>
  <c r="D137" i="2"/>
  <c r="E130" i="2"/>
  <c r="D130" i="2"/>
  <c r="AI47" i="3"/>
  <c r="E123" i="2" s="1"/>
  <c r="AH47" i="3"/>
  <c r="D123" i="2" s="1"/>
  <c r="E116" i="2"/>
  <c r="D116" i="2"/>
  <c r="E77" i="2"/>
  <c r="D77" i="2"/>
  <c r="U47" i="3"/>
  <c r="E70" i="2" s="1"/>
  <c r="T47" i="3"/>
  <c r="D70" i="2" s="1"/>
  <c r="E63" i="2"/>
  <c r="D63" i="2"/>
  <c r="E56" i="2"/>
  <c r="D56" i="2"/>
  <c r="E49" i="2"/>
  <c r="D49" i="2"/>
  <c r="M47" i="3"/>
  <c r="E42" i="2" s="1"/>
  <c r="K47" i="3"/>
  <c r="E35" i="2" s="1"/>
  <c r="J47" i="3"/>
  <c r="D35" i="2" s="1"/>
  <c r="I47" i="3"/>
  <c r="E28" i="2" s="1"/>
  <c r="H47" i="3"/>
  <c r="D28" i="2" s="1"/>
  <c r="G47" i="3"/>
  <c r="E19" i="2" s="1"/>
  <c r="F47" i="3"/>
  <c r="D19" i="2" s="1"/>
  <c r="E47" i="3"/>
  <c r="E10" i="2" s="1"/>
  <c r="D47" i="3"/>
  <c r="D10" i="2" s="1"/>
  <c r="BG45" i="3"/>
  <c r="E211" i="2" s="1"/>
  <c r="BF45" i="3"/>
  <c r="D211" i="2" s="1"/>
  <c r="E170" i="2"/>
  <c r="D170" i="2"/>
  <c r="E163" i="2"/>
  <c r="D163" i="2"/>
  <c r="E156" i="2"/>
  <c r="D156" i="2"/>
  <c r="E149" i="2"/>
  <c r="D149" i="2"/>
  <c r="E135" i="2"/>
  <c r="D135" i="2"/>
  <c r="E128" i="2"/>
  <c r="D128" i="2"/>
  <c r="AI45" i="3"/>
  <c r="E121" i="2" s="1"/>
  <c r="AH45" i="3"/>
  <c r="D121" i="2" s="1"/>
  <c r="E114" i="2"/>
  <c r="D114" i="2"/>
  <c r="E75" i="2"/>
  <c r="D75" i="2"/>
  <c r="U45" i="3"/>
  <c r="E68" i="2" s="1"/>
  <c r="T45" i="3"/>
  <c r="D68" i="2" s="1"/>
  <c r="E61" i="2"/>
  <c r="D61" i="2"/>
  <c r="E54" i="2"/>
  <c r="D54" i="2"/>
  <c r="E47" i="2"/>
  <c r="D47" i="2"/>
  <c r="M45" i="3"/>
  <c r="E40" i="2" s="1"/>
  <c r="K45" i="3"/>
  <c r="E33" i="2" s="1"/>
  <c r="J45" i="3"/>
  <c r="D33" i="2" s="1"/>
  <c r="I45" i="3"/>
  <c r="E26" i="2" s="1"/>
  <c r="H45" i="3"/>
  <c r="D26" i="2" s="1"/>
  <c r="G45" i="3"/>
  <c r="E17" i="2" s="1"/>
  <c r="F45" i="3"/>
  <c r="D17" i="2" s="1"/>
  <c r="E45" i="3"/>
  <c r="E8" i="2" s="1"/>
  <c r="D45" i="3"/>
  <c r="D8" i="2" s="1"/>
  <c r="BG44" i="3"/>
  <c r="E210" i="2" s="1"/>
  <c r="E169" i="2"/>
  <c r="D169" i="2"/>
  <c r="E162" i="2"/>
  <c r="E155" i="2"/>
  <c r="D155" i="2"/>
  <c r="E148" i="2"/>
  <c r="D148" i="2"/>
  <c r="E134" i="2"/>
  <c r="D134" i="2"/>
  <c r="E127" i="2"/>
  <c r="D127" i="2"/>
  <c r="AI44" i="3"/>
  <c r="E120" i="2" s="1"/>
  <c r="AH44" i="3"/>
  <c r="D120" i="2" s="1"/>
  <c r="E113" i="2"/>
  <c r="D113" i="2"/>
  <c r="U44" i="3"/>
  <c r="E67" i="2" s="1"/>
  <c r="T44" i="3"/>
  <c r="D67" i="2" s="1"/>
  <c r="E60" i="2"/>
  <c r="D60" i="2"/>
  <c r="E53" i="2"/>
  <c r="D53" i="2"/>
  <c r="E46" i="2"/>
  <c r="D46" i="2"/>
  <c r="M44" i="3"/>
  <c r="E39" i="2" s="1"/>
  <c r="K44" i="3"/>
  <c r="E32" i="2" s="1"/>
  <c r="J44" i="3"/>
  <c r="D32" i="2" s="1"/>
  <c r="I44" i="3"/>
  <c r="E25" i="2" s="1"/>
  <c r="H44" i="3"/>
  <c r="D25" i="2" s="1"/>
  <c r="G44" i="3"/>
  <c r="E16" i="2" s="1"/>
  <c r="F44" i="3"/>
  <c r="D16" i="2" s="1"/>
  <c r="E44" i="3"/>
  <c r="E7" i="2" s="1"/>
  <c r="D44" i="3"/>
  <c r="D7" i="2" s="1"/>
  <c r="E168" i="2"/>
  <c r="D168" i="2"/>
  <c r="E161" i="2"/>
  <c r="E154" i="2"/>
  <c r="D154" i="2"/>
  <c r="E147" i="2"/>
  <c r="D147" i="2"/>
  <c r="E133" i="2"/>
  <c r="D133" i="2"/>
  <c r="E126" i="2"/>
  <c r="D126" i="2"/>
  <c r="AI43" i="3"/>
  <c r="E119" i="2" s="1"/>
  <c r="AH43" i="3"/>
  <c r="D119" i="2" s="1"/>
  <c r="E112" i="2"/>
  <c r="D112" i="2"/>
  <c r="E73" i="2"/>
  <c r="D73" i="2"/>
  <c r="U43" i="3"/>
  <c r="E66" i="2" s="1"/>
  <c r="T43" i="3"/>
  <c r="D66" i="2" s="1"/>
  <c r="E59" i="2"/>
  <c r="D59" i="2"/>
  <c r="E52" i="2"/>
  <c r="D52" i="2"/>
  <c r="E45" i="2"/>
  <c r="D45" i="2"/>
  <c r="M43" i="3"/>
  <c r="E38" i="2" s="1"/>
  <c r="K43" i="3"/>
  <c r="E31" i="2" s="1"/>
  <c r="J43" i="3"/>
  <c r="D31" i="2" s="1"/>
  <c r="I43" i="3"/>
  <c r="E24" i="2" s="1"/>
  <c r="H43" i="3"/>
  <c r="D24" i="2" s="1"/>
  <c r="G43" i="3"/>
  <c r="E15" i="2" s="1"/>
  <c r="F43" i="3"/>
  <c r="D15" i="2" s="1"/>
  <c r="E43" i="3"/>
  <c r="E6" i="2" s="1"/>
  <c r="D43" i="3"/>
  <c r="D6" i="2" s="1"/>
  <c r="BG42" i="3"/>
  <c r="BF42" i="3"/>
  <c r="E167" i="2"/>
  <c r="E153" i="2"/>
  <c r="D153" i="2"/>
  <c r="E146" i="2"/>
  <c r="E132" i="2"/>
  <c r="D132" i="2"/>
  <c r="E125" i="2"/>
  <c r="D125" i="2"/>
  <c r="AI42" i="3"/>
  <c r="E118" i="2" s="1"/>
  <c r="AH42" i="3"/>
  <c r="D118" i="2" s="1"/>
  <c r="E72" i="2"/>
  <c r="D72" i="2"/>
  <c r="U42" i="3"/>
  <c r="D58" i="2"/>
  <c r="M42" i="3"/>
  <c r="K42" i="3"/>
  <c r="J42" i="3"/>
  <c r="D30" i="2" s="1"/>
  <c r="I42" i="3"/>
  <c r="H42" i="3"/>
  <c r="G42" i="3"/>
  <c r="F42" i="3"/>
  <c r="E42" i="3"/>
  <c r="D42" i="3"/>
  <c r="I243" i="2" l="1"/>
  <c r="K245" i="2"/>
  <c r="L245" i="2" s="1"/>
  <c r="N245" i="2"/>
  <c r="I244" i="2"/>
  <c r="J244" i="2"/>
  <c r="AA48" i="4"/>
  <c r="AA49" i="4"/>
  <c r="AB46" i="4"/>
  <c r="AB47" i="4"/>
  <c r="AB52" i="4" s="1"/>
  <c r="AB50" i="4"/>
  <c r="N48" i="4"/>
  <c r="N50" i="4" s="1"/>
  <c r="P48" i="4"/>
  <c r="O48" i="4"/>
  <c r="M47" i="4"/>
  <c r="M52" i="4" s="1"/>
  <c r="M48" i="4"/>
  <c r="M50" i="4" s="1"/>
  <c r="M49" i="4"/>
  <c r="M46" i="4"/>
  <c r="D59" i="3"/>
  <c r="E48" i="4"/>
  <c r="E50" i="4" s="1"/>
  <c r="I28" i="2"/>
  <c r="K28" i="2" s="1"/>
  <c r="G28" i="2"/>
  <c r="J28" i="2" s="1"/>
  <c r="D14" i="2"/>
  <c r="D22" i="2" s="1"/>
  <c r="F59" i="3"/>
  <c r="E14" i="2"/>
  <c r="E22" i="2" s="1"/>
  <c r="G59" i="3"/>
  <c r="D49" i="4"/>
  <c r="D46" i="4"/>
  <c r="E5" i="2"/>
  <c r="E13" i="2" s="1"/>
  <c r="E59" i="3"/>
  <c r="C48" i="4"/>
  <c r="C47" i="4"/>
  <c r="C49" i="4"/>
  <c r="C46" i="4"/>
  <c r="D152" i="2"/>
  <c r="AA50" i="4"/>
  <c r="AA52" i="4"/>
  <c r="D208" i="2"/>
  <c r="D214" i="2" s="1"/>
  <c r="BF59" i="3"/>
  <c r="E208" i="2"/>
  <c r="E214" i="2" s="1"/>
  <c r="BG59" i="3"/>
  <c r="Z49" i="4"/>
  <c r="Z46" i="4"/>
  <c r="AC49" i="4"/>
  <c r="AC46" i="4"/>
  <c r="Z48" i="4"/>
  <c r="Z47" i="4"/>
  <c r="Z52" i="4" s="1"/>
  <c r="AC47" i="4"/>
  <c r="AC52" i="4" s="1"/>
  <c r="E173" i="2"/>
  <c r="D173" i="2"/>
  <c r="S48" i="4"/>
  <c r="S50" i="4" s="1"/>
  <c r="I59" i="3"/>
  <c r="E49" i="4"/>
  <c r="E46" i="4"/>
  <c r="D23" i="2"/>
  <c r="H59" i="3"/>
  <c r="E47" i="4"/>
  <c r="E52" i="4" s="1"/>
  <c r="R48" i="4"/>
  <c r="R50" i="4" s="1"/>
  <c r="Q48" i="4"/>
  <c r="Q50" i="4" s="1"/>
  <c r="T48" i="4"/>
  <c r="T50" i="4" s="1"/>
  <c r="Y48" i="4"/>
  <c r="J48" i="4"/>
  <c r="W48" i="4"/>
  <c r="F48" i="4"/>
  <c r="F50" i="4" s="1"/>
  <c r="X48" i="4"/>
  <c r="X50" i="4" s="1"/>
  <c r="L50" i="4"/>
  <c r="L49" i="4"/>
  <c r="K48" i="4"/>
  <c r="K50" i="4" s="1"/>
  <c r="E65" i="2"/>
  <c r="E71" i="2" s="1"/>
  <c r="U59" i="3"/>
  <c r="E74" i="2"/>
  <c r="E78" i="2" s="1"/>
  <c r="L46" i="4"/>
  <c r="L47" i="4"/>
  <c r="L52" i="4" s="1"/>
  <c r="V59" i="3"/>
  <c r="W59" i="3"/>
  <c r="D78" i="2"/>
  <c r="U49" i="4"/>
  <c r="T49" i="4"/>
  <c r="D5" i="2"/>
  <c r="D13" i="2" s="1"/>
  <c r="I211" i="2"/>
  <c r="G211" i="2"/>
  <c r="J211" i="2" s="1"/>
  <c r="L211" i="2" s="1"/>
  <c r="I210" i="2"/>
  <c r="G210" i="2"/>
  <c r="J210" i="2" s="1"/>
  <c r="L210" i="2" s="1"/>
  <c r="I209" i="2"/>
  <c r="G209" i="2"/>
  <c r="J209" i="2" s="1"/>
  <c r="L209" i="2" s="1"/>
  <c r="G213" i="2"/>
  <c r="J213" i="2" s="1"/>
  <c r="L213" i="2" s="1"/>
  <c r="I213" i="2"/>
  <c r="G212" i="2"/>
  <c r="J212" i="2" s="1"/>
  <c r="L212" i="2" s="1"/>
  <c r="I212" i="2"/>
  <c r="I172" i="2"/>
  <c r="G172" i="2"/>
  <c r="J172" i="2" s="1"/>
  <c r="L172" i="2" s="1"/>
  <c r="G150" i="2"/>
  <c r="J150" i="2" s="1"/>
  <c r="L150" i="2" s="1"/>
  <c r="I150" i="2"/>
  <c r="I148" i="2"/>
  <c r="G148" i="2"/>
  <c r="J148" i="2" s="1"/>
  <c r="L148" i="2" s="1"/>
  <c r="I147" i="2"/>
  <c r="G147" i="2"/>
  <c r="J147" i="2" s="1"/>
  <c r="L147" i="2" s="1"/>
  <c r="I157" i="2"/>
  <c r="G157" i="2"/>
  <c r="J157" i="2" s="1"/>
  <c r="L157" i="2" s="1"/>
  <c r="G155" i="2"/>
  <c r="J155" i="2" s="1"/>
  <c r="L155" i="2" s="1"/>
  <c r="I155" i="2"/>
  <c r="I149" i="2"/>
  <c r="G149" i="2"/>
  <c r="J149" i="2" s="1"/>
  <c r="L149" i="2" s="1"/>
  <c r="I153" i="2"/>
  <c r="G153" i="2"/>
  <c r="J153" i="2" s="1"/>
  <c r="L153" i="2" s="1"/>
  <c r="I154" i="2"/>
  <c r="G154" i="2"/>
  <c r="J154" i="2" s="1"/>
  <c r="L154" i="2" s="1"/>
  <c r="I156" i="2"/>
  <c r="G156" i="2"/>
  <c r="J156" i="2" s="1"/>
  <c r="L156" i="2" s="1"/>
  <c r="G151" i="2"/>
  <c r="J151" i="2" s="1"/>
  <c r="L151" i="2" s="1"/>
  <c r="I151" i="2"/>
  <c r="G171" i="2"/>
  <c r="J171" i="2" s="1"/>
  <c r="L171" i="2" s="1"/>
  <c r="I171" i="2"/>
  <c r="G168" i="2"/>
  <c r="J168" i="2" s="1"/>
  <c r="L168" i="2" s="1"/>
  <c r="I168" i="2"/>
  <c r="G169" i="2"/>
  <c r="J169" i="2" s="1"/>
  <c r="L169" i="2" s="1"/>
  <c r="I169" i="2"/>
  <c r="G167" i="2"/>
  <c r="I167" i="2"/>
  <c r="G158" i="2"/>
  <c r="J158" i="2" s="1"/>
  <c r="L158" i="2" s="1"/>
  <c r="I158" i="2"/>
  <c r="I170" i="2"/>
  <c r="G170" i="2"/>
  <c r="J170" i="2" s="1"/>
  <c r="L170" i="2" s="1"/>
  <c r="I146" i="2"/>
  <c r="G146" i="2"/>
  <c r="J146" i="2" s="1"/>
  <c r="I130" i="2"/>
  <c r="G130" i="2"/>
  <c r="J130" i="2" s="1"/>
  <c r="L130" i="2" s="1"/>
  <c r="I128" i="2"/>
  <c r="G128" i="2"/>
  <c r="J128" i="2" s="1"/>
  <c r="L128" i="2" s="1"/>
  <c r="G129" i="2"/>
  <c r="J129" i="2" s="1"/>
  <c r="L129" i="2" s="1"/>
  <c r="I129" i="2"/>
  <c r="G127" i="2"/>
  <c r="J127" i="2" s="1"/>
  <c r="L127" i="2" s="1"/>
  <c r="I127" i="2"/>
  <c r="G125" i="2"/>
  <c r="J125" i="2" s="1"/>
  <c r="L125" i="2" s="1"/>
  <c r="I125" i="2"/>
  <c r="G126" i="2"/>
  <c r="J126" i="2" s="1"/>
  <c r="L126" i="2" s="1"/>
  <c r="I126" i="2"/>
  <c r="I123" i="2"/>
  <c r="G123" i="2"/>
  <c r="J123" i="2" s="1"/>
  <c r="L123" i="2" s="1"/>
  <c r="I122" i="2"/>
  <c r="G122" i="2"/>
  <c r="J122" i="2" s="1"/>
  <c r="L122" i="2" s="1"/>
  <c r="G118" i="2"/>
  <c r="J118" i="2" s="1"/>
  <c r="L118" i="2" s="1"/>
  <c r="I118" i="2"/>
  <c r="G119" i="2"/>
  <c r="J119" i="2" s="1"/>
  <c r="L119" i="2" s="1"/>
  <c r="I119" i="2"/>
  <c r="I120" i="2"/>
  <c r="G120" i="2"/>
  <c r="J120" i="2" s="1"/>
  <c r="L120" i="2" s="1"/>
  <c r="I121" i="2"/>
  <c r="G121" i="2"/>
  <c r="J121" i="2" s="1"/>
  <c r="L121" i="2" s="1"/>
  <c r="G101" i="2"/>
  <c r="J101" i="2" s="1"/>
  <c r="L101" i="2" s="1"/>
  <c r="I101" i="2"/>
  <c r="I97" i="2"/>
  <c r="G97" i="2"/>
  <c r="J97" i="2" s="1"/>
  <c r="I98" i="2"/>
  <c r="G98" i="2"/>
  <c r="J98" i="2" s="1"/>
  <c r="L98" i="2" s="1"/>
  <c r="G99" i="2"/>
  <c r="J99" i="2" s="1"/>
  <c r="L99" i="2" s="1"/>
  <c r="I99" i="2"/>
  <c r="I100" i="2"/>
  <c r="G100" i="2"/>
  <c r="J100" i="2" s="1"/>
  <c r="L100" i="2" s="1"/>
  <c r="I102" i="2"/>
  <c r="G102" i="2"/>
  <c r="J102" i="2" s="1"/>
  <c r="L102" i="2" s="1"/>
  <c r="P49" i="4"/>
  <c r="X49" i="4"/>
  <c r="O49" i="4"/>
  <c r="Q49" i="4"/>
  <c r="Y49" i="4"/>
  <c r="R49" i="4"/>
  <c r="V49" i="4"/>
  <c r="S49" i="4"/>
  <c r="W49" i="4"/>
  <c r="N49" i="4"/>
  <c r="K49" i="4"/>
  <c r="J49" i="4"/>
  <c r="F49" i="4"/>
  <c r="N47" i="4"/>
  <c r="N52" i="4" s="1"/>
  <c r="G133" i="2"/>
  <c r="J133" i="2" s="1"/>
  <c r="L133" i="2" s="1"/>
  <c r="I133" i="2"/>
  <c r="I136" i="2"/>
  <c r="G136" i="2"/>
  <c r="J136" i="2" s="1"/>
  <c r="L136" i="2" s="1"/>
  <c r="I134" i="2"/>
  <c r="G134" i="2"/>
  <c r="J134" i="2" s="1"/>
  <c r="L134" i="2" s="1"/>
  <c r="I132" i="2"/>
  <c r="G132" i="2"/>
  <c r="D138" i="2"/>
  <c r="I135" i="2"/>
  <c r="G135" i="2"/>
  <c r="J135" i="2" s="1"/>
  <c r="L135" i="2" s="1"/>
  <c r="E138" i="2"/>
  <c r="I137" i="2"/>
  <c r="G137" i="2"/>
  <c r="J137" i="2" s="1"/>
  <c r="L137" i="2" s="1"/>
  <c r="I15" i="2"/>
  <c r="G15" i="2"/>
  <c r="J15" i="2" s="1"/>
  <c r="L15" i="2" s="1"/>
  <c r="G18" i="2"/>
  <c r="J18" i="2" s="1"/>
  <c r="L18" i="2" s="1"/>
  <c r="I18" i="2"/>
  <c r="G17" i="2"/>
  <c r="J17" i="2" s="1"/>
  <c r="L17" i="2" s="1"/>
  <c r="I17" i="2"/>
  <c r="I16" i="2"/>
  <c r="G16" i="2"/>
  <c r="J16" i="2" s="1"/>
  <c r="L16" i="2" s="1"/>
  <c r="I19" i="2"/>
  <c r="G19" i="2"/>
  <c r="J19" i="2" s="1"/>
  <c r="L19" i="2" s="1"/>
  <c r="D71" i="2"/>
  <c r="E37" i="2"/>
  <c r="E43" i="2" s="1"/>
  <c r="M59" i="3"/>
  <c r="E51" i="2"/>
  <c r="E57" i="2" s="1"/>
  <c r="Q59" i="3"/>
  <c r="D124" i="2"/>
  <c r="AH59" i="3"/>
  <c r="T59" i="3"/>
  <c r="E90" i="2"/>
  <c r="E96" i="2" s="1"/>
  <c r="AA59" i="3"/>
  <c r="AV59" i="3"/>
  <c r="D44" i="2"/>
  <c r="N59" i="3"/>
  <c r="E124" i="2"/>
  <c r="AI59" i="3"/>
  <c r="E160" i="2"/>
  <c r="E166" i="2" s="1"/>
  <c r="AU59" i="3"/>
  <c r="AP59" i="3"/>
  <c r="AB59" i="3"/>
  <c r="D36" i="2"/>
  <c r="J59" i="3"/>
  <c r="E44" i="2"/>
  <c r="E50" i="2" s="1"/>
  <c r="O59" i="3"/>
  <c r="E58" i="2"/>
  <c r="G58" i="2" s="1"/>
  <c r="S59" i="3"/>
  <c r="D111" i="2"/>
  <c r="D117" i="2" s="1"/>
  <c r="AF59" i="3"/>
  <c r="AJ59" i="3"/>
  <c r="E152" i="2"/>
  <c r="AQ59" i="3"/>
  <c r="AW59" i="3"/>
  <c r="AC59" i="3"/>
  <c r="E139" i="2"/>
  <c r="E145" i="2" s="1"/>
  <c r="AO59" i="3"/>
  <c r="D110" i="2"/>
  <c r="AD59" i="3"/>
  <c r="AL59" i="3"/>
  <c r="E159" i="2"/>
  <c r="AS59" i="3"/>
  <c r="D162" i="2"/>
  <c r="I241" i="2" s="1"/>
  <c r="AT59" i="3"/>
  <c r="E23" i="2"/>
  <c r="E29" i="2" s="1"/>
  <c r="AE59" i="3"/>
  <c r="AM59" i="3"/>
  <c r="D37" i="2"/>
  <c r="L59" i="3"/>
  <c r="E30" i="2"/>
  <c r="E36" i="2" s="1"/>
  <c r="K59" i="3"/>
  <c r="D51" i="2"/>
  <c r="P59" i="3"/>
  <c r="E117" i="2"/>
  <c r="AG59" i="3"/>
  <c r="AK59" i="3"/>
  <c r="AR59" i="3"/>
  <c r="D90" i="2"/>
  <c r="D96" i="2" s="1"/>
  <c r="Z59" i="3"/>
  <c r="D139" i="2"/>
  <c r="D145" i="2" s="1"/>
  <c r="AN59" i="3"/>
  <c r="K47" i="4"/>
  <c r="K52" i="4" s="1"/>
  <c r="K46" i="4"/>
  <c r="X47" i="4"/>
  <c r="J243" i="2"/>
  <c r="J240" i="2"/>
  <c r="J242" i="2"/>
  <c r="I242" i="2"/>
  <c r="I240" i="2"/>
  <c r="U50" i="4"/>
  <c r="AD5" i="4"/>
  <c r="AD6" i="4"/>
  <c r="AD7" i="4"/>
  <c r="AD8" i="4"/>
  <c r="AD22" i="4"/>
  <c r="AD24" i="4"/>
  <c r="AD25" i="4"/>
  <c r="AD26" i="4"/>
  <c r="I27" i="2"/>
  <c r="M27" i="2" s="1"/>
  <c r="G27" i="2"/>
  <c r="J27" i="2" s="1"/>
  <c r="L27" i="2" s="1"/>
  <c r="I24" i="2"/>
  <c r="M24" i="2" s="1"/>
  <c r="G24" i="2"/>
  <c r="J24" i="2" s="1"/>
  <c r="G26" i="2"/>
  <c r="J26" i="2" s="1"/>
  <c r="L26" i="2" s="1"/>
  <c r="I26" i="2"/>
  <c r="M26" i="2" s="1"/>
  <c r="I25" i="2"/>
  <c r="M25" i="2" s="1"/>
  <c r="G25" i="2"/>
  <c r="J25" i="2" s="1"/>
  <c r="L25" i="2" s="1"/>
  <c r="I62" i="2"/>
  <c r="M62" i="2" s="1"/>
  <c r="G62" i="2"/>
  <c r="J62" i="2" s="1"/>
  <c r="L62" i="2" s="1"/>
  <c r="I60" i="2"/>
  <c r="M60" i="2" s="1"/>
  <c r="G60" i="2"/>
  <c r="J60" i="2" s="1"/>
  <c r="L60" i="2" s="1"/>
  <c r="I63" i="2"/>
  <c r="M63" i="2" s="1"/>
  <c r="G63" i="2"/>
  <c r="J63" i="2" s="1"/>
  <c r="L63" i="2" s="1"/>
  <c r="I59" i="2"/>
  <c r="M59" i="2" s="1"/>
  <c r="G59" i="2"/>
  <c r="J59" i="2" s="1"/>
  <c r="W59" i="2" s="1"/>
  <c r="I61" i="2"/>
  <c r="M61" i="2" s="1"/>
  <c r="G61" i="2"/>
  <c r="J61" i="2" s="1"/>
  <c r="L61" i="2" s="1"/>
  <c r="G45" i="2"/>
  <c r="J45" i="2" s="1"/>
  <c r="W45" i="2" s="1"/>
  <c r="I45" i="2"/>
  <c r="M45" i="2" s="1"/>
  <c r="G46" i="2"/>
  <c r="J46" i="2" s="1"/>
  <c r="L46" i="2" s="1"/>
  <c r="I46" i="2"/>
  <c r="M46" i="2" s="1"/>
  <c r="G49" i="2"/>
  <c r="J49" i="2" s="1"/>
  <c r="L49" i="2" s="1"/>
  <c r="I49" i="2"/>
  <c r="M49" i="2" s="1"/>
  <c r="G48" i="2"/>
  <c r="J48" i="2" s="1"/>
  <c r="L48" i="2" s="1"/>
  <c r="I48" i="2"/>
  <c r="M48" i="2" s="1"/>
  <c r="I47" i="2"/>
  <c r="M47" i="2" s="1"/>
  <c r="G47" i="2"/>
  <c r="J47" i="2" s="1"/>
  <c r="L47" i="2" s="1"/>
  <c r="G42" i="2"/>
  <c r="J42" i="2" s="1"/>
  <c r="L42" i="2" s="1"/>
  <c r="I42" i="2"/>
  <c r="M42" i="2" s="1"/>
  <c r="I41" i="2"/>
  <c r="M41" i="2" s="1"/>
  <c r="G41" i="2"/>
  <c r="J41" i="2" s="1"/>
  <c r="L41" i="2" s="1"/>
  <c r="D24" i="4"/>
  <c r="D25" i="4"/>
  <c r="G68" i="2"/>
  <c r="J68" i="2" s="1"/>
  <c r="L68" i="2" s="1"/>
  <c r="I68" i="2"/>
  <c r="M68" i="2" s="1"/>
  <c r="G67" i="2"/>
  <c r="J67" i="2" s="1"/>
  <c r="L67" i="2" s="1"/>
  <c r="I67" i="2"/>
  <c r="M67" i="2" s="1"/>
  <c r="G66" i="2"/>
  <c r="I66" i="2"/>
  <c r="M66" i="2" s="1"/>
  <c r="G69" i="2"/>
  <c r="J69" i="2" s="1"/>
  <c r="L69" i="2" s="1"/>
  <c r="I69" i="2"/>
  <c r="M69" i="2" s="1"/>
  <c r="I5" i="4"/>
  <c r="I6" i="4"/>
  <c r="I7" i="4"/>
  <c r="I8" i="4"/>
  <c r="I10" i="4"/>
  <c r="I22" i="4"/>
  <c r="I70" i="2"/>
  <c r="M70" i="2" s="1"/>
  <c r="O47" i="4"/>
  <c r="U47" i="4"/>
  <c r="U52" i="4" s="1"/>
  <c r="W47" i="4"/>
  <c r="W52" i="4" s="1"/>
  <c r="Y47" i="4"/>
  <c r="Y52" i="4" s="1"/>
  <c r="Q47" i="4"/>
  <c r="Q52" i="4" s="1"/>
  <c r="S47" i="4"/>
  <c r="S52" i="4" s="1"/>
  <c r="F47" i="4"/>
  <c r="F52" i="4" s="1"/>
  <c r="T47" i="4"/>
  <c r="T52" i="4" s="1"/>
  <c r="V47" i="4"/>
  <c r="V52" i="4" s="1"/>
  <c r="P47" i="4"/>
  <c r="P52" i="4" s="1"/>
  <c r="R47" i="4"/>
  <c r="J47" i="4"/>
  <c r="J52" i="4" s="1"/>
  <c r="I113" i="2"/>
  <c r="M113" i="2" s="1"/>
  <c r="G113" i="2"/>
  <c r="J113" i="2" s="1"/>
  <c r="L113" i="2" s="1"/>
  <c r="I114" i="2"/>
  <c r="M114" i="2" s="1"/>
  <c r="G114" i="2"/>
  <c r="J114" i="2" s="1"/>
  <c r="L114" i="2" s="1"/>
  <c r="I116" i="2"/>
  <c r="M116" i="2" s="1"/>
  <c r="G116" i="2"/>
  <c r="J116" i="2" s="1"/>
  <c r="L116" i="2" s="1"/>
  <c r="I112" i="2"/>
  <c r="M112" i="2" s="1"/>
  <c r="G112" i="2"/>
  <c r="J112" i="2" s="1"/>
  <c r="L112" i="2" s="1"/>
  <c r="I115" i="2"/>
  <c r="M115" i="2" s="1"/>
  <c r="G115" i="2"/>
  <c r="J115" i="2" s="1"/>
  <c r="L115" i="2" s="1"/>
  <c r="A51" i="2"/>
  <c r="A58" i="2" s="1"/>
  <c r="A65" i="2" s="1"/>
  <c r="A72" i="2" s="1"/>
  <c r="I52" i="2"/>
  <c r="M52" i="2" s="1"/>
  <c r="G52" i="2"/>
  <c r="J52" i="2" s="1"/>
  <c r="I33" i="2"/>
  <c r="M33" i="2" s="1"/>
  <c r="G33" i="2"/>
  <c r="J33" i="2" s="1"/>
  <c r="L33" i="2" s="1"/>
  <c r="G32" i="2"/>
  <c r="J32" i="2" s="1"/>
  <c r="L32" i="2" s="1"/>
  <c r="I32" i="2"/>
  <c r="M32" i="2" s="1"/>
  <c r="G35" i="2"/>
  <c r="J35" i="2" s="1"/>
  <c r="L35" i="2" s="1"/>
  <c r="I35" i="2"/>
  <c r="M35" i="2" s="1"/>
  <c r="I31" i="2"/>
  <c r="M31" i="2" s="1"/>
  <c r="G31" i="2"/>
  <c r="J31" i="2" s="1"/>
  <c r="W31" i="2" s="1"/>
  <c r="I34" i="2"/>
  <c r="M34" i="2" s="1"/>
  <c r="G34" i="2"/>
  <c r="J34" i="2" s="1"/>
  <c r="L34" i="2" s="1"/>
  <c r="H5" i="4"/>
  <c r="H6" i="4"/>
  <c r="H7" i="4"/>
  <c r="H8" i="4"/>
  <c r="H10" i="4"/>
  <c r="H22" i="4"/>
  <c r="H48" i="4" s="1"/>
  <c r="G6" i="4"/>
  <c r="G7" i="4"/>
  <c r="G8" i="4"/>
  <c r="G10" i="4"/>
  <c r="G22" i="4"/>
  <c r="G48" i="4" s="1"/>
  <c r="G5" i="4"/>
  <c r="D259" i="2"/>
  <c r="G75" i="2"/>
  <c r="J75" i="2" s="1"/>
  <c r="L75" i="2" s="1"/>
  <c r="D244" i="2"/>
  <c r="E244" i="2" s="1"/>
  <c r="I8" i="2"/>
  <c r="G93" i="2"/>
  <c r="J93" i="2" s="1"/>
  <c r="L93" i="2" s="1"/>
  <c r="I75" i="2"/>
  <c r="I10" i="2"/>
  <c r="G77" i="2"/>
  <c r="J77" i="2" s="1"/>
  <c r="L77" i="2" s="1"/>
  <c r="I77" i="2"/>
  <c r="F244" i="2"/>
  <c r="G244" i="2" s="1"/>
  <c r="D240" i="2"/>
  <c r="E240" i="2" s="1"/>
  <c r="P46" i="4"/>
  <c r="G8" i="2"/>
  <c r="G7" i="2"/>
  <c r="D241" i="2"/>
  <c r="E241" i="2" s="1"/>
  <c r="N46" i="4"/>
  <c r="I91" i="2"/>
  <c r="M91" i="2" s="1"/>
  <c r="G91" i="2"/>
  <c r="J91" i="2" s="1"/>
  <c r="F46" i="4"/>
  <c r="G10" i="2"/>
  <c r="I73" i="2"/>
  <c r="M73" i="2" s="1"/>
  <c r="G76" i="2"/>
  <c r="J76" i="2" s="1"/>
  <c r="L76" i="2" s="1"/>
  <c r="I163" i="2"/>
  <c r="M163" i="2" s="1"/>
  <c r="G163" i="2"/>
  <c r="J163" i="2" s="1"/>
  <c r="I161" i="2"/>
  <c r="M161" i="2" s="1"/>
  <c r="G161" i="2"/>
  <c r="J161" i="2" s="1"/>
  <c r="W161" i="2" s="1"/>
  <c r="I165" i="2"/>
  <c r="M165" i="2" s="1"/>
  <c r="G165" i="2"/>
  <c r="J165" i="2" s="1"/>
  <c r="I164" i="2"/>
  <c r="M164" i="2" s="1"/>
  <c r="G164" i="2"/>
  <c r="J164" i="2" s="1"/>
  <c r="D239" i="2"/>
  <c r="E239" i="2" s="1"/>
  <c r="F240" i="2"/>
  <c r="G240" i="2" s="1"/>
  <c r="G241" i="2"/>
  <c r="G9" i="2"/>
  <c r="I9" i="2"/>
  <c r="M9" i="2" s="1"/>
  <c r="I94" i="2"/>
  <c r="M94" i="2" s="1"/>
  <c r="G94" i="2"/>
  <c r="J94" i="2" s="1"/>
  <c r="L94" i="2" s="1"/>
  <c r="G73" i="2"/>
  <c r="J73" i="2" s="1"/>
  <c r="W73" i="2" s="1"/>
  <c r="I7" i="2"/>
  <c r="M7" i="2" s="1"/>
  <c r="I76" i="2"/>
  <c r="M76" i="2" s="1"/>
  <c r="J46" i="4"/>
  <c r="I92" i="2"/>
  <c r="M92" i="2" s="1"/>
  <c r="G92" i="2"/>
  <c r="J92" i="2" s="1"/>
  <c r="L92" i="2" s="1"/>
  <c r="O46" i="4"/>
  <c r="I95" i="2"/>
  <c r="M95" i="2" s="1"/>
  <c r="G95" i="2"/>
  <c r="J95" i="2" s="1"/>
  <c r="L95" i="2" s="1"/>
  <c r="I93" i="2"/>
  <c r="M93" i="2" s="1"/>
  <c r="B21" i="13"/>
  <c r="N207" i="2"/>
  <c r="B28" i="13"/>
  <c r="N96" i="2"/>
  <c r="B14" i="13" s="1"/>
  <c r="B13" i="13"/>
  <c r="Y46" i="4"/>
  <c r="W46" i="4"/>
  <c r="V46" i="4"/>
  <c r="X46" i="4"/>
  <c r="N152" i="2"/>
  <c r="B22" i="13" s="1"/>
  <c r="F239" i="2"/>
  <c r="F243" i="2"/>
  <c r="G242" i="2"/>
  <c r="D242" i="2"/>
  <c r="E242" i="2" s="1"/>
  <c r="D243" i="2"/>
  <c r="I142" i="2"/>
  <c r="M142" i="2" s="1"/>
  <c r="G142" i="2"/>
  <c r="U46" i="4"/>
  <c r="G140" i="2"/>
  <c r="I140" i="2"/>
  <c r="M140" i="2" s="1"/>
  <c r="G141" i="2"/>
  <c r="I141" i="2"/>
  <c r="M141" i="2" s="1"/>
  <c r="G143" i="2"/>
  <c r="J143" i="2" s="1"/>
  <c r="L143" i="2" s="1"/>
  <c r="I143" i="2"/>
  <c r="M143" i="2" s="1"/>
  <c r="T46" i="4"/>
  <c r="S46" i="4"/>
  <c r="R46" i="4"/>
  <c r="Q46" i="4"/>
  <c r="J7" i="2" l="1"/>
  <c r="L7" i="2" s="1"/>
  <c r="J9" i="2"/>
  <c r="L9" i="2" s="1"/>
  <c r="J10" i="2"/>
  <c r="L10" i="2" s="1"/>
  <c r="J8" i="2"/>
  <c r="L8" i="2" s="1"/>
  <c r="A79" i="2"/>
  <c r="A90" i="2" s="1"/>
  <c r="A97" i="2" s="1"/>
  <c r="A104" i="2" s="1"/>
  <c r="A111" i="2" s="1"/>
  <c r="A118" i="2" s="1"/>
  <c r="A125" i="2" s="1"/>
  <c r="A132" i="2" s="1"/>
  <c r="A139" i="2" s="1"/>
  <c r="A146" i="2" s="1"/>
  <c r="A153" i="2" s="1"/>
  <c r="A160" i="2" s="1"/>
  <c r="A167" i="2" s="1"/>
  <c r="A174" i="2" s="1"/>
  <c r="I14" i="2"/>
  <c r="I22" i="2" s="1"/>
  <c r="G14" i="2"/>
  <c r="J14" i="2" s="1"/>
  <c r="L14" i="2" s="1"/>
  <c r="L22" i="2" s="1"/>
  <c r="L146" i="2"/>
  <c r="W146" i="2"/>
  <c r="G208" i="2"/>
  <c r="G214" i="2" s="1"/>
  <c r="L28" i="2"/>
  <c r="W28" i="2"/>
  <c r="D48" i="4"/>
  <c r="D50" i="4" s="1"/>
  <c r="M28" i="2"/>
  <c r="I208" i="2"/>
  <c r="I214" i="2" s="1"/>
  <c r="D47" i="4"/>
  <c r="D52" i="4" s="1"/>
  <c r="AD46" i="4"/>
  <c r="AD49" i="4"/>
  <c r="AD47" i="4"/>
  <c r="AD52" i="4" s="1"/>
  <c r="G239" i="2"/>
  <c r="F254" i="2"/>
  <c r="G74" i="2"/>
  <c r="J74" i="2" s="1"/>
  <c r="W74" i="2" s="1"/>
  <c r="I74" i="2"/>
  <c r="K74" i="2" s="1"/>
  <c r="I173" i="2"/>
  <c r="J167" i="2"/>
  <c r="W167" i="2" s="1"/>
  <c r="G173" i="2"/>
  <c r="J241" i="2"/>
  <c r="M241" i="2" s="1"/>
  <c r="I47" i="4"/>
  <c r="I52" i="4" s="1"/>
  <c r="I48" i="4"/>
  <c r="W209" i="2"/>
  <c r="L97" i="2"/>
  <c r="W97" i="2"/>
  <c r="L24" i="2"/>
  <c r="W24" i="2"/>
  <c r="K212" i="2"/>
  <c r="M212" i="2"/>
  <c r="M213" i="2"/>
  <c r="K213" i="2"/>
  <c r="K209" i="2"/>
  <c r="M209" i="2"/>
  <c r="M210" i="2"/>
  <c r="K210" i="2"/>
  <c r="M211" i="2"/>
  <c r="K211" i="2"/>
  <c r="K155" i="2"/>
  <c r="M155" i="2"/>
  <c r="K146" i="2"/>
  <c r="M146" i="2"/>
  <c r="M151" i="2"/>
  <c r="K151" i="2"/>
  <c r="M170" i="2"/>
  <c r="K170" i="2"/>
  <c r="M157" i="2"/>
  <c r="K157" i="2"/>
  <c r="M158" i="2"/>
  <c r="K158" i="2"/>
  <c r="M156" i="2"/>
  <c r="K156" i="2"/>
  <c r="M147" i="2"/>
  <c r="K147" i="2"/>
  <c r="M167" i="2"/>
  <c r="K167" i="2"/>
  <c r="M154" i="2"/>
  <c r="K154" i="2"/>
  <c r="M148" i="2"/>
  <c r="K148" i="2"/>
  <c r="M169" i="2"/>
  <c r="K169" i="2"/>
  <c r="M150" i="2"/>
  <c r="K150" i="2"/>
  <c r="K153" i="2"/>
  <c r="M153" i="2"/>
  <c r="K168" i="2"/>
  <c r="M168" i="2"/>
  <c r="M171" i="2"/>
  <c r="K171" i="2"/>
  <c r="M149" i="2"/>
  <c r="K149" i="2"/>
  <c r="K172" i="2"/>
  <c r="M172" i="2"/>
  <c r="K125" i="2"/>
  <c r="M125" i="2"/>
  <c r="K127" i="2"/>
  <c r="M127" i="2"/>
  <c r="M126" i="2"/>
  <c r="K126" i="2"/>
  <c r="M129" i="2"/>
  <c r="K129" i="2"/>
  <c r="M128" i="2"/>
  <c r="K128" i="2"/>
  <c r="K130" i="2"/>
  <c r="M130" i="2"/>
  <c r="K121" i="2"/>
  <c r="M121" i="2"/>
  <c r="M120" i="2"/>
  <c r="K120" i="2"/>
  <c r="K119" i="2"/>
  <c r="M119" i="2"/>
  <c r="K118" i="2"/>
  <c r="M118" i="2"/>
  <c r="M122" i="2"/>
  <c r="K122" i="2"/>
  <c r="M123" i="2"/>
  <c r="K123" i="2"/>
  <c r="M102" i="2"/>
  <c r="K102" i="2"/>
  <c r="K100" i="2"/>
  <c r="M100" i="2"/>
  <c r="K99" i="2"/>
  <c r="M99" i="2"/>
  <c r="K98" i="2"/>
  <c r="M98" i="2"/>
  <c r="M97" i="2"/>
  <c r="K97" i="2"/>
  <c r="K101" i="2"/>
  <c r="M101" i="2"/>
  <c r="L59" i="2"/>
  <c r="W147" i="2"/>
  <c r="H49" i="4"/>
  <c r="G49" i="4"/>
  <c r="I49" i="4"/>
  <c r="M242" i="2"/>
  <c r="W150" i="2"/>
  <c r="O50" i="4"/>
  <c r="K135" i="2"/>
  <c r="M135" i="2"/>
  <c r="G138" i="2"/>
  <c r="J132" i="2"/>
  <c r="M132" i="2"/>
  <c r="K132" i="2"/>
  <c r="I138" i="2"/>
  <c r="M134" i="2"/>
  <c r="K134" i="2"/>
  <c r="M136" i="2"/>
  <c r="K136" i="2"/>
  <c r="M137" i="2"/>
  <c r="K137" i="2"/>
  <c r="M133" i="2"/>
  <c r="K133" i="2"/>
  <c r="M14" i="2"/>
  <c r="M19" i="2"/>
  <c r="K19" i="2"/>
  <c r="M17" i="2"/>
  <c r="K17" i="2"/>
  <c r="K18" i="2"/>
  <c r="M18" i="2"/>
  <c r="K16" i="2"/>
  <c r="M16" i="2"/>
  <c r="M15" i="2"/>
  <c r="K15" i="2"/>
  <c r="G44" i="2"/>
  <c r="J44" i="2" s="1"/>
  <c r="W44" i="2" s="1"/>
  <c r="I51" i="2"/>
  <c r="M51" i="2" s="1"/>
  <c r="I139" i="2"/>
  <c r="M139" i="2" s="1"/>
  <c r="I90" i="2"/>
  <c r="J66" i="2"/>
  <c r="W66" i="2" s="1"/>
  <c r="G51" i="2"/>
  <c r="J51" i="2" s="1"/>
  <c r="W51" i="2" s="1"/>
  <c r="G139" i="2"/>
  <c r="J139" i="2" s="1"/>
  <c r="W139" i="2" s="1"/>
  <c r="I44" i="2"/>
  <c r="M44" i="2" s="1"/>
  <c r="D50" i="2"/>
  <c r="H8" i="13" s="1"/>
  <c r="I23" i="2"/>
  <c r="M23" i="2" s="1"/>
  <c r="G160" i="2"/>
  <c r="J160" i="2" s="1"/>
  <c r="W160" i="2" s="1"/>
  <c r="I111" i="2"/>
  <c r="M111" i="2" s="1"/>
  <c r="G30" i="2"/>
  <c r="J30" i="2" s="1"/>
  <c r="H26" i="13"/>
  <c r="H14" i="13"/>
  <c r="W153" i="2"/>
  <c r="I160" i="2"/>
  <c r="M160" i="2" s="1"/>
  <c r="I30" i="2"/>
  <c r="M30" i="2" s="1"/>
  <c r="G90" i="2"/>
  <c r="G96" i="2" s="1"/>
  <c r="I162" i="2"/>
  <c r="M162" i="2" s="1"/>
  <c r="G111" i="2"/>
  <c r="J111" i="2" s="1"/>
  <c r="D166" i="2"/>
  <c r="H24" i="13" s="1"/>
  <c r="D29" i="2"/>
  <c r="H5" i="13" s="1"/>
  <c r="I58" i="2"/>
  <c r="M58" i="2" s="1"/>
  <c r="G23" i="2"/>
  <c r="J23" i="2" s="1"/>
  <c r="G162" i="2"/>
  <c r="J162" i="2" s="1"/>
  <c r="W162" i="2" s="1"/>
  <c r="E64" i="2"/>
  <c r="J239" i="2"/>
  <c r="H30" i="13"/>
  <c r="C50" i="4"/>
  <c r="W158" i="2"/>
  <c r="W202" i="2"/>
  <c r="W184" i="2"/>
  <c r="P53" i="4"/>
  <c r="K16" i="13" s="1"/>
  <c r="P50" i="4"/>
  <c r="W135" i="2"/>
  <c r="W176" i="2"/>
  <c r="W157" i="2"/>
  <c r="W99" i="2"/>
  <c r="W165" i="2"/>
  <c r="L165" i="2"/>
  <c r="W163" i="2"/>
  <c r="L163" i="2"/>
  <c r="W212" i="2"/>
  <c r="W102" i="2"/>
  <c r="W185" i="2"/>
  <c r="W186" i="2"/>
  <c r="K77" i="2"/>
  <c r="M77" i="2"/>
  <c r="K8" i="2"/>
  <c r="M8" i="2"/>
  <c r="W148" i="2"/>
  <c r="W151" i="2"/>
  <c r="Z53" i="4"/>
  <c r="K26" i="13" s="1"/>
  <c r="Z50" i="4"/>
  <c r="Y51" i="4"/>
  <c r="Y50" i="4"/>
  <c r="W136" i="2"/>
  <c r="W134" i="2"/>
  <c r="W204" i="2"/>
  <c r="W137" i="2"/>
  <c r="W101" i="2"/>
  <c r="W206" i="2"/>
  <c r="K75" i="2"/>
  <c r="M75" i="2"/>
  <c r="J51" i="4"/>
  <c r="J50" i="4"/>
  <c r="W51" i="4"/>
  <c r="W50" i="4"/>
  <c r="W98" i="2"/>
  <c r="W91" i="2"/>
  <c r="L91" i="2"/>
  <c r="W172" i="2"/>
  <c r="L31" i="2"/>
  <c r="W205" i="2"/>
  <c r="W156" i="2"/>
  <c r="W154" i="2"/>
  <c r="W100" i="2"/>
  <c r="L73" i="2"/>
  <c r="W164" i="2"/>
  <c r="L164" i="2"/>
  <c r="L161" i="2"/>
  <c r="W213" i="2"/>
  <c r="K10" i="2"/>
  <c r="M10" i="2"/>
  <c r="W149" i="2"/>
  <c r="W52" i="2"/>
  <c r="L52" i="2"/>
  <c r="V51" i="4"/>
  <c r="V50" i="4"/>
  <c r="L45" i="2"/>
  <c r="AC53" i="4"/>
  <c r="K29" i="13" s="1"/>
  <c r="AC50" i="4"/>
  <c r="E243" i="2"/>
  <c r="D254" i="2"/>
  <c r="D6" i="11" s="1"/>
  <c r="G243" i="2"/>
  <c r="X52" i="4"/>
  <c r="X53" i="4"/>
  <c r="O52" i="4"/>
  <c r="D228" i="2"/>
  <c r="H32" i="13" s="1"/>
  <c r="B29" i="13"/>
  <c r="K26" i="2"/>
  <c r="K24" i="2"/>
  <c r="W25" i="2"/>
  <c r="W27" i="2"/>
  <c r="W26" i="2"/>
  <c r="K25" i="2"/>
  <c r="K27" i="2"/>
  <c r="J141" i="2"/>
  <c r="J140" i="2"/>
  <c r="L140" i="2" s="1"/>
  <c r="J142" i="2"/>
  <c r="L142" i="2" s="1"/>
  <c r="K62" i="2"/>
  <c r="J58" i="2"/>
  <c r="W58" i="2" s="1"/>
  <c r="G64" i="2"/>
  <c r="K63" i="2"/>
  <c r="K61" i="2"/>
  <c r="K59" i="2"/>
  <c r="K60" i="2"/>
  <c r="G47" i="4"/>
  <c r="G52" i="4" s="1"/>
  <c r="W112" i="2"/>
  <c r="W126" i="2"/>
  <c r="W119" i="2"/>
  <c r="W48" i="2"/>
  <c r="K49" i="2"/>
  <c r="K45" i="2"/>
  <c r="K47" i="2"/>
  <c r="K48" i="2"/>
  <c r="K46" i="2"/>
  <c r="K41" i="2"/>
  <c r="K42" i="2"/>
  <c r="I39" i="2"/>
  <c r="M39" i="2" s="1"/>
  <c r="G39" i="2"/>
  <c r="J39" i="2" s="1"/>
  <c r="L39" i="2" s="1"/>
  <c r="I38" i="2"/>
  <c r="M38" i="2" s="1"/>
  <c r="G38" i="2"/>
  <c r="J38" i="2" s="1"/>
  <c r="L38" i="2" s="1"/>
  <c r="I40" i="2"/>
  <c r="M40" i="2" s="1"/>
  <c r="G40" i="2"/>
  <c r="J40" i="2" s="1"/>
  <c r="L40" i="2" s="1"/>
  <c r="I37" i="2"/>
  <c r="M37" i="2" s="1"/>
  <c r="D43" i="2"/>
  <c r="H7" i="13" s="1"/>
  <c r="G37" i="2"/>
  <c r="I46" i="4"/>
  <c r="K66" i="2"/>
  <c r="K67" i="2"/>
  <c r="K69" i="2"/>
  <c r="K68" i="2"/>
  <c r="H11" i="13"/>
  <c r="I65" i="2"/>
  <c r="I71" i="2" s="1"/>
  <c r="G65" i="2"/>
  <c r="J65" i="2" s="1"/>
  <c r="W65" i="2" s="1"/>
  <c r="D64" i="2"/>
  <c r="K70" i="2"/>
  <c r="G70" i="2"/>
  <c r="J70" i="2" s="1"/>
  <c r="L70" i="2" s="1"/>
  <c r="H47" i="4"/>
  <c r="H52" i="4" s="1"/>
  <c r="K114" i="2"/>
  <c r="K113" i="2"/>
  <c r="K116" i="2"/>
  <c r="K115" i="2"/>
  <c r="K112" i="2"/>
  <c r="M244" i="2"/>
  <c r="N244" i="2" s="1"/>
  <c r="N110" i="2"/>
  <c r="B16" i="13" s="1"/>
  <c r="W143" i="2"/>
  <c r="C256" i="2"/>
  <c r="D5" i="11" s="1"/>
  <c r="W67" i="2"/>
  <c r="W42" i="2"/>
  <c r="W32" i="2"/>
  <c r="W122" i="2"/>
  <c r="W123" i="2"/>
  <c r="W95" i="2"/>
  <c r="W68" i="2"/>
  <c r="W116" i="2"/>
  <c r="W77" i="2"/>
  <c r="W34" i="2"/>
  <c r="W35" i="2"/>
  <c r="W41" i="2"/>
  <c r="W120" i="2"/>
  <c r="W69" i="2"/>
  <c r="W76" i="2"/>
  <c r="W113" i="2"/>
  <c r="W33" i="2"/>
  <c r="W121" i="2"/>
  <c r="W115" i="2"/>
  <c r="W92" i="2"/>
  <c r="W94" i="2"/>
  <c r="W93" i="2"/>
  <c r="W75" i="2"/>
  <c r="W18" i="2"/>
  <c r="W16" i="2"/>
  <c r="W19" i="2"/>
  <c r="W17" i="2"/>
  <c r="W9" i="2"/>
  <c r="W8" i="2"/>
  <c r="W10" i="2"/>
  <c r="W7" i="2"/>
  <c r="H46" i="4"/>
  <c r="K31" i="2"/>
  <c r="K32" i="2"/>
  <c r="K33" i="2"/>
  <c r="K34" i="2"/>
  <c r="K35" i="2"/>
  <c r="K52" i="2"/>
  <c r="I56" i="2"/>
  <c r="M56" i="2" s="1"/>
  <c r="G56" i="2"/>
  <c r="J56" i="2" s="1"/>
  <c r="L56" i="2" s="1"/>
  <c r="I54" i="2"/>
  <c r="M54" i="2" s="1"/>
  <c r="G54" i="2"/>
  <c r="J54" i="2" s="1"/>
  <c r="L54" i="2" s="1"/>
  <c r="I55" i="2"/>
  <c r="M55" i="2" s="1"/>
  <c r="G55" i="2"/>
  <c r="J55" i="2" s="1"/>
  <c r="L55" i="2" s="1"/>
  <c r="I53" i="2"/>
  <c r="M53" i="2" s="1"/>
  <c r="G53" i="2"/>
  <c r="D57" i="2"/>
  <c r="H9" i="13" s="1"/>
  <c r="H13" i="13"/>
  <c r="G46" i="4"/>
  <c r="H21" i="13"/>
  <c r="H22" i="13"/>
  <c r="H12" i="13"/>
  <c r="H4" i="13"/>
  <c r="C52" i="4"/>
  <c r="C51" i="4"/>
  <c r="D131" i="2"/>
  <c r="C53" i="4"/>
  <c r="H18" i="13"/>
  <c r="D103" i="2"/>
  <c r="P51" i="4"/>
  <c r="G6" i="2"/>
  <c r="R53" i="4"/>
  <c r="K18" i="13" s="1"/>
  <c r="R51" i="4"/>
  <c r="Q51" i="4"/>
  <c r="Q53" i="4"/>
  <c r="K17" i="13" s="1"/>
  <c r="N51" i="4"/>
  <c r="N53" i="4"/>
  <c r="K14" i="13" s="1"/>
  <c r="M53" i="4"/>
  <c r="K13" i="13" s="1"/>
  <c r="M51" i="4"/>
  <c r="E131" i="2"/>
  <c r="K73" i="2"/>
  <c r="K51" i="4"/>
  <c r="K53" i="4"/>
  <c r="K11" i="13" s="1"/>
  <c r="J53" i="4"/>
  <c r="K10" i="13" s="1"/>
  <c r="Z51" i="4"/>
  <c r="K91" i="2"/>
  <c r="I144" i="2"/>
  <c r="I72" i="2"/>
  <c r="M72" i="2" s="1"/>
  <c r="E53" i="4"/>
  <c r="K5" i="13" s="1"/>
  <c r="E51" i="4"/>
  <c r="K165" i="2"/>
  <c r="K161" i="2"/>
  <c r="X51" i="4"/>
  <c r="K164" i="2"/>
  <c r="K163" i="2"/>
  <c r="L53" i="4"/>
  <c r="K12" i="13" s="1"/>
  <c r="L51" i="4"/>
  <c r="K76" i="2"/>
  <c r="K95" i="2"/>
  <c r="I6" i="2"/>
  <c r="M6" i="2" s="1"/>
  <c r="Y53" i="4"/>
  <c r="K25" i="13" s="1"/>
  <c r="E103" i="2"/>
  <c r="F53" i="4"/>
  <c r="K6" i="13" s="1"/>
  <c r="F51" i="4"/>
  <c r="K9" i="2"/>
  <c r="E110" i="2"/>
  <c r="H16" i="13" s="1"/>
  <c r="H6" i="13"/>
  <c r="O53" i="4"/>
  <c r="O51" i="4"/>
  <c r="G5" i="2"/>
  <c r="E250" i="2" s="1"/>
  <c r="I5" i="2"/>
  <c r="K7" i="2"/>
  <c r="G144" i="2"/>
  <c r="K93" i="2"/>
  <c r="K92" i="2"/>
  <c r="G72" i="2"/>
  <c r="K94" i="2"/>
  <c r="W53" i="4"/>
  <c r="K23" i="13" s="1"/>
  <c r="V53" i="4"/>
  <c r="K22" i="13" s="1"/>
  <c r="AC51" i="4"/>
  <c r="AB53" i="4"/>
  <c r="K28" i="13" s="1"/>
  <c r="AB51" i="4"/>
  <c r="D159" i="2"/>
  <c r="H23" i="13" s="1"/>
  <c r="AA53" i="4"/>
  <c r="K27" i="13" s="1"/>
  <c r="AA51" i="4"/>
  <c r="C3" i="13"/>
  <c r="U53" i="4"/>
  <c r="K21" i="13" s="1"/>
  <c r="U51" i="4"/>
  <c r="K141" i="2"/>
  <c r="K140" i="2"/>
  <c r="K143" i="2"/>
  <c r="K142" i="2"/>
  <c r="H20" i="13"/>
  <c r="T53" i="4"/>
  <c r="K20" i="13" s="1"/>
  <c r="T51" i="4"/>
  <c r="S53" i="4"/>
  <c r="K19" i="13" s="1"/>
  <c r="S51" i="4"/>
  <c r="R52" i="4"/>
  <c r="J6" i="2" l="1"/>
  <c r="K14" i="2"/>
  <c r="J208" i="2"/>
  <c r="W208" i="2" s="1"/>
  <c r="G22" i="2"/>
  <c r="M208" i="2"/>
  <c r="K208" i="2"/>
  <c r="K214" i="2" s="1"/>
  <c r="G13" i="2"/>
  <c r="K22" i="2"/>
  <c r="M22" i="2"/>
  <c r="I13" i="2"/>
  <c r="M214" i="2"/>
  <c r="G78" i="2"/>
  <c r="M74" i="2"/>
  <c r="M78" i="2" s="1"/>
  <c r="J254" i="2"/>
  <c r="E254" i="2"/>
  <c r="F259" i="2" s="1"/>
  <c r="G254" i="2"/>
  <c r="I259" i="2" s="1"/>
  <c r="K173" i="2"/>
  <c r="M173" i="2"/>
  <c r="L167" i="2"/>
  <c r="L173" i="2" s="1"/>
  <c r="J173" i="2"/>
  <c r="L23" i="2"/>
  <c r="L29" i="2" s="1"/>
  <c r="W23" i="2"/>
  <c r="W29" i="2" s="1"/>
  <c r="I78" i="2"/>
  <c r="L74" i="2"/>
  <c r="M5" i="2"/>
  <c r="M13" i="2" s="1"/>
  <c r="L139" i="2"/>
  <c r="L58" i="2"/>
  <c r="L64" i="2" s="1"/>
  <c r="B34" i="13"/>
  <c r="M90" i="2"/>
  <c r="M96" i="2" s="1"/>
  <c r="I96" i="2"/>
  <c r="B48" i="4"/>
  <c r="J110" i="2"/>
  <c r="W110" i="2"/>
  <c r="D16" i="13" s="1"/>
  <c r="B49" i="4"/>
  <c r="B46" i="4"/>
  <c r="L131" i="2"/>
  <c r="W125" i="2"/>
  <c r="B47" i="4"/>
  <c r="B52" i="4"/>
  <c r="L132" i="2"/>
  <c r="L138" i="2" s="1"/>
  <c r="J138" i="2"/>
  <c r="K138" i="2"/>
  <c r="I50" i="2"/>
  <c r="M138" i="2"/>
  <c r="K124" i="2"/>
  <c r="L51" i="2"/>
  <c r="K51" i="2"/>
  <c r="G50" i="2"/>
  <c r="J90" i="2"/>
  <c r="G117" i="2"/>
  <c r="K58" i="2"/>
  <c r="K64" i="2" s="1"/>
  <c r="J131" i="2"/>
  <c r="K90" i="2"/>
  <c r="K96" i="2" s="1"/>
  <c r="K139" i="2"/>
  <c r="G124" i="2"/>
  <c r="G131" i="2"/>
  <c r="G152" i="2"/>
  <c r="K44" i="2"/>
  <c r="K50" i="2" s="1"/>
  <c r="I64" i="2"/>
  <c r="G36" i="2"/>
  <c r="K23" i="2"/>
  <c r="K29" i="2" s="1"/>
  <c r="L66" i="2"/>
  <c r="I36" i="2"/>
  <c r="G71" i="2"/>
  <c r="I124" i="2"/>
  <c r="K160" i="2"/>
  <c r="L110" i="2"/>
  <c r="I117" i="2"/>
  <c r="K111" i="2"/>
  <c r="K117" i="2" s="1"/>
  <c r="H10" i="13"/>
  <c r="M166" i="2"/>
  <c r="L162" i="2"/>
  <c r="K152" i="2"/>
  <c r="I166" i="2"/>
  <c r="G166" i="2"/>
  <c r="I152" i="2"/>
  <c r="K30" i="2"/>
  <c r="K36" i="2" s="1"/>
  <c r="K162" i="2"/>
  <c r="H28" i="13"/>
  <c r="W203" i="2"/>
  <c r="W207" i="2" s="1"/>
  <c r="L160" i="2"/>
  <c r="W166" i="2"/>
  <c r="W170" i="2"/>
  <c r="W169" i="2"/>
  <c r="W182" i="2"/>
  <c r="W111" i="2"/>
  <c r="L111" i="2"/>
  <c r="L117" i="2" s="1"/>
  <c r="M65" i="2"/>
  <c r="M71" i="2" s="1"/>
  <c r="G53" i="4"/>
  <c r="K7" i="13" s="1"/>
  <c r="G50" i="4"/>
  <c r="W210" i="2"/>
  <c r="W6" i="2"/>
  <c r="L6" i="2"/>
  <c r="W132" i="2"/>
  <c r="W14" i="2"/>
  <c r="W152" i="2"/>
  <c r="D22" i="13" s="1"/>
  <c r="L152" i="2"/>
  <c r="W177" i="2"/>
  <c r="W178" i="2"/>
  <c r="I51" i="4"/>
  <c r="I50" i="4"/>
  <c r="L44" i="2"/>
  <c r="L50" i="2" s="1"/>
  <c r="W141" i="2"/>
  <c r="L141" i="2"/>
  <c r="W133" i="2"/>
  <c r="W168" i="2"/>
  <c r="W179" i="2"/>
  <c r="AD51" i="4"/>
  <c r="AD50" i="4"/>
  <c r="W183" i="2"/>
  <c r="W15" i="2"/>
  <c r="W103" i="2"/>
  <c r="D15" i="13" s="1"/>
  <c r="I145" i="2"/>
  <c r="M144" i="2"/>
  <c r="M145" i="2" s="1"/>
  <c r="W211" i="2"/>
  <c r="W171" i="2"/>
  <c r="W30" i="2"/>
  <c r="W36" i="2" s="1"/>
  <c r="L30" i="2"/>
  <c r="L36" i="2" s="1"/>
  <c r="W175" i="2"/>
  <c r="H53" i="4"/>
  <c r="K8" i="13" s="1"/>
  <c r="H50" i="4"/>
  <c r="W118" i="2"/>
  <c r="W124" i="2" s="1"/>
  <c r="D18" i="13" s="1"/>
  <c r="L124" i="2"/>
  <c r="J166" i="2"/>
  <c r="K24" i="13"/>
  <c r="K15" i="13"/>
  <c r="G221" i="2"/>
  <c r="AD53" i="4"/>
  <c r="K30" i="13" s="1"/>
  <c r="I221" i="2"/>
  <c r="G228" i="2"/>
  <c r="W220" i="2"/>
  <c r="W219" i="2"/>
  <c r="W218" i="2"/>
  <c r="I228" i="2"/>
  <c r="W227" i="2"/>
  <c r="C4" i="13"/>
  <c r="A181" i="2"/>
  <c r="A190" i="2" s="1"/>
  <c r="W130" i="2"/>
  <c r="W127" i="2"/>
  <c r="W128" i="2"/>
  <c r="J144" i="2"/>
  <c r="W142" i="2"/>
  <c r="W140" i="2"/>
  <c r="W129" i="2"/>
  <c r="D53" i="4"/>
  <c r="K4" i="13" s="1"/>
  <c r="J64" i="2"/>
  <c r="M64" i="2"/>
  <c r="W38" i="2"/>
  <c r="J103" i="2"/>
  <c r="D51" i="4"/>
  <c r="J124" i="2"/>
  <c r="M124" i="2"/>
  <c r="W61" i="2"/>
  <c r="M50" i="2"/>
  <c r="J50" i="2"/>
  <c r="W62" i="2"/>
  <c r="W40" i="2"/>
  <c r="I43" i="2"/>
  <c r="K37" i="2"/>
  <c r="K38" i="2"/>
  <c r="G43" i="2"/>
  <c r="J37" i="2"/>
  <c r="W37" i="2" s="1"/>
  <c r="K40" i="2"/>
  <c r="K39" i="2"/>
  <c r="W39" i="2"/>
  <c r="I53" i="4"/>
  <c r="K9" i="13" s="1"/>
  <c r="W70" i="2"/>
  <c r="K65" i="2"/>
  <c r="K71" i="2" s="1"/>
  <c r="H51" i="4"/>
  <c r="M117" i="2"/>
  <c r="J117" i="2"/>
  <c r="G51" i="4"/>
  <c r="H29" i="13"/>
  <c r="N242" i="2"/>
  <c r="J152" i="2"/>
  <c r="W114" i="2"/>
  <c r="W49" i="2"/>
  <c r="W55" i="2"/>
  <c r="W54" i="2"/>
  <c r="W63" i="2"/>
  <c r="W47" i="2"/>
  <c r="W56" i="2"/>
  <c r="J36" i="2"/>
  <c r="M36" i="2"/>
  <c r="I57" i="2"/>
  <c r="K53" i="2"/>
  <c r="K56" i="2"/>
  <c r="K55" i="2"/>
  <c r="J53" i="2"/>
  <c r="L53" i="2" s="1"/>
  <c r="G57" i="2"/>
  <c r="K54" i="2"/>
  <c r="B260" i="2"/>
  <c r="C260" i="2"/>
  <c r="H25" i="13"/>
  <c r="H15" i="13"/>
  <c r="H19" i="13"/>
  <c r="H17" i="13"/>
  <c r="H3" i="13"/>
  <c r="K3" i="13"/>
  <c r="I131" i="2"/>
  <c r="M131" i="2"/>
  <c r="G110" i="2"/>
  <c r="K243" i="2"/>
  <c r="J29" i="2"/>
  <c r="K242" i="2"/>
  <c r="L242" i="2" s="1"/>
  <c r="I29" i="2"/>
  <c r="M29" i="2"/>
  <c r="K144" i="2"/>
  <c r="M243" i="2"/>
  <c r="G29" i="2"/>
  <c r="N241" i="2"/>
  <c r="K72" i="2"/>
  <c r="K78" i="2" s="1"/>
  <c r="K244" i="2"/>
  <c r="L244" i="2" s="1"/>
  <c r="G145" i="2"/>
  <c r="K6" i="2"/>
  <c r="J72" i="2"/>
  <c r="J78" i="2" s="1"/>
  <c r="J5" i="2"/>
  <c r="J13" i="2" s="1"/>
  <c r="I110" i="2"/>
  <c r="M152" i="2" s="1"/>
  <c r="K240" i="2"/>
  <c r="L240" i="2" s="1"/>
  <c r="I103" i="2"/>
  <c r="K5" i="2"/>
  <c r="J22" i="2"/>
  <c r="G103" i="2"/>
  <c r="M240" i="2"/>
  <c r="N240" i="2" s="1"/>
  <c r="K241" i="2"/>
  <c r="L241" i="2" s="1"/>
  <c r="G159" i="2"/>
  <c r="I159" i="2"/>
  <c r="M159" i="2"/>
  <c r="D7" i="11"/>
  <c r="G259" i="2"/>
  <c r="J214" i="2" l="1"/>
  <c r="W22" i="2"/>
  <c r="L208" i="2"/>
  <c r="L214" i="2" s="1"/>
  <c r="A201" i="2"/>
  <c r="A208" i="2" s="1"/>
  <c r="A215" i="2" s="1"/>
  <c r="A222" i="2" s="1"/>
  <c r="A229" i="2" s="1"/>
  <c r="W214" i="2"/>
  <c r="W189" i="2"/>
  <c r="J96" i="2"/>
  <c r="W90" i="2"/>
  <c r="K13" i="2"/>
  <c r="D27" i="13"/>
  <c r="D29" i="13"/>
  <c r="D9" i="11"/>
  <c r="D8" i="11"/>
  <c r="W180" i="2"/>
  <c r="O180" i="2" s="1"/>
  <c r="F26" i="13" s="1"/>
  <c r="W173" i="2"/>
  <c r="O173" i="2" s="1"/>
  <c r="F25" i="13" s="1"/>
  <c r="W5" i="2"/>
  <c r="W13" i="2" s="1"/>
  <c r="K34" i="13"/>
  <c r="W89" i="2"/>
  <c r="L90" i="2"/>
  <c r="L96" i="2" s="1"/>
  <c r="B51" i="4"/>
  <c r="B50" i="4"/>
  <c r="B53" i="4"/>
  <c r="K145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K159" i="2"/>
  <c r="K166" i="2"/>
  <c r="L65" i="2"/>
  <c r="L71" i="2" s="1"/>
  <c r="J71" i="2"/>
  <c r="L166" i="2"/>
  <c r="O207" i="2"/>
  <c r="F29" i="13" s="1"/>
  <c r="K103" i="2"/>
  <c r="O22" i="2"/>
  <c r="F4" i="13" s="1"/>
  <c r="D30" i="13"/>
  <c r="W138" i="2"/>
  <c r="W72" i="2"/>
  <c r="L72" i="2"/>
  <c r="L78" i="2" s="1"/>
  <c r="J145" i="2"/>
  <c r="L144" i="2"/>
  <c r="L145" i="2" s="1"/>
  <c r="L5" i="2"/>
  <c r="L13" i="2" s="1"/>
  <c r="W43" i="2"/>
  <c r="D7" i="13" s="1"/>
  <c r="L37" i="2"/>
  <c r="L43" i="2" s="1"/>
  <c r="J221" i="2"/>
  <c r="L221" i="2"/>
  <c r="J159" i="2"/>
  <c r="L159" i="2"/>
  <c r="N243" i="2"/>
  <c r="L243" i="2"/>
  <c r="M228" i="2"/>
  <c r="K228" i="2"/>
  <c r="M221" i="2"/>
  <c r="W217" i="2"/>
  <c r="L228" i="2"/>
  <c r="J228" i="2"/>
  <c r="W222" i="2"/>
  <c r="W228" i="2" s="1"/>
  <c r="K221" i="2"/>
  <c r="D24" i="13"/>
  <c r="O166" i="2"/>
  <c r="F24" i="13" s="1"/>
  <c r="D6" i="13"/>
  <c r="D5" i="13"/>
  <c r="W144" i="2"/>
  <c r="W145" i="2" s="1"/>
  <c r="D21" i="13" s="1"/>
  <c r="W131" i="2"/>
  <c r="O110" i="2"/>
  <c r="F16" i="13" s="1"/>
  <c r="M43" i="2"/>
  <c r="J43" i="2"/>
  <c r="K43" i="2"/>
  <c r="W60" i="2"/>
  <c r="W64" i="2" s="1"/>
  <c r="O124" i="2"/>
  <c r="F18" i="13" s="1"/>
  <c r="O36" i="2"/>
  <c r="F6" i="13" s="1"/>
  <c r="O152" i="2"/>
  <c r="F22" i="13" s="1"/>
  <c r="W53" i="2"/>
  <c r="W57" i="2" s="1"/>
  <c r="D9" i="13" s="1"/>
  <c r="J57" i="2"/>
  <c r="W46" i="2"/>
  <c r="W50" i="2" s="1"/>
  <c r="D8" i="13" s="1"/>
  <c r="W117" i="2"/>
  <c r="D17" i="13" s="1"/>
  <c r="O29" i="2"/>
  <c r="F5" i="13" s="1"/>
  <c r="W155" i="2"/>
  <c r="M57" i="2"/>
  <c r="L57" i="2"/>
  <c r="K57" i="2"/>
  <c r="M103" i="2"/>
  <c r="K131" i="2"/>
  <c r="K110" i="2"/>
  <c r="M110" i="2"/>
  <c r="D260" i="2"/>
  <c r="D13" i="13" l="1"/>
  <c r="O89" i="2"/>
  <c r="F13" i="13" s="1"/>
  <c r="D28" i="13"/>
  <c r="W78" i="2"/>
  <c r="D12" i="13" s="1"/>
  <c r="W96" i="2"/>
  <c r="D14" i="13" s="1"/>
  <c r="D20" i="13"/>
  <c r="O138" i="2"/>
  <c r="F20" i="13" s="1"/>
  <c r="W71" i="2"/>
  <c r="O71" i="2" s="1"/>
  <c r="F11" i="13" s="1"/>
  <c r="D4" i="13"/>
  <c r="O214" i="2"/>
  <c r="F30" i="13" s="1"/>
  <c r="D25" i="13"/>
  <c r="D26" i="13"/>
  <c r="O189" i="2"/>
  <c r="F27" i="13" s="1"/>
  <c r="O228" i="2"/>
  <c r="F32" i="13" s="1"/>
  <c r="D32" i="13"/>
  <c r="D3" i="13"/>
  <c r="W221" i="2"/>
  <c r="D19" i="13"/>
  <c r="O131" i="2"/>
  <c r="F19" i="13" s="1"/>
  <c r="O43" i="2"/>
  <c r="F7" i="13" s="1"/>
  <c r="O145" i="2"/>
  <c r="F21" i="13" s="1"/>
  <c r="O50" i="2"/>
  <c r="F8" i="13" s="1"/>
  <c r="D10" i="13"/>
  <c r="O117" i="2"/>
  <c r="F17" i="13" s="1"/>
  <c r="W159" i="2"/>
  <c r="O13" i="2"/>
  <c r="F3" i="13" s="1"/>
  <c r="O57" i="2"/>
  <c r="F9" i="13" s="1"/>
  <c r="G260" i="2"/>
  <c r="F260" i="2"/>
  <c r="I260" i="2"/>
  <c r="F28" i="13" l="1"/>
  <c r="O78" i="2"/>
  <c r="F12" i="13" s="1"/>
  <c r="O96" i="2"/>
  <c r="F14" i="13" s="1"/>
  <c r="D11" i="13"/>
  <c r="O221" i="2"/>
  <c r="F31" i="13" s="1"/>
  <c r="D31" i="13"/>
  <c r="D23" i="13"/>
  <c r="O159" i="2"/>
  <c r="F23" i="13" s="1"/>
  <c r="O64" i="2"/>
  <c r="F10" i="13" s="1"/>
  <c r="E3" i="13"/>
  <c r="L103" i="2"/>
  <c r="O103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I239" i="2" l="1"/>
  <c r="I254" i="2" s="1"/>
  <c r="J261" i="2" l="1"/>
  <c r="C5" i="11" s="1"/>
  <c r="B5" i="11" s="1"/>
  <c r="G256" i="2"/>
  <c r="K239" i="2"/>
  <c r="K254" i="2" s="1"/>
  <c r="M239" i="2"/>
  <c r="M254" i="2" s="1"/>
  <c r="L239" i="2" l="1"/>
  <c r="C6" i="11"/>
  <c r="B6" i="11" s="1"/>
  <c r="N239" i="2"/>
  <c r="C7" i="11"/>
  <c r="B7" i="11" s="1"/>
  <c r="W235" i="2"/>
  <c r="W239" i="2" s="1"/>
  <c r="N254" i="2" l="1"/>
  <c r="C9" i="11" s="1"/>
  <c r="B9" i="11" s="1"/>
  <c r="L254" i="2"/>
  <c r="C8" i="11" s="1"/>
  <c r="B8" i="11" s="1"/>
  <c r="D33" i="13"/>
  <c r="O235" i="2"/>
  <c r="F33" i="13" s="1"/>
  <c r="F34" i="13" s="1"/>
  <c r="D34" i="13" l="1"/>
  <c r="E33" i="13"/>
  <c r="E34" i="13" s="1"/>
  <c r="H27" i="13" l="1"/>
  <c r="H34" i="13" s="1"/>
</calcChain>
</file>

<file path=xl/comments1.xml><?xml version="1.0" encoding="utf-8"?>
<comments xmlns="http://schemas.openxmlformats.org/spreadsheetml/2006/main">
  <authors>
    <author>Autor</author>
  </authors>
  <commentList>
    <comment ref="T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12254 Estación El Belloto, anden 2. Servicios 658 viaje 87; 662 viaje 95; 652 viaje 99 y 654 viaje 103 son acoplados para cumplir con oferta de equipos en unidad múltiple.</t>
        </r>
      </text>
    </comment>
    <comment ref="Q2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12277</t>
        </r>
      </text>
    </comment>
    <comment ref="Q3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12320</t>
        </r>
      </text>
    </comment>
    <comment ref="Q3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 12350
Estación El Belloto, anden 1. Servicio 653 XT-09-11 (viaje 20) y 656 XT-17-03 (viaje 32) son desacoplados.</t>
        </r>
      </text>
    </comment>
    <comment ref="T3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12361 Estación El Belloto, anden 1. Servicio 610 T-27-21 (viaje 110)es acoplado para cumplir oferta de servicios múltiples
</t>
        </r>
      </text>
    </comment>
    <comment ref="Q4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12379 Estación El Belloto, anden 1. Servicio 657 XT-31-34 (viaje 36) es desacoplado.
</t>
        </r>
      </text>
    </comment>
    <comment ref="T4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12395 Estación El Belloto, anden vía 1 servicios 601 XT-21-14 (viaje 110); servicio 602 XT-03-15 (viaje 112) y 603 xt-27-07 (viaje 114) realizan acople en Belloto para cumplir la oferta de servicios programados.</t>
        </r>
      </text>
    </comment>
    <comment ref="T4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12399
Servicio 661 XT32-30 (viaje 175) acopla en belloto anden via 2 para cumplir oferta equipo multiple</t>
        </r>
      </text>
    </comment>
    <comment ref="Q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12442</t>
        </r>
      </text>
    </comment>
    <comment ref="Q72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12543
</t>
        </r>
      </text>
    </comment>
    <comment ref="T7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12599
Estación El Belloto, anden 1. Servicio 601 XT-21-07 (viaje 110) es acoplado para cumplir con oferta de equipos en unidad múltiple.</t>
        </r>
      </text>
    </comment>
    <comment ref="Q9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12617</t>
        </r>
      </text>
    </comment>
    <comment ref="T9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12618
Incidente 12622</t>
        </r>
      </text>
    </comment>
    <comment ref="Q9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12649 
Estación El Belloto, anden 1. Servicio 655 XT 20-08 (viaje 28), 657 XT 32-30 (viaje 36), 653 XT 07-09 (viaje 66) son desacoplado.</t>
        </r>
      </text>
    </comment>
    <comment ref="T9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12665 
Estación El Belloto, anden 1. Servicio 651 XT-05-08 (viaje 110) y 652 XT-21-17 (viaje 112) son acoplados.</t>
        </r>
      </text>
    </comment>
    <comment ref="T104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12692
Estación El Belloto, anden 1. Servicio 651 XT-22-26 (viaje 110) es acoplado para cumplir con oferta de equipos en unidad múltiple.</t>
        </r>
      </text>
    </comment>
    <comment ref="Q125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12805 
Estación El Belloto, anden 1. Servicio 659 XT-13-02 (viaje 44) es desacoplado.</t>
        </r>
      </text>
    </comment>
    <comment ref="Q132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12848 
Estación El Belloto, anden 1. Servicio 656 XT-32-31 (viaje 32), 657 XT-16-15 (viaje 36) y 653 XT-20-22 (viaje 66) son desacoplados.</t>
        </r>
      </text>
    </comment>
    <comment ref="Q13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12910 
Estación El Belloto, anden 1. Servicio 655 XT-32-33 (viaje 28), 656 XT-09-03 (viaje 32) y 659 XT-08-16 (viaje 44) son desacoplados.</t>
        </r>
      </text>
    </comment>
    <comment ref="T13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12913 Estación El Belloto, anden 1. Servicio 610 XT-03-16 (viaje 80) es acoplado para cumplir con oferta de equipos en unidad múltiple.</t>
        </r>
      </text>
    </comment>
    <comment ref="Q174" authorId="0" shapeId="0">
      <text>
        <r>
          <rPr>
            <b/>
            <sz val="9"/>
            <color indexed="81"/>
            <rFont val="Tahoma"/>
            <charset val="1"/>
          </rPr>
          <t xml:space="preserve">Autor:
Incidente 13061 </t>
        </r>
        <r>
          <rPr>
            <sz val="9"/>
            <color indexed="81"/>
            <rFont val="Tahoma"/>
            <charset val="1"/>
          </rPr>
          <t xml:space="preserve">
Estación El Belloto, andén 1. Servicio 601 XT-23-12 (viaje 32), 601 XT 33-31 (viaje 44) y 603 XT 11-09 (viaje 48) son desacoplado.</t>
        </r>
      </text>
    </comment>
    <comment ref="I200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9 Servicios suprimidos</t>
        </r>
      </text>
    </comment>
    <comment ref="T20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13176</t>
        </r>
      </text>
    </comment>
    <comment ref="T208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13227</t>
        </r>
      </text>
    </comment>
    <comment ref="Q22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13314</t>
        </r>
      </text>
    </comment>
    <comment ref="T229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13315
Incidente 13341</t>
        </r>
      </text>
    </comment>
  </commentList>
</comments>
</file>

<file path=xl/sharedStrings.xml><?xml version="1.0" encoding="utf-8"?>
<sst xmlns="http://schemas.openxmlformats.org/spreadsheetml/2006/main" count="792" uniqueCount="207">
  <si>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</si>
  <si>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</si>
  <si>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</si>
  <si>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</si>
  <si>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</si>
  <si>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</si>
  <si>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</si>
  <si>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</si>
  <si>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</si>
  <si>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</si>
  <si>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</si>
  <si>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</si>
  <si>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</si>
  <si>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</si>
  <si>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</si>
  <si>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</si>
  <si>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</si>
  <si>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</si>
  <si>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</si>
  <si>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</si>
  <si>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</si>
  <si>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</si>
  <si>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</si>
  <si>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</si>
  <si>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</si>
  <si>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</si>
  <si>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</si>
  <si>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</si>
  <si>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</si>
  <si>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</si>
  <si>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</si>
  <si>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</si>
  <si>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</si>
  <si>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</si>
  <si>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</si>
  <si>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</si>
  <si>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</si>
  <si>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</si>
  <si>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</si>
  <si>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</si>
  <si>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</si>
  <si>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</si>
  <si>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</si>
  <si>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</si>
  <si>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</si>
  <si>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</si>
  <si>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</si>
  <si>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</si>
  <si>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</si>
  <si>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</si>
  <si>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</si>
  <si>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</si>
  <si>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</si>
  <si>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</si>
  <si>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</si>
  <si>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</si>
  <si>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</si>
  <si>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</si>
  <si>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</si>
  <si>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</si>
  <si>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</si>
  <si>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</si>
  <si>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</si>
  <si>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</si>
  <si>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</si>
  <si>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</si>
  <si>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</si>
  <si>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</si>
  <si>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</si>
  <si>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</si>
  <si>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</si>
  <si>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</si>
  <si>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</si>
  <si>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</si>
  <si>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</si>
  <si>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</si>
  <si>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</si>
  <si>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</si>
  <si>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</si>
  <si>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</si>
  <si>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</si>
  <si>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</si>
  <si>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</si>
  <si>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</si>
  <si>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</si>
  <si>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</si>
  <si>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</si>
  <si>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</si>
  <si>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</si>
  <si>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</si>
  <si>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</si>
  <si>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</si>
  <si>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</si>
  <si>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</si>
  <si>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</si>
  <si>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</si>
  <si>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</si>
  <si>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</si>
  <si>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</si>
  <si>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</si>
  <si>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</si>
  <si>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</si>
  <si>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</si>
  <si>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</si>
  <si>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</si>
  <si>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</si>
  <si>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</si>
  <si>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</si>
  <si>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</si>
  <si>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</si>
  <si>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</si>
  <si>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</si>
  <si>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</si>
  <si>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</si>
  <si>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</si>
  <si>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</si>
  <si>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</si>
  <si>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</si>
  <si>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</si>
  <si>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</si>
  <si>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</si>
  <si>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</si>
  <si>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</si>
  <si>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</si>
  <si>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</si>
  <si>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</si>
  <si>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</si>
  <si>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</si>
  <si>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</si>
  <si>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</si>
  <si>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</si>
  <si>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</si>
  <si>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</si>
  <si>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</si>
  <si>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</si>
  <si>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</si>
  <si>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</si>
  <si>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</si>
  <si>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</si>
  <si>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</si>
  <si>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</si>
  <si>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</si>
  <si>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</si>
  <si>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</si>
  <si>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</si>
  <si>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</si>
  <si>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</si>
  <si>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</si>
  <si>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</si>
  <si>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</si>
  <si>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</si>
  <si>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</si>
  <si>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</si>
  <si>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</si>
  <si>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</si>
  <si>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</si>
  <si>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</si>
  <si>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</si>
  <si>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</si>
  <si>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</si>
  <si>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</si>
  <si>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</si>
  <si>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PU-ES</t>
  </si>
  <si>
    <t>ES-PU</t>
  </si>
  <si>
    <t>Servicios ES-PU</t>
  </si>
  <si>
    <t>Servicios PU-ES</t>
  </si>
  <si>
    <t>Trenes PU-ES</t>
  </si>
  <si>
    <t>Trenes ES-PU</t>
  </si>
  <si>
    <t>Trenes VM-LI</t>
  </si>
  <si>
    <t>Trenes VM-PU</t>
  </si>
  <si>
    <t>Servicios VM-LI</t>
  </si>
  <si>
    <t>Servicios VM-PU</t>
  </si>
  <si>
    <t>PLANILLA FESTIVAL VINA DEL MAR (SERVICIOS NOCTURNOS)</t>
  </si>
  <si>
    <t>Oferta Marzo 2025</t>
  </si>
  <si>
    <t>Marzo 2025</t>
  </si>
  <si>
    <t>Planila 025 Laboral Lun-Vie Ver 1</t>
  </si>
  <si>
    <t>PLANILLA FESTIVAL VINA DEL MAR SABADO (SERVICIOS NOCTURNOS)</t>
  </si>
  <si>
    <t>XT-24 Indisponible en “Hora Punta Tarde” por Avería N°6389. XT-29 Indisponible en “Hora Punta Tarde” por Avería N°4235. XT-31 Indisponible en “Hora Punta Tarde” por Avería N°7052.</t>
  </si>
  <si>
    <t xml:space="preserve">XT-24 Indisponible en “Hora Punta Tarde” por Avería N°6389. XT-29 Indisponible en “Hora Punta Tarde” por Avería N°4235. XT-17 Indisponible en “Hora Punta Mañana” por Avería, </t>
  </si>
  <si>
    <t>MI-SA</t>
  </si>
  <si>
    <t>MI-LI</t>
  </si>
  <si>
    <t>LI-MI</t>
  </si>
  <si>
    <t>Servicios LI-MI</t>
  </si>
  <si>
    <t>Servicios SA-MI</t>
  </si>
  <si>
    <t>Servicios MI-SA</t>
  </si>
  <si>
    <t>Servicios MI-LI</t>
  </si>
  <si>
    <t xml:space="preserve">MI-SA </t>
  </si>
  <si>
    <t>Trenes MI-SA</t>
  </si>
  <si>
    <t>Trenes SA-MI</t>
  </si>
  <si>
    <t>Trenes MI-LI</t>
  </si>
  <si>
    <t>Trenes LI-MI</t>
  </si>
  <si>
    <t>PLANILLA 025 LU A VI VERSION 3</t>
  </si>
  <si>
    <t>LI-PO</t>
  </si>
  <si>
    <t>PO-LI</t>
  </si>
  <si>
    <t>MANIFESTACION Y BARRICADAS EN BARON. BUCLE LI-PO Y PO-LI.</t>
  </si>
  <si>
    <t>Servicios LI-PO</t>
  </si>
  <si>
    <t>Servicios PO-LI</t>
  </si>
  <si>
    <t>MANIFESTACION EN PORTALES. BUCLE LI-MI Y MI-LI.</t>
  </si>
  <si>
    <t>Trenes LI-PO</t>
  </si>
  <si>
    <t>Trenes PO-LI</t>
  </si>
  <si>
    <t>EVENTO PROTESTAS PESCADORES  PO, BUCLE MI-LI y LI-MI. Y PLANILLA VERSION 2</t>
  </si>
  <si>
    <t>PLANILLA VERSION 2</t>
  </si>
  <si>
    <t>PLANILLA 025 LU A VI VERSION 4</t>
  </si>
  <si>
    <t>LI-PE</t>
  </si>
  <si>
    <t>Acople PE (600) via 2</t>
  </si>
  <si>
    <t>KmTren P</t>
  </si>
  <si>
    <t>Total Trenes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</si>
</sst>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b/>
      <sz val="12"/>
      <name val="Arial"/>
      <family val="2"/>
    </font>
    <font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8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theme="8" tint="0.79998168889431442"/>
        <bgColor indexed="41"/>
      </patternFill>
    </fill>
    <fill>
      <patternFill patternType="solid">
        <fgColor theme="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31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D8D8D8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409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7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4" fillId="0" borderId="0" xfId="2" applyFon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7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7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8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9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9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7" fontId="39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wrapText="1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0" xfId="0" applyBorder="1"/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0" borderId="75" xfId="0" applyBorder="1"/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4" fillId="0" borderId="0" xfId="0" applyFont="1" applyBorder="1" applyAlignment="1">
      <alignment horizontal="center" vertical="center"/>
    </xf>
    <xf numFmtId="166" fontId="13" fillId="53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4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5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5" fillId="0" borderId="0" xfId="2" applyFont="1" applyFill="1" applyAlignment="1">
      <alignment vertical="center" wrapText="1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5" fillId="12" borderId="11" xfId="2" applyFont="1" applyFill="1" applyBorder="1" applyAlignment="1" applyProtection="1">
      <alignment horizontal="center"/>
    </xf>
    <xf numFmtId="0" fontId="5" fillId="9" borderId="0" xfId="0" applyFont="1" applyFill="1" applyBorder="1" applyAlignment="1">
      <alignment horizontal="center"/>
    </xf>
    <xf numFmtId="0" fontId="15" fillId="56" borderId="2" xfId="0" applyFont="1" applyFill="1" applyBorder="1" applyAlignment="1">
      <alignment horizontal="center" vertical="center"/>
    </xf>
    <xf numFmtId="3" fontId="15" fillId="56" borderId="2" xfId="0" applyNumberFormat="1" applyFont="1" applyFill="1" applyBorder="1" applyAlignment="1">
      <alignment horizontal="center" vertical="center"/>
    </xf>
    <xf numFmtId="0" fontId="0" fillId="56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5" fillId="58" borderId="2" xfId="0" applyFont="1" applyFill="1" applyBorder="1" applyAlignment="1">
      <alignment horizontal="center" vertical="center"/>
    </xf>
    <xf numFmtId="0" fontId="15" fillId="38" borderId="2" xfId="0" applyFont="1" applyFill="1" applyBorder="1" applyAlignment="1">
      <alignment horizontal="center" vertical="center"/>
    </xf>
    <xf numFmtId="3" fontId="20" fillId="58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4" borderId="0" xfId="0" applyNumberFormat="1" applyFont="1" applyFill="1"/>
    <xf numFmtId="0" fontId="48" fillId="57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0" fillId="54" borderId="72" xfId="0" applyFill="1" applyBorder="1"/>
    <xf numFmtId="0" fontId="0" fillId="0" borderId="72" xfId="0" applyFill="1" applyBorder="1" applyAlignment="1">
      <alignment horizontal="right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4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3" fontId="0" fillId="0" borderId="0" xfId="0" applyNumberForma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41" fillId="0" borderId="0" xfId="0" applyFont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59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8" borderId="0" xfId="0" applyFill="1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5" fillId="60" borderId="0" xfId="0" applyFont="1" applyFill="1" applyBorder="1" applyAlignment="1">
      <alignment horizontal="center"/>
    </xf>
    <xf numFmtId="0" fontId="5" fillId="60" borderId="66" xfId="0" applyFont="1" applyFill="1" applyBorder="1" applyAlignment="1">
      <alignment horizontal="center"/>
    </xf>
    <xf numFmtId="0" fontId="5" fillId="60" borderId="17" xfId="0" applyFont="1" applyFill="1" applyBorder="1" applyAlignment="1">
      <alignment horizontal="center"/>
    </xf>
    <xf numFmtId="0" fontId="5" fillId="60" borderId="65" xfId="0" applyFont="1" applyFill="1" applyBorder="1" applyAlignment="1">
      <alignment horizontal="center"/>
    </xf>
    <xf numFmtId="0" fontId="5" fillId="60" borderId="9" xfId="0" applyFont="1" applyFill="1" applyBorder="1" applyAlignment="1">
      <alignment horizontal="center"/>
    </xf>
    <xf numFmtId="0" fontId="5" fillId="60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7" fillId="0" borderId="0" xfId="0" applyFont="1" applyFill="1" applyBorder="1" applyAlignment="1"/>
    <xf numFmtId="0" fontId="3" fillId="54" borderId="0" xfId="6" applyFill="1" applyBorder="1" applyAlignment="1" applyProtection="1">
      <alignment horizontal="center"/>
      <protection locked="0"/>
    </xf>
    <xf numFmtId="0" fontId="7" fillId="61" borderId="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1" fontId="3" fillId="61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3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7" fillId="62" borderId="2" xfId="0" applyFont="1" applyFill="1" applyBorder="1" applyAlignment="1" applyProtection="1">
      <alignment horizontal="center"/>
      <protection locked="0"/>
    </xf>
    <xf numFmtId="0" fontId="5" fillId="37" borderId="66" xfId="0" applyFont="1" applyFill="1" applyBorder="1" applyAlignment="1">
      <alignment horizontal="center"/>
    </xf>
    <xf numFmtId="0" fontId="5" fillId="37" borderId="17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7" fillId="16" borderId="2" xfId="0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1" fillId="0" borderId="0" xfId="2" applyFont="1" applyFill="1" applyAlignment="1">
      <alignment vertical="center" wrapText="1"/>
    </xf>
    <xf numFmtId="0" fontId="5" fillId="0" borderId="0" xfId="0" applyFont="1" applyFill="1" applyAlignment="1">
      <alignment horizontal="center"/>
    </xf>
    <xf numFmtId="0" fontId="7" fillId="64" borderId="2" xfId="0" applyFont="1" applyFill="1" applyBorder="1" applyAlignment="1" applyProtection="1">
      <alignment horizontal="center"/>
      <protection locked="0"/>
    </xf>
    <xf numFmtId="3" fontId="54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5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54" borderId="7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3" borderId="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65" borderId="0" xfId="0" applyFill="1"/>
    <xf numFmtId="0" fontId="0" fillId="0" borderId="0" xfId="0" applyAlignment="1">
      <alignment horizontal="center"/>
    </xf>
    <xf numFmtId="0" fontId="0" fillId="43" borderId="1" xfId="0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38" borderId="72" xfId="0" applyFill="1" applyBorder="1" applyAlignment="1">
      <alignment horizontal="center"/>
    </xf>
    <xf numFmtId="0" fontId="5" fillId="39" borderId="15" xfId="0" applyFont="1" applyFill="1" applyBorder="1" applyAlignment="1">
      <alignment horizontal="center"/>
    </xf>
    <xf numFmtId="0" fontId="5" fillId="39" borderId="85" xfId="0" applyFont="1" applyFill="1" applyBorder="1" applyAlignment="1">
      <alignment horizontal="center"/>
    </xf>
    <xf numFmtId="0" fontId="5" fillId="39" borderId="19" xfId="0" applyFont="1" applyFill="1" applyBorder="1" applyAlignment="1">
      <alignment horizontal="center"/>
    </xf>
    <xf numFmtId="0" fontId="5" fillId="39" borderId="22" xfId="0" applyFont="1" applyFill="1" applyBorder="1" applyAlignment="1">
      <alignment horizontal="center"/>
    </xf>
    <xf numFmtId="0" fontId="5" fillId="39" borderId="21" xfId="0" applyFont="1" applyFill="1" applyBorder="1" applyAlignment="1">
      <alignment horizontal="center"/>
    </xf>
    <xf numFmtId="0" fontId="5" fillId="39" borderId="24" xfId="0" applyFont="1" applyFill="1" applyBorder="1" applyAlignment="1">
      <alignment horizontal="center"/>
    </xf>
    <xf numFmtId="0" fontId="5" fillId="39" borderId="2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66" borderId="86" xfId="0" applyFill="1" applyBorder="1" applyAlignment="1">
      <alignment vertical="center" wrapText="1"/>
    </xf>
    <xf numFmtId="0" fontId="0" fillId="67" borderId="86" xfId="0" applyFill="1" applyBorder="1" applyAlignment="1">
      <alignment vertical="center" wrapText="1"/>
    </xf>
    <xf numFmtId="0" fontId="0" fillId="40" borderId="2" xfId="0" applyFill="1" applyBorder="1"/>
    <xf numFmtId="0" fontId="0" fillId="0" borderId="0" xfId="0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4" fillId="0" borderId="0" xfId="2" applyFont="1" applyFill="1" applyAlignment="1">
      <alignment horizontal="center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0" fillId="56" borderId="0" xfId="2" applyFont="1" applyFill="1" applyAlignment="1">
      <alignment horizontal="center" vertical="center" wrapText="1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8" borderId="5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4" fillId="63" borderId="0" xfId="2" applyFont="1" applyFill="1" applyAlignment="1">
      <alignment horizontal="center" vertical="center" wrapText="1"/>
    </xf>
    <xf numFmtId="0" fontId="13" fillId="7" borderId="6" xfId="2" applyFont="1" applyFill="1" applyBorder="1" applyAlignment="1">
      <alignment horizontal="center" vertical="center"/>
    </xf>
    <xf numFmtId="0" fontId="55" fillId="0" borderId="0" xfId="2" applyFont="1" applyFill="1" applyAlignment="1">
      <alignment horizontal="center" vertical="center" wrapText="1"/>
    </xf>
    <xf numFmtId="0" fontId="14" fillId="0" borderId="0" xfId="2" applyFont="1" applyFill="1" applyAlignment="1">
      <alignment horizontal="center" vertical="center" wrapText="1"/>
    </xf>
    <xf numFmtId="0" fontId="55" fillId="0" borderId="64" xfId="2" applyFont="1" applyFill="1" applyBorder="1" applyAlignment="1">
      <alignment horizontal="center" vertical="center" wrapText="1"/>
    </xf>
    <xf numFmtId="0" fontId="49" fillId="0" borderId="0" xfId="2" applyFont="1" applyFill="1" applyAlignment="1">
      <alignment horizontal="center" vertical="center" wrapText="1"/>
    </xf>
    <xf numFmtId="0" fontId="14" fillId="58" borderId="0" xfId="2" applyFont="1" applyFill="1" applyAlignment="1">
      <alignment horizontal="center" vertical="center" wrapText="1"/>
    </xf>
    <xf numFmtId="0" fontId="5" fillId="0" borderId="0" xfId="2" applyFont="1" applyFill="1" applyAlignment="1">
      <alignment horizontal="center" vertical="center" wrapText="1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0" borderId="61" xfId="0" applyNumberFormat="1" applyBorder="1"/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40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F82"/>
  <sheetViews>
    <sheetView topLeftCell="A31" zoomScaleNormal="100" workbookViewId="0">
      <selection activeCell="AH25" sqref="AH25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  <col min="30" max="30" width="11.28515625" customWidth="1"/>
    <col min="31" max="31" width="11" customWidth="1"/>
  </cols>
  <sheetData>
    <row r="1" spans="1:32" ht="18" x14ac:dyDescent="0.25">
      <c r="A1" s="361" t="s">
        <v>0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</row>
    <row r="2" spans="1:32" x14ac:dyDescent="0.25">
      <c r="A2" s="1"/>
      <c r="B2" s="63">
        <v>45717</v>
      </c>
      <c r="C2" s="63">
        <v>45718</v>
      </c>
      <c r="D2" s="63">
        <v>45719</v>
      </c>
      <c r="E2" s="63">
        <v>45720</v>
      </c>
      <c r="F2" s="63">
        <v>45721</v>
      </c>
      <c r="G2" s="63">
        <v>45722</v>
      </c>
      <c r="H2" s="63">
        <v>45723</v>
      </c>
      <c r="I2" s="63">
        <v>45724</v>
      </c>
      <c r="J2" s="63">
        <v>45725</v>
      </c>
      <c r="K2" s="63">
        <v>45726</v>
      </c>
      <c r="L2" s="63">
        <v>45727</v>
      </c>
      <c r="M2" s="63">
        <v>45728</v>
      </c>
      <c r="N2" s="63">
        <v>45729</v>
      </c>
      <c r="O2" s="63">
        <v>45730</v>
      </c>
      <c r="P2" s="63">
        <v>45731</v>
      </c>
      <c r="Q2" s="63">
        <v>45732</v>
      </c>
      <c r="R2" s="63">
        <v>45733</v>
      </c>
      <c r="S2" s="63">
        <v>45734</v>
      </c>
      <c r="T2" s="63">
        <v>45735</v>
      </c>
      <c r="U2" s="63">
        <v>45736</v>
      </c>
      <c r="V2" s="63">
        <v>45737</v>
      </c>
      <c r="W2" s="63">
        <v>45738</v>
      </c>
      <c r="X2" s="63">
        <v>45739</v>
      </c>
      <c r="Y2" s="63">
        <v>45740</v>
      </c>
      <c r="Z2" s="63">
        <v>45741</v>
      </c>
      <c r="AA2" s="63">
        <v>45742</v>
      </c>
      <c r="AB2" s="63">
        <v>45743</v>
      </c>
      <c r="AC2" s="63">
        <v>45744</v>
      </c>
      <c r="AD2" s="63">
        <v>45745</v>
      </c>
      <c r="AE2" s="63">
        <v>45746</v>
      </c>
      <c r="AF2" s="63">
        <v>45747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328">
        <v>1987958</v>
      </c>
      <c r="C5" s="328">
        <v>1987958</v>
      </c>
      <c r="D5" s="328">
        <v>1988221</v>
      </c>
      <c r="E5" s="328">
        <v>1988747</v>
      </c>
      <c r="F5" s="330">
        <v>1989307</v>
      </c>
      <c r="G5" s="330">
        <v>1989823</v>
      </c>
      <c r="H5" s="330">
        <v>1990169</v>
      </c>
      <c r="I5" s="330">
        <v>1990729</v>
      </c>
      <c r="J5" s="330">
        <v>1990772</v>
      </c>
      <c r="K5" s="328">
        <v>1991044</v>
      </c>
      <c r="L5" s="328">
        <v>1991540</v>
      </c>
      <c r="M5" s="328">
        <v>1992058</v>
      </c>
      <c r="N5" s="328">
        <v>1992514</v>
      </c>
      <c r="O5" s="328">
        <v>1992763</v>
      </c>
      <c r="P5" s="328">
        <v>1992763</v>
      </c>
      <c r="Q5" s="328">
        <v>1992763</v>
      </c>
      <c r="R5" s="328">
        <v>1993013</v>
      </c>
      <c r="S5" s="328">
        <v>1993265</v>
      </c>
      <c r="T5" s="328">
        <v>1993851</v>
      </c>
      <c r="U5" s="328">
        <v>1994105</v>
      </c>
      <c r="V5" s="328">
        <v>1994356</v>
      </c>
      <c r="W5" s="328">
        <v>1994356</v>
      </c>
      <c r="X5" s="328">
        <v>1994356</v>
      </c>
      <c r="Y5" s="328">
        <v>1994550</v>
      </c>
      <c r="Z5" s="328">
        <v>1994718</v>
      </c>
      <c r="AA5" s="328">
        <v>1995008</v>
      </c>
      <c r="AB5" s="328">
        <v>1995430</v>
      </c>
      <c r="AC5" s="328">
        <v>1995714</v>
      </c>
      <c r="AD5" s="328">
        <v>1995714</v>
      </c>
      <c r="AE5" s="328">
        <v>1995714</v>
      </c>
      <c r="AF5" s="328">
        <v>1995898</v>
      </c>
    </row>
    <row r="6" spans="1:32" x14ac:dyDescent="0.25">
      <c r="A6" s="5" t="s">
        <v>5</v>
      </c>
      <c r="B6" s="328">
        <v>1973652</v>
      </c>
      <c r="C6" s="328">
        <v>1973652</v>
      </c>
      <c r="D6" s="328">
        <v>1974088</v>
      </c>
      <c r="E6" s="328">
        <v>1974394</v>
      </c>
      <c r="F6" s="330">
        <v>1974699</v>
      </c>
      <c r="G6" s="330">
        <v>1974962</v>
      </c>
      <c r="H6" s="330">
        <v>1975412</v>
      </c>
      <c r="I6" s="330">
        <v>1975412</v>
      </c>
      <c r="J6" s="330">
        <v>1975412</v>
      </c>
      <c r="K6" s="328">
        <v>1975616</v>
      </c>
      <c r="L6" s="328">
        <v>1975913</v>
      </c>
      <c r="M6" s="328">
        <v>1976430</v>
      </c>
      <c r="N6" s="328">
        <v>1976991</v>
      </c>
      <c r="O6" s="328">
        <v>1977551</v>
      </c>
      <c r="P6" s="328">
        <v>1977853</v>
      </c>
      <c r="Q6" s="328">
        <v>1977941</v>
      </c>
      <c r="R6" s="328">
        <v>1978144</v>
      </c>
      <c r="S6" s="328">
        <v>1978224</v>
      </c>
      <c r="T6" s="328">
        <v>1978485</v>
      </c>
      <c r="U6" s="328">
        <v>1978767</v>
      </c>
      <c r="V6" s="328">
        <v>1979019</v>
      </c>
      <c r="W6" s="328">
        <v>1979019</v>
      </c>
      <c r="X6" s="328">
        <v>1979019</v>
      </c>
      <c r="Y6" s="328">
        <v>1979275</v>
      </c>
      <c r="Z6" s="328">
        <v>1979790</v>
      </c>
      <c r="AA6" s="328">
        <v>1979993</v>
      </c>
      <c r="AB6" s="328">
        <v>1980244</v>
      </c>
      <c r="AC6" s="328">
        <v>1980435</v>
      </c>
      <c r="AD6" s="328">
        <v>1980435</v>
      </c>
      <c r="AE6" s="328">
        <v>1980435</v>
      </c>
      <c r="AF6" s="328">
        <v>1980980</v>
      </c>
    </row>
    <row r="7" spans="1:32" x14ac:dyDescent="0.25">
      <c r="A7" s="5" t="s">
        <v>6</v>
      </c>
      <c r="B7" s="328">
        <v>2042460</v>
      </c>
      <c r="C7" s="328">
        <v>2042979</v>
      </c>
      <c r="D7" s="328">
        <v>2043375</v>
      </c>
      <c r="E7" s="328">
        <v>2043849</v>
      </c>
      <c r="F7" s="330">
        <v>2044114</v>
      </c>
      <c r="G7" s="330">
        <v>2044719</v>
      </c>
      <c r="H7" s="330">
        <v>2044897</v>
      </c>
      <c r="I7" s="330">
        <v>2044897</v>
      </c>
      <c r="J7" s="330">
        <v>2044897</v>
      </c>
      <c r="K7" s="328">
        <v>2045416</v>
      </c>
      <c r="L7" s="328">
        <v>2045618</v>
      </c>
      <c r="M7" s="328">
        <v>2045809</v>
      </c>
      <c r="N7" s="328">
        <v>2046105</v>
      </c>
      <c r="O7" s="328">
        <v>2046580</v>
      </c>
      <c r="P7" s="328">
        <v>2046607</v>
      </c>
      <c r="Q7" s="328">
        <v>2047085</v>
      </c>
      <c r="R7" s="328">
        <v>2047391</v>
      </c>
      <c r="S7" s="328">
        <v>2047910</v>
      </c>
      <c r="T7" s="328">
        <v>2048471</v>
      </c>
      <c r="U7" s="328">
        <v>2048963</v>
      </c>
      <c r="V7" s="328">
        <v>2049158</v>
      </c>
      <c r="W7" s="328">
        <v>2049158</v>
      </c>
      <c r="X7" s="328">
        <v>2049158</v>
      </c>
      <c r="Y7" s="328">
        <v>2049410</v>
      </c>
      <c r="Z7" s="328">
        <v>2049666</v>
      </c>
      <c r="AA7" s="328">
        <v>2050097</v>
      </c>
      <c r="AB7" s="328">
        <v>2050384</v>
      </c>
      <c r="AC7" s="328">
        <v>2050971</v>
      </c>
      <c r="AD7" s="328">
        <v>2051492</v>
      </c>
      <c r="AE7" s="328">
        <v>2051924</v>
      </c>
      <c r="AF7" s="328">
        <v>2052441</v>
      </c>
    </row>
    <row r="8" spans="1:32" x14ac:dyDescent="0.25">
      <c r="A8" s="6" t="s">
        <v>7</v>
      </c>
      <c r="B8" s="328">
        <v>2044111</v>
      </c>
      <c r="C8" s="328">
        <v>2044111</v>
      </c>
      <c r="D8" s="328">
        <v>2044363</v>
      </c>
      <c r="E8" s="328">
        <v>2044615</v>
      </c>
      <c r="F8" s="330">
        <v>2045013</v>
      </c>
      <c r="G8" s="330">
        <v>2045271</v>
      </c>
      <c r="H8" s="330">
        <v>2045525</v>
      </c>
      <c r="I8" s="330">
        <v>2045784</v>
      </c>
      <c r="J8" s="330">
        <v>2045786</v>
      </c>
      <c r="K8" s="328">
        <v>2046091</v>
      </c>
      <c r="L8" s="328">
        <v>2046441</v>
      </c>
      <c r="M8" s="328">
        <v>2046935</v>
      </c>
      <c r="N8" s="328">
        <v>2047187</v>
      </c>
      <c r="O8" s="328">
        <v>2047390</v>
      </c>
      <c r="P8" s="328">
        <v>2047390</v>
      </c>
      <c r="Q8" s="328">
        <v>2047390</v>
      </c>
      <c r="R8" s="328">
        <v>2047642</v>
      </c>
      <c r="S8" s="328">
        <v>2047893</v>
      </c>
      <c r="T8" s="328">
        <v>2048145</v>
      </c>
      <c r="U8" s="328">
        <v>2048337</v>
      </c>
      <c r="V8" s="328">
        <v>2048838</v>
      </c>
      <c r="W8" s="328">
        <v>2049403</v>
      </c>
      <c r="X8" s="328">
        <v>2049446</v>
      </c>
      <c r="Y8" s="328">
        <v>2050007</v>
      </c>
      <c r="Z8" s="328">
        <v>2050525</v>
      </c>
      <c r="AA8" s="328">
        <v>2051010</v>
      </c>
      <c r="AB8" s="328">
        <v>2051178</v>
      </c>
      <c r="AC8" s="328">
        <v>2051568</v>
      </c>
      <c r="AD8" s="328">
        <v>2051612</v>
      </c>
      <c r="AE8" s="328">
        <v>2052132</v>
      </c>
      <c r="AF8" s="328">
        <v>2052736</v>
      </c>
    </row>
    <row r="9" spans="1:32" x14ac:dyDescent="0.25">
      <c r="A9" s="6" t="s">
        <v>8</v>
      </c>
      <c r="B9" s="328">
        <v>1952560</v>
      </c>
      <c r="C9" s="328">
        <v>1952561</v>
      </c>
      <c r="D9" s="328">
        <v>1953081</v>
      </c>
      <c r="E9" s="328">
        <v>1953531</v>
      </c>
      <c r="F9" s="330">
        <v>1953725</v>
      </c>
      <c r="G9" s="330">
        <v>1953977</v>
      </c>
      <c r="H9" s="330">
        <v>1954227</v>
      </c>
      <c r="I9" s="330">
        <v>1954227</v>
      </c>
      <c r="J9" s="330">
        <v>1954227</v>
      </c>
      <c r="K9" s="328">
        <v>1954479</v>
      </c>
      <c r="L9" s="328">
        <v>1954674</v>
      </c>
      <c r="M9" s="328">
        <v>1955186</v>
      </c>
      <c r="N9" s="328">
        <v>1955791</v>
      </c>
      <c r="O9" s="328">
        <v>1956310</v>
      </c>
      <c r="P9" s="328">
        <v>1956872</v>
      </c>
      <c r="Q9" s="328">
        <v>1957261</v>
      </c>
      <c r="R9" s="328">
        <v>1957498</v>
      </c>
      <c r="S9" s="328">
        <v>1957750</v>
      </c>
      <c r="T9" s="328">
        <v>1958063</v>
      </c>
      <c r="U9" s="328">
        <v>1958605</v>
      </c>
      <c r="V9" s="328">
        <v>1959230</v>
      </c>
      <c r="W9" s="328">
        <v>1959273</v>
      </c>
      <c r="X9" s="328">
        <v>1959792</v>
      </c>
      <c r="Y9" s="328">
        <v>1960114</v>
      </c>
      <c r="Z9" s="328">
        <v>1960562</v>
      </c>
      <c r="AA9" s="328">
        <v>1961020</v>
      </c>
      <c r="AB9" s="328">
        <v>1961264</v>
      </c>
      <c r="AC9" s="328">
        <v>1961516</v>
      </c>
      <c r="AD9" s="328">
        <v>1961516</v>
      </c>
      <c r="AE9" s="328">
        <v>1961516</v>
      </c>
      <c r="AF9" s="328">
        <v>1961768</v>
      </c>
    </row>
    <row r="10" spans="1:32" x14ac:dyDescent="0.25">
      <c r="A10" s="6" t="s">
        <v>9</v>
      </c>
      <c r="B10" s="328">
        <v>2063874</v>
      </c>
      <c r="C10" s="328">
        <v>2064377</v>
      </c>
      <c r="D10" s="328">
        <v>2064637</v>
      </c>
      <c r="E10" s="328">
        <v>2065155</v>
      </c>
      <c r="F10" s="330">
        <v>2065714</v>
      </c>
      <c r="G10" s="330">
        <v>2066274</v>
      </c>
      <c r="H10" s="330">
        <v>2066647</v>
      </c>
      <c r="I10" s="330">
        <v>2067207</v>
      </c>
      <c r="J10" s="330">
        <v>2067207</v>
      </c>
      <c r="K10" s="328">
        <v>2067728</v>
      </c>
      <c r="L10" s="328">
        <v>2068273</v>
      </c>
      <c r="M10" s="328">
        <v>2068765</v>
      </c>
      <c r="N10" s="328">
        <v>2068967</v>
      </c>
      <c r="O10" s="328">
        <v>2069486</v>
      </c>
      <c r="P10" s="328">
        <v>2070005</v>
      </c>
      <c r="Q10" s="328">
        <v>2070095</v>
      </c>
      <c r="R10" s="328">
        <v>2070612</v>
      </c>
      <c r="S10" s="328">
        <v>2070869</v>
      </c>
      <c r="T10" s="328">
        <v>2071055</v>
      </c>
      <c r="U10" s="328">
        <v>2071465</v>
      </c>
      <c r="V10" s="328">
        <v>2071939</v>
      </c>
      <c r="W10" s="328">
        <v>2072456</v>
      </c>
      <c r="X10" s="328">
        <v>2072499</v>
      </c>
      <c r="Y10" s="328">
        <v>2073015</v>
      </c>
      <c r="Z10" s="328">
        <v>2073460</v>
      </c>
      <c r="AA10" s="328">
        <v>2073651</v>
      </c>
      <c r="AB10" s="328">
        <v>2073902</v>
      </c>
      <c r="AC10" s="328">
        <v>2074153</v>
      </c>
      <c r="AD10" s="328">
        <v>2074153</v>
      </c>
      <c r="AE10" s="328">
        <v>2074153</v>
      </c>
      <c r="AF10" s="328">
        <v>2074404</v>
      </c>
    </row>
    <row r="11" spans="1:32" x14ac:dyDescent="0.25">
      <c r="A11" s="6" t="s">
        <v>10</v>
      </c>
      <c r="B11" s="328">
        <v>2089922</v>
      </c>
      <c r="C11" s="328">
        <v>2090400</v>
      </c>
      <c r="D11" s="328">
        <v>2091007</v>
      </c>
      <c r="E11" s="328">
        <v>2091571</v>
      </c>
      <c r="F11" s="330">
        <v>2092023</v>
      </c>
      <c r="G11" s="330">
        <v>2092193</v>
      </c>
      <c r="H11" s="330">
        <v>2092714</v>
      </c>
      <c r="I11" s="330">
        <v>2093235</v>
      </c>
      <c r="J11" s="330">
        <v>2093756</v>
      </c>
      <c r="K11" s="328">
        <v>2094018</v>
      </c>
      <c r="L11" s="328">
        <v>2094542</v>
      </c>
      <c r="M11" s="328">
        <v>2094798</v>
      </c>
      <c r="N11" s="328">
        <v>2095234</v>
      </c>
      <c r="O11" s="328">
        <v>2095758</v>
      </c>
      <c r="P11" s="328">
        <v>2096321</v>
      </c>
      <c r="Q11" s="328">
        <v>2096365</v>
      </c>
      <c r="R11" s="328">
        <v>2096649</v>
      </c>
      <c r="S11" s="328">
        <v>2096982</v>
      </c>
      <c r="T11" s="328">
        <v>2097176</v>
      </c>
      <c r="U11" s="328">
        <v>2097426</v>
      </c>
      <c r="V11" s="328">
        <v>2097678</v>
      </c>
      <c r="W11" s="328">
        <v>2097678</v>
      </c>
      <c r="X11" s="328">
        <v>2097678</v>
      </c>
      <c r="Y11" s="328">
        <v>2098209</v>
      </c>
      <c r="Z11" s="328">
        <v>2098558</v>
      </c>
      <c r="AA11" s="328">
        <v>2098870</v>
      </c>
      <c r="AB11" s="328">
        <v>2099393</v>
      </c>
      <c r="AC11" s="328">
        <v>2100003</v>
      </c>
      <c r="AD11" s="328">
        <v>2100570</v>
      </c>
      <c r="AE11" s="328">
        <v>2101004</v>
      </c>
      <c r="AF11" s="328">
        <v>2101568</v>
      </c>
    </row>
    <row r="12" spans="1:32" x14ac:dyDescent="0.25">
      <c r="A12" s="5" t="s">
        <v>11</v>
      </c>
      <c r="B12" s="328">
        <v>1994451</v>
      </c>
      <c r="C12" s="328">
        <v>1994453</v>
      </c>
      <c r="D12" s="328">
        <v>1994973</v>
      </c>
      <c r="E12" s="328">
        <v>1995356</v>
      </c>
      <c r="F12" s="330">
        <v>1995960</v>
      </c>
      <c r="G12" s="330">
        <v>1996565</v>
      </c>
      <c r="H12" s="330">
        <v>1997100</v>
      </c>
      <c r="I12" s="330">
        <v>1997100</v>
      </c>
      <c r="J12" s="330">
        <v>1997100</v>
      </c>
      <c r="K12" s="328">
        <v>1997500</v>
      </c>
      <c r="L12" s="328">
        <v>1997704</v>
      </c>
      <c r="M12" s="328">
        <v>1998188</v>
      </c>
      <c r="N12" s="328">
        <v>1998539</v>
      </c>
      <c r="O12" s="328">
        <v>1998992</v>
      </c>
      <c r="P12" s="328">
        <v>1998992</v>
      </c>
      <c r="Q12" s="328">
        <v>1998992</v>
      </c>
      <c r="R12" s="328">
        <v>1999194</v>
      </c>
      <c r="S12" s="328">
        <v>1999756</v>
      </c>
      <c r="T12" s="328">
        <v>2000235</v>
      </c>
      <c r="U12" s="328">
        <v>2000520</v>
      </c>
      <c r="V12" s="328">
        <v>2000772</v>
      </c>
      <c r="W12" s="328">
        <v>2000774</v>
      </c>
      <c r="X12" s="328">
        <v>2000774</v>
      </c>
      <c r="Y12" s="328">
        <v>2001294</v>
      </c>
      <c r="Z12" s="328">
        <v>2001849</v>
      </c>
      <c r="AA12" s="328">
        <v>2002126</v>
      </c>
      <c r="AB12" s="328">
        <v>2002424</v>
      </c>
      <c r="AC12" s="328">
        <v>2003028</v>
      </c>
      <c r="AD12" s="328">
        <v>2003073</v>
      </c>
      <c r="AE12" s="328">
        <v>2003549</v>
      </c>
      <c r="AF12" s="328">
        <v>2004153</v>
      </c>
    </row>
    <row r="13" spans="1:32" x14ac:dyDescent="0.25">
      <c r="A13" s="5" t="s">
        <v>12</v>
      </c>
      <c r="B13" s="328">
        <v>1978640</v>
      </c>
      <c r="C13" s="328">
        <v>1978683</v>
      </c>
      <c r="D13" s="328">
        <v>1978896</v>
      </c>
      <c r="E13" s="328">
        <v>1979165</v>
      </c>
      <c r="F13" s="330">
        <v>1979697</v>
      </c>
      <c r="G13" s="330">
        <v>1980224</v>
      </c>
      <c r="H13" s="330">
        <v>1980492</v>
      </c>
      <c r="I13" s="330">
        <v>1981060</v>
      </c>
      <c r="J13" s="330">
        <v>1981280</v>
      </c>
      <c r="K13" s="328">
        <v>1981483</v>
      </c>
      <c r="L13" s="328">
        <v>1981738</v>
      </c>
      <c r="M13" s="328">
        <v>1982248</v>
      </c>
      <c r="N13" s="328">
        <v>1982514</v>
      </c>
      <c r="O13" s="328">
        <v>1983128</v>
      </c>
      <c r="P13" s="328">
        <v>1983655</v>
      </c>
      <c r="Q13" s="328">
        <v>1984094</v>
      </c>
      <c r="R13" s="328">
        <v>1984446</v>
      </c>
      <c r="S13" s="328">
        <v>1985017</v>
      </c>
      <c r="T13" s="328">
        <v>1985414</v>
      </c>
      <c r="U13" s="328">
        <v>1985855</v>
      </c>
      <c r="V13" s="328">
        <v>1986423</v>
      </c>
      <c r="W13" s="328">
        <v>1986468</v>
      </c>
      <c r="X13" s="328">
        <v>1986950</v>
      </c>
      <c r="Y13" s="328">
        <v>1987451</v>
      </c>
      <c r="Z13" s="328">
        <v>1987707</v>
      </c>
      <c r="AA13" s="328">
        <v>1987901</v>
      </c>
      <c r="AB13" s="328">
        <v>1988157</v>
      </c>
      <c r="AC13" s="328">
        <v>1988351</v>
      </c>
      <c r="AD13" s="328">
        <v>1988351</v>
      </c>
      <c r="AE13" s="328">
        <v>1988351</v>
      </c>
      <c r="AF13" s="328">
        <v>1988548</v>
      </c>
    </row>
    <row r="14" spans="1:32" x14ac:dyDescent="0.25">
      <c r="A14" s="5" t="s">
        <v>13</v>
      </c>
      <c r="B14" s="328">
        <v>2055772</v>
      </c>
      <c r="C14" s="328">
        <v>2056248</v>
      </c>
      <c r="D14" s="328">
        <v>2056655</v>
      </c>
      <c r="E14" s="328">
        <v>2056867</v>
      </c>
      <c r="F14" s="330">
        <v>2057174</v>
      </c>
      <c r="G14" s="330">
        <v>2057693</v>
      </c>
      <c r="H14" s="330">
        <v>2057998</v>
      </c>
      <c r="I14" s="330">
        <v>2058516</v>
      </c>
      <c r="J14" s="330">
        <v>2058947</v>
      </c>
      <c r="K14" s="328">
        <v>2059426</v>
      </c>
      <c r="L14" s="328">
        <v>2059728</v>
      </c>
      <c r="M14" s="328">
        <v>2060160</v>
      </c>
      <c r="N14" s="328">
        <v>2060440</v>
      </c>
      <c r="O14" s="328">
        <v>2060634</v>
      </c>
      <c r="P14" s="328">
        <v>2060634</v>
      </c>
      <c r="Q14" s="328">
        <v>2060634</v>
      </c>
      <c r="R14" s="328">
        <v>2061202</v>
      </c>
      <c r="S14" s="328">
        <v>2061483</v>
      </c>
      <c r="T14" s="328">
        <v>2061677</v>
      </c>
      <c r="U14" s="328">
        <v>2062018</v>
      </c>
      <c r="V14" s="328">
        <v>2062581</v>
      </c>
      <c r="W14" s="328">
        <v>2063098</v>
      </c>
      <c r="X14" s="328">
        <v>2063573</v>
      </c>
      <c r="Y14" s="328">
        <v>2064177</v>
      </c>
      <c r="Z14" s="328">
        <v>2064378</v>
      </c>
      <c r="AA14" s="328">
        <v>2064770</v>
      </c>
      <c r="AB14" s="328">
        <v>2064850</v>
      </c>
      <c r="AC14" s="328">
        <v>2065193</v>
      </c>
      <c r="AD14" s="328">
        <v>2065713</v>
      </c>
      <c r="AE14" s="328">
        <v>2065801</v>
      </c>
      <c r="AF14" s="328">
        <v>2066252</v>
      </c>
    </row>
    <row r="15" spans="1:32" x14ac:dyDescent="0.25">
      <c r="A15" s="6" t="s">
        <v>14</v>
      </c>
      <c r="B15" s="328">
        <v>2071551</v>
      </c>
      <c r="C15" s="328">
        <v>2071551</v>
      </c>
      <c r="D15" s="328">
        <v>2071807</v>
      </c>
      <c r="E15" s="328">
        <v>2072415</v>
      </c>
      <c r="F15" s="330">
        <v>2072626</v>
      </c>
      <c r="G15" s="330">
        <v>2073192</v>
      </c>
      <c r="H15" s="330">
        <v>2073583</v>
      </c>
      <c r="I15" s="330">
        <v>2073847</v>
      </c>
      <c r="J15" s="330">
        <v>2074327</v>
      </c>
      <c r="K15" s="328">
        <v>2074738</v>
      </c>
      <c r="L15" s="328">
        <v>2074993</v>
      </c>
      <c r="M15" s="328">
        <v>2075235</v>
      </c>
      <c r="N15" s="328">
        <v>2075576</v>
      </c>
      <c r="O15" s="328">
        <v>2075826</v>
      </c>
      <c r="P15" s="328">
        <v>2075826</v>
      </c>
      <c r="Q15" s="328">
        <v>2075826</v>
      </c>
      <c r="R15" s="328">
        <v>2076158</v>
      </c>
      <c r="S15" s="328">
        <v>2076511</v>
      </c>
      <c r="T15" s="328">
        <v>2076993</v>
      </c>
      <c r="U15" s="328">
        <v>2077600</v>
      </c>
      <c r="V15" s="328">
        <v>2078163</v>
      </c>
      <c r="W15" s="328">
        <v>2078686</v>
      </c>
      <c r="X15" s="328">
        <v>2079164</v>
      </c>
      <c r="Y15" s="328">
        <v>2079411</v>
      </c>
      <c r="Z15" s="328">
        <v>2079894</v>
      </c>
      <c r="AA15" s="328">
        <v>2080300</v>
      </c>
      <c r="AB15" s="328">
        <v>2080608</v>
      </c>
      <c r="AC15" s="328">
        <v>2081172</v>
      </c>
      <c r="AD15" s="328">
        <v>2081260</v>
      </c>
      <c r="AE15" s="328">
        <v>2081261</v>
      </c>
      <c r="AF15" s="328">
        <v>2081458</v>
      </c>
    </row>
    <row r="16" spans="1:32" x14ac:dyDescent="0.25">
      <c r="A16" s="6" t="s">
        <v>15</v>
      </c>
      <c r="B16" s="328">
        <v>1911593</v>
      </c>
      <c r="C16" s="328">
        <v>1911637</v>
      </c>
      <c r="D16" s="328">
        <v>1912157</v>
      </c>
      <c r="E16" s="328">
        <v>1912503</v>
      </c>
      <c r="F16" s="330">
        <v>1912679</v>
      </c>
      <c r="G16" s="330">
        <v>1913241</v>
      </c>
      <c r="H16" s="330">
        <v>1913631</v>
      </c>
      <c r="I16" s="330">
        <v>1914151</v>
      </c>
      <c r="J16" s="330">
        <v>1914626</v>
      </c>
      <c r="K16" s="328">
        <v>1914817</v>
      </c>
      <c r="L16" s="328">
        <v>1915335</v>
      </c>
      <c r="M16" s="328">
        <v>1915854</v>
      </c>
      <c r="N16" s="328">
        <v>1916244</v>
      </c>
      <c r="O16" s="328">
        <v>1916805</v>
      </c>
      <c r="P16" s="328">
        <v>1917324</v>
      </c>
      <c r="Q16" s="328">
        <v>1917799</v>
      </c>
      <c r="R16" s="328">
        <v>1918403</v>
      </c>
      <c r="S16" s="328">
        <v>1918896</v>
      </c>
      <c r="T16" s="328">
        <v>1919160</v>
      </c>
      <c r="U16" s="328">
        <v>1919486</v>
      </c>
      <c r="V16" s="328">
        <v>1920090</v>
      </c>
      <c r="W16" s="328">
        <v>1920651</v>
      </c>
      <c r="X16" s="328">
        <v>1920875</v>
      </c>
      <c r="Y16" s="328">
        <v>1921307</v>
      </c>
      <c r="Z16" s="328">
        <v>1921509</v>
      </c>
      <c r="AA16" s="328">
        <v>1922043</v>
      </c>
      <c r="AB16" s="328">
        <v>1922495</v>
      </c>
      <c r="AC16" s="328">
        <v>1922661</v>
      </c>
      <c r="AD16" s="328">
        <v>1923184</v>
      </c>
      <c r="AE16" s="328">
        <v>1923662</v>
      </c>
      <c r="AF16" s="328">
        <v>1924155</v>
      </c>
    </row>
    <row r="17" spans="1:32" x14ac:dyDescent="0.25">
      <c r="A17" s="6" t="s">
        <v>16</v>
      </c>
      <c r="B17" s="328">
        <v>2032665</v>
      </c>
      <c r="C17" s="328">
        <v>2033141</v>
      </c>
      <c r="D17" s="328">
        <v>2033746</v>
      </c>
      <c r="E17" s="328">
        <v>2034051</v>
      </c>
      <c r="F17" s="330">
        <v>2034309</v>
      </c>
      <c r="G17" s="330">
        <v>2034572</v>
      </c>
      <c r="H17" s="330">
        <v>2034836</v>
      </c>
      <c r="I17" s="330">
        <v>2035398</v>
      </c>
      <c r="J17" s="330">
        <v>2035442</v>
      </c>
      <c r="K17" s="328">
        <v>2035953</v>
      </c>
      <c r="L17" s="328">
        <v>2036184</v>
      </c>
      <c r="M17" s="328">
        <v>2036377</v>
      </c>
      <c r="N17" s="328">
        <v>2036630</v>
      </c>
      <c r="O17" s="328">
        <v>2037151</v>
      </c>
      <c r="P17" s="328">
        <v>2037413</v>
      </c>
      <c r="Q17" s="328">
        <v>2037415</v>
      </c>
      <c r="R17" s="328">
        <v>2037935</v>
      </c>
      <c r="S17" s="328">
        <v>2038371</v>
      </c>
      <c r="T17" s="328">
        <v>2038630</v>
      </c>
      <c r="U17" s="328">
        <v>2038878</v>
      </c>
      <c r="V17" s="328">
        <v>2039079</v>
      </c>
      <c r="W17" s="328">
        <v>2039598</v>
      </c>
      <c r="X17" s="328">
        <v>2040117</v>
      </c>
      <c r="Y17" s="328">
        <v>2040637</v>
      </c>
      <c r="Z17" s="328">
        <v>2040919</v>
      </c>
      <c r="AA17" s="328">
        <v>2041106</v>
      </c>
      <c r="AB17" s="328">
        <v>2041360</v>
      </c>
      <c r="AC17" s="328">
        <v>2041612</v>
      </c>
      <c r="AD17" s="328">
        <v>2041612</v>
      </c>
      <c r="AE17" s="328">
        <v>2041612</v>
      </c>
      <c r="AF17" s="328">
        <v>2041872</v>
      </c>
    </row>
    <row r="18" spans="1:32" x14ac:dyDescent="0.25">
      <c r="A18" s="6" t="s">
        <v>17</v>
      </c>
      <c r="B18" s="328">
        <v>2006253</v>
      </c>
      <c r="C18" s="328">
        <v>2006515</v>
      </c>
      <c r="D18" s="328">
        <v>2006778</v>
      </c>
      <c r="E18" s="328">
        <v>2007041</v>
      </c>
      <c r="F18" s="330">
        <v>2007560</v>
      </c>
      <c r="G18" s="330">
        <v>2007970</v>
      </c>
      <c r="H18" s="330">
        <v>2008420</v>
      </c>
      <c r="I18" s="330">
        <v>2008420</v>
      </c>
      <c r="J18" s="330">
        <v>2008420</v>
      </c>
      <c r="K18" s="328">
        <v>2008499</v>
      </c>
      <c r="L18" s="328">
        <v>2008963</v>
      </c>
      <c r="M18" s="328">
        <v>2009140</v>
      </c>
      <c r="N18" s="328">
        <v>2009658</v>
      </c>
      <c r="O18" s="328">
        <v>2010046</v>
      </c>
      <c r="P18" s="328">
        <v>2010521</v>
      </c>
      <c r="Q18" s="328">
        <v>2010780</v>
      </c>
      <c r="R18" s="328">
        <v>2011229</v>
      </c>
      <c r="S18" s="328">
        <v>2011569</v>
      </c>
      <c r="T18" s="328">
        <v>2012130</v>
      </c>
      <c r="U18" s="328">
        <v>2012690</v>
      </c>
      <c r="V18" s="328">
        <v>2012865</v>
      </c>
      <c r="W18" s="328">
        <v>2012865</v>
      </c>
      <c r="X18" s="328">
        <v>2012865</v>
      </c>
      <c r="Y18" s="328">
        <v>2013384</v>
      </c>
      <c r="Z18" s="328">
        <v>2013731</v>
      </c>
      <c r="AA18" s="328">
        <v>2014107</v>
      </c>
      <c r="AB18" s="328">
        <v>2014668</v>
      </c>
      <c r="AC18" s="328">
        <v>2015101</v>
      </c>
      <c r="AD18" s="328">
        <v>2015101</v>
      </c>
      <c r="AE18" s="328">
        <v>2015101</v>
      </c>
      <c r="AF18" s="328">
        <v>2015550</v>
      </c>
    </row>
    <row r="19" spans="1:32" x14ac:dyDescent="0.25">
      <c r="A19" s="6" t="s">
        <v>18</v>
      </c>
      <c r="B19" s="328">
        <v>2085214</v>
      </c>
      <c r="C19" s="328">
        <v>2085216</v>
      </c>
      <c r="D19" s="328">
        <v>2085777</v>
      </c>
      <c r="E19" s="328">
        <v>2086380</v>
      </c>
      <c r="F19" s="330">
        <v>2086787</v>
      </c>
      <c r="G19" s="330">
        <v>2087143</v>
      </c>
      <c r="H19" s="330">
        <v>2087661</v>
      </c>
      <c r="I19" s="330">
        <v>2087706</v>
      </c>
      <c r="J19" s="330">
        <v>2088225</v>
      </c>
      <c r="K19" s="328">
        <v>2088839</v>
      </c>
      <c r="L19" s="328">
        <v>2089136</v>
      </c>
      <c r="M19" s="328">
        <v>2089530</v>
      </c>
      <c r="N19" s="328">
        <v>2090092</v>
      </c>
      <c r="O19" s="328">
        <v>2090439</v>
      </c>
      <c r="P19" s="328">
        <v>2090482</v>
      </c>
      <c r="Q19" s="328">
        <v>2090915</v>
      </c>
      <c r="R19" s="328">
        <v>2091492</v>
      </c>
      <c r="S19" s="328">
        <v>2091692</v>
      </c>
      <c r="T19" s="328">
        <v>2091943</v>
      </c>
      <c r="U19" s="328">
        <v>2092530</v>
      </c>
      <c r="V19" s="328">
        <v>2092878</v>
      </c>
      <c r="W19" s="328">
        <v>2093398</v>
      </c>
      <c r="X19" s="328">
        <v>2093873</v>
      </c>
      <c r="Y19" s="328">
        <v>2094112</v>
      </c>
      <c r="Z19" s="328">
        <v>2094499</v>
      </c>
      <c r="AA19" s="328">
        <v>2094982</v>
      </c>
      <c r="AB19" s="328">
        <v>2095250</v>
      </c>
      <c r="AC19" s="328">
        <v>2095704</v>
      </c>
      <c r="AD19" s="328">
        <v>2095704</v>
      </c>
      <c r="AE19" s="328">
        <v>2095704</v>
      </c>
      <c r="AF19" s="328">
        <v>2095784</v>
      </c>
    </row>
    <row r="20" spans="1:32" x14ac:dyDescent="0.25">
      <c r="A20" s="6" t="s">
        <v>19</v>
      </c>
      <c r="B20" s="328">
        <v>2051315</v>
      </c>
      <c r="C20" s="328">
        <v>2051816</v>
      </c>
      <c r="D20" s="328">
        <v>2052270</v>
      </c>
      <c r="E20" s="328">
        <v>2052451</v>
      </c>
      <c r="F20" s="330">
        <v>2052891</v>
      </c>
      <c r="G20" s="330">
        <v>2053241</v>
      </c>
      <c r="H20" s="330">
        <v>2053696</v>
      </c>
      <c r="I20" s="330">
        <v>2053696</v>
      </c>
      <c r="J20" s="330">
        <v>2053696</v>
      </c>
      <c r="K20" s="328">
        <v>2054099</v>
      </c>
      <c r="L20" s="328">
        <v>2054620</v>
      </c>
      <c r="M20" s="328">
        <v>2054994</v>
      </c>
      <c r="N20" s="328">
        <v>2055241</v>
      </c>
      <c r="O20" s="328">
        <v>2055436</v>
      </c>
      <c r="P20" s="328">
        <v>2055436</v>
      </c>
      <c r="Q20" s="328">
        <v>2055436</v>
      </c>
      <c r="R20" s="328">
        <v>2055761</v>
      </c>
      <c r="S20" s="328">
        <v>2056368</v>
      </c>
      <c r="T20" s="328">
        <v>2056848</v>
      </c>
      <c r="U20" s="328">
        <v>2057241</v>
      </c>
      <c r="V20" s="328">
        <v>2057805</v>
      </c>
      <c r="W20" s="328">
        <v>2058326</v>
      </c>
      <c r="X20" s="328">
        <v>2058848</v>
      </c>
      <c r="Y20" s="328">
        <v>2059219</v>
      </c>
      <c r="Z20" s="328">
        <v>2059298</v>
      </c>
      <c r="AA20" s="328">
        <v>2059606</v>
      </c>
      <c r="AB20" s="328">
        <v>2060170</v>
      </c>
      <c r="AC20" s="328">
        <v>2060604</v>
      </c>
      <c r="AD20" s="328">
        <v>2061082</v>
      </c>
      <c r="AE20" s="328">
        <v>2061126</v>
      </c>
      <c r="AF20" s="328">
        <v>2061435</v>
      </c>
    </row>
    <row r="21" spans="1:32" x14ac:dyDescent="0.25">
      <c r="A21" s="6" t="s">
        <v>20</v>
      </c>
      <c r="B21" s="328">
        <v>2053759</v>
      </c>
      <c r="C21" s="328">
        <v>2053759</v>
      </c>
      <c r="D21" s="328">
        <v>2054170</v>
      </c>
      <c r="E21" s="328">
        <v>2054734</v>
      </c>
      <c r="F21" s="330">
        <v>2055297</v>
      </c>
      <c r="G21" s="330">
        <v>2055649</v>
      </c>
      <c r="H21" s="330">
        <v>2056170</v>
      </c>
      <c r="I21" s="330">
        <v>2056689</v>
      </c>
      <c r="J21" s="330">
        <v>2057165</v>
      </c>
      <c r="K21" s="328">
        <v>2057642</v>
      </c>
      <c r="L21" s="328">
        <v>2058060</v>
      </c>
      <c r="M21" s="328">
        <v>2058168</v>
      </c>
      <c r="N21" s="328">
        <v>2058537</v>
      </c>
      <c r="O21" s="328">
        <v>2059099</v>
      </c>
      <c r="P21" s="328">
        <v>2059173</v>
      </c>
      <c r="Q21" s="328">
        <v>2059650</v>
      </c>
      <c r="R21" s="328">
        <v>2060214</v>
      </c>
      <c r="S21" s="328">
        <v>2060778</v>
      </c>
      <c r="T21" s="328">
        <v>2061255</v>
      </c>
      <c r="U21" s="328">
        <v>2061458</v>
      </c>
      <c r="V21" s="328">
        <v>2061644</v>
      </c>
      <c r="W21" s="328">
        <v>2061644</v>
      </c>
      <c r="X21" s="328">
        <v>2061644</v>
      </c>
      <c r="Y21" s="328">
        <v>2061896</v>
      </c>
      <c r="Z21" s="328">
        <v>2062148</v>
      </c>
      <c r="AA21" s="328">
        <v>2062446</v>
      </c>
      <c r="AB21" s="328">
        <v>2062921</v>
      </c>
      <c r="AC21" s="328">
        <v>2063397</v>
      </c>
      <c r="AD21" s="328">
        <v>2063873</v>
      </c>
      <c r="AE21" s="328">
        <v>2063962</v>
      </c>
      <c r="AF21" s="328">
        <v>2064482</v>
      </c>
    </row>
    <row r="22" spans="1:32" x14ac:dyDescent="0.25">
      <c r="A22" s="6" t="s">
        <v>21</v>
      </c>
      <c r="B22" s="328">
        <v>1986708</v>
      </c>
      <c r="C22" s="328">
        <v>1986710</v>
      </c>
      <c r="D22" s="328">
        <v>1987057</v>
      </c>
      <c r="E22" s="328">
        <v>1987575</v>
      </c>
      <c r="F22" s="330">
        <v>1987878</v>
      </c>
      <c r="G22" s="330">
        <v>1988440</v>
      </c>
      <c r="H22" s="330">
        <v>1988873</v>
      </c>
      <c r="I22" s="330">
        <v>1989219</v>
      </c>
      <c r="J22" s="330">
        <v>1989307</v>
      </c>
      <c r="K22" s="328">
        <v>1989612</v>
      </c>
      <c r="L22" s="328">
        <v>1990089</v>
      </c>
      <c r="M22" s="328">
        <v>1990355</v>
      </c>
      <c r="N22" s="328">
        <v>1990787</v>
      </c>
      <c r="O22" s="328">
        <v>1991058</v>
      </c>
      <c r="P22" s="328">
        <v>1991058</v>
      </c>
      <c r="Q22" s="328">
        <v>1991058</v>
      </c>
      <c r="R22" s="328">
        <v>1991244</v>
      </c>
      <c r="S22" s="328">
        <v>1991430</v>
      </c>
      <c r="T22" s="328">
        <v>1991634</v>
      </c>
      <c r="U22" s="328">
        <v>1991714</v>
      </c>
      <c r="V22" s="328">
        <v>1992278</v>
      </c>
      <c r="W22" s="328">
        <v>1992797</v>
      </c>
      <c r="X22" s="328">
        <v>1993057</v>
      </c>
      <c r="Y22" s="328">
        <v>1993407</v>
      </c>
      <c r="Z22" s="328">
        <v>1993673</v>
      </c>
      <c r="AA22" s="328">
        <v>1994090</v>
      </c>
      <c r="AB22" s="328">
        <v>1994540</v>
      </c>
      <c r="AC22" s="328">
        <v>1994623</v>
      </c>
      <c r="AD22" s="328">
        <v>1994623</v>
      </c>
      <c r="AE22" s="328">
        <v>1994623</v>
      </c>
      <c r="AF22" s="328">
        <v>1995141</v>
      </c>
    </row>
    <row r="23" spans="1:32" x14ac:dyDescent="0.25">
      <c r="A23" s="6" t="s">
        <v>22</v>
      </c>
      <c r="B23" s="328">
        <v>2028695</v>
      </c>
      <c r="C23" s="328">
        <v>2028696</v>
      </c>
      <c r="D23" s="328">
        <v>2029147</v>
      </c>
      <c r="E23" s="328">
        <v>2029397</v>
      </c>
      <c r="F23" s="330">
        <v>2029667</v>
      </c>
      <c r="G23" s="330">
        <v>2030100</v>
      </c>
      <c r="H23" s="330">
        <v>2030618</v>
      </c>
      <c r="I23" s="330">
        <v>2031177</v>
      </c>
      <c r="J23" s="330">
        <v>2031572</v>
      </c>
      <c r="K23" s="328">
        <v>2032132</v>
      </c>
      <c r="L23" s="328">
        <v>2032376</v>
      </c>
      <c r="M23" s="328">
        <v>2032626</v>
      </c>
      <c r="N23" s="328">
        <v>2033059</v>
      </c>
      <c r="O23" s="328">
        <v>2033139</v>
      </c>
      <c r="P23" s="328">
        <v>2033168</v>
      </c>
      <c r="Q23" s="328">
        <v>2033644</v>
      </c>
      <c r="R23" s="328">
        <v>2033991</v>
      </c>
      <c r="S23" s="328">
        <v>2034467</v>
      </c>
      <c r="T23" s="328">
        <v>2034917</v>
      </c>
      <c r="U23" s="328">
        <v>2035167</v>
      </c>
      <c r="V23" s="328">
        <v>2035370</v>
      </c>
      <c r="W23" s="328">
        <v>2035370</v>
      </c>
      <c r="X23" s="328">
        <v>2035370</v>
      </c>
      <c r="Y23" s="328">
        <v>2035561</v>
      </c>
      <c r="Z23" s="328">
        <v>2036143</v>
      </c>
      <c r="AA23" s="328">
        <v>2036344</v>
      </c>
      <c r="AB23" s="328">
        <v>2036595</v>
      </c>
      <c r="AC23" s="328">
        <v>2036845</v>
      </c>
      <c r="AD23" s="328">
        <v>2036845</v>
      </c>
      <c r="AE23" s="328">
        <v>2036845</v>
      </c>
      <c r="AF23" s="328">
        <v>2037245</v>
      </c>
    </row>
    <row r="24" spans="1:32" x14ac:dyDescent="0.25">
      <c r="A24" s="5" t="s">
        <v>23</v>
      </c>
      <c r="B24" s="328">
        <v>2057268</v>
      </c>
      <c r="C24" s="328">
        <v>2057486</v>
      </c>
      <c r="D24" s="328">
        <v>2057961</v>
      </c>
      <c r="E24" s="328">
        <v>2058161</v>
      </c>
      <c r="F24" s="330">
        <v>2058412</v>
      </c>
      <c r="G24" s="330">
        <v>2058663</v>
      </c>
      <c r="H24" s="330">
        <v>2058927</v>
      </c>
      <c r="I24" s="330">
        <v>2058927</v>
      </c>
      <c r="J24" s="330">
        <v>2058945</v>
      </c>
      <c r="K24" s="328">
        <v>2059351</v>
      </c>
      <c r="L24" s="328">
        <v>2059837</v>
      </c>
      <c r="M24" s="328">
        <v>2060441</v>
      </c>
      <c r="N24" s="328">
        <v>2060643</v>
      </c>
      <c r="O24" s="328">
        <v>2061229</v>
      </c>
      <c r="P24" s="328">
        <v>2061750</v>
      </c>
      <c r="Q24" s="328">
        <v>2062009</v>
      </c>
      <c r="R24" s="328">
        <v>2062528</v>
      </c>
      <c r="S24" s="328">
        <v>2063048</v>
      </c>
      <c r="T24" s="328">
        <v>2063314</v>
      </c>
      <c r="U24" s="328">
        <v>2063876</v>
      </c>
      <c r="V24" s="328">
        <v>2064350</v>
      </c>
      <c r="W24" s="328">
        <v>2064868</v>
      </c>
      <c r="X24" s="328">
        <v>2065342</v>
      </c>
      <c r="Y24" s="328">
        <v>2065735</v>
      </c>
      <c r="Z24" s="328">
        <v>2066018</v>
      </c>
      <c r="AA24" s="328">
        <v>2066271</v>
      </c>
      <c r="AB24" s="328">
        <v>2066790</v>
      </c>
      <c r="AC24" s="328">
        <v>2067137</v>
      </c>
      <c r="AD24" s="328">
        <v>2067700</v>
      </c>
      <c r="AE24" s="328">
        <v>2068136</v>
      </c>
      <c r="AF24" s="328">
        <v>2068739</v>
      </c>
    </row>
    <row r="25" spans="1:32" x14ac:dyDescent="0.25">
      <c r="A25" s="6" t="s">
        <v>24</v>
      </c>
      <c r="B25" s="328">
        <v>2068817</v>
      </c>
      <c r="C25" s="328">
        <v>2069412</v>
      </c>
      <c r="D25" s="328">
        <v>2069931</v>
      </c>
      <c r="E25" s="328">
        <v>2070380</v>
      </c>
      <c r="F25" s="330">
        <v>2070549</v>
      </c>
      <c r="G25" s="330">
        <v>2071067</v>
      </c>
      <c r="H25" s="330">
        <v>2071585</v>
      </c>
      <c r="I25" s="330">
        <v>2071587</v>
      </c>
      <c r="J25" s="330">
        <v>2072064</v>
      </c>
      <c r="K25" s="328">
        <v>2072628</v>
      </c>
      <c r="L25" s="328">
        <v>2072991</v>
      </c>
      <c r="M25" s="328">
        <v>2073082</v>
      </c>
      <c r="N25" s="328">
        <v>2073517</v>
      </c>
      <c r="O25" s="328">
        <v>2073973</v>
      </c>
      <c r="P25" s="328">
        <v>2073973</v>
      </c>
      <c r="Q25" s="328">
        <v>2073973</v>
      </c>
      <c r="R25" s="328">
        <v>2074303</v>
      </c>
      <c r="S25" s="328">
        <v>2074735</v>
      </c>
      <c r="T25" s="328">
        <v>2075338</v>
      </c>
      <c r="U25" s="328">
        <v>2075943</v>
      </c>
      <c r="V25" s="328">
        <v>2076360</v>
      </c>
      <c r="W25" s="328">
        <v>2076446</v>
      </c>
      <c r="X25" s="328">
        <v>2076447</v>
      </c>
      <c r="Y25" s="328">
        <v>2076966</v>
      </c>
      <c r="Z25" s="328">
        <v>2077564</v>
      </c>
      <c r="AA25" s="328">
        <v>2077822</v>
      </c>
      <c r="AB25" s="328">
        <v>2078094</v>
      </c>
      <c r="AC25" s="328">
        <v>2078345</v>
      </c>
      <c r="AD25" s="328">
        <v>2078345</v>
      </c>
      <c r="AE25" s="328">
        <v>2078345</v>
      </c>
      <c r="AF25" s="328">
        <v>2078596</v>
      </c>
    </row>
    <row r="26" spans="1:32" x14ac:dyDescent="0.25">
      <c r="A26" s="6" t="s">
        <v>25</v>
      </c>
      <c r="B26" s="328">
        <v>2079465</v>
      </c>
      <c r="C26" s="328">
        <v>2079465</v>
      </c>
      <c r="D26" s="328">
        <v>2079661</v>
      </c>
      <c r="E26" s="328">
        <v>2079853</v>
      </c>
      <c r="F26" s="330">
        <v>2080150</v>
      </c>
      <c r="G26" s="330">
        <v>2080283</v>
      </c>
      <c r="H26" s="330">
        <v>2080847</v>
      </c>
      <c r="I26" s="330">
        <v>2080891</v>
      </c>
      <c r="J26" s="330">
        <v>2081413</v>
      </c>
      <c r="K26" s="328">
        <v>2082020</v>
      </c>
      <c r="L26" s="328">
        <v>2082440</v>
      </c>
      <c r="M26" s="328">
        <v>2082830</v>
      </c>
      <c r="N26" s="328">
        <v>2083308</v>
      </c>
      <c r="O26" s="328">
        <v>2083829</v>
      </c>
      <c r="P26" s="328">
        <v>2084392</v>
      </c>
      <c r="Q26" s="328">
        <v>2084436</v>
      </c>
      <c r="R26" s="328">
        <v>2084957</v>
      </c>
      <c r="S26" s="328">
        <v>2085393</v>
      </c>
      <c r="T26" s="328">
        <v>2085845</v>
      </c>
      <c r="U26" s="328">
        <v>2086031</v>
      </c>
      <c r="V26" s="328">
        <v>2086284</v>
      </c>
      <c r="W26" s="328">
        <v>2086284</v>
      </c>
      <c r="X26" s="328">
        <v>2086284</v>
      </c>
      <c r="Y26" s="328">
        <v>2086511</v>
      </c>
      <c r="Z26" s="328">
        <v>2087003</v>
      </c>
      <c r="AA26" s="328">
        <v>2087392</v>
      </c>
      <c r="AB26" s="328">
        <v>2087758</v>
      </c>
      <c r="AC26" s="328">
        <v>2088100</v>
      </c>
      <c r="AD26" s="328">
        <v>2088663</v>
      </c>
      <c r="AE26" s="328">
        <v>2089053</v>
      </c>
      <c r="AF26" s="328">
        <v>2089320</v>
      </c>
    </row>
    <row r="27" spans="1:32" x14ac:dyDescent="0.25">
      <c r="A27" s="6" t="s">
        <v>26</v>
      </c>
      <c r="B27" s="328">
        <v>2037324</v>
      </c>
      <c r="C27" s="328">
        <v>2037812</v>
      </c>
      <c r="D27" s="328">
        <v>2038159</v>
      </c>
      <c r="E27" s="328">
        <v>2038764</v>
      </c>
      <c r="F27" s="330">
        <v>2039283</v>
      </c>
      <c r="G27" s="330">
        <v>2039478</v>
      </c>
      <c r="H27" s="330">
        <v>2039725</v>
      </c>
      <c r="I27" s="330">
        <v>2039725</v>
      </c>
      <c r="J27" s="330">
        <v>2039725</v>
      </c>
      <c r="K27" s="328">
        <v>2040152</v>
      </c>
      <c r="L27" s="328">
        <v>2040508</v>
      </c>
      <c r="M27" s="328">
        <v>2040991</v>
      </c>
      <c r="N27" s="328">
        <v>2041385</v>
      </c>
      <c r="O27" s="328">
        <v>2041950</v>
      </c>
      <c r="P27" s="328">
        <v>2042470</v>
      </c>
      <c r="Q27" s="328">
        <v>2042902</v>
      </c>
      <c r="R27" s="328">
        <v>2043335</v>
      </c>
      <c r="S27" s="328">
        <v>2043598</v>
      </c>
      <c r="T27" s="328">
        <v>2044118</v>
      </c>
      <c r="U27" s="328">
        <v>2044723</v>
      </c>
      <c r="V27" s="328">
        <v>2045074</v>
      </c>
      <c r="W27" s="328">
        <v>2045592</v>
      </c>
      <c r="X27" s="328">
        <v>2046025</v>
      </c>
      <c r="Y27" s="328">
        <v>2046226</v>
      </c>
      <c r="Z27" s="328">
        <v>2046486</v>
      </c>
      <c r="AA27" s="328">
        <v>2046993</v>
      </c>
      <c r="AB27" s="328">
        <v>2047598</v>
      </c>
      <c r="AC27" s="328">
        <v>2047858</v>
      </c>
      <c r="AD27" s="328">
        <v>2047858</v>
      </c>
      <c r="AE27" s="328">
        <v>2047858</v>
      </c>
      <c r="AF27" s="328">
        <v>2048286</v>
      </c>
    </row>
    <row r="28" spans="1:32" x14ac:dyDescent="0.25">
      <c r="A28" s="6" t="s">
        <v>27</v>
      </c>
      <c r="B28" s="328">
        <v>2027602</v>
      </c>
      <c r="C28" s="328">
        <v>2027602</v>
      </c>
      <c r="D28" s="328">
        <v>2027602</v>
      </c>
      <c r="E28" s="328">
        <v>2027602</v>
      </c>
      <c r="F28" s="330">
        <v>2027602</v>
      </c>
      <c r="G28" s="330">
        <v>2027602</v>
      </c>
      <c r="H28" s="330">
        <v>2027602</v>
      </c>
      <c r="I28" s="330">
        <v>2027602</v>
      </c>
      <c r="J28" s="330">
        <v>2027602</v>
      </c>
      <c r="K28" s="328">
        <v>2027602</v>
      </c>
      <c r="L28" s="328">
        <v>2027602</v>
      </c>
      <c r="M28" s="328">
        <v>2027602</v>
      </c>
      <c r="N28" s="328">
        <v>2027602</v>
      </c>
      <c r="O28" s="328">
        <v>2027602</v>
      </c>
      <c r="P28" s="328">
        <v>2027602</v>
      </c>
      <c r="Q28" s="328">
        <v>2027602</v>
      </c>
      <c r="R28" s="328">
        <v>2027602</v>
      </c>
      <c r="S28" s="328">
        <v>2027602</v>
      </c>
      <c r="T28" s="328">
        <v>2027602</v>
      </c>
      <c r="U28" s="328">
        <v>2027602</v>
      </c>
      <c r="V28" s="328">
        <v>2027602</v>
      </c>
      <c r="W28" s="328">
        <v>2027602</v>
      </c>
      <c r="X28" s="328">
        <v>2027602</v>
      </c>
      <c r="Y28" s="328">
        <v>2027602</v>
      </c>
      <c r="Z28" s="328">
        <v>2027602</v>
      </c>
      <c r="AA28" s="328">
        <v>2027602</v>
      </c>
      <c r="AB28" s="328">
        <v>2027602</v>
      </c>
      <c r="AC28" s="328">
        <v>2027602</v>
      </c>
      <c r="AD28" s="328">
        <v>2027602</v>
      </c>
      <c r="AE28" s="328">
        <v>2027602</v>
      </c>
      <c r="AF28" s="328">
        <v>2027602</v>
      </c>
    </row>
    <row r="29" spans="1:32" x14ac:dyDescent="0.25">
      <c r="A29" s="5" t="s">
        <v>28</v>
      </c>
      <c r="B29" s="328">
        <v>1957865</v>
      </c>
      <c r="C29" s="328">
        <v>1958465</v>
      </c>
      <c r="D29" s="328">
        <v>1958897</v>
      </c>
      <c r="E29" s="328">
        <v>1959099</v>
      </c>
      <c r="F29" s="330">
        <v>1959351</v>
      </c>
      <c r="G29" s="330">
        <v>1959602</v>
      </c>
      <c r="H29" s="330">
        <v>1959932</v>
      </c>
      <c r="I29" s="330">
        <v>1959932</v>
      </c>
      <c r="J29" s="330">
        <v>1959932</v>
      </c>
      <c r="K29" s="328">
        <v>1960282</v>
      </c>
      <c r="L29" s="328">
        <v>1960614</v>
      </c>
      <c r="M29" s="328">
        <v>1960980</v>
      </c>
      <c r="N29" s="328">
        <v>1961165</v>
      </c>
      <c r="O29" s="328">
        <v>1961427</v>
      </c>
      <c r="P29" s="328">
        <v>1961427</v>
      </c>
      <c r="Q29" s="328">
        <v>1961427</v>
      </c>
      <c r="R29" s="328">
        <v>1961810</v>
      </c>
      <c r="S29" s="328">
        <v>1962371</v>
      </c>
      <c r="T29" s="328">
        <v>1962805</v>
      </c>
      <c r="U29" s="328">
        <v>1963015</v>
      </c>
      <c r="V29" s="328">
        <v>1963380</v>
      </c>
      <c r="W29" s="328">
        <v>1963380</v>
      </c>
      <c r="X29" s="328">
        <v>1963380</v>
      </c>
      <c r="Y29" s="328">
        <v>1963892</v>
      </c>
      <c r="Z29" s="328">
        <v>1964240</v>
      </c>
      <c r="AA29" s="328">
        <v>1964691</v>
      </c>
      <c r="AB29" s="328">
        <v>1965081</v>
      </c>
      <c r="AC29" s="328">
        <v>1965684</v>
      </c>
      <c r="AD29" s="328">
        <v>1966202</v>
      </c>
      <c r="AE29" s="328">
        <v>1966633</v>
      </c>
      <c r="AF29" s="328">
        <v>1967066</v>
      </c>
    </row>
    <row r="30" spans="1:32" x14ac:dyDescent="0.25">
      <c r="A30" s="6" t="s">
        <v>29</v>
      </c>
      <c r="B30" s="328">
        <v>1697560</v>
      </c>
      <c r="C30" s="328">
        <v>1697560</v>
      </c>
      <c r="D30" s="328">
        <v>1697754</v>
      </c>
      <c r="E30" s="328">
        <v>1697953</v>
      </c>
      <c r="F30" s="330">
        <v>1698304</v>
      </c>
      <c r="G30" s="330">
        <v>1698740</v>
      </c>
      <c r="H30" s="330">
        <v>1699218</v>
      </c>
      <c r="I30" s="330">
        <v>1699693</v>
      </c>
      <c r="J30" s="330">
        <v>1699954</v>
      </c>
      <c r="K30" s="328">
        <v>1700238</v>
      </c>
      <c r="L30" s="328">
        <v>1700570</v>
      </c>
      <c r="M30" s="328">
        <v>1700941</v>
      </c>
      <c r="N30" s="328">
        <v>1701192</v>
      </c>
      <c r="O30" s="328">
        <v>1701533</v>
      </c>
      <c r="P30" s="328">
        <v>1702094</v>
      </c>
      <c r="Q30" s="328">
        <v>1702143</v>
      </c>
      <c r="R30" s="328">
        <v>1702321</v>
      </c>
      <c r="S30" s="328">
        <v>1702842</v>
      </c>
      <c r="T30" s="328">
        <v>1703292</v>
      </c>
      <c r="U30" s="328">
        <v>1703485</v>
      </c>
      <c r="V30" s="328">
        <v>1703736</v>
      </c>
      <c r="W30" s="328">
        <v>1703736</v>
      </c>
      <c r="X30" s="328">
        <v>1703755</v>
      </c>
      <c r="Y30" s="328">
        <v>1704188</v>
      </c>
      <c r="Z30" s="328">
        <v>1704539</v>
      </c>
      <c r="AA30" s="328">
        <v>1704962</v>
      </c>
      <c r="AB30" s="328">
        <v>1705213</v>
      </c>
      <c r="AC30" s="328">
        <v>1705476</v>
      </c>
      <c r="AD30" s="328">
        <v>1705736</v>
      </c>
      <c r="AE30" s="328">
        <v>1706252</v>
      </c>
      <c r="AF30" s="328">
        <v>1706686</v>
      </c>
    </row>
    <row r="31" spans="1:32" x14ac:dyDescent="0.25">
      <c r="A31" s="7" t="s">
        <v>30</v>
      </c>
      <c r="B31" s="328">
        <v>2006956</v>
      </c>
      <c r="C31" s="328">
        <v>2006956</v>
      </c>
      <c r="D31" s="328">
        <v>2007037</v>
      </c>
      <c r="E31" s="328">
        <v>2007300</v>
      </c>
      <c r="F31" s="330">
        <v>2007904</v>
      </c>
      <c r="G31" s="330">
        <v>2008354</v>
      </c>
      <c r="H31" s="330">
        <v>2008693</v>
      </c>
      <c r="I31" s="330">
        <v>2008868</v>
      </c>
      <c r="J31" s="330">
        <v>2008870</v>
      </c>
      <c r="K31" s="328">
        <v>2009398</v>
      </c>
      <c r="L31" s="328">
        <v>2009891</v>
      </c>
      <c r="M31" s="328">
        <v>2010240</v>
      </c>
      <c r="N31" s="328">
        <v>2010762</v>
      </c>
      <c r="O31" s="328">
        <v>2011195</v>
      </c>
      <c r="P31" s="328">
        <v>2011713</v>
      </c>
      <c r="Q31" s="328">
        <v>2012231</v>
      </c>
      <c r="R31" s="328">
        <v>2012834</v>
      </c>
      <c r="S31" s="328">
        <v>2013120</v>
      </c>
      <c r="T31" s="328">
        <v>2013417</v>
      </c>
      <c r="U31" s="328">
        <v>2013977</v>
      </c>
      <c r="V31" s="328">
        <v>2014269</v>
      </c>
      <c r="W31" s="328">
        <v>2014269</v>
      </c>
      <c r="X31" s="328">
        <v>2014269</v>
      </c>
      <c r="Y31" s="328">
        <v>2014597</v>
      </c>
      <c r="Z31" s="328">
        <v>2014986</v>
      </c>
      <c r="AA31" s="328">
        <v>2015320</v>
      </c>
      <c r="AB31" s="328">
        <v>2015753</v>
      </c>
      <c r="AC31" s="328">
        <v>2016313</v>
      </c>
      <c r="AD31" s="328">
        <v>2016874</v>
      </c>
      <c r="AE31" s="328">
        <v>2017392</v>
      </c>
      <c r="AF31" s="328">
        <v>2017680</v>
      </c>
    </row>
    <row r="32" spans="1:32" s="126" customFormat="1" x14ac:dyDescent="0.25">
      <c r="A32" s="6" t="s">
        <v>111</v>
      </c>
      <c r="B32" s="328">
        <v>647148</v>
      </c>
      <c r="C32" s="328">
        <v>647148</v>
      </c>
      <c r="D32" s="328">
        <v>647326</v>
      </c>
      <c r="E32" s="328">
        <v>647777</v>
      </c>
      <c r="F32" s="330">
        <v>647970</v>
      </c>
      <c r="G32" s="330">
        <v>648162</v>
      </c>
      <c r="H32" s="330">
        <v>648354</v>
      </c>
      <c r="I32" s="330">
        <v>648354</v>
      </c>
      <c r="J32" s="330">
        <v>648354</v>
      </c>
      <c r="K32" s="328">
        <v>648547</v>
      </c>
      <c r="L32" s="328">
        <v>648741</v>
      </c>
      <c r="M32" s="328">
        <v>648934</v>
      </c>
      <c r="N32" s="328">
        <v>649127</v>
      </c>
      <c r="O32" s="328">
        <v>649314</v>
      </c>
      <c r="P32" s="328">
        <v>649314</v>
      </c>
      <c r="Q32" s="328">
        <v>649314</v>
      </c>
      <c r="R32" s="328">
        <v>649517</v>
      </c>
      <c r="S32" s="328">
        <v>650104</v>
      </c>
      <c r="T32" s="328">
        <v>650420</v>
      </c>
      <c r="U32" s="328">
        <v>650667</v>
      </c>
      <c r="V32" s="328">
        <v>651077</v>
      </c>
      <c r="W32" s="328">
        <v>651599</v>
      </c>
      <c r="X32" s="328">
        <v>651601</v>
      </c>
      <c r="Y32" s="328">
        <v>652163</v>
      </c>
      <c r="Z32" s="328">
        <v>652723</v>
      </c>
      <c r="AA32" s="328">
        <v>653128</v>
      </c>
      <c r="AB32" s="328">
        <v>653559</v>
      </c>
      <c r="AC32" s="328">
        <v>653996</v>
      </c>
      <c r="AD32" s="328">
        <v>654255</v>
      </c>
      <c r="AE32" s="328">
        <v>654255</v>
      </c>
      <c r="AF32" s="328">
        <v>654603</v>
      </c>
    </row>
    <row r="33" spans="1:32" s="126" customFormat="1" x14ac:dyDescent="0.25">
      <c r="A33" s="5" t="s">
        <v>112</v>
      </c>
      <c r="B33" s="328">
        <v>609597</v>
      </c>
      <c r="C33" s="328">
        <v>609597</v>
      </c>
      <c r="D33" s="328">
        <v>609597</v>
      </c>
      <c r="E33" s="328">
        <v>609597</v>
      </c>
      <c r="F33" s="330">
        <v>609597</v>
      </c>
      <c r="G33" s="330">
        <v>609597</v>
      </c>
      <c r="H33" s="330">
        <v>609597</v>
      </c>
      <c r="I33" s="330">
        <v>609597</v>
      </c>
      <c r="J33" s="330">
        <v>609597</v>
      </c>
      <c r="K33" s="328">
        <v>609597</v>
      </c>
      <c r="L33" s="328">
        <v>609597</v>
      </c>
      <c r="M33" s="328">
        <v>609597</v>
      </c>
      <c r="N33" s="328">
        <v>609597</v>
      </c>
      <c r="O33" s="328">
        <v>609597</v>
      </c>
      <c r="P33" s="328">
        <v>609597</v>
      </c>
      <c r="Q33" s="328">
        <v>609597</v>
      </c>
      <c r="R33" s="328">
        <v>609597</v>
      </c>
      <c r="S33" s="328">
        <v>609597</v>
      </c>
      <c r="T33" s="328">
        <v>609597</v>
      </c>
      <c r="U33" s="328">
        <v>609597</v>
      </c>
      <c r="V33" s="328">
        <v>609597</v>
      </c>
      <c r="W33" s="328">
        <v>609597</v>
      </c>
      <c r="X33" s="328">
        <v>609597</v>
      </c>
      <c r="Y33" s="328">
        <v>609597</v>
      </c>
      <c r="Z33" s="328">
        <v>609597</v>
      </c>
      <c r="AA33" s="328">
        <v>609597</v>
      </c>
      <c r="AB33" s="328">
        <v>609597</v>
      </c>
      <c r="AC33" s="328">
        <v>609597</v>
      </c>
      <c r="AD33" s="328">
        <v>609597</v>
      </c>
      <c r="AE33" s="328">
        <v>609597</v>
      </c>
      <c r="AF33" s="328">
        <v>609597</v>
      </c>
    </row>
    <row r="34" spans="1:32" s="126" customFormat="1" x14ac:dyDescent="0.25">
      <c r="A34" s="6" t="s">
        <v>113</v>
      </c>
      <c r="B34" s="328">
        <v>628010</v>
      </c>
      <c r="C34" s="328">
        <v>628010</v>
      </c>
      <c r="D34" s="328">
        <v>628529</v>
      </c>
      <c r="E34" s="328">
        <v>628949</v>
      </c>
      <c r="F34" s="330">
        <v>629201</v>
      </c>
      <c r="G34" s="330">
        <v>629333</v>
      </c>
      <c r="H34" s="330">
        <v>629597</v>
      </c>
      <c r="I34" s="330">
        <v>629597</v>
      </c>
      <c r="J34" s="330">
        <v>629597</v>
      </c>
      <c r="K34" s="328">
        <v>630030</v>
      </c>
      <c r="L34" s="328">
        <v>630448</v>
      </c>
      <c r="M34" s="328">
        <v>630890</v>
      </c>
      <c r="N34" s="328">
        <v>631281</v>
      </c>
      <c r="O34" s="328">
        <v>631459</v>
      </c>
      <c r="P34" s="328">
        <v>631459</v>
      </c>
      <c r="Q34" s="328">
        <v>631459</v>
      </c>
      <c r="R34" s="328">
        <v>631459</v>
      </c>
      <c r="S34" s="328">
        <v>631459</v>
      </c>
      <c r="T34" s="328">
        <v>631459</v>
      </c>
      <c r="U34" s="328">
        <v>631459</v>
      </c>
      <c r="V34" s="328">
        <v>631913</v>
      </c>
      <c r="W34" s="328">
        <v>631913</v>
      </c>
      <c r="X34" s="328">
        <v>631913</v>
      </c>
      <c r="Y34" s="328">
        <v>632175</v>
      </c>
      <c r="Z34" s="328">
        <v>632427</v>
      </c>
      <c r="AA34" s="328">
        <v>632738</v>
      </c>
      <c r="AB34" s="328">
        <v>633043</v>
      </c>
      <c r="AC34" s="328">
        <v>633175</v>
      </c>
      <c r="AD34" s="328">
        <v>633175</v>
      </c>
      <c r="AE34" s="328">
        <v>633175</v>
      </c>
      <c r="AF34" s="328">
        <v>633178</v>
      </c>
    </row>
    <row r="35" spans="1:32" s="126" customFormat="1" x14ac:dyDescent="0.25">
      <c r="A35" s="7" t="s">
        <v>114</v>
      </c>
      <c r="B35" s="328">
        <v>646262</v>
      </c>
      <c r="C35" s="328">
        <v>646262</v>
      </c>
      <c r="D35" s="328">
        <v>646513</v>
      </c>
      <c r="E35" s="328">
        <v>646763</v>
      </c>
      <c r="F35" s="330">
        <v>646930</v>
      </c>
      <c r="G35" s="330">
        <v>647168</v>
      </c>
      <c r="H35" s="330">
        <v>647426</v>
      </c>
      <c r="I35" s="330">
        <v>647426</v>
      </c>
      <c r="J35" s="330">
        <v>647426</v>
      </c>
      <c r="K35" s="328">
        <v>647515</v>
      </c>
      <c r="L35" s="328">
        <v>647515</v>
      </c>
      <c r="M35" s="328">
        <v>647755</v>
      </c>
      <c r="N35" s="328">
        <v>648153</v>
      </c>
      <c r="O35" s="328">
        <v>648327</v>
      </c>
      <c r="P35" s="328">
        <v>648327</v>
      </c>
      <c r="Q35" s="328">
        <v>648327</v>
      </c>
      <c r="R35" s="328">
        <v>648504</v>
      </c>
      <c r="S35" s="328">
        <v>648713</v>
      </c>
      <c r="T35" s="328">
        <v>649146</v>
      </c>
      <c r="U35" s="328">
        <v>649664</v>
      </c>
      <c r="V35" s="328">
        <v>650096</v>
      </c>
      <c r="W35" s="328">
        <v>650097</v>
      </c>
      <c r="X35" s="328">
        <v>650097</v>
      </c>
      <c r="Y35" s="328">
        <v>650272</v>
      </c>
      <c r="Z35" s="328">
        <v>650699</v>
      </c>
      <c r="AA35" s="328">
        <v>651203</v>
      </c>
      <c r="AB35" s="328">
        <v>651462</v>
      </c>
      <c r="AC35" s="328">
        <v>651889</v>
      </c>
      <c r="AD35" s="328">
        <v>651889</v>
      </c>
      <c r="AE35" s="328">
        <v>651889</v>
      </c>
      <c r="AF35" s="328">
        <v>652081</v>
      </c>
    </row>
    <row r="36" spans="1:32" s="126" customFormat="1" x14ac:dyDescent="0.25">
      <c r="A36" s="5" t="s">
        <v>115</v>
      </c>
      <c r="B36" s="328">
        <v>620054</v>
      </c>
      <c r="C36" s="328">
        <v>620054</v>
      </c>
      <c r="D36" s="328">
        <v>620305</v>
      </c>
      <c r="E36" s="328">
        <v>620637</v>
      </c>
      <c r="F36" s="330">
        <v>621002</v>
      </c>
      <c r="G36" s="330">
        <v>621169</v>
      </c>
      <c r="H36" s="330">
        <v>621371</v>
      </c>
      <c r="I36" s="330">
        <v>621371</v>
      </c>
      <c r="J36" s="330">
        <v>621371</v>
      </c>
      <c r="K36" s="328">
        <v>621622</v>
      </c>
      <c r="L36" s="328">
        <v>622024</v>
      </c>
      <c r="M36" s="328">
        <v>622551</v>
      </c>
      <c r="N36" s="328">
        <v>622795</v>
      </c>
      <c r="O36" s="328">
        <v>623039</v>
      </c>
      <c r="P36" s="328">
        <v>623039</v>
      </c>
      <c r="Q36" s="328">
        <v>623039</v>
      </c>
      <c r="R36" s="328">
        <v>623437</v>
      </c>
      <c r="S36" s="328">
        <v>623870</v>
      </c>
      <c r="T36" s="328">
        <v>624079</v>
      </c>
      <c r="U36" s="328">
        <v>624426</v>
      </c>
      <c r="V36" s="328">
        <v>624627</v>
      </c>
      <c r="W36" s="328">
        <v>624627</v>
      </c>
      <c r="X36" s="328">
        <v>624627</v>
      </c>
      <c r="Y36" s="328">
        <v>624901</v>
      </c>
      <c r="Z36" s="328">
        <v>625095</v>
      </c>
      <c r="AA36" s="328">
        <v>625406</v>
      </c>
      <c r="AB36" s="328">
        <v>625797</v>
      </c>
      <c r="AC36" s="328">
        <v>626357</v>
      </c>
      <c r="AD36" s="328">
        <v>626359</v>
      </c>
      <c r="AE36" s="328">
        <v>626362</v>
      </c>
      <c r="AF36" s="328">
        <v>626624</v>
      </c>
    </row>
    <row r="37" spans="1:32" s="126" customFormat="1" x14ac:dyDescent="0.25">
      <c r="A37" s="6" t="s">
        <v>116</v>
      </c>
      <c r="B37" s="328">
        <v>670942</v>
      </c>
      <c r="C37" s="328">
        <v>670942</v>
      </c>
      <c r="D37" s="328">
        <v>671137</v>
      </c>
      <c r="E37" s="328">
        <v>671329</v>
      </c>
      <c r="F37" s="330">
        <v>671520</v>
      </c>
      <c r="G37" s="330">
        <v>671712</v>
      </c>
      <c r="H37" s="330">
        <v>671903</v>
      </c>
      <c r="I37" s="330">
        <v>671903</v>
      </c>
      <c r="J37" s="330">
        <v>671903</v>
      </c>
      <c r="K37" s="328">
        <v>672072</v>
      </c>
      <c r="L37" s="328">
        <v>672491</v>
      </c>
      <c r="M37" s="328">
        <v>672837</v>
      </c>
      <c r="N37" s="328">
        <v>673273</v>
      </c>
      <c r="O37" s="328">
        <v>673469</v>
      </c>
      <c r="P37" s="328">
        <v>673469</v>
      </c>
      <c r="Q37" s="328">
        <v>673469</v>
      </c>
      <c r="R37" s="328">
        <v>673733</v>
      </c>
      <c r="S37" s="328">
        <v>673962</v>
      </c>
      <c r="T37" s="328">
        <v>674481</v>
      </c>
      <c r="U37" s="328">
        <v>674827</v>
      </c>
      <c r="V37" s="328">
        <v>674913</v>
      </c>
      <c r="W37" s="328">
        <v>674913</v>
      </c>
      <c r="X37" s="328">
        <v>674913</v>
      </c>
      <c r="Y37" s="328">
        <v>675221</v>
      </c>
      <c r="Z37" s="328">
        <v>675781</v>
      </c>
      <c r="AA37" s="328">
        <v>676184</v>
      </c>
      <c r="AB37" s="328">
        <v>676618</v>
      </c>
      <c r="AC37" s="328">
        <v>677136</v>
      </c>
      <c r="AD37" s="328">
        <v>677654</v>
      </c>
      <c r="AE37" s="328">
        <v>677740</v>
      </c>
      <c r="AF37" s="328">
        <v>678172</v>
      </c>
    </row>
    <row r="38" spans="1:32" x14ac:dyDescent="0.25">
      <c r="A38" s="7" t="s">
        <v>117</v>
      </c>
      <c r="B38" s="328">
        <v>319615</v>
      </c>
      <c r="C38" s="328">
        <v>319615</v>
      </c>
      <c r="D38" s="328">
        <v>319809</v>
      </c>
      <c r="E38" s="328">
        <v>319890</v>
      </c>
      <c r="F38" s="330">
        <v>320323</v>
      </c>
      <c r="G38" s="330">
        <v>320524</v>
      </c>
      <c r="H38" s="330">
        <v>320776</v>
      </c>
      <c r="I38" s="330">
        <v>320776</v>
      </c>
      <c r="J38" s="330">
        <v>320776</v>
      </c>
      <c r="K38" s="328">
        <v>320962</v>
      </c>
      <c r="L38" s="328">
        <v>321155</v>
      </c>
      <c r="M38" s="328">
        <v>321383</v>
      </c>
      <c r="N38" s="328">
        <v>321816</v>
      </c>
      <c r="O38" s="328">
        <v>321990</v>
      </c>
      <c r="P38" s="328">
        <v>321990</v>
      </c>
      <c r="Q38" s="328">
        <v>321990</v>
      </c>
      <c r="R38" s="328">
        <v>322441</v>
      </c>
      <c r="S38" s="328">
        <v>322635</v>
      </c>
      <c r="T38" s="328">
        <v>323035</v>
      </c>
      <c r="U38" s="328">
        <v>323554</v>
      </c>
      <c r="V38" s="328">
        <v>323985</v>
      </c>
      <c r="W38" s="328">
        <v>323986</v>
      </c>
      <c r="X38" s="328">
        <v>323989</v>
      </c>
      <c r="Y38" s="328">
        <v>324250</v>
      </c>
      <c r="Z38" s="328">
        <v>324676</v>
      </c>
      <c r="AA38" s="328">
        <v>324995</v>
      </c>
      <c r="AB38" s="328">
        <v>325428</v>
      </c>
      <c r="AC38" s="328">
        <v>325630</v>
      </c>
      <c r="AD38" s="328">
        <v>325630</v>
      </c>
      <c r="AE38" s="328">
        <v>325630</v>
      </c>
      <c r="AF38" s="328">
        <v>325879</v>
      </c>
    </row>
    <row r="39" spans="1:32" x14ac:dyDescent="0.25">
      <c r="A39" s="5" t="s">
        <v>118</v>
      </c>
      <c r="B39" s="328">
        <v>645879</v>
      </c>
      <c r="C39" s="328">
        <v>645879</v>
      </c>
      <c r="D39" s="328">
        <v>646049</v>
      </c>
      <c r="E39" s="328">
        <v>646396</v>
      </c>
      <c r="F39" s="330">
        <v>646761</v>
      </c>
      <c r="G39" s="330">
        <v>647012</v>
      </c>
      <c r="H39" s="330">
        <v>647213</v>
      </c>
      <c r="I39" s="330">
        <v>647213</v>
      </c>
      <c r="J39" s="330">
        <v>647213</v>
      </c>
      <c r="K39" s="328">
        <v>647456</v>
      </c>
      <c r="L39" s="328">
        <v>647858</v>
      </c>
      <c r="M39" s="328">
        <v>648111</v>
      </c>
      <c r="N39" s="328">
        <v>648383</v>
      </c>
      <c r="O39" s="328">
        <v>648634</v>
      </c>
      <c r="P39" s="328">
        <v>648634</v>
      </c>
      <c r="Q39" s="328">
        <v>648634</v>
      </c>
      <c r="R39" s="328">
        <v>648972</v>
      </c>
      <c r="S39" s="328">
        <v>649224</v>
      </c>
      <c r="T39" s="328">
        <v>649537</v>
      </c>
      <c r="U39" s="328">
        <v>649799</v>
      </c>
      <c r="V39" s="328">
        <v>650250</v>
      </c>
      <c r="W39" s="328">
        <v>650250</v>
      </c>
      <c r="X39" s="328">
        <v>650250</v>
      </c>
      <c r="Y39" s="328">
        <v>650502</v>
      </c>
      <c r="Z39" s="328">
        <v>650816</v>
      </c>
      <c r="AA39" s="328">
        <v>651023</v>
      </c>
      <c r="AB39" s="328">
        <v>651543</v>
      </c>
      <c r="AC39" s="328">
        <v>651805</v>
      </c>
      <c r="AD39" s="328">
        <v>651806</v>
      </c>
      <c r="AE39" s="328">
        <v>651809</v>
      </c>
      <c r="AF39" s="328">
        <v>652247</v>
      </c>
    </row>
    <row r="40" spans="1:32" s="126" customFormat="1" ht="18" x14ac:dyDescent="0.25">
      <c r="A40" s="222"/>
      <c r="B40" s="222"/>
      <c r="C40" s="222"/>
      <c r="D40" s="222"/>
      <c r="E40" s="222"/>
      <c r="F40" s="222"/>
      <c r="G40" s="222"/>
      <c r="H40" s="222"/>
      <c r="I40" s="222"/>
      <c r="J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</row>
    <row r="41" spans="1:32" ht="18" x14ac:dyDescent="0.25">
      <c r="A41" s="361" t="s">
        <v>31</v>
      </c>
      <c r="B41" s="361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361"/>
      <c r="O41" s="361"/>
      <c r="P41" s="361"/>
      <c r="Q41" s="361"/>
      <c r="R41" s="361"/>
      <c r="S41" s="361"/>
      <c r="T41" s="361"/>
      <c r="U41" s="361"/>
      <c r="V41" s="361"/>
      <c r="W41" s="361"/>
      <c r="X41" s="361"/>
      <c r="Y41" s="361"/>
      <c r="Z41" s="361"/>
      <c r="AA41" s="361"/>
      <c r="AB41" s="361"/>
      <c r="AC41" s="361"/>
    </row>
    <row r="42" spans="1:32" x14ac:dyDescent="0.25">
      <c r="A42" s="9"/>
      <c r="B42" s="64">
        <v>45717</v>
      </c>
      <c r="C42" s="64">
        <v>45718</v>
      </c>
      <c r="D42" s="64">
        <v>45719</v>
      </c>
      <c r="E42" s="64">
        <v>45720</v>
      </c>
      <c r="F42" s="64">
        <v>45721</v>
      </c>
      <c r="G42" s="64">
        <v>45722</v>
      </c>
      <c r="H42" s="64">
        <v>45723</v>
      </c>
      <c r="I42" s="64">
        <v>45724</v>
      </c>
      <c r="J42" s="64">
        <v>45725</v>
      </c>
      <c r="K42" s="64">
        <v>45726</v>
      </c>
      <c r="L42" s="64">
        <v>45727</v>
      </c>
      <c r="M42" s="64">
        <v>45728</v>
      </c>
      <c r="N42" s="64">
        <v>45729</v>
      </c>
      <c r="O42" s="64">
        <v>45730</v>
      </c>
      <c r="P42" s="64">
        <v>45731</v>
      </c>
      <c r="Q42" s="64">
        <v>45732</v>
      </c>
      <c r="R42" s="64">
        <v>45733</v>
      </c>
      <c r="S42" s="64">
        <v>45734</v>
      </c>
      <c r="T42" s="64">
        <v>45735</v>
      </c>
      <c r="U42" s="64">
        <v>45736</v>
      </c>
      <c r="V42" s="64">
        <v>45737</v>
      </c>
      <c r="W42" s="64">
        <v>45738</v>
      </c>
      <c r="X42" s="64">
        <v>45739</v>
      </c>
      <c r="Y42" s="64">
        <v>45740</v>
      </c>
      <c r="Z42" s="64">
        <v>45741</v>
      </c>
      <c r="AA42" s="64">
        <v>45742</v>
      </c>
      <c r="AB42" s="64">
        <v>45743</v>
      </c>
      <c r="AC42" s="64">
        <v>45744</v>
      </c>
      <c r="AD42" s="64">
        <v>45745</v>
      </c>
      <c r="AE42" s="64">
        <v>45746</v>
      </c>
      <c r="AF42" s="64">
        <v>45747</v>
      </c>
    </row>
    <row r="43" spans="1:32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25">
      <c r="A45" s="11" t="s">
        <v>4</v>
      </c>
      <c r="B45" s="240">
        <v>449</v>
      </c>
      <c r="C45" s="12">
        <f t="shared" ref="C45:D64" si="0">C5-B5</f>
        <v>0</v>
      </c>
      <c r="D45" s="12">
        <f t="shared" si="0"/>
        <v>263</v>
      </c>
      <c r="E45" s="12">
        <f t="shared" ref="E45:F64" si="1">E5-D5</f>
        <v>526</v>
      </c>
      <c r="F45" s="12">
        <f t="shared" si="1"/>
        <v>560</v>
      </c>
      <c r="G45" s="12">
        <f t="shared" ref="G45:P45" si="2">G5-F5</f>
        <v>516</v>
      </c>
      <c r="H45" s="12">
        <f t="shared" si="2"/>
        <v>346</v>
      </c>
      <c r="I45" s="12">
        <f t="shared" si="2"/>
        <v>560</v>
      </c>
      <c r="J45" s="12">
        <f t="shared" si="2"/>
        <v>43</v>
      </c>
      <c r="K45" s="12">
        <f t="shared" si="2"/>
        <v>272</v>
      </c>
      <c r="L45" s="12">
        <f t="shared" si="2"/>
        <v>496</v>
      </c>
      <c r="M45" s="12">
        <f t="shared" si="2"/>
        <v>518</v>
      </c>
      <c r="N45" s="12">
        <f t="shared" si="2"/>
        <v>456</v>
      </c>
      <c r="O45" s="12">
        <f t="shared" si="2"/>
        <v>249</v>
      </c>
      <c r="P45" s="12">
        <f t="shared" si="2"/>
        <v>0</v>
      </c>
      <c r="Q45" s="12">
        <f>Q5-P5</f>
        <v>0</v>
      </c>
      <c r="R45" s="12">
        <f>R5-Q5</f>
        <v>250</v>
      </c>
      <c r="S45" s="12">
        <f>S5-R5</f>
        <v>252</v>
      </c>
      <c r="T45" s="12">
        <f t="shared" ref="T45:AD45" si="3">T5-S5</f>
        <v>586</v>
      </c>
      <c r="U45" s="12">
        <f t="shared" si="3"/>
        <v>254</v>
      </c>
      <c r="V45" s="12">
        <f>V5-U5</f>
        <v>251</v>
      </c>
      <c r="W45" s="12">
        <f t="shared" si="3"/>
        <v>0</v>
      </c>
      <c r="X45" s="12">
        <f t="shared" si="3"/>
        <v>0</v>
      </c>
      <c r="Y45" s="12">
        <f t="shared" si="3"/>
        <v>194</v>
      </c>
      <c r="Z45" s="12">
        <f t="shared" si="3"/>
        <v>168</v>
      </c>
      <c r="AA45" s="12">
        <f t="shared" si="3"/>
        <v>290</v>
      </c>
      <c r="AB45" s="12">
        <f t="shared" si="3"/>
        <v>422</v>
      </c>
      <c r="AC45" s="12">
        <f t="shared" si="3"/>
        <v>284</v>
      </c>
      <c r="AD45" s="12">
        <f t="shared" si="3"/>
        <v>0</v>
      </c>
      <c r="AE45" s="12">
        <f>AE5-AD5</f>
        <v>0</v>
      </c>
      <c r="AF45" s="12">
        <f>AF5-AE5</f>
        <v>184</v>
      </c>
    </row>
    <row r="46" spans="1:32" x14ac:dyDescent="0.25">
      <c r="A46" s="11" t="s">
        <v>5</v>
      </c>
      <c r="B46" s="240">
        <v>0</v>
      </c>
      <c r="C46" s="12">
        <f t="shared" si="0"/>
        <v>0</v>
      </c>
      <c r="D46" s="12">
        <f t="shared" si="0"/>
        <v>436</v>
      </c>
      <c r="E46" s="12">
        <f t="shared" si="1"/>
        <v>306</v>
      </c>
      <c r="F46" s="12">
        <f t="shared" si="1"/>
        <v>305</v>
      </c>
      <c r="G46" s="12">
        <f t="shared" ref="G46:P62" si="4">G6-F6</f>
        <v>263</v>
      </c>
      <c r="H46" s="12">
        <f t="shared" si="4"/>
        <v>450</v>
      </c>
      <c r="I46" s="12">
        <f t="shared" si="4"/>
        <v>0</v>
      </c>
      <c r="J46" s="12">
        <f t="shared" si="4"/>
        <v>0</v>
      </c>
      <c r="K46" s="12">
        <f t="shared" si="4"/>
        <v>204</v>
      </c>
      <c r="L46" s="12">
        <f t="shared" si="4"/>
        <v>297</v>
      </c>
      <c r="M46" s="12">
        <f t="shared" si="4"/>
        <v>517</v>
      </c>
      <c r="N46" s="12">
        <f t="shared" si="4"/>
        <v>561</v>
      </c>
      <c r="O46" s="12">
        <f t="shared" si="4"/>
        <v>560</v>
      </c>
      <c r="P46" s="12">
        <f t="shared" si="4"/>
        <v>302</v>
      </c>
      <c r="Q46" s="12">
        <f t="shared" ref="Q46:R79" si="5">Q6-P6</f>
        <v>88</v>
      </c>
      <c r="R46" s="12">
        <f t="shared" si="5"/>
        <v>203</v>
      </c>
      <c r="S46" s="12">
        <f t="shared" ref="S46:S79" si="6">S6-R6</f>
        <v>80</v>
      </c>
      <c r="T46" s="12">
        <f t="shared" ref="T46:AF46" si="7">T6-S6</f>
        <v>261</v>
      </c>
      <c r="U46" s="12">
        <f t="shared" si="7"/>
        <v>282</v>
      </c>
      <c r="V46" s="12">
        <f t="shared" si="7"/>
        <v>252</v>
      </c>
      <c r="W46" s="12">
        <f t="shared" si="7"/>
        <v>0</v>
      </c>
      <c r="X46" s="12">
        <f t="shared" si="7"/>
        <v>0</v>
      </c>
      <c r="Y46" s="12">
        <f t="shared" si="7"/>
        <v>256</v>
      </c>
      <c r="Z46" s="12">
        <f t="shared" si="7"/>
        <v>515</v>
      </c>
      <c r="AA46" s="12">
        <f t="shared" si="7"/>
        <v>203</v>
      </c>
      <c r="AB46" s="12">
        <f t="shared" si="7"/>
        <v>251</v>
      </c>
      <c r="AC46" s="12">
        <f t="shared" si="7"/>
        <v>191</v>
      </c>
      <c r="AD46" s="12">
        <f t="shared" si="7"/>
        <v>0</v>
      </c>
      <c r="AE46" s="12">
        <f t="shared" si="7"/>
        <v>0</v>
      </c>
      <c r="AF46" s="12">
        <f t="shared" si="7"/>
        <v>545</v>
      </c>
    </row>
    <row r="47" spans="1:32" x14ac:dyDescent="0.25">
      <c r="A47" s="11" t="s">
        <v>6</v>
      </c>
      <c r="B47" s="240">
        <v>573</v>
      </c>
      <c r="C47" s="12">
        <f t="shared" si="0"/>
        <v>519</v>
      </c>
      <c r="D47" s="12">
        <f t="shared" si="0"/>
        <v>396</v>
      </c>
      <c r="E47" s="12">
        <f t="shared" si="1"/>
        <v>474</v>
      </c>
      <c r="F47" s="12">
        <f t="shared" si="1"/>
        <v>265</v>
      </c>
      <c r="G47" s="12">
        <f t="shared" si="4"/>
        <v>605</v>
      </c>
      <c r="H47" s="12">
        <f t="shared" si="4"/>
        <v>178</v>
      </c>
      <c r="I47" s="12">
        <f t="shared" si="4"/>
        <v>0</v>
      </c>
      <c r="J47" s="12">
        <f t="shared" si="4"/>
        <v>0</v>
      </c>
      <c r="K47" s="12">
        <f t="shared" si="4"/>
        <v>519</v>
      </c>
      <c r="L47" s="12">
        <f t="shared" si="4"/>
        <v>202</v>
      </c>
      <c r="M47" s="12">
        <f t="shared" si="4"/>
        <v>191</v>
      </c>
      <c r="N47" s="12">
        <f t="shared" si="4"/>
        <v>296</v>
      </c>
      <c r="O47" s="12">
        <f t="shared" si="4"/>
        <v>475</v>
      </c>
      <c r="P47" s="12">
        <f t="shared" si="4"/>
        <v>27</v>
      </c>
      <c r="Q47" s="12">
        <f t="shared" si="5"/>
        <v>478</v>
      </c>
      <c r="R47" s="12">
        <f t="shared" si="5"/>
        <v>306</v>
      </c>
      <c r="S47" s="12">
        <f t="shared" si="6"/>
        <v>519</v>
      </c>
      <c r="T47" s="12">
        <f t="shared" ref="T47:AF47" si="8">T7-S7</f>
        <v>561</v>
      </c>
      <c r="U47" s="12">
        <f t="shared" si="8"/>
        <v>492</v>
      </c>
      <c r="V47" s="12">
        <f t="shared" si="8"/>
        <v>195</v>
      </c>
      <c r="W47" s="12">
        <f t="shared" si="8"/>
        <v>0</v>
      </c>
      <c r="X47" s="12">
        <f t="shared" si="8"/>
        <v>0</v>
      </c>
      <c r="Y47" s="12">
        <f t="shared" si="8"/>
        <v>252</v>
      </c>
      <c r="Z47" s="12">
        <f t="shared" si="8"/>
        <v>256</v>
      </c>
      <c r="AA47" s="12">
        <f t="shared" si="8"/>
        <v>431</v>
      </c>
      <c r="AB47" s="12">
        <f t="shared" si="8"/>
        <v>287</v>
      </c>
      <c r="AC47" s="12">
        <f t="shared" si="8"/>
        <v>587</v>
      </c>
      <c r="AD47" s="12">
        <f t="shared" si="8"/>
        <v>521</v>
      </c>
      <c r="AE47" s="12">
        <f t="shared" si="8"/>
        <v>432</v>
      </c>
      <c r="AF47" s="12">
        <f t="shared" si="8"/>
        <v>517</v>
      </c>
    </row>
    <row r="48" spans="1:32" x14ac:dyDescent="0.25">
      <c r="A48" s="13" t="s">
        <v>7</v>
      </c>
      <c r="B48" s="240">
        <v>174</v>
      </c>
      <c r="C48" s="12">
        <f t="shared" si="0"/>
        <v>0</v>
      </c>
      <c r="D48" s="12">
        <f t="shared" si="0"/>
        <v>252</v>
      </c>
      <c r="E48" s="12">
        <f t="shared" si="1"/>
        <v>252</v>
      </c>
      <c r="F48" s="12">
        <f t="shared" si="1"/>
        <v>398</v>
      </c>
      <c r="G48" s="12">
        <f t="shared" si="4"/>
        <v>258</v>
      </c>
      <c r="H48" s="12">
        <f t="shared" si="4"/>
        <v>254</v>
      </c>
      <c r="I48" s="12">
        <f t="shared" si="4"/>
        <v>259</v>
      </c>
      <c r="J48" s="12">
        <f t="shared" si="4"/>
        <v>2</v>
      </c>
      <c r="K48" s="12">
        <f t="shared" si="4"/>
        <v>305</v>
      </c>
      <c r="L48" s="12">
        <f t="shared" si="4"/>
        <v>350</v>
      </c>
      <c r="M48" s="12">
        <f t="shared" si="4"/>
        <v>494</v>
      </c>
      <c r="N48" s="12">
        <f t="shared" si="4"/>
        <v>252</v>
      </c>
      <c r="O48" s="12">
        <f t="shared" si="4"/>
        <v>203</v>
      </c>
      <c r="P48" s="12">
        <f t="shared" si="4"/>
        <v>0</v>
      </c>
      <c r="Q48" s="12">
        <f t="shared" si="5"/>
        <v>0</v>
      </c>
      <c r="R48" s="12">
        <f t="shared" si="5"/>
        <v>252</v>
      </c>
      <c r="S48" s="12">
        <f t="shared" si="6"/>
        <v>251</v>
      </c>
      <c r="T48" s="12">
        <f t="shared" ref="T48:AF48" si="9">T8-S8</f>
        <v>252</v>
      </c>
      <c r="U48" s="12">
        <f t="shared" si="9"/>
        <v>192</v>
      </c>
      <c r="V48" s="12">
        <f t="shared" si="9"/>
        <v>501</v>
      </c>
      <c r="W48" s="12">
        <f t="shared" si="9"/>
        <v>565</v>
      </c>
      <c r="X48" s="12">
        <f t="shared" si="9"/>
        <v>43</v>
      </c>
      <c r="Y48" s="12">
        <f t="shared" si="9"/>
        <v>561</v>
      </c>
      <c r="Z48" s="12">
        <f t="shared" si="9"/>
        <v>518</v>
      </c>
      <c r="AA48" s="12">
        <f t="shared" si="9"/>
        <v>485</v>
      </c>
      <c r="AB48" s="12">
        <f t="shared" si="9"/>
        <v>168</v>
      </c>
      <c r="AC48" s="12">
        <f t="shared" si="9"/>
        <v>390</v>
      </c>
      <c r="AD48" s="12">
        <f t="shared" si="9"/>
        <v>44</v>
      </c>
      <c r="AE48" s="12">
        <f t="shared" si="9"/>
        <v>520</v>
      </c>
      <c r="AF48" s="12">
        <f t="shared" si="9"/>
        <v>604</v>
      </c>
    </row>
    <row r="49" spans="1:32" x14ac:dyDescent="0.25">
      <c r="A49" s="13" t="s">
        <v>8</v>
      </c>
      <c r="B49" s="240">
        <v>279</v>
      </c>
      <c r="C49" s="12">
        <f t="shared" si="0"/>
        <v>1</v>
      </c>
      <c r="D49" s="12">
        <f t="shared" si="0"/>
        <v>520</v>
      </c>
      <c r="E49" s="12">
        <f t="shared" si="1"/>
        <v>450</v>
      </c>
      <c r="F49" s="12">
        <f t="shared" si="1"/>
        <v>194</v>
      </c>
      <c r="G49" s="12">
        <f t="shared" si="4"/>
        <v>252</v>
      </c>
      <c r="H49" s="12">
        <f t="shared" si="4"/>
        <v>250</v>
      </c>
      <c r="I49" s="12">
        <f t="shared" si="4"/>
        <v>0</v>
      </c>
      <c r="J49" s="12">
        <f t="shared" si="4"/>
        <v>0</v>
      </c>
      <c r="K49" s="12">
        <f t="shared" si="4"/>
        <v>252</v>
      </c>
      <c r="L49" s="12">
        <f t="shared" si="4"/>
        <v>195</v>
      </c>
      <c r="M49" s="12">
        <f t="shared" si="4"/>
        <v>512</v>
      </c>
      <c r="N49" s="12">
        <f t="shared" si="4"/>
        <v>605</v>
      </c>
      <c r="O49" s="12">
        <f t="shared" si="4"/>
        <v>519</v>
      </c>
      <c r="P49" s="12">
        <f t="shared" si="4"/>
        <v>562</v>
      </c>
      <c r="Q49" s="12">
        <f t="shared" si="5"/>
        <v>389</v>
      </c>
      <c r="R49" s="12">
        <f t="shared" si="5"/>
        <v>237</v>
      </c>
      <c r="S49" s="12">
        <f t="shared" si="6"/>
        <v>252</v>
      </c>
      <c r="T49" s="12">
        <f t="shared" ref="T49:AF49" si="10">T9-S9</f>
        <v>313</v>
      </c>
      <c r="U49" s="12">
        <f t="shared" si="10"/>
        <v>542</v>
      </c>
      <c r="V49" s="12">
        <f t="shared" si="10"/>
        <v>625</v>
      </c>
      <c r="W49" s="12">
        <f t="shared" si="10"/>
        <v>43</v>
      </c>
      <c r="X49" s="12">
        <f t="shared" si="10"/>
        <v>519</v>
      </c>
      <c r="Y49" s="12">
        <f t="shared" si="10"/>
        <v>322</v>
      </c>
      <c r="Z49" s="12">
        <f t="shared" si="10"/>
        <v>448</v>
      </c>
      <c r="AA49" s="12">
        <f t="shared" si="10"/>
        <v>458</v>
      </c>
      <c r="AB49" s="12">
        <f t="shared" si="10"/>
        <v>244</v>
      </c>
      <c r="AC49" s="12">
        <f t="shared" si="10"/>
        <v>252</v>
      </c>
      <c r="AD49" s="12">
        <f t="shared" si="10"/>
        <v>0</v>
      </c>
      <c r="AE49" s="12">
        <f t="shared" si="10"/>
        <v>0</v>
      </c>
      <c r="AF49" s="12">
        <f t="shared" si="10"/>
        <v>252</v>
      </c>
    </row>
    <row r="50" spans="1:32" x14ac:dyDescent="0.25">
      <c r="A50" s="13" t="s">
        <v>9</v>
      </c>
      <c r="B50" s="240">
        <v>259</v>
      </c>
      <c r="C50" s="12">
        <f t="shared" si="0"/>
        <v>503</v>
      </c>
      <c r="D50" s="12">
        <f t="shared" si="0"/>
        <v>260</v>
      </c>
      <c r="E50" s="12">
        <f t="shared" si="1"/>
        <v>518</v>
      </c>
      <c r="F50" s="12">
        <f t="shared" si="1"/>
        <v>559</v>
      </c>
      <c r="G50" s="12">
        <f t="shared" si="4"/>
        <v>560</v>
      </c>
      <c r="H50" s="12">
        <f t="shared" si="4"/>
        <v>373</v>
      </c>
      <c r="I50" s="12">
        <f t="shared" si="4"/>
        <v>560</v>
      </c>
      <c r="J50" s="12">
        <f t="shared" si="4"/>
        <v>0</v>
      </c>
      <c r="K50" s="12">
        <f t="shared" si="4"/>
        <v>521</v>
      </c>
      <c r="L50" s="12">
        <f t="shared" si="4"/>
        <v>545</v>
      </c>
      <c r="M50" s="12">
        <f t="shared" si="4"/>
        <v>492</v>
      </c>
      <c r="N50" s="12">
        <f t="shared" si="4"/>
        <v>202</v>
      </c>
      <c r="O50" s="12">
        <f t="shared" si="4"/>
        <v>519</v>
      </c>
      <c r="P50" s="12">
        <f t="shared" si="4"/>
        <v>519</v>
      </c>
      <c r="Q50" s="12">
        <f t="shared" si="5"/>
        <v>90</v>
      </c>
      <c r="R50" s="12">
        <f t="shared" si="5"/>
        <v>517</v>
      </c>
      <c r="S50" s="12">
        <f t="shared" si="6"/>
        <v>257</v>
      </c>
      <c r="T50" s="12">
        <f t="shared" ref="T50:AF50" si="11">T10-S10</f>
        <v>186</v>
      </c>
      <c r="U50" s="12">
        <f t="shared" si="11"/>
        <v>410</v>
      </c>
      <c r="V50" s="12">
        <f t="shared" si="11"/>
        <v>474</v>
      </c>
      <c r="W50" s="12">
        <f t="shared" si="11"/>
        <v>517</v>
      </c>
      <c r="X50" s="12">
        <f t="shared" si="11"/>
        <v>43</v>
      </c>
      <c r="Y50" s="12">
        <f t="shared" si="11"/>
        <v>516</v>
      </c>
      <c r="Z50" s="12">
        <f t="shared" si="11"/>
        <v>445</v>
      </c>
      <c r="AA50" s="12">
        <f t="shared" si="11"/>
        <v>191</v>
      </c>
      <c r="AB50" s="12">
        <f t="shared" si="11"/>
        <v>251</v>
      </c>
      <c r="AC50" s="12">
        <f t="shared" si="11"/>
        <v>251</v>
      </c>
      <c r="AD50" s="12">
        <f t="shared" si="11"/>
        <v>0</v>
      </c>
      <c r="AE50" s="12">
        <f t="shared" si="11"/>
        <v>0</v>
      </c>
      <c r="AF50" s="12">
        <f t="shared" si="11"/>
        <v>251</v>
      </c>
    </row>
    <row r="51" spans="1:32" x14ac:dyDescent="0.25">
      <c r="A51" s="13" t="s">
        <v>10</v>
      </c>
      <c r="B51" s="240">
        <v>282</v>
      </c>
      <c r="C51" s="12">
        <f t="shared" si="0"/>
        <v>478</v>
      </c>
      <c r="D51" s="12">
        <f t="shared" si="0"/>
        <v>607</v>
      </c>
      <c r="E51" s="12">
        <f t="shared" si="1"/>
        <v>564</v>
      </c>
      <c r="F51" s="12">
        <f t="shared" si="1"/>
        <v>452</v>
      </c>
      <c r="G51" s="12">
        <f t="shared" si="4"/>
        <v>170</v>
      </c>
      <c r="H51" s="12">
        <f t="shared" si="4"/>
        <v>521</v>
      </c>
      <c r="I51" s="12">
        <f t="shared" si="4"/>
        <v>521</v>
      </c>
      <c r="J51" s="12">
        <f t="shared" si="4"/>
        <v>521</v>
      </c>
      <c r="K51" s="12">
        <f t="shared" si="4"/>
        <v>262</v>
      </c>
      <c r="L51" s="12">
        <f t="shared" si="4"/>
        <v>524</v>
      </c>
      <c r="M51" s="12">
        <f t="shared" si="4"/>
        <v>256</v>
      </c>
      <c r="N51" s="12">
        <f t="shared" si="4"/>
        <v>436</v>
      </c>
      <c r="O51" s="12">
        <f t="shared" si="4"/>
        <v>524</v>
      </c>
      <c r="P51" s="12">
        <f t="shared" si="4"/>
        <v>563</v>
      </c>
      <c r="Q51" s="12">
        <f t="shared" si="5"/>
        <v>44</v>
      </c>
      <c r="R51" s="12">
        <f t="shared" si="5"/>
        <v>284</v>
      </c>
      <c r="S51" s="12">
        <f t="shared" si="6"/>
        <v>333</v>
      </c>
      <c r="T51" s="12">
        <f t="shared" ref="T51:AF51" si="12">T11-S11</f>
        <v>194</v>
      </c>
      <c r="U51" s="12">
        <f t="shared" si="12"/>
        <v>250</v>
      </c>
      <c r="V51" s="12">
        <f t="shared" si="12"/>
        <v>252</v>
      </c>
      <c r="W51" s="12">
        <f t="shared" si="12"/>
        <v>0</v>
      </c>
      <c r="X51" s="12">
        <f t="shared" si="12"/>
        <v>0</v>
      </c>
      <c r="Y51" s="12">
        <f t="shared" si="12"/>
        <v>531</v>
      </c>
      <c r="Z51" s="12">
        <f t="shared" si="12"/>
        <v>349</v>
      </c>
      <c r="AA51" s="12">
        <f t="shared" si="12"/>
        <v>312</v>
      </c>
      <c r="AB51" s="12">
        <f t="shared" si="12"/>
        <v>523</v>
      </c>
      <c r="AC51" s="12">
        <f t="shared" si="12"/>
        <v>610</v>
      </c>
      <c r="AD51" s="12">
        <f t="shared" si="12"/>
        <v>567</v>
      </c>
      <c r="AE51" s="12">
        <f t="shared" si="12"/>
        <v>434</v>
      </c>
      <c r="AF51" s="12">
        <f t="shared" si="12"/>
        <v>564</v>
      </c>
    </row>
    <row r="52" spans="1:32" x14ac:dyDescent="0.25">
      <c r="A52" s="11" t="s">
        <v>11</v>
      </c>
      <c r="B52" s="240">
        <v>0</v>
      </c>
      <c r="C52" s="12">
        <f t="shared" si="0"/>
        <v>2</v>
      </c>
      <c r="D52" s="12">
        <f t="shared" si="0"/>
        <v>520</v>
      </c>
      <c r="E52" s="12">
        <f t="shared" si="1"/>
        <v>383</v>
      </c>
      <c r="F52" s="12">
        <f t="shared" si="1"/>
        <v>604</v>
      </c>
      <c r="G52" s="12">
        <f t="shared" si="4"/>
        <v>605</v>
      </c>
      <c r="H52" s="12">
        <f t="shared" si="4"/>
        <v>535</v>
      </c>
      <c r="I52" s="12">
        <f t="shared" si="4"/>
        <v>0</v>
      </c>
      <c r="J52" s="12">
        <f t="shared" si="4"/>
        <v>0</v>
      </c>
      <c r="K52" s="12">
        <f t="shared" si="4"/>
        <v>400</v>
      </c>
      <c r="L52" s="12">
        <f t="shared" si="4"/>
        <v>204</v>
      </c>
      <c r="M52" s="12">
        <f t="shared" si="4"/>
        <v>484</v>
      </c>
      <c r="N52" s="12">
        <f t="shared" si="4"/>
        <v>351</v>
      </c>
      <c r="O52" s="12">
        <f t="shared" si="4"/>
        <v>453</v>
      </c>
      <c r="P52" s="12">
        <f t="shared" si="4"/>
        <v>0</v>
      </c>
      <c r="Q52" s="12">
        <f t="shared" si="5"/>
        <v>0</v>
      </c>
      <c r="R52" s="12">
        <f t="shared" si="5"/>
        <v>202</v>
      </c>
      <c r="S52" s="12">
        <f t="shared" si="6"/>
        <v>562</v>
      </c>
      <c r="T52" s="12">
        <f t="shared" ref="T52:AF52" si="13">T12-S12</f>
        <v>479</v>
      </c>
      <c r="U52" s="12">
        <f t="shared" si="13"/>
        <v>285</v>
      </c>
      <c r="V52" s="12">
        <f t="shared" si="13"/>
        <v>252</v>
      </c>
      <c r="W52" s="12">
        <f t="shared" si="13"/>
        <v>2</v>
      </c>
      <c r="X52" s="12">
        <f t="shared" si="13"/>
        <v>0</v>
      </c>
      <c r="Y52" s="12">
        <f t="shared" si="13"/>
        <v>520</v>
      </c>
      <c r="Z52" s="12">
        <f t="shared" si="13"/>
        <v>555</v>
      </c>
      <c r="AA52" s="12">
        <f t="shared" si="13"/>
        <v>277</v>
      </c>
      <c r="AB52" s="12">
        <f t="shared" si="13"/>
        <v>298</v>
      </c>
      <c r="AC52" s="12">
        <f t="shared" si="13"/>
        <v>604</v>
      </c>
      <c r="AD52" s="12">
        <f t="shared" si="13"/>
        <v>45</v>
      </c>
      <c r="AE52" s="12">
        <f t="shared" si="13"/>
        <v>476</v>
      </c>
      <c r="AF52" s="12">
        <f t="shared" si="13"/>
        <v>604</v>
      </c>
    </row>
    <row r="53" spans="1:32" x14ac:dyDescent="0.25">
      <c r="A53" s="11" t="s">
        <v>12</v>
      </c>
      <c r="B53" s="240">
        <v>220</v>
      </c>
      <c r="C53" s="12">
        <f t="shared" si="0"/>
        <v>43</v>
      </c>
      <c r="D53" s="12">
        <f t="shared" si="0"/>
        <v>213</v>
      </c>
      <c r="E53" s="12">
        <f t="shared" si="1"/>
        <v>269</v>
      </c>
      <c r="F53" s="12">
        <f t="shared" si="1"/>
        <v>532</v>
      </c>
      <c r="G53" s="12">
        <f t="shared" si="4"/>
        <v>527</v>
      </c>
      <c r="H53" s="12">
        <f t="shared" si="4"/>
        <v>268</v>
      </c>
      <c r="I53" s="12">
        <f t="shared" si="4"/>
        <v>568</v>
      </c>
      <c r="J53" s="12">
        <f t="shared" si="4"/>
        <v>220</v>
      </c>
      <c r="K53" s="12">
        <f t="shared" si="4"/>
        <v>203</v>
      </c>
      <c r="L53" s="12">
        <f t="shared" si="4"/>
        <v>255</v>
      </c>
      <c r="M53" s="12">
        <f t="shared" si="4"/>
        <v>510</v>
      </c>
      <c r="N53" s="12">
        <f t="shared" si="4"/>
        <v>266</v>
      </c>
      <c r="O53" s="12">
        <f t="shared" si="4"/>
        <v>614</v>
      </c>
      <c r="P53" s="12">
        <f t="shared" si="4"/>
        <v>527</v>
      </c>
      <c r="Q53" s="12">
        <f t="shared" si="5"/>
        <v>439</v>
      </c>
      <c r="R53" s="12">
        <f t="shared" si="5"/>
        <v>352</v>
      </c>
      <c r="S53" s="12">
        <f t="shared" si="6"/>
        <v>571</v>
      </c>
      <c r="T53" s="12">
        <f t="shared" ref="T53:AF53" si="14">T13-S13</f>
        <v>397</v>
      </c>
      <c r="U53" s="12">
        <f t="shared" si="14"/>
        <v>441</v>
      </c>
      <c r="V53" s="12">
        <f t="shared" si="14"/>
        <v>568</v>
      </c>
      <c r="W53" s="12">
        <f t="shared" si="14"/>
        <v>45</v>
      </c>
      <c r="X53" s="12">
        <f t="shared" si="14"/>
        <v>482</v>
      </c>
      <c r="Y53" s="12">
        <f t="shared" si="14"/>
        <v>501</v>
      </c>
      <c r="Z53" s="12">
        <f t="shared" si="14"/>
        <v>256</v>
      </c>
      <c r="AA53" s="12">
        <f t="shared" si="14"/>
        <v>194</v>
      </c>
      <c r="AB53" s="12">
        <f t="shared" si="14"/>
        <v>256</v>
      </c>
      <c r="AC53" s="12">
        <f t="shared" si="14"/>
        <v>194</v>
      </c>
      <c r="AD53" s="12">
        <f t="shared" si="14"/>
        <v>0</v>
      </c>
      <c r="AE53" s="12">
        <f t="shared" si="14"/>
        <v>0</v>
      </c>
      <c r="AF53" s="12">
        <f t="shared" si="14"/>
        <v>197</v>
      </c>
    </row>
    <row r="54" spans="1:32" x14ac:dyDescent="0.25">
      <c r="A54" s="11" t="s">
        <v>13</v>
      </c>
      <c r="B54" s="240">
        <v>158</v>
      </c>
      <c r="C54" s="12">
        <f t="shared" si="0"/>
        <v>476</v>
      </c>
      <c r="D54" s="12">
        <f t="shared" si="0"/>
        <v>407</v>
      </c>
      <c r="E54" s="12">
        <f t="shared" si="1"/>
        <v>212</v>
      </c>
      <c r="F54" s="12">
        <f t="shared" si="1"/>
        <v>307</v>
      </c>
      <c r="G54" s="12">
        <f t="shared" si="4"/>
        <v>519</v>
      </c>
      <c r="H54" s="12">
        <f t="shared" si="4"/>
        <v>305</v>
      </c>
      <c r="I54" s="12">
        <f t="shared" si="4"/>
        <v>518</v>
      </c>
      <c r="J54" s="12">
        <f t="shared" si="4"/>
        <v>431</v>
      </c>
      <c r="K54" s="12">
        <f t="shared" si="4"/>
        <v>479</v>
      </c>
      <c r="L54" s="12">
        <f t="shared" si="4"/>
        <v>302</v>
      </c>
      <c r="M54" s="12">
        <f t="shared" si="4"/>
        <v>432</v>
      </c>
      <c r="N54" s="12">
        <f t="shared" si="4"/>
        <v>280</v>
      </c>
      <c r="O54" s="12">
        <f t="shared" si="4"/>
        <v>194</v>
      </c>
      <c r="P54" s="12">
        <f t="shared" si="4"/>
        <v>0</v>
      </c>
      <c r="Q54" s="12">
        <f t="shared" si="5"/>
        <v>0</v>
      </c>
      <c r="R54" s="12">
        <f t="shared" si="5"/>
        <v>568</v>
      </c>
      <c r="S54" s="12">
        <f t="shared" si="6"/>
        <v>281</v>
      </c>
      <c r="T54" s="12">
        <f t="shared" ref="T54:AF54" si="15">T14-S14</f>
        <v>194</v>
      </c>
      <c r="U54" s="12">
        <f t="shared" si="15"/>
        <v>341</v>
      </c>
      <c r="V54" s="12">
        <f t="shared" si="15"/>
        <v>563</v>
      </c>
      <c r="W54" s="12">
        <f t="shared" si="15"/>
        <v>517</v>
      </c>
      <c r="X54" s="12">
        <f t="shared" si="15"/>
        <v>475</v>
      </c>
      <c r="Y54" s="12">
        <f t="shared" si="15"/>
        <v>604</v>
      </c>
      <c r="Z54" s="12">
        <f t="shared" si="15"/>
        <v>201</v>
      </c>
      <c r="AA54" s="12">
        <f t="shared" si="15"/>
        <v>392</v>
      </c>
      <c r="AB54" s="12">
        <f t="shared" si="15"/>
        <v>80</v>
      </c>
      <c r="AC54" s="12">
        <f t="shared" si="15"/>
        <v>343</v>
      </c>
      <c r="AD54" s="12">
        <f t="shared" si="15"/>
        <v>520</v>
      </c>
      <c r="AE54" s="12">
        <f t="shared" si="15"/>
        <v>88</v>
      </c>
      <c r="AF54" s="12">
        <f t="shared" si="15"/>
        <v>451</v>
      </c>
    </row>
    <row r="55" spans="1:32" x14ac:dyDescent="0.25">
      <c r="A55" s="13" t="s">
        <v>14</v>
      </c>
      <c r="B55" s="240">
        <v>0</v>
      </c>
      <c r="C55" s="12">
        <f t="shared" si="0"/>
        <v>0</v>
      </c>
      <c r="D55" s="12">
        <f t="shared" si="0"/>
        <v>256</v>
      </c>
      <c r="E55" s="12">
        <f t="shared" si="1"/>
        <v>608</v>
      </c>
      <c r="F55" s="12">
        <f t="shared" si="1"/>
        <v>211</v>
      </c>
      <c r="G55" s="12">
        <f t="shared" si="4"/>
        <v>566</v>
      </c>
      <c r="H55" s="12">
        <f t="shared" si="4"/>
        <v>391</v>
      </c>
      <c r="I55" s="12">
        <f t="shared" si="4"/>
        <v>264</v>
      </c>
      <c r="J55" s="12">
        <f t="shared" si="4"/>
        <v>480</v>
      </c>
      <c r="K55" s="12">
        <f t="shared" si="4"/>
        <v>411</v>
      </c>
      <c r="L55" s="12">
        <f t="shared" si="4"/>
        <v>255</v>
      </c>
      <c r="M55" s="12">
        <f t="shared" si="4"/>
        <v>242</v>
      </c>
      <c r="N55" s="12">
        <f t="shared" si="4"/>
        <v>341</v>
      </c>
      <c r="O55" s="12">
        <f t="shared" si="4"/>
        <v>250</v>
      </c>
      <c r="P55" s="12">
        <f t="shared" si="4"/>
        <v>0</v>
      </c>
      <c r="Q55" s="12">
        <f t="shared" si="5"/>
        <v>0</v>
      </c>
      <c r="R55" s="12">
        <f t="shared" si="5"/>
        <v>332</v>
      </c>
      <c r="S55" s="12">
        <f t="shared" si="6"/>
        <v>353</v>
      </c>
      <c r="T55" s="12">
        <f t="shared" ref="T55:AF55" si="16">T15-S15</f>
        <v>482</v>
      </c>
      <c r="U55" s="12">
        <f t="shared" si="16"/>
        <v>607</v>
      </c>
      <c r="V55" s="12">
        <f t="shared" si="16"/>
        <v>563</v>
      </c>
      <c r="W55" s="12">
        <f t="shared" si="16"/>
        <v>523</v>
      </c>
      <c r="X55" s="12">
        <f t="shared" si="16"/>
        <v>478</v>
      </c>
      <c r="Y55" s="12">
        <f t="shared" si="16"/>
        <v>247</v>
      </c>
      <c r="Z55" s="12">
        <f t="shared" si="16"/>
        <v>483</v>
      </c>
      <c r="AA55" s="12">
        <f t="shared" si="16"/>
        <v>406</v>
      </c>
      <c r="AB55" s="12">
        <f t="shared" si="16"/>
        <v>308</v>
      </c>
      <c r="AC55" s="12">
        <f t="shared" si="16"/>
        <v>564</v>
      </c>
      <c r="AD55" s="12">
        <f t="shared" si="16"/>
        <v>88</v>
      </c>
      <c r="AE55" s="12">
        <f t="shared" si="16"/>
        <v>1</v>
      </c>
      <c r="AF55" s="12">
        <f t="shared" si="16"/>
        <v>197</v>
      </c>
    </row>
    <row r="56" spans="1:32" x14ac:dyDescent="0.25">
      <c r="A56" s="13" t="s">
        <v>15</v>
      </c>
      <c r="B56" s="240">
        <v>621</v>
      </c>
      <c r="C56" s="12">
        <f t="shared" si="0"/>
        <v>44</v>
      </c>
      <c r="D56" s="12">
        <f t="shared" si="0"/>
        <v>520</v>
      </c>
      <c r="E56" s="12">
        <f t="shared" si="1"/>
        <v>346</v>
      </c>
      <c r="F56" s="12">
        <f t="shared" si="1"/>
        <v>176</v>
      </c>
      <c r="G56" s="12">
        <f t="shared" si="4"/>
        <v>562</v>
      </c>
      <c r="H56" s="12">
        <f t="shared" si="4"/>
        <v>390</v>
      </c>
      <c r="I56" s="12">
        <f t="shared" si="4"/>
        <v>520</v>
      </c>
      <c r="J56" s="12">
        <f t="shared" si="4"/>
        <v>475</v>
      </c>
      <c r="K56" s="12">
        <f t="shared" si="4"/>
        <v>191</v>
      </c>
      <c r="L56" s="12">
        <f t="shared" si="4"/>
        <v>518</v>
      </c>
      <c r="M56" s="12">
        <f t="shared" si="4"/>
        <v>519</v>
      </c>
      <c r="N56" s="12">
        <f t="shared" si="4"/>
        <v>390</v>
      </c>
      <c r="O56" s="12">
        <f t="shared" si="4"/>
        <v>561</v>
      </c>
      <c r="P56" s="12">
        <f t="shared" si="4"/>
        <v>519</v>
      </c>
      <c r="Q56" s="12">
        <f t="shared" si="5"/>
        <v>475</v>
      </c>
      <c r="R56" s="12">
        <f t="shared" si="5"/>
        <v>604</v>
      </c>
      <c r="S56" s="12">
        <f t="shared" si="6"/>
        <v>493</v>
      </c>
      <c r="T56" s="12">
        <f t="shared" ref="T56:AF56" si="17">T16-S16</f>
        <v>264</v>
      </c>
      <c r="U56" s="12">
        <f t="shared" si="17"/>
        <v>326</v>
      </c>
      <c r="V56" s="12">
        <f t="shared" si="17"/>
        <v>604</v>
      </c>
      <c r="W56" s="12">
        <f t="shared" si="17"/>
        <v>561</v>
      </c>
      <c r="X56" s="12">
        <f t="shared" si="17"/>
        <v>224</v>
      </c>
      <c r="Y56" s="12">
        <f t="shared" si="17"/>
        <v>432</v>
      </c>
      <c r="Z56" s="12">
        <f t="shared" si="17"/>
        <v>202</v>
      </c>
      <c r="AA56" s="12">
        <f t="shared" si="17"/>
        <v>534</v>
      </c>
      <c r="AB56" s="12">
        <f t="shared" si="17"/>
        <v>452</v>
      </c>
      <c r="AC56" s="12">
        <f t="shared" si="17"/>
        <v>166</v>
      </c>
      <c r="AD56" s="12">
        <f t="shared" si="17"/>
        <v>523</v>
      </c>
      <c r="AE56" s="12">
        <f t="shared" si="17"/>
        <v>478</v>
      </c>
      <c r="AF56" s="12">
        <f t="shared" si="17"/>
        <v>493</v>
      </c>
    </row>
    <row r="57" spans="1:32" x14ac:dyDescent="0.25">
      <c r="A57" s="13" t="s">
        <v>16</v>
      </c>
      <c r="B57" s="240">
        <v>520</v>
      </c>
      <c r="C57" s="12">
        <f t="shared" si="0"/>
        <v>476</v>
      </c>
      <c r="D57" s="12">
        <f t="shared" si="0"/>
        <v>605</v>
      </c>
      <c r="E57" s="12">
        <f t="shared" si="1"/>
        <v>305</v>
      </c>
      <c r="F57" s="12">
        <f t="shared" si="1"/>
        <v>258</v>
      </c>
      <c r="G57" s="12">
        <f t="shared" si="4"/>
        <v>263</v>
      </c>
      <c r="H57" s="12">
        <f t="shared" si="4"/>
        <v>264</v>
      </c>
      <c r="I57" s="12">
        <f t="shared" si="4"/>
        <v>562</v>
      </c>
      <c r="J57" s="12">
        <f t="shared" si="4"/>
        <v>44</v>
      </c>
      <c r="K57" s="12">
        <f t="shared" si="4"/>
        <v>511</v>
      </c>
      <c r="L57" s="12">
        <f t="shared" si="4"/>
        <v>231</v>
      </c>
      <c r="M57" s="12">
        <f t="shared" si="4"/>
        <v>193</v>
      </c>
      <c r="N57" s="12">
        <f t="shared" si="4"/>
        <v>253</v>
      </c>
      <c r="O57" s="12">
        <f t="shared" si="4"/>
        <v>521</v>
      </c>
      <c r="P57" s="12">
        <f t="shared" si="4"/>
        <v>262</v>
      </c>
      <c r="Q57" s="12">
        <f t="shared" si="5"/>
        <v>2</v>
      </c>
      <c r="R57" s="12">
        <f t="shared" si="5"/>
        <v>520</v>
      </c>
      <c r="S57" s="12">
        <f t="shared" si="6"/>
        <v>436</v>
      </c>
      <c r="T57" s="12">
        <f t="shared" ref="T57:AF57" si="18">T17-S17</f>
        <v>259</v>
      </c>
      <c r="U57" s="12">
        <f t="shared" si="18"/>
        <v>248</v>
      </c>
      <c r="V57" s="12">
        <f t="shared" si="18"/>
        <v>201</v>
      </c>
      <c r="W57" s="12">
        <f t="shared" si="18"/>
        <v>519</v>
      </c>
      <c r="X57" s="12">
        <f t="shared" si="18"/>
        <v>519</v>
      </c>
      <c r="Y57" s="12">
        <f t="shared" si="18"/>
        <v>520</v>
      </c>
      <c r="Z57" s="12">
        <f t="shared" si="18"/>
        <v>282</v>
      </c>
      <c r="AA57" s="12">
        <f t="shared" si="18"/>
        <v>187</v>
      </c>
      <c r="AB57" s="12">
        <f t="shared" si="18"/>
        <v>254</v>
      </c>
      <c r="AC57" s="12">
        <f t="shared" si="18"/>
        <v>252</v>
      </c>
      <c r="AD57" s="12">
        <f t="shared" si="18"/>
        <v>0</v>
      </c>
      <c r="AE57" s="12">
        <f t="shared" si="18"/>
        <v>0</v>
      </c>
      <c r="AF57" s="12">
        <f t="shared" si="18"/>
        <v>260</v>
      </c>
    </row>
    <row r="58" spans="1:32" x14ac:dyDescent="0.25">
      <c r="A58" s="13" t="s">
        <v>17</v>
      </c>
      <c r="B58" s="240">
        <v>587</v>
      </c>
      <c r="C58" s="12">
        <f t="shared" si="0"/>
        <v>262</v>
      </c>
      <c r="D58" s="12">
        <f t="shared" si="0"/>
        <v>263</v>
      </c>
      <c r="E58" s="12">
        <f t="shared" si="1"/>
        <v>263</v>
      </c>
      <c r="F58" s="12">
        <f t="shared" si="1"/>
        <v>519</v>
      </c>
      <c r="G58" s="12">
        <f t="shared" si="4"/>
        <v>410</v>
      </c>
      <c r="H58" s="12">
        <f t="shared" si="4"/>
        <v>450</v>
      </c>
      <c r="I58" s="12">
        <f t="shared" si="4"/>
        <v>0</v>
      </c>
      <c r="J58" s="12">
        <f t="shared" si="4"/>
        <v>0</v>
      </c>
      <c r="K58" s="12">
        <f t="shared" si="4"/>
        <v>79</v>
      </c>
      <c r="L58" s="12">
        <f t="shared" si="4"/>
        <v>464</v>
      </c>
      <c r="M58" s="12">
        <f t="shared" si="4"/>
        <v>177</v>
      </c>
      <c r="N58" s="12">
        <f t="shared" si="4"/>
        <v>518</v>
      </c>
      <c r="O58" s="12">
        <f t="shared" si="4"/>
        <v>388</v>
      </c>
      <c r="P58" s="12">
        <f t="shared" si="4"/>
        <v>475</v>
      </c>
      <c r="Q58" s="12">
        <f t="shared" si="5"/>
        <v>259</v>
      </c>
      <c r="R58" s="12">
        <f t="shared" si="5"/>
        <v>449</v>
      </c>
      <c r="S58" s="12">
        <f t="shared" si="6"/>
        <v>340</v>
      </c>
      <c r="T58" s="12">
        <f t="shared" ref="T58:AF58" si="19">T18-S18</f>
        <v>561</v>
      </c>
      <c r="U58" s="12">
        <f t="shared" si="19"/>
        <v>560</v>
      </c>
      <c r="V58" s="12">
        <f t="shared" si="19"/>
        <v>175</v>
      </c>
      <c r="W58" s="12">
        <f t="shared" si="19"/>
        <v>0</v>
      </c>
      <c r="X58" s="12">
        <f t="shared" si="19"/>
        <v>0</v>
      </c>
      <c r="Y58" s="12">
        <f t="shared" si="19"/>
        <v>519</v>
      </c>
      <c r="Z58" s="12">
        <f t="shared" si="19"/>
        <v>347</v>
      </c>
      <c r="AA58" s="12">
        <f t="shared" si="19"/>
        <v>376</v>
      </c>
      <c r="AB58" s="12">
        <f t="shared" si="19"/>
        <v>561</v>
      </c>
      <c r="AC58" s="12">
        <f t="shared" si="19"/>
        <v>433</v>
      </c>
      <c r="AD58" s="12">
        <f t="shared" si="19"/>
        <v>0</v>
      </c>
      <c r="AE58" s="12">
        <f t="shared" si="19"/>
        <v>0</v>
      </c>
      <c r="AF58" s="12">
        <f t="shared" si="19"/>
        <v>449</v>
      </c>
    </row>
    <row r="59" spans="1:32" x14ac:dyDescent="0.25">
      <c r="A59" s="13" t="s">
        <v>18</v>
      </c>
      <c r="B59" s="240">
        <v>502</v>
      </c>
      <c r="C59" s="12">
        <f t="shared" si="0"/>
        <v>2</v>
      </c>
      <c r="D59" s="12">
        <f t="shared" si="0"/>
        <v>561</v>
      </c>
      <c r="E59" s="12">
        <f t="shared" si="1"/>
        <v>603</v>
      </c>
      <c r="F59" s="12">
        <f t="shared" si="1"/>
        <v>407</v>
      </c>
      <c r="G59" s="12">
        <f t="shared" si="4"/>
        <v>356</v>
      </c>
      <c r="H59" s="12">
        <f t="shared" si="4"/>
        <v>518</v>
      </c>
      <c r="I59" s="12">
        <f t="shared" si="4"/>
        <v>45</v>
      </c>
      <c r="J59" s="12">
        <f t="shared" si="4"/>
        <v>519</v>
      </c>
      <c r="K59" s="12">
        <f t="shared" si="4"/>
        <v>614</v>
      </c>
      <c r="L59" s="12">
        <f t="shared" si="4"/>
        <v>297</v>
      </c>
      <c r="M59" s="12">
        <f t="shared" si="4"/>
        <v>394</v>
      </c>
      <c r="N59" s="12">
        <f t="shared" si="4"/>
        <v>562</v>
      </c>
      <c r="O59" s="12">
        <f t="shared" si="4"/>
        <v>347</v>
      </c>
      <c r="P59" s="12">
        <f t="shared" si="4"/>
        <v>43</v>
      </c>
      <c r="Q59" s="12">
        <f t="shared" si="5"/>
        <v>433</v>
      </c>
      <c r="R59" s="12">
        <f t="shared" si="5"/>
        <v>577</v>
      </c>
      <c r="S59" s="12">
        <f t="shared" si="6"/>
        <v>200</v>
      </c>
      <c r="T59" s="12">
        <f t="shared" ref="T59:AF59" si="20">T19-S19</f>
        <v>251</v>
      </c>
      <c r="U59" s="12">
        <f t="shared" si="20"/>
        <v>587</v>
      </c>
      <c r="V59" s="12">
        <f t="shared" si="20"/>
        <v>348</v>
      </c>
      <c r="W59" s="12">
        <f t="shared" si="20"/>
        <v>520</v>
      </c>
      <c r="X59" s="12">
        <f t="shared" si="20"/>
        <v>475</v>
      </c>
      <c r="Y59" s="12">
        <f t="shared" si="20"/>
        <v>239</v>
      </c>
      <c r="Z59" s="12">
        <f t="shared" si="20"/>
        <v>387</v>
      </c>
      <c r="AA59" s="12">
        <f t="shared" si="20"/>
        <v>483</v>
      </c>
      <c r="AB59" s="12">
        <f t="shared" si="20"/>
        <v>268</v>
      </c>
      <c r="AC59" s="12">
        <f t="shared" si="20"/>
        <v>454</v>
      </c>
      <c r="AD59" s="12">
        <f t="shared" si="20"/>
        <v>0</v>
      </c>
      <c r="AE59" s="12">
        <f t="shared" si="20"/>
        <v>0</v>
      </c>
      <c r="AF59" s="12">
        <f t="shared" si="20"/>
        <v>80</v>
      </c>
    </row>
    <row r="60" spans="1:32" x14ac:dyDescent="0.25">
      <c r="A60" s="13" t="s">
        <v>19</v>
      </c>
      <c r="B60" s="240">
        <v>434</v>
      </c>
      <c r="C60" s="12">
        <f t="shared" si="0"/>
        <v>501</v>
      </c>
      <c r="D60" s="12">
        <f t="shared" si="0"/>
        <v>454</v>
      </c>
      <c r="E60" s="12">
        <f t="shared" si="1"/>
        <v>181</v>
      </c>
      <c r="F60" s="12">
        <f t="shared" si="1"/>
        <v>440</v>
      </c>
      <c r="G60" s="12">
        <f t="shared" si="4"/>
        <v>350</v>
      </c>
      <c r="H60" s="12">
        <f t="shared" si="4"/>
        <v>455</v>
      </c>
      <c r="I60" s="12">
        <f t="shared" si="4"/>
        <v>0</v>
      </c>
      <c r="J60" s="12">
        <f t="shared" si="4"/>
        <v>0</v>
      </c>
      <c r="K60" s="12">
        <f t="shared" si="4"/>
        <v>403</v>
      </c>
      <c r="L60" s="12">
        <f t="shared" si="4"/>
        <v>521</v>
      </c>
      <c r="M60" s="12">
        <f t="shared" si="4"/>
        <v>374</v>
      </c>
      <c r="N60" s="12">
        <f t="shared" si="4"/>
        <v>247</v>
      </c>
      <c r="O60" s="12">
        <f t="shared" si="4"/>
        <v>195</v>
      </c>
      <c r="P60" s="12">
        <f t="shared" si="4"/>
        <v>0</v>
      </c>
      <c r="Q60" s="12">
        <f t="shared" si="5"/>
        <v>0</v>
      </c>
      <c r="R60" s="12">
        <f t="shared" si="5"/>
        <v>325</v>
      </c>
      <c r="S60" s="12">
        <f t="shared" si="6"/>
        <v>607</v>
      </c>
      <c r="T60" s="12">
        <f t="shared" ref="T60:AF60" si="21">T20-S20</f>
        <v>480</v>
      </c>
      <c r="U60" s="12">
        <f t="shared" si="21"/>
        <v>393</v>
      </c>
      <c r="V60" s="12">
        <f t="shared" si="21"/>
        <v>564</v>
      </c>
      <c r="W60" s="12">
        <f t="shared" si="21"/>
        <v>521</v>
      </c>
      <c r="X60" s="12">
        <f t="shared" si="21"/>
        <v>522</v>
      </c>
      <c r="Y60" s="12">
        <f t="shared" si="21"/>
        <v>371</v>
      </c>
      <c r="Z60" s="12">
        <f t="shared" si="21"/>
        <v>79</v>
      </c>
      <c r="AA60" s="12">
        <f t="shared" si="21"/>
        <v>308</v>
      </c>
      <c r="AB60" s="12">
        <f t="shared" si="21"/>
        <v>564</v>
      </c>
      <c r="AC60" s="12">
        <f t="shared" si="21"/>
        <v>434</v>
      </c>
      <c r="AD60" s="12">
        <f t="shared" si="21"/>
        <v>478</v>
      </c>
      <c r="AE60" s="12">
        <f t="shared" si="21"/>
        <v>44</v>
      </c>
      <c r="AF60" s="12">
        <f t="shared" si="21"/>
        <v>309</v>
      </c>
    </row>
    <row r="61" spans="1:32" x14ac:dyDescent="0.25">
      <c r="A61" s="13" t="s">
        <v>20</v>
      </c>
      <c r="B61" s="240">
        <v>365</v>
      </c>
      <c r="C61" s="12">
        <f t="shared" si="0"/>
        <v>0</v>
      </c>
      <c r="D61" s="12">
        <f t="shared" si="0"/>
        <v>411</v>
      </c>
      <c r="E61" s="12">
        <f t="shared" si="1"/>
        <v>564</v>
      </c>
      <c r="F61" s="12">
        <f t="shared" si="1"/>
        <v>563</v>
      </c>
      <c r="G61" s="12">
        <f t="shared" si="4"/>
        <v>352</v>
      </c>
      <c r="H61" s="12">
        <f t="shared" si="4"/>
        <v>521</v>
      </c>
      <c r="I61" s="12">
        <f t="shared" si="4"/>
        <v>519</v>
      </c>
      <c r="J61" s="12">
        <f t="shared" si="4"/>
        <v>476</v>
      </c>
      <c r="K61" s="12">
        <f t="shared" si="4"/>
        <v>477</v>
      </c>
      <c r="L61" s="12">
        <f t="shared" si="4"/>
        <v>418</v>
      </c>
      <c r="M61" s="12">
        <f t="shared" si="4"/>
        <v>108</v>
      </c>
      <c r="N61" s="12">
        <f t="shared" si="4"/>
        <v>369</v>
      </c>
      <c r="O61" s="12">
        <f t="shared" si="4"/>
        <v>562</v>
      </c>
      <c r="P61" s="12">
        <f t="shared" si="4"/>
        <v>74</v>
      </c>
      <c r="Q61" s="12">
        <f t="shared" si="5"/>
        <v>477</v>
      </c>
      <c r="R61" s="12">
        <f t="shared" si="5"/>
        <v>564</v>
      </c>
      <c r="S61" s="12">
        <f t="shared" si="6"/>
        <v>564</v>
      </c>
      <c r="T61" s="12">
        <f t="shared" ref="T61:AF61" si="22">T21-S21</f>
        <v>477</v>
      </c>
      <c r="U61" s="12">
        <f t="shared" si="22"/>
        <v>203</v>
      </c>
      <c r="V61" s="12">
        <f t="shared" si="22"/>
        <v>186</v>
      </c>
      <c r="W61" s="12">
        <f t="shared" si="22"/>
        <v>0</v>
      </c>
      <c r="X61" s="12">
        <f t="shared" si="22"/>
        <v>0</v>
      </c>
      <c r="Y61" s="12">
        <f t="shared" si="22"/>
        <v>252</v>
      </c>
      <c r="Z61" s="12">
        <f t="shared" si="22"/>
        <v>252</v>
      </c>
      <c r="AA61" s="12">
        <f t="shared" si="22"/>
        <v>298</v>
      </c>
      <c r="AB61" s="12">
        <f t="shared" si="22"/>
        <v>475</v>
      </c>
      <c r="AC61" s="12">
        <f t="shared" si="22"/>
        <v>476</v>
      </c>
      <c r="AD61" s="12">
        <f t="shared" si="22"/>
        <v>476</v>
      </c>
      <c r="AE61" s="12">
        <f t="shared" si="22"/>
        <v>89</v>
      </c>
      <c r="AF61" s="12">
        <f t="shared" si="22"/>
        <v>520</v>
      </c>
    </row>
    <row r="62" spans="1:32" x14ac:dyDescent="0.25">
      <c r="A62" s="13" t="s">
        <v>21</v>
      </c>
      <c r="B62" s="240">
        <v>243</v>
      </c>
      <c r="C62" s="12">
        <f t="shared" si="0"/>
        <v>2</v>
      </c>
      <c r="D62" s="12">
        <f t="shared" si="0"/>
        <v>347</v>
      </c>
      <c r="E62" s="12">
        <f t="shared" si="1"/>
        <v>518</v>
      </c>
      <c r="F62" s="12">
        <f t="shared" si="1"/>
        <v>303</v>
      </c>
      <c r="G62" s="12">
        <f t="shared" si="4"/>
        <v>562</v>
      </c>
      <c r="H62" s="12">
        <f t="shared" si="4"/>
        <v>433</v>
      </c>
      <c r="I62" s="12">
        <f t="shared" si="4"/>
        <v>346</v>
      </c>
      <c r="J62" s="12">
        <f t="shared" si="4"/>
        <v>88</v>
      </c>
      <c r="K62" s="12">
        <f t="shared" si="4"/>
        <v>305</v>
      </c>
      <c r="L62" s="12">
        <f t="shared" si="4"/>
        <v>477</v>
      </c>
      <c r="M62" s="12">
        <f t="shared" si="4"/>
        <v>266</v>
      </c>
      <c r="N62" s="12">
        <f t="shared" si="4"/>
        <v>432</v>
      </c>
      <c r="O62" s="12">
        <f t="shared" si="4"/>
        <v>271</v>
      </c>
      <c r="P62" s="12">
        <f t="shared" si="4"/>
        <v>0</v>
      </c>
      <c r="Q62" s="12">
        <f t="shared" si="5"/>
        <v>0</v>
      </c>
      <c r="R62" s="12">
        <f t="shared" si="5"/>
        <v>186</v>
      </c>
      <c r="S62" s="12">
        <f t="shared" si="6"/>
        <v>186</v>
      </c>
      <c r="T62" s="12">
        <f t="shared" ref="T62:AF62" si="23">T22-S22</f>
        <v>204</v>
      </c>
      <c r="U62" s="12">
        <f t="shared" si="23"/>
        <v>80</v>
      </c>
      <c r="V62" s="12">
        <f t="shared" si="23"/>
        <v>564</v>
      </c>
      <c r="W62" s="12">
        <f t="shared" si="23"/>
        <v>519</v>
      </c>
      <c r="X62" s="12">
        <f t="shared" si="23"/>
        <v>260</v>
      </c>
      <c r="Y62" s="12">
        <f t="shared" si="23"/>
        <v>350</v>
      </c>
      <c r="Z62" s="12">
        <f t="shared" si="23"/>
        <v>266</v>
      </c>
      <c r="AA62" s="12">
        <f t="shared" si="23"/>
        <v>417</v>
      </c>
      <c r="AB62" s="12">
        <f t="shared" si="23"/>
        <v>450</v>
      </c>
      <c r="AC62" s="12">
        <f t="shared" si="23"/>
        <v>83</v>
      </c>
      <c r="AD62" s="12">
        <f t="shared" si="23"/>
        <v>0</v>
      </c>
      <c r="AE62" s="12">
        <f t="shared" si="23"/>
        <v>0</v>
      </c>
      <c r="AF62" s="12">
        <f t="shared" si="23"/>
        <v>518</v>
      </c>
    </row>
    <row r="63" spans="1:32" x14ac:dyDescent="0.25">
      <c r="A63" s="13" t="s">
        <v>22</v>
      </c>
      <c r="B63" s="240">
        <v>560</v>
      </c>
      <c r="C63" s="12">
        <f t="shared" si="0"/>
        <v>1</v>
      </c>
      <c r="D63" s="12">
        <f t="shared" si="0"/>
        <v>451</v>
      </c>
      <c r="E63" s="12">
        <f t="shared" si="1"/>
        <v>250</v>
      </c>
      <c r="F63" s="12">
        <f t="shared" si="1"/>
        <v>270</v>
      </c>
      <c r="G63" s="12">
        <f t="shared" ref="G63:P78" si="24">G23-F23</f>
        <v>433</v>
      </c>
      <c r="H63" s="12">
        <f t="shared" si="24"/>
        <v>518</v>
      </c>
      <c r="I63" s="12">
        <f t="shared" si="24"/>
        <v>559</v>
      </c>
      <c r="J63" s="12">
        <f t="shared" si="24"/>
        <v>395</v>
      </c>
      <c r="K63" s="12">
        <f t="shared" si="24"/>
        <v>560</v>
      </c>
      <c r="L63" s="12">
        <f t="shared" si="24"/>
        <v>244</v>
      </c>
      <c r="M63" s="12">
        <f t="shared" si="24"/>
        <v>250</v>
      </c>
      <c r="N63" s="12">
        <f t="shared" si="24"/>
        <v>433</v>
      </c>
      <c r="O63" s="12">
        <f t="shared" si="24"/>
        <v>80</v>
      </c>
      <c r="P63" s="12">
        <f t="shared" si="24"/>
        <v>29</v>
      </c>
      <c r="Q63" s="12">
        <f t="shared" si="5"/>
        <v>476</v>
      </c>
      <c r="R63" s="12">
        <f t="shared" si="5"/>
        <v>347</v>
      </c>
      <c r="S63" s="12">
        <f t="shared" si="6"/>
        <v>476</v>
      </c>
      <c r="T63" s="12">
        <f t="shared" ref="T63:AF63" si="25">T23-S23</f>
        <v>450</v>
      </c>
      <c r="U63" s="12">
        <f t="shared" si="25"/>
        <v>250</v>
      </c>
      <c r="V63" s="12">
        <f t="shared" si="25"/>
        <v>203</v>
      </c>
      <c r="W63" s="12">
        <f t="shared" si="25"/>
        <v>0</v>
      </c>
      <c r="X63" s="12">
        <f t="shared" si="25"/>
        <v>0</v>
      </c>
      <c r="Y63" s="12">
        <f t="shared" si="25"/>
        <v>191</v>
      </c>
      <c r="Z63" s="12">
        <f t="shared" si="25"/>
        <v>582</v>
      </c>
      <c r="AA63" s="12">
        <f t="shared" si="25"/>
        <v>201</v>
      </c>
      <c r="AB63" s="12">
        <f t="shared" si="25"/>
        <v>251</v>
      </c>
      <c r="AC63" s="12">
        <f t="shared" si="25"/>
        <v>250</v>
      </c>
      <c r="AD63" s="12">
        <f t="shared" si="25"/>
        <v>0</v>
      </c>
      <c r="AE63" s="12">
        <f t="shared" si="25"/>
        <v>0</v>
      </c>
      <c r="AF63" s="12">
        <f t="shared" si="25"/>
        <v>400</v>
      </c>
    </row>
    <row r="64" spans="1:32" x14ac:dyDescent="0.25">
      <c r="A64" s="11" t="s">
        <v>23</v>
      </c>
      <c r="B64" s="240">
        <v>173</v>
      </c>
      <c r="C64" s="12">
        <f t="shared" si="0"/>
        <v>218</v>
      </c>
      <c r="D64" s="12">
        <f t="shared" si="0"/>
        <v>475</v>
      </c>
      <c r="E64" s="12">
        <f t="shared" si="1"/>
        <v>200</v>
      </c>
      <c r="F64" s="12">
        <f t="shared" si="1"/>
        <v>251</v>
      </c>
      <c r="G64" s="12">
        <f t="shared" si="24"/>
        <v>251</v>
      </c>
      <c r="H64" s="12">
        <f t="shared" si="24"/>
        <v>264</v>
      </c>
      <c r="I64" s="12">
        <f t="shared" si="24"/>
        <v>0</v>
      </c>
      <c r="J64" s="12">
        <f t="shared" si="24"/>
        <v>18</v>
      </c>
      <c r="K64" s="12">
        <f t="shared" si="24"/>
        <v>406</v>
      </c>
      <c r="L64" s="12">
        <f t="shared" si="24"/>
        <v>486</v>
      </c>
      <c r="M64" s="12">
        <f t="shared" si="24"/>
        <v>604</v>
      </c>
      <c r="N64" s="12">
        <f t="shared" si="24"/>
        <v>202</v>
      </c>
      <c r="O64" s="12">
        <f t="shared" si="24"/>
        <v>586</v>
      </c>
      <c r="P64" s="12">
        <f t="shared" si="24"/>
        <v>521</v>
      </c>
      <c r="Q64" s="12">
        <f t="shared" si="5"/>
        <v>259</v>
      </c>
      <c r="R64" s="12">
        <f t="shared" si="5"/>
        <v>519</v>
      </c>
      <c r="S64" s="12">
        <f t="shared" si="6"/>
        <v>520</v>
      </c>
      <c r="T64" s="12">
        <f t="shared" ref="T64:AF64" si="26">T24-S24</f>
        <v>266</v>
      </c>
      <c r="U64" s="12">
        <f t="shared" si="26"/>
        <v>562</v>
      </c>
      <c r="V64" s="12">
        <f t="shared" si="26"/>
        <v>474</v>
      </c>
      <c r="W64" s="12">
        <f t="shared" si="26"/>
        <v>518</v>
      </c>
      <c r="X64" s="12">
        <f t="shared" si="26"/>
        <v>474</v>
      </c>
      <c r="Y64" s="12">
        <f t="shared" si="26"/>
        <v>393</v>
      </c>
      <c r="Z64" s="12">
        <f t="shared" si="26"/>
        <v>283</v>
      </c>
      <c r="AA64" s="12">
        <f t="shared" si="26"/>
        <v>253</v>
      </c>
      <c r="AB64" s="12">
        <f t="shared" si="26"/>
        <v>519</v>
      </c>
      <c r="AC64" s="12">
        <f t="shared" si="26"/>
        <v>347</v>
      </c>
      <c r="AD64" s="12">
        <f t="shared" si="26"/>
        <v>563</v>
      </c>
      <c r="AE64" s="12">
        <f t="shared" si="26"/>
        <v>436</v>
      </c>
      <c r="AF64" s="12">
        <f t="shared" si="26"/>
        <v>603</v>
      </c>
    </row>
    <row r="65" spans="1:32" x14ac:dyDescent="0.25">
      <c r="A65" s="13" t="s">
        <v>24</v>
      </c>
      <c r="B65" s="240">
        <v>216</v>
      </c>
      <c r="C65" s="12">
        <f t="shared" ref="C65:D79" si="27">C25-B25</f>
        <v>595</v>
      </c>
      <c r="D65" s="12">
        <f t="shared" si="27"/>
        <v>519</v>
      </c>
      <c r="E65" s="12">
        <f t="shared" ref="E65:F79" si="28">E25-D25</f>
        <v>449</v>
      </c>
      <c r="F65" s="12">
        <f t="shared" si="28"/>
        <v>169</v>
      </c>
      <c r="G65" s="12">
        <f t="shared" si="24"/>
        <v>518</v>
      </c>
      <c r="H65" s="12">
        <f t="shared" si="24"/>
        <v>518</v>
      </c>
      <c r="I65" s="12">
        <f t="shared" si="24"/>
        <v>2</v>
      </c>
      <c r="J65" s="12">
        <f t="shared" si="24"/>
        <v>477</v>
      </c>
      <c r="K65" s="12">
        <f t="shared" si="24"/>
        <v>564</v>
      </c>
      <c r="L65" s="12">
        <f t="shared" si="24"/>
        <v>363</v>
      </c>
      <c r="M65" s="12">
        <f t="shared" si="24"/>
        <v>91</v>
      </c>
      <c r="N65" s="12">
        <f t="shared" si="24"/>
        <v>435</v>
      </c>
      <c r="O65" s="12">
        <f t="shared" si="24"/>
        <v>456</v>
      </c>
      <c r="P65" s="12">
        <f t="shared" si="24"/>
        <v>0</v>
      </c>
      <c r="Q65" s="12">
        <f t="shared" si="5"/>
        <v>0</v>
      </c>
      <c r="R65" s="12">
        <f t="shared" si="5"/>
        <v>330</v>
      </c>
      <c r="S65" s="12">
        <f t="shared" si="6"/>
        <v>432</v>
      </c>
      <c r="T65" s="12">
        <f t="shared" ref="T65:AF65" si="29">T25-S25</f>
        <v>603</v>
      </c>
      <c r="U65" s="12">
        <f t="shared" si="29"/>
        <v>605</v>
      </c>
      <c r="V65" s="12">
        <f t="shared" si="29"/>
        <v>417</v>
      </c>
      <c r="W65" s="12">
        <f t="shared" si="29"/>
        <v>86</v>
      </c>
      <c r="X65" s="12">
        <f t="shared" si="29"/>
        <v>1</v>
      </c>
      <c r="Y65" s="12">
        <f t="shared" si="29"/>
        <v>519</v>
      </c>
      <c r="Z65" s="12">
        <f t="shared" si="29"/>
        <v>598</v>
      </c>
      <c r="AA65" s="12">
        <f t="shared" si="29"/>
        <v>258</v>
      </c>
      <c r="AB65" s="12">
        <f t="shared" si="29"/>
        <v>272</v>
      </c>
      <c r="AC65" s="12">
        <f t="shared" si="29"/>
        <v>251</v>
      </c>
      <c r="AD65" s="12">
        <f t="shared" si="29"/>
        <v>0</v>
      </c>
      <c r="AE65" s="12">
        <f t="shared" si="29"/>
        <v>0</v>
      </c>
      <c r="AF65" s="12">
        <f t="shared" si="29"/>
        <v>251</v>
      </c>
    </row>
    <row r="66" spans="1:32" x14ac:dyDescent="0.25">
      <c r="A66" s="13" t="s">
        <v>25</v>
      </c>
      <c r="B66" s="240">
        <v>452</v>
      </c>
      <c r="C66" s="12">
        <f t="shared" si="27"/>
        <v>0</v>
      </c>
      <c r="D66" s="12">
        <f t="shared" si="27"/>
        <v>196</v>
      </c>
      <c r="E66" s="12">
        <f t="shared" si="28"/>
        <v>192</v>
      </c>
      <c r="F66" s="12">
        <f t="shared" si="28"/>
        <v>297</v>
      </c>
      <c r="G66" s="12">
        <f t="shared" si="24"/>
        <v>133</v>
      </c>
      <c r="H66" s="12">
        <f t="shared" si="24"/>
        <v>564</v>
      </c>
      <c r="I66" s="12">
        <f t="shared" si="24"/>
        <v>44</v>
      </c>
      <c r="J66" s="12">
        <f t="shared" si="24"/>
        <v>522</v>
      </c>
      <c r="K66" s="12">
        <f t="shared" si="24"/>
        <v>607</v>
      </c>
      <c r="L66" s="12">
        <f t="shared" si="24"/>
        <v>420</v>
      </c>
      <c r="M66" s="12">
        <f t="shared" si="24"/>
        <v>390</v>
      </c>
      <c r="N66" s="12">
        <f t="shared" si="24"/>
        <v>478</v>
      </c>
      <c r="O66" s="12">
        <f t="shared" si="24"/>
        <v>521</v>
      </c>
      <c r="P66" s="12">
        <f t="shared" si="24"/>
        <v>563</v>
      </c>
      <c r="Q66" s="12">
        <f t="shared" si="5"/>
        <v>44</v>
      </c>
      <c r="R66" s="12">
        <f t="shared" si="5"/>
        <v>521</v>
      </c>
      <c r="S66" s="12">
        <f t="shared" si="6"/>
        <v>436</v>
      </c>
      <c r="T66" s="12">
        <f t="shared" ref="T66:AF66" si="30">T26-S26</f>
        <v>452</v>
      </c>
      <c r="U66" s="12">
        <f t="shared" si="30"/>
        <v>186</v>
      </c>
      <c r="V66" s="12">
        <f t="shared" si="30"/>
        <v>253</v>
      </c>
      <c r="W66" s="12">
        <f t="shared" si="30"/>
        <v>0</v>
      </c>
      <c r="X66" s="12">
        <f t="shared" si="30"/>
        <v>0</v>
      </c>
      <c r="Y66" s="12">
        <f t="shared" si="30"/>
        <v>227</v>
      </c>
      <c r="Z66" s="12">
        <f t="shared" si="30"/>
        <v>492</v>
      </c>
      <c r="AA66" s="12">
        <f t="shared" si="30"/>
        <v>389</v>
      </c>
      <c r="AB66" s="12">
        <f t="shared" si="30"/>
        <v>366</v>
      </c>
      <c r="AC66" s="12">
        <f t="shared" si="30"/>
        <v>342</v>
      </c>
      <c r="AD66" s="12">
        <f t="shared" si="30"/>
        <v>563</v>
      </c>
      <c r="AE66" s="12">
        <f t="shared" si="30"/>
        <v>390</v>
      </c>
      <c r="AF66" s="12">
        <f t="shared" si="30"/>
        <v>267</v>
      </c>
    </row>
    <row r="67" spans="1:32" x14ac:dyDescent="0.25">
      <c r="A67" s="13" t="s">
        <v>26</v>
      </c>
      <c r="B67" s="240">
        <v>88</v>
      </c>
      <c r="C67" s="12">
        <f t="shared" si="27"/>
        <v>488</v>
      </c>
      <c r="D67" s="12">
        <f t="shared" si="27"/>
        <v>347</v>
      </c>
      <c r="E67" s="12">
        <f t="shared" si="28"/>
        <v>605</v>
      </c>
      <c r="F67" s="12">
        <f t="shared" si="28"/>
        <v>519</v>
      </c>
      <c r="G67" s="12">
        <f t="shared" si="24"/>
        <v>195</v>
      </c>
      <c r="H67" s="12">
        <f t="shared" si="24"/>
        <v>247</v>
      </c>
      <c r="I67" s="12">
        <f t="shared" si="24"/>
        <v>0</v>
      </c>
      <c r="J67" s="12">
        <f t="shared" si="24"/>
        <v>0</v>
      </c>
      <c r="K67" s="12">
        <f t="shared" si="24"/>
        <v>427</v>
      </c>
      <c r="L67" s="12">
        <f t="shared" si="24"/>
        <v>356</v>
      </c>
      <c r="M67" s="12">
        <f t="shared" si="24"/>
        <v>483</v>
      </c>
      <c r="N67" s="12">
        <f t="shared" si="24"/>
        <v>394</v>
      </c>
      <c r="O67" s="12">
        <f t="shared" si="24"/>
        <v>565</v>
      </c>
      <c r="P67" s="12">
        <f t="shared" si="24"/>
        <v>520</v>
      </c>
      <c r="Q67" s="12">
        <f t="shared" si="5"/>
        <v>432</v>
      </c>
      <c r="R67" s="12">
        <f t="shared" si="5"/>
        <v>433</v>
      </c>
      <c r="S67" s="12">
        <f t="shared" si="6"/>
        <v>263</v>
      </c>
      <c r="T67" s="12">
        <f t="shared" ref="T67:AF67" si="31">T27-S27</f>
        <v>520</v>
      </c>
      <c r="U67" s="12">
        <f t="shared" si="31"/>
        <v>605</v>
      </c>
      <c r="V67" s="12">
        <f t="shared" si="31"/>
        <v>351</v>
      </c>
      <c r="W67" s="12">
        <f t="shared" si="31"/>
        <v>518</v>
      </c>
      <c r="X67" s="12">
        <f t="shared" si="31"/>
        <v>433</v>
      </c>
      <c r="Y67" s="12">
        <f t="shared" si="31"/>
        <v>201</v>
      </c>
      <c r="Z67" s="12">
        <f t="shared" si="31"/>
        <v>260</v>
      </c>
      <c r="AA67" s="12">
        <f t="shared" si="31"/>
        <v>507</v>
      </c>
      <c r="AB67" s="12">
        <f t="shared" si="31"/>
        <v>605</v>
      </c>
      <c r="AC67" s="12">
        <f t="shared" si="31"/>
        <v>260</v>
      </c>
      <c r="AD67" s="12">
        <f t="shared" si="31"/>
        <v>0</v>
      </c>
      <c r="AE67" s="12">
        <f t="shared" si="31"/>
        <v>0</v>
      </c>
      <c r="AF67" s="12">
        <f t="shared" si="31"/>
        <v>428</v>
      </c>
    </row>
    <row r="68" spans="1:32" x14ac:dyDescent="0.25">
      <c r="A68" s="13" t="s">
        <v>27</v>
      </c>
      <c r="B68" s="240">
        <v>0</v>
      </c>
      <c r="C68" s="12">
        <f t="shared" si="27"/>
        <v>0</v>
      </c>
      <c r="D68" s="12">
        <f t="shared" si="27"/>
        <v>0</v>
      </c>
      <c r="E68" s="12">
        <f t="shared" si="28"/>
        <v>0</v>
      </c>
      <c r="F68" s="12">
        <f t="shared" si="28"/>
        <v>0</v>
      </c>
      <c r="G68" s="12">
        <f t="shared" si="24"/>
        <v>0</v>
      </c>
      <c r="H68" s="12">
        <f t="shared" si="24"/>
        <v>0</v>
      </c>
      <c r="I68" s="12">
        <f t="shared" si="24"/>
        <v>0</v>
      </c>
      <c r="J68" s="12">
        <f t="shared" si="24"/>
        <v>0</v>
      </c>
      <c r="K68" s="12">
        <f t="shared" si="24"/>
        <v>0</v>
      </c>
      <c r="L68" s="12">
        <f t="shared" si="24"/>
        <v>0</v>
      </c>
      <c r="M68" s="12">
        <f t="shared" si="24"/>
        <v>0</v>
      </c>
      <c r="N68" s="12">
        <f t="shared" si="24"/>
        <v>0</v>
      </c>
      <c r="O68" s="12">
        <f t="shared" si="24"/>
        <v>0</v>
      </c>
      <c r="P68" s="12">
        <f t="shared" si="24"/>
        <v>0</v>
      </c>
      <c r="Q68" s="12">
        <f t="shared" si="5"/>
        <v>0</v>
      </c>
      <c r="R68" s="12">
        <f t="shared" si="5"/>
        <v>0</v>
      </c>
      <c r="S68" s="12">
        <f t="shared" si="6"/>
        <v>0</v>
      </c>
      <c r="T68" s="12">
        <f t="shared" ref="T68:AF68" si="32">T28-S28</f>
        <v>0</v>
      </c>
      <c r="U68" s="12">
        <f t="shared" si="32"/>
        <v>0</v>
      </c>
      <c r="V68" s="12">
        <f t="shared" si="32"/>
        <v>0</v>
      </c>
      <c r="W68" s="12">
        <f t="shared" si="32"/>
        <v>0</v>
      </c>
      <c r="X68" s="12">
        <f t="shared" si="32"/>
        <v>0</v>
      </c>
      <c r="Y68" s="12">
        <f t="shared" si="32"/>
        <v>0</v>
      </c>
      <c r="Z68" s="12">
        <f t="shared" si="32"/>
        <v>0</v>
      </c>
      <c r="AA68" s="12">
        <f t="shared" si="32"/>
        <v>0</v>
      </c>
      <c r="AB68" s="12">
        <f t="shared" si="32"/>
        <v>0</v>
      </c>
      <c r="AC68" s="12">
        <f t="shared" si="32"/>
        <v>0</v>
      </c>
      <c r="AD68" s="12">
        <f t="shared" si="32"/>
        <v>0</v>
      </c>
      <c r="AE68" s="12">
        <f t="shared" si="32"/>
        <v>0</v>
      </c>
      <c r="AF68" s="12">
        <f t="shared" si="32"/>
        <v>0</v>
      </c>
    </row>
    <row r="69" spans="1:32" x14ac:dyDescent="0.25">
      <c r="A69" s="11" t="s">
        <v>28</v>
      </c>
      <c r="B69" s="240">
        <v>483</v>
      </c>
      <c r="C69" s="12">
        <f t="shared" si="27"/>
        <v>600</v>
      </c>
      <c r="D69" s="12">
        <f t="shared" si="27"/>
        <v>432</v>
      </c>
      <c r="E69" s="12">
        <f t="shared" si="28"/>
        <v>202</v>
      </c>
      <c r="F69" s="12">
        <f t="shared" si="28"/>
        <v>252</v>
      </c>
      <c r="G69" s="12">
        <f t="shared" si="24"/>
        <v>251</v>
      </c>
      <c r="H69" s="12">
        <f t="shared" si="24"/>
        <v>330</v>
      </c>
      <c r="I69" s="12">
        <f t="shared" si="24"/>
        <v>0</v>
      </c>
      <c r="J69" s="12">
        <f t="shared" si="24"/>
        <v>0</v>
      </c>
      <c r="K69" s="12">
        <f t="shared" si="24"/>
        <v>350</v>
      </c>
      <c r="L69" s="12">
        <f t="shared" si="24"/>
        <v>332</v>
      </c>
      <c r="M69" s="12">
        <f t="shared" si="24"/>
        <v>366</v>
      </c>
      <c r="N69" s="12">
        <f t="shared" si="24"/>
        <v>185</v>
      </c>
      <c r="O69" s="12">
        <f t="shared" si="24"/>
        <v>262</v>
      </c>
      <c r="P69" s="12">
        <f t="shared" si="24"/>
        <v>0</v>
      </c>
      <c r="Q69" s="12">
        <f t="shared" si="5"/>
        <v>0</v>
      </c>
      <c r="R69" s="12">
        <f t="shared" si="5"/>
        <v>383</v>
      </c>
      <c r="S69" s="12">
        <f t="shared" si="6"/>
        <v>561</v>
      </c>
      <c r="T69" s="12">
        <f t="shared" ref="T69:AF69" si="33">T29-S29</f>
        <v>434</v>
      </c>
      <c r="U69" s="12">
        <f t="shared" si="33"/>
        <v>210</v>
      </c>
      <c r="V69" s="12">
        <f t="shared" si="33"/>
        <v>365</v>
      </c>
      <c r="W69" s="12">
        <f t="shared" si="33"/>
        <v>0</v>
      </c>
      <c r="X69" s="12">
        <f t="shared" si="33"/>
        <v>0</v>
      </c>
      <c r="Y69" s="12">
        <f t="shared" si="33"/>
        <v>512</v>
      </c>
      <c r="Z69" s="12">
        <f t="shared" si="33"/>
        <v>348</v>
      </c>
      <c r="AA69" s="12">
        <f t="shared" si="33"/>
        <v>451</v>
      </c>
      <c r="AB69" s="12">
        <f t="shared" si="33"/>
        <v>390</v>
      </c>
      <c r="AC69" s="12">
        <f t="shared" si="33"/>
        <v>603</v>
      </c>
      <c r="AD69" s="12">
        <f t="shared" si="33"/>
        <v>518</v>
      </c>
      <c r="AE69" s="12">
        <f t="shared" si="33"/>
        <v>431</v>
      </c>
      <c r="AF69" s="12">
        <f t="shared" si="33"/>
        <v>433</v>
      </c>
    </row>
    <row r="70" spans="1:32" x14ac:dyDescent="0.25">
      <c r="A70" s="13" t="s">
        <v>29</v>
      </c>
      <c r="B70" s="240">
        <v>88</v>
      </c>
      <c r="C70" s="12">
        <f t="shared" si="27"/>
        <v>0</v>
      </c>
      <c r="D70" s="12">
        <f t="shared" si="27"/>
        <v>194</v>
      </c>
      <c r="E70" s="12">
        <f t="shared" si="28"/>
        <v>199</v>
      </c>
      <c r="F70" s="12">
        <f t="shared" si="28"/>
        <v>351</v>
      </c>
      <c r="G70" s="12">
        <f t="shared" si="24"/>
        <v>436</v>
      </c>
      <c r="H70" s="12">
        <f t="shared" si="24"/>
        <v>478</v>
      </c>
      <c r="I70" s="12">
        <f t="shared" si="24"/>
        <v>475</v>
      </c>
      <c r="J70" s="12">
        <f t="shared" si="24"/>
        <v>261</v>
      </c>
      <c r="K70" s="12">
        <f t="shared" si="24"/>
        <v>284</v>
      </c>
      <c r="L70" s="12">
        <f t="shared" si="24"/>
        <v>332</v>
      </c>
      <c r="M70" s="12">
        <f t="shared" si="24"/>
        <v>371</v>
      </c>
      <c r="N70" s="12">
        <f t="shared" si="24"/>
        <v>251</v>
      </c>
      <c r="O70" s="12">
        <f t="shared" si="24"/>
        <v>341</v>
      </c>
      <c r="P70" s="12">
        <f t="shared" si="24"/>
        <v>561</v>
      </c>
      <c r="Q70" s="12">
        <f t="shared" si="5"/>
        <v>49</v>
      </c>
      <c r="R70" s="12">
        <f t="shared" si="5"/>
        <v>178</v>
      </c>
      <c r="S70" s="12">
        <f t="shared" si="6"/>
        <v>521</v>
      </c>
      <c r="T70" s="12">
        <f t="shared" ref="T70:AF70" si="34">T30-S30</f>
        <v>450</v>
      </c>
      <c r="U70" s="12">
        <f t="shared" si="34"/>
        <v>193</v>
      </c>
      <c r="V70" s="12">
        <f t="shared" si="34"/>
        <v>251</v>
      </c>
      <c r="W70" s="12">
        <f t="shared" si="34"/>
        <v>0</v>
      </c>
      <c r="X70" s="12">
        <f t="shared" si="34"/>
        <v>19</v>
      </c>
      <c r="Y70" s="12">
        <f t="shared" si="34"/>
        <v>433</v>
      </c>
      <c r="Z70" s="12">
        <f t="shared" si="34"/>
        <v>351</v>
      </c>
      <c r="AA70" s="12">
        <f t="shared" si="34"/>
        <v>423</v>
      </c>
      <c r="AB70" s="12">
        <f t="shared" si="34"/>
        <v>251</v>
      </c>
      <c r="AC70" s="12">
        <f t="shared" si="34"/>
        <v>263</v>
      </c>
      <c r="AD70" s="12">
        <f t="shared" si="34"/>
        <v>260</v>
      </c>
      <c r="AE70" s="12">
        <f t="shared" si="34"/>
        <v>516</v>
      </c>
      <c r="AF70" s="12">
        <f t="shared" si="34"/>
        <v>434</v>
      </c>
    </row>
    <row r="71" spans="1:32" x14ac:dyDescent="0.25">
      <c r="A71" s="11" t="s">
        <v>30</v>
      </c>
      <c r="B71" s="240">
        <v>0</v>
      </c>
      <c r="C71" s="12">
        <f t="shared" si="27"/>
        <v>0</v>
      </c>
      <c r="D71" s="12">
        <f t="shared" si="27"/>
        <v>81</v>
      </c>
      <c r="E71" s="12">
        <f t="shared" si="28"/>
        <v>263</v>
      </c>
      <c r="F71" s="12">
        <f t="shared" si="28"/>
        <v>604</v>
      </c>
      <c r="G71" s="12">
        <f t="shared" si="24"/>
        <v>450</v>
      </c>
      <c r="H71" s="12">
        <f t="shared" si="24"/>
        <v>339</v>
      </c>
      <c r="I71" s="12">
        <f t="shared" si="24"/>
        <v>175</v>
      </c>
      <c r="J71" s="12">
        <f t="shared" si="24"/>
        <v>2</v>
      </c>
      <c r="K71" s="12">
        <f t="shared" si="24"/>
        <v>528</v>
      </c>
      <c r="L71" s="12">
        <f t="shared" si="24"/>
        <v>493</v>
      </c>
      <c r="M71" s="12">
        <f t="shared" si="24"/>
        <v>349</v>
      </c>
      <c r="N71" s="12">
        <f t="shared" si="24"/>
        <v>522</v>
      </c>
      <c r="O71" s="12">
        <f t="shared" si="24"/>
        <v>433</v>
      </c>
      <c r="P71" s="12">
        <f t="shared" si="24"/>
        <v>518</v>
      </c>
      <c r="Q71" s="12">
        <f t="shared" si="5"/>
        <v>518</v>
      </c>
      <c r="R71" s="12">
        <f t="shared" si="5"/>
        <v>603</v>
      </c>
      <c r="S71" s="12">
        <f t="shared" si="6"/>
        <v>286</v>
      </c>
      <c r="T71" s="12">
        <f t="shared" ref="T71:AF71" si="35">T31-S31</f>
        <v>297</v>
      </c>
      <c r="U71" s="12">
        <f t="shared" si="35"/>
        <v>560</v>
      </c>
      <c r="V71" s="12">
        <f t="shared" si="35"/>
        <v>292</v>
      </c>
      <c r="W71" s="12">
        <f t="shared" si="35"/>
        <v>0</v>
      </c>
      <c r="X71" s="12">
        <f t="shared" si="35"/>
        <v>0</v>
      </c>
      <c r="Y71" s="12">
        <f t="shared" si="35"/>
        <v>328</v>
      </c>
      <c r="Z71" s="12">
        <f t="shared" si="35"/>
        <v>389</v>
      </c>
      <c r="AA71" s="12">
        <f t="shared" si="35"/>
        <v>334</v>
      </c>
      <c r="AB71" s="12">
        <f t="shared" si="35"/>
        <v>433</v>
      </c>
      <c r="AC71" s="12">
        <f t="shared" si="35"/>
        <v>560</v>
      </c>
      <c r="AD71" s="12">
        <f t="shared" si="35"/>
        <v>561</v>
      </c>
      <c r="AE71" s="12">
        <f t="shared" si="35"/>
        <v>518</v>
      </c>
      <c r="AF71" s="12">
        <f t="shared" si="35"/>
        <v>288</v>
      </c>
    </row>
    <row r="72" spans="1:32" s="126" customFormat="1" x14ac:dyDescent="0.25">
      <c r="A72" s="13" t="s">
        <v>111</v>
      </c>
      <c r="B72" s="240">
        <v>349</v>
      </c>
      <c r="C72" s="12">
        <f t="shared" si="27"/>
        <v>0</v>
      </c>
      <c r="D72" s="12">
        <f t="shared" si="27"/>
        <v>178</v>
      </c>
      <c r="E72" s="12">
        <f t="shared" si="28"/>
        <v>451</v>
      </c>
      <c r="F72" s="12">
        <f t="shared" si="28"/>
        <v>193</v>
      </c>
      <c r="G72" s="12">
        <f t="shared" si="24"/>
        <v>192</v>
      </c>
      <c r="H72" s="12">
        <f t="shared" si="24"/>
        <v>192</v>
      </c>
      <c r="I72" s="12">
        <f t="shared" si="24"/>
        <v>0</v>
      </c>
      <c r="J72" s="12">
        <f t="shared" si="24"/>
        <v>0</v>
      </c>
      <c r="K72" s="12">
        <f t="shared" si="24"/>
        <v>193</v>
      </c>
      <c r="L72" s="12">
        <f t="shared" si="24"/>
        <v>194</v>
      </c>
      <c r="M72" s="12">
        <f t="shared" si="24"/>
        <v>193</v>
      </c>
      <c r="N72" s="12">
        <f t="shared" si="24"/>
        <v>193</v>
      </c>
      <c r="O72" s="12">
        <f t="shared" si="24"/>
        <v>187</v>
      </c>
      <c r="P72" s="12">
        <f t="shared" si="24"/>
        <v>0</v>
      </c>
      <c r="Q72" s="12">
        <f t="shared" si="5"/>
        <v>0</v>
      </c>
      <c r="R72" s="12">
        <f t="shared" si="5"/>
        <v>203</v>
      </c>
      <c r="S72" s="12">
        <f t="shared" si="6"/>
        <v>587</v>
      </c>
      <c r="T72" s="12">
        <f t="shared" ref="T72:AF72" si="36">T32-S32</f>
        <v>316</v>
      </c>
      <c r="U72" s="12">
        <f t="shared" si="36"/>
        <v>247</v>
      </c>
      <c r="V72" s="12">
        <f t="shared" si="36"/>
        <v>410</v>
      </c>
      <c r="W72" s="12">
        <f t="shared" si="36"/>
        <v>522</v>
      </c>
      <c r="X72" s="12">
        <f t="shared" si="36"/>
        <v>2</v>
      </c>
      <c r="Y72" s="12">
        <f t="shared" si="36"/>
        <v>562</v>
      </c>
      <c r="Z72" s="12">
        <f t="shared" si="36"/>
        <v>560</v>
      </c>
      <c r="AA72" s="12">
        <f t="shared" si="36"/>
        <v>405</v>
      </c>
      <c r="AB72" s="12">
        <f t="shared" si="36"/>
        <v>431</v>
      </c>
      <c r="AC72" s="12">
        <f t="shared" si="36"/>
        <v>437</v>
      </c>
      <c r="AD72" s="12">
        <f t="shared" si="36"/>
        <v>259</v>
      </c>
      <c r="AE72" s="12">
        <f t="shared" si="36"/>
        <v>0</v>
      </c>
      <c r="AF72" s="12">
        <f t="shared" si="36"/>
        <v>348</v>
      </c>
    </row>
    <row r="73" spans="1:32" s="126" customFormat="1" x14ac:dyDescent="0.25">
      <c r="A73" s="11" t="s">
        <v>112</v>
      </c>
      <c r="B73" s="240">
        <v>0</v>
      </c>
      <c r="C73" s="12">
        <f t="shared" si="27"/>
        <v>0</v>
      </c>
      <c r="D73" s="12">
        <f t="shared" si="27"/>
        <v>0</v>
      </c>
      <c r="E73" s="12">
        <f t="shared" si="28"/>
        <v>0</v>
      </c>
      <c r="F73" s="12">
        <f t="shared" si="28"/>
        <v>0</v>
      </c>
      <c r="G73" s="12">
        <f t="shared" si="24"/>
        <v>0</v>
      </c>
      <c r="H73" s="12">
        <f t="shared" si="24"/>
        <v>0</v>
      </c>
      <c r="I73" s="12">
        <f t="shared" si="24"/>
        <v>0</v>
      </c>
      <c r="J73" s="12">
        <f t="shared" si="24"/>
        <v>0</v>
      </c>
      <c r="K73" s="12">
        <f t="shared" si="24"/>
        <v>0</v>
      </c>
      <c r="L73" s="12">
        <f t="shared" si="24"/>
        <v>0</v>
      </c>
      <c r="M73" s="12">
        <f t="shared" si="24"/>
        <v>0</v>
      </c>
      <c r="N73" s="12">
        <f t="shared" si="24"/>
        <v>0</v>
      </c>
      <c r="O73" s="12">
        <f t="shared" si="24"/>
        <v>0</v>
      </c>
      <c r="P73" s="12">
        <f t="shared" si="24"/>
        <v>0</v>
      </c>
      <c r="Q73" s="12">
        <f t="shared" si="5"/>
        <v>0</v>
      </c>
      <c r="R73" s="12">
        <f t="shared" si="5"/>
        <v>0</v>
      </c>
      <c r="S73" s="12">
        <f t="shared" si="6"/>
        <v>0</v>
      </c>
      <c r="T73" s="12">
        <f t="shared" ref="T73:AF73" si="37">T33-S33</f>
        <v>0</v>
      </c>
      <c r="U73" s="12">
        <f t="shared" si="37"/>
        <v>0</v>
      </c>
      <c r="V73" s="12">
        <f t="shared" si="37"/>
        <v>0</v>
      </c>
      <c r="W73" s="12">
        <f t="shared" si="37"/>
        <v>0</v>
      </c>
      <c r="X73" s="12">
        <f t="shared" si="37"/>
        <v>0</v>
      </c>
      <c r="Y73" s="12">
        <f t="shared" si="37"/>
        <v>0</v>
      </c>
      <c r="Z73" s="12">
        <f t="shared" si="37"/>
        <v>0</v>
      </c>
      <c r="AA73" s="12">
        <f t="shared" si="37"/>
        <v>0</v>
      </c>
      <c r="AB73" s="12">
        <f t="shared" si="37"/>
        <v>0</v>
      </c>
      <c r="AC73" s="12">
        <f t="shared" si="37"/>
        <v>0</v>
      </c>
      <c r="AD73" s="12">
        <f t="shared" si="37"/>
        <v>0</v>
      </c>
      <c r="AE73" s="12">
        <f t="shared" si="37"/>
        <v>0</v>
      </c>
      <c r="AF73" s="12">
        <f t="shared" si="37"/>
        <v>0</v>
      </c>
    </row>
    <row r="74" spans="1:32" s="126" customFormat="1" x14ac:dyDescent="0.25">
      <c r="A74" s="13" t="s">
        <v>113</v>
      </c>
      <c r="B74" s="240">
        <v>0</v>
      </c>
      <c r="C74" s="12">
        <f t="shared" si="27"/>
        <v>0</v>
      </c>
      <c r="D74" s="12">
        <f t="shared" si="27"/>
        <v>519</v>
      </c>
      <c r="E74" s="12">
        <f t="shared" si="28"/>
        <v>420</v>
      </c>
      <c r="F74" s="12">
        <f t="shared" si="28"/>
        <v>252</v>
      </c>
      <c r="G74" s="12">
        <f t="shared" si="24"/>
        <v>132</v>
      </c>
      <c r="H74" s="12">
        <f t="shared" si="24"/>
        <v>264</v>
      </c>
      <c r="I74" s="12">
        <f t="shared" si="24"/>
        <v>0</v>
      </c>
      <c r="J74" s="12">
        <f t="shared" si="24"/>
        <v>0</v>
      </c>
      <c r="K74" s="12">
        <f t="shared" si="24"/>
        <v>433</v>
      </c>
      <c r="L74" s="12">
        <f t="shared" si="24"/>
        <v>418</v>
      </c>
      <c r="M74" s="12">
        <f t="shared" si="24"/>
        <v>442</v>
      </c>
      <c r="N74" s="12">
        <f t="shared" si="24"/>
        <v>391</v>
      </c>
      <c r="O74" s="12">
        <f t="shared" si="24"/>
        <v>178</v>
      </c>
      <c r="P74" s="12">
        <f t="shared" si="24"/>
        <v>0</v>
      </c>
      <c r="Q74" s="12">
        <f t="shared" si="5"/>
        <v>0</v>
      </c>
      <c r="R74" s="12">
        <f t="shared" si="5"/>
        <v>0</v>
      </c>
      <c r="S74" s="12">
        <f t="shared" si="6"/>
        <v>0</v>
      </c>
      <c r="T74" s="12">
        <f t="shared" ref="T74:AF74" si="38">T34-S34</f>
        <v>0</v>
      </c>
      <c r="U74" s="12">
        <f t="shared" si="38"/>
        <v>0</v>
      </c>
      <c r="V74" s="12">
        <f t="shared" si="38"/>
        <v>454</v>
      </c>
      <c r="W74" s="12">
        <f t="shared" si="38"/>
        <v>0</v>
      </c>
      <c r="X74" s="12">
        <f t="shared" si="38"/>
        <v>0</v>
      </c>
      <c r="Y74" s="12">
        <f t="shared" si="38"/>
        <v>262</v>
      </c>
      <c r="Z74" s="12">
        <f t="shared" si="38"/>
        <v>252</v>
      </c>
      <c r="AA74" s="12">
        <f t="shared" si="38"/>
        <v>311</v>
      </c>
      <c r="AB74" s="12">
        <f t="shared" si="38"/>
        <v>305</v>
      </c>
      <c r="AC74" s="12">
        <f t="shared" si="38"/>
        <v>132</v>
      </c>
      <c r="AD74" s="12">
        <f t="shared" si="38"/>
        <v>0</v>
      </c>
      <c r="AE74" s="12">
        <f t="shared" si="38"/>
        <v>0</v>
      </c>
      <c r="AF74" s="12">
        <f t="shared" si="38"/>
        <v>3</v>
      </c>
    </row>
    <row r="75" spans="1:32" s="126" customFormat="1" x14ac:dyDescent="0.25">
      <c r="A75" s="11" t="s">
        <v>114</v>
      </c>
      <c r="B75" s="240">
        <v>0</v>
      </c>
      <c r="C75" s="12">
        <f t="shared" si="27"/>
        <v>0</v>
      </c>
      <c r="D75" s="12">
        <f t="shared" si="27"/>
        <v>251</v>
      </c>
      <c r="E75" s="12">
        <f t="shared" si="28"/>
        <v>250</v>
      </c>
      <c r="F75" s="12">
        <f t="shared" si="28"/>
        <v>167</v>
      </c>
      <c r="G75" s="12">
        <f t="shared" si="24"/>
        <v>238</v>
      </c>
      <c r="H75" s="12">
        <f t="shared" si="24"/>
        <v>258</v>
      </c>
      <c r="I75" s="12">
        <f t="shared" si="24"/>
        <v>0</v>
      </c>
      <c r="J75" s="12">
        <f t="shared" si="24"/>
        <v>0</v>
      </c>
      <c r="K75" s="12">
        <f t="shared" si="24"/>
        <v>89</v>
      </c>
      <c r="L75" s="12">
        <f t="shared" si="24"/>
        <v>0</v>
      </c>
      <c r="M75" s="12">
        <f t="shared" si="24"/>
        <v>240</v>
      </c>
      <c r="N75" s="12">
        <f t="shared" si="24"/>
        <v>398</v>
      </c>
      <c r="O75" s="12">
        <f t="shared" si="24"/>
        <v>174</v>
      </c>
      <c r="P75" s="12">
        <f t="shared" si="24"/>
        <v>0</v>
      </c>
      <c r="Q75" s="12">
        <f t="shared" si="5"/>
        <v>0</v>
      </c>
      <c r="R75" s="12">
        <f t="shared" si="5"/>
        <v>177</v>
      </c>
      <c r="S75" s="12">
        <f t="shared" si="6"/>
        <v>209</v>
      </c>
      <c r="T75" s="12">
        <f t="shared" ref="T75:AF75" si="39">T35-S35</f>
        <v>433</v>
      </c>
      <c r="U75" s="12">
        <f t="shared" si="39"/>
        <v>518</v>
      </c>
      <c r="V75" s="12">
        <f t="shared" si="39"/>
        <v>432</v>
      </c>
      <c r="W75" s="12">
        <f t="shared" si="39"/>
        <v>1</v>
      </c>
      <c r="X75" s="12">
        <f t="shared" si="39"/>
        <v>0</v>
      </c>
      <c r="Y75" s="12">
        <f t="shared" si="39"/>
        <v>175</v>
      </c>
      <c r="Z75" s="12">
        <f t="shared" si="39"/>
        <v>427</v>
      </c>
      <c r="AA75" s="12">
        <f t="shared" si="39"/>
        <v>504</v>
      </c>
      <c r="AB75" s="12">
        <f t="shared" si="39"/>
        <v>259</v>
      </c>
      <c r="AC75" s="12">
        <f t="shared" si="39"/>
        <v>427</v>
      </c>
      <c r="AD75" s="12">
        <f t="shared" si="39"/>
        <v>0</v>
      </c>
      <c r="AE75" s="12">
        <f t="shared" si="39"/>
        <v>0</v>
      </c>
      <c r="AF75" s="12">
        <f t="shared" si="39"/>
        <v>192</v>
      </c>
    </row>
    <row r="76" spans="1:32" s="126" customFormat="1" x14ac:dyDescent="0.25">
      <c r="A76" s="13" t="s">
        <v>115</v>
      </c>
      <c r="B76" s="240">
        <v>0</v>
      </c>
      <c r="C76" s="12">
        <f t="shared" si="27"/>
        <v>0</v>
      </c>
      <c r="D76" s="12">
        <f t="shared" si="27"/>
        <v>251</v>
      </c>
      <c r="E76" s="12">
        <f t="shared" si="28"/>
        <v>332</v>
      </c>
      <c r="F76" s="12">
        <f t="shared" si="28"/>
        <v>365</v>
      </c>
      <c r="G76" s="12">
        <f t="shared" si="24"/>
        <v>167</v>
      </c>
      <c r="H76" s="12">
        <f t="shared" si="24"/>
        <v>202</v>
      </c>
      <c r="I76" s="12">
        <f t="shared" si="24"/>
        <v>0</v>
      </c>
      <c r="J76" s="12">
        <f t="shared" si="24"/>
        <v>0</v>
      </c>
      <c r="K76" s="12">
        <f t="shared" si="24"/>
        <v>251</v>
      </c>
      <c r="L76" s="12">
        <f t="shared" si="24"/>
        <v>402</v>
      </c>
      <c r="M76" s="12">
        <f t="shared" si="24"/>
        <v>527</v>
      </c>
      <c r="N76" s="12">
        <f t="shared" si="24"/>
        <v>244</v>
      </c>
      <c r="O76" s="12">
        <f t="shared" si="24"/>
        <v>244</v>
      </c>
      <c r="P76" s="12">
        <f t="shared" si="24"/>
        <v>0</v>
      </c>
      <c r="Q76" s="12">
        <f t="shared" si="5"/>
        <v>0</v>
      </c>
      <c r="R76" s="12">
        <f t="shared" si="5"/>
        <v>398</v>
      </c>
      <c r="S76" s="12">
        <f t="shared" si="6"/>
        <v>433</v>
      </c>
      <c r="T76" s="12">
        <f t="shared" ref="T76:AF76" si="40">T36-S36</f>
        <v>209</v>
      </c>
      <c r="U76" s="12">
        <f t="shared" si="40"/>
        <v>347</v>
      </c>
      <c r="V76" s="12">
        <f t="shared" si="40"/>
        <v>201</v>
      </c>
      <c r="W76" s="12">
        <f t="shared" si="40"/>
        <v>0</v>
      </c>
      <c r="X76" s="12">
        <f t="shared" si="40"/>
        <v>0</v>
      </c>
      <c r="Y76" s="12">
        <f t="shared" si="40"/>
        <v>274</v>
      </c>
      <c r="Z76" s="12">
        <f t="shared" si="40"/>
        <v>194</v>
      </c>
      <c r="AA76" s="12">
        <f t="shared" si="40"/>
        <v>311</v>
      </c>
      <c r="AB76" s="12">
        <f t="shared" si="40"/>
        <v>391</v>
      </c>
      <c r="AC76" s="12">
        <f t="shared" si="40"/>
        <v>560</v>
      </c>
      <c r="AD76" s="12">
        <f t="shared" si="40"/>
        <v>2</v>
      </c>
      <c r="AE76" s="12">
        <f t="shared" si="40"/>
        <v>3</v>
      </c>
      <c r="AF76" s="12">
        <f t="shared" si="40"/>
        <v>262</v>
      </c>
    </row>
    <row r="77" spans="1:32" s="126" customFormat="1" x14ac:dyDescent="0.25">
      <c r="A77" s="11" t="s">
        <v>116</v>
      </c>
      <c r="B77" s="240">
        <v>0</v>
      </c>
      <c r="C77" s="12">
        <f t="shared" si="27"/>
        <v>0</v>
      </c>
      <c r="D77" s="12">
        <f t="shared" si="27"/>
        <v>195</v>
      </c>
      <c r="E77" s="12">
        <f t="shared" si="28"/>
        <v>192</v>
      </c>
      <c r="F77" s="12">
        <f t="shared" si="28"/>
        <v>191</v>
      </c>
      <c r="G77" s="12">
        <f t="shared" si="24"/>
        <v>192</v>
      </c>
      <c r="H77" s="12">
        <f t="shared" si="24"/>
        <v>191</v>
      </c>
      <c r="I77" s="12">
        <f t="shared" si="24"/>
        <v>0</v>
      </c>
      <c r="J77" s="12">
        <f t="shared" si="24"/>
        <v>0</v>
      </c>
      <c r="K77" s="12">
        <f t="shared" si="24"/>
        <v>169</v>
      </c>
      <c r="L77" s="12">
        <f t="shared" si="24"/>
        <v>419</v>
      </c>
      <c r="M77" s="12">
        <f t="shared" si="24"/>
        <v>346</v>
      </c>
      <c r="N77" s="12">
        <f t="shared" si="24"/>
        <v>436</v>
      </c>
      <c r="O77" s="12">
        <f t="shared" si="24"/>
        <v>196</v>
      </c>
      <c r="P77" s="12">
        <f t="shared" si="24"/>
        <v>0</v>
      </c>
      <c r="Q77" s="12">
        <f t="shared" si="5"/>
        <v>0</v>
      </c>
      <c r="R77" s="12">
        <f t="shared" si="5"/>
        <v>264</v>
      </c>
      <c r="S77" s="12">
        <f t="shared" si="6"/>
        <v>229</v>
      </c>
      <c r="T77" s="12">
        <f t="shared" ref="T77:AF77" si="41">T37-S37</f>
        <v>519</v>
      </c>
      <c r="U77" s="12">
        <f t="shared" si="41"/>
        <v>346</v>
      </c>
      <c r="V77" s="12">
        <f t="shared" si="41"/>
        <v>86</v>
      </c>
      <c r="W77" s="12">
        <f t="shared" si="41"/>
        <v>0</v>
      </c>
      <c r="X77" s="12">
        <f t="shared" si="41"/>
        <v>0</v>
      </c>
      <c r="Y77" s="12">
        <f t="shared" si="41"/>
        <v>308</v>
      </c>
      <c r="Z77" s="12">
        <f t="shared" si="41"/>
        <v>560</v>
      </c>
      <c r="AA77" s="12">
        <f t="shared" si="41"/>
        <v>403</v>
      </c>
      <c r="AB77" s="12">
        <f t="shared" si="41"/>
        <v>434</v>
      </c>
      <c r="AC77" s="12">
        <f t="shared" si="41"/>
        <v>518</v>
      </c>
      <c r="AD77" s="12">
        <f t="shared" si="41"/>
        <v>518</v>
      </c>
      <c r="AE77" s="12">
        <f t="shared" si="41"/>
        <v>86</v>
      </c>
      <c r="AF77" s="12">
        <f t="shared" si="41"/>
        <v>432</v>
      </c>
    </row>
    <row r="78" spans="1:32" s="126" customFormat="1" x14ac:dyDescent="0.25">
      <c r="A78" s="13" t="s">
        <v>117</v>
      </c>
      <c r="B78" s="240">
        <v>347</v>
      </c>
      <c r="C78" s="12">
        <f t="shared" si="27"/>
        <v>0</v>
      </c>
      <c r="D78" s="12">
        <f t="shared" si="27"/>
        <v>194</v>
      </c>
      <c r="E78" s="12">
        <f t="shared" si="28"/>
        <v>81</v>
      </c>
      <c r="F78" s="12">
        <f t="shared" si="28"/>
        <v>433</v>
      </c>
      <c r="G78" s="12">
        <f t="shared" si="24"/>
        <v>201</v>
      </c>
      <c r="H78" s="12">
        <f t="shared" si="24"/>
        <v>252</v>
      </c>
      <c r="I78" s="12">
        <f t="shared" si="24"/>
        <v>0</v>
      </c>
      <c r="J78" s="12">
        <f t="shared" si="24"/>
        <v>0</v>
      </c>
      <c r="K78" s="12">
        <f t="shared" si="24"/>
        <v>186</v>
      </c>
      <c r="L78" s="12">
        <f t="shared" si="24"/>
        <v>193</v>
      </c>
      <c r="M78" s="12">
        <f t="shared" si="24"/>
        <v>228</v>
      </c>
      <c r="N78" s="12">
        <f t="shared" si="24"/>
        <v>433</v>
      </c>
      <c r="O78" s="12">
        <f t="shared" si="24"/>
        <v>174</v>
      </c>
      <c r="P78" s="12">
        <f t="shared" si="24"/>
        <v>0</v>
      </c>
      <c r="Q78" s="12">
        <f t="shared" si="5"/>
        <v>0</v>
      </c>
      <c r="R78" s="12">
        <f t="shared" si="5"/>
        <v>451</v>
      </c>
      <c r="S78" s="12">
        <f t="shared" si="6"/>
        <v>194</v>
      </c>
      <c r="T78" s="12">
        <f t="shared" ref="T78:AF78" si="42">T38-S38</f>
        <v>400</v>
      </c>
      <c r="U78" s="12">
        <f t="shared" si="42"/>
        <v>519</v>
      </c>
      <c r="V78" s="12">
        <f t="shared" si="42"/>
        <v>431</v>
      </c>
      <c r="W78" s="12">
        <f t="shared" si="42"/>
        <v>1</v>
      </c>
      <c r="X78" s="12">
        <f t="shared" si="42"/>
        <v>3</v>
      </c>
      <c r="Y78" s="12">
        <f t="shared" si="42"/>
        <v>261</v>
      </c>
      <c r="Z78" s="12">
        <f t="shared" si="42"/>
        <v>426</v>
      </c>
      <c r="AA78" s="12">
        <f t="shared" si="42"/>
        <v>319</v>
      </c>
      <c r="AB78" s="12">
        <f t="shared" si="42"/>
        <v>433</v>
      </c>
      <c r="AC78" s="12">
        <f t="shared" si="42"/>
        <v>202</v>
      </c>
      <c r="AD78" s="12">
        <f t="shared" si="42"/>
        <v>0</v>
      </c>
      <c r="AE78" s="12">
        <f t="shared" si="42"/>
        <v>0</v>
      </c>
      <c r="AF78" s="12">
        <f t="shared" si="42"/>
        <v>249</v>
      </c>
    </row>
    <row r="79" spans="1:32" s="126" customFormat="1" x14ac:dyDescent="0.25">
      <c r="A79" s="11" t="s">
        <v>118</v>
      </c>
      <c r="B79" s="240">
        <v>0</v>
      </c>
      <c r="C79" s="12">
        <f t="shared" si="27"/>
        <v>0</v>
      </c>
      <c r="D79" s="12">
        <f t="shared" si="27"/>
        <v>170</v>
      </c>
      <c r="E79" s="12">
        <f t="shared" si="28"/>
        <v>347</v>
      </c>
      <c r="F79" s="12">
        <f t="shared" si="28"/>
        <v>365</v>
      </c>
      <c r="G79" s="12">
        <f t="shared" ref="G79:P79" si="43">G39-F39</f>
        <v>251</v>
      </c>
      <c r="H79" s="12">
        <f t="shared" si="43"/>
        <v>201</v>
      </c>
      <c r="I79" s="12">
        <f t="shared" si="43"/>
        <v>0</v>
      </c>
      <c r="J79" s="12">
        <f t="shared" si="43"/>
        <v>0</v>
      </c>
      <c r="K79" s="12">
        <f t="shared" si="43"/>
        <v>243</v>
      </c>
      <c r="L79" s="12">
        <f t="shared" si="43"/>
        <v>402</v>
      </c>
      <c r="M79" s="12">
        <f t="shared" si="43"/>
        <v>253</v>
      </c>
      <c r="N79" s="12">
        <f t="shared" si="43"/>
        <v>272</v>
      </c>
      <c r="O79" s="12">
        <f t="shared" si="43"/>
        <v>251</v>
      </c>
      <c r="P79" s="12">
        <f t="shared" si="43"/>
        <v>0</v>
      </c>
      <c r="Q79" s="12">
        <f t="shared" si="5"/>
        <v>0</v>
      </c>
      <c r="R79" s="12">
        <f t="shared" si="5"/>
        <v>338</v>
      </c>
      <c r="S79" s="12">
        <f t="shared" si="6"/>
        <v>252</v>
      </c>
      <c r="T79" s="12">
        <f t="shared" ref="T79:AF79" si="44">T39-S39</f>
        <v>313</v>
      </c>
      <c r="U79" s="12">
        <f t="shared" si="44"/>
        <v>262</v>
      </c>
      <c r="V79" s="12">
        <f t="shared" si="44"/>
        <v>451</v>
      </c>
      <c r="W79" s="12">
        <f t="shared" si="44"/>
        <v>0</v>
      </c>
      <c r="X79" s="12">
        <f t="shared" si="44"/>
        <v>0</v>
      </c>
      <c r="Y79" s="12">
        <f t="shared" si="44"/>
        <v>252</v>
      </c>
      <c r="Z79" s="12">
        <f t="shared" si="44"/>
        <v>314</v>
      </c>
      <c r="AA79" s="12">
        <f t="shared" si="44"/>
        <v>207</v>
      </c>
      <c r="AB79" s="12">
        <f t="shared" si="44"/>
        <v>520</v>
      </c>
      <c r="AC79" s="12">
        <f t="shared" si="44"/>
        <v>262</v>
      </c>
      <c r="AD79" s="12">
        <f t="shared" si="44"/>
        <v>1</v>
      </c>
      <c r="AE79" s="12">
        <f t="shared" si="44"/>
        <v>3</v>
      </c>
      <c r="AF79" s="12">
        <f t="shared" si="44"/>
        <v>438</v>
      </c>
    </row>
    <row r="80" spans="1:32" ht="15.75" thickBot="1" x14ac:dyDescent="0.3">
      <c r="A80" s="14"/>
      <c r="B80" s="175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F80" s="126"/>
    </row>
    <row r="81" spans="1:32" ht="15.75" thickBot="1" x14ac:dyDescent="0.3">
      <c r="A81" s="15" t="s">
        <v>34</v>
      </c>
      <c r="B81" s="16">
        <f>SUM(B45:B79)</f>
        <v>8422</v>
      </c>
      <c r="C81" s="16">
        <f t="shared" ref="C81:P81" si="45">SUM(C45:C79)</f>
        <v>5211</v>
      </c>
      <c r="D81" s="16">
        <f t="shared" si="45"/>
        <v>11744</v>
      </c>
      <c r="E81" s="16">
        <f t="shared" si="45"/>
        <v>11775</v>
      </c>
      <c r="F81" s="16">
        <f t="shared" si="45"/>
        <v>11732</v>
      </c>
      <c r="G81" s="16">
        <f t="shared" si="45"/>
        <v>11736</v>
      </c>
      <c r="H81" s="16">
        <f t="shared" si="45"/>
        <v>11720</v>
      </c>
      <c r="I81" s="16">
        <f t="shared" si="45"/>
        <v>6497</v>
      </c>
      <c r="J81" s="16">
        <f t="shared" si="45"/>
        <v>4974</v>
      </c>
      <c r="K81" s="16">
        <f t="shared" si="45"/>
        <v>11698</v>
      </c>
      <c r="L81" s="16">
        <f t="shared" si="45"/>
        <v>11605</v>
      </c>
      <c r="M81" s="16">
        <f t="shared" si="45"/>
        <v>11812</v>
      </c>
      <c r="N81" s="16">
        <f t="shared" si="45"/>
        <v>12084</v>
      </c>
      <c r="O81" s="16">
        <f t="shared" si="45"/>
        <v>12053</v>
      </c>
      <c r="P81" s="16">
        <f t="shared" si="45"/>
        <v>6585</v>
      </c>
      <c r="Q81" s="16">
        <f>SUM(Q45:Q79)</f>
        <v>4952</v>
      </c>
      <c r="R81" s="16">
        <f t="shared" ref="R81:AE81" si="46">SUM(R45:R79)</f>
        <v>11873</v>
      </c>
      <c r="S81" s="16">
        <f t="shared" si="46"/>
        <v>11936</v>
      </c>
      <c r="T81" s="16">
        <f t="shared" si="46"/>
        <v>12063</v>
      </c>
      <c r="U81" s="16">
        <f t="shared" si="46"/>
        <v>11903</v>
      </c>
      <c r="V81" s="16">
        <f t="shared" si="46"/>
        <v>12209</v>
      </c>
      <c r="W81" s="16">
        <f t="shared" si="46"/>
        <v>6498</v>
      </c>
      <c r="X81" s="16">
        <f t="shared" si="46"/>
        <v>4972</v>
      </c>
      <c r="Y81" s="16">
        <f t="shared" si="46"/>
        <v>12085</v>
      </c>
      <c r="Z81" s="16">
        <f t="shared" si="46"/>
        <v>12045</v>
      </c>
      <c r="AA81" s="16">
        <f t="shared" si="46"/>
        <v>11518</v>
      </c>
      <c r="AB81" s="16">
        <f t="shared" si="46"/>
        <v>11972</v>
      </c>
      <c r="AC81" s="16">
        <f t="shared" si="46"/>
        <v>11982</v>
      </c>
      <c r="AD81" s="16">
        <f t="shared" si="46"/>
        <v>6507</v>
      </c>
      <c r="AE81" s="16">
        <f t="shared" si="46"/>
        <v>4945</v>
      </c>
      <c r="AF81" s="16">
        <f>SUM(AF45:AF79)</f>
        <v>12023</v>
      </c>
    </row>
    <row r="82" spans="1:32" s="126" customFormat="1" x14ac:dyDescent="0.25">
      <c r="A82" s="259"/>
      <c r="B82" s="260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260"/>
      <c r="AC82" s="260"/>
      <c r="AD82" s="260"/>
      <c r="AE82" s="260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263"/>
  <sheetViews>
    <sheetView zoomScale="115" zoomScaleNormal="115" workbookViewId="0">
      <pane ySplit="4" topLeftCell="A207" activePane="bottomLeft" state="frozen"/>
      <selection pane="bottomLeft" activeCell="H227" sqref="H227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6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6" customWidth="1"/>
    <col min="20" max="20" width="5.7109375" customWidth="1"/>
    <col min="21" max="21" width="5.28515625" customWidth="1"/>
    <col min="22" max="22" width="3.85546875" style="126" customWidth="1"/>
  </cols>
  <sheetData>
    <row r="1" spans="1:26" x14ac:dyDescent="0.25">
      <c r="A1" s="17"/>
      <c r="B1" s="18"/>
      <c r="C1" s="18"/>
      <c r="D1" s="18"/>
      <c r="E1" s="18"/>
      <c r="F1" s="18"/>
      <c r="H1" s="160" t="s">
        <v>125</v>
      </c>
      <c r="I1" s="160">
        <v>21.7</v>
      </c>
      <c r="J1" s="160" t="s">
        <v>35</v>
      </c>
      <c r="K1" s="160">
        <v>25.4</v>
      </c>
      <c r="L1" s="160" t="s">
        <v>36</v>
      </c>
      <c r="M1" s="160">
        <v>29.11</v>
      </c>
      <c r="N1" s="160" t="s">
        <v>119</v>
      </c>
      <c r="O1" s="160">
        <v>21.7</v>
      </c>
      <c r="P1" s="249" t="s">
        <v>157</v>
      </c>
      <c r="Q1" s="268">
        <v>8.3000000000000007</v>
      </c>
      <c r="R1" s="249" t="s">
        <v>158</v>
      </c>
      <c r="S1" s="268">
        <v>34.83</v>
      </c>
      <c r="T1" s="249" t="s">
        <v>192</v>
      </c>
      <c r="U1" s="339">
        <v>39.19</v>
      </c>
      <c r="W1" s="249" t="s">
        <v>161</v>
      </c>
      <c r="X1" s="291">
        <v>11.71</v>
      </c>
      <c r="Y1" s="126"/>
      <c r="Z1" s="126"/>
    </row>
    <row r="2" spans="1:26" ht="15.75" thickBot="1" x14ac:dyDescent="0.3">
      <c r="A2" s="17"/>
      <c r="B2" s="362" t="s">
        <v>37</v>
      </c>
      <c r="C2" s="362"/>
      <c r="D2" s="363" t="s">
        <v>37</v>
      </c>
      <c r="E2" s="363"/>
      <c r="F2" s="41"/>
      <c r="H2" s="215" t="s">
        <v>150</v>
      </c>
      <c r="I2" s="215">
        <v>30.4</v>
      </c>
      <c r="J2" s="160" t="s">
        <v>121</v>
      </c>
      <c r="K2" s="160">
        <v>25.4</v>
      </c>
      <c r="L2" s="160" t="s">
        <v>38</v>
      </c>
      <c r="M2" s="160">
        <v>43.13</v>
      </c>
      <c r="N2" s="160" t="s">
        <v>110</v>
      </c>
      <c r="O2" s="160">
        <v>35.729999999999997</v>
      </c>
      <c r="P2" s="249" t="s">
        <v>156</v>
      </c>
      <c r="Q2" s="247">
        <v>33.97</v>
      </c>
      <c r="R2" s="249" t="s">
        <v>159</v>
      </c>
      <c r="S2" s="281">
        <v>7.4</v>
      </c>
      <c r="T2" s="249" t="s">
        <v>203</v>
      </c>
      <c r="U2" s="344">
        <v>12.72</v>
      </c>
      <c r="W2" s="249" t="s">
        <v>179</v>
      </c>
      <c r="X2" s="354">
        <v>21.7</v>
      </c>
    </row>
    <row r="3" spans="1:26" ht="14.1" customHeight="1" x14ac:dyDescent="0.25">
      <c r="A3" s="17"/>
      <c r="B3" s="362" t="s">
        <v>39</v>
      </c>
      <c r="C3" s="362"/>
      <c r="D3" s="363" t="s">
        <v>40</v>
      </c>
      <c r="E3" s="363"/>
      <c r="F3" s="382" t="s">
        <v>41</v>
      </c>
      <c r="G3" s="382" t="s">
        <v>42</v>
      </c>
      <c r="H3" s="382" t="s">
        <v>206</v>
      </c>
      <c r="I3" s="382" t="s">
        <v>43</v>
      </c>
      <c r="J3" s="382" t="s">
        <v>44</v>
      </c>
      <c r="K3" s="382" t="s">
        <v>45</v>
      </c>
      <c r="L3" s="382" t="s">
        <v>46</v>
      </c>
      <c r="M3" s="382" t="s">
        <v>47</v>
      </c>
      <c r="N3" s="370" t="s">
        <v>48</v>
      </c>
      <c r="O3" s="370" t="s">
        <v>49</v>
      </c>
      <c r="P3" s="369"/>
      <c r="Q3" s="371" t="s">
        <v>142</v>
      </c>
      <c r="R3" s="372"/>
      <c r="S3" s="373"/>
      <c r="T3" s="374" t="s">
        <v>145</v>
      </c>
      <c r="U3" s="375"/>
      <c r="V3" s="376"/>
      <c r="W3" s="367" t="s">
        <v>146</v>
      </c>
      <c r="X3" s="367" t="s">
        <v>205</v>
      </c>
    </row>
    <row r="4" spans="1:26" ht="17.25" customHeight="1" thickBot="1" x14ac:dyDescent="0.3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82"/>
      <c r="G4" s="386"/>
      <c r="H4" s="386"/>
      <c r="I4" s="382"/>
      <c r="J4" s="382"/>
      <c r="K4" s="382"/>
      <c r="L4" s="382"/>
      <c r="M4" s="382"/>
      <c r="N4" s="370"/>
      <c r="O4" s="370"/>
      <c r="P4" s="369"/>
      <c r="Q4" s="202" t="s">
        <v>143</v>
      </c>
      <c r="R4" s="203" t="s">
        <v>144</v>
      </c>
      <c r="S4" s="203" t="s">
        <v>149</v>
      </c>
      <c r="T4" s="204" t="s">
        <v>143</v>
      </c>
      <c r="U4" s="252" t="s">
        <v>144</v>
      </c>
      <c r="V4" s="253" t="s">
        <v>149</v>
      </c>
      <c r="W4" s="368"/>
      <c r="X4" s="368"/>
    </row>
    <row r="5" spans="1:26" x14ac:dyDescent="0.25">
      <c r="A5" s="213">
        <v>45717</v>
      </c>
      <c r="B5" s="118">
        <v>53</v>
      </c>
      <c r="C5" s="118">
        <v>19</v>
      </c>
      <c r="D5" s="150">
        <f>'Data Ocupacion'!D42</f>
        <v>54</v>
      </c>
      <c r="E5" s="150">
        <f>'Data Ocupacion'!E42</f>
        <v>18</v>
      </c>
      <c r="F5" s="118" t="s">
        <v>38</v>
      </c>
      <c r="G5" s="118">
        <f t="shared" ref="G5:G10" si="0">D5+E5*2</f>
        <v>90</v>
      </c>
      <c r="H5" s="118">
        <f>B5+C5*2</f>
        <v>91</v>
      </c>
      <c r="I5" s="118">
        <f t="shared" ref="I5:I10" si="1">D5+E5</f>
        <v>72</v>
      </c>
      <c r="J5" s="118">
        <f>G5*M$2</f>
        <v>3881.7000000000003</v>
      </c>
      <c r="K5" s="156">
        <f>I5*M$2</f>
        <v>3105.36</v>
      </c>
      <c r="L5" s="118">
        <f t="shared" ref="L5:L10" si="2">J5*104</f>
        <v>403696.80000000005</v>
      </c>
      <c r="M5" s="118">
        <f t="shared" ref="M5:M10" si="3">I5*104</f>
        <v>7488</v>
      </c>
      <c r="N5" s="19"/>
      <c r="O5" s="19"/>
      <c r="P5" s="149"/>
      <c r="Q5" s="189"/>
      <c r="R5" s="189"/>
      <c r="S5" s="216"/>
      <c r="T5" s="198"/>
      <c r="U5" s="199"/>
      <c r="V5" s="245"/>
      <c r="W5" s="188">
        <f>J5-(Q5*($M$2-$K$1)+(R5*($M$2-$M$1))+  (S5*($M$2-$I$2)))</f>
        <v>3881.7000000000003</v>
      </c>
      <c r="X5" s="188">
        <f>H5*$M$2</f>
        <v>3924.8300000000004</v>
      </c>
    </row>
    <row r="6" spans="1:26" ht="15" customHeight="1" x14ac:dyDescent="0.25">
      <c r="A6" s="385" t="s">
        <v>176</v>
      </c>
      <c r="B6" s="118">
        <v>59</v>
      </c>
      <c r="C6" s="118">
        <v>16</v>
      </c>
      <c r="D6" s="150">
        <f>'Data Ocupacion'!D43</f>
        <v>58</v>
      </c>
      <c r="E6" s="150">
        <f>'Data Ocupacion'!E43</f>
        <v>17</v>
      </c>
      <c r="F6" s="118" t="s">
        <v>52</v>
      </c>
      <c r="G6" s="118">
        <f t="shared" si="0"/>
        <v>92</v>
      </c>
      <c r="H6" s="118">
        <f t="shared" ref="H6:H12" si="4">B6+C6*2</f>
        <v>91</v>
      </c>
      <c r="I6" s="118">
        <f t="shared" si="1"/>
        <v>75</v>
      </c>
      <c r="J6" s="118">
        <f>G6*M$2</f>
        <v>3967.96</v>
      </c>
      <c r="K6" s="156">
        <f>I6*M$2</f>
        <v>3234.75</v>
      </c>
      <c r="L6" s="118">
        <f t="shared" si="2"/>
        <v>412667.84</v>
      </c>
      <c r="M6" s="118">
        <f t="shared" si="3"/>
        <v>7800</v>
      </c>
      <c r="N6" s="19"/>
      <c r="O6" s="19"/>
      <c r="P6" s="149"/>
      <c r="Q6" s="194"/>
      <c r="R6" s="194"/>
      <c r="S6" s="194"/>
      <c r="T6" s="189">
        <v>4</v>
      </c>
      <c r="U6" s="214"/>
      <c r="V6" s="246"/>
      <c r="W6" s="192">
        <f>J6-(T6*($M$2-$K$1)+(U6*($M$2-$M$1)))</f>
        <v>3897.04</v>
      </c>
      <c r="X6" s="188">
        <f>H6*$M$2</f>
        <v>3924.8300000000004</v>
      </c>
    </row>
    <row r="7" spans="1:26" ht="15" customHeight="1" x14ac:dyDescent="0.25">
      <c r="A7" s="385"/>
      <c r="B7" s="118">
        <v>0</v>
      </c>
      <c r="C7" s="118">
        <v>0</v>
      </c>
      <c r="D7" s="150">
        <f>'Data Ocupacion'!D44</f>
        <v>0</v>
      </c>
      <c r="E7" s="150">
        <f>'Data Ocupacion'!E44</f>
        <v>0</v>
      </c>
      <c r="F7" s="118" t="s">
        <v>36</v>
      </c>
      <c r="G7" s="118">
        <f t="shared" si="0"/>
        <v>0</v>
      </c>
      <c r="H7" s="118">
        <f t="shared" si="4"/>
        <v>0</v>
      </c>
      <c r="I7" s="118">
        <f t="shared" si="1"/>
        <v>0</v>
      </c>
      <c r="J7" s="118">
        <f>G7*M$1</f>
        <v>0</v>
      </c>
      <c r="K7" s="156">
        <f>I7*M$1</f>
        <v>0</v>
      </c>
      <c r="L7" s="118">
        <f t="shared" si="2"/>
        <v>0</v>
      </c>
      <c r="M7" s="118">
        <f t="shared" si="3"/>
        <v>0</v>
      </c>
      <c r="N7" s="19"/>
      <c r="O7" s="19"/>
      <c r="P7" s="149"/>
      <c r="Q7" s="193"/>
      <c r="R7" s="195"/>
      <c r="S7" s="217"/>
      <c r="T7" s="196"/>
      <c r="U7" s="197"/>
      <c r="V7" s="197"/>
      <c r="W7" s="188">
        <f>J7-(Q7*($M$1-$K$1))</f>
        <v>0</v>
      </c>
      <c r="X7" s="188">
        <f>H7*$M$1</f>
        <v>0</v>
      </c>
    </row>
    <row r="8" spans="1:26" ht="15" customHeight="1" x14ac:dyDescent="0.25">
      <c r="A8" s="385"/>
      <c r="B8" s="118">
        <v>0</v>
      </c>
      <c r="C8" s="118">
        <v>0</v>
      </c>
      <c r="D8" s="150">
        <f>'Data Ocupacion'!D45</f>
        <v>0</v>
      </c>
      <c r="E8" s="150">
        <f>'Data Ocupacion'!E45</f>
        <v>0</v>
      </c>
      <c r="F8" s="118" t="s">
        <v>53</v>
      </c>
      <c r="G8" s="118">
        <f t="shared" si="0"/>
        <v>0</v>
      </c>
      <c r="H8" s="118">
        <f t="shared" si="4"/>
        <v>0</v>
      </c>
      <c r="I8" s="118">
        <f t="shared" si="1"/>
        <v>0</v>
      </c>
      <c r="J8" s="118">
        <f>G8*M$1</f>
        <v>0</v>
      </c>
      <c r="K8" s="156">
        <f>I8*M$1</f>
        <v>0</v>
      </c>
      <c r="L8" s="118">
        <f t="shared" si="2"/>
        <v>0</v>
      </c>
      <c r="M8" s="118">
        <f t="shared" si="3"/>
        <v>0</v>
      </c>
      <c r="N8" s="19"/>
      <c r="O8" s="19"/>
      <c r="P8" s="149"/>
      <c r="Q8" s="197"/>
      <c r="R8" s="197"/>
      <c r="S8" s="197"/>
      <c r="T8" s="197"/>
      <c r="U8" s="197"/>
      <c r="V8" s="197"/>
      <c r="W8" s="188">
        <f>J8</f>
        <v>0</v>
      </c>
      <c r="X8" s="188">
        <f>H8*$M$1</f>
        <v>0</v>
      </c>
    </row>
    <row r="9" spans="1:26" s="126" customFormat="1" ht="15" customHeight="1" x14ac:dyDescent="0.25">
      <c r="A9" s="385"/>
      <c r="B9" s="118">
        <v>0</v>
      </c>
      <c r="C9" s="118">
        <v>0</v>
      </c>
      <c r="D9" s="150">
        <f>'Data Ocupacion'!D46</f>
        <v>0</v>
      </c>
      <c r="E9" s="150">
        <f>'Data Ocupacion'!E46</f>
        <v>0</v>
      </c>
      <c r="F9" s="118" t="s">
        <v>122</v>
      </c>
      <c r="G9" s="118">
        <f t="shared" si="0"/>
        <v>0</v>
      </c>
      <c r="H9" s="118">
        <f t="shared" si="4"/>
        <v>0</v>
      </c>
      <c r="I9" s="118">
        <f t="shared" si="1"/>
        <v>0</v>
      </c>
      <c r="J9" s="118">
        <f>G9*K$1</f>
        <v>0</v>
      </c>
      <c r="K9" s="156">
        <f>I9*K$1</f>
        <v>0</v>
      </c>
      <c r="L9" s="118">
        <f t="shared" si="2"/>
        <v>0</v>
      </c>
      <c r="M9" s="118">
        <f t="shared" si="3"/>
        <v>0</v>
      </c>
      <c r="N9" s="19"/>
      <c r="O9" s="19"/>
      <c r="P9" s="149"/>
      <c r="Q9" s="197"/>
      <c r="R9" s="197"/>
      <c r="S9" s="197"/>
      <c r="T9" s="197"/>
      <c r="U9" s="197"/>
      <c r="V9" s="197"/>
      <c r="W9" s="188">
        <f>J9</f>
        <v>0</v>
      </c>
      <c r="X9" s="188">
        <f>H9*$K$1</f>
        <v>0</v>
      </c>
    </row>
    <row r="10" spans="1:26" ht="15.95" customHeight="1" x14ac:dyDescent="0.25">
      <c r="A10" s="385"/>
      <c r="B10" s="118">
        <v>0</v>
      </c>
      <c r="C10" s="118">
        <v>0</v>
      </c>
      <c r="D10" s="150">
        <f>'Data Ocupacion'!D47</f>
        <v>0</v>
      </c>
      <c r="E10" s="150">
        <f>'Data Ocupacion'!E47</f>
        <v>0</v>
      </c>
      <c r="F10" s="118" t="s">
        <v>35</v>
      </c>
      <c r="G10" s="118">
        <f t="shared" si="0"/>
        <v>0</v>
      </c>
      <c r="H10" s="118">
        <f t="shared" si="4"/>
        <v>0</v>
      </c>
      <c r="I10" s="118">
        <f t="shared" si="1"/>
        <v>0</v>
      </c>
      <c r="J10" s="118">
        <f>G10*K$1</f>
        <v>0</v>
      </c>
      <c r="K10" s="156">
        <f>I10*K$1</f>
        <v>0</v>
      </c>
      <c r="L10" s="118">
        <f t="shared" si="2"/>
        <v>0</v>
      </c>
      <c r="M10" s="118">
        <f t="shared" si="3"/>
        <v>0</v>
      </c>
      <c r="N10" s="19"/>
      <c r="O10" s="19"/>
      <c r="P10" s="149"/>
      <c r="Q10" s="197"/>
      <c r="R10" s="197"/>
      <c r="S10" s="197"/>
      <c r="T10" s="197"/>
      <c r="U10" s="197"/>
      <c r="V10" s="197"/>
      <c r="W10" s="188">
        <f>J10</f>
        <v>0</v>
      </c>
      <c r="X10" s="188">
        <f>H10*$K$1</f>
        <v>0</v>
      </c>
    </row>
    <row r="11" spans="1:26" s="126" customFormat="1" ht="15.95" customHeight="1" x14ac:dyDescent="0.25">
      <c r="A11" s="385"/>
      <c r="B11" s="118">
        <v>4</v>
      </c>
      <c r="C11" s="118">
        <v>0</v>
      </c>
      <c r="D11" s="150">
        <f>'Data Ocupacion'!D50</f>
        <v>3</v>
      </c>
      <c r="E11" s="150">
        <f>'Data Ocupacion'!E50</f>
        <v>1</v>
      </c>
      <c r="F11" s="118" t="s">
        <v>158</v>
      </c>
      <c r="G11" s="118">
        <f>D11+E11*2</f>
        <v>5</v>
      </c>
      <c r="H11" s="118">
        <f t="shared" si="4"/>
        <v>4</v>
      </c>
      <c r="I11" s="118">
        <f>D11+E11</f>
        <v>4</v>
      </c>
      <c r="J11" s="118">
        <f>G11*S$1</f>
        <v>174.14999999999998</v>
      </c>
      <c r="K11" s="156">
        <f>I11*S$1</f>
        <v>139.32</v>
      </c>
      <c r="L11" s="118">
        <f>J11*104</f>
        <v>18111.599999999999</v>
      </c>
      <c r="M11" s="118">
        <f>I11*104</f>
        <v>416</v>
      </c>
      <c r="N11" s="19"/>
      <c r="O11" s="19"/>
      <c r="P11" s="149"/>
      <c r="Q11" s="197"/>
      <c r="R11" s="197"/>
      <c r="S11" s="197"/>
      <c r="T11" s="197"/>
      <c r="U11" s="197"/>
      <c r="V11" s="197"/>
      <c r="W11" s="188">
        <f>J11</f>
        <v>174.14999999999998</v>
      </c>
      <c r="X11" s="188">
        <f>H11*$S$1</f>
        <v>139.32</v>
      </c>
    </row>
    <row r="12" spans="1:26" s="126" customFormat="1" ht="15.95" customHeight="1" thickBot="1" x14ac:dyDescent="0.3">
      <c r="A12" s="385"/>
      <c r="B12" s="118">
        <v>2</v>
      </c>
      <c r="C12" s="118">
        <v>0</v>
      </c>
      <c r="D12" s="150">
        <f>'Data Ocupacion'!D51</f>
        <v>2</v>
      </c>
      <c r="E12" s="150">
        <f>'Data Ocupacion'!E51</f>
        <v>0</v>
      </c>
      <c r="F12" s="118" t="s">
        <v>157</v>
      </c>
      <c r="G12" s="118">
        <f>D12+E12*2</f>
        <v>2</v>
      </c>
      <c r="H12" s="118">
        <f t="shared" si="4"/>
        <v>2</v>
      </c>
      <c r="I12" s="118">
        <f>D12+E12</f>
        <v>2</v>
      </c>
      <c r="J12" s="118">
        <f>G12*Q$1</f>
        <v>16.600000000000001</v>
      </c>
      <c r="K12" s="156">
        <f>I12*Q$1</f>
        <v>16.600000000000001</v>
      </c>
      <c r="L12" s="118">
        <f>J12*104</f>
        <v>1726.4</v>
      </c>
      <c r="M12" s="118">
        <f>I12*104</f>
        <v>208</v>
      </c>
      <c r="N12" s="19"/>
      <c r="O12" s="19"/>
      <c r="P12" s="149"/>
      <c r="Q12" s="197"/>
      <c r="R12" s="197"/>
      <c r="S12" s="197"/>
      <c r="T12" s="197"/>
      <c r="U12" s="197"/>
      <c r="V12" s="197"/>
      <c r="W12" s="188">
        <f>J12</f>
        <v>16.600000000000001</v>
      </c>
      <c r="X12" s="188">
        <f>H12*$Q$1</f>
        <v>16.600000000000001</v>
      </c>
    </row>
    <row r="13" spans="1:26" ht="15.75" thickBot="1" x14ac:dyDescent="0.3">
      <c r="A13" s="20"/>
      <c r="B13" s="230">
        <f>SUM(B5:B12)</f>
        <v>118</v>
      </c>
      <c r="C13" s="230">
        <f>SUM(C5:C12)</f>
        <v>35</v>
      </c>
      <c r="D13" s="155">
        <f>SUM(D5:D12)</f>
        <v>117</v>
      </c>
      <c r="E13" s="155">
        <f>SUM(E5:E12)</f>
        <v>36</v>
      </c>
      <c r="F13" s="121"/>
      <c r="G13" s="121">
        <f t="shared" ref="G13:M13" si="5">SUM(G5:G12)</f>
        <v>189</v>
      </c>
      <c r="H13" s="121">
        <f t="shared" si="5"/>
        <v>188</v>
      </c>
      <c r="I13" s="121">
        <f t="shared" si="5"/>
        <v>153</v>
      </c>
      <c r="J13" s="122">
        <f t="shared" si="5"/>
        <v>8040.41</v>
      </c>
      <c r="K13" s="121">
        <f t="shared" si="5"/>
        <v>6496.0300000000007</v>
      </c>
      <c r="L13" s="120">
        <f t="shared" si="5"/>
        <v>836202.64000000013</v>
      </c>
      <c r="M13" s="154">
        <f t="shared" si="5"/>
        <v>15912</v>
      </c>
      <c r="N13" s="125">
        <f>'Odometro-Kilometraje'!B81</f>
        <v>8422</v>
      </c>
      <c r="O13" s="21">
        <f>(W13/N13)*100</f>
        <v>94.627048207076697</v>
      </c>
      <c r="P13" s="200"/>
      <c r="Q13" s="187"/>
      <c r="R13" s="187"/>
      <c r="S13" s="187"/>
      <c r="T13" s="187"/>
      <c r="U13" s="187"/>
      <c r="V13" s="187"/>
      <c r="W13" s="201">
        <f>SUM(W5:W12)</f>
        <v>7969.49</v>
      </c>
      <c r="X13" s="201">
        <f>SUM(X5:X12)</f>
        <v>8005.5800000000008</v>
      </c>
    </row>
    <row r="14" spans="1:26" x14ac:dyDescent="0.25">
      <c r="A14" s="62">
        <f>A5+1</f>
        <v>45718</v>
      </c>
      <c r="B14" s="231">
        <v>51</v>
      </c>
      <c r="C14" s="231">
        <v>3</v>
      </c>
      <c r="D14" s="140">
        <f>'Data Ocupacion'!F42</f>
        <v>52</v>
      </c>
      <c r="E14" s="140">
        <f>'Data Ocupacion'!G42</f>
        <v>2</v>
      </c>
      <c r="F14" s="231" t="s">
        <v>38</v>
      </c>
      <c r="G14" s="231">
        <f t="shared" ref="G14:G21" si="6">D14+E14*2</f>
        <v>56</v>
      </c>
      <c r="H14" s="231">
        <f>B14+C14*2</f>
        <v>57</v>
      </c>
      <c r="I14" s="231">
        <f t="shared" ref="I14:I21" si="7">D14+E14</f>
        <v>54</v>
      </c>
      <c r="J14" s="231">
        <f>G14*M$2</f>
        <v>2415.2800000000002</v>
      </c>
      <c r="K14" s="156">
        <f>I14*M$2</f>
        <v>2329.02</v>
      </c>
      <c r="L14" s="231">
        <f t="shared" ref="L14:L21" si="8">J14*104</f>
        <v>251189.12000000002</v>
      </c>
      <c r="M14" s="231">
        <f t="shared" ref="M14:M21" si="9">I14*104</f>
        <v>5616</v>
      </c>
      <c r="N14" s="19"/>
      <c r="O14" s="19"/>
      <c r="P14" s="149"/>
      <c r="Q14" s="189"/>
      <c r="R14" s="189"/>
      <c r="S14" s="216"/>
      <c r="T14" s="190"/>
      <c r="U14" s="199"/>
      <c r="V14" s="245"/>
      <c r="W14" s="188">
        <f>J14-(Q14*($M$2-$K$1)+(R14*($M$2-$M$1))+  (S14*($M$2-$I$2))+ (T14*($M$2-$K$1)))</f>
        <v>2415.2800000000002</v>
      </c>
      <c r="X14" s="188">
        <f>H14*$M$2</f>
        <v>2458.4100000000003</v>
      </c>
    </row>
    <row r="15" spans="1:26" ht="15" customHeight="1" x14ac:dyDescent="0.25">
      <c r="A15" s="385" t="s">
        <v>172</v>
      </c>
      <c r="B15" s="231">
        <v>57</v>
      </c>
      <c r="C15" s="231">
        <v>0</v>
      </c>
      <c r="D15" s="140">
        <f>'Data Ocupacion'!F43</f>
        <v>57</v>
      </c>
      <c r="E15" s="140">
        <f>'Data Ocupacion'!G43</f>
        <v>0</v>
      </c>
      <c r="F15" s="231" t="s">
        <v>52</v>
      </c>
      <c r="G15" s="231">
        <f t="shared" si="6"/>
        <v>57</v>
      </c>
      <c r="H15" s="231">
        <f t="shared" ref="H15:H21" si="10">B15+C15*2</f>
        <v>57</v>
      </c>
      <c r="I15" s="231">
        <f t="shared" si="7"/>
        <v>57</v>
      </c>
      <c r="J15" s="231">
        <f>G15*M$2</f>
        <v>2458.4100000000003</v>
      </c>
      <c r="K15" s="156">
        <f>I15*M$2</f>
        <v>2458.4100000000003</v>
      </c>
      <c r="L15" s="231">
        <f t="shared" si="8"/>
        <v>255674.64000000004</v>
      </c>
      <c r="M15" s="231">
        <f t="shared" si="9"/>
        <v>5928</v>
      </c>
      <c r="N15" s="19"/>
      <c r="O15" s="19"/>
      <c r="P15" s="149"/>
      <c r="Q15" s="194"/>
      <c r="R15" s="194"/>
      <c r="S15" s="194"/>
      <c r="T15" s="189"/>
      <c r="U15" s="189"/>
      <c r="V15" s="216"/>
      <c r="W15" s="192">
        <f>J15-(T15*($M$2-$K$1)+(U15*($M$2-$M$1)))</f>
        <v>2458.4100000000003</v>
      </c>
      <c r="X15" s="188">
        <f>H15*$M$2</f>
        <v>2458.4100000000003</v>
      </c>
    </row>
    <row r="16" spans="1:26" ht="15.95" customHeight="1" x14ac:dyDescent="0.25">
      <c r="A16" s="385"/>
      <c r="B16" s="231">
        <v>0</v>
      </c>
      <c r="C16" s="231">
        <v>0</v>
      </c>
      <c r="D16" s="140">
        <f>'Data Ocupacion'!F44</f>
        <v>0</v>
      </c>
      <c r="E16" s="140">
        <f>'Data Ocupacion'!G44</f>
        <v>0</v>
      </c>
      <c r="F16" s="231" t="s">
        <v>36</v>
      </c>
      <c r="G16" s="231">
        <f t="shared" si="6"/>
        <v>0</v>
      </c>
      <c r="H16" s="231">
        <f t="shared" si="10"/>
        <v>0</v>
      </c>
      <c r="I16" s="231">
        <f t="shared" si="7"/>
        <v>0</v>
      </c>
      <c r="J16" s="231">
        <f>G16*M$1</f>
        <v>0</v>
      </c>
      <c r="K16" s="156">
        <f>I16*M$1</f>
        <v>0</v>
      </c>
      <c r="L16" s="231">
        <f t="shared" si="8"/>
        <v>0</v>
      </c>
      <c r="M16" s="231">
        <f t="shared" si="9"/>
        <v>0</v>
      </c>
      <c r="N16" s="19"/>
      <c r="O16" s="19"/>
      <c r="P16" s="149"/>
      <c r="Q16" s="193"/>
      <c r="R16" s="195"/>
      <c r="S16" s="217"/>
      <c r="T16" s="196"/>
      <c r="U16" s="197"/>
      <c r="V16" s="197"/>
      <c r="W16" s="188">
        <f>J16-(Q16*($M$1-$K$1))</f>
        <v>0</v>
      </c>
      <c r="X16" s="188">
        <f>H16*$M$1</f>
        <v>0</v>
      </c>
    </row>
    <row r="17" spans="1:24" ht="15" customHeight="1" x14ac:dyDescent="0.25">
      <c r="A17" s="385"/>
      <c r="B17" s="231">
        <v>0</v>
      </c>
      <c r="C17" s="231">
        <v>0</v>
      </c>
      <c r="D17" s="140">
        <f>'Data Ocupacion'!F45</f>
        <v>0</v>
      </c>
      <c r="E17" s="140">
        <f>'Data Ocupacion'!G45</f>
        <v>0</v>
      </c>
      <c r="F17" s="231" t="s">
        <v>53</v>
      </c>
      <c r="G17" s="231">
        <f t="shared" si="6"/>
        <v>0</v>
      </c>
      <c r="H17" s="231">
        <f t="shared" si="10"/>
        <v>0</v>
      </c>
      <c r="I17" s="231">
        <f t="shared" si="7"/>
        <v>0</v>
      </c>
      <c r="J17" s="231">
        <f>G17*M$1</f>
        <v>0</v>
      </c>
      <c r="K17" s="156">
        <f>I17*M$1</f>
        <v>0</v>
      </c>
      <c r="L17" s="231">
        <f t="shared" si="8"/>
        <v>0</v>
      </c>
      <c r="M17" s="231">
        <f t="shared" si="9"/>
        <v>0</v>
      </c>
      <c r="N17" s="168"/>
      <c r="O17" s="19"/>
      <c r="P17" s="149"/>
      <c r="Q17" s="197"/>
      <c r="R17" s="197"/>
      <c r="S17" s="197"/>
      <c r="T17" s="197"/>
      <c r="U17" s="197"/>
      <c r="V17" s="197"/>
      <c r="W17" s="188">
        <f>J17</f>
        <v>0</v>
      </c>
      <c r="X17" s="188">
        <f>H17*$M$1</f>
        <v>0</v>
      </c>
    </row>
    <row r="18" spans="1:24" s="126" customFormat="1" ht="15" customHeight="1" x14ac:dyDescent="0.25">
      <c r="A18" s="385"/>
      <c r="B18" s="231">
        <v>0</v>
      </c>
      <c r="C18" s="231">
        <v>0</v>
      </c>
      <c r="D18" s="140">
        <f>'Data Ocupacion'!F46</f>
        <v>0</v>
      </c>
      <c r="E18" s="140">
        <f>'Data Ocupacion'!G46</f>
        <v>0</v>
      </c>
      <c r="F18" s="231" t="s">
        <v>122</v>
      </c>
      <c r="G18" s="231">
        <f t="shared" si="6"/>
        <v>0</v>
      </c>
      <c r="H18" s="231">
        <f t="shared" si="10"/>
        <v>0</v>
      </c>
      <c r="I18" s="231">
        <f t="shared" si="7"/>
        <v>0</v>
      </c>
      <c r="J18" s="231">
        <f>G18*K$1</f>
        <v>0</v>
      </c>
      <c r="K18" s="156">
        <f>I18*K$1</f>
        <v>0</v>
      </c>
      <c r="L18" s="231">
        <f t="shared" si="8"/>
        <v>0</v>
      </c>
      <c r="M18" s="231">
        <f t="shared" si="9"/>
        <v>0</v>
      </c>
      <c r="N18" s="168"/>
      <c r="O18" s="19"/>
      <c r="P18" s="149"/>
      <c r="Q18" s="197"/>
      <c r="R18" s="197"/>
      <c r="S18" s="197"/>
      <c r="T18" s="197"/>
      <c r="U18" s="197"/>
      <c r="V18" s="197"/>
      <c r="W18" s="188">
        <f>J18</f>
        <v>0</v>
      </c>
      <c r="X18" s="188">
        <f>H18*$K$1</f>
        <v>0</v>
      </c>
    </row>
    <row r="19" spans="1:24" s="126" customFormat="1" ht="15" customHeight="1" x14ac:dyDescent="0.25">
      <c r="A19" s="385"/>
      <c r="B19" s="231">
        <v>0</v>
      </c>
      <c r="C19" s="231">
        <v>0</v>
      </c>
      <c r="D19" s="140">
        <f>'Data Ocupacion'!F47</f>
        <v>0</v>
      </c>
      <c r="E19" s="140">
        <f>'Data Ocupacion'!G47</f>
        <v>0</v>
      </c>
      <c r="F19" s="231" t="s">
        <v>35</v>
      </c>
      <c r="G19" s="231">
        <f t="shared" si="6"/>
        <v>0</v>
      </c>
      <c r="H19" s="231">
        <f t="shared" si="10"/>
        <v>0</v>
      </c>
      <c r="I19" s="231">
        <f t="shared" si="7"/>
        <v>0</v>
      </c>
      <c r="J19" s="231">
        <f>G19*K$1</f>
        <v>0</v>
      </c>
      <c r="K19" s="156">
        <f>I19*K$1</f>
        <v>0</v>
      </c>
      <c r="L19" s="231">
        <f t="shared" si="8"/>
        <v>0</v>
      </c>
      <c r="M19" s="231">
        <f t="shared" si="9"/>
        <v>0</v>
      </c>
      <c r="N19" s="19"/>
      <c r="O19" s="19"/>
      <c r="P19" s="149"/>
      <c r="Q19" s="197"/>
      <c r="R19" s="197"/>
      <c r="S19" s="197"/>
      <c r="T19" s="197"/>
      <c r="U19" s="197"/>
      <c r="V19" s="197"/>
      <c r="W19" s="188">
        <f>J19</f>
        <v>0</v>
      </c>
      <c r="X19" s="188">
        <f>H19*$K$1</f>
        <v>0</v>
      </c>
    </row>
    <row r="20" spans="1:24" s="126" customFormat="1" ht="15" customHeight="1" x14ac:dyDescent="0.25">
      <c r="A20" s="385"/>
      <c r="B20" s="231">
        <v>4</v>
      </c>
      <c r="C20" s="231">
        <v>0</v>
      </c>
      <c r="D20" s="140">
        <f>'Data Ocupacion'!F50</f>
        <v>3</v>
      </c>
      <c r="E20" s="140">
        <f>'Data Ocupacion'!G50</f>
        <v>1</v>
      </c>
      <c r="F20" s="231" t="s">
        <v>158</v>
      </c>
      <c r="G20" s="231">
        <f t="shared" si="6"/>
        <v>5</v>
      </c>
      <c r="H20" s="231">
        <f t="shared" si="10"/>
        <v>4</v>
      </c>
      <c r="I20" s="231">
        <f t="shared" si="7"/>
        <v>4</v>
      </c>
      <c r="J20" s="231">
        <f>G20*S$1</f>
        <v>174.14999999999998</v>
      </c>
      <c r="K20" s="231">
        <f>I20*S$1</f>
        <v>139.32</v>
      </c>
      <c r="L20" s="231">
        <f t="shared" si="8"/>
        <v>18111.599999999999</v>
      </c>
      <c r="M20" s="231">
        <f t="shared" si="9"/>
        <v>416</v>
      </c>
      <c r="N20" s="326"/>
      <c r="O20" s="326"/>
      <c r="P20" s="149"/>
      <c r="Q20" s="197"/>
      <c r="R20" s="197"/>
      <c r="S20" s="197"/>
      <c r="T20" s="197"/>
      <c r="U20" s="197"/>
      <c r="V20" s="197"/>
      <c r="W20" s="188">
        <f>J20</f>
        <v>174.14999999999998</v>
      </c>
      <c r="X20" s="188">
        <f>H20*$S$1</f>
        <v>139.32</v>
      </c>
    </row>
    <row r="21" spans="1:24" ht="15.95" customHeight="1" thickBot="1" x14ac:dyDescent="0.3">
      <c r="A21" s="385"/>
      <c r="B21" s="231">
        <v>2</v>
      </c>
      <c r="C21" s="231">
        <v>0</v>
      </c>
      <c r="D21" s="140">
        <f>'Data Ocupacion'!F51</f>
        <v>2</v>
      </c>
      <c r="E21" s="140">
        <f>'Data Ocupacion'!G51</f>
        <v>0</v>
      </c>
      <c r="F21" s="231" t="s">
        <v>157</v>
      </c>
      <c r="G21" s="231">
        <f t="shared" si="6"/>
        <v>2</v>
      </c>
      <c r="H21" s="231">
        <f t="shared" si="10"/>
        <v>2</v>
      </c>
      <c r="I21" s="231">
        <f t="shared" si="7"/>
        <v>2</v>
      </c>
      <c r="J21" s="231">
        <f>G21*Q$1</f>
        <v>16.600000000000001</v>
      </c>
      <c r="K21" s="231">
        <f>I21*Q$1</f>
        <v>16.600000000000001</v>
      </c>
      <c r="L21" s="231">
        <f t="shared" si="8"/>
        <v>1726.4</v>
      </c>
      <c r="M21" s="231">
        <f t="shared" si="9"/>
        <v>208</v>
      </c>
      <c r="N21" s="326"/>
      <c r="O21" s="326"/>
      <c r="P21" s="149"/>
      <c r="Q21" s="197"/>
      <c r="R21" s="197"/>
      <c r="S21" s="197"/>
      <c r="T21" s="197"/>
      <c r="U21" s="197"/>
      <c r="V21" s="197"/>
      <c r="W21" s="188">
        <f>J21</f>
        <v>16.600000000000001</v>
      </c>
      <c r="X21" s="188">
        <f>H21*$Q$1</f>
        <v>16.600000000000001</v>
      </c>
    </row>
    <row r="22" spans="1:24" ht="15.75" thickBot="1" x14ac:dyDescent="0.3">
      <c r="A22" s="20"/>
      <c r="B22" s="230">
        <f>SUM(B14:B21)</f>
        <v>114</v>
      </c>
      <c r="C22" s="230">
        <f>SUM(C14:C21)</f>
        <v>3</v>
      </c>
      <c r="D22" s="155">
        <f>SUM(D14:D21)</f>
        <v>114</v>
      </c>
      <c r="E22" s="155">
        <f>SUM(E14:E21)</f>
        <v>3</v>
      </c>
      <c r="F22" s="121"/>
      <c r="G22" s="121">
        <f>SUM(G14:G21)</f>
        <v>120</v>
      </c>
      <c r="H22" s="121">
        <f t="shared" ref="H22" si="11">SUM(H14:H21)</f>
        <v>120</v>
      </c>
      <c r="I22" s="121">
        <f>SUM(I14:I21)</f>
        <v>117</v>
      </c>
      <c r="J22" s="122">
        <f>SUM(J14:J20)</f>
        <v>5047.84</v>
      </c>
      <c r="K22" s="121">
        <f>SUM(K14:K21)</f>
        <v>4943.3500000000004</v>
      </c>
      <c r="L22" s="120">
        <f>SUM(L14:L21)</f>
        <v>526701.76000000013</v>
      </c>
      <c r="M22" s="154">
        <f>SUM(M14:M21)</f>
        <v>12168</v>
      </c>
      <c r="N22" s="125">
        <f>'Odometro-Kilometraje'!C81</f>
        <v>5211</v>
      </c>
      <c r="O22" s="21">
        <f>(W22/N22)*100</f>
        <v>97.187488006140867</v>
      </c>
      <c r="P22" s="200"/>
      <c r="Q22" s="187"/>
      <c r="R22" s="187"/>
      <c r="S22" s="187"/>
      <c r="T22" s="187"/>
      <c r="U22" s="187"/>
      <c r="V22" s="187"/>
      <c r="W22" s="201">
        <f>SUM(W14:W21)</f>
        <v>5064.4400000000005</v>
      </c>
      <c r="X22" s="201">
        <f>SUM(X14:X21)</f>
        <v>5072.7400000000007</v>
      </c>
    </row>
    <row r="23" spans="1:24" x14ac:dyDescent="0.25">
      <c r="A23" s="62">
        <f>A14+1</f>
        <v>45719</v>
      </c>
      <c r="B23" s="127">
        <v>51</v>
      </c>
      <c r="C23" s="127">
        <v>28</v>
      </c>
      <c r="D23" s="128">
        <f>'Data Ocupacion'!H42</f>
        <v>51</v>
      </c>
      <c r="E23" s="128">
        <f>'Data Ocupacion'!I42</f>
        <v>28</v>
      </c>
      <c r="F23" s="127" t="s">
        <v>38</v>
      </c>
      <c r="G23" s="127">
        <f t="shared" ref="G23:G28" si="12">D23+E23*2</f>
        <v>107</v>
      </c>
      <c r="H23" s="127">
        <f>B23+C23*2</f>
        <v>107</v>
      </c>
      <c r="I23" s="127">
        <f t="shared" ref="I23:I28" si="13">D23+E23</f>
        <v>79</v>
      </c>
      <c r="J23" s="127">
        <f>G23*M$2</f>
        <v>4614.91</v>
      </c>
      <c r="K23" s="156">
        <f>I23*M$2</f>
        <v>3407.27</v>
      </c>
      <c r="L23" s="127">
        <f t="shared" ref="L23:L28" si="14">J23*104</f>
        <v>479950.64</v>
      </c>
      <c r="M23" s="127">
        <f t="shared" ref="M23:M28" si="15">I23*104</f>
        <v>8216</v>
      </c>
      <c r="N23" s="19"/>
      <c r="O23" s="19"/>
      <c r="P23" s="149"/>
      <c r="Q23" s="189">
        <v>1</v>
      </c>
      <c r="R23" s="189"/>
      <c r="S23" s="216"/>
      <c r="T23" s="189"/>
      <c r="U23" s="199"/>
      <c r="V23" s="245"/>
      <c r="W23" s="188">
        <f>J23-(Q23*($M$2-$K$1)+(R23*($M$2-$M$1))+  (S23*($M$2-$I$2))+(T23*$K$1))</f>
        <v>4597.18</v>
      </c>
      <c r="X23" s="188">
        <f>H23*$M$2</f>
        <v>4614.91</v>
      </c>
    </row>
    <row r="24" spans="1:24" ht="15.95" customHeight="1" x14ac:dyDescent="0.25">
      <c r="A24" s="364" t="s">
        <v>175</v>
      </c>
      <c r="B24" s="127">
        <v>49</v>
      </c>
      <c r="C24" s="127">
        <v>29</v>
      </c>
      <c r="D24" s="128">
        <f>'Data Ocupacion'!H43</f>
        <v>49</v>
      </c>
      <c r="E24" s="128">
        <f>'Data Ocupacion'!I43</f>
        <v>29</v>
      </c>
      <c r="F24" s="127" t="s">
        <v>52</v>
      </c>
      <c r="G24" s="127">
        <f t="shared" si="12"/>
        <v>107</v>
      </c>
      <c r="H24" s="127">
        <f t="shared" ref="H24:H28" si="16">B24+C24*2</f>
        <v>107</v>
      </c>
      <c r="I24" s="127">
        <f t="shared" si="13"/>
        <v>78</v>
      </c>
      <c r="J24" s="127">
        <f>G24*M$2</f>
        <v>4614.91</v>
      </c>
      <c r="K24" s="156">
        <f>I24*M$2</f>
        <v>3364.1400000000003</v>
      </c>
      <c r="L24" s="127">
        <f t="shared" si="14"/>
        <v>479950.64</v>
      </c>
      <c r="M24" s="127">
        <f t="shared" si="15"/>
        <v>8112</v>
      </c>
      <c r="N24" s="19"/>
      <c r="O24" s="19"/>
      <c r="P24" s="149"/>
      <c r="Q24" s="194"/>
      <c r="R24" s="194"/>
      <c r="S24" s="194"/>
      <c r="T24" s="189"/>
      <c r="U24" s="191"/>
      <c r="V24" s="246"/>
      <c r="W24" s="192">
        <f>J24-(T24*($M$2-$K$1)+(U24*($M$2-$M$1)))</f>
        <v>4614.91</v>
      </c>
      <c r="X24" s="188">
        <f>H24*$M$2</f>
        <v>4614.91</v>
      </c>
    </row>
    <row r="25" spans="1:24" ht="15" customHeight="1" x14ac:dyDescent="0.25">
      <c r="A25" s="364"/>
      <c r="B25" s="127">
        <v>30</v>
      </c>
      <c r="C25" s="127">
        <v>3</v>
      </c>
      <c r="D25" s="128">
        <f>'Data Ocupacion'!H44</f>
        <v>30</v>
      </c>
      <c r="E25" s="128">
        <f>'Data Ocupacion'!I44</f>
        <v>3</v>
      </c>
      <c r="F25" s="127" t="s">
        <v>36</v>
      </c>
      <c r="G25" s="127">
        <f t="shared" si="12"/>
        <v>36</v>
      </c>
      <c r="H25" s="127">
        <f t="shared" si="16"/>
        <v>36</v>
      </c>
      <c r="I25" s="127">
        <f t="shared" si="13"/>
        <v>33</v>
      </c>
      <c r="J25" s="127">
        <f>G25*M$1</f>
        <v>1047.96</v>
      </c>
      <c r="K25" s="156">
        <f>I25*M$1</f>
        <v>960.63</v>
      </c>
      <c r="L25" s="127">
        <f t="shared" si="14"/>
        <v>108987.84</v>
      </c>
      <c r="M25" s="127">
        <f t="shared" si="15"/>
        <v>3432</v>
      </c>
      <c r="N25" s="19"/>
      <c r="O25" s="19"/>
      <c r="P25" s="149"/>
      <c r="Q25" s="193"/>
      <c r="R25" s="195"/>
      <c r="S25" s="217"/>
      <c r="T25" s="196"/>
      <c r="U25" s="197"/>
      <c r="V25" s="197"/>
      <c r="W25" s="188">
        <f>J25-(Q25*($M$1-$K$1))</f>
        <v>1047.96</v>
      </c>
      <c r="X25" s="188">
        <f>H25*$M$1</f>
        <v>1047.96</v>
      </c>
    </row>
    <row r="26" spans="1:24" ht="15" customHeight="1" x14ac:dyDescent="0.25">
      <c r="A26" s="364"/>
      <c r="B26" s="127">
        <v>29</v>
      </c>
      <c r="C26" s="127">
        <v>3</v>
      </c>
      <c r="D26" s="128">
        <f>'Data Ocupacion'!H45</f>
        <v>29</v>
      </c>
      <c r="E26" s="128">
        <f>'Data Ocupacion'!I45</f>
        <v>3</v>
      </c>
      <c r="F26" s="127" t="s">
        <v>53</v>
      </c>
      <c r="G26" s="127">
        <f t="shared" si="12"/>
        <v>35</v>
      </c>
      <c r="H26" s="127">
        <f t="shared" si="16"/>
        <v>35</v>
      </c>
      <c r="I26" s="127">
        <f t="shared" si="13"/>
        <v>32</v>
      </c>
      <c r="J26" s="127">
        <f>G26*M$1</f>
        <v>1018.85</v>
      </c>
      <c r="K26" s="156">
        <f>I26*M$1</f>
        <v>931.52</v>
      </c>
      <c r="L26" s="127">
        <f t="shared" si="14"/>
        <v>105960.40000000001</v>
      </c>
      <c r="M26" s="127">
        <f t="shared" si="15"/>
        <v>3328</v>
      </c>
      <c r="N26" s="19"/>
      <c r="O26" s="19"/>
      <c r="P26" s="149"/>
      <c r="Q26" s="197"/>
      <c r="R26" s="197"/>
      <c r="S26" s="197"/>
      <c r="T26" s="197"/>
      <c r="U26" s="197"/>
      <c r="V26" s="197"/>
      <c r="W26" s="188">
        <f>J26</f>
        <v>1018.85</v>
      </c>
      <c r="X26" s="188">
        <f>H26*$M$1</f>
        <v>1018.85</v>
      </c>
    </row>
    <row r="27" spans="1:24" s="126" customFormat="1" ht="15" customHeight="1" x14ac:dyDescent="0.25">
      <c r="A27" s="364"/>
      <c r="B27" s="127">
        <v>0</v>
      </c>
      <c r="C27" s="127">
        <v>0</v>
      </c>
      <c r="D27" s="128">
        <f>'Data Ocupacion'!H46</f>
        <v>0</v>
      </c>
      <c r="E27" s="128">
        <f>'Data Ocupacion'!I46</f>
        <v>0</v>
      </c>
      <c r="F27" s="127" t="s">
        <v>122</v>
      </c>
      <c r="G27" s="127">
        <f t="shared" si="12"/>
        <v>0</v>
      </c>
      <c r="H27" s="127">
        <f t="shared" si="16"/>
        <v>0</v>
      </c>
      <c r="I27" s="127">
        <f t="shared" si="13"/>
        <v>0</v>
      </c>
      <c r="J27" s="127">
        <f>G27*K$1</f>
        <v>0</v>
      </c>
      <c r="K27" s="156">
        <f>I27*K$1</f>
        <v>0</v>
      </c>
      <c r="L27" s="127">
        <f t="shared" si="14"/>
        <v>0</v>
      </c>
      <c r="M27" s="127">
        <f t="shared" si="15"/>
        <v>0</v>
      </c>
      <c r="N27" s="19"/>
      <c r="O27" s="19"/>
      <c r="P27" s="149"/>
      <c r="Q27" s="197"/>
      <c r="R27" s="197"/>
      <c r="S27" s="197"/>
      <c r="T27" s="197"/>
      <c r="U27" s="197"/>
      <c r="V27" s="197"/>
      <c r="W27" s="188">
        <f>J27</f>
        <v>0</v>
      </c>
      <c r="X27" s="188">
        <f>H27*$K$1</f>
        <v>0</v>
      </c>
    </row>
    <row r="28" spans="1:24" s="126" customFormat="1" ht="15" customHeight="1" thickBot="1" x14ac:dyDescent="0.3">
      <c r="A28" s="364"/>
      <c r="B28" s="127">
        <v>1</v>
      </c>
      <c r="C28" s="127">
        <v>0</v>
      </c>
      <c r="D28" s="128">
        <f>'Data Ocupacion'!H47</f>
        <v>1</v>
      </c>
      <c r="E28" s="128">
        <f>'Data Ocupacion'!I47</f>
        <v>0</v>
      </c>
      <c r="F28" s="127" t="s">
        <v>35</v>
      </c>
      <c r="G28" s="127">
        <f t="shared" si="12"/>
        <v>1</v>
      </c>
      <c r="H28" s="127">
        <f t="shared" si="16"/>
        <v>1</v>
      </c>
      <c r="I28" s="127">
        <f t="shared" si="13"/>
        <v>1</v>
      </c>
      <c r="J28" s="127">
        <f>G28*K$1</f>
        <v>25.4</v>
      </c>
      <c r="K28" s="156">
        <f>I28*K$1</f>
        <v>25.4</v>
      </c>
      <c r="L28" s="127">
        <f t="shared" si="14"/>
        <v>2641.6</v>
      </c>
      <c r="M28" s="127">
        <f t="shared" si="15"/>
        <v>104</v>
      </c>
      <c r="N28" s="19"/>
      <c r="O28" s="19"/>
      <c r="P28" s="149"/>
      <c r="Q28" s="197"/>
      <c r="R28" s="197"/>
      <c r="S28" s="197"/>
      <c r="T28" s="197"/>
      <c r="U28" s="197"/>
      <c r="V28" s="197"/>
      <c r="W28" s="188">
        <f>J28</f>
        <v>25.4</v>
      </c>
      <c r="X28" s="188">
        <f>H28*$K$1</f>
        <v>25.4</v>
      </c>
    </row>
    <row r="29" spans="1:24" ht="15.95" customHeight="1" thickBot="1" x14ac:dyDescent="0.3">
      <c r="A29" s="20"/>
      <c r="B29" s="230">
        <f>SUM(B23:B28)</f>
        <v>160</v>
      </c>
      <c r="C29" s="230">
        <f>SUM(C23:C28)</f>
        <v>63</v>
      </c>
      <c r="D29" s="155">
        <f>SUM(D23:D28)</f>
        <v>160</v>
      </c>
      <c r="E29" s="155">
        <f>SUM(E23:E28)</f>
        <v>63</v>
      </c>
      <c r="F29" s="121"/>
      <c r="G29" s="121">
        <f t="shared" ref="G29:M29" si="17">SUM(G23:G28)</f>
        <v>286</v>
      </c>
      <c r="H29" s="121">
        <f t="shared" si="17"/>
        <v>286</v>
      </c>
      <c r="I29" s="121">
        <f t="shared" si="17"/>
        <v>223</v>
      </c>
      <c r="J29" s="122">
        <f t="shared" si="17"/>
        <v>11322.029999999999</v>
      </c>
      <c r="K29" s="121">
        <f t="shared" si="17"/>
        <v>8688.9599999999991</v>
      </c>
      <c r="L29" s="120">
        <f t="shared" si="17"/>
        <v>1177491.1200000001</v>
      </c>
      <c r="M29" s="154">
        <f t="shared" si="17"/>
        <v>23192</v>
      </c>
      <c r="N29" s="186">
        <f>'Odometro-Kilometraje'!D81</f>
        <v>11744</v>
      </c>
      <c r="O29" s="21">
        <f>(W29/N29)*100</f>
        <v>96.25596049046321</v>
      </c>
      <c r="P29" s="200"/>
      <c r="Q29" s="187"/>
      <c r="R29" s="187"/>
      <c r="S29" s="187"/>
      <c r="T29" s="187"/>
      <c r="U29" s="187"/>
      <c r="V29" s="187"/>
      <c r="W29" s="201">
        <f>SUM(W23:W28)</f>
        <v>11304.3</v>
      </c>
      <c r="X29" s="201">
        <f>SUM(X23:X28)</f>
        <v>11322.029999999999</v>
      </c>
    </row>
    <row r="30" spans="1:24" x14ac:dyDescent="0.25">
      <c r="A30" s="62">
        <f>A23+1</f>
        <v>45720</v>
      </c>
      <c r="B30" s="127">
        <v>51</v>
      </c>
      <c r="C30" s="127">
        <v>28</v>
      </c>
      <c r="D30" s="128">
        <f>'Data Ocupacion'!J42</f>
        <v>51</v>
      </c>
      <c r="E30" s="128">
        <f>'Data Ocupacion'!K42</f>
        <v>28</v>
      </c>
      <c r="F30" s="127" t="s">
        <v>38</v>
      </c>
      <c r="G30" s="127">
        <f t="shared" ref="G30:G35" si="18">D30+E30*2</f>
        <v>107</v>
      </c>
      <c r="H30" s="127">
        <f>B30+C30*2</f>
        <v>107</v>
      </c>
      <c r="I30" s="127">
        <f t="shared" ref="I30:I35" si="19">D30+E30</f>
        <v>79</v>
      </c>
      <c r="J30" s="127">
        <f>G30*M$2</f>
        <v>4614.91</v>
      </c>
      <c r="K30" s="156">
        <f>I30*M$2</f>
        <v>3407.27</v>
      </c>
      <c r="L30" s="127">
        <f t="shared" ref="L30:L35" si="20">J30*104</f>
        <v>479950.64</v>
      </c>
      <c r="M30" s="127">
        <f t="shared" ref="M30:M35" si="21">I30*104</f>
        <v>8216</v>
      </c>
      <c r="N30" s="19"/>
      <c r="O30" s="19"/>
      <c r="P30" s="149"/>
      <c r="Q30" s="189">
        <v>2</v>
      </c>
      <c r="R30" s="189"/>
      <c r="S30" s="216"/>
      <c r="T30" s="198"/>
      <c r="U30" s="199"/>
      <c r="V30" s="245"/>
      <c r="W30" s="188">
        <f>J30-(Q30*($M$2-$K$1)+(R30*($M$2-$M$1))+  (S30*($M$2-$I$2)))</f>
        <v>4579.45</v>
      </c>
      <c r="X30" s="188">
        <f>H30*$M$2</f>
        <v>4614.91</v>
      </c>
    </row>
    <row r="31" spans="1:24" ht="17.25" customHeight="1" x14ac:dyDescent="0.25">
      <c r="A31" s="277"/>
      <c r="B31" s="127">
        <v>49</v>
      </c>
      <c r="C31" s="127">
        <v>29</v>
      </c>
      <c r="D31" s="128">
        <f>'Data Ocupacion'!J43</f>
        <v>49</v>
      </c>
      <c r="E31" s="128">
        <f>'Data Ocupacion'!K43</f>
        <v>29</v>
      </c>
      <c r="F31" s="127" t="s">
        <v>52</v>
      </c>
      <c r="G31" s="127">
        <f t="shared" si="18"/>
        <v>107</v>
      </c>
      <c r="H31" s="127">
        <f t="shared" ref="H31:H35" si="22">B31+C31*2</f>
        <v>107</v>
      </c>
      <c r="I31" s="127">
        <f t="shared" si="19"/>
        <v>78</v>
      </c>
      <c r="J31" s="127">
        <f>G31*M$2</f>
        <v>4614.91</v>
      </c>
      <c r="K31" s="156">
        <f>I31*M$2</f>
        <v>3364.1400000000003</v>
      </c>
      <c r="L31" s="127">
        <f t="shared" si="20"/>
        <v>479950.64</v>
      </c>
      <c r="M31" s="127">
        <f t="shared" si="21"/>
        <v>8112</v>
      </c>
      <c r="N31" s="19"/>
      <c r="O31" s="19"/>
      <c r="P31" s="149"/>
      <c r="Q31" s="194"/>
      <c r="R31" s="194"/>
      <c r="S31" s="194"/>
      <c r="T31" s="189"/>
      <c r="U31" s="214"/>
      <c r="V31" s="246"/>
      <c r="W31" s="192">
        <f>J31-(T31*($M$2-$K$1)+(U31*($M$2-$M$1))+(V31*($M$2-$I$2)))</f>
        <v>4614.91</v>
      </c>
      <c r="X31" s="188">
        <f>H31*$M$2</f>
        <v>4614.91</v>
      </c>
    </row>
    <row r="32" spans="1:24" ht="15" customHeight="1" x14ac:dyDescent="0.25">
      <c r="A32" s="277"/>
      <c r="B32" s="127">
        <v>30</v>
      </c>
      <c r="C32" s="127">
        <v>3</v>
      </c>
      <c r="D32" s="128">
        <f>'Data Ocupacion'!J44</f>
        <v>30</v>
      </c>
      <c r="E32" s="128">
        <f>'Data Ocupacion'!K44</f>
        <v>3</v>
      </c>
      <c r="F32" s="127" t="s">
        <v>36</v>
      </c>
      <c r="G32" s="127">
        <f t="shared" si="18"/>
        <v>36</v>
      </c>
      <c r="H32" s="127">
        <f t="shared" si="22"/>
        <v>36</v>
      </c>
      <c r="I32" s="127">
        <f t="shared" si="19"/>
        <v>33</v>
      </c>
      <c r="J32" s="127">
        <f>G32*M$1</f>
        <v>1047.96</v>
      </c>
      <c r="K32" s="156">
        <f>I32*M$1</f>
        <v>960.63</v>
      </c>
      <c r="L32" s="127">
        <f t="shared" si="20"/>
        <v>108987.84</v>
      </c>
      <c r="M32" s="127">
        <f t="shared" si="21"/>
        <v>3432</v>
      </c>
      <c r="N32" s="19"/>
      <c r="O32" s="19"/>
      <c r="P32" s="149"/>
      <c r="Q32" s="193"/>
      <c r="R32" s="195"/>
      <c r="S32" s="217"/>
      <c r="T32" s="196"/>
      <c r="U32" s="197"/>
      <c r="V32" s="197"/>
      <c r="W32" s="188">
        <f>J32-(Q32*($M$1-$K$1))</f>
        <v>1047.96</v>
      </c>
      <c r="X32" s="188">
        <f>H32*$M$1</f>
        <v>1047.96</v>
      </c>
    </row>
    <row r="33" spans="1:32" ht="15" customHeight="1" x14ac:dyDescent="0.25">
      <c r="A33" s="277"/>
      <c r="B33" s="127">
        <v>29</v>
      </c>
      <c r="C33" s="127">
        <v>3</v>
      </c>
      <c r="D33" s="128">
        <f>'Data Ocupacion'!J45</f>
        <v>29</v>
      </c>
      <c r="E33" s="128">
        <f>'Data Ocupacion'!K45</f>
        <v>3</v>
      </c>
      <c r="F33" s="127" t="s">
        <v>53</v>
      </c>
      <c r="G33" s="127">
        <f t="shared" si="18"/>
        <v>35</v>
      </c>
      <c r="H33" s="127">
        <f t="shared" si="22"/>
        <v>35</v>
      </c>
      <c r="I33" s="127">
        <f t="shared" si="19"/>
        <v>32</v>
      </c>
      <c r="J33" s="127">
        <f>G33*M$1</f>
        <v>1018.85</v>
      </c>
      <c r="K33" s="156">
        <f>I33*M$1</f>
        <v>931.52</v>
      </c>
      <c r="L33" s="127">
        <f t="shared" si="20"/>
        <v>105960.40000000001</v>
      </c>
      <c r="M33" s="127">
        <f t="shared" si="21"/>
        <v>3328</v>
      </c>
      <c r="N33" s="19"/>
      <c r="O33" s="19"/>
      <c r="P33" s="149"/>
      <c r="Q33" s="197"/>
      <c r="R33" s="197"/>
      <c r="S33" s="197"/>
      <c r="T33" s="197"/>
      <c r="U33" s="197"/>
      <c r="V33" s="197"/>
      <c r="W33" s="188">
        <f>J33</f>
        <v>1018.85</v>
      </c>
      <c r="X33" s="188">
        <f>H33*$M$1</f>
        <v>1018.85</v>
      </c>
    </row>
    <row r="34" spans="1:32" s="126" customFormat="1" ht="15" customHeight="1" x14ac:dyDescent="0.25">
      <c r="A34" s="277"/>
      <c r="B34" s="127">
        <v>0</v>
      </c>
      <c r="C34" s="127">
        <v>0</v>
      </c>
      <c r="D34" s="128">
        <f>'Data Ocupacion'!J46</f>
        <v>0</v>
      </c>
      <c r="E34" s="128">
        <f>'Data Ocupacion'!K46</f>
        <v>0</v>
      </c>
      <c r="F34" s="127" t="s">
        <v>122</v>
      </c>
      <c r="G34" s="127">
        <f t="shared" si="18"/>
        <v>0</v>
      </c>
      <c r="H34" s="127">
        <f t="shared" si="22"/>
        <v>0</v>
      </c>
      <c r="I34" s="127">
        <f t="shared" si="19"/>
        <v>0</v>
      </c>
      <c r="J34" s="127">
        <f>G34*K$1</f>
        <v>0</v>
      </c>
      <c r="K34" s="156">
        <f>I34*K$1</f>
        <v>0</v>
      </c>
      <c r="L34" s="127">
        <f t="shared" si="20"/>
        <v>0</v>
      </c>
      <c r="M34" s="127">
        <f t="shared" si="21"/>
        <v>0</v>
      </c>
      <c r="N34" s="19"/>
      <c r="P34" s="149"/>
      <c r="Q34" s="197"/>
      <c r="R34" s="197"/>
      <c r="S34" s="197"/>
      <c r="T34" s="197"/>
      <c r="U34" s="197"/>
      <c r="V34" s="197"/>
      <c r="W34" s="188">
        <f>J34</f>
        <v>0</v>
      </c>
      <c r="X34" s="188">
        <f>H34*$K$1</f>
        <v>0</v>
      </c>
    </row>
    <row r="35" spans="1:32" ht="15.95" customHeight="1" thickBot="1" x14ac:dyDescent="0.3">
      <c r="A35" s="277"/>
      <c r="B35" s="127">
        <v>1</v>
      </c>
      <c r="C35" s="127">
        <v>0</v>
      </c>
      <c r="D35" s="278">
        <f>'Data Ocupacion'!J47</f>
        <v>1</v>
      </c>
      <c r="E35" s="128">
        <f>'Data Ocupacion'!K47</f>
        <v>0</v>
      </c>
      <c r="F35" s="127" t="s">
        <v>35</v>
      </c>
      <c r="G35" s="127">
        <f t="shared" si="18"/>
        <v>1</v>
      </c>
      <c r="H35" s="127">
        <f t="shared" si="22"/>
        <v>1</v>
      </c>
      <c r="I35" s="127">
        <f t="shared" si="19"/>
        <v>1</v>
      </c>
      <c r="J35" s="127">
        <f>G35*K$1</f>
        <v>25.4</v>
      </c>
      <c r="K35" s="156">
        <f>I35*K$1</f>
        <v>25.4</v>
      </c>
      <c r="L35" s="127">
        <f t="shared" si="20"/>
        <v>2641.6</v>
      </c>
      <c r="M35" s="127">
        <f t="shared" si="21"/>
        <v>104</v>
      </c>
      <c r="N35" s="19"/>
      <c r="P35" s="149"/>
      <c r="Q35" s="197"/>
      <c r="R35" s="197"/>
      <c r="S35" s="197"/>
      <c r="T35" s="197"/>
      <c r="U35" s="197"/>
      <c r="V35" s="197"/>
      <c r="W35" s="188">
        <f>J35</f>
        <v>25.4</v>
      </c>
      <c r="X35" s="188">
        <f>H35*$K$1</f>
        <v>25.4</v>
      </c>
    </row>
    <row r="36" spans="1:32" ht="15.75" thickBot="1" x14ac:dyDescent="0.3">
      <c r="A36" s="20"/>
      <c r="B36" s="230">
        <f>SUM(B30:B35)</f>
        <v>160</v>
      </c>
      <c r="C36" s="230">
        <f>SUM(C30:C35)</f>
        <v>63</v>
      </c>
      <c r="D36" s="155">
        <f>SUM(D30:D35)</f>
        <v>160</v>
      </c>
      <c r="E36" s="155">
        <f>SUM(E30:E35)</f>
        <v>63</v>
      </c>
      <c r="F36" s="121"/>
      <c r="G36" s="121">
        <f t="shared" ref="G36:M36" si="23">SUM(G30:G35)</f>
        <v>286</v>
      </c>
      <c r="H36" s="121">
        <f t="shared" si="23"/>
        <v>286</v>
      </c>
      <c r="I36" s="121">
        <f t="shared" si="23"/>
        <v>223</v>
      </c>
      <c r="J36" s="122">
        <f t="shared" si="23"/>
        <v>11322.029999999999</v>
      </c>
      <c r="K36" s="121">
        <f t="shared" si="23"/>
        <v>8688.9599999999991</v>
      </c>
      <c r="L36" s="120">
        <f t="shared" si="23"/>
        <v>1177491.1200000001</v>
      </c>
      <c r="M36" s="154">
        <f t="shared" si="23"/>
        <v>23192</v>
      </c>
      <c r="N36" s="125">
        <f>'Odometro-Kilometraje'!E81</f>
        <v>11775</v>
      </c>
      <c r="O36" s="21">
        <f>(W36/N36)*100</f>
        <v>95.851974522292991</v>
      </c>
      <c r="P36" s="200"/>
      <c r="Q36" s="187"/>
      <c r="R36" s="187"/>
      <c r="S36" s="187"/>
      <c r="T36" s="187"/>
      <c r="U36" s="187"/>
      <c r="V36" s="187"/>
      <c r="W36" s="201">
        <f>SUM(W30:W35)</f>
        <v>11286.57</v>
      </c>
      <c r="X36" s="201">
        <f>SUM(X30:X35)</f>
        <v>11322.029999999999</v>
      </c>
    </row>
    <row r="37" spans="1:32" x14ac:dyDescent="0.25">
      <c r="A37" s="62">
        <f>A30+1</f>
        <v>45721</v>
      </c>
      <c r="B37" s="127">
        <v>51</v>
      </c>
      <c r="C37" s="127">
        <v>28</v>
      </c>
      <c r="D37" s="128">
        <f>'Data Ocupacion'!L42</f>
        <v>51</v>
      </c>
      <c r="E37" s="128">
        <f>'Data Ocupacion'!M42</f>
        <v>28</v>
      </c>
      <c r="F37" s="127" t="s">
        <v>38</v>
      </c>
      <c r="G37" s="127">
        <f t="shared" ref="G37:G42" si="24">D37+E37*2</f>
        <v>107</v>
      </c>
      <c r="H37" s="127">
        <f>B37+C37*2</f>
        <v>107</v>
      </c>
      <c r="I37" s="127">
        <f t="shared" ref="I37:I42" si="25">D37+E37</f>
        <v>79</v>
      </c>
      <c r="J37" s="127">
        <f>G37*M$2</f>
        <v>4614.91</v>
      </c>
      <c r="K37" s="156">
        <f>I37*M$2</f>
        <v>3407.27</v>
      </c>
      <c r="L37" s="127">
        <f t="shared" ref="L37:L42" si="26">J37*104</f>
        <v>479950.64</v>
      </c>
      <c r="M37" s="127">
        <f t="shared" ref="M37:M42" si="27">I37*104</f>
        <v>8216</v>
      </c>
      <c r="N37" s="19"/>
      <c r="O37" s="19"/>
      <c r="P37" s="149"/>
      <c r="Q37" s="189">
        <v>2</v>
      </c>
      <c r="R37" s="194"/>
      <c r="S37" s="194"/>
      <c r="T37" s="211">
        <v>1</v>
      </c>
      <c r="U37" s="199"/>
      <c r="V37" s="245"/>
      <c r="W37" s="188">
        <f>J37-(Q37*($M$2-$K$1)+(R37*($M$2-$M$1))+  (S37*($M$2-$I$2))+(T37*$K$1))</f>
        <v>4554.05</v>
      </c>
      <c r="X37" s="188">
        <f>H37*$M$2</f>
        <v>4614.91</v>
      </c>
    </row>
    <row r="38" spans="1:32" ht="15" customHeight="1" x14ac:dyDescent="0.25">
      <c r="A38" s="277"/>
      <c r="B38" s="127">
        <v>49</v>
      </c>
      <c r="C38" s="127">
        <v>29</v>
      </c>
      <c r="D38" s="128">
        <f>'Data Ocupacion'!L43</f>
        <v>49</v>
      </c>
      <c r="E38" s="128">
        <f>'Data Ocupacion'!M43</f>
        <v>29</v>
      </c>
      <c r="F38" s="127" t="s">
        <v>52</v>
      </c>
      <c r="G38" s="127">
        <f t="shared" si="24"/>
        <v>107</v>
      </c>
      <c r="H38" s="127">
        <f t="shared" ref="H38:H42" si="28">B38+C38*2</f>
        <v>107</v>
      </c>
      <c r="I38" s="127">
        <f t="shared" si="25"/>
        <v>78</v>
      </c>
      <c r="J38" s="127">
        <f>G38*M$2</f>
        <v>4614.91</v>
      </c>
      <c r="K38" s="156">
        <f>I38*M$2</f>
        <v>3364.1400000000003</v>
      </c>
      <c r="L38" s="127">
        <f t="shared" si="26"/>
        <v>479950.64</v>
      </c>
      <c r="M38" s="127">
        <f t="shared" si="27"/>
        <v>8112</v>
      </c>
      <c r="N38" s="19"/>
      <c r="O38" s="19"/>
      <c r="P38" s="149"/>
      <c r="Q38" s="194"/>
      <c r="R38" s="194"/>
      <c r="S38" s="194"/>
      <c r="T38" s="256"/>
      <c r="U38" s="229"/>
      <c r="V38" s="194"/>
      <c r="W38" s="192">
        <f>J38-(T38*($M$2-$K$1)+(U38*($M$2-$M$1)))</f>
        <v>4614.91</v>
      </c>
      <c r="X38" s="188">
        <f>H38*$M$2</f>
        <v>4614.91</v>
      </c>
    </row>
    <row r="39" spans="1:32" ht="15" customHeight="1" x14ac:dyDescent="0.25">
      <c r="A39" s="277"/>
      <c r="B39" s="127">
        <v>30</v>
      </c>
      <c r="C39" s="127">
        <v>3</v>
      </c>
      <c r="D39" s="128">
        <f>'Data Ocupacion'!L44</f>
        <v>30</v>
      </c>
      <c r="E39" s="128">
        <f>'Data Ocupacion'!M44</f>
        <v>3</v>
      </c>
      <c r="F39" s="127" t="s">
        <v>36</v>
      </c>
      <c r="G39" s="127">
        <f t="shared" si="24"/>
        <v>36</v>
      </c>
      <c r="H39" s="127">
        <f t="shared" si="28"/>
        <v>36</v>
      </c>
      <c r="I39" s="127">
        <f t="shared" si="25"/>
        <v>33</v>
      </c>
      <c r="J39" s="127">
        <f>G39*M$1</f>
        <v>1047.96</v>
      </c>
      <c r="K39" s="156">
        <f>I39*M$1</f>
        <v>960.63</v>
      </c>
      <c r="L39" s="127">
        <f t="shared" si="26"/>
        <v>108987.84</v>
      </c>
      <c r="M39" s="127">
        <f t="shared" si="27"/>
        <v>3432</v>
      </c>
      <c r="N39" s="19"/>
      <c r="O39" s="19"/>
      <c r="P39" s="149"/>
      <c r="Q39" s="194"/>
      <c r="R39" s="257"/>
      <c r="S39" s="217"/>
      <c r="T39" s="196"/>
      <c r="U39" s="197"/>
      <c r="V39" s="197"/>
      <c r="W39" s="188">
        <f>J39-(Q39*($M$1-$K$1))</f>
        <v>1047.96</v>
      </c>
      <c r="X39" s="188">
        <f>H39*$M$1</f>
        <v>1047.96</v>
      </c>
    </row>
    <row r="40" spans="1:32" ht="15" customHeight="1" x14ac:dyDescent="0.25">
      <c r="A40" s="277"/>
      <c r="B40" s="127">
        <v>29</v>
      </c>
      <c r="C40" s="127">
        <v>3</v>
      </c>
      <c r="D40" s="128">
        <f>'Data Ocupacion'!L45</f>
        <v>29</v>
      </c>
      <c r="E40" s="128">
        <f>'Data Ocupacion'!M45</f>
        <v>3</v>
      </c>
      <c r="F40" s="127" t="s">
        <v>53</v>
      </c>
      <c r="G40" s="127">
        <f t="shared" si="24"/>
        <v>35</v>
      </c>
      <c r="H40" s="127">
        <f t="shared" si="28"/>
        <v>35</v>
      </c>
      <c r="I40" s="127">
        <f t="shared" si="25"/>
        <v>32</v>
      </c>
      <c r="J40" s="127">
        <f>G40*M$1</f>
        <v>1018.85</v>
      </c>
      <c r="K40" s="156">
        <f>I40*M$1</f>
        <v>931.52</v>
      </c>
      <c r="L40" s="127">
        <f t="shared" si="26"/>
        <v>105960.40000000001</v>
      </c>
      <c r="M40" s="127">
        <f t="shared" si="27"/>
        <v>3328</v>
      </c>
      <c r="N40" s="19"/>
      <c r="O40" s="19"/>
      <c r="P40" s="149"/>
      <c r="Q40" s="197"/>
      <c r="R40" s="197"/>
      <c r="S40" s="197"/>
      <c r="T40" s="197"/>
      <c r="U40" s="197"/>
      <c r="V40" s="197"/>
      <c r="W40" s="188">
        <f>J40</f>
        <v>1018.85</v>
      </c>
      <c r="X40" s="188">
        <f>H40*$M$1</f>
        <v>1018.85</v>
      </c>
    </row>
    <row r="41" spans="1:32" s="126" customFormat="1" ht="15" customHeight="1" x14ac:dyDescent="0.25">
      <c r="A41" s="277"/>
      <c r="B41" s="127">
        <v>0</v>
      </c>
      <c r="C41" s="127">
        <v>0</v>
      </c>
      <c r="D41" s="128">
        <f>'Data Ocupacion'!L46</f>
        <v>0</v>
      </c>
      <c r="E41" s="128">
        <f>'Data Ocupacion'!M46</f>
        <v>0</v>
      </c>
      <c r="F41" s="127" t="s">
        <v>122</v>
      </c>
      <c r="G41" s="127">
        <f t="shared" si="24"/>
        <v>0</v>
      </c>
      <c r="H41" s="127">
        <f t="shared" si="28"/>
        <v>0</v>
      </c>
      <c r="I41" s="127">
        <f t="shared" si="25"/>
        <v>0</v>
      </c>
      <c r="J41" s="127">
        <f>G41*K$1</f>
        <v>0</v>
      </c>
      <c r="K41" s="156">
        <f>I41*K$1</f>
        <v>0</v>
      </c>
      <c r="L41" s="127">
        <f t="shared" si="26"/>
        <v>0</v>
      </c>
      <c r="M41" s="127">
        <f t="shared" si="27"/>
        <v>0</v>
      </c>
      <c r="N41" s="19"/>
      <c r="O41" s="19"/>
      <c r="P41" s="149"/>
      <c r="Q41" s="197"/>
      <c r="R41" s="197"/>
      <c r="S41" s="197"/>
      <c r="T41" s="197"/>
      <c r="U41" s="197"/>
      <c r="V41" s="197"/>
      <c r="W41" s="188">
        <f>J41</f>
        <v>0</v>
      </c>
      <c r="X41" s="188">
        <f>H41*$K$1</f>
        <v>0</v>
      </c>
    </row>
    <row r="42" spans="1:32" ht="15.95" customHeight="1" thickBot="1" x14ac:dyDescent="0.3">
      <c r="A42" s="277"/>
      <c r="B42" s="127">
        <v>1</v>
      </c>
      <c r="C42" s="127">
        <v>0</v>
      </c>
      <c r="D42" s="278">
        <f>'Data Ocupacion'!L47</f>
        <v>1</v>
      </c>
      <c r="E42" s="128">
        <f>'Data Ocupacion'!M47</f>
        <v>0</v>
      </c>
      <c r="F42" s="127" t="s">
        <v>35</v>
      </c>
      <c r="G42" s="127">
        <f t="shared" si="24"/>
        <v>1</v>
      </c>
      <c r="H42" s="127">
        <f t="shared" si="28"/>
        <v>1</v>
      </c>
      <c r="I42" s="127">
        <f t="shared" si="25"/>
        <v>1</v>
      </c>
      <c r="J42" s="127">
        <f>G42*K$1</f>
        <v>25.4</v>
      </c>
      <c r="K42" s="156">
        <f>I42*K$1</f>
        <v>25.4</v>
      </c>
      <c r="L42" s="127">
        <f t="shared" si="26"/>
        <v>2641.6</v>
      </c>
      <c r="M42" s="127">
        <f t="shared" si="27"/>
        <v>104</v>
      </c>
      <c r="N42" s="19"/>
      <c r="O42" s="19"/>
      <c r="P42" s="149"/>
      <c r="Q42" s="197"/>
      <c r="R42" s="197"/>
      <c r="S42" s="197"/>
      <c r="T42" s="197"/>
      <c r="U42" s="197"/>
      <c r="V42" s="197"/>
      <c r="W42" s="188">
        <f>J42</f>
        <v>25.4</v>
      </c>
      <c r="X42" s="188">
        <f>H42*$K$1</f>
        <v>25.4</v>
      </c>
    </row>
    <row r="43" spans="1:32" ht="15.75" thickBot="1" x14ac:dyDescent="0.3">
      <c r="A43" s="20"/>
      <c r="B43" s="230">
        <f>SUM(B37:B42)</f>
        <v>160</v>
      </c>
      <c r="C43" s="230">
        <f>SUM(C37:C42)</f>
        <v>63</v>
      </c>
      <c r="D43" s="155">
        <f>SUM(D37:D42)</f>
        <v>160</v>
      </c>
      <c r="E43" s="155">
        <f>SUM(E37:E42)</f>
        <v>63</v>
      </c>
      <c r="F43" s="121"/>
      <c r="G43" s="121">
        <f t="shared" ref="G43:M43" si="29">SUM(G37:G42)</f>
        <v>286</v>
      </c>
      <c r="H43" s="121">
        <f t="shared" si="29"/>
        <v>286</v>
      </c>
      <c r="I43" s="121">
        <f t="shared" si="29"/>
        <v>223</v>
      </c>
      <c r="J43" s="122">
        <f t="shared" si="29"/>
        <v>11322.029999999999</v>
      </c>
      <c r="K43" s="121">
        <f t="shared" si="29"/>
        <v>8688.9599999999991</v>
      </c>
      <c r="L43" s="120">
        <f t="shared" si="29"/>
        <v>1177491.1200000001</v>
      </c>
      <c r="M43" s="154">
        <f t="shared" si="29"/>
        <v>23192</v>
      </c>
      <c r="N43" s="125">
        <f>'Odometro-Kilometraje'!F81</f>
        <v>11732</v>
      </c>
      <c r="O43" s="21">
        <f>(W43/N43)*100</f>
        <v>95.98678827139446</v>
      </c>
      <c r="P43" s="200"/>
      <c r="Q43" s="187"/>
      <c r="R43" s="187"/>
      <c r="S43" s="187"/>
      <c r="T43" s="187"/>
      <c r="U43" s="187"/>
      <c r="V43" s="187"/>
      <c r="W43" s="201">
        <f>SUM(W37:W42)</f>
        <v>11261.169999999998</v>
      </c>
      <c r="X43" s="201">
        <f>SUM(X37:X42)</f>
        <v>11322.029999999999</v>
      </c>
    </row>
    <row r="44" spans="1:32" x14ac:dyDescent="0.25">
      <c r="A44" s="62">
        <f>A37+1</f>
        <v>45722</v>
      </c>
      <c r="B44" s="127">
        <v>51</v>
      </c>
      <c r="C44" s="127">
        <v>28</v>
      </c>
      <c r="D44" s="128">
        <f>'Data Ocupacion'!N42</f>
        <v>48</v>
      </c>
      <c r="E44" s="128">
        <f>'Data Ocupacion'!O42</f>
        <v>31</v>
      </c>
      <c r="F44" s="284" t="s">
        <v>38</v>
      </c>
      <c r="G44" s="284">
        <f t="shared" ref="G44:G49" si="30">D44+E44*2</f>
        <v>110</v>
      </c>
      <c r="H44" s="127">
        <f>B44+C44*2</f>
        <v>107</v>
      </c>
      <c r="I44" s="284">
        <f t="shared" ref="I44:I49" si="31">D44+E44</f>
        <v>79</v>
      </c>
      <c r="J44" s="284">
        <f>G44*M$2</f>
        <v>4744.3</v>
      </c>
      <c r="K44" s="156">
        <f>I44*M$2</f>
        <v>3407.27</v>
      </c>
      <c r="L44" s="284">
        <f t="shared" ref="L44:L49" si="32">J44*104</f>
        <v>493407.2</v>
      </c>
      <c r="M44" s="284">
        <f t="shared" ref="M44:M49" si="33">I44*104</f>
        <v>8216</v>
      </c>
      <c r="N44" s="19"/>
      <c r="O44" s="19"/>
      <c r="P44" s="149"/>
      <c r="Q44" s="189">
        <v>1</v>
      </c>
      <c r="R44" s="189"/>
      <c r="S44" s="216"/>
      <c r="T44" s="211">
        <v>3</v>
      </c>
      <c r="U44" s="228"/>
      <c r="V44" s="146"/>
      <c r="W44" s="188">
        <f>J44-(Q44*($M$2-$K$1)+(R44*($M$2-$M$1))+  (S44*($M$2-$I$2))+(T44*$K$1))</f>
        <v>4650.37</v>
      </c>
      <c r="X44" s="188">
        <f>H44*$M$2</f>
        <v>4614.91</v>
      </c>
    </row>
    <row r="45" spans="1:32" ht="15" customHeight="1" x14ac:dyDescent="0.25">
      <c r="A45" s="227"/>
      <c r="B45" s="127">
        <v>49</v>
      </c>
      <c r="C45" s="127">
        <v>29</v>
      </c>
      <c r="D45" s="128">
        <f>'Data Ocupacion'!N43</f>
        <v>49</v>
      </c>
      <c r="E45" s="128">
        <f>'Data Ocupacion'!O43</f>
        <v>29</v>
      </c>
      <c r="F45" s="284" t="s">
        <v>52</v>
      </c>
      <c r="G45" s="284">
        <f t="shared" si="30"/>
        <v>107</v>
      </c>
      <c r="H45" s="127">
        <f t="shared" ref="H45:H49" si="34">B45+C45*2</f>
        <v>107</v>
      </c>
      <c r="I45" s="284">
        <f t="shared" si="31"/>
        <v>78</v>
      </c>
      <c r="J45" s="284">
        <f>G45*M$2</f>
        <v>4614.91</v>
      </c>
      <c r="K45" s="156">
        <f>I45*M$2</f>
        <v>3364.1400000000003</v>
      </c>
      <c r="L45" s="284">
        <f t="shared" si="32"/>
        <v>479950.64</v>
      </c>
      <c r="M45" s="284">
        <f t="shared" si="33"/>
        <v>8112</v>
      </c>
      <c r="N45" s="19"/>
      <c r="O45" s="19"/>
      <c r="P45" s="149"/>
      <c r="Q45" s="194"/>
      <c r="R45" s="229"/>
      <c r="S45" s="194"/>
      <c r="T45" s="189">
        <v>1</v>
      </c>
      <c r="U45" s="214"/>
      <c r="V45" s="246"/>
      <c r="W45" s="192">
        <f>J45-(T45*($M$2-$K$1)+(U45*($M$2-$M$1)))</f>
        <v>4597.18</v>
      </c>
      <c r="X45" s="188">
        <f>H45*$M$2</f>
        <v>4614.91</v>
      </c>
    </row>
    <row r="46" spans="1:32" ht="15" customHeight="1" x14ac:dyDescent="0.25">
      <c r="A46" s="227"/>
      <c r="B46" s="127">
        <v>30</v>
      </c>
      <c r="C46" s="127">
        <v>3</v>
      </c>
      <c r="D46" s="128">
        <f>'Data Ocupacion'!N44</f>
        <v>30</v>
      </c>
      <c r="E46" s="128">
        <f>'Data Ocupacion'!O44</f>
        <v>3</v>
      </c>
      <c r="F46" s="284" t="s">
        <v>36</v>
      </c>
      <c r="G46" s="284">
        <f t="shared" si="30"/>
        <v>36</v>
      </c>
      <c r="H46" s="127">
        <f t="shared" si="34"/>
        <v>36</v>
      </c>
      <c r="I46" s="284">
        <f t="shared" si="31"/>
        <v>33</v>
      </c>
      <c r="J46" s="284">
        <f>G46*M$1</f>
        <v>1047.96</v>
      </c>
      <c r="K46" s="156">
        <f>I46*M$1</f>
        <v>960.63</v>
      </c>
      <c r="L46" s="284">
        <f t="shared" si="32"/>
        <v>108987.84</v>
      </c>
      <c r="M46" s="284">
        <f t="shared" si="33"/>
        <v>3432</v>
      </c>
      <c r="N46" s="19"/>
      <c r="O46" s="19"/>
      <c r="P46" s="149"/>
      <c r="Q46" s="193"/>
      <c r="R46" s="195"/>
      <c r="S46" s="217"/>
      <c r="T46" s="196"/>
      <c r="U46" s="197"/>
      <c r="V46" s="197"/>
      <c r="W46" s="188">
        <f>J46-(Q46*($M$1-$K$1))</f>
        <v>1047.96</v>
      </c>
      <c r="X46" s="188">
        <f>H46*$M$1</f>
        <v>1047.96</v>
      </c>
      <c r="Z46" s="280"/>
      <c r="AA46" s="280"/>
      <c r="AB46" s="280"/>
      <c r="AC46" s="280"/>
      <c r="AD46" s="280"/>
      <c r="AE46" s="280"/>
      <c r="AF46" s="280"/>
    </row>
    <row r="47" spans="1:32" x14ac:dyDescent="0.25">
      <c r="A47" s="227"/>
      <c r="B47" s="127">
        <v>29</v>
      </c>
      <c r="C47" s="127">
        <v>3</v>
      </c>
      <c r="D47" s="128">
        <f>'Data Ocupacion'!N45</f>
        <v>29</v>
      </c>
      <c r="E47" s="128">
        <f>'Data Ocupacion'!O45</f>
        <v>3</v>
      </c>
      <c r="F47" s="284" t="s">
        <v>53</v>
      </c>
      <c r="G47" s="284">
        <f t="shared" si="30"/>
        <v>35</v>
      </c>
      <c r="H47" s="127">
        <f t="shared" si="34"/>
        <v>35</v>
      </c>
      <c r="I47" s="284">
        <f t="shared" si="31"/>
        <v>32</v>
      </c>
      <c r="J47" s="284">
        <f>G47*M$1</f>
        <v>1018.85</v>
      </c>
      <c r="K47" s="156">
        <f>I47*M$1</f>
        <v>931.52</v>
      </c>
      <c r="L47" s="284">
        <f t="shared" si="32"/>
        <v>105960.40000000001</v>
      </c>
      <c r="M47" s="284">
        <f t="shared" si="33"/>
        <v>3328</v>
      </c>
      <c r="N47" s="19"/>
      <c r="O47" s="19"/>
      <c r="P47" s="149"/>
      <c r="Q47" s="197"/>
      <c r="R47" s="197"/>
      <c r="S47" s="197"/>
      <c r="T47" s="197"/>
      <c r="U47" s="197"/>
      <c r="V47" s="197"/>
      <c r="W47" s="188">
        <f>J47</f>
        <v>1018.85</v>
      </c>
      <c r="X47" s="188">
        <f>H47*$M$1</f>
        <v>1018.85</v>
      </c>
      <c r="Z47" s="280"/>
      <c r="AA47" s="280"/>
      <c r="AB47" s="280"/>
      <c r="AC47" s="280"/>
      <c r="AD47" s="280"/>
      <c r="AE47" s="280"/>
      <c r="AF47" s="280"/>
    </row>
    <row r="48" spans="1:32" s="126" customFormat="1" x14ac:dyDescent="0.25">
      <c r="A48" s="227"/>
      <c r="B48" s="127">
        <v>0</v>
      </c>
      <c r="C48" s="127">
        <v>0</v>
      </c>
      <c r="D48" s="128">
        <f>'Data Ocupacion'!N46</f>
        <v>0</v>
      </c>
      <c r="E48" s="128">
        <f>'Data Ocupacion'!O46</f>
        <v>0</v>
      </c>
      <c r="F48" s="284" t="s">
        <v>122</v>
      </c>
      <c r="G48" s="284">
        <f t="shared" si="30"/>
        <v>0</v>
      </c>
      <c r="H48" s="127">
        <f t="shared" si="34"/>
        <v>0</v>
      </c>
      <c r="I48" s="284">
        <f t="shared" si="31"/>
        <v>0</v>
      </c>
      <c r="J48" s="284">
        <f>G48*K$1</f>
        <v>0</v>
      </c>
      <c r="K48" s="156">
        <f>I48*K$1</f>
        <v>0</v>
      </c>
      <c r="L48" s="284">
        <f t="shared" si="32"/>
        <v>0</v>
      </c>
      <c r="M48" s="284">
        <f t="shared" si="33"/>
        <v>0</v>
      </c>
      <c r="N48" s="19"/>
      <c r="O48" s="19"/>
      <c r="P48" s="149"/>
      <c r="Q48" s="197"/>
      <c r="R48" s="197"/>
      <c r="S48" s="197"/>
      <c r="T48" s="197"/>
      <c r="U48" s="197"/>
      <c r="V48" s="197"/>
      <c r="W48" s="188">
        <f>J48</f>
        <v>0</v>
      </c>
      <c r="X48" s="188">
        <f>H48*$K$1</f>
        <v>0</v>
      </c>
      <c r="Z48" s="280"/>
      <c r="AA48" s="280"/>
      <c r="AB48" s="280"/>
      <c r="AC48" s="280"/>
      <c r="AD48" s="280"/>
      <c r="AE48" s="280"/>
      <c r="AF48" s="280"/>
    </row>
    <row r="49" spans="1:65" ht="15.75" thickBot="1" x14ac:dyDescent="0.3">
      <c r="A49" s="185"/>
      <c r="B49" s="127">
        <v>1</v>
      </c>
      <c r="C49" s="127">
        <v>0</v>
      </c>
      <c r="D49" s="128">
        <f>'Data Ocupacion'!N47</f>
        <v>1</v>
      </c>
      <c r="E49" s="128">
        <f>'Data Ocupacion'!O47</f>
        <v>0</v>
      </c>
      <c r="F49" s="284" t="s">
        <v>35</v>
      </c>
      <c r="G49" s="284">
        <f t="shared" si="30"/>
        <v>1</v>
      </c>
      <c r="H49" s="127">
        <f t="shared" si="34"/>
        <v>1</v>
      </c>
      <c r="I49" s="284">
        <f t="shared" si="31"/>
        <v>1</v>
      </c>
      <c r="J49" s="284">
        <f>G49*K$1</f>
        <v>25.4</v>
      </c>
      <c r="K49" s="156">
        <f>I49*K$1</f>
        <v>25.4</v>
      </c>
      <c r="L49" s="284">
        <f t="shared" si="32"/>
        <v>2641.6</v>
      </c>
      <c r="M49" s="284">
        <f t="shared" si="33"/>
        <v>104</v>
      </c>
      <c r="N49" s="19"/>
      <c r="O49" s="19"/>
      <c r="P49" s="149"/>
      <c r="Q49" s="197"/>
      <c r="R49" s="197"/>
      <c r="S49" s="197"/>
      <c r="T49" s="197"/>
      <c r="U49" s="197"/>
      <c r="V49" s="197"/>
      <c r="W49" s="188">
        <f>J49</f>
        <v>25.4</v>
      </c>
      <c r="X49" s="188">
        <f>H49*$K$1</f>
        <v>25.4</v>
      </c>
      <c r="Z49" s="280"/>
      <c r="AA49" s="280"/>
      <c r="AB49" s="280"/>
      <c r="AC49" s="280"/>
      <c r="AD49" s="280"/>
      <c r="AE49" s="280"/>
      <c r="AF49" s="280"/>
    </row>
    <row r="50" spans="1:65" ht="15.75" thickBot="1" x14ac:dyDescent="0.3">
      <c r="A50" s="208"/>
      <c r="B50" s="230">
        <f>SUM(B44:B49)</f>
        <v>160</v>
      </c>
      <c r="C50" s="230">
        <f>SUM(C44:C49)</f>
        <v>63</v>
      </c>
      <c r="D50" s="155">
        <f>SUM(D44:D49)</f>
        <v>157</v>
      </c>
      <c r="E50" s="155">
        <f>SUM(E44:E49)</f>
        <v>66</v>
      </c>
      <c r="F50" s="121"/>
      <c r="G50" s="121">
        <f t="shared" ref="G50:M50" si="35">SUM(G44:G49)</f>
        <v>289</v>
      </c>
      <c r="H50" s="121">
        <f t="shared" si="35"/>
        <v>286</v>
      </c>
      <c r="I50" s="121">
        <f t="shared" si="35"/>
        <v>223</v>
      </c>
      <c r="J50" s="122">
        <f t="shared" si="35"/>
        <v>11451.419999999998</v>
      </c>
      <c r="K50" s="121">
        <f t="shared" si="35"/>
        <v>8688.9599999999991</v>
      </c>
      <c r="L50" s="120">
        <f t="shared" si="35"/>
        <v>1190947.6800000002</v>
      </c>
      <c r="M50" s="154">
        <f t="shared" si="35"/>
        <v>23192</v>
      </c>
      <c r="N50" s="125">
        <f>'Odometro-Kilometraje'!G81</f>
        <v>11736</v>
      </c>
      <c r="O50" s="21">
        <f>(W50/N50)*100</f>
        <v>96.62372188139058</v>
      </c>
      <c r="P50" s="200"/>
      <c r="Q50" s="187"/>
      <c r="R50" s="187"/>
      <c r="S50" s="187"/>
      <c r="T50" s="187"/>
      <c r="U50" s="187"/>
      <c r="V50" s="187"/>
      <c r="W50" s="201">
        <f>SUM(W44:W49)</f>
        <v>11339.759999999998</v>
      </c>
      <c r="X50" s="201">
        <f>SUM(X44:X49)</f>
        <v>11322.029999999999</v>
      </c>
      <c r="Z50" s="280"/>
      <c r="AA50" s="280"/>
      <c r="AB50" s="280"/>
      <c r="AC50" s="280"/>
      <c r="AD50" s="280"/>
      <c r="AE50" s="280"/>
      <c r="AF50" s="280"/>
    </row>
    <row r="51" spans="1:65" x14ac:dyDescent="0.25">
      <c r="A51" s="62">
        <f>A44+1</f>
        <v>45723</v>
      </c>
      <c r="B51" s="127">
        <v>51</v>
      </c>
      <c r="C51" s="127">
        <v>28</v>
      </c>
      <c r="D51" s="128">
        <f>'Data Ocupacion'!P42</f>
        <v>50</v>
      </c>
      <c r="E51" s="128">
        <f>'Data Ocupacion'!Q42</f>
        <v>29</v>
      </c>
      <c r="F51" s="285" t="s">
        <v>38</v>
      </c>
      <c r="G51" s="286">
        <f t="shared" ref="G51:G56" si="36">D51+E51*2</f>
        <v>108</v>
      </c>
      <c r="H51" s="127">
        <f>B51+C51*2</f>
        <v>107</v>
      </c>
      <c r="I51" s="287">
        <f t="shared" ref="I51:I56" si="37">D51+E51</f>
        <v>79</v>
      </c>
      <c r="J51" s="287">
        <f>G51*M$2</f>
        <v>4658.04</v>
      </c>
      <c r="K51" s="156">
        <f>I51*M$2</f>
        <v>3407.27</v>
      </c>
      <c r="L51" s="284">
        <f t="shared" ref="L51:L56" si="38">J51*104</f>
        <v>484436.16</v>
      </c>
      <c r="M51" s="284">
        <f t="shared" ref="M51:M56" si="39">I51*104</f>
        <v>8216</v>
      </c>
      <c r="N51" s="19"/>
      <c r="O51" s="19"/>
      <c r="P51" s="149"/>
      <c r="Q51" s="189">
        <v>1</v>
      </c>
      <c r="R51" s="189"/>
      <c r="S51" s="216"/>
      <c r="T51" s="198"/>
      <c r="U51" s="199"/>
      <c r="V51" s="245"/>
      <c r="W51" s="188">
        <f>J51-(Q51*($M$2-$K$1)+(R51*($M$2-$M$1))+  (S51*($M$2-$I$2)))</f>
        <v>4640.3100000000004</v>
      </c>
      <c r="X51" s="188">
        <f>H51*$M$2</f>
        <v>4614.91</v>
      </c>
      <c r="Z51" s="280"/>
      <c r="AA51" s="280"/>
      <c r="AB51" s="280"/>
      <c r="AC51" s="280"/>
      <c r="AD51" s="280"/>
      <c r="AE51" s="280"/>
      <c r="AF51" s="280"/>
    </row>
    <row r="52" spans="1:65" ht="15" customHeight="1" x14ac:dyDescent="0.25">
      <c r="A52" s="185"/>
      <c r="B52" s="127">
        <v>49</v>
      </c>
      <c r="C52" s="127">
        <v>29</v>
      </c>
      <c r="D52" s="128">
        <f>'Data Ocupacion'!P43</f>
        <v>49</v>
      </c>
      <c r="E52" s="128">
        <f>'Data Ocupacion'!Q43</f>
        <v>29</v>
      </c>
      <c r="F52" s="285" t="s">
        <v>52</v>
      </c>
      <c r="G52" s="286">
        <f t="shared" si="36"/>
        <v>107</v>
      </c>
      <c r="H52" s="127">
        <f t="shared" ref="H52:H56" si="40">B52+C52*2</f>
        <v>107</v>
      </c>
      <c r="I52" s="284">
        <f t="shared" si="37"/>
        <v>78</v>
      </c>
      <c r="J52" s="284">
        <f>G52*M$2</f>
        <v>4614.91</v>
      </c>
      <c r="K52" s="156">
        <f>I52*M$2</f>
        <v>3364.1400000000003</v>
      </c>
      <c r="L52" s="284">
        <f t="shared" si="38"/>
        <v>479950.64</v>
      </c>
      <c r="M52" s="284">
        <f t="shared" si="39"/>
        <v>8112</v>
      </c>
      <c r="N52" s="19"/>
      <c r="O52" s="19"/>
      <c r="P52" s="149"/>
      <c r="Q52" s="194"/>
      <c r="R52" s="194"/>
      <c r="S52" s="194"/>
      <c r="T52" s="189"/>
      <c r="U52" s="214"/>
      <c r="V52" s="246"/>
      <c r="W52" s="192">
        <f>J52-(T52*($M$2-$K$1)+(U52*($M$2-$M$1)))</f>
        <v>4614.91</v>
      </c>
      <c r="X52" s="188">
        <f>H52*$M$2</f>
        <v>4614.91</v>
      </c>
    </row>
    <row r="53" spans="1:65" ht="16.5" customHeight="1" x14ac:dyDescent="0.25">
      <c r="A53" s="185"/>
      <c r="B53" s="127">
        <v>30</v>
      </c>
      <c r="C53" s="127">
        <v>3</v>
      </c>
      <c r="D53" s="128">
        <f>'Data Ocupacion'!P44</f>
        <v>30</v>
      </c>
      <c r="E53" s="128">
        <f>'Data Ocupacion'!Q44</f>
        <v>3</v>
      </c>
      <c r="F53" s="285" t="s">
        <v>36</v>
      </c>
      <c r="G53" s="286">
        <f t="shared" si="36"/>
        <v>36</v>
      </c>
      <c r="H53" s="127">
        <f t="shared" si="40"/>
        <v>36</v>
      </c>
      <c r="I53" s="284">
        <f t="shared" si="37"/>
        <v>33</v>
      </c>
      <c r="J53" s="284">
        <f>G53*M$1</f>
        <v>1047.96</v>
      </c>
      <c r="K53" s="156">
        <f>I53*M$1</f>
        <v>960.63</v>
      </c>
      <c r="L53" s="284">
        <f t="shared" si="38"/>
        <v>108987.84</v>
      </c>
      <c r="M53" s="284">
        <f t="shared" si="39"/>
        <v>3432</v>
      </c>
      <c r="N53" s="19"/>
      <c r="O53" s="19"/>
      <c r="P53" s="149"/>
      <c r="Q53" s="194"/>
      <c r="R53" s="195"/>
      <c r="S53" s="217"/>
      <c r="T53" s="196"/>
      <c r="U53" s="197"/>
      <c r="V53" s="197"/>
      <c r="W53" s="188">
        <f>J53-(Q53*($M$1-$K$1))</f>
        <v>1047.96</v>
      </c>
      <c r="X53" s="188">
        <f>H53*$M$1</f>
        <v>1047.96</v>
      </c>
    </row>
    <row r="54" spans="1:65" x14ac:dyDescent="0.25">
      <c r="A54" s="185"/>
      <c r="B54" s="127">
        <v>29</v>
      </c>
      <c r="C54" s="127">
        <v>3</v>
      </c>
      <c r="D54" s="128">
        <f>'Data Ocupacion'!P45</f>
        <v>29</v>
      </c>
      <c r="E54" s="128">
        <f>'Data Ocupacion'!Q45</f>
        <v>3</v>
      </c>
      <c r="F54" s="285" t="s">
        <v>53</v>
      </c>
      <c r="G54" s="286">
        <f t="shared" si="36"/>
        <v>35</v>
      </c>
      <c r="H54" s="127">
        <f t="shared" si="40"/>
        <v>35</v>
      </c>
      <c r="I54" s="284">
        <f t="shared" si="37"/>
        <v>32</v>
      </c>
      <c r="J54" s="284">
        <f>G54*M$1</f>
        <v>1018.85</v>
      </c>
      <c r="K54" s="156">
        <f>I54*M$1</f>
        <v>931.52</v>
      </c>
      <c r="L54" s="284">
        <f t="shared" si="38"/>
        <v>105960.40000000001</v>
      </c>
      <c r="M54" s="284">
        <f t="shared" si="39"/>
        <v>3328</v>
      </c>
      <c r="N54" s="19"/>
      <c r="O54" s="19"/>
      <c r="P54" s="149"/>
      <c r="Q54" s="197"/>
      <c r="R54" s="197"/>
      <c r="S54" s="197"/>
      <c r="T54" s="197"/>
      <c r="U54" s="197"/>
      <c r="V54" s="197"/>
      <c r="W54" s="188">
        <f>J54</f>
        <v>1018.85</v>
      </c>
      <c r="X54" s="188">
        <f>H54*$M$1</f>
        <v>1018.85</v>
      </c>
    </row>
    <row r="55" spans="1:65" s="126" customFormat="1" x14ac:dyDescent="0.25">
      <c r="A55" s="185"/>
      <c r="B55" s="127">
        <v>0</v>
      </c>
      <c r="C55" s="127">
        <v>0</v>
      </c>
      <c r="D55" s="128">
        <f>'Data Ocupacion'!P46</f>
        <v>0</v>
      </c>
      <c r="E55" s="128">
        <f>'Data Ocupacion'!Q46</f>
        <v>0</v>
      </c>
      <c r="F55" s="285" t="s">
        <v>122</v>
      </c>
      <c r="G55" s="286">
        <f t="shared" si="36"/>
        <v>0</v>
      </c>
      <c r="H55" s="127">
        <f t="shared" si="40"/>
        <v>0</v>
      </c>
      <c r="I55" s="284">
        <f t="shared" si="37"/>
        <v>0</v>
      </c>
      <c r="J55" s="288">
        <f>G55*K$1</f>
        <v>0</v>
      </c>
      <c r="K55" s="156">
        <f>I55*K$1</f>
        <v>0</v>
      </c>
      <c r="L55" s="284">
        <f t="shared" si="38"/>
        <v>0</v>
      </c>
      <c r="M55" s="284">
        <f t="shared" si="39"/>
        <v>0</v>
      </c>
      <c r="N55" s="19"/>
      <c r="O55" s="19"/>
      <c r="P55" s="149"/>
      <c r="Q55" s="197"/>
      <c r="R55" s="197"/>
      <c r="S55" s="197"/>
      <c r="T55" s="197"/>
      <c r="U55" s="197"/>
      <c r="V55" s="197"/>
      <c r="W55" s="188">
        <f>J55</f>
        <v>0</v>
      </c>
      <c r="X55" s="188">
        <f>H55*$K$1</f>
        <v>0</v>
      </c>
    </row>
    <row r="56" spans="1:65" ht="15.75" thickBot="1" x14ac:dyDescent="0.3">
      <c r="A56" s="185"/>
      <c r="B56" s="127">
        <v>1</v>
      </c>
      <c r="C56" s="127">
        <v>0</v>
      </c>
      <c r="D56" s="128">
        <f>'Data Ocupacion'!P47</f>
        <v>1</v>
      </c>
      <c r="E56" s="128">
        <f>'Data Ocupacion'!Q47</f>
        <v>0</v>
      </c>
      <c r="F56" s="285" t="s">
        <v>35</v>
      </c>
      <c r="G56" s="286">
        <f t="shared" si="36"/>
        <v>1</v>
      </c>
      <c r="H56" s="127">
        <f t="shared" si="40"/>
        <v>1</v>
      </c>
      <c r="I56" s="289">
        <f t="shared" si="37"/>
        <v>1</v>
      </c>
      <c r="J56" s="289">
        <f>G56*K$1</f>
        <v>25.4</v>
      </c>
      <c r="K56" s="156">
        <f>I56*K$1</f>
        <v>25.4</v>
      </c>
      <c r="L56" s="284">
        <f t="shared" si="38"/>
        <v>2641.6</v>
      </c>
      <c r="M56" s="284">
        <f t="shared" si="39"/>
        <v>104</v>
      </c>
      <c r="N56" s="19"/>
      <c r="O56" s="19"/>
      <c r="P56" s="149"/>
      <c r="Q56" s="197"/>
      <c r="R56" s="197"/>
      <c r="S56" s="197"/>
      <c r="T56" s="197"/>
      <c r="U56" s="197"/>
      <c r="V56" s="197"/>
      <c r="W56" s="188">
        <f>J56</f>
        <v>25.4</v>
      </c>
      <c r="X56" s="188">
        <f>H56*$K$1</f>
        <v>25.4</v>
      </c>
    </row>
    <row r="57" spans="1:65" ht="18" customHeight="1" thickBot="1" x14ac:dyDescent="0.3">
      <c r="A57" s="20"/>
      <c r="B57" s="230">
        <f>SUM(B51:B56)</f>
        <v>160</v>
      </c>
      <c r="C57" s="230">
        <f>SUM(C51:C56)</f>
        <v>63</v>
      </c>
      <c r="D57" s="151">
        <f>SUM(D51:D56)</f>
        <v>159</v>
      </c>
      <c r="E57" s="151">
        <f>SUM(E51:E56)</f>
        <v>64</v>
      </c>
      <c r="F57" s="121"/>
      <c r="G57" s="121">
        <f t="shared" ref="G57:M57" si="41">SUM(G51:G56)</f>
        <v>287</v>
      </c>
      <c r="H57" s="121">
        <f t="shared" si="41"/>
        <v>286</v>
      </c>
      <c r="I57" s="121">
        <f t="shared" si="41"/>
        <v>223</v>
      </c>
      <c r="J57" s="122">
        <f t="shared" si="41"/>
        <v>11365.16</v>
      </c>
      <c r="K57" s="121">
        <f t="shared" si="41"/>
        <v>8688.9599999999991</v>
      </c>
      <c r="L57" s="121">
        <f t="shared" si="41"/>
        <v>1181976.6400000001</v>
      </c>
      <c r="M57" s="121">
        <f t="shared" si="41"/>
        <v>23192</v>
      </c>
      <c r="N57" s="125">
        <f>'Odometro-Kilometraje'!H81</f>
        <v>11720</v>
      </c>
      <c r="O57" s="21">
        <f>(W57/N57)*100</f>
        <v>96.821075085324239</v>
      </c>
      <c r="P57" s="200"/>
      <c r="Q57" s="187"/>
      <c r="R57" s="187"/>
      <c r="S57" s="187"/>
      <c r="T57" s="187"/>
      <c r="U57" s="187"/>
      <c r="V57" s="187"/>
      <c r="W57" s="201">
        <f>SUM(W51:W56)</f>
        <v>11347.43</v>
      </c>
      <c r="X57" s="201">
        <f>SUM(X51:X56)</f>
        <v>11322.029999999999</v>
      </c>
    </row>
    <row r="58" spans="1:65" x14ac:dyDescent="0.25">
      <c r="A58" s="62">
        <f>A51+1</f>
        <v>45724</v>
      </c>
      <c r="B58" s="118">
        <v>69</v>
      </c>
      <c r="C58" s="118">
        <v>3</v>
      </c>
      <c r="D58" s="150">
        <f>'Data Ocupacion'!R42</f>
        <v>69</v>
      </c>
      <c r="E58" s="150">
        <f>'Data Ocupacion'!S42</f>
        <v>3</v>
      </c>
      <c r="F58" s="118" t="s">
        <v>38</v>
      </c>
      <c r="G58" s="118">
        <f t="shared" ref="G58:G63" si="42">D58+E58*2</f>
        <v>75</v>
      </c>
      <c r="H58" s="118">
        <f>B58+C58*2</f>
        <v>75</v>
      </c>
      <c r="I58" s="118">
        <f t="shared" ref="I58:I63" si="43">D58+E58</f>
        <v>72</v>
      </c>
      <c r="J58" s="118">
        <f>G58*M$2</f>
        <v>3234.75</v>
      </c>
      <c r="K58" s="156">
        <f>I58*M$2</f>
        <v>3105.36</v>
      </c>
      <c r="L58" s="118">
        <f t="shared" ref="L58:L63" si="44">J58*104</f>
        <v>336414</v>
      </c>
      <c r="M58" s="118">
        <f t="shared" ref="M58:M63" si="45">I58*104</f>
        <v>7488</v>
      </c>
      <c r="N58" s="19"/>
      <c r="O58" s="19"/>
      <c r="P58" s="149"/>
      <c r="Q58" s="263"/>
      <c r="R58" s="189"/>
      <c r="S58" s="216"/>
      <c r="T58" s="211"/>
      <c r="U58" s="199"/>
      <c r="V58" s="245"/>
      <c r="W58" s="188">
        <f>J58-(Q58*($M$2-$K$1)+(R58*($M$2-$M$1))+  (S58*($M$2-$I$2))+(T58*$K$1))</f>
        <v>3234.75</v>
      </c>
      <c r="X58" s="188">
        <f>H58*$M$2</f>
        <v>3234.75</v>
      </c>
    </row>
    <row r="59" spans="1:65" ht="15" customHeight="1" x14ac:dyDescent="0.25">
      <c r="A59" s="227"/>
      <c r="B59" s="118">
        <v>75</v>
      </c>
      <c r="C59" s="118">
        <v>0</v>
      </c>
      <c r="D59" s="150">
        <f>'Data Ocupacion'!R43</f>
        <v>75</v>
      </c>
      <c r="E59" s="150">
        <f>'Data Ocupacion'!S43</f>
        <v>0</v>
      </c>
      <c r="F59" s="118" t="s">
        <v>52</v>
      </c>
      <c r="G59" s="118">
        <f t="shared" si="42"/>
        <v>75</v>
      </c>
      <c r="H59" s="118">
        <f t="shared" ref="H59:H63" si="46">B59+C59*2</f>
        <v>75</v>
      </c>
      <c r="I59" s="118">
        <f t="shared" si="43"/>
        <v>75</v>
      </c>
      <c r="J59" s="118">
        <f>G59*M$2</f>
        <v>3234.75</v>
      </c>
      <c r="K59" s="156">
        <f>I59*M$2</f>
        <v>3234.75</v>
      </c>
      <c r="L59" s="118">
        <f t="shared" si="44"/>
        <v>336414</v>
      </c>
      <c r="M59" s="118">
        <f t="shared" si="45"/>
        <v>7800</v>
      </c>
      <c r="N59" s="19"/>
      <c r="O59" s="19"/>
      <c r="P59" s="149"/>
      <c r="Q59" s="194" t="s">
        <v>147</v>
      </c>
      <c r="R59" s="194"/>
      <c r="S59" s="194"/>
      <c r="T59" s="189"/>
      <c r="U59" s="191"/>
      <c r="V59" s="246"/>
      <c r="W59" s="192">
        <f>J59-(T59*($M$2-$K$1)+(U59*($M$2-$M$1)))</f>
        <v>3234.75</v>
      </c>
      <c r="X59" s="188">
        <f>H59*$M$2</f>
        <v>3234.75</v>
      </c>
    </row>
    <row r="60" spans="1:65" ht="15" customHeight="1" x14ac:dyDescent="0.25">
      <c r="A60" s="227"/>
      <c r="B60" s="118">
        <v>0</v>
      </c>
      <c r="C60" s="118">
        <v>0</v>
      </c>
      <c r="D60" s="150">
        <f>'Data Ocupacion'!R44</f>
        <v>0</v>
      </c>
      <c r="E60" s="150">
        <f>'Data Ocupacion'!S44</f>
        <v>0</v>
      </c>
      <c r="F60" s="118" t="s">
        <v>36</v>
      </c>
      <c r="G60" s="118">
        <f t="shared" si="42"/>
        <v>0</v>
      </c>
      <c r="H60" s="118">
        <f t="shared" si="46"/>
        <v>0</v>
      </c>
      <c r="I60" s="118">
        <f t="shared" si="43"/>
        <v>0</v>
      </c>
      <c r="J60" s="118">
        <f>G60*M$1</f>
        <v>0</v>
      </c>
      <c r="K60" s="156">
        <f>I60*M$1</f>
        <v>0</v>
      </c>
      <c r="L60" s="118">
        <f t="shared" si="44"/>
        <v>0</v>
      </c>
      <c r="M60" s="118">
        <f t="shared" si="45"/>
        <v>0</v>
      </c>
      <c r="N60" s="19"/>
      <c r="O60" s="19"/>
      <c r="P60" s="149"/>
      <c r="Q60" s="193"/>
      <c r="R60" s="195"/>
      <c r="S60" s="217"/>
      <c r="T60" s="196"/>
      <c r="U60" s="197"/>
      <c r="V60" s="197"/>
      <c r="W60" s="188">
        <f>J60-(Q60*($M$1-$K$1))</f>
        <v>0</v>
      </c>
      <c r="X60" s="188">
        <f>H60*$M$1</f>
        <v>0</v>
      </c>
    </row>
    <row r="61" spans="1:65" x14ac:dyDescent="0.25">
      <c r="A61" s="227"/>
      <c r="B61" s="118">
        <v>0</v>
      </c>
      <c r="C61" s="118">
        <v>0</v>
      </c>
      <c r="D61" s="150">
        <f>'Data Ocupacion'!R45</f>
        <v>0</v>
      </c>
      <c r="E61" s="150">
        <f>'Data Ocupacion'!S45</f>
        <v>0</v>
      </c>
      <c r="F61" s="118" t="s">
        <v>53</v>
      </c>
      <c r="G61" s="118">
        <f t="shared" si="42"/>
        <v>0</v>
      </c>
      <c r="H61" s="118">
        <f t="shared" si="46"/>
        <v>0</v>
      </c>
      <c r="I61" s="118">
        <f t="shared" si="43"/>
        <v>0</v>
      </c>
      <c r="J61" s="118">
        <f>G61*M$1</f>
        <v>0</v>
      </c>
      <c r="K61" s="156">
        <f>I61*M$1</f>
        <v>0</v>
      </c>
      <c r="L61" s="118">
        <f t="shared" si="44"/>
        <v>0</v>
      </c>
      <c r="M61" s="118">
        <f t="shared" si="45"/>
        <v>0</v>
      </c>
      <c r="N61" s="19"/>
      <c r="O61" s="19"/>
      <c r="P61" s="149"/>
      <c r="Q61" s="197"/>
      <c r="R61" s="197"/>
      <c r="S61" s="197"/>
      <c r="T61" s="197"/>
      <c r="U61" s="197"/>
      <c r="V61" s="197"/>
      <c r="W61" s="188">
        <f>J61</f>
        <v>0</v>
      </c>
      <c r="X61" s="188">
        <f>H61*$M$1</f>
        <v>0</v>
      </c>
      <c r="BM61" t="s">
        <v>120</v>
      </c>
    </row>
    <row r="62" spans="1:65" s="126" customFormat="1" ht="15" customHeight="1" x14ac:dyDescent="0.25">
      <c r="A62" s="227"/>
      <c r="B62" s="118">
        <v>0</v>
      </c>
      <c r="C62" s="118">
        <v>0</v>
      </c>
      <c r="D62" s="150">
        <f>'Data Ocupacion'!R46</f>
        <v>0</v>
      </c>
      <c r="E62" s="150">
        <f>'Data Ocupacion'!S46</f>
        <v>0</v>
      </c>
      <c r="F62" s="118" t="s">
        <v>122</v>
      </c>
      <c r="G62" s="118">
        <f t="shared" si="42"/>
        <v>0</v>
      </c>
      <c r="H62" s="118">
        <f t="shared" si="46"/>
        <v>0</v>
      </c>
      <c r="I62" s="118">
        <f t="shared" si="43"/>
        <v>0</v>
      </c>
      <c r="J62" s="118">
        <f>G62*K$1</f>
        <v>0</v>
      </c>
      <c r="K62" s="156">
        <f>I62*K$1</f>
        <v>0</v>
      </c>
      <c r="L62" s="118">
        <f t="shared" si="44"/>
        <v>0</v>
      </c>
      <c r="M62" s="118">
        <f t="shared" si="45"/>
        <v>0</v>
      </c>
      <c r="N62" s="19"/>
      <c r="O62" s="19"/>
      <c r="P62" s="149"/>
      <c r="Q62" s="197"/>
      <c r="R62" s="197"/>
      <c r="S62" s="197"/>
      <c r="T62" s="197"/>
      <c r="U62" s="197"/>
      <c r="V62" s="197"/>
      <c r="W62" s="188">
        <f>J62</f>
        <v>0</v>
      </c>
      <c r="X62" s="188">
        <f>H62*$K$1</f>
        <v>0</v>
      </c>
    </row>
    <row r="63" spans="1:65" ht="15.75" thickBot="1" x14ac:dyDescent="0.3">
      <c r="A63" s="227"/>
      <c r="B63" s="118">
        <v>0</v>
      </c>
      <c r="C63" s="118">
        <v>0</v>
      </c>
      <c r="D63" s="150">
        <f>'Data Ocupacion'!R47</f>
        <v>0</v>
      </c>
      <c r="E63" s="150">
        <f>'Data Ocupacion'!S47</f>
        <v>0</v>
      </c>
      <c r="F63" s="118" t="s">
        <v>35</v>
      </c>
      <c r="G63" s="118">
        <f t="shared" si="42"/>
        <v>0</v>
      </c>
      <c r="H63" s="118">
        <f t="shared" si="46"/>
        <v>0</v>
      </c>
      <c r="I63" s="118">
        <f t="shared" si="43"/>
        <v>0</v>
      </c>
      <c r="J63" s="118">
        <f>G63*K$1</f>
        <v>0</v>
      </c>
      <c r="K63" s="156">
        <f>I63*K$1</f>
        <v>0</v>
      </c>
      <c r="L63" s="118">
        <f t="shared" si="44"/>
        <v>0</v>
      </c>
      <c r="M63" s="118">
        <f t="shared" si="45"/>
        <v>0</v>
      </c>
      <c r="N63" s="19"/>
      <c r="O63" s="19"/>
      <c r="P63" s="149"/>
      <c r="Q63" s="197"/>
      <c r="R63" s="197"/>
      <c r="S63" s="197"/>
      <c r="T63" s="197"/>
      <c r="U63" s="197"/>
      <c r="V63" s="197"/>
      <c r="W63" s="188">
        <f>J63</f>
        <v>0</v>
      </c>
      <c r="X63" s="188">
        <f>H63*$K$1</f>
        <v>0</v>
      </c>
    </row>
    <row r="64" spans="1:65" ht="15.75" thickBot="1" x14ac:dyDescent="0.3">
      <c r="A64" s="20"/>
      <c r="B64" s="230">
        <f>SUM(B58:B63)</f>
        <v>144</v>
      </c>
      <c r="C64" s="230">
        <f>SUM(C58:C63)</f>
        <v>3</v>
      </c>
      <c r="D64" s="155">
        <f>SUM(D58:D63)</f>
        <v>144</v>
      </c>
      <c r="E64" s="155">
        <f>SUM(E58:E63)</f>
        <v>3</v>
      </c>
      <c r="F64" s="121"/>
      <c r="G64" s="121">
        <f t="shared" ref="G64:M64" si="47">SUM(G58:G63)</f>
        <v>150</v>
      </c>
      <c r="H64" s="121">
        <f t="shared" si="47"/>
        <v>150</v>
      </c>
      <c r="I64" s="121">
        <f t="shared" si="47"/>
        <v>147</v>
      </c>
      <c r="J64" s="122">
        <f t="shared" si="47"/>
        <v>6469.5</v>
      </c>
      <c r="K64" s="121">
        <f t="shared" si="47"/>
        <v>6340.1100000000006</v>
      </c>
      <c r="L64" s="120">
        <f t="shared" si="47"/>
        <v>672828</v>
      </c>
      <c r="M64" s="154">
        <f t="shared" si="47"/>
        <v>15288</v>
      </c>
      <c r="N64" s="125">
        <f>'Odometro-Kilometraje'!I81</f>
        <v>6497</v>
      </c>
      <c r="O64" s="21">
        <f>(W64/N64)*100</f>
        <v>99.576727720486375</v>
      </c>
      <c r="P64" s="200"/>
      <c r="Q64" s="187"/>
      <c r="R64" s="187"/>
      <c r="S64" s="187"/>
      <c r="T64" s="187"/>
      <c r="U64" s="187"/>
      <c r="V64" s="187"/>
      <c r="W64" s="201">
        <f>SUM(W58:W63)</f>
        <v>6469.5</v>
      </c>
      <c r="X64" s="201">
        <f>SUM(X58:X63)</f>
        <v>6469.5</v>
      </c>
    </row>
    <row r="65" spans="1:28" x14ac:dyDescent="0.25">
      <c r="A65" s="62">
        <f>A58+1</f>
        <v>45725</v>
      </c>
      <c r="B65" s="231">
        <v>51</v>
      </c>
      <c r="C65" s="231">
        <v>3</v>
      </c>
      <c r="D65" s="140">
        <f>'Data Ocupacion'!T42</f>
        <v>51</v>
      </c>
      <c r="E65" s="140">
        <f>'Data Ocupacion'!U42</f>
        <v>3</v>
      </c>
      <c r="F65" s="231" t="s">
        <v>38</v>
      </c>
      <c r="G65" s="231">
        <f t="shared" ref="G65:G70" si="48">D65+E65*2</f>
        <v>57</v>
      </c>
      <c r="H65" s="231">
        <f>B65+C65*2</f>
        <v>57</v>
      </c>
      <c r="I65" s="231">
        <f t="shared" ref="I65:I70" si="49">D65+E65</f>
        <v>54</v>
      </c>
      <c r="J65" s="231">
        <f>G65*M$2</f>
        <v>2458.4100000000003</v>
      </c>
      <c r="K65" s="156">
        <f>I65*M$2</f>
        <v>2329.02</v>
      </c>
      <c r="L65" s="231">
        <f t="shared" ref="L65:L70" si="50">J65*104</f>
        <v>255674.64000000004</v>
      </c>
      <c r="M65" s="231">
        <f t="shared" ref="M65:M70" si="51">I65*104</f>
        <v>5616</v>
      </c>
      <c r="N65" s="19"/>
      <c r="O65" s="19"/>
      <c r="P65" s="149"/>
      <c r="Q65" s="189"/>
      <c r="R65" s="189"/>
      <c r="S65" s="216"/>
      <c r="T65" s="211"/>
      <c r="U65" s="199"/>
      <c r="V65" s="245"/>
      <c r="W65" s="188">
        <f>J65-(Q65*($M$2-$K$1)+(R65*($M$2-$M$1))+  (S65*($M$2-$I$2))+(T65*$K$1))</f>
        <v>2458.4100000000003</v>
      </c>
      <c r="X65" s="188">
        <f>H65*$M$2</f>
        <v>2458.4100000000003</v>
      </c>
    </row>
    <row r="66" spans="1:28" ht="15" customHeight="1" x14ac:dyDescent="0.25">
      <c r="A66" s="325"/>
      <c r="B66" s="231">
        <v>57</v>
      </c>
      <c r="C66" s="231">
        <v>0</v>
      </c>
      <c r="D66" s="140">
        <f>'Data Ocupacion'!T43</f>
        <v>57</v>
      </c>
      <c r="E66" s="140">
        <f>'Data Ocupacion'!U43</f>
        <v>0</v>
      </c>
      <c r="F66" s="231" t="s">
        <v>52</v>
      </c>
      <c r="G66" s="231">
        <f t="shared" si="48"/>
        <v>57</v>
      </c>
      <c r="H66" s="231">
        <f t="shared" ref="H66:H70" si="52">B66+C66*2</f>
        <v>57</v>
      </c>
      <c r="I66" s="231">
        <f t="shared" si="49"/>
        <v>57</v>
      </c>
      <c r="J66" s="231">
        <f>G66*M$2</f>
        <v>2458.4100000000003</v>
      </c>
      <c r="K66" s="156">
        <f>I66*M$2</f>
        <v>2458.4100000000003</v>
      </c>
      <c r="L66" s="231">
        <f t="shared" si="50"/>
        <v>255674.64000000004</v>
      </c>
      <c r="M66" s="231">
        <f t="shared" si="51"/>
        <v>5928</v>
      </c>
      <c r="N66" s="19"/>
      <c r="O66" s="19"/>
      <c r="P66" s="149"/>
      <c r="Q66" s="194"/>
      <c r="R66" s="194"/>
      <c r="S66" s="194"/>
      <c r="T66" s="189"/>
      <c r="U66" s="189"/>
      <c r="V66" s="246"/>
      <c r="W66" s="192">
        <f>J66-(T66*($M$2-$K$1)+(U66*($M$2-$M$1)))</f>
        <v>2458.4100000000003</v>
      </c>
      <c r="X66" s="188">
        <f>H66*$M$2</f>
        <v>2458.4100000000003</v>
      </c>
      <c r="Y66" s="254"/>
      <c r="AA66" s="126"/>
      <c r="AB66" s="126"/>
    </row>
    <row r="67" spans="1:28" x14ac:dyDescent="0.25">
      <c r="A67" s="277"/>
      <c r="B67" s="231">
        <v>0</v>
      </c>
      <c r="C67" s="231">
        <v>0</v>
      </c>
      <c r="D67" s="140">
        <f>'Data Ocupacion'!T44</f>
        <v>0</v>
      </c>
      <c r="E67" s="140">
        <f>'Data Ocupacion'!U44</f>
        <v>0</v>
      </c>
      <c r="F67" s="231" t="s">
        <v>36</v>
      </c>
      <c r="G67" s="231">
        <f t="shared" si="48"/>
        <v>0</v>
      </c>
      <c r="H67" s="231">
        <f t="shared" si="52"/>
        <v>0</v>
      </c>
      <c r="I67" s="231">
        <f t="shared" si="49"/>
        <v>0</v>
      </c>
      <c r="J67" s="231">
        <f>G67*M$1</f>
        <v>0</v>
      </c>
      <c r="K67" s="156">
        <f>I67*M$1</f>
        <v>0</v>
      </c>
      <c r="L67" s="231">
        <f t="shared" si="50"/>
        <v>0</v>
      </c>
      <c r="M67" s="231">
        <f t="shared" si="51"/>
        <v>0</v>
      </c>
      <c r="N67" s="19"/>
      <c r="O67" s="19"/>
      <c r="P67" s="149"/>
      <c r="Q67" s="193"/>
      <c r="R67" s="195"/>
      <c r="S67" s="217"/>
      <c r="T67" s="196"/>
      <c r="U67" s="197"/>
      <c r="V67" s="197"/>
      <c r="W67" s="188">
        <f>J67-(Q67*($M$1-$K$1))</f>
        <v>0</v>
      </c>
      <c r="X67" s="188">
        <f>H67*$M$1</f>
        <v>0</v>
      </c>
      <c r="Y67" s="254"/>
    </row>
    <row r="68" spans="1:28" x14ac:dyDescent="0.25">
      <c r="A68" s="277"/>
      <c r="B68" s="231">
        <v>0</v>
      </c>
      <c r="C68" s="231">
        <v>0</v>
      </c>
      <c r="D68" s="140">
        <f>'Data Ocupacion'!T45</f>
        <v>0</v>
      </c>
      <c r="E68" s="140">
        <f>'Data Ocupacion'!U45</f>
        <v>0</v>
      </c>
      <c r="F68" s="231" t="s">
        <v>53</v>
      </c>
      <c r="G68" s="231">
        <f t="shared" si="48"/>
        <v>0</v>
      </c>
      <c r="H68" s="231">
        <f t="shared" si="52"/>
        <v>0</v>
      </c>
      <c r="I68" s="231">
        <f t="shared" si="49"/>
        <v>0</v>
      </c>
      <c r="J68" s="231">
        <f>G68*M$1</f>
        <v>0</v>
      </c>
      <c r="K68" s="156">
        <f>I68*M$1</f>
        <v>0</v>
      </c>
      <c r="L68" s="231">
        <f t="shared" si="50"/>
        <v>0</v>
      </c>
      <c r="M68" s="231">
        <f t="shared" si="51"/>
        <v>0</v>
      </c>
      <c r="N68" s="19"/>
      <c r="O68" s="19"/>
      <c r="P68" s="149"/>
      <c r="Q68" s="197"/>
      <c r="R68" s="197"/>
      <c r="S68" s="197"/>
      <c r="T68" s="197"/>
      <c r="U68" s="197"/>
      <c r="V68" s="197"/>
      <c r="W68" s="188">
        <f>J68</f>
        <v>0</v>
      </c>
      <c r="X68" s="188">
        <f>H68*$M$1</f>
        <v>0</v>
      </c>
    </row>
    <row r="69" spans="1:28" s="126" customFormat="1" x14ac:dyDescent="0.25">
      <c r="A69" s="277"/>
      <c r="B69" s="231">
        <v>0</v>
      </c>
      <c r="C69" s="231">
        <v>0</v>
      </c>
      <c r="D69" s="140">
        <f>'Data Ocupacion'!T46</f>
        <v>0</v>
      </c>
      <c r="E69" s="140">
        <f>'Data Ocupacion'!U46</f>
        <v>0</v>
      </c>
      <c r="F69" s="231" t="s">
        <v>122</v>
      </c>
      <c r="G69" s="231">
        <f t="shared" si="48"/>
        <v>0</v>
      </c>
      <c r="H69" s="231">
        <f t="shared" si="52"/>
        <v>0</v>
      </c>
      <c r="I69" s="231">
        <f t="shared" si="49"/>
        <v>0</v>
      </c>
      <c r="J69" s="231">
        <f>G69*K$1</f>
        <v>0</v>
      </c>
      <c r="K69" s="156">
        <f>I69*K$1</f>
        <v>0</v>
      </c>
      <c r="L69" s="231">
        <f t="shared" si="50"/>
        <v>0</v>
      </c>
      <c r="M69" s="231">
        <f t="shared" si="51"/>
        <v>0</v>
      </c>
      <c r="N69" s="19"/>
      <c r="O69" s="19"/>
      <c r="P69" s="149"/>
      <c r="Q69" s="197"/>
      <c r="R69" s="197"/>
      <c r="S69" s="197"/>
      <c r="T69" s="197"/>
      <c r="U69" s="197"/>
      <c r="V69" s="197"/>
      <c r="W69" s="188">
        <f>J69</f>
        <v>0</v>
      </c>
      <c r="X69" s="188">
        <f>H69*$K$1</f>
        <v>0</v>
      </c>
    </row>
    <row r="70" spans="1:28" ht="15.75" thickBot="1" x14ac:dyDescent="0.3">
      <c r="A70" s="277"/>
      <c r="B70" s="231">
        <v>0</v>
      </c>
      <c r="C70" s="231">
        <v>0</v>
      </c>
      <c r="D70" s="140">
        <f>'Data Ocupacion'!T47</f>
        <v>0</v>
      </c>
      <c r="E70" s="140">
        <f>'Data Ocupacion'!U47</f>
        <v>0</v>
      </c>
      <c r="F70" s="231" t="s">
        <v>35</v>
      </c>
      <c r="G70" s="231">
        <f t="shared" si="48"/>
        <v>0</v>
      </c>
      <c r="H70" s="231">
        <f t="shared" si="52"/>
        <v>0</v>
      </c>
      <c r="I70" s="231">
        <f t="shared" si="49"/>
        <v>0</v>
      </c>
      <c r="J70" s="231">
        <f>G70*K$1</f>
        <v>0</v>
      </c>
      <c r="K70" s="156">
        <f>I70*K$1</f>
        <v>0</v>
      </c>
      <c r="L70" s="231">
        <f t="shared" si="50"/>
        <v>0</v>
      </c>
      <c r="M70" s="231">
        <f t="shared" si="51"/>
        <v>0</v>
      </c>
      <c r="N70" s="19"/>
      <c r="O70" s="19"/>
      <c r="P70" s="149"/>
      <c r="Q70" s="197"/>
      <c r="R70" s="197"/>
      <c r="S70" s="197"/>
      <c r="T70" s="197"/>
      <c r="U70" s="197"/>
      <c r="V70" s="197"/>
      <c r="W70" s="188">
        <f>J70</f>
        <v>0</v>
      </c>
      <c r="X70" s="188">
        <f>H70*$K$1</f>
        <v>0</v>
      </c>
    </row>
    <row r="71" spans="1:28" s="126" customFormat="1" ht="18.75" customHeight="1" thickBot="1" x14ac:dyDescent="0.3">
      <c r="A71" s="20"/>
      <c r="B71" s="230">
        <f>SUM(B65:B70)</f>
        <v>108</v>
      </c>
      <c r="C71" s="230">
        <f>SUM(C65:C70)</f>
        <v>3</v>
      </c>
      <c r="D71" s="155">
        <f>SUM(D65:D70)</f>
        <v>108</v>
      </c>
      <c r="E71" s="155">
        <f>SUM(E65:E70)</f>
        <v>3</v>
      </c>
      <c r="F71" s="121"/>
      <c r="G71" s="121">
        <f t="shared" ref="G71:M71" si="53">SUM(G65:G70)</f>
        <v>114</v>
      </c>
      <c r="H71" s="121">
        <f t="shared" si="53"/>
        <v>114</v>
      </c>
      <c r="I71" s="121">
        <f t="shared" si="53"/>
        <v>111</v>
      </c>
      <c r="J71" s="122">
        <f t="shared" si="53"/>
        <v>4916.8200000000006</v>
      </c>
      <c r="K71" s="121">
        <f t="shared" si="53"/>
        <v>4787.43</v>
      </c>
      <c r="L71" s="120">
        <f t="shared" si="53"/>
        <v>511349.28000000009</v>
      </c>
      <c r="M71" s="154">
        <f t="shared" si="53"/>
        <v>11544</v>
      </c>
      <c r="N71" s="125">
        <f>'Odometro-Kilometraje'!J81</f>
        <v>4974</v>
      </c>
      <c r="O71" s="21">
        <f>(W71/N71)*100</f>
        <v>98.850422195416172</v>
      </c>
      <c r="P71" s="200"/>
      <c r="Q71" s="187"/>
      <c r="R71" s="187"/>
      <c r="S71" s="187"/>
      <c r="T71" s="187"/>
      <c r="U71" s="187"/>
      <c r="V71" s="187"/>
      <c r="W71" s="201">
        <f>SUM(W65:W70)</f>
        <v>4916.8200000000006</v>
      </c>
      <c r="X71" s="201">
        <f>SUM(X65:X70)</f>
        <v>4916.8200000000006</v>
      </c>
      <c r="Y71" s="255"/>
    </row>
    <row r="72" spans="1:28" s="126" customFormat="1" x14ac:dyDescent="0.25">
      <c r="A72" s="62">
        <f>A65+1</f>
        <v>45726</v>
      </c>
      <c r="B72" s="127">
        <v>51</v>
      </c>
      <c r="C72" s="127">
        <v>28</v>
      </c>
      <c r="D72" s="128">
        <f>'Data Ocupacion'!V42</f>
        <v>51</v>
      </c>
      <c r="E72" s="128">
        <f>'Data Ocupacion'!W42</f>
        <v>28</v>
      </c>
      <c r="F72" s="235" t="s">
        <v>38</v>
      </c>
      <c r="G72" s="236">
        <f t="shared" ref="G72:G79" si="54">D72+E72*2</f>
        <v>107</v>
      </c>
      <c r="H72" s="127">
        <f>B72+C72*2</f>
        <v>107</v>
      </c>
      <c r="I72" s="237">
        <f t="shared" ref="I72:I77" si="55">D72+E72</f>
        <v>79</v>
      </c>
      <c r="J72" s="237">
        <f>G72*M$2</f>
        <v>4614.91</v>
      </c>
      <c r="K72" s="156">
        <f>I72*M$2</f>
        <v>3407.27</v>
      </c>
      <c r="L72" s="127">
        <f t="shared" ref="L72:L77" si="56">J72*104</f>
        <v>479950.64</v>
      </c>
      <c r="M72" s="127">
        <f t="shared" ref="M72:M77" si="57">I72*104</f>
        <v>8216</v>
      </c>
      <c r="N72" s="19"/>
      <c r="O72" s="19"/>
      <c r="P72" s="149"/>
      <c r="Q72" s="189">
        <v>2</v>
      </c>
      <c r="R72" s="189"/>
      <c r="S72" s="216"/>
      <c r="T72" s="198"/>
      <c r="U72" s="199"/>
      <c r="V72" s="245"/>
      <c r="W72" s="188">
        <f>J72-(Q72*($M$2-$K$1)+(R72*($M$2-$M$1))+  (S72*($M$2-$I$2)))</f>
        <v>4579.45</v>
      </c>
      <c r="X72" s="188">
        <f>H72*$M$2</f>
        <v>4614.91</v>
      </c>
    </row>
    <row r="73" spans="1:28" x14ac:dyDescent="0.25">
      <c r="A73" s="387" t="s">
        <v>177</v>
      </c>
      <c r="B73" s="127">
        <v>49</v>
      </c>
      <c r="C73" s="127">
        <v>29</v>
      </c>
      <c r="D73" s="128">
        <f>'Data Ocupacion'!V43</f>
        <v>49</v>
      </c>
      <c r="E73" s="128">
        <f>'Data Ocupacion'!W43</f>
        <v>29</v>
      </c>
      <c r="F73" s="235" t="s">
        <v>52</v>
      </c>
      <c r="G73" s="236">
        <f t="shared" si="54"/>
        <v>107</v>
      </c>
      <c r="H73" s="127">
        <f t="shared" ref="H73:H77" si="58">B73+C73*2</f>
        <v>107</v>
      </c>
      <c r="I73" s="127">
        <f t="shared" si="55"/>
        <v>78</v>
      </c>
      <c r="J73" s="127">
        <f>G73*M$2</f>
        <v>4614.91</v>
      </c>
      <c r="K73" s="156">
        <f>I73*M$2</f>
        <v>3364.1400000000003</v>
      </c>
      <c r="L73" s="127">
        <f t="shared" si="56"/>
        <v>479950.64</v>
      </c>
      <c r="M73" s="127">
        <f t="shared" si="57"/>
        <v>8112</v>
      </c>
      <c r="N73" s="19"/>
      <c r="O73" s="19"/>
      <c r="P73" s="149"/>
      <c r="Q73" s="194"/>
      <c r="R73" s="194"/>
      <c r="S73" s="194"/>
      <c r="T73" s="189"/>
      <c r="U73" s="191"/>
      <c r="V73" s="246">
        <v>1</v>
      </c>
      <c r="W73" s="345">
        <f>J73-(T73*($M$2-$K$1)+(U73*($M$2-$M$1))+(V73*($U$2)))</f>
        <v>4602.1899999999996</v>
      </c>
      <c r="X73" s="188">
        <f>H73*$M$2</f>
        <v>4614.91</v>
      </c>
    </row>
    <row r="74" spans="1:28" ht="15" customHeight="1" x14ac:dyDescent="0.25">
      <c r="A74" s="387"/>
      <c r="B74" s="127">
        <v>30</v>
      </c>
      <c r="C74" s="127">
        <v>3</v>
      </c>
      <c r="D74" s="128">
        <f>'Data Ocupacion'!V44</f>
        <v>30</v>
      </c>
      <c r="E74" s="128">
        <f>'Data Ocupacion'!W44</f>
        <v>3</v>
      </c>
      <c r="F74" s="235" t="s">
        <v>36</v>
      </c>
      <c r="G74" s="236">
        <f t="shared" si="54"/>
        <v>36</v>
      </c>
      <c r="H74" s="127">
        <f t="shared" si="58"/>
        <v>36</v>
      </c>
      <c r="I74" s="127">
        <f t="shared" si="55"/>
        <v>33</v>
      </c>
      <c r="J74" s="127">
        <f>G74*M$1</f>
        <v>1047.96</v>
      </c>
      <c r="K74" s="156">
        <f>I74*M$1</f>
        <v>960.63</v>
      </c>
      <c r="L74" s="127">
        <f t="shared" si="56"/>
        <v>108987.84</v>
      </c>
      <c r="M74" s="127">
        <f t="shared" si="57"/>
        <v>3432</v>
      </c>
      <c r="N74" s="19"/>
      <c r="O74" s="19"/>
      <c r="P74" s="149"/>
      <c r="Q74" s="193"/>
      <c r="R74" s="195"/>
      <c r="S74" s="217"/>
      <c r="T74" s="196"/>
      <c r="U74" s="197"/>
      <c r="V74" s="197"/>
      <c r="W74" s="188">
        <f>J74-(Q74*($M$1-$K$1))</f>
        <v>1047.96</v>
      </c>
      <c r="X74" s="188">
        <f>H74*$M$1</f>
        <v>1047.96</v>
      </c>
    </row>
    <row r="75" spans="1:28" ht="15" customHeight="1" x14ac:dyDescent="0.25">
      <c r="A75" s="387"/>
      <c r="B75" s="127">
        <v>29</v>
      </c>
      <c r="C75" s="127">
        <v>3</v>
      </c>
      <c r="D75" s="128">
        <f>'Data Ocupacion'!V45</f>
        <v>29</v>
      </c>
      <c r="E75" s="128">
        <f>'Data Ocupacion'!W45</f>
        <v>3</v>
      </c>
      <c r="F75" s="235" t="s">
        <v>53</v>
      </c>
      <c r="G75" s="236">
        <f t="shared" si="54"/>
        <v>35</v>
      </c>
      <c r="H75" s="127">
        <f t="shared" si="58"/>
        <v>35</v>
      </c>
      <c r="I75" s="127">
        <f t="shared" si="55"/>
        <v>32</v>
      </c>
      <c r="J75" s="127">
        <f>G75*M$1</f>
        <v>1018.85</v>
      </c>
      <c r="K75" s="156">
        <f>I75*M$1</f>
        <v>931.52</v>
      </c>
      <c r="L75" s="127">
        <f t="shared" si="56"/>
        <v>105960.40000000001</v>
      </c>
      <c r="M75" s="127">
        <f t="shared" si="57"/>
        <v>3328</v>
      </c>
      <c r="N75" s="19"/>
      <c r="O75" s="19"/>
      <c r="P75" s="149"/>
      <c r="Q75" s="197"/>
      <c r="R75" s="197"/>
      <c r="S75" s="197"/>
      <c r="T75" s="197"/>
      <c r="U75" s="197"/>
      <c r="V75" s="197"/>
      <c r="W75" s="188">
        <f>J75</f>
        <v>1018.85</v>
      </c>
      <c r="X75" s="188">
        <f>H75*$M$1</f>
        <v>1018.85</v>
      </c>
    </row>
    <row r="76" spans="1:28" ht="15" customHeight="1" x14ac:dyDescent="0.25">
      <c r="A76" s="387"/>
      <c r="B76" s="127">
        <v>0</v>
      </c>
      <c r="C76" s="127">
        <v>0</v>
      </c>
      <c r="D76" s="128">
        <f>'Data Ocupacion'!V46</f>
        <v>0</v>
      </c>
      <c r="E76" s="128">
        <f>'Data Ocupacion'!W46</f>
        <v>0</v>
      </c>
      <c r="F76" s="235" t="s">
        <v>122</v>
      </c>
      <c r="G76" s="236">
        <f t="shared" si="54"/>
        <v>0</v>
      </c>
      <c r="H76" s="127">
        <f t="shared" si="58"/>
        <v>0</v>
      </c>
      <c r="I76" s="127">
        <f t="shared" si="55"/>
        <v>0</v>
      </c>
      <c r="J76" s="238">
        <f>G76*K$1</f>
        <v>0</v>
      </c>
      <c r="K76" s="156">
        <f>I76*K$1</f>
        <v>0</v>
      </c>
      <c r="L76" s="127">
        <f t="shared" si="56"/>
        <v>0</v>
      </c>
      <c r="M76" s="127">
        <f t="shared" si="57"/>
        <v>0</v>
      </c>
      <c r="N76" s="19"/>
      <c r="O76" s="19"/>
      <c r="P76" s="149"/>
      <c r="Q76" s="197"/>
      <c r="R76" s="197"/>
      <c r="S76" s="197"/>
      <c r="T76" s="197"/>
      <c r="U76" s="197"/>
      <c r="V76" s="197"/>
      <c r="W76" s="188">
        <f>J76</f>
        <v>0</v>
      </c>
      <c r="X76" s="188">
        <f>H76*$K$1</f>
        <v>0</v>
      </c>
    </row>
    <row r="77" spans="1:28" ht="14.25" customHeight="1" thickBot="1" x14ac:dyDescent="0.3">
      <c r="A77" s="387"/>
      <c r="B77" s="127">
        <v>1</v>
      </c>
      <c r="C77" s="127">
        <v>0</v>
      </c>
      <c r="D77" s="128">
        <f>'Data Ocupacion'!V47</f>
        <v>1</v>
      </c>
      <c r="E77" s="128">
        <f>'Data Ocupacion'!W47</f>
        <v>0</v>
      </c>
      <c r="F77" s="235" t="s">
        <v>35</v>
      </c>
      <c r="G77" s="236">
        <f t="shared" si="54"/>
        <v>1</v>
      </c>
      <c r="H77" s="127">
        <f t="shared" si="58"/>
        <v>1</v>
      </c>
      <c r="I77" s="239">
        <f t="shared" si="55"/>
        <v>1</v>
      </c>
      <c r="J77" s="239">
        <f>G77*K$1</f>
        <v>25.4</v>
      </c>
      <c r="K77" s="156">
        <f>I77*K$1</f>
        <v>25.4</v>
      </c>
      <c r="L77" s="127">
        <f t="shared" si="56"/>
        <v>2641.6</v>
      </c>
      <c r="M77" s="127">
        <f t="shared" si="57"/>
        <v>104</v>
      </c>
      <c r="N77" s="19"/>
      <c r="O77" s="19"/>
      <c r="P77" s="149"/>
      <c r="Q77" s="197"/>
      <c r="R77" s="197"/>
      <c r="S77" s="197"/>
      <c r="T77" s="197"/>
      <c r="U77" s="197"/>
      <c r="V77" s="197"/>
      <c r="W77" s="188">
        <f>J77</f>
        <v>25.4</v>
      </c>
      <c r="X77" s="188">
        <f>H77*$K$1</f>
        <v>25.4</v>
      </c>
    </row>
    <row r="78" spans="1:28" s="126" customFormat="1" ht="15.75" thickBot="1" x14ac:dyDescent="0.3">
      <c r="A78" s="20"/>
      <c r="B78" s="230">
        <f>SUM(B72:B77)</f>
        <v>160</v>
      </c>
      <c r="C78" s="230">
        <f>SUM(C72:C77)</f>
        <v>63</v>
      </c>
      <c r="D78" s="151">
        <f>SUM(D72:D77)</f>
        <v>160</v>
      </c>
      <c r="E78" s="151">
        <f>SUM(E72:E77)</f>
        <v>63</v>
      </c>
      <c r="F78" s="121"/>
      <c r="G78" s="121">
        <f t="shared" ref="G78:M78" si="59">SUM(G72:G77)</f>
        <v>286</v>
      </c>
      <c r="H78" s="121">
        <f t="shared" si="59"/>
        <v>286</v>
      </c>
      <c r="I78" s="121">
        <f t="shared" si="59"/>
        <v>223</v>
      </c>
      <c r="J78" s="122">
        <f t="shared" si="59"/>
        <v>11322.029999999999</v>
      </c>
      <c r="K78" s="121">
        <f t="shared" si="59"/>
        <v>8688.9599999999991</v>
      </c>
      <c r="L78" s="121">
        <f t="shared" si="59"/>
        <v>1177491.1200000001</v>
      </c>
      <c r="M78" s="121">
        <f t="shared" si="59"/>
        <v>23192</v>
      </c>
      <c r="N78" s="125">
        <f>'Odometro-Kilometraje'!K81</f>
        <v>11698</v>
      </c>
      <c r="O78" s="21">
        <f>(W78/N78)*100</f>
        <v>96.374166524192162</v>
      </c>
      <c r="P78" s="200"/>
      <c r="Q78" s="187"/>
      <c r="R78" s="187"/>
      <c r="S78" s="187"/>
      <c r="T78" s="187"/>
      <c r="U78" s="187"/>
      <c r="V78" s="187"/>
      <c r="W78" s="201">
        <f>SUM(W72:W77)</f>
        <v>11273.849999999999</v>
      </c>
      <c r="X78" s="201">
        <f>SUM(X72:X77)</f>
        <v>11322.029999999999</v>
      </c>
    </row>
    <row r="79" spans="1:28" x14ac:dyDescent="0.25">
      <c r="A79" s="62">
        <f>A72+1</f>
        <v>45727</v>
      </c>
      <c r="B79" s="127">
        <v>49</v>
      </c>
      <c r="C79" s="127">
        <v>30</v>
      </c>
      <c r="D79" s="128">
        <f>'Data Ocupacion'!X42</f>
        <v>41</v>
      </c>
      <c r="E79" s="128">
        <f>'Data Ocupacion'!Y42</f>
        <v>27</v>
      </c>
      <c r="F79" s="127" t="s">
        <v>38</v>
      </c>
      <c r="G79" s="236">
        <f t="shared" si="54"/>
        <v>95</v>
      </c>
      <c r="H79" s="127">
        <f>B79+C79*2</f>
        <v>109</v>
      </c>
      <c r="I79" s="127">
        <f t="shared" ref="I79:I88" si="60">D79+E79</f>
        <v>68</v>
      </c>
      <c r="J79" s="127">
        <f>G79*M$2</f>
        <v>4097.3500000000004</v>
      </c>
      <c r="K79" s="156">
        <f>I79*M$2</f>
        <v>2932.84</v>
      </c>
      <c r="L79" s="127">
        <f t="shared" ref="L79:L88" si="61">J79*104</f>
        <v>426124.4</v>
      </c>
      <c r="M79" s="127">
        <f t="shared" ref="M79:M88" si="62">I79*104</f>
        <v>7072</v>
      </c>
      <c r="N79" s="19"/>
      <c r="O79" s="19"/>
      <c r="P79" s="149"/>
      <c r="Q79" s="189"/>
      <c r="R79" s="189"/>
      <c r="S79" s="216"/>
      <c r="T79" s="332">
        <v>1</v>
      </c>
      <c r="U79" s="199"/>
      <c r="V79" s="245"/>
      <c r="W79" s="188">
        <f>J79-(Q79*($M$2-$K$1)+(R79*($M$2-$M$1))+  (S79*($M$2-$I$2))+(T79*$K$1))</f>
        <v>4071.9500000000003</v>
      </c>
      <c r="X79" s="188">
        <f>H79*$M$2</f>
        <v>4701.17</v>
      </c>
      <c r="Y79" s="128">
        <v>41</v>
      </c>
      <c r="Z79" s="128">
        <v>27</v>
      </c>
    </row>
    <row r="80" spans="1:28" ht="15" customHeight="1" x14ac:dyDescent="0.25">
      <c r="A80" s="388" t="s">
        <v>200</v>
      </c>
      <c r="B80" s="127">
        <v>47</v>
      </c>
      <c r="C80" s="127">
        <v>31</v>
      </c>
      <c r="D80" s="128">
        <f>'Data Ocupacion'!X43</f>
        <v>38</v>
      </c>
      <c r="E80" s="128">
        <f>'Data Ocupacion'!Y43</f>
        <v>28</v>
      </c>
      <c r="F80" s="127" t="s">
        <v>52</v>
      </c>
      <c r="G80" s="127">
        <f t="shared" ref="G80:G88" si="63">D80+E80*2</f>
        <v>94</v>
      </c>
      <c r="H80" s="127">
        <f t="shared" ref="H80:H88" si="64">B80+C80*2</f>
        <v>109</v>
      </c>
      <c r="I80" s="127">
        <f t="shared" si="60"/>
        <v>66</v>
      </c>
      <c r="J80" s="127">
        <f>G80*M$2</f>
        <v>4054.2200000000003</v>
      </c>
      <c r="K80" s="156">
        <f>I80*M$2</f>
        <v>2846.5800000000004</v>
      </c>
      <c r="L80" s="127">
        <f t="shared" si="61"/>
        <v>421638.88</v>
      </c>
      <c r="M80" s="127">
        <f t="shared" si="62"/>
        <v>6864</v>
      </c>
      <c r="N80" s="19"/>
      <c r="O80" s="19"/>
      <c r="P80" s="149"/>
      <c r="Q80" s="194"/>
      <c r="R80" s="194"/>
      <c r="S80" s="194"/>
      <c r="T80" s="189"/>
      <c r="U80" s="189"/>
      <c r="V80" s="246"/>
      <c r="W80" s="192">
        <f>J80-(T80*($M$2-$K$1)+(U80*($M$2-$M$1)))</f>
        <v>4054.2200000000003</v>
      </c>
      <c r="X80" s="188">
        <f>H80*$M$2</f>
        <v>4701.17</v>
      </c>
      <c r="Y80" s="128">
        <v>38</v>
      </c>
      <c r="Z80" s="128">
        <v>28</v>
      </c>
    </row>
    <row r="81" spans="1:26" ht="15" customHeight="1" x14ac:dyDescent="0.25">
      <c r="A81" s="388"/>
      <c r="B81" s="127">
        <v>30</v>
      </c>
      <c r="C81" s="127">
        <v>3</v>
      </c>
      <c r="D81" s="128">
        <f>'Data Ocupacion'!X44</f>
        <v>27</v>
      </c>
      <c r="E81" s="128">
        <f>'Data Ocupacion'!Y44</f>
        <v>3</v>
      </c>
      <c r="F81" s="127" t="s">
        <v>36</v>
      </c>
      <c r="G81" s="127">
        <f t="shared" si="63"/>
        <v>33</v>
      </c>
      <c r="H81" s="127">
        <f t="shared" si="64"/>
        <v>36</v>
      </c>
      <c r="I81" s="127">
        <f t="shared" si="60"/>
        <v>30</v>
      </c>
      <c r="J81" s="127">
        <f>G81*M$1</f>
        <v>960.63</v>
      </c>
      <c r="K81" s="156">
        <f>I81*M$1</f>
        <v>873.3</v>
      </c>
      <c r="L81" s="127">
        <f t="shared" si="61"/>
        <v>99905.52</v>
      </c>
      <c r="M81" s="127">
        <f t="shared" si="62"/>
        <v>3120</v>
      </c>
      <c r="N81" s="19"/>
      <c r="O81" s="19" t="s">
        <v>147</v>
      </c>
      <c r="P81" s="149"/>
      <c r="Q81" s="193"/>
      <c r="R81" s="195"/>
      <c r="S81" s="217"/>
      <c r="T81" s="196"/>
      <c r="U81" s="197"/>
      <c r="V81" s="197"/>
      <c r="W81" s="188">
        <f>J81-(Q81*($M$1-$K$1))</f>
        <v>960.63</v>
      </c>
      <c r="X81" s="188">
        <f>H81*$M$1</f>
        <v>1047.96</v>
      </c>
      <c r="Y81" s="128">
        <v>27</v>
      </c>
      <c r="Z81" s="128">
        <v>3</v>
      </c>
    </row>
    <row r="82" spans="1:26" ht="13.5" customHeight="1" x14ac:dyDescent="0.25">
      <c r="A82" s="388"/>
      <c r="B82" s="127">
        <v>29</v>
      </c>
      <c r="C82" s="127">
        <v>3</v>
      </c>
      <c r="D82" s="128">
        <f>'Data Ocupacion'!X45</f>
        <v>25</v>
      </c>
      <c r="E82" s="128">
        <f>'Data Ocupacion'!Y45</f>
        <v>3</v>
      </c>
      <c r="F82" s="127" t="s">
        <v>53</v>
      </c>
      <c r="G82" s="127">
        <f t="shared" si="63"/>
        <v>31</v>
      </c>
      <c r="H82" s="127">
        <f t="shared" si="64"/>
        <v>35</v>
      </c>
      <c r="I82" s="127">
        <f t="shared" si="60"/>
        <v>28</v>
      </c>
      <c r="J82" s="127">
        <f>G82*M$1</f>
        <v>902.41</v>
      </c>
      <c r="K82" s="156">
        <f>I82*M$1</f>
        <v>815.07999999999993</v>
      </c>
      <c r="L82" s="127">
        <f t="shared" si="61"/>
        <v>93850.64</v>
      </c>
      <c r="M82" s="127">
        <f t="shared" si="62"/>
        <v>2912</v>
      </c>
      <c r="N82" s="19"/>
      <c r="O82" s="19" t="s">
        <v>147</v>
      </c>
      <c r="P82" s="149"/>
      <c r="Q82" s="197"/>
      <c r="R82" s="197"/>
      <c r="S82" s="197"/>
      <c r="T82" s="197"/>
      <c r="U82" s="197"/>
      <c r="V82" s="197"/>
      <c r="W82" s="188">
        <f>J82</f>
        <v>902.41</v>
      </c>
      <c r="X82" s="188">
        <f>H82*$M$1</f>
        <v>1018.85</v>
      </c>
      <c r="Y82" s="128">
        <v>25</v>
      </c>
      <c r="Z82" s="128">
        <v>3</v>
      </c>
    </row>
    <row r="83" spans="1:26" s="126" customFormat="1" ht="13.5" customHeight="1" x14ac:dyDescent="0.25">
      <c r="A83" s="388"/>
      <c r="B83" s="127">
        <v>0</v>
      </c>
      <c r="C83" s="127">
        <v>0</v>
      </c>
      <c r="D83" s="128">
        <f>'Data Ocupacion'!X46</f>
        <v>0</v>
      </c>
      <c r="E83" s="128">
        <f>'Data Ocupacion'!Y46</f>
        <v>0</v>
      </c>
      <c r="F83" s="127" t="s">
        <v>122</v>
      </c>
      <c r="G83" s="127">
        <f t="shared" si="63"/>
        <v>0</v>
      </c>
      <c r="H83" s="127">
        <f t="shared" si="64"/>
        <v>0</v>
      </c>
      <c r="I83" s="127">
        <f t="shared" si="60"/>
        <v>0</v>
      </c>
      <c r="J83" s="127">
        <f>G83*K$1</f>
        <v>0</v>
      </c>
      <c r="K83" s="156">
        <f>I83*K$1</f>
        <v>0</v>
      </c>
      <c r="L83" s="127">
        <f t="shared" si="61"/>
        <v>0</v>
      </c>
      <c r="M83" s="127">
        <f t="shared" si="62"/>
        <v>0</v>
      </c>
      <c r="N83" s="19"/>
      <c r="O83" s="19"/>
      <c r="P83" s="149"/>
      <c r="Q83" s="197"/>
      <c r="R83" s="197"/>
      <c r="S83" s="197"/>
      <c r="T83" s="197"/>
      <c r="U83" s="197"/>
      <c r="V83" s="197"/>
      <c r="W83" s="188">
        <f>J83</f>
        <v>0</v>
      </c>
      <c r="X83" s="188">
        <f>H83*$K$1</f>
        <v>0</v>
      </c>
      <c r="Y83" s="128">
        <v>0</v>
      </c>
      <c r="Z83" s="128">
        <v>0</v>
      </c>
    </row>
    <row r="84" spans="1:26" s="126" customFormat="1" ht="15" customHeight="1" thickBot="1" x14ac:dyDescent="0.3">
      <c r="A84" s="388"/>
      <c r="B84" s="127">
        <v>1</v>
      </c>
      <c r="C84" s="127">
        <v>0</v>
      </c>
      <c r="D84" s="128">
        <f>'Data Ocupacion'!X47</f>
        <v>1</v>
      </c>
      <c r="E84" s="128">
        <f>'Data Ocupacion'!Y47</f>
        <v>0</v>
      </c>
      <c r="F84" s="127" t="s">
        <v>35</v>
      </c>
      <c r="G84" s="127">
        <f t="shared" si="63"/>
        <v>1</v>
      </c>
      <c r="H84" s="127">
        <f t="shared" si="64"/>
        <v>1</v>
      </c>
      <c r="I84" s="127">
        <f t="shared" si="60"/>
        <v>1</v>
      </c>
      <c r="J84" s="127">
        <f>G84*K$1</f>
        <v>25.4</v>
      </c>
      <c r="K84" s="156">
        <f>I84*K$1</f>
        <v>25.4</v>
      </c>
      <c r="L84" s="127">
        <f t="shared" si="61"/>
        <v>2641.6</v>
      </c>
      <c r="M84" s="127">
        <f t="shared" si="62"/>
        <v>104</v>
      </c>
      <c r="N84" s="19"/>
      <c r="O84" s="19"/>
      <c r="P84" s="149"/>
      <c r="Q84" s="197"/>
      <c r="R84" s="197"/>
      <c r="S84" s="197"/>
      <c r="T84" s="197"/>
      <c r="U84" s="197"/>
      <c r="V84" s="197"/>
      <c r="W84" s="188">
        <f>J84</f>
        <v>25.4</v>
      </c>
      <c r="X84" s="188">
        <f>H84*$K$1</f>
        <v>25.4</v>
      </c>
      <c r="Y84" s="346">
        <v>1</v>
      </c>
      <c r="Z84" s="346">
        <v>0</v>
      </c>
    </row>
    <row r="85" spans="1:26" s="126" customFormat="1" ht="15" customHeight="1" x14ac:dyDescent="0.25">
      <c r="A85" s="388"/>
      <c r="B85" s="127">
        <v>0</v>
      </c>
      <c r="C85" s="127">
        <v>0</v>
      </c>
      <c r="D85" s="128">
        <f>'Data Ocupacion'!X52</f>
        <v>1</v>
      </c>
      <c r="E85" s="128">
        <f>'Data Ocupacion'!Y52</f>
        <v>0</v>
      </c>
      <c r="F85" s="127" t="s">
        <v>179</v>
      </c>
      <c r="G85" s="236">
        <f t="shared" si="63"/>
        <v>1</v>
      </c>
      <c r="H85" s="127">
        <f t="shared" si="64"/>
        <v>0</v>
      </c>
      <c r="I85" s="127">
        <f t="shared" si="60"/>
        <v>1</v>
      </c>
      <c r="J85" s="127">
        <f>G85*I$1</f>
        <v>21.7</v>
      </c>
      <c r="K85" s="156">
        <f>I85*I$1</f>
        <v>21.7</v>
      </c>
      <c r="L85" s="127">
        <f t="shared" si="61"/>
        <v>2256.7999999999997</v>
      </c>
      <c r="M85" s="127">
        <f t="shared" si="62"/>
        <v>104</v>
      </c>
      <c r="N85" s="19"/>
      <c r="O85" s="19"/>
      <c r="P85" s="149"/>
      <c r="Q85" s="197"/>
      <c r="R85" s="197"/>
      <c r="S85" s="197"/>
      <c r="T85" s="197"/>
      <c r="U85" s="197"/>
      <c r="V85" s="197"/>
      <c r="W85" s="188">
        <f t="shared" ref="W85:W88" si="65">J85</f>
        <v>21.7</v>
      </c>
      <c r="X85" s="188">
        <f>H85*$I$1</f>
        <v>0</v>
      </c>
      <c r="Y85" s="347">
        <v>1</v>
      </c>
      <c r="Z85" s="348">
        <v>0</v>
      </c>
    </row>
    <row r="86" spans="1:26" s="126" customFormat="1" ht="15" customHeight="1" x14ac:dyDescent="0.25">
      <c r="A86" s="388"/>
      <c r="B86" s="127">
        <v>0</v>
      </c>
      <c r="C86" s="127">
        <v>0</v>
      </c>
      <c r="D86" s="128">
        <f>'Data Ocupacion'!X53</f>
        <v>4</v>
      </c>
      <c r="E86" s="128">
        <f>'Data Ocupacion'!Y53</f>
        <v>0</v>
      </c>
      <c r="F86" s="127" t="s">
        <v>125</v>
      </c>
      <c r="G86" s="127">
        <f t="shared" si="63"/>
        <v>4</v>
      </c>
      <c r="H86" s="127">
        <f t="shared" si="64"/>
        <v>0</v>
      </c>
      <c r="I86" s="127">
        <f t="shared" si="60"/>
        <v>4</v>
      </c>
      <c r="J86" s="127">
        <f>G86*I$1</f>
        <v>86.8</v>
      </c>
      <c r="K86" s="156">
        <f>I86*I$1</f>
        <v>86.8</v>
      </c>
      <c r="L86" s="127">
        <f t="shared" si="61"/>
        <v>9027.1999999999989</v>
      </c>
      <c r="M86" s="127">
        <f t="shared" si="62"/>
        <v>416</v>
      </c>
      <c r="N86" s="19"/>
      <c r="O86" s="19"/>
      <c r="P86" s="149"/>
      <c r="Q86" s="197"/>
      <c r="R86" s="197"/>
      <c r="S86" s="197"/>
      <c r="T86" s="197"/>
      <c r="U86" s="197"/>
      <c r="V86" s="197"/>
      <c r="W86" s="188">
        <f t="shared" si="65"/>
        <v>86.8</v>
      </c>
      <c r="X86" s="188">
        <f>H86*$I$1</f>
        <v>0</v>
      </c>
      <c r="Y86" s="349">
        <v>4</v>
      </c>
      <c r="Z86" s="350">
        <v>0</v>
      </c>
    </row>
    <row r="87" spans="1:26" s="126" customFormat="1" ht="15" customHeight="1" x14ac:dyDescent="0.25">
      <c r="A87" s="388"/>
      <c r="B87" s="127">
        <v>0</v>
      </c>
      <c r="C87" s="127">
        <v>0</v>
      </c>
      <c r="D87" s="128">
        <f>'Data Ocupacion'!X54</f>
        <v>2</v>
      </c>
      <c r="E87" s="128">
        <f>'Data Ocupacion'!Y54</f>
        <v>4</v>
      </c>
      <c r="F87" s="127" t="s">
        <v>180</v>
      </c>
      <c r="G87" s="127">
        <f t="shared" si="63"/>
        <v>10</v>
      </c>
      <c r="H87" s="127">
        <f t="shared" si="64"/>
        <v>0</v>
      </c>
      <c r="I87" s="127">
        <f t="shared" si="60"/>
        <v>6</v>
      </c>
      <c r="J87" s="127">
        <f>G87*O$2</f>
        <v>357.29999999999995</v>
      </c>
      <c r="K87" s="156">
        <f>I87*O$2</f>
        <v>214.38</v>
      </c>
      <c r="L87" s="127">
        <f t="shared" si="61"/>
        <v>37159.199999999997</v>
      </c>
      <c r="M87" s="127">
        <f t="shared" si="62"/>
        <v>624</v>
      </c>
      <c r="N87" s="19"/>
      <c r="O87" s="19"/>
      <c r="P87" s="149"/>
      <c r="Q87" s="197"/>
      <c r="R87" s="197"/>
      <c r="S87" s="197"/>
      <c r="T87" s="197"/>
      <c r="U87" s="197"/>
      <c r="V87" s="197"/>
      <c r="W87" s="188">
        <f t="shared" si="65"/>
        <v>357.29999999999995</v>
      </c>
      <c r="X87" s="188">
        <f>H87*$O$2</f>
        <v>0</v>
      </c>
      <c r="Y87" s="349">
        <v>2</v>
      </c>
      <c r="Z87" s="350">
        <v>4</v>
      </c>
    </row>
    <row r="88" spans="1:26" s="126" customFormat="1" ht="15" customHeight="1" thickBot="1" x14ac:dyDescent="0.3">
      <c r="A88" s="388"/>
      <c r="B88" s="127">
        <v>0</v>
      </c>
      <c r="C88" s="127">
        <v>0</v>
      </c>
      <c r="D88" s="128">
        <f>'Data Ocupacion'!X55</f>
        <v>10</v>
      </c>
      <c r="E88" s="128">
        <f>'Data Ocupacion'!Y55</f>
        <v>2</v>
      </c>
      <c r="F88" s="127" t="s">
        <v>181</v>
      </c>
      <c r="G88" s="127">
        <f t="shared" si="63"/>
        <v>14</v>
      </c>
      <c r="H88" s="127">
        <f t="shared" si="64"/>
        <v>0</v>
      </c>
      <c r="I88" s="127">
        <f t="shared" si="60"/>
        <v>12</v>
      </c>
      <c r="J88" s="127">
        <f>G88*O$2</f>
        <v>500.21999999999997</v>
      </c>
      <c r="K88" s="156">
        <f>I88*O$2</f>
        <v>428.76</v>
      </c>
      <c r="L88" s="127">
        <f t="shared" si="61"/>
        <v>52022.879999999997</v>
      </c>
      <c r="M88" s="127">
        <f t="shared" si="62"/>
        <v>1248</v>
      </c>
      <c r="N88" s="19"/>
      <c r="O88" s="19"/>
      <c r="P88" s="149"/>
      <c r="Q88" s="197"/>
      <c r="R88" s="197"/>
      <c r="S88" s="197"/>
      <c r="T88" s="197"/>
      <c r="U88" s="197"/>
      <c r="V88" s="197"/>
      <c r="W88" s="188">
        <f t="shared" si="65"/>
        <v>500.21999999999997</v>
      </c>
      <c r="X88" s="188">
        <f>H88*$O$2</f>
        <v>0</v>
      </c>
      <c r="Y88" s="351">
        <v>10</v>
      </c>
      <c r="Z88" s="352">
        <v>2</v>
      </c>
    </row>
    <row r="89" spans="1:26" ht="15" customHeight="1" thickBot="1" x14ac:dyDescent="0.3">
      <c r="A89" s="20"/>
      <c r="B89" s="230">
        <f>SUM(B79:B88)</f>
        <v>156</v>
      </c>
      <c r="C89" s="230">
        <f>SUM(C79:C88)</f>
        <v>67</v>
      </c>
      <c r="D89" s="151">
        <f>SUM(D79:D88)</f>
        <v>149</v>
      </c>
      <c r="E89" s="151">
        <f>SUM(E79:E88)</f>
        <v>67</v>
      </c>
      <c r="F89" s="121"/>
      <c r="G89" s="121">
        <f t="shared" ref="G89:M89" si="66">SUM(G79:G88)</f>
        <v>283</v>
      </c>
      <c r="H89" s="121">
        <f t="shared" si="66"/>
        <v>290</v>
      </c>
      <c r="I89" s="121">
        <f t="shared" si="66"/>
        <v>216</v>
      </c>
      <c r="J89" s="121">
        <f t="shared" si="66"/>
        <v>11006.029999999999</v>
      </c>
      <c r="K89" s="121">
        <f t="shared" si="66"/>
        <v>8244.84</v>
      </c>
      <c r="L89" s="121">
        <f t="shared" si="66"/>
        <v>1144627.1199999999</v>
      </c>
      <c r="M89" s="121">
        <f t="shared" si="66"/>
        <v>22464</v>
      </c>
      <c r="N89" s="125">
        <f>'Odometro-Kilometraje'!L81</f>
        <v>11605</v>
      </c>
      <c r="O89" s="21">
        <f>(W89/N89)*100</f>
        <v>94.619819043515704</v>
      </c>
      <c r="P89" s="200"/>
      <c r="Q89" s="187"/>
      <c r="R89" s="187"/>
      <c r="S89" s="187"/>
      <c r="T89" s="187"/>
      <c r="U89" s="187"/>
      <c r="V89" s="187"/>
      <c r="W89" s="201">
        <f>SUM(W79:W88)</f>
        <v>10980.629999999997</v>
      </c>
      <c r="X89" s="201">
        <f>SUM(X79:X88)</f>
        <v>11494.55</v>
      </c>
    </row>
    <row r="90" spans="1:26" ht="15.95" customHeight="1" x14ac:dyDescent="0.25">
      <c r="A90" s="62">
        <f>A79+1</f>
        <v>45728</v>
      </c>
      <c r="B90" s="127">
        <v>49</v>
      </c>
      <c r="C90" s="127">
        <v>30</v>
      </c>
      <c r="D90" s="128">
        <f>'Data Ocupacion'!Z42</f>
        <v>50</v>
      </c>
      <c r="E90" s="128">
        <f>'Data Ocupacion'!AA42</f>
        <v>29</v>
      </c>
      <c r="F90" s="235" t="s">
        <v>38</v>
      </c>
      <c r="G90" s="236">
        <f t="shared" ref="G90:G95" si="67">D90+E90*2</f>
        <v>108</v>
      </c>
      <c r="H90" s="127">
        <f>B90+C90*2</f>
        <v>109</v>
      </c>
      <c r="I90" s="237">
        <f t="shared" ref="I90:I95" si="68">D90+E90</f>
        <v>79</v>
      </c>
      <c r="J90" s="237">
        <f>G90*M$2</f>
        <v>4658.04</v>
      </c>
      <c r="K90" s="156">
        <f>I90*M$2</f>
        <v>3407.27</v>
      </c>
      <c r="L90" s="127">
        <f t="shared" ref="L90:L95" si="69">J90*104</f>
        <v>484436.16</v>
      </c>
      <c r="M90" s="127">
        <f t="shared" ref="M90:M95" si="70">I90*104</f>
        <v>8216</v>
      </c>
      <c r="N90" s="19"/>
      <c r="O90" s="19"/>
      <c r="P90" s="149"/>
      <c r="Q90" s="263">
        <v>3</v>
      </c>
      <c r="R90" s="189"/>
      <c r="S90" s="216"/>
      <c r="T90" s="211">
        <v>3</v>
      </c>
      <c r="U90" s="199"/>
      <c r="V90" s="245"/>
      <c r="W90" s="188">
        <f>J90-(Q90*($M$2-$K$1)+(R90*($M$2-$M$1))+  (S90*($M$2-$I$2))+(T90*$K$1))</f>
        <v>4528.6499999999996</v>
      </c>
      <c r="X90" s="188">
        <f>H90*$M$2</f>
        <v>4701.17</v>
      </c>
      <c r="Y90" s="126">
        <f>SUM(Y79:Y88)</f>
        <v>149</v>
      </c>
      <c r="Z90">
        <f>SUM(Z79:Z88)</f>
        <v>67</v>
      </c>
    </row>
    <row r="91" spans="1:26" ht="15" customHeight="1" x14ac:dyDescent="0.25">
      <c r="A91" s="387" t="s">
        <v>178</v>
      </c>
      <c r="B91" s="127">
        <v>47</v>
      </c>
      <c r="C91" s="127">
        <v>31</v>
      </c>
      <c r="D91" s="128">
        <f>'Data Ocupacion'!Z43</f>
        <v>48</v>
      </c>
      <c r="E91" s="128">
        <f>'Data Ocupacion'!AA43</f>
        <v>30</v>
      </c>
      <c r="F91" s="235" t="s">
        <v>52</v>
      </c>
      <c r="G91" s="236">
        <f t="shared" si="67"/>
        <v>108</v>
      </c>
      <c r="H91" s="127">
        <f t="shared" ref="H91:H95" si="71">B91+C91*2</f>
        <v>109</v>
      </c>
      <c r="I91" s="127">
        <f t="shared" si="68"/>
        <v>78</v>
      </c>
      <c r="J91" s="127">
        <f>G91*M$2</f>
        <v>4658.04</v>
      </c>
      <c r="K91" s="156">
        <f>I91*M$2</f>
        <v>3364.1400000000003</v>
      </c>
      <c r="L91" s="127">
        <f t="shared" si="69"/>
        <v>484436.16</v>
      </c>
      <c r="M91" s="127">
        <f t="shared" si="70"/>
        <v>8112</v>
      </c>
      <c r="N91" s="19"/>
      <c r="O91" s="19"/>
      <c r="P91" s="149"/>
      <c r="Q91" s="194"/>
      <c r="R91" s="194"/>
      <c r="S91" s="194"/>
      <c r="T91" s="263"/>
      <c r="U91" s="189"/>
      <c r="V91" s="216"/>
      <c r="W91" s="192">
        <f>J91-(T91*($M$2-$K$1)+(U91*($M$2-$M$1)))</f>
        <v>4658.04</v>
      </c>
      <c r="X91" s="188">
        <f>H91*$M$2</f>
        <v>4701.17</v>
      </c>
    </row>
    <row r="92" spans="1:26" ht="15" customHeight="1" x14ac:dyDescent="0.25">
      <c r="A92" s="387"/>
      <c r="B92" s="127">
        <v>30</v>
      </c>
      <c r="C92" s="127">
        <v>3</v>
      </c>
      <c r="D92" s="128">
        <f>'Data Ocupacion'!Z44</f>
        <v>30</v>
      </c>
      <c r="E92" s="128">
        <f>'Data Ocupacion'!AA44</f>
        <v>3</v>
      </c>
      <c r="F92" s="235" t="s">
        <v>36</v>
      </c>
      <c r="G92" s="236">
        <f t="shared" si="67"/>
        <v>36</v>
      </c>
      <c r="H92" s="127">
        <f t="shared" si="71"/>
        <v>36</v>
      </c>
      <c r="I92" s="127">
        <f t="shared" si="68"/>
        <v>33</v>
      </c>
      <c r="J92" s="127">
        <f>G92*M$1</f>
        <v>1047.96</v>
      </c>
      <c r="K92" s="156">
        <f>I92*M$1</f>
        <v>960.63</v>
      </c>
      <c r="L92" s="127">
        <f t="shared" si="69"/>
        <v>108987.84</v>
      </c>
      <c r="M92" s="127">
        <f t="shared" si="70"/>
        <v>3432</v>
      </c>
      <c r="N92" s="19"/>
      <c r="O92" s="19"/>
      <c r="P92" s="149"/>
      <c r="Q92" s="193"/>
      <c r="R92" s="195"/>
      <c r="S92" s="217"/>
      <c r="T92" s="196"/>
      <c r="U92" s="197"/>
      <c r="V92" s="197"/>
      <c r="W92" s="188">
        <f>J92-(Q92*($M$1-$K$1))</f>
        <v>1047.96</v>
      </c>
      <c r="X92" s="188">
        <f>H92*$M$1</f>
        <v>1047.96</v>
      </c>
      <c r="Z92" s="126">
        <f>SUM(Y90:Z90)</f>
        <v>216</v>
      </c>
    </row>
    <row r="93" spans="1:26" ht="15" customHeight="1" x14ac:dyDescent="0.25">
      <c r="A93" s="387"/>
      <c r="B93" s="127">
        <v>29</v>
      </c>
      <c r="C93" s="127">
        <v>3</v>
      </c>
      <c r="D93" s="128">
        <f>'Data Ocupacion'!Z45</f>
        <v>29</v>
      </c>
      <c r="E93" s="128">
        <f>'Data Ocupacion'!AA45</f>
        <v>3</v>
      </c>
      <c r="F93" s="235" t="s">
        <v>53</v>
      </c>
      <c r="G93" s="236">
        <f t="shared" si="67"/>
        <v>35</v>
      </c>
      <c r="H93" s="127">
        <f t="shared" si="71"/>
        <v>35</v>
      </c>
      <c r="I93" s="127">
        <f t="shared" si="68"/>
        <v>32</v>
      </c>
      <c r="J93" s="127">
        <f>G93*M$1</f>
        <v>1018.85</v>
      </c>
      <c r="K93" s="156">
        <f>I93*M$1</f>
        <v>931.52</v>
      </c>
      <c r="L93" s="127">
        <f t="shared" si="69"/>
        <v>105960.40000000001</v>
      </c>
      <c r="M93" s="127">
        <f t="shared" si="70"/>
        <v>3328</v>
      </c>
      <c r="N93" s="19"/>
      <c r="O93" s="19"/>
      <c r="P93" s="149"/>
      <c r="Q93" s="197"/>
      <c r="R93" s="197"/>
      <c r="S93" s="197"/>
      <c r="T93" s="197"/>
      <c r="U93" s="197"/>
      <c r="V93" s="197"/>
      <c r="W93" s="188">
        <f>J93</f>
        <v>1018.85</v>
      </c>
      <c r="X93" s="188">
        <f>H93*$M$1</f>
        <v>1018.85</v>
      </c>
    </row>
    <row r="94" spans="1:26" ht="15" customHeight="1" x14ac:dyDescent="0.25">
      <c r="A94" s="387"/>
      <c r="B94" s="127">
        <v>0</v>
      </c>
      <c r="C94" s="127">
        <v>0</v>
      </c>
      <c r="D94" s="128">
        <f>'Data Ocupacion'!Z46</f>
        <v>0</v>
      </c>
      <c r="E94" s="128">
        <f>'Data Ocupacion'!AA46</f>
        <v>0</v>
      </c>
      <c r="F94" s="235" t="s">
        <v>122</v>
      </c>
      <c r="G94" s="236">
        <f t="shared" si="67"/>
        <v>0</v>
      </c>
      <c r="H94" s="127">
        <f t="shared" si="71"/>
        <v>0</v>
      </c>
      <c r="I94" s="127">
        <f t="shared" si="68"/>
        <v>0</v>
      </c>
      <c r="J94" s="238">
        <f>G94*K$1</f>
        <v>0</v>
      </c>
      <c r="K94" s="156">
        <f>I94*K$1</f>
        <v>0</v>
      </c>
      <c r="L94" s="127">
        <f t="shared" si="69"/>
        <v>0</v>
      </c>
      <c r="M94" s="127">
        <f t="shared" si="70"/>
        <v>0</v>
      </c>
      <c r="N94" s="19"/>
      <c r="O94" s="19"/>
      <c r="P94" s="149"/>
      <c r="Q94" s="197"/>
      <c r="R94" s="197"/>
      <c r="S94" s="197"/>
      <c r="T94" s="197"/>
      <c r="U94" s="197"/>
      <c r="V94" s="197"/>
      <c r="W94" s="188">
        <f>J94</f>
        <v>0</v>
      </c>
      <c r="X94" s="188">
        <f>H94*$K$1</f>
        <v>0</v>
      </c>
    </row>
    <row r="95" spans="1:26" ht="15.75" thickBot="1" x14ac:dyDescent="0.3">
      <c r="A95" s="389"/>
      <c r="B95" s="127">
        <v>1</v>
      </c>
      <c r="C95" s="127">
        <v>0</v>
      </c>
      <c r="D95" s="128">
        <f>'Data Ocupacion'!Z47</f>
        <v>1</v>
      </c>
      <c r="E95" s="128">
        <f>'Data Ocupacion'!AA47</f>
        <v>0</v>
      </c>
      <c r="F95" s="235" t="s">
        <v>35</v>
      </c>
      <c r="G95" s="236">
        <f t="shared" si="67"/>
        <v>1</v>
      </c>
      <c r="H95" s="127">
        <f t="shared" si="71"/>
        <v>1</v>
      </c>
      <c r="I95" s="239">
        <f t="shared" si="68"/>
        <v>1</v>
      </c>
      <c r="J95" s="239">
        <f>G95*K$1</f>
        <v>25.4</v>
      </c>
      <c r="K95" s="156">
        <f>I95*K$1</f>
        <v>25.4</v>
      </c>
      <c r="L95" s="127">
        <f t="shared" si="69"/>
        <v>2641.6</v>
      </c>
      <c r="M95" s="127">
        <f t="shared" si="70"/>
        <v>104</v>
      </c>
      <c r="N95" s="19"/>
      <c r="O95" s="19"/>
      <c r="P95" s="149"/>
      <c r="Q95" s="197"/>
      <c r="R95" s="197"/>
      <c r="S95" s="197"/>
      <c r="T95" s="197"/>
      <c r="U95" s="197"/>
      <c r="V95" s="197"/>
      <c r="W95" s="188">
        <f>J95</f>
        <v>25.4</v>
      </c>
      <c r="X95" s="188">
        <f>H95*$K$1</f>
        <v>25.4</v>
      </c>
    </row>
    <row r="96" spans="1:26" s="126" customFormat="1" ht="15.75" thickBot="1" x14ac:dyDescent="0.3">
      <c r="A96" s="124"/>
      <c r="B96" s="230">
        <f>SUM(B90:B95)</f>
        <v>156</v>
      </c>
      <c r="C96" s="230">
        <f>SUM(C90:C95)</f>
        <v>67</v>
      </c>
      <c r="D96" s="151">
        <f>SUM(D90:D95)</f>
        <v>158</v>
      </c>
      <c r="E96" s="151">
        <f>SUM(E90:E95)</f>
        <v>65</v>
      </c>
      <c r="F96" s="121"/>
      <c r="G96" s="121">
        <f t="shared" ref="G96:M96" si="72">SUM(G90:G95)</f>
        <v>288</v>
      </c>
      <c r="H96" s="121">
        <f t="shared" si="72"/>
        <v>290</v>
      </c>
      <c r="I96" s="121">
        <f t="shared" si="72"/>
        <v>223</v>
      </c>
      <c r="J96" s="122">
        <f t="shared" si="72"/>
        <v>11408.29</v>
      </c>
      <c r="K96" s="121">
        <f t="shared" si="72"/>
        <v>8688.9599999999991</v>
      </c>
      <c r="L96" s="121">
        <f t="shared" si="72"/>
        <v>1186462.1599999999</v>
      </c>
      <c r="M96" s="121">
        <f t="shared" si="72"/>
        <v>23192</v>
      </c>
      <c r="N96" s="125">
        <f>'Odometro-Kilometraje'!M81</f>
        <v>11812</v>
      </c>
      <c r="O96" s="21">
        <f>(W96/N96)*100</f>
        <v>95.486793091771062</v>
      </c>
      <c r="P96" s="200"/>
      <c r="Q96" s="187"/>
      <c r="R96" s="187"/>
      <c r="S96" s="187"/>
      <c r="T96" s="187"/>
      <c r="U96" s="187"/>
      <c r="V96" s="187"/>
      <c r="W96" s="201">
        <f>SUM(W90:W95)</f>
        <v>11278.899999999998</v>
      </c>
      <c r="X96" s="201">
        <f>SUM(X90:X95)</f>
        <v>11494.55</v>
      </c>
    </row>
    <row r="97" spans="1:24" x14ac:dyDescent="0.25">
      <c r="A97" s="123">
        <f>A90+1</f>
        <v>45729</v>
      </c>
      <c r="B97" s="127">
        <v>49</v>
      </c>
      <c r="C97" s="127">
        <v>30</v>
      </c>
      <c r="D97" s="128">
        <f>'Data Ocupacion'!AB42</f>
        <v>47</v>
      </c>
      <c r="E97" s="128">
        <f>'Data Ocupacion'!AC42</f>
        <v>32</v>
      </c>
      <c r="F97" s="235" t="s">
        <v>38</v>
      </c>
      <c r="G97" s="236">
        <f t="shared" ref="G97:G102" si="73">D97+E97*2</f>
        <v>111</v>
      </c>
      <c r="H97" s="127">
        <f>B97+C97*2</f>
        <v>109</v>
      </c>
      <c r="I97" s="237">
        <f t="shared" ref="I97:I102" si="74">D97+E97</f>
        <v>79</v>
      </c>
      <c r="J97" s="237">
        <f>G97*M$2</f>
        <v>4787.43</v>
      </c>
      <c r="K97" s="156">
        <f>I97*M$2</f>
        <v>3407.27</v>
      </c>
      <c r="L97" s="127">
        <f t="shared" ref="L97:L102" si="75">J97*104</f>
        <v>497892.72000000003</v>
      </c>
      <c r="M97" s="127">
        <f t="shared" ref="M97:M102" si="76">I97*104</f>
        <v>8216</v>
      </c>
      <c r="N97" s="19"/>
      <c r="O97" s="19"/>
      <c r="P97" s="149"/>
      <c r="Q97" s="189">
        <v>3</v>
      </c>
      <c r="R97" s="189"/>
      <c r="S97" s="216"/>
      <c r="T97" s="263">
        <v>2</v>
      </c>
      <c r="U97" s="199"/>
      <c r="V97" s="245"/>
      <c r="W97" s="188">
        <f>J97-(Q97*($M$2-$K$1)+(R97*($M$2-$M$1))+  (S97*($M$2-$I$2))+(T97*$K$1))</f>
        <v>4683.4400000000005</v>
      </c>
      <c r="X97" s="188">
        <f>H97*$M$2</f>
        <v>4701.17</v>
      </c>
    </row>
    <row r="98" spans="1:24" ht="17.25" customHeight="1" x14ac:dyDescent="0.25">
      <c r="A98" s="392" t="s">
        <v>201</v>
      </c>
      <c r="B98" s="127">
        <v>47</v>
      </c>
      <c r="C98" s="127">
        <v>31</v>
      </c>
      <c r="D98" s="128">
        <f>'Data Ocupacion'!AB43</f>
        <v>45</v>
      </c>
      <c r="E98" s="128">
        <f>'Data Ocupacion'!AC43</f>
        <v>33</v>
      </c>
      <c r="F98" s="235" t="s">
        <v>52</v>
      </c>
      <c r="G98" s="236">
        <f t="shared" si="73"/>
        <v>111</v>
      </c>
      <c r="H98" s="127">
        <f t="shared" ref="H98:H102" si="77">B98+C98*2</f>
        <v>109</v>
      </c>
      <c r="I98" s="127">
        <f t="shared" si="74"/>
        <v>78</v>
      </c>
      <c r="J98" s="127">
        <f>G98*M$2</f>
        <v>4787.43</v>
      </c>
      <c r="K98" s="156">
        <f>I98*M$2</f>
        <v>3364.1400000000003</v>
      </c>
      <c r="L98" s="127">
        <f t="shared" si="75"/>
        <v>497892.72000000003</v>
      </c>
      <c r="M98" s="127">
        <f t="shared" si="76"/>
        <v>8112</v>
      </c>
      <c r="N98" s="19"/>
      <c r="O98" s="19"/>
      <c r="P98" s="149"/>
      <c r="Q98" s="194"/>
      <c r="R98" s="194"/>
      <c r="S98" s="194"/>
      <c r="T98" s="263"/>
      <c r="U98" s="191"/>
      <c r="V98" s="246"/>
      <c r="W98" s="192">
        <f>J98-(T98*($M$2-$K$1)+(U98*($M$2-$M$1)))</f>
        <v>4787.43</v>
      </c>
      <c r="X98" s="188">
        <f>H98*$M$2</f>
        <v>4701.17</v>
      </c>
    </row>
    <row r="99" spans="1:24" x14ac:dyDescent="0.25">
      <c r="A99" s="392"/>
      <c r="B99" s="127">
        <v>30</v>
      </c>
      <c r="C99" s="127">
        <v>3</v>
      </c>
      <c r="D99" s="128">
        <f>'Data Ocupacion'!AB44</f>
        <v>30</v>
      </c>
      <c r="E99" s="128">
        <f>'Data Ocupacion'!AC44</f>
        <v>3</v>
      </c>
      <c r="F99" s="235" t="s">
        <v>36</v>
      </c>
      <c r="G99" s="236">
        <f t="shared" si="73"/>
        <v>36</v>
      </c>
      <c r="H99" s="127">
        <f t="shared" si="77"/>
        <v>36</v>
      </c>
      <c r="I99" s="127">
        <f t="shared" si="74"/>
        <v>33</v>
      </c>
      <c r="J99" s="127">
        <f>G99*M$1</f>
        <v>1047.96</v>
      </c>
      <c r="K99" s="156">
        <f>I99*M$1</f>
        <v>960.63</v>
      </c>
      <c r="L99" s="127">
        <f t="shared" si="75"/>
        <v>108987.84</v>
      </c>
      <c r="M99" s="127">
        <f t="shared" si="76"/>
        <v>3432</v>
      </c>
      <c r="N99" s="19"/>
      <c r="O99" s="19"/>
      <c r="P99" s="149"/>
      <c r="Q99" s="263"/>
      <c r="R99" s="198"/>
      <c r="S99" s="245"/>
      <c r="T99" s="194"/>
      <c r="U99" s="197"/>
      <c r="V99" s="197"/>
      <c r="W99" s="188">
        <f>J99-(Q99*($M$1-$K$1))</f>
        <v>1047.96</v>
      </c>
      <c r="X99" s="188">
        <f>H99*$M$1</f>
        <v>1047.96</v>
      </c>
    </row>
    <row r="100" spans="1:24" ht="15" customHeight="1" x14ac:dyDescent="0.25">
      <c r="A100" s="392"/>
      <c r="B100" s="127">
        <v>29</v>
      </c>
      <c r="C100" s="127">
        <v>3</v>
      </c>
      <c r="D100" s="128">
        <f>'Data Ocupacion'!AB45</f>
        <v>29</v>
      </c>
      <c r="E100" s="128">
        <f>'Data Ocupacion'!AC45</f>
        <v>3</v>
      </c>
      <c r="F100" s="235" t="s">
        <v>53</v>
      </c>
      <c r="G100" s="236">
        <f t="shared" si="73"/>
        <v>35</v>
      </c>
      <c r="H100" s="127">
        <f t="shared" si="77"/>
        <v>35</v>
      </c>
      <c r="I100" s="127">
        <f t="shared" si="74"/>
        <v>32</v>
      </c>
      <c r="J100" s="127">
        <f>G100*M$1</f>
        <v>1018.85</v>
      </c>
      <c r="K100" s="156">
        <f>I100*M$1</f>
        <v>931.52</v>
      </c>
      <c r="L100" s="127">
        <f t="shared" si="75"/>
        <v>105960.40000000001</v>
      </c>
      <c r="M100" s="127">
        <f t="shared" si="76"/>
        <v>3328</v>
      </c>
      <c r="N100" s="19"/>
      <c r="O100" s="19"/>
      <c r="P100" s="149"/>
      <c r="Q100" s="272"/>
      <c r="R100" s="272"/>
      <c r="S100" s="272"/>
      <c r="T100" s="272"/>
      <c r="U100" s="197"/>
      <c r="V100" s="197"/>
      <c r="W100" s="188">
        <f>J100</f>
        <v>1018.85</v>
      </c>
      <c r="X100" s="188">
        <f>H100*$M$1</f>
        <v>1018.85</v>
      </c>
    </row>
    <row r="101" spans="1:24" ht="15" customHeight="1" x14ac:dyDescent="0.25">
      <c r="A101" s="392"/>
      <c r="B101" s="127">
        <v>0</v>
      </c>
      <c r="C101" s="127">
        <v>0</v>
      </c>
      <c r="D101" s="128">
        <f>'Data Ocupacion'!AB46</f>
        <v>0</v>
      </c>
      <c r="E101" s="128">
        <f>'Data Ocupacion'!AC46</f>
        <v>0</v>
      </c>
      <c r="F101" s="235" t="s">
        <v>122</v>
      </c>
      <c r="G101" s="236">
        <f t="shared" si="73"/>
        <v>0</v>
      </c>
      <c r="H101" s="127">
        <f t="shared" si="77"/>
        <v>0</v>
      </c>
      <c r="I101" s="127">
        <f t="shared" si="74"/>
        <v>0</v>
      </c>
      <c r="J101" s="238">
        <f>G101*K$1</f>
        <v>0</v>
      </c>
      <c r="K101" s="156">
        <f>I101*K$1</f>
        <v>0</v>
      </c>
      <c r="L101" s="127">
        <f t="shared" si="75"/>
        <v>0</v>
      </c>
      <c r="M101" s="127">
        <f t="shared" si="76"/>
        <v>0</v>
      </c>
      <c r="N101" s="19"/>
      <c r="O101" s="19"/>
      <c r="P101" s="149"/>
      <c r="Q101" s="272"/>
      <c r="R101" s="272"/>
      <c r="S101" s="272"/>
      <c r="T101" s="272"/>
      <c r="U101" s="197"/>
      <c r="V101" s="197"/>
      <c r="W101" s="188">
        <f>J101</f>
        <v>0</v>
      </c>
      <c r="X101" s="188">
        <f>H101*$K$1</f>
        <v>0</v>
      </c>
    </row>
    <row r="102" spans="1:24" ht="15.75" thickBot="1" x14ac:dyDescent="0.3">
      <c r="A102" s="392"/>
      <c r="B102" s="127">
        <v>1</v>
      </c>
      <c r="C102" s="127">
        <v>0</v>
      </c>
      <c r="D102" s="128">
        <f>'Data Ocupacion'!AB47</f>
        <v>1</v>
      </c>
      <c r="E102" s="128">
        <f>'Data Ocupacion'!AC47</f>
        <v>0</v>
      </c>
      <c r="F102" s="235" t="s">
        <v>35</v>
      </c>
      <c r="G102" s="236">
        <f t="shared" si="73"/>
        <v>1</v>
      </c>
      <c r="H102" s="127">
        <f t="shared" si="77"/>
        <v>1</v>
      </c>
      <c r="I102" s="239">
        <f t="shared" si="74"/>
        <v>1</v>
      </c>
      <c r="J102" s="239">
        <f>G102*K$1</f>
        <v>25.4</v>
      </c>
      <c r="K102" s="156">
        <f>I102*K$1</f>
        <v>25.4</v>
      </c>
      <c r="L102" s="127">
        <f t="shared" si="75"/>
        <v>2641.6</v>
      </c>
      <c r="M102" s="127">
        <f t="shared" si="76"/>
        <v>104</v>
      </c>
      <c r="N102" s="19"/>
      <c r="O102" s="19"/>
      <c r="P102" s="149"/>
      <c r="Q102" s="272"/>
      <c r="R102" s="272"/>
      <c r="S102" s="272"/>
      <c r="T102" s="272"/>
      <c r="U102" s="197"/>
      <c r="V102" s="197"/>
      <c r="W102" s="188">
        <f>J102</f>
        <v>25.4</v>
      </c>
      <c r="X102" s="188">
        <f>H102*$K$1</f>
        <v>25.4</v>
      </c>
    </row>
    <row r="103" spans="1:24" s="126" customFormat="1" ht="15.75" thickBot="1" x14ac:dyDescent="0.3">
      <c r="A103" s="20"/>
      <c r="B103" s="230">
        <f>SUM(B97:B102)</f>
        <v>156</v>
      </c>
      <c r="C103" s="230">
        <f>SUM(C97:C102)</f>
        <v>67</v>
      </c>
      <c r="D103" s="151">
        <f>SUM(D97:D102)</f>
        <v>152</v>
      </c>
      <c r="E103" s="151">
        <f>SUM(E97:E102)</f>
        <v>71</v>
      </c>
      <c r="F103" s="121"/>
      <c r="G103" s="121">
        <f t="shared" ref="G103:M103" si="78">SUM(G97:G102)</f>
        <v>294</v>
      </c>
      <c r="H103" s="121">
        <f t="shared" si="78"/>
        <v>290</v>
      </c>
      <c r="I103" s="121">
        <f t="shared" si="78"/>
        <v>223</v>
      </c>
      <c r="J103" s="122">
        <f t="shared" si="78"/>
        <v>11667.07</v>
      </c>
      <c r="K103" s="121">
        <f t="shared" si="78"/>
        <v>8688.9599999999991</v>
      </c>
      <c r="L103" s="121">
        <f t="shared" si="78"/>
        <v>1213375.28</v>
      </c>
      <c r="M103" s="121">
        <f t="shared" si="78"/>
        <v>23192</v>
      </c>
      <c r="N103" s="125">
        <f>'Odometro-Kilometraje'!N81</f>
        <v>12084</v>
      </c>
      <c r="O103" s="21">
        <f>(W103/N103)*100</f>
        <v>95.689175769612717</v>
      </c>
      <c r="P103" s="200"/>
      <c r="Q103" s="273"/>
      <c r="R103" s="273"/>
      <c r="S103" s="273"/>
      <c r="T103" s="273"/>
      <c r="U103" s="187"/>
      <c r="V103" s="187"/>
      <c r="W103" s="201">
        <f>SUM(W97:W102)</f>
        <v>11563.080000000002</v>
      </c>
      <c r="X103" s="201">
        <f>SUM(X97:X102)</f>
        <v>11494.55</v>
      </c>
    </row>
    <row r="104" spans="1:24" ht="17.25" customHeight="1" x14ac:dyDescent="0.25">
      <c r="A104" s="62">
        <f>A97+1</f>
        <v>45730</v>
      </c>
      <c r="B104" s="127">
        <v>47</v>
      </c>
      <c r="C104" s="127">
        <v>32</v>
      </c>
      <c r="D104" s="128">
        <f>'Data Ocupacion'!AD42</f>
        <v>47</v>
      </c>
      <c r="E104" s="128">
        <f>'Data Ocupacion'!AE42</f>
        <v>32</v>
      </c>
      <c r="F104" s="235" t="s">
        <v>38</v>
      </c>
      <c r="G104" s="236">
        <f t="shared" ref="G104:G109" si="79">D104+E104*2</f>
        <v>111</v>
      </c>
      <c r="H104" s="127">
        <f>B104+C104*2</f>
        <v>111</v>
      </c>
      <c r="I104" s="237">
        <f t="shared" ref="I104:I109" si="80">D104+E104</f>
        <v>79</v>
      </c>
      <c r="J104" s="237">
        <f>G104*M$2</f>
        <v>4787.43</v>
      </c>
      <c r="K104" s="156">
        <f>I104*M$2</f>
        <v>3407.27</v>
      </c>
      <c r="L104" s="127">
        <f t="shared" ref="L104:L109" si="81">J104*104</f>
        <v>497892.72000000003</v>
      </c>
      <c r="M104" s="127">
        <f t="shared" ref="M104:M109" si="82">I104*104</f>
        <v>8216</v>
      </c>
      <c r="N104" s="19"/>
      <c r="O104" s="19"/>
      <c r="P104" s="149"/>
      <c r="Q104" s="263"/>
      <c r="R104" s="189"/>
      <c r="S104" s="216"/>
      <c r="T104" s="332">
        <v>1</v>
      </c>
      <c r="U104" s="199"/>
      <c r="V104" s="245"/>
      <c r="W104" s="188">
        <f>J104-(Q104*($M$2-$K$1)+(R104*($M$2-$M$1))+  (S104*($M$2-$I$2))+(T104*$K$1))</f>
        <v>4762.0300000000007</v>
      </c>
      <c r="X104" s="188">
        <f>H104*$M$2</f>
        <v>4787.43</v>
      </c>
    </row>
    <row r="105" spans="1:24" ht="15" customHeight="1" x14ac:dyDescent="0.25">
      <c r="A105" s="390" t="s">
        <v>191</v>
      </c>
      <c r="B105" s="127">
        <v>45</v>
      </c>
      <c r="C105" s="127">
        <v>33</v>
      </c>
      <c r="D105" s="128">
        <f>'Data Ocupacion'!AD43</f>
        <v>45</v>
      </c>
      <c r="E105" s="128">
        <f>'Data Ocupacion'!AE43</f>
        <v>33</v>
      </c>
      <c r="F105" s="235" t="s">
        <v>52</v>
      </c>
      <c r="G105" s="236">
        <f t="shared" si="79"/>
        <v>111</v>
      </c>
      <c r="H105" s="127">
        <f t="shared" ref="H105:H109" si="83">B105+C105*2</f>
        <v>111</v>
      </c>
      <c r="I105" s="127">
        <f t="shared" si="80"/>
        <v>78</v>
      </c>
      <c r="J105" s="127">
        <f>G105*M$2</f>
        <v>4787.43</v>
      </c>
      <c r="K105" s="156">
        <f>I105*M$2</f>
        <v>3364.1400000000003</v>
      </c>
      <c r="L105" s="127">
        <f t="shared" si="81"/>
        <v>497892.72000000003</v>
      </c>
      <c r="M105" s="127">
        <f t="shared" si="82"/>
        <v>8112</v>
      </c>
      <c r="N105" s="19"/>
      <c r="O105" s="19"/>
      <c r="P105" s="149"/>
      <c r="Q105" s="194"/>
      <c r="R105" s="194"/>
      <c r="S105" s="194"/>
      <c r="T105" s="263"/>
      <c r="U105" s="214"/>
      <c r="V105" s="216"/>
      <c r="W105" s="192">
        <f>J105-(T105*($M$2-$K$1)+(U105*($M$2-$M$1)))</f>
        <v>4787.43</v>
      </c>
      <c r="X105" s="188">
        <f>H105*$M$2</f>
        <v>4787.43</v>
      </c>
    </row>
    <row r="106" spans="1:24" ht="15" customHeight="1" x14ac:dyDescent="0.25">
      <c r="A106" s="390"/>
      <c r="B106" s="127">
        <v>30</v>
      </c>
      <c r="C106" s="127">
        <v>3</v>
      </c>
      <c r="D106" s="128">
        <f>'Data Ocupacion'!AD44</f>
        <v>30</v>
      </c>
      <c r="E106" s="128">
        <f>'Data Ocupacion'!AE44</f>
        <v>3</v>
      </c>
      <c r="F106" s="235" t="s">
        <v>36</v>
      </c>
      <c r="G106" s="236">
        <f t="shared" si="79"/>
        <v>36</v>
      </c>
      <c r="H106" s="127">
        <f t="shared" si="83"/>
        <v>36</v>
      </c>
      <c r="I106" s="127">
        <f t="shared" si="80"/>
        <v>33</v>
      </c>
      <c r="J106" s="127">
        <f>G106*M$1</f>
        <v>1047.96</v>
      </c>
      <c r="K106" s="156">
        <f>I106*M$1</f>
        <v>960.63</v>
      </c>
      <c r="L106" s="127">
        <f t="shared" si="81"/>
        <v>108987.84</v>
      </c>
      <c r="M106" s="127">
        <f t="shared" si="82"/>
        <v>3432</v>
      </c>
      <c r="N106" s="19"/>
      <c r="O106" s="19"/>
      <c r="P106" s="149"/>
      <c r="Q106" s="193"/>
      <c r="R106" s="195"/>
      <c r="S106" s="217"/>
      <c r="T106" s="196"/>
      <c r="U106" s="197"/>
      <c r="V106" s="197"/>
      <c r="W106" s="188">
        <f>J106-(Q106*($M$1-$K$1))</f>
        <v>1047.96</v>
      </c>
      <c r="X106" s="188">
        <f>H106*$M$1</f>
        <v>1047.96</v>
      </c>
    </row>
    <row r="107" spans="1:24" ht="15" customHeight="1" x14ac:dyDescent="0.25">
      <c r="A107" s="390"/>
      <c r="B107" s="127">
        <v>29</v>
      </c>
      <c r="C107" s="127">
        <v>3</v>
      </c>
      <c r="D107" s="128">
        <f>'Data Ocupacion'!AD45</f>
        <v>29</v>
      </c>
      <c r="E107" s="128">
        <f>'Data Ocupacion'!AE45</f>
        <v>3</v>
      </c>
      <c r="F107" s="235" t="s">
        <v>53</v>
      </c>
      <c r="G107" s="236">
        <f t="shared" si="79"/>
        <v>35</v>
      </c>
      <c r="H107" s="127">
        <f t="shared" si="83"/>
        <v>35</v>
      </c>
      <c r="I107" s="127">
        <f t="shared" si="80"/>
        <v>32</v>
      </c>
      <c r="J107" s="127">
        <f>G107*M$1</f>
        <v>1018.85</v>
      </c>
      <c r="K107" s="156">
        <f>I107*M$1</f>
        <v>931.52</v>
      </c>
      <c r="L107" s="127">
        <f t="shared" si="81"/>
        <v>105960.40000000001</v>
      </c>
      <c r="M107" s="127">
        <f t="shared" si="82"/>
        <v>3328</v>
      </c>
      <c r="N107" s="19"/>
      <c r="O107" s="19"/>
      <c r="P107" s="149"/>
      <c r="Q107" s="197"/>
      <c r="R107" s="197"/>
      <c r="S107" s="197"/>
      <c r="T107" s="197"/>
      <c r="U107" s="197"/>
      <c r="V107" s="197"/>
      <c r="W107" s="188">
        <f>J107</f>
        <v>1018.85</v>
      </c>
      <c r="X107" s="188">
        <f>H107*$M$1</f>
        <v>1018.85</v>
      </c>
    </row>
    <row r="108" spans="1:24" ht="15" customHeight="1" x14ac:dyDescent="0.25">
      <c r="A108" s="390"/>
      <c r="B108" s="127">
        <v>0</v>
      </c>
      <c r="C108" s="127">
        <v>0</v>
      </c>
      <c r="D108" s="128">
        <f>'Data Ocupacion'!AD46</f>
        <v>0</v>
      </c>
      <c r="E108" s="128">
        <f>'Data Ocupacion'!AE46</f>
        <v>0</v>
      </c>
      <c r="F108" s="235" t="s">
        <v>122</v>
      </c>
      <c r="G108" s="236">
        <f t="shared" si="79"/>
        <v>0</v>
      </c>
      <c r="H108" s="127">
        <f t="shared" si="83"/>
        <v>0</v>
      </c>
      <c r="I108" s="127">
        <f t="shared" si="80"/>
        <v>0</v>
      </c>
      <c r="J108" s="238">
        <f>G108*K$1</f>
        <v>0</v>
      </c>
      <c r="K108" s="156">
        <f>I108*K$1</f>
        <v>0</v>
      </c>
      <c r="L108" s="127">
        <f t="shared" si="81"/>
        <v>0</v>
      </c>
      <c r="M108" s="127">
        <f t="shared" si="82"/>
        <v>0</v>
      </c>
      <c r="N108" s="19"/>
      <c r="O108" s="19"/>
      <c r="P108" s="149"/>
      <c r="Q108" s="197"/>
      <c r="R108" s="197"/>
      <c r="S108" s="197"/>
      <c r="T108" s="197"/>
      <c r="U108" s="197"/>
      <c r="V108" s="197"/>
      <c r="W108" s="188">
        <f>J108</f>
        <v>0</v>
      </c>
      <c r="X108" s="188">
        <f>H108*$K$1</f>
        <v>0</v>
      </c>
    </row>
    <row r="109" spans="1:24" ht="15" customHeight="1" thickBot="1" x14ac:dyDescent="0.3">
      <c r="A109" s="390"/>
      <c r="B109" s="127">
        <v>1</v>
      </c>
      <c r="C109" s="127">
        <v>0</v>
      </c>
      <c r="D109" s="128">
        <f>'Data Ocupacion'!AD47</f>
        <v>1</v>
      </c>
      <c r="E109" s="128">
        <f>'Data Ocupacion'!AE47</f>
        <v>0</v>
      </c>
      <c r="F109" s="235" t="s">
        <v>35</v>
      </c>
      <c r="G109" s="236">
        <f t="shared" si="79"/>
        <v>1</v>
      </c>
      <c r="H109" s="127">
        <f t="shared" si="83"/>
        <v>1</v>
      </c>
      <c r="I109" s="239">
        <f t="shared" si="80"/>
        <v>1</v>
      </c>
      <c r="J109" s="239">
        <f>G109*K$1</f>
        <v>25.4</v>
      </c>
      <c r="K109" s="156">
        <f>I109*K$1</f>
        <v>25.4</v>
      </c>
      <c r="L109" s="127">
        <f t="shared" si="81"/>
        <v>2641.6</v>
      </c>
      <c r="M109" s="127">
        <f t="shared" si="82"/>
        <v>104</v>
      </c>
      <c r="N109" s="19"/>
      <c r="O109" s="19"/>
      <c r="P109" s="149"/>
      <c r="Q109" s="197"/>
      <c r="R109" s="197"/>
      <c r="S109" s="197"/>
      <c r="T109" s="197"/>
      <c r="U109" s="197"/>
      <c r="V109" s="197"/>
      <c r="W109" s="188">
        <f>J109</f>
        <v>25.4</v>
      </c>
      <c r="X109" s="188">
        <f>H109*$K$1</f>
        <v>25.4</v>
      </c>
    </row>
    <row r="110" spans="1:24" s="126" customFormat="1" ht="15" customHeight="1" thickBot="1" x14ac:dyDescent="0.3">
      <c r="A110" s="20"/>
      <c r="B110" s="230">
        <f>SUM(B104:B109)</f>
        <v>152</v>
      </c>
      <c r="C110" s="230">
        <f>SUM(C104:C109)</f>
        <v>71</v>
      </c>
      <c r="D110" s="151">
        <f>SUM(D104:D109)</f>
        <v>152</v>
      </c>
      <c r="E110" s="151">
        <f>SUM(E104:E109)</f>
        <v>71</v>
      </c>
      <c r="F110" s="121"/>
      <c r="G110" s="121">
        <f t="shared" ref="G110:M110" si="84">SUM(G104:G109)</f>
        <v>294</v>
      </c>
      <c r="H110" s="121">
        <f t="shared" si="84"/>
        <v>294</v>
      </c>
      <c r="I110" s="121">
        <f t="shared" si="84"/>
        <v>223</v>
      </c>
      <c r="J110" s="122">
        <f t="shared" si="84"/>
        <v>11667.07</v>
      </c>
      <c r="K110" s="121">
        <f t="shared" si="84"/>
        <v>8688.9599999999991</v>
      </c>
      <c r="L110" s="121">
        <f t="shared" si="84"/>
        <v>1213375.28</v>
      </c>
      <c r="M110" s="121">
        <f t="shared" si="84"/>
        <v>23192</v>
      </c>
      <c r="N110" s="125">
        <f>'Odometro-Kilometraje'!O81</f>
        <v>12053</v>
      </c>
      <c r="O110" s="21">
        <f>(W110/N110)*100</f>
        <v>96.587322658259367</v>
      </c>
      <c r="P110" s="200"/>
      <c r="Q110" s="187"/>
      <c r="R110" s="187"/>
      <c r="S110" s="187"/>
      <c r="T110" s="187"/>
      <c r="U110" s="187"/>
      <c r="V110" s="187"/>
      <c r="W110" s="201">
        <f>SUM(W104:W109)</f>
        <v>11641.670000000002</v>
      </c>
      <c r="X110" s="201">
        <f>SUM(X104:X109)</f>
        <v>11667.07</v>
      </c>
    </row>
    <row r="111" spans="1:24" ht="15.95" customHeight="1" x14ac:dyDescent="0.25">
      <c r="A111" s="62">
        <f>A104+1</f>
        <v>45731</v>
      </c>
      <c r="B111" s="118">
        <v>69</v>
      </c>
      <c r="C111" s="118">
        <v>3</v>
      </c>
      <c r="D111" s="150">
        <f>'Data Ocupacion'!AF42</f>
        <v>69</v>
      </c>
      <c r="E111" s="150">
        <f>'Data Ocupacion'!AG42</f>
        <v>3</v>
      </c>
      <c r="F111" s="118" t="s">
        <v>38</v>
      </c>
      <c r="G111" s="118">
        <f t="shared" ref="G111:G116" si="85">D111+E111*2</f>
        <v>75</v>
      </c>
      <c r="H111" s="118">
        <f>B111+C111*2</f>
        <v>75</v>
      </c>
      <c r="I111" s="118">
        <f t="shared" ref="I111:I116" si="86">D111+E111</f>
        <v>72</v>
      </c>
      <c r="J111" s="118">
        <f>G111*M$2</f>
        <v>3234.75</v>
      </c>
      <c r="K111" s="156">
        <f>I111*M$2</f>
        <v>3105.36</v>
      </c>
      <c r="L111" s="118">
        <f t="shared" ref="L111:L116" si="87">J111*104</f>
        <v>336414</v>
      </c>
      <c r="M111" s="118">
        <f t="shared" ref="M111:M116" si="88">I111*104</f>
        <v>7488</v>
      </c>
      <c r="N111" s="19"/>
      <c r="O111" s="19"/>
      <c r="P111" s="149"/>
      <c r="Q111" s="263"/>
      <c r="R111" s="189"/>
      <c r="S111" s="216"/>
      <c r="T111" s="198"/>
      <c r="U111" s="199"/>
      <c r="V111" s="245"/>
      <c r="W111" s="188">
        <f>J111-(Q111*($M$2-$K$1)+(R111*($M$2-$M$1))+  (S111*($M$2-$I$2)))</f>
        <v>3234.75</v>
      </c>
      <c r="X111" s="188">
        <f>H111*$M$2</f>
        <v>3234.75</v>
      </c>
    </row>
    <row r="112" spans="1:24" ht="15" customHeight="1" x14ac:dyDescent="0.25">
      <c r="A112" s="277"/>
      <c r="B112" s="118">
        <v>75</v>
      </c>
      <c r="C112" s="118">
        <v>0</v>
      </c>
      <c r="D112" s="150">
        <f>'Data Ocupacion'!AF43</f>
        <v>75</v>
      </c>
      <c r="E112" s="150">
        <f>'Data Ocupacion'!AG43</f>
        <v>0</v>
      </c>
      <c r="F112" s="118" t="s">
        <v>52</v>
      </c>
      <c r="G112" s="118">
        <f t="shared" si="85"/>
        <v>75</v>
      </c>
      <c r="H112" s="118">
        <f t="shared" ref="H112:H116" si="89">B112+C112*2</f>
        <v>75</v>
      </c>
      <c r="I112" s="118">
        <f t="shared" si="86"/>
        <v>75</v>
      </c>
      <c r="J112" s="118">
        <f>G112*M$2</f>
        <v>3234.75</v>
      </c>
      <c r="K112" s="156">
        <f>I112*M$2</f>
        <v>3234.75</v>
      </c>
      <c r="L112" s="118">
        <f t="shared" si="87"/>
        <v>336414</v>
      </c>
      <c r="M112" s="118">
        <f t="shared" si="88"/>
        <v>7800</v>
      </c>
      <c r="N112" s="19"/>
      <c r="O112" s="19"/>
      <c r="P112" s="149"/>
      <c r="Q112" s="194"/>
      <c r="R112" s="194"/>
      <c r="S112" s="194"/>
      <c r="T112" s="256"/>
      <c r="U112" s="191"/>
      <c r="V112" s="246"/>
      <c r="W112" s="192">
        <f>J112-(T112*($M$2-$K$1)+(U112*($M$2-$M$1)))</f>
        <v>3234.75</v>
      </c>
      <c r="X112" s="188">
        <f>H112*$M$2</f>
        <v>3234.75</v>
      </c>
    </row>
    <row r="113" spans="1:26" ht="14.25" customHeight="1" x14ac:dyDescent="0.25">
      <c r="A113" s="277"/>
      <c r="B113" s="118">
        <v>0</v>
      </c>
      <c r="C113" s="118">
        <v>0</v>
      </c>
      <c r="D113" s="150">
        <f>'Data Ocupacion'!AF44</f>
        <v>0</v>
      </c>
      <c r="E113" s="150">
        <f>'Data Ocupacion'!AG44</f>
        <v>0</v>
      </c>
      <c r="F113" s="118" t="s">
        <v>36</v>
      </c>
      <c r="G113" s="118">
        <f t="shared" si="85"/>
        <v>0</v>
      </c>
      <c r="H113" s="118">
        <f t="shared" si="89"/>
        <v>0</v>
      </c>
      <c r="I113" s="118">
        <f t="shared" si="86"/>
        <v>0</v>
      </c>
      <c r="J113" s="118">
        <f>G113*M$1</f>
        <v>0</v>
      </c>
      <c r="K113" s="156">
        <f>I113*M$1</f>
        <v>0</v>
      </c>
      <c r="L113" s="118">
        <f t="shared" si="87"/>
        <v>0</v>
      </c>
      <c r="M113" s="118">
        <f t="shared" si="88"/>
        <v>0</v>
      </c>
      <c r="N113" s="19"/>
      <c r="O113" s="19"/>
      <c r="P113" s="149"/>
      <c r="Q113" s="193"/>
      <c r="R113" s="195"/>
      <c r="S113" s="217"/>
      <c r="T113" s="196"/>
      <c r="U113" s="197"/>
      <c r="V113" s="197"/>
      <c r="W113" s="188">
        <f>J113-(Q113*($M$1-$K$1))</f>
        <v>0</v>
      </c>
      <c r="X113" s="188">
        <f>H113*$M$1</f>
        <v>0</v>
      </c>
    </row>
    <row r="114" spans="1:26" ht="15" customHeight="1" x14ac:dyDescent="0.25">
      <c r="A114" s="277"/>
      <c r="B114" s="118">
        <v>0</v>
      </c>
      <c r="C114" s="118">
        <v>0</v>
      </c>
      <c r="D114" s="150">
        <f>'Data Ocupacion'!AF45</f>
        <v>0</v>
      </c>
      <c r="E114" s="150">
        <f>'Data Ocupacion'!AG45</f>
        <v>0</v>
      </c>
      <c r="F114" s="118" t="s">
        <v>53</v>
      </c>
      <c r="G114" s="118">
        <f t="shared" si="85"/>
        <v>0</v>
      </c>
      <c r="H114" s="118">
        <f t="shared" si="89"/>
        <v>0</v>
      </c>
      <c r="I114" s="118">
        <f t="shared" si="86"/>
        <v>0</v>
      </c>
      <c r="J114" s="118">
        <f>G114*M$1</f>
        <v>0</v>
      </c>
      <c r="K114" s="156">
        <f>I114*M$1</f>
        <v>0</v>
      </c>
      <c r="L114" s="118">
        <f t="shared" si="87"/>
        <v>0</v>
      </c>
      <c r="M114" s="118">
        <f t="shared" si="88"/>
        <v>0</v>
      </c>
      <c r="N114" s="19"/>
      <c r="O114" s="19"/>
      <c r="P114" s="149"/>
      <c r="Q114" s="197"/>
      <c r="R114" s="197"/>
      <c r="S114" s="197"/>
      <c r="T114" s="197"/>
      <c r="U114" s="197"/>
      <c r="V114" s="197"/>
      <c r="W114" s="188">
        <f>J114</f>
        <v>0</v>
      </c>
      <c r="X114" s="188">
        <f>H114*$M$1</f>
        <v>0</v>
      </c>
    </row>
    <row r="115" spans="1:26" ht="15" customHeight="1" x14ac:dyDescent="0.25">
      <c r="A115" s="277"/>
      <c r="B115" s="118">
        <v>0</v>
      </c>
      <c r="C115" s="118">
        <v>0</v>
      </c>
      <c r="D115" s="150">
        <f>'Data Ocupacion'!AF46</f>
        <v>0</v>
      </c>
      <c r="E115" s="150">
        <f>'Data Ocupacion'!AG46</f>
        <v>0</v>
      </c>
      <c r="F115" s="118" t="s">
        <v>122</v>
      </c>
      <c r="G115" s="118">
        <f t="shared" si="85"/>
        <v>0</v>
      </c>
      <c r="H115" s="118">
        <f t="shared" si="89"/>
        <v>0</v>
      </c>
      <c r="I115" s="118">
        <f t="shared" si="86"/>
        <v>0</v>
      </c>
      <c r="J115" s="118">
        <f>G115*K$1</f>
        <v>0</v>
      </c>
      <c r="K115" s="156">
        <f>I115*K$1</f>
        <v>0</v>
      </c>
      <c r="L115" s="118">
        <f t="shared" si="87"/>
        <v>0</v>
      </c>
      <c r="M115" s="118">
        <f t="shared" si="88"/>
        <v>0</v>
      </c>
      <c r="N115" s="19"/>
      <c r="O115" s="19"/>
      <c r="P115" s="149"/>
      <c r="Q115" s="197"/>
      <c r="R115" s="197"/>
      <c r="S115" s="197"/>
      <c r="T115" s="197"/>
      <c r="U115" s="197"/>
      <c r="V115" s="197"/>
      <c r="W115" s="188">
        <f>J115</f>
        <v>0</v>
      </c>
      <c r="X115" s="188">
        <f>H115*$K$1</f>
        <v>0</v>
      </c>
    </row>
    <row r="116" spans="1:26" ht="15" customHeight="1" thickBot="1" x14ac:dyDescent="0.3">
      <c r="A116" s="277"/>
      <c r="B116" s="118">
        <v>0</v>
      </c>
      <c r="C116" s="118">
        <v>0</v>
      </c>
      <c r="D116" s="150">
        <f>'Data Ocupacion'!AF47</f>
        <v>0</v>
      </c>
      <c r="E116" s="150">
        <f>'Data Ocupacion'!AG47</f>
        <v>0</v>
      </c>
      <c r="F116" s="118" t="s">
        <v>35</v>
      </c>
      <c r="G116" s="118">
        <f t="shared" si="85"/>
        <v>0</v>
      </c>
      <c r="H116" s="118">
        <f t="shared" si="89"/>
        <v>0</v>
      </c>
      <c r="I116" s="118">
        <f t="shared" si="86"/>
        <v>0</v>
      </c>
      <c r="J116" s="118">
        <f>G116*K$1</f>
        <v>0</v>
      </c>
      <c r="K116" s="156">
        <f>I116*K$1</f>
        <v>0</v>
      </c>
      <c r="L116" s="118">
        <f t="shared" si="87"/>
        <v>0</v>
      </c>
      <c r="M116" s="118">
        <f t="shared" si="88"/>
        <v>0</v>
      </c>
      <c r="N116" s="19"/>
      <c r="O116" s="19"/>
      <c r="P116" s="149"/>
      <c r="Q116" s="197"/>
      <c r="R116" s="197"/>
      <c r="S116" s="197"/>
      <c r="T116" s="197"/>
      <c r="U116" s="197"/>
      <c r="V116" s="197"/>
      <c r="W116" s="188">
        <f>J116</f>
        <v>0</v>
      </c>
      <c r="X116" s="188">
        <f>H116*$K$1</f>
        <v>0</v>
      </c>
    </row>
    <row r="117" spans="1:26" s="126" customFormat="1" ht="15" customHeight="1" thickBot="1" x14ac:dyDescent="0.3">
      <c r="A117" s="20"/>
      <c r="B117" s="230">
        <f>SUM(B111:B116)</f>
        <v>144</v>
      </c>
      <c r="C117" s="230">
        <f>SUM(C111:C116)</f>
        <v>3</v>
      </c>
      <c r="D117" s="155">
        <f>SUM(D111:D116)</f>
        <v>144</v>
      </c>
      <c r="E117" s="155">
        <f>SUM(E111:E116)</f>
        <v>3</v>
      </c>
      <c r="F117" s="121"/>
      <c r="G117" s="121">
        <f t="shared" ref="G117:M117" si="90">SUM(G111:G116)</f>
        <v>150</v>
      </c>
      <c r="H117" s="121">
        <f t="shared" si="90"/>
        <v>150</v>
      </c>
      <c r="I117" s="121">
        <f t="shared" si="90"/>
        <v>147</v>
      </c>
      <c r="J117" s="122">
        <f t="shared" si="90"/>
        <v>6469.5</v>
      </c>
      <c r="K117" s="121">
        <f t="shared" si="90"/>
        <v>6340.1100000000006</v>
      </c>
      <c r="L117" s="120">
        <f t="shared" si="90"/>
        <v>672828</v>
      </c>
      <c r="M117" s="154">
        <f t="shared" si="90"/>
        <v>15288</v>
      </c>
      <c r="N117" s="125">
        <f>'Odometro-Kilometraje'!P81</f>
        <v>6585</v>
      </c>
      <c r="O117" s="21">
        <f>(W117/N117)*100</f>
        <v>98.24601366742597</v>
      </c>
      <c r="P117" s="200"/>
      <c r="Q117" s="187"/>
      <c r="R117" s="187"/>
      <c r="S117" s="187"/>
      <c r="T117" s="187"/>
      <c r="U117" s="187"/>
      <c r="V117" s="187"/>
      <c r="W117" s="201">
        <f>SUM(W111:W116)</f>
        <v>6469.5</v>
      </c>
      <c r="X117" s="201">
        <f>SUM(X111:X116)</f>
        <v>6469.5</v>
      </c>
    </row>
    <row r="118" spans="1:26" ht="15.95" customHeight="1" x14ac:dyDescent="0.25">
      <c r="A118" s="62">
        <f>A111+1</f>
        <v>45732</v>
      </c>
      <c r="B118" s="231">
        <v>51</v>
      </c>
      <c r="C118" s="231">
        <v>3</v>
      </c>
      <c r="D118" s="140">
        <f>'Data Ocupacion'!AH42</f>
        <v>51</v>
      </c>
      <c r="E118" s="140">
        <f>'Data Ocupacion'!AI42</f>
        <v>3</v>
      </c>
      <c r="F118" s="231" t="s">
        <v>38</v>
      </c>
      <c r="G118" s="231">
        <f t="shared" ref="G118:G123" si="91">D118+E118*2</f>
        <v>57</v>
      </c>
      <c r="H118" s="231">
        <f>B118+C118*2</f>
        <v>57</v>
      </c>
      <c r="I118" s="231">
        <f t="shared" ref="I118:I123" si="92">D118+E118</f>
        <v>54</v>
      </c>
      <c r="J118" s="231">
        <f>G118*M$2</f>
        <v>2458.4100000000003</v>
      </c>
      <c r="K118" s="156">
        <f>I118*M$2</f>
        <v>2329.02</v>
      </c>
      <c r="L118" s="231">
        <f t="shared" ref="L118:L123" si="93">J118*104</f>
        <v>255674.64000000004</v>
      </c>
      <c r="M118" s="231">
        <f t="shared" ref="M118:M123" si="94">I118*104</f>
        <v>5616</v>
      </c>
      <c r="N118" s="19"/>
      <c r="O118" s="19"/>
      <c r="P118" s="149"/>
      <c r="Q118" s="189"/>
      <c r="R118" s="189"/>
      <c r="S118" s="216"/>
      <c r="T118" s="198"/>
      <c r="U118" s="199"/>
      <c r="V118" s="245"/>
      <c r="W118" s="188">
        <f>J118-(Q118*($M$2-$K$1)+(R118*($M$2-$M$1))+  (S118*($M$2-$I$2)))</f>
        <v>2458.4100000000003</v>
      </c>
      <c r="X118" s="188">
        <f>H118*$M$2</f>
        <v>2458.4100000000003</v>
      </c>
    </row>
    <row r="119" spans="1:26" ht="15" customHeight="1" x14ac:dyDescent="0.25">
      <c r="A119" s="277"/>
      <c r="B119" s="231">
        <v>57</v>
      </c>
      <c r="C119" s="231">
        <v>0</v>
      </c>
      <c r="D119" s="140">
        <f>'Data Ocupacion'!AH43</f>
        <v>57</v>
      </c>
      <c r="E119" s="140">
        <f>'Data Ocupacion'!AI43</f>
        <v>0</v>
      </c>
      <c r="F119" s="231" t="s">
        <v>52</v>
      </c>
      <c r="G119" s="231">
        <f t="shared" si="91"/>
        <v>57</v>
      </c>
      <c r="H119" s="231">
        <f t="shared" ref="H119:H123" si="95">B119+C119*2</f>
        <v>57</v>
      </c>
      <c r="I119" s="231">
        <f t="shared" si="92"/>
        <v>57</v>
      </c>
      <c r="J119" s="231">
        <f>G119*M$2</f>
        <v>2458.4100000000003</v>
      </c>
      <c r="K119" s="156">
        <f>I119*M$2</f>
        <v>2458.4100000000003</v>
      </c>
      <c r="L119" s="231">
        <f t="shared" si="93"/>
        <v>255674.64000000004</v>
      </c>
      <c r="M119" s="231">
        <f t="shared" si="94"/>
        <v>5928</v>
      </c>
      <c r="N119" s="19"/>
      <c r="O119" s="19"/>
      <c r="P119" s="149"/>
      <c r="Q119" s="194"/>
      <c r="R119" s="194"/>
      <c r="S119" s="194"/>
      <c r="T119" s="189"/>
      <c r="U119" s="214"/>
      <c r="V119" s="246"/>
      <c r="W119" s="192">
        <f>J119-(T119*($M$2-$K$1)+(U119*($M$2-$M$1)))</f>
        <v>2458.4100000000003</v>
      </c>
      <c r="X119" s="188">
        <f>H119*$M$2</f>
        <v>2458.4100000000003</v>
      </c>
      <c r="Y119" s="175"/>
    </row>
    <row r="120" spans="1:26" x14ac:dyDescent="0.25">
      <c r="A120" s="277"/>
      <c r="B120" s="231">
        <v>0</v>
      </c>
      <c r="C120" s="231">
        <v>0</v>
      </c>
      <c r="D120" s="140">
        <f>'Data Ocupacion'!AH44</f>
        <v>0</v>
      </c>
      <c r="E120" s="140">
        <f>'Data Ocupacion'!AI44</f>
        <v>0</v>
      </c>
      <c r="F120" s="231" t="s">
        <v>36</v>
      </c>
      <c r="G120" s="231">
        <f t="shared" si="91"/>
        <v>0</v>
      </c>
      <c r="H120" s="231">
        <f t="shared" si="95"/>
        <v>0</v>
      </c>
      <c r="I120" s="231">
        <f t="shared" si="92"/>
        <v>0</v>
      </c>
      <c r="J120" s="231">
        <f>G120*M$1</f>
        <v>0</v>
      </c>
      <c r="K120" s="156">
        <f>I120*M$1</f>
        <v>0</v>
      </c>
      <c r="L120" s="231">
        <f t="shared" si="93"/>
        <v>0</v>
      </c>
      <c r="M120" s="231">
        <f t="shared" si="94"/>
        <v>0</v>
      </c>
      <c r="N120" s="19"/>
      <c r="O120" s="19"/>
      <c r="P120" s="149"/>
      <c r="Q120" s="193"/>
      <c r="R120" s="195"/>
      <c r="S120" s="217"/>
      <c r="T120" s="196"/>
      <c r="U120" s="197"/>
      <c r="V120" s="197"/>
      <c r="W120" s="188">
        <f>J120-(Q120*($M$1-$K$1))</f>
        <v>0</v>
      </c>
      <c r="X120" s="188">
        <f>H120*$M$1</f>
        <v>0</v>
      </c>
    </row>
    <row r="121" spans="1:26" ht="15.95" customHeight="1" x14ac:dyDescent="0.25">
      <c r="A121" s="277"/>
      <c r="B121" s="231">
        <v>0</v>
      </c>
      <c r="C121" s="231">
        <v>0</v>
      </c>
      <c r="D121" s="140">
        <f>'Data Ocupacion'!AH45</f>
        <v>0</v>
      </c>
      <c r="E121" s="140">
        <f>'Data Ocupacion'!AI45</f>
        <v>0</v>
      </c>
      <c r="F121" s="231" t="s">
        <v>53</v>
      </c>
      <c r="G121" s="231">
        <f t="shared" si="91"/>
        <v>0</v>
      </c>
      <c r="H121" s="231">
        <f t="shared" si="95"/>
        <v>0</v>
      </c>
      <c r="I121" s="231">
        <f t="shared" si="92"/>
        <v>0</v>
      </c>
      <c r="J121" s="231">
        <f>G121*M$1</f>
        <v>0</v>
      </c>
      <c r="K121" s="156">
        <f>I121*M$1</f>
        <v>0</v>
      </c>
      <c r="L121" s="231">
        <f t="shared" si="93"/>
        <v>0</v>
      </c>
      <c r="M121" s="231">
        <f t="shared" si="94"/>
        <v>0</v>
      </c>
      <c r="N121" s="19"/>
      <c r="O121" s="19"/>
      <c r="P121" s="149"/>
      <c r="Q121" s="197"/>
      <c r="R121" s="197"/>
      <c r="S121" s="197"/>
      <c r="T121" s="197"/>
      <c r="U121" s="197"/>
      <c r="V121" s="197"/>
      <c r="W121" s="188">
        <f>J121</f>
        <v>0</v>
      </c>
      <c r="X121" s="188">
        <f>H121*$M$1</f>
        <v>0</v>
      </c>
    </row>
    <row r="122" spans="1:26" ht="15" customHeight="1" x14ac:dyDescent="0.25">
      <c r="A122" s="277"/>
      <c r="B122" s="231">
        <v>0</v>
      </c>
      <c r="C122" s="231">
        <v>0</v>
      </c>
      <c r="D122" s="140">
        <f>'Data Ocupacion'!AH46</f>
        <v>0</v>
      </c>
      <c r="E122" s="140">
        <f>'Data Ocupacion'!AI46</f>
        <v>0</v>
      </c>
      <c r="F122" s="231" t="s">
        <v>122</v>
      </c>
      <c r="G122" s="231">
        <f t="shared" si="91"/>
        <v>0</v>
      </c>
      <c r="H122" s="231">
        <f t="shared" si="95"/>
        <v>0</v>
      </c>
      <c r="I122" s="231">
        <f t="shared" si="92"/>
        <v>0</v>
      </c>
      <c r="J122" s="231">
        <f>G122*K$1</f>
        <v>0</v>
      </c>
      <c r="K122" s="156">
        <f>I122*K$1</f>
        <v>0</v>
      </c>
      <c r="L122" s="231">
        <f t="shared" si="93"/>
        <v>0</v>
      </c>
      <c r="M122" s="231">
        <f t="shared" si="94"/>
        <v>0</v>
      </c>
      <c r="N122" s="19"/>
      <c r="O122" s="19"/>
      <c r="P122" s="149"/>
      <c r="Q122" s="197"/>
      <c r="R122" s="197"/>
      <c r="S122" s="197"/>
      <c r="T122" s="197"/>
      <c r="U122" s="197"/>
      <c r="V122" s="197"/>
      <c r="W122" s="188">
        <f>J122</f>
        <v>0</v>
      </c>
      <c r="X122" s="188">
        <f>H122*$K$1</f>
        <v>0</v>
      </c>
    </row>
    <row r="123" spans="1:26" ht="15" customHeight="1" thickBot="1" x14ac:dyDescent="0.3">
      <c r="A123" s="277"/>
      <c r="B123" s="231">
        <v>0</v>
      </c>
      <c r="C123" s="231">
        <v>0</v>
      </c>
      <c r="D123" s="140">
        <f>'Data Ocupacion'!AH47</f>
        <v>0</v>
      </c>
      <c r="E123" s="140">
        <f>'Data Ocupacion'!AI47</f>
        <v>0</v>
      </c>
      <c r="F123" s="231" t="s">
        <v>35</v>
      </c>
      <c r="G123" s="231">
        <f t="shared" si="91"/>
        <v>0</v>
      </c>
      <c r="H123" s="231">
        <f t="shared" si="95"/>
        <v>0</v>
      </c>
      <c r="I123" s="231">
        <f t="shared" si="92"/>
        <v>0</v>
      </c>
      <c r="J123" s="231">
        <f>G123*K$1</f>
        <v>0</v>
      </c>
      <c r="K123" s="156">
        <f>I123*K$1</f>
        <v>0</v>
      </c>
      <c r="L123" s="231">
        <f t="shared" si="93"/>
        <v>0</v>
      </c>
      <c r="M123" s="231">
        <f t="shared" si="94"/>
        <v>0</v>
      </c>
      <c r="N123" s="19"/>
      <c r="O123" s="19"/>
      <c r="P123" s="149"/>
      <c r="Q123" s="197"/>
      <c r="R123" s="197"/>
      <c r="S123" s="197"/>
      <c r="T123" s="197"/>
      <c r="U123" s="197"/>
      <c r="V123" s="197"/>
      <c r="W123" s="188">
        <f>J123</f>
        <v>0</v>
      </c>
      <c r="X123" s="188">
        <f>H123*$K$1</f>
        <v>0</v>
      </c>
    </row>
    <row r="124" spans="1:26" s="126" customFormat="1" ht="15" customHeight="1" thickBot="1" x14ac:dyDescent="0.3">
      <c r="A124" s="20"/>
      <c r="B124" s="230">
        <f>SUM(B118:B123)</f>
        <v>108</v>
      </c>
      <c r="C124" s="230">
        <f>SUM(C118:C123)</f>
        <v>3</v>
      </c>
      <c r="D124" s="151">
        <f>SUM(D118:D123)</f>
        <v>108</v>
      </c>
      <c r="E124" s="151">
        <f>SUM(E118:E123)</f>
        <v>3</v>
      </c>
      <c r="F124" s="121"/>
      <c r="G124" s="121">
        <f t="shared" ref="G124:M124" si="96">SUM(G118:G123)</f>
        <v>114</v>
      </c>
      <c r="H124" s="121">
        <f t="shared" si="96"/>
        <v>114</v>
      </c>
      <c r="I124" s="121">
        <f t="shared" si="96"/>
        <v>111</v>
      </c>
      <c r="J124" s="121">
        <f t="shared" si="96"/>
        <v>4916.8200000000006</v>
      </c>
      <c r="K124" s="121">
        <f t="shared" si="96"/>
        <v>4787.43</v>
      </c>
      <c r="L124" s="121">
        <f t="shared" si="96"/>
        <v>511349.28000000009</v>
      </c>
      <c r="M124" s="121">
        <f t="shared" si="96"/>
        <v>11544</v>
      </c>
      <c r="N124" s="125">
        <f>'Odometro-Kilometraje'!Q81</f>
        <v>4952</v>
      </c>
      <c r="O124" s="21">
        <f>(W124/N124)*100</f>
        <v>99.289579967689832</v>
      </c>
      <c r="P124" s="200"/>
      <c r="Q124" s="187"/>
      <c r="R124" s="187"/>
      <c r="S124" s="187"/>
      <c r="T124" s="187"/>
      <c r="U124" s="187"/>
      <c r="V124" s="187"/>
      <c r="W124" s="201">
        <f>SUM(W118:W123)</f>
        <v>4916.8200000000006</v>
      </c>
      <c r="X124" s="201">
        <f>SUM(X118:X123)</f>
        <v>4916.8200000000006</v>
      </c>
    </row>
    <row r="125" spans="1:26" ht="15.95" customHeight="1" x14ac:dyDescent="0.25">
      <c r="A125" s="62">
        <f>A118+1</f>
        <v>45733</v>
      </c>
      <c r="B125" s="127">
        <v>47</v>
      </c>
      <c r="C125" s="127">
        <v>32</v>
      </c>
      <c r="D125" s="128">
        <f>'Data Ocupacion'!AJ42</f>
        <v>50</v>
      </c>
      <c r="E125" s="128">
        <f>'Data Ocupacion'!AK42</f>
        <v>29</v>
      </c>
      <c r="F125" s="235" t="s">
        <v>38</v>
      </c>
      <c r="G125" s="236">
        <f t="shared" ref="G125:G130" si="97">D125+E125*2</f>
        <v>108</v>
      </c>
      <c r="H125" s="127">
        <f>B125+C125*2</f>
        <v>111</v>
      </c>
      <c r="I125" s="237">
        <f t="shared" ref="I125:I130" si="98">D125+E125</f>
        <v>79</v>
      </c>
      <c r="J125" s="237">
        <f>G125*M$2</f>
        <v>4658.04</v>
      </c>
      <c r="K125" s="156">
        <f>I125*M$2</f>
        <v>3407.27</v>
      </c>
      <c r="L125" s="127">
        <f t="shared" ref="L125:L130" si="99">J125*104</f>
        <v>484436.16</v>
      </c>
      <c r="M125" s="127">
        <f t="shared" ref="M125:M130" si="100">I125*104</f>
        <v>8216</v>
      </c>
      <c r="N125" s="19"/>
      <c r="O125" s="19"/>
      <c r="P125" s="149"/>
      <c r="Q125" s="189">
        <v>1</v>
      </c>
      <c r="R125" s="189"/>
      <c r="S125" s="216"/>
      <c r="T125" s="258"/>
      <c r="U125" s="199"/>
      <c r="V125" s="245"/>
      <c r="W125" s="188">
        <f>J125-(Q125*($M$2-$K$1)+(R125*($M$2-$M$1))+  (S125*($M$2-$I$2)))+(T125*($M$2-$K$1))</f>
        <v>4640.3100000000004</v>
      </c>
      <c r="X125" s="188">
        <f>H125*$M$2</f>
        <v>4787.43</v>
      </c>
    </row>
    <row r="126" spans="1:26" ht="15" customHeight="1" x14ac:dyDescent="0.25">
      <c r="A126" s="277"/>
      <c r="B126" s="127">
        <v>45</v>
      </c>
      <c r="C126" s="127">
        <v>33</v>
      </c>
      <c r="D126" s="128">
        <f>'Data Ocupacion'!AJ43</f>
        <v>49</v>
      </c>
      <c r="E126" s="128">
        <f>'Data Ocupacion'!AK43</f>
        <v>29</v>
      </c>
      <c r="F126" s="235" t="s">
        <v>52</v>
      </c>
      <c r="G126" s="236">
        <f t="shared" si="97"/>
        <v>107</v>
      </c>
      <c r="H126" s="127">
        <f t="shared" ref="H126:H130" si="101">B126+C126*2</f>
        <v>111</v>
      </c>
      <c r="I126" s="127">
        <f t="shared" si="98"/>
        <v>78</v>
      </c>
      <c r="J126" s="127">
        <f>G126*M$2</f>
        <v>4614.91</v>
      </c>
      <c r="K126" s="156">
        <f>I126*M$2</f>
        <v>3364.1400000000003</v>
      </c>
      <c r="L126" s="127">
        <f t="shared" si="99"/>
        <v>479950.64</v>
      </c>
      <c r="M126" s="127">
        <f t="shared" si="100"/>
        <v>8112</v>
      </c>
      <c r="N126" s="19"/>
      <c r="O126" s="19"/>
      <c r="P126" s="149"/>
      <c r="Q126" s="194"/>
      <c r="R126" s="194"/>
      <c r="S126" s="194"/>
      <c r="T126" s="189"/>
      <c r="U126" s="191"/>
      <c r="V126" s="246"/>
      <c r="W126" s="192">
        <f>J126-(T126*($M$2-$K$1)+(U126*($M$2-$M$1)))</f>
        <v>4614.91</v>
      </c>
      <c r="X126" s="188">
        <f>H126*$M$2</f>
        <v>4787.43</v>
      </c>
      <c r="Y126" s="175"/>
    </row>
    <row r="127" spans="1:26" ht="15" customHeight="1" x14ac:dyDescent="0.25">
      <c r="A127" s="277"/>
      <c r="B127" s="127">
        <v>30</v>
      </c>
      <c r="C127" s="127">
        <v>3</v>
      </c>
      <c r="D127" s="128">
        <f>'Data Ocupacion'!AJ44</f>
        <v>29</v>
      </c>
      <c r="E127" s="128">
        <f>'Data Ocupacion'!AK44</f>
        <v>4</v>
      </c>
      <c r="F127" s="235" t="s">
        <v>36</v>
      </c>
      <c r="G127" s="236">
        <f t="shared" si="97"/>
        <v>37</v>
      </c>
      <c r="H127" s="127">
        <f t="shared" si="101"/>
        <v>36</v>
      </c>
      <c r="I127" s="127">
        <f t="shared" si="98"/>
        <v>33</v>
      </c>
      <c r="J127" s="127">
        <f>G127*M$1</f>
        <v>1077.07</v>
      </c>
      <c r="K127" s="156">
        <f>I127*M$1</f>
        <v>960.63</v>
      </c>
      <c r="L127" s="127">
        <f t="shared" si="99"/>
        <v>112015.28</v>
      </c>
      <c r="M127" s="127">
        <f t="shared" si="100"/>
        <v>3432</v>
      </c>
      <c r="N127" s="19"/>
      <c r="O127" s="19"/>
      <c r="P127" s="149"/>
      <c r="Q127" s="193"/>
      <c r="R127" s="195"/>
      <c r="S127" s="217"/>
      <c r="T127" s="196"/>
      <c r="U127" s="197"/>
      <c r="V127" s="197"/>
      <c r="W127" s="188">
        <f>J127-(Q127*($M$1-$K$1))</f>
        <v>1077.07</v>
      </c>
      <c r="X127" s="188">
        <f>H127*$M$1</f>
        <v>1047.96</v>
      </c>
    </row>
    <row r="128" spans="1:26" ht="15" customHeight="1" x14ac:dyDescent="0.25">
      <c r="A128" s="277"/>
      <c r="B128" s="127">
        <v>29</v>
      </c>
      <c r="C128" s="127">
        <v>3</v>
      </c>
      <c r="D128" s="128">
        <f>'Data Ocupacion'!AJ45</f>
        <v>27</v>
      </c>
      <c r="E128" s="128">
        <f>'Data Ocupacion'!AK45</f>
        <v>5</v>
      </c>
      <c r="F128" s="235" t="s">
        <v>53</v>
      </c>
      <c r="G128" s="236">
        <f t="shared" si="97"/>
        <v>37</v>
      </c>
      <c r="H128" s="127">
        <f t="shared" si="101"/>
        <v>35</v>
      </c>
      <c r="I128" s="127">
        <f t="shared" si="98"/>
        <v>32</v>
      </c>
      <c r="J128" s="127">
        <f>G128*M$1</f>
        <v>1077.07</v>
      </c>
      <c r="K128" s="156">
        <f>I128*M$1</f>
        <v>931.52</v>
      </c>
      <c r="L128" s="127">
        <f t="shared" si="99"/>
        <v>112015.28</v>
      </c>
      <c r="M128" s="127">
        <f t="shared" si="100"/>
        <v>3328</v>
      </c>
      <c r="N128" s="19"/>
      <c r="O128" s="19"/>
      <c r="P128" s="149"/>
      <c r="Q128" s="197"/>
      <c r="R128" s="197"/>
      <c r="S128" s="197"/>
      <c r="T128" s="197"/>
      <c r="U128" s="197"/>
      <c r="V128" s="197"/>
      <c r="W128" s="188">
        <f>J128</f>
        <v>1077.07</v>
      </c>
      <c r="X128" s="188">
        <f>H128*$M$1</f>
        <v>1018.85</v>
      </c>
      <c r="Z128" s="206"/>
    </row>
    <row r="129" spans="1:24" ht="15" customHeight="1" x14ac:dyDescent="0.25">
      <c r="A129" s="277"/>
      <c r="B129" s="127">
        <v>0</v>
      </c>
      <c r="C129" s="127">
        <v>0</v>
      </c>
      <c r="D129" s="128">
        <f>'Data Ocupacion'!AJ46</f>
        <v>0</v>
      </c>
      <c r="E129" s="128">
        <f>'Data Ocupacion'!AK46</f>
        <v>0</v>
      </c>
      <c r="F129" s="235" t="s">
        <v>122</v>
      </c>
      <c r="G129" s="236">
        <f t="shared" si="97"/>
        <v>0</v>
      </c>
      <c r="H129" s="127">
        <f t="shared" si="101"/>
        <v>0</v>
      </c>
      <c r="I129" s="127">
        <f t="shared" si="98"/>
        <v>0</v>
      </c>
      <c r="J129" s="238">
        <f>G129*K$1</f>
        <v>0</v>
      </c>
      <c r="K129" s="156">
        <f>I129*K$1</f>
        <v>0</v>
      </c>
      <c r="L129" s="127">
        <f t="shared" si="99"/>
        <v>0</v>
      </c>
      <c r="M129" s="127">
        <f t="shared" si="100"/>
        <v>0</v>
      </c>
      <c r="N129" s="19"/>
      <c r="O129" s="19"/>
      <c r="P129" s="149"/>
      <c r="Q129" s="197"/>
      <c r="R129" s="197"/>
      <c r="S129" s="197"/>
      <c r="T129" s="197"/>
      <c r="U129" s="197"/>
      <c r="V129" s="197"/>
      <c r="W129" s="188">
        <f>J129</f>
        <v>0</v>
      </c>
      <c r="X129" s="188">
        <f>H129*$K$1</f>
        <v>0</v>
      </c>
    </row>
    <row r="130" spans="1:24" ht="14.25" customHeight="1" thickBot="1" x14ac:dyDescent="0.3">
      <c r="A130" s="277"/>
      <c r="B130" s="127">
        <v>1</v>
      </c>
      <c r="C130" s="127">
        <v>0</v>
      </c>
      <c r="D130" s="128">
        <f>'Data Ocupacion'!AJ47</f>
        <v>1</v>
      </c>
      <c r="E130" s="128">
        <f>'Data Ocupacion'!AK47</f>
        <v>0</v>
      </c>
      <c r="F130" s="235" t="s">
        <v>35</v>
      </c>
      <c r="G130" s="236">
        <f t="shared" si="97"/>
        <v>1</v>
      </c>
      <c r="H130" s="127">
        <f t="shared" si="101"/>
        <v>1</v>
      </c>
      <c r="I130" s="239">
        <f t="shared" si="98"/>
        <v>1</v>
      </c>
      <c r="J130" s="239">
        <f>G130*K$1</f>
        <v>25.4</v>
      </c>
      <c r="K130" s="156">
        <f>I130*K$1</f>
        <v>25.4</v>
      </c>
      <c r="L130" s="127">
        <f t="shared" si="99"/>
        <v>2641.6</v>
      </c>
      <c r="M130" s="127">
        <f t="shared" si="100"/>
        <v>104</v>
      </c>
      <c r="N130" s="19"/>
      <c r="O130" s="19"/>
      <c r="P130" s="149"/>
      <c r="Q130" s="197"/>
      <c r="R130" s="197"/>
      <c r="S130" s="197"/>
      <c r="T130" s="197"/>
      <c r="U130" s="197"/>
      <c r="V130" s="197"/>
      <c r="W130" s="188">
        <f>J130</f>
        <v>25.4</v>
      </c>
      <c r="X130" s="188">
        <f>H130*$K$1</f>
        <v>25.4</v>
      </c>
    </row>
    <row r="131" spans="1:24" s="126" customFormat="1" ht="15" customHeight="1" thickBot="1" x14ac:dyDescent="0.3">
      <c r="A131" s="20"/>
      <c r="B131" s="230">
        <f>SUM(B125:B130)</f>
        <v>152</v>
      </c>
      <c r="C131" s="230">
        <f>SUM(C125:C130)</f>
        <v>71</v>
      </c>
      <c r="D131" s="151">
        <f>SUM(D125:D130)</f>
        <v>156</v>
      </c>
      <c r="E131" s="151">
        <f>SUM(E125:E130)</f>
        <v>67</v>
      </c>
      <c r="F131" s="121"/>
      <c r="G131" s="121">
        <f t="shared" ref="G131:M131" si="102">SUM(G125:G130)</f>
        <v>290</v>
      </c>
      <c r="H131" s="121">
        <f t="shared" si="102"/>
        <v>294</v>
      </c>
      <c r="I131" s="121">
        <f t="shared" si="102"/>
        <v>223</v>
      </c>
      <c r="J131" s="122">
        <f>SUM(J125:J130)</f>
        <v>11452.49</v>
      </c>
      <c r="K131" s="121">
        <f t="shared" si="102"/>
        <v>8688.9599999999991</v>
      </c>
      <c r="L131" s="121">
        <f t="shared" si="102"/>
        <v>1191058.9600000002</v>
      </c>
      <c r="M131" s="121">
        <f t="shared" si="102"/>
        <v>23192</v>
      </c>
      <c r="N131" s="125">
        <f>'Odometro-Kilometraje'!R81</f>
        <v>11873</v>
      </c>
      <c r="O131" s="21">
        <f>(W131/N131)*100</f>
        <v>96.308936241893377</v>
      </c>
      <c r="P131" s="200"/>
      <c r="Q131" s="187"/>
      <c r="R131" s="187"/>
      <c r="S131" s="187"/>
      <c r="T131" s="187"/>
      <c r="U131" s="187"/>
      <c r="V131" s="187"/>
      <c r="W131" s="201">
        <f>SUM(W125:W130)</f>
        <v>11434.76</v>
      </c>
      <c r="X131" s="201">
        <f>SUM(X125:X130)</f>
        <v>11667.07</v>
      </c>
    </row>
    <row r="132" spans="1:24" ht="15.95" customHeight="1" x14ac:dyDescent="0.25">
      <c r="A132" s="62">
        <f>A125+1</f>
        <v>45734</v>
      </c>
      <c r="B132" s="127">
        <v>47</v>
      </c>
      <c r="C132" s="127">
        <v>32</v>
      </c>
      <c r="D132" s="128">
        <f>'Data Ocupacion'!AL42</f>
        <v>49</v>
      </c>
      <c r="E132" s="128">
        <f>'Data Ocupacion'!AM42</f>
        <v>30</v>
      </c>
      <c r="F132" s="235" t="s">
        <v>38</v>
      </c>
      <c r="G132" s="236">
        <f t="shared" ref="G132:G137" si="103">D132+E132*2</f>
        <v>109</v>
      </c>
      <c r="H132" s="127">
        <f>B132+C132*2</f>
        <v>111</v>
      </c>
      <c r="I132" s="237">
        <f t="shared" ref="I132:I137" si="104">D132+E132</f>
        <v>79</v>
      </c>
      <c r="J132" s="237">
        <f>G132*M$2</f>
        <v>4701.17</v>
      </c>
      <c r="K132" s="156">
        <f>I132*M$2</f>
        <v>3407.27</v>
      </c>
      <c r="L132" s="127">
        <f t="shared" ref="L132:L137" si="105">J132*104</f>
        <v>488921.68</v>
      </c>
      <c r="M132" s="127">
        <f t="shared" ref="M132:M137" si="106">I132*104</f>
        <v>8216</v>
      </c>
      <c r="N132" s="19"/>
      <c r="O132" s="19"/>
      <c r="P132" s="149"/>
      <c r="Q132" s="189">
        <v>3</v>
      </c>
      <c r="R132" s="189"/>
      <c r="S132" s="216"/>
      <c r="T132" s="198"/>
      <c r="U132" s="199"/>
      <c r="V132" s="245"/>
      <c r="W132" s="188">
        <f>J132-(Q132*($M$2-$K$1)+(R132*($M$2-$M$1))+  (S132*($M$2-$I$2)))</f>
        <v>4647.9800000000005</v>
      </c>
      <c r="X132" s="188">
        <f>H132*$M$2</f>
        <v>4787.43</v>
      </c>
    </row>
    <row r="133" spans="1:24" ht="15" customHeight="1" x14ac:dyDescent="0.25">
      <c r="A133" s="390" t="s">
        <v>202</v>
      </c>
      <c r="B133" s="127">
        <v>45</v>
      </c>
      <c r="C133" s="127">
        <v>33</v>
      </c>
      <c r="D133" s="128">
        <f>'Data Ocupacion'!AL43</f>
        <v>47</v>
      </c>
      <c r="E133" s="128">
        <f>'Data Ocupacion'!AM43</f>
        <v>31</v>
      </c>
      <c r="F133" s="235" t="s">
        <v>52</v>
      </c>
      <c r="G133" s="236">
        <f t="shared" si="103"/>
        <v>109</v>
      </c>
      <c r="H133" s="127">
        <f t="shared" ref="H133:H137" si="107">B133+C133*2</f>
        <v>111</v>
      </c>
      <c r="I133" s="127">
        <f t="shared" si="104"/>
        <v>78</v>
      </c>
      <c r="J133" s="127">
        <f>G133*M$2</f>
        <v>4701.17</v>
      </c>
      <c r="K133" s="156">
        <f>I133*M$2</f>
        <v>3364.1400000000003</v>
      </c>
      <c r="L133" s="127">
        <f t="shared" si="105"/>
        <v>488921.68</v>
      </c>
      <c r="M133" s="127">
        <f t="shared" si="106"/>
        <v>8112</v>
      </c>
      <c r="N133" s="19"/>
      <c r="O133" s="19"/>
      <c r="P133" s="149"/>
      <c r="Q133" s="194"/>
      <c r="R133" s="194"/>
      <c r="S133" s="194"/>
      <c r="T133" s="189"/>
      <c r="U133" s="191"/>
      <c r="V133" s="246"/>
      <c r="W133" s="192">
        <f>J133-(T133*($M$2-$K$1)+(U133*($M$2-$M$1)))</f>
        <v>4701.17</v>
      </c>
      <c r="X133" s="188">
        <f>H133*$M$2</f>
        <v>4787.43</v>
      </c>
    </row>
    <row r="134" spans="1:24" ht="15" customHeight="1" x14ac:dyDescent="0.25">
      <c r="A134" s="390"/>
      <c r="B134" s="127">
        <v>29</v>
      </c>
      <c r="C134" s="127">
        <v>4</v>
      </c>
      <c r="D134" s="128">
        <f>'Data Ocupacion'!AL44</f>
        <v>29</v>
      </c>
      <c r="E134" s="128">
        <f>'Data Ocupacion'!AM44</f>
        <v>4</v>
      </c>
      <c r="F134" s="235" t="s">
        <v>36</v>
      </c>
      <c r="G134" s="236">
        <f t="shared" si="103"/>
        <v>37</v>
      </c>
      <c r="H134" s="127">
        <f t="shared" si="107"/>
        <v>37</v>
      </c>
      <c r="I134" s="127">
        <f t="shared" si="104"/>
        <v>33</v>
      </c>
      <c r="J134" s="127">
        <f>G134*M$1</f>
        <v>1077.07</v>
      </c>
      <c r="K134" s="156">
        <f>I134*M$1</f>
        <v>960.63</v>
      </c>
      <c r="L134" s="127">
        <f t="shared" si="105"/>
        <v>112015.28</v>
      </c>
      <c r="M134" s="127">
        <f t="shared" si="106"/>
        <v>3432</v>
      </c>
      <c r="N134" s="19"/>
      <c r="O134" s="19"/>
      <c r="P134" s="149"/>
      <c r="Q134" s="193"/>
      <c r="R134" s="195"/>
      <c r="S134" s="217"/>
      <c r="T134" s="196"/>
      <c r="U134" s="197"/>
      <c r="V134" s="197"/>
      <c r="W134" s="188">
        <f>J134-(Q134*($M$1-$K$1))</f>
        <v>1077.07</v>
      </c>
      <c r="X134" s="188">
        <f>H134*$M$1</f>
        <v>1077.07</v>
      </c>
    </row>
    <row r="135" spans="1:24" ht="15" customHeight="1" x14ac:dyDescent="0.25">
      <c r="A135" s="390"/>
      <c r="B135" s="127">
        <v>28</v>
      </c>
      <c r="C135" s="127">
        <v>4</v>
      </c>
      <c r="D135" s="128">
        <f>'Data Ocupacion'!AL45</f>
        <v>28</v>
      </c>
      <c r="E135" s="128">
        <f>'Data Ocupacion'!AM45</f>
        <v>4</v>
      </c>
      <c r="F135" s="235" t="s">
        <v>53</v>
      </c>
      <c r="G135" s="236">
        <f t="shared" si="103"/>
        <v>36</v>
      </c>
      <c r="H135" s="127">
        <f t="shared" si="107"/>
        <v>36</v>
      </c>
      <c r="I135" s="127">
        <f t="shared" si="104"/>
        <v>32</v>
      </c>
      <c r="J135" s="127">
        <f>G135*M$1</f>
        <v>1047.96</v>
      </c>
      <c r="K135" s="156">
        <f>I135*M$1</f>
        <v>931.52</v>
      </c>
      <c r="L135" s="127">
        <f t="shared" si="105"/>
        <v>108987.84</v>
      </c>
      <c r="M135" s="127">
        <f t="shared" si="106"/>
        <v>3328</v>
      </c>
      <c r="N135" s="19"/>
      <c r="O135" s="19"/>
      <c r="P135" s="149"/>
      <c r="Q135" s="197"/>
      <c r="R135" s="197"/>
      <c r="S135" s="197"/>
      <c r="T135" s="197"/>
      <c r="U135" s="197"/>
      <c r="V135" s="197"/>
      <c r="W135" s="188">
        <f>J135</f>
        <v>1047.96</v>
      </c>
      <c r="X135" s="188">
        <f>H135*$M$1</f>
        <v>1047.96</v>
      </c>
    </row>
    <row r="136" spans="1:24" s="126" customFormat="1" ht="15" customHeight="1" x14ac:dyDescent="0.25">
      <c r="A136" s="390"/>
      <c r="B136" s="127">
        <v>0</v>
      </c>
      <c r="C136" s="127">
        <v>0</v>
      </c>
      <c r="D136" s="128">
        <f>'Data Ocupacion'!AL46</f>
        <v>0</v>
      </c>
      <c r="E136" s="128">
        <f>'Data Ocupacion'!AM46</f>
        <v>0</v>
      </c>
      <c r="F136" s="235" t="s">
        <v>122</v>
      </c>
      <c r="G136" s="236">
        <f t="shared" si="103"/>
        <v>0</v>
      </c>
      <c r="H136" s="127">
        <f t="shared" si="107"/>
        <v>0</v>
      </c>
      <c r="I136" s="127">
        <f t="shared" si="104"/>
        <v>0</v>
      </c>
      <c r="J136" s="238">
        <f>G136*K$1</f>
        <v>0</v>
      </c>
      <c r="K136" s="156">
        <f>I136*K$1</f>
        <v>0</v>
      </c>
      <c r="L136" s="127">
        <f t="shared" si="105"/>
        <v>0</v>
      </c>
      <c r="M136" s="127">
        <f t="shared" si="106"/>
        <v>0</v>
      </c>
      <c r="N136" s="19"/>
      <c r="O136" s="19"/>
      <c r="P136" s="149"/>
      <c r="Q136" s="197"/>
      <c r="R136" s="197"/>
      <c r="S136" s="197"/>
      <c r="T136" s="197"/>
      <c r="U136" s="197"/>
      <c r="V136" s="197"/>
      <c r="W136" s="188">
        <f>J136</f>
        <v>0</v>
      </c>
      <c r="X136" s="188">
        <f>H136*$K$1</f>
        <v>0</v>
      </c>
    </row>
    <row r="137" spans="1:24" s="126" customFormat="1" ht="15" customHeight="1" thickBot="1" x14ac:dyDescent="0.3">
      <c r="A137" s="390"/>
      <c r="B137" s="127">
        <v>1</v>
      </c>
      <c r="C137" s="127">
        <v>0</v>
      </c>
      <c r="D137" s="128">
        <f>'Data Ocupacion'!AL47</f>
        <v>1</v>
      </c>
      <c r="E137" s="128">
        <f>'Data Ocupacion'!AM47</f>
        <v>0</v>
      </c>
      <c r="F137" s="235" t="s">
        <v>35</v>
      </c>
      <c r="G137" s="236">
        <f t="shared" si="103"/>
        <v>1</v>
      </c>
      <c r="H137" s="127">
        <f t="shared" si="107"/>
        <v>1</v>
      </c>
      <c r="I137" s="239">
        <f t="shared" si="104"/>
        <v>1</v>
      </c>
      <c r="J137" s="239">
        <f>G137*K$1</f>
        <v>25.4</v>
      </c>
      <c r="K137" s="156">
        <f>I137*K$1</f>
        <v>25.4</v>
      </c>
      <c r="L137" s="127">
        <f t="shared" si="105"/>
        <v>2641.6</v>
      </c>
      <c r="M137" s="127">
        <f t="shared" si="106"/>
        <v>104</v>
      </c>
      <c r="N137" s="19"/>
      <c r="O137" s="19"/>
      <c r="P137" s="149"/>
      <c r="Q137" s="197"/>
      <c r="R137" s="197"/>
      <c r="S137" s="197"/>
      <c r="T137" s="197"/>
      <c r="U137" s="197"/>
      <c r="V137" s="197"/>
      <c r="W137" s="188">
        <f>J137</f>
        <v>25.4</v>
      </c>
      <c r="X137" s="188">
        <f>H137*$K$1</f>
        <v>25.4</v>
      </c>
    </row>
    <row r="138" spans="1:24" s="126" customFormat="1" ht="15" customHeight="1" thickBot="1" x14ac:dyDescent="0.3">
      <c r="A138" s="20"/>
      <c r="B138" s="230">
        <f>SUM(B132:B137)</f>
        <v>150</v>
      </c>
      <c r="C138" s="230">
        <f>SUM(C132:C137)</f>
        <v>73</v>
      </c>
      <c r="D138" s="151">
        <f>SUM(D132:D137)</f>
        <v>154</v>
      </c>
      <c r="E138" s="151">
        <f>SUM(E132:E137)</f>
        <v>69</v>
      </c>
      <c r="F138" s="121"/>
      <c r="G138" s="121">
        <f t="shared" ref="G138:M138" si="108">SUM(G132:G137)</f>
        <v>292</v>
      </c>
      <c r="H138" s="121">
        <f t="shared" si="108"/>
        <v>296</v>
      </c>
      <c r="I138" s="121">
        <f t="shared" si="108"/>
        <v>223</v>
      </c>
      <c r="J138" s="122">
        <f t="shared" si="108"/>
        <v>11552.769999999999</v>
      </c>
      <c r="K138" s="121">
        <f t="shared" si="108"/>
        <v>8688.9599999999991</v>
      </c>
      <c r="L138" s="121">
        <f t="shared" si="108"/>
        <v>1201488.08</v>
      </c>
      <c r="M138" s="121">
        <f t="shared" si="108"/>
        <v>23192</v>
      </c>
      <c r="N138" s="125">
        <f>'Odometro-Kilometraje'!S81</f>
        <v>11936</v>
      </c>
      <c r="O138" s="21">
        <f>(W138/N138)*100</f>
        <v>96.343666219839136</v>
      </c>
      <c r="P138" s="200"/>
      <c r="Q138" s="187"/>
      <c r="R138" s="187"/>
      <c r="S138" s="187"/>
      <c r="T138" s="187"/>
      <c r="U138" s="187"/>
      <c r="V138" s="187"/>
      <c r="W138" s="201">
        <f>SUM(W132:W137)</f>
        <v>11499.58</v>
      </c>
      <c r="X138" s="201">
        <f>SUM(X132:X137)</f>
        <v>11725.289999999999</v>
      </c>
    </row>
    <row r="139" spans="1:24" ht="15" customHeight="1" x14ac:dyDescent="0.25">
      <c r="A139" s="62">
        <f>A132+1</f>
        <v>45735</v>
      </c>
      <c r="B139" s="127">
        <v>47</v>
      </c>
      <c r="C139" s="127">
        <v>32</v>
      </c>
      <c r="D139" s="128">
        <f>'Data Ocupacion'!AN42</f>
        <v>48</v>
      </c>
      <c r="E139" s="128">
        <f>'Data Ocupacion'!AO42</f>
        <v>31</v>
      </c>
      <c r="F139" s="235" t="s">
        <v>38</v>
      </c>
      <c r="G139" s="236">
        <f t="shared" ref="G139:G144" si="109">D139+E139*2</f>
        <v>110</v>
      </c>
      <c r="H139" s="127">
        <f>B139+C139*2</f>
        <v>111</v>
      </c>
      <c r="I139" s="237">
        <f t="shared" ref="I139:I144" si="110">D139+E139</f>
        <v>79</v>
      </c>
      <c r="J139" s="237">
        <f>G139*M$2</f>
        <v>4744.3</v>
      </c>
      <c r="K139" s="156">
        <f>I139*M$2</f>
        <v>3407.27</v>
      </c>
      <c r="L139" s="127">
        <f t="shared" ref="L139:L144" si="111">J139*104</f>
        <v>493407.2</v>
      </c>
      <c r="M139" s="127">
        <f t="shared" ref="M139:M144" si="112">I139*104</f>
        <v>8216</v>
      </c>
      <c r="N139" s="19"/>
      <c r="O139" s="19"/>
      <c r="P139" s="149"/>
      <c r="Q139" s="189">
        <v>3</v>
      </c>
      <c r="R139" s="189"/>
      <c r="S139" s="216"/>
      <c r="T139" s="211">
        <v>1</v>
      </c>
      <c r="U139" s="199"/>
      <c r="V139" s="245"/>
      <c r="W139" s="188">
        <f>J139-(Q139*($M$2-$K$1)+(R139*($M$2-$M$1))+  (S139*($M$2-$I$2))+(T139*$K$1))</f>
        <v>4665.71</v>
      </c>
      <c r="X139" s="188">
        <f>H139*$M$2</f>
        <v>4787.43</v>
      </c>
    </row>
    <row r="140" spans="1:24" ht="15" customHeight="1" x14ac:dyDescent="0.25">
      <c r="A140" s="210"/>
      <c r="B140" s="127">
        <v>45</v>
      </c>
      <c r="C140" s="127">
        <v>33</v>
      </c>
      <c r="D140" s="128">
        <f>'Data Ocupacion'!AN43</f>
        <v>46</v>
      </c>
      <c r="E140" s="128">
        <f>'Data Ocupacion'!AO43</f>
        <v>32</v>
      </c>
      <c r="F140" s="235" t="s">
        <v>52</v>
      </c>
      <c r="G140" s="236">
        <f t="shared" si="109"/>
        <v>110</v>
      </c>
      <c r="H140" s="127">
        <f t="shared" ref="H140:H144" si="113">B140+C140*2</f>
        <v>111</v>
      </c>
      <c r="I140" s="127">
        <f t="shared" si="110"/>
        <v>78</v>
      </c>
      <c r="J140" s="127">
        <f>G140*M$2</f>
        <v>4744.3</v>
      </c>
      <c r="K140" s="156">
        <f>I140*M$2</f>
        <v>3364.1400000000003</v>
      </c>
      <c r="L140" s="127">
        <f t="shared" si="111"/>
        <v>493407.2</v>
      </c>
      <c r="M140" s="127">
        <f t="shared" si="112"/>
        <v>8112</v>
      </c>
      <c r="N140" s="19"/>
      <c r="O140" s="19"/>
      <c r="P140" s="149"/>
      <c r="Q140" s="194"/>
      <c r="R140" s="194"/>
      <c r="S140" s="194"/>
      <c r="T140" s="189"/>
      <c r="U140" s="191"/>
      <c r="V140" s="246"/>
      <c r="W140" s="192">
        <f>J140-(T140*($M$2-$K$1)+(U140*($M$2-$M$1)))</f>
        <v>4744.3</v>
      </c>
      <c r="X140" s="188">
        <f>H140*$M$2</f>
        <v>4787.43</v>
      </c>
    </row>
    <row r="141" spans="1:24" ht="15" customHeight="1" x14ac:dyDescent="0.25">
      <c r="A141" s="210"/>
      <c r="B141" s="127">
        <v>29</v>
      </c>
      <c r="C141" s="127">
        <v>4</v>
      </c>
      <c r="D141" s="128">
        <f>'Data Ocupacion'!AN44</f>
        <v>29</v>
      </c>
      <c r="E141" s="128">
        <f>'Data Ocupacion'!AO44</f>
        <v>4</v>
      </c>
      <c r="F141" s="235" t="s">
        <v>36</v>
      </c>
      <c r="G141" s="236">
        <f t="shared" si="109"/>
        <v>37</v>
      </c>
      <c r="H141" s="127">
        <f t="shared" si="113"/>
        <v>37</v>
      </c>
      <c r="I141" s="127">
        <f t="shared" si="110"/>
        <v>33</v>
      </c>
      <c r="J141" s="127">
        <f>G141*M$1</f>
        <v>1077.07</v>
      </c>
      <c r="K141" s="156">
        <f>I141*M$1</f>
        <v>960.63</v>
      </c>
      <c r="L141" s="127">
        <f t="shared" si="111"/>
        <v>112015.28</v>
      </c>
      <c r="M141" s="127">
        <f t="shared" si="112"/>
        <v>3432</v>
      </c>
      <c r="N141" s="19"/>
      <c r="O141" s="19"/>
      <c r="P141" s="149"/>
      <c r="Q141" s="193"/>
      <c r="R141" s="195"/>
      <c r="S141" s="217"/>
      <c r="T141" s="196"/>
      <c r="U141" s="197"/>
      <c r="V141" s="197"/>
      <c r="W141" s="188">
        <f>J141-(Q141*($M$1-$K$1))</f>
        <v>1077.07</v>
      </c>
      <c r="X141" s="188">
        <f>H141*$M$1</f>
        <v>1077.07</v>
      </c>
    </row>
    <row r="142" spans="1:24" ht="15" customHeight="1" x14ac:dyDescent="0.25">
      <c r="A142" s="210"/>
      <c r="B142" s="127">
        <v>28</v>
      </c>
      <c r="C142" s="127">
        <v>4</v>
      </c>
      <c r="D142" s="128">
        <f>'Data Ocupacion'!AN45</f>
        <v>28</v>
      </c>
      <c r="E142" s="128">
        <f>'Data Ocupacion'!AO45</f>
        <v>4</v>
      </c>
      <c r="F142" s="235" t="s">
        <v>53</v>
      </c>
      <c r="G142" s="236">
        <f t="shared" si="109"/>
        <v>36</v>
      </c>
      <c r="H142" s="127">
        <f t="shared" si="113"/>
        <v>36</v>
      </c>
      <c r="I142" s="127">
        <f t="shared" si="110"/>
        <v>32</v>
      </c>
      <c r="J142" s="127">
        <f>G142*M$1</f>
        <v>1047.96</v>
      </c>
      <c r="K142" s="156">
        <f>I142*M$1</f>
        <v>931.52</v>
      </c>
      <c r="L142" s="127">
        <f t="shared" si="111"/>
        <v>108987.84</v>
      </c>
      <c r="M142" s="127">
        <f t="shared" si="112"/>
        <v>3328</v>
      </c>
      <c r="N142" s="19"/>
      <c r="O142" s="19"/>
      <c r="P142" s="149"/>
      <c r="Q142" s="197"/>
      <c r="R142" s="197"/>
      <c r="S142" s="197"/>
      <c r="T142" s="197"/>
      <c r="U142" s="197"/>
      <c r="V142" s="197"/>
      <c r="W142" s="188">
        <f>J142</f>
        <v>1047.96</v>
      </c>
      <c r="X142" s="188">
        <f>H142*$M$1</f>
        <v>1047.96</v>
      </c>
    </row>
    <row r="143" spans="1:24" ht="15" customHeight="1" x14ac:dyDescent="0.25">
      <c r="A143" s="210"/>
      <c r="B143" s="127">
        <v>0</v>
      </c>
      <c r="C143" s="127">
        <v>0</v>
      </c>
      <c r="D143" s="128">
        <f>'Data Ocupacion'!AN46</f>
        <v>0</v>
      </c>
      <c r="E143" s="128">
        <f>'Data Ocupacion'!AO46</f>
        <v>0</v>
      </c>
      <c r="F143" s="235" t="s">
        <v>122</v>
      </c>
      <c r="G143" s="236">
        <f t="shared" si="109"/>
        <v>0</v>
      </c>
      <c r="H143" s="127">
        <f t="shared" si="113"/>
        <v>0</v>
      </c>
      <c r="I143" s="127">
        <f t="shared" si="110"/>
        <v>0</v>
      </c>
      <c r="J143" s="238">
        <f>G143*K$1</f>
        <v>0</v>
      </c>
      <c r="K143" s="156">
        <f>I143*K$1</f>
        <v>0</v>
      </c>
      <c r="L143" s="127">
        <f t="shared" si="111"/>
        <v>0</v>
      </c>
      <c r="M143" s="127">
        <f t="shared" si="112"/>
        <v>0</v>
      </c>
      <c r="N143" s="19"/>
      <c r="O143" s="19"/>
      <c r="P143" s="149"/>
      <c r="Q143" s="197"/>
      <c r="R143" s="197"/>
      <c r="S143" s="197"/>
      <c r="T143" s="197"/>
      <c r="U143" s="197"/>
      <c r="V143" s="197"/>
      <c r="W143" s="188">
        <f>J143</f>
        <v>0</v>
      </c>
      <c r="X143" s="188">
        <f>H143*$K$1</f>
        <v>0</v>
      </c>
    </row>
    <row r="144" spans="1:24" ht="15" customHeight="1" thickBot="1" x14ac:dyDescent="0.3">
      <c r="A144" s="210"/>
      <c r="B144" s="127">
        <v>1</v>
      </c>
      <c r="C144" s="127">
        <v>0</v>
      </c>
      <c r="D144" s="128">
        <f>'Data Ocupacion'!AN47</f>
        <v>1</v>
      </c>
      <c r="E144" s="128">
        <f>'Data Ocupacion'!AO47</f>
        <v>0</v>
      </c>
      <c r="F144" s="235" t="s">
        <v>35</v>
      </c>
      <c r="G144" s="236">
        <f t="shared" si="109"/>
        <v>1</v>
      </c>
      <c r="H144" s="127">
        <f t="shared" si="113"/>
        <v>1</v>
      </c>
      <c r="I144" s="239">
        <f t="shared" si="110"/>
        <v>1</v>
      </c>
      <c r="J144" s="239">
        <f>G144*K$1</f>
        <v>25.4</v>
      </c>
      <c r="K144" s="156">
        <f>I144*K$1</f>
        <v>25.4</v>
      </c>
      <c r="L144" s="127">
        <f t="shared" si="111"/>
        <v>2641.6</v>
      </c>
      <c r="M144" s="127">
        <f t="shared" si="112"/>
        <v>104</v>
      </c>
      <c r="N144" s="19"/>
      <c r="O144" s="19"/>
      <c r="P144" s="149"/>
      <c r="Q144" s="197"/>
      <c r="R144" s="197"/>
      <c r="S144" s="197"/>
      <c r="T144" s="197"/>
      <c r="U144" s="197"/>
      <c r="V144" s="197"/>
      <c r="W144" s="188">
        <f>J144</f>
        <v>25.4</v>
      </c>
      <c r="X144" s="188">
        <f>H144*$K$1</f>
        <v>25.4</v>
      </c>
    </row>
    <row r="145" spans="1:24" s="126" customFormat="1" ht="15" customHeight="1" thickBot="1" x14ac:dyDescent="0.3">
      <c r="A145" s="20"/>
      <c r="B145" s="230">
        <f>SUM(B139:B144)</f>
        <v>150</v>
      </c>
      <c r="C145" s="230">
        <f>SUM(C139:C144)</f>
        <v>73</v>
      </c>
      <c r="D145" s="151">
        <f>SUM(D139:D144)</f>
        <v>152</v>
      </c>
      <c r="E145" s="151">
        <f>SUM(E139:E144)</f>
        <v>71</v>
      </c>
      <c r="F145" s="121"/>
      <c r="G145" s="121">
        <f t="shared" ref="G145:M145" si="114">SUM(G139:G144)</f>
        <v>294</v>
      </c>
      <c r="H145" s="121">
        <f t="shared" si="114"/>
        <v>296</v>
      </c>
      <c r="I145" s="121">
        <f t="shared" si="114"/>
        <v>223</v>
      </c>
      <c r="J145" s="122">
        <f t="shared" si="114"/>
        <v>11639.03</v>
      </c>
      <c r="K145" s="121">
        <f t="shared" si="114"/>
        <v>8688.9599999999991</v>
      </c>
      <c r="L145" s="121">
        <f t="shared" si="114"/>
        <v>1210459.1200000001</v>
      </c>
      <c r="M145" s="121">
        <f t="shared" si="114"/>
        <v>23192</v>
      </c>
      <c r="N145" s="125">
        <f>'Odometro-Kilometraje'!T81</f>
        <v>12063</v>
      </c>
      <c r="O145" s="21">
        <f>(W145/N145)*100</f>
        <v>95.833872171101717</v>
      </c>
      <c r="P145" s="200"/>
      <c r="Q145" s="187"/>
      <c r="R145" s="187"/>
      <c r="S145" s="187"/>
      <c r="T145" s="187"/>
      <c r="U145" s="187"/>
      <c r="V145" s="187"/>
      <c r="W145" s="201">
        <f>SUM(W139:W144)</f>
        <v>11560.44</v>
      </c>
      <c r="X145" s="201">
        <f>SUM(X139:X144)</f>
        <v>11725.289999999999</v>
      </c>
    </row>
    <row r="146" spans="1:24" ht="15.95" customHeight="1" x14ac:dyDescent="0.25">
      <c r="A146" s="62">
        <f>A139+1</f>
        <v>45736</v>
      </c>
      <c r="B146" s="127">
        <v>47</v>
      </c>
      <c r="C146" s="127">
        <v>32</v>
      </c>
      <c r="D146" s="128">
        <f>'Data Ocupacion'!AP42</f>
        <v>47</v>
      </c>
      <c r="E146" s="128">
        <f>'Data Ocupacion'!AQ42</f>
        <v>32</v>
      </c>
      <c r="F146" s="127" t="s">
        <v>38</v>
      </c>
      <c r="G146" s="127">
        <f t="shared" ref="G146:G151" si="115">D146+E146*2</f>
        <v>111</v>
      </c>
      <c r="H146" s="127">
        <f>B146+C146*2</f>
        <v>111</v>
      </c>
      <c r="I146" s="127">
        <f t="shared" ref="I146:I151" si="116">D146+E146</f>
        <v>79</v>
      </c>
      <c r="J146" s="127">
        <f>G146*M$2</f>
        <v>4787.43</v>
      </c>
      <c r="K146" s="156">
        <f>I146*M$2</f>
        <v>3407.27</v>
      </c>
      <c r="L146" s="127">
        <f t="shared" ref="L146:L151" si="117">J146*104</f>
        <v>497892.72000000003</v>
      </c>
      <c r="M146" s="127">
        <f t="shared" ref="M146:M151" si="118">I146*104</f>
        <v>8216</v>
      </c>
      <c r="N146" s="19"/>
      <c r="O146" s="19"/>
      <c r="P146" s="149"/>
      <c r="Q146" s="263">
        <v>3</v>
      </c>
      <c r="R146" s="189"/>
      <c r="S146" s="216"/>
      <c r="T146" s="332">
        <v>2</v>
      </c>
      <c r="U146" s="199"/>
      <c r="V146" s="245"/>
      <c r="W146" s="188">
        <f>J146-(Q146*($M$2-$K$1)+(R146*($M$2-$M$1))+  (S146*($M$2-$I$2))+(T146*$K$1))</f>
        <v>4683.4400000000005</v>
      </c>
      <c r="X146" s="188">
        <f>H146*$M$2</f>
        <v>4787.43</v>
      </c>
    </row>
    <row r="147" spans="1:24" ht="15" customHeight="1" x14ac:dyDescent="0.25">
      <c r="A147" s="282"/>
      <c r="B147" s="127">
        <v>45</v>
      </c>
      <c r="C147" s="127">
        <v>33</v>
      </c>
      <c r="D147" s="128">
        <f>'Data Ocupacion'!AP43</f>
        <v>47</v>
      </c>
      <c r="E147" s="128">
        <f>'Data Ocupacion'!AQ43</f>
        <v>31</v>
      </c>
      <c r="F147" s="127" t="s">
        <v>52</v>
      </c>
      <c r="G147" s="127">
        <f t="shared" si="115"/>
        <v>109</v>
      </c>
      <c r="H147" s="127">
        <f t="shared" ref="H147:H151" si="119">B147+C147*2</f>
        <v>111</v>
      </c>
      <c r="I147" s="127">
        <f t="shared" si="116"/>
        <v>78</v>
      </c>
      <c r="J147" s="127">
        <f>G147*M$2</f>
        <v>4701.17</v>
      </c>
      <c r="K147" s="156">
        <f>I147*M$2</f>
        <v>3364.1400000000003</v>
      </c>
      <c r="L147" s="127">
        <f t="shared" si="117"/>
        <v>488921.68</v>
      </c>
      <c r="M147" s="127">
        <f t="shared" si="118"/>
        <v>8112</v>
      </c>
      <c r="N147" s="19"/>
      <c r="O147" s="19"/>
      <c r="P147" s="149"/>
      <c r="Q147" s="194"/>
      <c r="R147" s="194"/>
      <c r="S147" s="194"/>
      <c r="T147" s="263"/>
      <c r="U147" s="191"/>
      <c r="V147" s="216"/>
      <c r="W147" s="192">
        <f>J147-(T147*($M$2-$K$1)+(U147*($M$2-$M$1)))</f>
        <v>4701.17</v>
      </c>
      <c r="X147" s="188">
        <f>H147*$M$2</f>
        <v>4787.43</v>
      </c>
    </row>
    <row r="148" spans="1:24" ht="15" customHeight="1" x14ac:dyDescent="0.25">
      <c r="A148" s="282"/>
      <c r="B148" s="127">
        <v>29</v>
      </c>
      <c r="C148" s="127">
        <v>4</v>
      </c>
      <c r="D148" s="128">
        <f>'Data Ocupacion'!AP44</f>
        <v>29</v>
      </c>
      <c r="E148" s="128">
        <f>'Data Ocupacion'!AQ44</f>
        <v>4</v>
      </c>
      <c r="F148" s="127" t="s">
        <v>36</v>
      </c>
      <c r="G148" s="127">
        <f t="shared" si="115"/>
        <v>37</v>
      </c>
      <c r="H148" s="127">
        <f t="shared" si="119"/>
        <v>37</v>
      </c>
      <c r="I148" s="127">
        <f t="shared" si="116"/>
        <v>33</v>
      </c>
      <c r="J148" s="127">
        <f>G148*M$1</f>
        <v>1077.07</v>
      </c>
      <c r="K148" s="156">
        <f>I148*M$1</f>
        <v>960.63</v>
      </c>
      <c r="L148" s="127">
        <f t="shared" si="117"/>
        <v>112015.28</v>
      </c>
      <c r="M148" s="127">
        <f t="shared" si="118"/>
        <v>3432</v>
      </c>
      <c r="N148" s="19"/>
      <c r="O148" s="19"/>
      <c r="P148" s="149"/>
      <c r="Q148" s="193"/>
      <c r="R148" s="195"/>
      <c r="S148" s="217"/>
      <c r="T148" s="196"/>
      <c r="U148" s="197"/>
      <c r="V148" s="197"/>
      <c r="W148" s="188">
        <f>J148-(Q148*($M$1-$K$1))</f>
        <v>1077.07</v>
      </c>
      <c r="X148" s="188">
        <f>H148*$M$1</f>
        <v>1077.07</v>
      </c>
    </row>
    <row r="149" spans="1:24" ht="15" customHeight="1" x14ac:dyDescent="0.25">
      <c r="A149" s="282"/>
      <c r="B149" s="127">
        <v>28</v>
      </c>
      <c r="C149" s="127">
        <v>4</v>
      </c>
      <c r="D149" s="128">
        <f>'Data Ocupacion'!AP45</f>
        <v>28</v>
      </c>
      <c r="E149" s="128">
        <f>'Data Ocupacion'!AQ45</f>
        <v>4</v>
      </c>
      <c r="F149" s="127" t="s">
        <v>53</v>
      </c>
      <c r="G149" s="127">
        <f t="shared" si="115"/>
        <v>36</v>
      </c>
      <c r="H149" s="127">
        <f t="shared" si="119"/>
        <v>36</v>
      </c>
      <c r="I149" s="127">
        <f t="shared" si="116"/>
        <v>32</v>
      </c>
      <c r="J149" s="127">
        <f>G149*M$1</f>
        <v>1047.96</v>
      </c>
      <c r="K149" s="156">
        <f>I149*M$1</f>
        <v>931.52</v>
      </c>
      <c r="L149" s="127">
        <f t="shared" si="117"/>
        <v>108987.84</v>
      </c>
      <c r="M149" s="127">
        <f t="shared" si="118"/>
        <v>3328</v>
      </c>
      <c r="N149" s="19"/>
      <c r="O149" s="19"/>
      <c r="P149" s="149"/>
      <c r="Q149" s="197"/>
      <c r="R149" s="197"/>
      <c r="S149" s="197"/>
      <c r="T149" s="197"/>
      <c r="U149" s="197"/>
      <c r="V149" s="197"/>
      <c r="W149" s="188">
        <f>J149</f>
        <v>1047.96</v>
      </c>
      <c r="X149" s="188">
        <f>H149*$M$1</f>
        <v>1047.96</v>
      </c>
    </row>
    <row r="150" spans="1:24" ht="15" customHeight="1" x14ac:dyDescent="0.25">
      <c r="A150" s="282"/>
      <c r="B150" s="127">
        <v>0</v>
      </c>
      <c r="C150" s="127">
        <v>0</v>
      </c>
      <c r="D150" s="128">
        <f>'Data Ocupacion'!AP46</f>
        <v>0</v>
      </c>
      <c r="E150" s="128">
        <f>'Data Ocupacion'!AQ46</f>
        <v>0</v>
      </c>
      <c r="F150" s="127" t="s">
        <v>122</v>
      </c>
      <c r="G150" s="127">
        <f t="shared" si="115"/>
        <v>0</v>
      </c>
      <c r="H150" s="127">
        <f t="shared" si="119"/>
        <v>0</v>
      </c>
      <c r="I150" s="127">
        <f t="shared" si="116"/>
        <v>0</v>
      </c>
      <c r="J150" s="127">
        <f>G150*K$1</f>
        <v>0</v>
      </c>
      <c r="K150" s="156">
        <f>I150*K$1</f>
        <v>0</v>
      </c>
      <c r="L150" s="127">
        <f t="shared" si="117"/>
        <v>0</v>
      </c>
      <c r="M150" s="127">
        <f t="shared" si="118"/>
        <v>0</v>
      </c>
      <c r="N150" s="19"/>
      <c r="O150" s="19"/>
      <c r="P150" s="149"/>
      <c r="Q150" s="197"/>
      <c r="R150" s="197"/>
      <c r="S150" s="197"/>
      <c r="T150" s="197"/>
      <c r="U150" s="197"/>
      <c r="V150" s="197"/>
      <c r="W150" s="188">
        <f>J150</f>
        <v>0</v>
      </c>
      <c r="X150" s="188">
        <f>H150*$K$1</f>
        <v>0</v>
      </c>
    </row>
    <row r="151" spans="1:24" ht="15" customHeight="1" thickBot="1" x14ac:dyDescent="0.3">
      <c r="A151" s="282"/>
      <c r="B151" s="127">
        <v>1</v>
      </c>
      <c r="C151" s="127">
        <v>0</v>
      </c>
      <c r="D151" s="128">
        <f>'Data Ocupacion'!AP47</f>
        <v>1</v>
      </c>
      <c r="E151" s="128">
        <f>'Data Ocupacion'!AQ47</f>
        <v>0</v>
      </c>
      <c r="F151" s="127" t="s">
        <v>35</v>
      </c>
      <c r="G151" s="127">
        <f t="shared" si="115"/>
        <v>1</v>
      </c>
      <c r="H151" s="127">
        <f t="shared" si="119"/>
        <v>1</v>
      </c>
      <c r="I151" s="127">
        <f t="shared" si="116"/>
        <v>1</v>
      </c>
      <c r="J151" s="127">
        <f>G151*K$1</f>
        <v>25.4</v>
      </c>
      <c r="K151" s="156">
        <f>I151*K$1</f>
        <v>25.4</v>
      </c>
      <c r="L151" s="127">
        <f t="shared" si="117"/>
        <v>2641.6</v>
      </c>
      <c r="M151" s="127">
        <f t="shared" si="118"/>
        <v>104</v>
      </c>
      <c r="N151" s="19"/>
      <c r="O151" s="19"/>
      <c r="P151" s="149"/>
      <c r="Q151" s="197"/>
      <c r="R151" s="197"/>
      <c r="S151" s="197"/>
      <c r="T151" s="197"/>
      <c r="U151" s="197"/>
      <c r="V151" s="197"/>
      <c r="W151" s="188">
        <f>J151</f>
        <v>25.4</v>
      </c>
      <c r="X151" s="188">
        <f>H151*$K$1</f>
        <v>25.4</v>
      </c>
    </row>
    <row r="152" spans="1:24" s="126" customFormat="1" ht="15" customHeight="1" thickBot="1" x14ac:dyDescent="0.3">
      <c r="A152" s="20"/>
      <c r="B152" s="230">
        <f>SUM(B146:B151)</f>
        <v>150</v>
      </c>
      <c r="C152" s="230">
        <f>SUM(C146:C151)</f>
        <v>73</v>
      </c>
      <c r="D152" s="151">
        <f>SUM(D146:D151)</f>
        <v>152</v>
      </c>
      <c r="E152" s="151">
        <f>SUM(E146:E151)</f>
        <v>71</v>
      </c>
      <c r="F152" s="121"/>
      <c r="G152" s="121">
        <f t="shared" ref="G152:M152" si="120">SUM(G146:G151)</f>
        <v>294</v>
      </c>
      <c r="H152" s="121">
        <f t="shared" si="120"/>
        <v>296</v>
      </c>
      <c r="I152" s="121">
        <f t="shared" si="120"/>
        <v>223</v>
      </c>
      <c r="J152" s="122">
        <f t="shared" si="120"/>
        <v>11639.03</v>
      </c>
      <c r="K152" s="121">
        <f t="shared" si="120"/>
        <v>8688.9599999999991</v>
      </c>
      <c r="L152" s="121">
        <f t="shared" si="120"/>
        <v>1210459.1200000001</v>
      </c>
      <c r="M152" s="121">
        <f t="shared" si="120"/>
        <v>23192</v>
      </c>
      <c r="N152" s="125">
        <f>'Odometro-Kilometraje'!U81</f>
        <v>11903</v>
      </c>
      <c r="O152" s="21">
        <f>(W152/N152)*100</f>
        <v>96.908678484415688</v>
      </c>
      <c r="P152" s="200"/>
      <c r="Q152" s="187"/>
      <c r="R152" s="187"/>
      <c r="S152" s="187"/>
      <c r="T152" s="187"/>
      <c r="U152" s="187"/>
      <c r="V152" s="187"/>
      <c r="W152" s="201">
        <f>SUM(W146:W151)</f>
        <v>11535.039999999999</v>
      </c>
      <c r="X152" s="201">
        <f>SUM(X146:X151)</f>
        <v>11725.289999999999</v>
      </c>
    </row>
    <row r="153" spans="1:24" x14ac:dyDescent="0.25">
      <c r="A153" s="62">
        <f>A146+1</f>
        <v>45737</v>
      </c>
      <c r="B153" s="127">
        <v>47</v>
      </c>
      <c r="C153" s="127">
        <v>32</v>
      </c>
      <c r="D153" s="128">
        <f>'Data Ocupacion'!AR42</f>
        <v>46</v>
      </c>
      <c r="E153" s="128">
        <f>'Data Ocupacion'!AS42</f>
        <v>34</v>
      </c>
      <c r="F153" s="235" t="s">
        <v>38</v>
      </c>
      <c r="G153" s="236">
        <f t="shared" ref="G153:G158" si="121">D153+E153*2</f>
        <v>114</v>
      </c>
      <c r="H153" s="127">
        <f>B153+C153*2</f>
        <v>111</v>
      </c>
      <c r="I153" s="237">
        <f t="shared" ref="I153:I158" si="122">D153+E153</f>
        <v>80</v>
      </c>
      <c r="J153" s="237">
        <f>G153*M$2</f>
        <v>4916.8200000000006</v>
      </c>
      <c r="K153" s="156">
        <f>I153*M$2</f>
        <v>3450.4</v>
      </c>
      <c r="L153" s="127">
        <f t="shared" ref="L153:L158" si="123">J153*104</f>
        <v>511349.28000000009</v>
      </c>
      <c r="M153" s="127">
        <f t="shared" ref="M153:M158" si="124">I153*104</f>
        <v>8320</v>
      </c>
      <c r="N153" s="19"/>
      <c r="O153" s="19"/>
      <c r="P153" s="149"/>
      <c r="Q153" s="263">
        <v>1</v>
      </c>
      <c r="R153" s="189"/>
      <c r="S153" s="216"/>
      <c r="T153" s="198"/>
      <c r="U153" s="199"/>
      <c r="V153" s="245"/>
      <c r="W153" s="188">
        <f>J153-(Q153*($M$2-$K$1)+(R153*($M$2-$M$1))+  (S153*($M$2-$I$2)))</f>
        <v>4899.0900000000011</v>
      </c>
      <c r="X153" s="188">
        <f>H153*$M$2</f>
        <v>4787.43</v>
      </c>
    </row>
    <row r="154" spans="1:24" ht="15" customHeight="1" x14ac:dyDescent="0.25">
      <c r="A154" s="277"/>
      <c r="B154" s="127">
        <v>45</v>
      </c>
      <c r="C154" s="127">
        <v>33</v>
      </c>
      <c r="D154" s="128">
        <f>'Data Ocupacion'!AR43</f>
        <v>45</v>
      </c>
      <c r="E154" s="128">
        <f>'Data Ocupacion'!AS43</f>
        <v>33</v>
      </c>
      <c r="F154" s="235" t="s">
        <v>52</v>
      </c>
      <c r="G154" s="236">
        <f t="shared" si="121"/>
        <v>111</v>
      </c>
      <c r="H154" s="127">
        <f t="shared" ref="H154:H158" si="125">B154+C154*2</f>
        <v>111</v>
      </c>
      <c r="I154" s="127">
        <f t="shared" si="122"/>
        <v>78</v>
      </c>
      <c r="J154" s="127">
        <f>G154*M$2</f>
        <v>4787.43</v>
      </c>
      <c r="K154" s="156">
        <f>I154*M$2</f>
        <v>3364.1400000000003</v>
      </c>
      <c r="L154" s="127">
        <f t="shared" si="123"/>
        <v>497892.72000000003</v>
      </c>
      <c r="M154" s="127">
        <f t="shared" si="124"/>
        <v>8112</v>
      </c>
      <c r="N154" s="19"/>
      <c r="O154" s="19"/>
      <c r="P154" s="149"/>
      <c r="Q154" s="194"/>
      <c r="R154" s="194"/>
      <c r="S154" s="194"/>
      <c r="T154" s="263"/>
      <c r="U154" s="191"/>
      <c r="V154" s="246"/>
      <c r="W154" s="192">
        <f>J154-(T154*($M$2-$K$1)+(U154*($M$2-$M$1)))</f>
        <v>4787.43</v>
      </c>
      <c r="X154" s="188">
        <f>H154*$M$2</f>
        <v>4787.43</v>
      </c>
    </row>
    <row r="155" spans="1:24" x14ac:dyDescent="0.25">
      <c r="A155" s="277"/>
      <c r="B155" s="127">
        <v>29</v>
      </c>
      <c r="C155" s="127">
        <v>4</v>
      </c>
      <c r="D155" s="128">
        <f>'Data Ocupacion'!AR44</f>
        <v>28</v>
      </c>
      <c r="E155" s="128">
        <f>'Data Ocupacion'!AS44</f>
        <v>4</v>
      </c>
      <c r="F155" s="235" t="s">
        <v>36</v>
      </c>
      <c r="G155" s="236">
        <f t="shared" si="121"/>
        <v>36</v>
      </c>
      <c r="H155" s="127">
        <f t="shared" si="125"/>
        <v>37</v>
      </c>
      <c r="I155" s="127">
        <f t="shared" si="122"/>
        <v>32</v>
      </c>
      <c r="J155" s="127">
        <f>G155*M$1</f>
        <v>1047.96</v>
      </c>
      <c r="K155" s="156">
        <f>I155*M$1</f>
        <v>931.52</v>
      </c>
      <c r="L155" s="127">
        <f t="shared" si="123"/>
        <v>108987.84</v>
      </c>
      <c r="M155" s="127">
        <f t="shared" si="124"/>
        <v>3328</v>
      </c>
      <c r="N155" s="19"/>
      <c r="O155" s="19"/>
      <c r="P155" s="149"/>
      <c r="Q155" s="193"/>
      <c r="R155" s="195"/>
      <c r="S155" s="217"/>
      <c r="T155" s="196"/>
      <c r="U155" s="197"/>
      <c r="V155" s="197"/>
      <c r="W155" s="188">
        <f>J155-(Q155*($M$1-$K$1))</f>
        <v>1047.96</v>
      </c>
      <c r="X155" s="188">
        <f>H155*$M$1</f>
        <v>1077.07</v>
      </c>
    </row>
    <row r="156" spans="1:24" x14ac:dyDescent="0.25">
      <c r="A156" s="277"/>
      <c r="B156" s="127">
        <v>28</v>
      </c>
      <c r="C156" s="127">
        <v>4</v>
      </c>
      <c r="D156" s="128">
        <f>'Data Ocupacion'!AR45</f>
        <v>28</v>
      </c>
      <c r="E156" s="128">
        <f>'Data Ocupacion'!AS45</f>
        <v>4</v>
      </c>
      <c r="F156" s="235" t="s">
        <v>53</v>
      </c>
      <c r="G156" s="236">
        <f t="shared" si="121"/>
        <v>36</v>
      </c>
      <c r="H156" s="127">
        <f t="shared" si="125"/>
        <v>36</v>
      </c>
      <c r="I156" s="127">
        <f t="shared" si="122"/>
        <v>32</v>
      </c>
      <c r="J156" s="127">
        <f>G156*M$1</f>
        <v>1047.96</v>
      </c>
      <c r="K156" s="156">
        <f>I156*M$1</f>
        <v>931.52</v>
      </c>
      <c r="L156" s="127">
        <f t="shared" si="123"/>
        <v>108987.84</v>
      </c>
      <c r="M156" s="127">
        <f t="shared" si="124"/>
        <v>3328</v>
      </c>
      <c r="N156" s="19"/>
      <c r="O156" s="19"/>
      <c r="P156" s="261"/>
      <c r="Q156" s="197"/>
      <c r="R156" s="197"/>
      <c r="S156" s="197"/>
      <c r="T156" s="197"/>
      <c r="U156" s="197"/>
      <c r="V156" s="197"/>
      <c r="W156" s="188">
        <f>J156</f>
        <v>1047.96</v>
      </c>
      <c r="X156" s="188">
        <f>H156*$M$1</f>
        <v>1047.96</v>
      </c>
    </row>
    <row r="157" spans="1:24" ht="15" customHeight="1" x14ac:dyDescent="0.25">
      <c r="A157" s="277"/>
      <c r="B157" s="127">
        <v>0</v>
      </c>
      <c r="C157" s="127">
        <v>0</v>
      </c>
      <c r="D157" s="128">
        <f>'Data Ocupacion'!AR46</f>
        <v>0</v>
      </c>
      <c r="E157" s="128">
        <f>'Data Ocupacion'!AS46</f>
        <v>0</v>
      </c>
      <c r="F157" s="235" t="s">
        <v>122</v>
      </c>
      <c r="G157" s="236">
        <f t="shared" si="121"/>
        <v>0</v>
      </c>
      <c r="H157" s="127">
        <f t="shared" si="125"/>
        <v>0</v>
      </c>
      <c r="I157" s="127">
        <f t="shared" si="122"/>
        <v>0</v>
      </c>
      <c r="J157" s="238">
        <f>G157*K$1</f>
        <v>0</v>
      </c>
      <c r="K157" s="156">
        <f>I157*K$1</f>
        <v>0</v>
      </c>
      <c r="L157" s="127">
        <f t="shared" si="123"/>
        <v>0</v>
      </c>
      <c r="M157" s="127">
        <f t="shared" si="124"/>
        <v>0</v>
      </c>
      <c r="N157" s="19"/>
      <c r="O157" s="19"/>
      <c r="P157" s="149"/>
      <c r="Q157" s="197"/>
      <c r="R157" s="197"/>
      <c r="S157" s="197"/>
      <c r="T157" s="197"/>
      <c r="U157" s="197"/>
      <c r="V157" s="197"/>
      <c r="W157" s="188">
        <f>J157</f>
        <v>0</v>
      </c>
      <c r="X157" s="188">
        <f>H157*$K$1</f>
        <v>0</v>
      </c>
    </row>
    <row r="158" spans="1:24" ht="15.75" thickBot="1" x14ac:dyDescent="0.3">
      <c r="A158" s="277"/>
      <c r="B158" s="127">
        <v>1</v>
      </c>
      <c r="C158" s="127">
        <v>0</v>
      </c>
      <c r="D158" s="128">
        <f>'Data Ocupacion'!AR47</f>
        <v>1</v>
      </c>
      <c r="E158" s="128">
        <f>'Data Ocupacion'!AS47</f>
        <v>0</v>
      </c>
      <c r="F158" s="235" t="s">
        <v>35</v>
      </c>
      <c r="G158" s="236">
        <f t="shared" si="121"/>
        <v>1</v>
      </c>
      <c r="H158" s="127">
        <f t="shared" si="125"/>
        <v>1</v>
      </c>
      <c r="I158" s="239">
        <f t="shared" si="122"/>
        <v>1</v>
      </c>
      <c r="J158" s="239">
        <f>G158*K$1</f>
        <v>25.4</v>
      </c>
      <c r="K158" s="156">
        <f>I158*K$1</f>
        <v>25.4</v>
      </c>
      <c r="L158" s="127">
        <f t="shared" si="123"/>
        <v>2641.6</v>
      </c>
      <c r="M158" s="127">
        <f t="shared" si="124"/>
        <v>104</v>
      </c>
      <c r="N158" s="19"/>
      <c r="O158" s="19"/>
      <c r="P158" s="149"/>
      <c r="Q158" s="197"/>
      <c r="R158" s="197"/>
      <c r="S158" s="197"/>
      <c r="T158" s="197"/>
      <c r="U158" s="197"/>
      <c r="V158" s="197"/>
      <c r="W158" s="188">
        <f>J158</f>
        <v>25.4</v>
      </c>
      <c r="X158" s="188">
        <f>H158*$K$1</f>
        <v>25.4</v>
      </c>
    </row>
    <row r="159" spans="1:24" s="126" customFormat="1" ht="15.75" thickBot="1" x14ac:dyDescent="0.3">
      <c r="A159" s="20"/>
      <c r="B159" s="230">
        <f>SUM(B153:B158)</f>
        <v>150</v>
      </c>
      <c r="C159" s="230">
        <f>SUM(C153:C158)</f>
        <v>73</v>
      </c>
      <c r="D159" s="151">
        <f>SUM(D153:D158)</f>
        <v>148</v>
      </c>
      <c r="E159" s="151">
        <f>SUM(E153:E158)</f>
        <v>75</v>
      </c>
      <c r="F159" s="121"/>
      <c r="G159" s="121">
        <f t="shared" ref="G159:M159" si="126">SUM(G153:G158)</f>
        <v>298</v>
      </c>
      <c r="H159" s="121">
        <f t="shared" si="126"/>
        <v>296</v>
      </c>
      <c r="I159" s="121">
        <f t="shared" si="126"/>
        <v>223</v>
      </c>
      <c r="J159" s="122">
        <f>SUM(J153:J158)</f>
        <v>11825.569999999998</v>
      </c>
      <c r="K159" s="121">
        <f t="shared" si="126"/>
        <v>8702.9800000000014</v>
      </c>
      <c r="L159" s="121">
        <f t="shared" si="126"/>
        <v>1229859.2800000003</v>
      </c>
      <c r="M159" s="121">
        <f t="shared" si="126"/>
        <v>23192</v>
      </c>
      <c r="N159" s="125">
        <f>'Odometro-Kilometraje'!V81</f>
        <v>12209</v>
      </c>
      <c r="O159" s="21">
        <f>(W159/N159)*100</f>
        <v>96.714227209435649</v>
      </c>
      <c r="P159" s="200"/>
      <c r="Q159" s="187"/>
      <c r="R159" s="187"/>
      <c r="S159" s="187"/>
      <c r="T159" s="187"/>
      <c r="U159" s="187"/>
      <c r="V159" s="187"/>
      <c r="W159" s="201">
        <f>SUM(W153:W158)</f>
        <v>11807.839999999998</v>
      </c>
      <c r="X159" s="201">
        <f>SUM(X153:X158)</f>
        <v>11725.289999999999</v>
      </c>
    </row>
    <row r="160" spans="1:24" x14ac:dyDescent="0.25">
      <c r="A160" s="62">
        <f>A153+1</f>
        <v>45738</v>
      </c>
      <c r="B160" s="118">
        <v>69</v>
      </c>
      <c r="C160" s="118">
        <v>3</v>
      </c>
      <c r="D160" s="150">
        <f>'Data Ocupacion'!AT42</f>
        <v>69</v>
      </c>
      <c r="E160" s="150">
        <f>'Data Ocupacion'!AU42</f>
        <v>3</v>
      </c>
      <c r="F160" s="315" t="s">
        <v>38</v>
      </c>
      <c r="G160" s="316">
        <f t="shared" ref="G160:G165" si="127">D160+E160*2</f>
        <v>75</v>
      </c>
      <c r="H160" s="118">
        <f>B160+C160*2</f>
        <v>75</v>
      </c>
      <c r="I160" s="317">
        <f t="shared" ref="I160:I165" si="128">D160+E160</f>
        <v>72</v>
      </c>
      <c r="J160" s="317">
        <f>G160*M$2</f>
        <v>3234.75</v>
      </c>
      <c r="K160" s="156">
        <f>I160*M$2</f>
        <v>3105.36</v>
      </c>
      <c r="L160" s="118">
        <f t="shared" ref="L160:L165" si="129">J160*104</f>
        <v>336414</v>
      </c>
      <c r="M160" s="118">
        <f t="shared" ref="M160:M165" si="130">I160*104</f>
        <v>7488</v>
      </c>
      <c r="N160" s="19"/>
      <c r="O160" s="19"/>
      <c r="P160" s="149"/>
      <c r="Q160" s="263"/>
      <c r="R160" s="189"/>
      <c r="S160" s="216"/>
      <c r="T160" s="198"/>
      <c r="U160" s="199"/>
      <c r="V160" s="245"/>
      <c r="W160" s="188">
        <f>J160-(Q160*($M$2-$K$1)+(R160*($M$2-$M$1))+  (S160*($M$2-$I$2)))</f>
        <v>3234.75</v>
      </c>
      <c r="X160" s="188">
        <f>H160*$M$2</f>
        <v>3234.75</v>
      </c>
    </row>
    <row r="161" spans="1:26" ht="15" customHeight="1" x14ac:dyDescent="0.25">
      <c r="A161" s="277"/>
      <c r="B161" s="118">
        <v>75</v>
      </c>
      <c r="C161" s="118">
        <v>0</v>
      </c>
      <c r="D161" s="150">
        <f>'Data Ocupacion'!AT43</f>
        <v>75</v>
      </c>
      <c r="E161" s="150">
        <f>'Data Ocupacion'!AU43</f>
        <v>0</v>
      </c>
      <c r="F161" s="315" t="s">
        <v>52</v>
      </c>
      <c r="G161" s="316">
        <f t="shared" si="127"/>
        <v>75</v>
      </c>
      <c r="H161" s="118">
        <f t="shared" ref="H161:H165" si="131">B161+C161*2</f>
        <v>75</v>
      </c>
      <c r="I161" s="118">
        <f t="shared" si="128"/>
        <v>75</v>
      </c>
      <c r="J161" s="118">
        <f>G161*M$2</f>
        <v>3234.75</v>
      </c>
      <c r="K161" s="156">
        <f>I161*M$2</f>
        <v>3234.75</v>
      </c>
      <c r="L161" s="118">
        <f t="shared" si="129"/>
        <v>336414</v>
      </c>
      <c r="M161" s="118">
        <f t="shared" si="130"/>
        <v>7800</v>
      </c>
      <c r="N161" s="19"/>
      <c r="O161" s="19"/>
      <c r="P161" s="149"/>
      <c r="Q161" s="194"/>
      <c r="R161" s="194"/>
      <c r="S161" s="194"/>
      <c r="T161" s="263"/>
      <c r="U161" s="214"/>
      <c r="V161" s="246"/>
      <c r="W161" s="192">
        <f>J161-(T161*($M$2-$K$1)+(U161*($M$2-$M$1)))</f>
        <v>3234.75</v>
      </c>
      <c r="X161" s="188">
        <f>H161*$M$2</f>
        <v>3234.75</v>
      </c>
      <c r="Y161" s="126"/>
      <c r="Z161" s="126"/>
    </row>
    <row r="162" spans="1:26" ht="14.45" customHeight="1" x14ac:dyDescent="0.25">
      <c r="A162" s="277"/>
      <c r="B162" s="118">
        <v>0</v>
      </c>
      <c r="C162" s="118">
        <v>0</v>
      </c>
      <c r="D162" s="150">
        <f>'Data Ocupacion'!AT44</f>
        <v>0</v>
      </c>
      <c r="E162" s="150">
        <f>'Data Ocupacion'!AU44</f>
        <v>0</v>
      </c>
      <c r="F162" s="315" t="s">
        <v>36</v>
      </c>
      <c r="G162" s="316">
        <f t="shared" si="127"/>
        <v>0</v>
      </c>
      <c r="H162" s="118">
        <f t="shared" si="131"/>
        <v>0</v>
      </c>
      <c r="I162" s="118">
        <f t="shared" si="128"/>
        <v>0</v>
      </c>
      <c r="J162" s="118">
        <f>G162*M$1</f>
        <v>0</v>
      </c>
      <c r="K162" s="156">
        <f>I162*M$1</f>
        <v>0</v>
      </c>
      <c r="L162" s="118">
        <f t="shared" si="129"/>
        <v>0</v>
      </c>
      <c r="M162" s="118">
        <f t="shared" si="130"/>
        <v>0</v>
      </c>
      <c r="N162" s="19"/>
      <c r="O162" s="19"/>
      <c r="P162" s="149"/>
      <c r="Q162" s="193"/>
      <c r="R162" s="195"/>
      <c r="S162" s="217"/>
      <c r="T162" s="196"/>
      <c r="U162" s="197"/>
      <c r="V162" s="197"/>
      <c r="W162" s="188">
        <f>J162-(Q162*($M$1-$K$1))</f>
        <v>0</v>
      </c>
      <c r="X162" s="188">
        <f>H162*$M$1</f>
        <v>0</v>
      </c>
      <c r="Y162" s="126"/>
      <c r="Z162" s="126"/>
    </row>
    <row r="163" spans="1:26" ht="15" customHeight="1" x14ac:dyDescent="0.25">
      <c r="A163" s="277"/>
      <c r="B163" s="118">
        <v>0</v>
      </c>
      <c r="C163" s="118">
        <v>0</v>
      </c>
      <c r="D163" s="150">
        <f>'Data Ocupacion'!AT45</f>
        <v>0</v>
      </c>
      <c r="E163" s="150">
        <f>'Data Ocupacion'!AU45</f>
        <v>0</v>
      </c>
      <c r="F163" s="315" t="s">
        <v>53</v>
      </c>
      <c r="G163" s="316">
        <f t="shared" si="127"/>
        <v>0</v>
      </c>
      <c r="H163" s="118">
        <f t="shared" si="131"/>
        <v>0</v>
      </c>
      <c r="I163" s="118">
        <f t="shared" si="128"/>
        <v>0</v>
      </c>
      <c r="J163" s="118">
        <f>G163*M$1</f>
        <v>0</v>
      </c>
      <c r="K163" s="156">
        <f>I163*M$1</f>
        <v>0</v>
      </c>
      <c r="L163" s="118">
        <f t="shared" si="129"/>
        <v>0</v>
      </c>
      <c r="M163" s="118">
        <f t="shared" si="130"/>
        <v>0</v>
      </c>
      <c r="N163" s="19"/>
      <c r="O163" s="19"/>
      <c r="P163" s="149"/>
      <c r="Q163" s="197"/>
      <c r="R163" s="197"/>
      <c r="S163" s="197"/>
      <c r="T163" s="197"/>
      <c r="U163" s="197"/>
      <c r="V163" s="197"/>
      <c r="W163" s="188">
        <f>J163</f>
        <v>0</v>
      </c>
      <c r="X163" s="188">
        <f>H163*$M$1</f>
        <v>0</v>
      </c>
      <c r="Y163" s="126"/>
      <c r="Z163" s="126"/>
    </row>
    <row r="164" spans="1:26" ht="13.5" customHeight="1" x14ac:dyDescent="0.25">
      <c r="A164" s="277"/>
      <c r="B164" s="118">
        <v>0</v>
      </c>
      <c r="C164" s="118">
        <v>0</v>
      </c>
      <c r="D164" s="150">
        <f>'Data Ocupacion'!AT46</f>
        <v>0</v>
      </c>
      <c r="E164" s="150">
        <f>'Data Ocupacion'!AU46</f>
        <v>0</v>
      </c>
      <c r="F164" s="315" t="s">
        <v>122</v>
      </c>
      <c r="G164" s="316">
        <f t="shared" si="127"/>
        <v>0</v>
      </c>
      <c r="H164" s="118">
        <f t="shared" si="131"/>
        <v>0</v>
      </c>
      <c r="I164" s="118">
        <f t="shared" si="128"/>
        <v>0</v>
      </c>
      <c r="J164" s="318">
        <f>G164*K$1</f>
        <v>0</v>
      </c>
      <c r="K164" s="156">
        <f>I164*M$1</f>
        <v>0</v>
      </c>
      <c r="L164" s="118">
        <f t="shared" si="129"/>
        <v>0</v>
      </c>
      <c r="M164" s="118">
        <f t="shared" si="130"/>
        <v>0</v>
      </c>
      <c r="N164" s="19"/>
      <c r="O164" s="19"/>
      <c r="P164" s="149"/>
      <c r="Q164" s="197"/>
      <c r="R164" s="197"/>
      <c r="S164" s="197"/>
      <c r="T164" s="197"/>
      <c r="U164" s="197"/>
      <c r="V164" s="197"/>
      <c r="W164" s="188">
        <f>J164</f>
        <v>0</v>
      </c>
      <c r="X164" s="188">
        <f>H164*$K$1</f>
        <v>0</v>
      </c>
      <c r="Y164" s="126"/>
      <c r="Z164" s="126"/>
    </row>
    <row r="165" spans="1:26" ht="15.75" thickBot="1" x14ac:dyDescent="0.3">
      <c r="A165" s="277"/>
      <c r="B165" s="118">
        <v>0</v>
      </c>
      <c r="C165" s="118">
        <v>0</v>
      </c>
      <c r="D165" s="150">
        <f>'Data Ocupacion'!AT47</f>
        <v>0</v>
      </c>
      <c r="E165" s="150">
        <f>'Data Ocupacion'!AU47</f>
        <v>0</v>
      </c>
      <c r="F165" s="315" t="s">
        <v>35</v>
      </c>
      <c r="G165" s="316">
        <f t="shared" si="127"/>
        <v>0</v>
      </c>
      <c r="H165" s="118">
        <f t="shared" si="131"/>
        <v>0</v>
      </c>
      <c r="I165" s="319">
        <f t="shared" si="128"/>
        <v>0</v>
      </c>
      <c r="J165" s="319">
        <f>G165*K$1</f>
        <v>0</v>
      </c>
      <c r="K165" s="156">
        <f>I165*K$1</f>
        <v>0</v>
      </c>
      <c r="L165" s="118">
        <f t="shared" si="129"/>
        <v>0</v>
      </c>
      <c r="M165" s="118">
        <f t="shared" si="130"/>
        <v>0</v>
      </c>
      <c r="N165" s="19"/>
      <c r="O165" s="19"/>
      <c r="P165" s="149"/>
      <c r="Q165" s="197"/>
      <c r="R165" s="197"/>
      <c r="S165" s="197"/>
      <c r="T165" s="197"/>
      <c r="U165" s="197"/>
      <c r="V165" s="197"/>
      <c r="W165" s="188">
        <f>J165</f>
        <v>0</v>
      </c>
      <c r="X165" s="188">
        <f>H165*$K$1</f>
        <v>0</v>
      </c>
    </row>
    <row r="166" spans="1:26" s="126" customFormat="1" ht="15.75" thickBot="1" x14ac:dyDescent="0.3">
      <c r="A166" s="20"/>
      <c r="B166" s="230">
        <f>SUM(B160:B165)</f>
        <v>144</v>
      </c>
      <c r="C166" s="230">
        <f>SUM(C160:C165)</f>
        <v>3</v>
      </c>
      <c r="D166" s="151">
        <f>SUM(D160:D165)</f>
        <v>144</v>
      </c>
      <c r="E166" s="151">
        <f>SUM(E160:E165)</f>
        <v>3</v>
      </c>
      <c r="F166" s="121"/>
      <c r="G166" s="121">
        <f t="shared" ref="G166:M166" si="132">SUM(G160:G165)</f>
        <v>150</v>
      </c>
      <c r="H166" s="121">
        <f t="shared" si="132"/>
        <v>150</v>
      </c>
      <c r="I166" s="121">
        <f t="shared" si="132"/>
        <v>147</v>
      </c>
      <c r="J166" s="122">
        <f t="shared" si="132"/>
        <v>6469.5</v>
      </c>
      <c r="K166" s="121">
        <f t="shared" si="132"/>
        <v>6340.1100000000006</v>
      </c>
      <c r="L166" s="121">
        <f t="shared" si="132"/>
        <v>672828</v>
      </c>
      <c r="M166" s="121">
        <f t="shared" si="132"/>
        <v>15288</v>
      </c>
      <c r="N166" s="125">
        <f>'Odometro-Kilometraje'!W81</f>
        <v>6498</v>
      </c>
      <c r="O166" s="21">
        <f>(W166/N166)*100</f>
        <v>99.561403508771932</v>
      </c>
      <c r="P166" s="200"/>
      <c r="Q166" s="187"/>
      <c r="R166" s="187"/>
      <c r="S166" s="187"/>
      <c r="T166" s="187"/>
      <c r="U166" s="187"/>
      <c r="V166" s="187"/>
      <c r="W166" s="201">
        <f>SUM(W160:W165)</f>
        <v>6469.5</v>
      </c>
      <c r="X166" s="201">
        <f>SUM(X160:X165)</f>
        <v>6469.5</v>
      </c>
    </row>
    <row r="167" spans="1:26" s="126" customFormat="1" x14ac:dyDescent="0.25">
      <c r="A167" s="62">
        <f>A160+1</f>
        <v>45739</v>
      </c>
      <c r="B167" s="231">
        <v>51</v>
      </c>
      <c r="C167" s="231">
        <v>3</v>
      </c>
      <c r="D167" s="140">
        <f>'Data Ocupacion'!AV42</f>
        <v>51</v>
      </c>
      <c r="E167" s="140">
        <f>'Data Ocupacion'!AW42</f>
        <v>3</v>
      </c>
      <c r="F167" s="231" t="s">
        <v>38</v>
      </c>
      <c r="G167" s="231">
        <f t="shared" ref="G167:G172" si="133">D167+E167*2</f>
        <v>57</v>
      </c>
      <c r="H167" s="231">
        <f>B167+C167*2</f>
        <v>57</v>
      </c>
      <c r="I167" s="231">
        <f t="shared" ref="I167:I172" si="134">D167+E167</f>
        <v>54</v>
      </c>
      <c r="J167" s="231">
        <f>G167*M$2</f>
        <v>2458.4100000000003</v>
      </c>
      <c r="K167" s="156">
        <f>I167*M$2</f>
        <v>2329.02</v>
      </c>
      <c r="L167" s="231">
        <f t="shared" ref="L167:L172" si="135">J167*104</f>
        <v>255674.64000000004</v>
      </c>
      <c r="M167" s="231">
        <f t="shared" ref="M167:M172" si="136">I167*104</f>
        <v>5616</v>
      </c>
      <c r="N167" s="19"/>
      <c r="O167" s="19"/>
      <c r="P167" s="149"/>
      <c r="Q167" s="189"/>
      <c r="R167" s="189"/>
      <c r="S167" s="216"/>
      <c r="T167" s="198"/>
      <c r="U167" s="199"/>
      <c r="V167" s="245"/>
      <c r="W167" s="188">
        <f>J167-(Q167*($M$2-$K$1)+(R167*($M$2-$M$1))+  (S167*($M$2-$I$2)))</f>
        <v>2458.4100000000003</v>
      </c>
      <c r="X167" s="188">
        <f>H167*$M$2</f>
        <v>2458.4100000000003</v>
      </c>
    </row>
    <row r="168" spans="1:26" ht="15" customHeight="1" x14ac:dyDescent="0.25">
      <c r="A168" s="210"/>
      <c r="B168" s="231">
        <v>57</v>
      </c>
      <c r="C168" s="231">
        <v>0</v>
      </c>
      <c r="D168" s="140">
        <f>'Data Ocupacion'!AV43</f>
        <v>57</v>
      </c>
      <c r="E168" s="140">
        <f>'Data Ocupacion'!AW43</f>
        <v>0</v>
      </c>
      <c r="F168" s="231" t="s">
        <v>52</v>
      </c>
      <c r="G168" s="231">
        <f t="shared" si="133"/>
        <v>57</v>
      </c>
      <c r="H168" s="231">
        <f t="shared" ref="H168:H172" si="137">B168+C168*2</f>
        <v>57</v>
      </c>
      <c r="I168" s="231">
        <f t="shared" si="134"/>
        <v>57</v>
      </c>
      <c r="J168" s="231">
        <f>G168*M$2</f>
        <v>2458.4100000000003</v>
      </c>
      <c r="K168" s="156">
        <f>I168*M$2</f>
        <v>2458.4100000000003</v>
      </c>
      <c r="L168" s="231">
        <f t="shared" si="135"/>
        <v>255674.64000000004</v>
      </c>
      <c r="M168" s="231">
        <f t="shared" si="136"/>
        <v>5928</v>
      </c>
      <c r="N168" s="19"/>
      <c r="O168" s="19"/>
      <c r="P168" s="149"/>
      <c r="Q168" s="194"/>
      <c r="R168" s="194"/>
      <c r="S168" s="229"/>
      <c r="T168" s="189"/>
      <c r="U168" s="229"/>
      <c r="V168" s="246"/>
      <c r="W168" s="192">
        <f>J168-(T168*($M$2-$K$1)+(U168*($M$2-$M$1)))</f>
        <v>2458.4100000000003</v>
      </c>
      <c r="X168" s="188">
        <f>H168*$M$2</f>
        <v>2458.4100000000003</v>
      </c>
      <c r="Y168" s="175"/>
    </row>
    <row r="169" spans="1:26" ht="15" customHeight="1" x14ac:dyDescent="0.25">
      <c r="A169" s="210"/>
      <c r="B169" s="231">
        <v>0</v>
      </c>
      <c r="C169" s="231">
        <v>0</v>
      </c>
      <c r="D169" s="140">
        <f>'Data Ocupacion'!AV44</f>
        <v>0</v>
      </c>
      <c r="E169" s="140">
        <f>'Data Ocupacion'!AW44</f>
        <v>0</v>
      </c>
      <c r="F169" s="231" t="s">
        <v>36</v>
      </c>
      <c r="G169" s="231">
        <f t="shared" si="133"/>
        <v>0</v>
      </c>
      <c r="H169" s="231">
        <f t="shared" si="137"/>
        <v>0</v>
      </c>
      <c r="I169" s="231">
        <f t="shared" si="134"/>
        <v>0</v>
      </c>
      <c r="J169" s="231">
        <f>G169*M$1</f>
        <v>0</v>
      </c>
      <c r="K169" s="156">
        <f>I169*M$1</f>
        <v>0</v>
      </c>
      <c r="L169" s="231">
        <f t="shared" si="135"/>
        <v>0</v>
      </c>
      <c r="M169" s="231">
        <f t="shared" si="136"/>
        <v>0</v>
      </c>
      <c r="N169" s="19"/>
      <c r="O169" s="19"/>
      <c r="P169" s="149"/>
      <c r="Q169" s="193"/>
      <c r="R169" s="195"/>
      <c r="S169" s="217"/>
      <c r="T169" s="196"/>
      <c r="U169" s="197"/>
      <c r="V169" s="197"/>
      <c r="W169" s="188">
        <f>J169-(Q169*($M$1-$K$1))</f>
        <v>0</v>
      </c>
      <c r="X169" s="188">
        <f>H169*$M$1</f>
        <v>0</v>
      </c>
    </row>
    <row r="170" spans="1:26" ht="15" customHeight="1" x14ac:dyDescent="0.25">
      <c r="A170" s="210"/>
      <c r="B170" s="231">
        <v>0</v>
      </c>
      <c r="C170" s="231">
        <v>0</v>
      </c>
      <c r="D170" s="140">
        <f>'Data Ocupacion'!AV45</f>
        <v>0</v>
      </c>
      <c r="E170" s="140">
        <f>'Data Ocupacion'!AW45</f>
        <v>0</v>
      </c>
      <c r="F170" s="231" t="s">
        <v>53</v>
      </c>
      <c r="G170" s="231">
        <f t="shared" si="133"/>
        <v>0</v>
      </c>
      <c r="H170" s="231">
        <f t="shared" si="137"/>
        <v>0</v>
      </c>
      <c r="I170" s="231">
        <f t="shared" si="134"/>
        <v>0</v>
      </c>
      <c r="J170" s="231">
        <f>G170*M$1</f>
        <v>0</v>
      </c>
      <c r="K170" s="156">
        <f>I170*M$1</f>
        <v>0</v>
      </c>
      <c r="L170" s="231">
        <f t="shared" si="135"/>
        <v>0</v>
      </c>
      <c r="M170" s="231">
        <f t="shared" si="136"/>
        <v>0</v>
      </c>
      <c r="N170" s="19"/>
      <c r="O170" s="19"/>
      <c r="P170" s="149"/>
      <c r="Q170" s="197"/>
      <c r="R170" s="197"/>
      <c r="S170" s="197"/>
      <c r="T170" s="197"/>
      <c r="U170" s="197"/>
      <c r="V170" s="197"/>
      <c r="W170" s="188">
        <f>J170</f>
        <v>0</v>
      </c>
      <c r="X170" s="188">
        <f>H170*$M$1</f>
        <v>0</v>
      </c>
    </row>
    <row r="171" spans="1:26" ht="13.5" customHeight="1" x14ac:dyDescent="0.25">
      <c r="A171" s="210"/>
      <c r="B171" s="231">
        <v>0</v>
      </c>
      <c r="C171" s="231">
        <v>0</v>
      </c>
      <c r="D171" s="140">
        <f>'Data Ocupacion'!AV46</f>
        <v>0</v>
      </c>
      <c r="E171" s="140">
        <f>'Data Ocupacion'!AW46</f>
        <v>0</v>
      </c>
      <c r="F171" s="231" t="s">
        <v>122</v>
      </c>
      <c r="G171" s="231">
        <f t="shared" si="133"/>
        <v>0</v>
      </c>
      <c r="H171" s="231">
        <f t="shared" si="137"/>
        <v>0</v>
      </c>
      <c r="I171" s="231">
        <f t="shared" si="134"/>
        <v>0</v>
      </c>
      <c r="J171" s="231">
        <f>G171*K$1</f>
        <v>0</v>
      </c>
      <c r="K171" s="156">
        <f>I171*K$1</f>
        <v>0</v>
      </c>
      <c r="L171" s="231">
        <f t="shared" si="135"/>
        <v>0</v>
      </c>
      <c r="M171" s="231">
        <f t="shared" si="136"/>
        <v>0</v>
      </c>
      <c r="N171" s="19"/>
      <c r="O171" s="19"/>
      <c r="P171" s="149"/>
      <c r="Q171" s="197"/>
      <c r="R171" s="197"/>
      <c r="S171" s="197"/>
      <c r="T171" s="197"/>
      <c r="U171" s="197"/>
      <c r="V171" s="197"/>
      <c r="W171" s="188">
        <f>J171</f>
        <v>0</v>
      </c>
      <c r="X171" s="188">
        <f>H171*$K$1</f>
        <v>0</v>
      </c>
    </row>
    <row r="172" spans="1:26" ht="15.75" thickBot="1" x14ac:dyDescent="0.3">
      <c r="A172" s="210"/>
      <c r="B172" s="231">
        <v>0</v>
      </c>
      <c r="C172" s="231">
        <v>0</v>
      </c>
      <c r="D172" s="140">
        <f>'Data Ocupacion'!AV47</f>
        <v>0</v>
      </c>
      <c r="E172" s="140">
        <f>'Data Ocupacion'!AW47</f>
        <v>0</v>
      </c>
      <c r="F172" s="231" t="s">
        <v>35</v>
      </c>
      <c r="G172" s="231">
        <f t="shared" si="133"/>
        <v>0</v>
      </c>
      <c r="H172" s="231">
        <f t="shared" si="137"/>
        <v>0</v>
      </c>
      <c r="I172" s="231">
        <f t="shared" si="134"/>
        <v>0</v>
      </c>
      <c r="J172" s="231">
        <f>G172*K$1</f>
        <v>0</v>
      </c>
      <c r="K172" s="156">
        <f>I172*K$1</f>
        <v>0</v>
      </c>
      <c r="L172" s="231">
        <f t="shared" si="135"/>
        <v>0</v>
      </c>
      <c r="M172" s="231">
        <f t="shared" si="136"/>
        <v>0</v>
      </c>
      <c r="N172" s="19"/>
      <c r="O172" s="19"/>
      <c r="P172" s="149"/>
      <c r="Q172" s="197"/>
      <c r="R172" s="197"/>
      <c r="S172" s="197"/>
      <c r="T172" s="197"/>
      <c r="U172" s="197"/>
      <c r="V172" s="197"/>
      <c r="W172" s="188">
        <f>J172</f>
        <v>0</v>
      </c>
      <c r="X172" s="188">
        <f>H172*$K$1</f>
        <v>0</v>
      </c>
    </row>
    <row r="173" spans="1:26" s="126" customFormat="1" ht="15" customHeight="1" thickBot="1" x14ac:dyDescent="0.3">
      <c r="A173" s="20"/>
      <c r="B173" s="230">
        <f>SUM(B167:B172)</f>
        <v>108</v>
      </c>
      <c r="C173" s="230">
        <f>SUM(C167:C172)</f>
        <v>3</v>
      </c>
      <c r="D173" s="151">
        <f>SUM(D167:D172)</f>
        <v>108</v>
      </c>
      <c r="E173" s="151">
        <f>SUM(E167:E172)</f>
        <v>3</v>
      </c>
      <c r="F173" s="121"/>
      <c r="G173" s="121">
        <f t="shared" ref="G173:M173" si="138">SUM(G167:G172)</f>
        <v>114</v>
      </c>
      <c r="H173" s="121">
        <f t="shared" si="138"/>
        <v>114</v>
      </c>
      <c r="I173" s="121">
        <f t="shared" si="138"/>
        <v>111</v>
      </c>
      <c r="J173" s="122">
        <f t="shared" si="138"/>
        <v>4916.8200000000006</v>
      </c>
      <c r="K173" s="121">
        <f t="shared" si="138"/>
        <v>4787.43</v>
      </c>
      <c r="L173" s="121">
        <f t="shared" si="138"/>
        <v>511349.28000000009</v>
      </c>
      <c r="M173" s="121">
        <f t="shared" si="138"/>
        <v>11544</v>
      </c>
      <c r="N173" s="125">
        <f>'Odometro-Kilometraje'!X81</f>
        <v>4972</v>
      </c>
      <c r="O173" s="21">
        <f>(W173/N173)*100</f>
        <v>98.890185036202752</v>
      </c>
      <c r="P173" s="200"/>
      <c r="Q173" s="187"/>
      <c r="R173" s="187"/>
      <c r="S173" s="187"/>
      <c r="T173" s="187"/>
      <c r="U173" s="187"/>
      <c r="V173" s="187"/>
      <c r="W173" s="201">
        <f>SUM(W167:W172)</f>
        <v>4916.8200000000006</v>
      </c>
      <c r="X173" s="201">
        <f>SUM(X167:X172)</f>
        <v>4916.8200000000006</v>
      </c>
    </row>
    <row r="174" spans="1:26" x14ac:dyDescent="0.25">
      <c r="A174" s="62">
        <f>A167+1</f>
        <v>45740</v>
      </c>
      <c r="B174" s="127">
        <v>47</v>
      </c>
      <c r="C174" s="127">
        <v>32</v>
      </c>
      <c r="D174" s="128">
        <f>'Data Ocupacion'!AX42</f>
        <v>47</v>
      </c>
      <c r="E174" s="128">
        <f>'Data Ocupacion'!AY42</f>
        <v>32</v>
      </c>
      <c r="F174" s="127" t="s">
        <v>38</v>
      </c>
      <c r="G174" s="127">
        <f t="shared" ref="G174:G179" si="139">D174+E174*2</f>
        <v>111</v>
      </c>
      <c r="H174" s="127">
        <f>B174+C174*2</f>
        <v>111</v>
      </c>
      <c r="I174" s="127">
        <f t="shared" ref="I174:I179" si="140">D174+E174</f>
        <v>79</v>
      </c>
      <c r="J174" s="127">
        <f>G174*M$2</f>
        <v>4787.43</v>
      </c>
      <c r="K174" s="156">
        <f>I174*M$2</f>
        <v>3407.27</v>
      </c>
      <c r="L174" s="127">
        <f t="shared" ref="L174:L179" si="141">J174*104</f>
        <v>497892.72000000003</v>
      </c>
      <c r="M174" s="127">
        <f t="shared" ref="M174:M179" si="142">I174*104</f>
        <v>8216</v>
      </c>
      <c r="N174" s="19"/>
      <c r="O174" s="19"/>
      <c r="P174" s="149"/>
      <c r="Q174" s="263">
        <v>3</v>
      </c>
      <c r="R174" s="189"/>
      <c r="S174" s="216"/>
      <c r="T174" s="338"/>
      <c r="U174" s="199"/>
      <c r="V174" s="245"/>
      <c r="W174" s="188">
        <f>J174-(Q174*($M$2-$K$1)+(R174*($M$2-$M$1))+  (S174*($M$2-$I$2))+  (T174*($K$1)))</f>
        <v>4734.2400000000007</v>
      </c>
      <c r="X174" s="188">
        <f>H174*$M$2</f>
        <v>4787.43</v>
      </c>
    </row>
    <row r="175" spans="1:26" ht="15" customHeight="1" x14ac:dyDescent="0.25">
      <c r="A175" s="210"/>
      <c r="B175" s="127">
        <v>45</v>
      </c>
      <c r="C175" s="127">
        <v>33</v>
      </c>
      <c r="D175" s="128">
        <f>'Data Ocupacion'!AX43</f>
        <v>45</v>
      </c>
      <c r="E175" s="128">
        <f>'Data Ocupacion'!AY43</f>
        <v>33</v>
      </c>
      <c r="F175" s="127" t="s">
        <v>52</v>
      </c>
      <c r="G175" s="127">
        <f t="shared" si="139"/>
        <v>111</v>
      </c>
      <c r="H175" s="127">
        <f t="shared" ref="H175:H179" si="143">B175+C175*2</f>
        <v>111</v>
      </c>
      <c r="I175" s="127">
        <f t="shared" si="140"/>
        <v>78</v>
      </c>
      <c r="J175" s="127">
        <f>G175*M$2</f>
        <v>4787.43</v>
      </c>
      <c r="K175" s="156">
        <f>I175*M$2</f>
        <v>3364.1400000000003</v>
      </c>
      <c r="L175" s="127">
        <f t="shared" si="141"/>
        <v>497892.72000000003</v>
      </c>
      <c r="M175" s="127">
        <f t="shared" si="142"/>
        <v>8112</v>
      </c>
      <c r="N175" s="19"/>
      <c r="O175" s="19"/>
      <c r="P175" s="149"/>
      <c r="Q175" s="194"/>
      <c r="R175" s="194"/>
      <c r="S175" s="194"/>
      <c r="T175" s="211"/>
      <c r="U175" s="214"/>
      <c r="V175" s="216"/>
      <c r="W175" s="192">
        <f>J175-(T175*($M$2-$K$1)+(U175*($M$2-$M$1)))</f>
        <v>4787.43</v>
      </c>
      <c r="X175" s="188">
        <f>H175*$M$2</f>
        <v>4787.43</v>
      </c>
      <c r="Y175" s="175"/>
    </row>
    <row r="176" spans="1:26" ht="15" customHeight="1" x14ac:dyDescent="0.25">
      <c r="A176" s="210"/>
      <c r="B176" s="127">
        <v>29</v>
      </c>
      <c r="C176" s="127">
        <v>4</v>
      </c>
      <c r="D176" s="128">
        <f>'Data Ocupacion'!AX44</f>
        <v>29</v>
      </c>
      <c r="E176" s="128">
        <f>'Data Ocupacion'!AY44</f>
        <v>4</v>
      </c>
      <c r="F176" s="127" t="s">
        <v>36</v>
      </c>
      <c r="G176" s="127">
        <f t="shared" si="139"/>
        <v>37</v>
      </c>
      <c r="H176" s="127">
        <f t="shared" si="143"/>
        <v>37</v>
      </c>
      <c r="I176" s="127">
        <f t="shared" si="140"/>
        <v>33</v>
      </c>
      <c r="J176" s="127">
        <f>G176*M$1</f>
        <v>1077.07</v>
      </c>
      <c r="K176" s="156">
        <f>I176*M$1</f>
        <v>960.63</v>
      </c>
      <c r="L176" s="127">
        <f t="shared" si="141"/>
        <v>112015.28</v>
      </c>
      <c r="M176" s="127">
        <f t="shared" si="142"/>
        <v>3432</v>
      </c>
      <c r="N176" s="19"/>
      <c r="O176" s="19"/>
      <c r="P176" s="149"/>
      <c r="Q176" s="263"/>
      <c r="R176" s="198"/>
      <c r="S176" s="245"/>
      <c r="T176" s="194"/>
      <c r="U176" s="272"/>
      <c r="V176" s="272"/>
      <c r="W176" s="188">
        <f>J176-(Q176*($M$1-$K$1))</f>
        <v>1077.07</v>
      </c>
      <c r="X176" s="188">
        <f>H176*$M$1</f>
        <v>1077.07</v>
      </c>
    </row>
    <row r="177" spans="1:25" ht="15" customHeight="1" x14ac:dyDescent="0.25">
      <c r="A177" s="210"/>
      <c r="B177" s="127">
        <v>28</v>
      </c>
      <c r="C177" s="127">
        <v>4</v>
      </c>
      <c r="D177" s="128">
        <f>'Data Ocupacion'!AX45</f>
        <v>28</v>
      </c>
      <c r="E177" s="128">
        <f>'Data Ocupacion'!AY45</f>
        <v>4</v>
      </c>
      <c r="F177" s="127" t="s">
        <v>53</v>
      </c>
      <c r="G177" s="127">
        <f t="shared" si="139"/>
        <v>36</v>
      </c>
      <c r="H177" s="127">
        <f t="shared" si="143"/>
        <v>36</v>
      </c>
      <c r="I177" s="127">
        <f t="shared" si="140"/>
        <v>32</v>
      </c>
      <c r="J177" s="127">
        <f>G177*M$1</f>
        <v>1047.96</v>
      </c>
      <c r="K177" s="156">
        <f>I177*M$1</f>
        <v>931.52</v>
      </c>
      <c r="L177" s="127">
        <f t="shared" si="141"/>
        <v>108987.84</v>
      </c>
      <c r="M177" s="127">
        <f t="shared" si="142"/>
        <v>3328</v>
      </c>
      <c r="N177" s="19"/>
      <c r="O177" s="19"/>
      <c r="P177" s="149"/>
      <c r="Q177" s="197"/>
      <c r="R177" s="197"/>
      <c r="S177" s="197"/>
      <c r="T177" s="197"/>
      <c r="U177" s="197"/>
      <c r="V177" s="197"/>
      <c r="W177" s="188">
        <f>J177</f>
        <v>1047.96</v>
      </c>
      <c r="X177" s="188">
        <f>H177*$M$1</f>
        <v>1047.96</v>
      </c>
    </row>
    <row r="178" spans="1:25" ht="15" customHeight="1" x14ac:dyDescent="0.25">
      <c r="A178" s="210"/>
      <c r="B178" s="127">
        <v>0</v>
      </c>
      <c r="C178" s="127">
        <v>0</v>
      </c>
      <c r="D178" s="128">
        <f>'Data Ocupacion'!AX46</f>
        <v>0</v>
      </c>
      <c r="E178" s="128">
        <f>'Data Ocupacion'!AY46</f>
        <v>0</v>
      </c>
      <c r="F178" s="127" t="s">
        <v>122</v>
      </c>
      <c r="G178" s="127">
        <f t="shared" si="139"/>
        <v>0</v>
      </c>
      <c r="H178" s="127">
        <f t="shared" si="143"/>
        <v>0</v>
      </c>
      <c r="I178" s="127">
        <f t="shared" si="140"/>
        <v>0</v>
      </c>
      <c r="J178" s="127">
        <f>G178*K$1</f>
        <v>0</v>
      </c>
      <c r="K178" s="156">
        <f>I178*K$1</f>
        <v>0</v>
      </c>
      <c r="L178" s="127">
        <f t="shared" si="141"/>
        <v>0</v>
      </c>
      <c r="M178" s="127">
        <f t="shared" si="142"/>
        <v>0</v>
      </c>
      <c r="N178" s="19"/>
      <c r="O178" s="19"/>
      <c r="P178" s="149"/>
      <c r="Q178" s="197"/>
      <c r="R178" s="197"/>
      <c r="S178" s="197"/>
      <c r="T178" s="197"/>
      <c r="U178" s="197"/>
      <c r="V178" s="197"/>
      <c r="W178" s="188">
        <f>J178</f>
        <v>0</v>
      </c>
      <c r="X178" s="188">
        <f>H178*$K$1</f>
        <v>0</v>
      </c>
    </row>
    <row r="179" spans="1:25" ht="15.75" thickBot="1" x14ac:dyDescent="0.3">
      <c r="A179" s="210"/>
      <c r="B179" s="127">
        <v>1</v>
      </c>
      <c r="C179" s="127">
        <v>0</v>
      </c>
      <c r="D179" s="128">
        <f>'Data Ocupacion'!AX47</f>
        <v>1</v>
      </c>
      <c r="E179" s="128">
        <f>'Data Ocupacion'!AY47</f>
        <v>0</v>
      </c>
      <c r="F179" s="127" t="s">
        <v>35</v>
      </c>
      <c r="G179" s="127">
        <f t="shared" si="139"/>
        <v>1</v>
      </c>
      <c r="H179" s="127">
        <f t="shared" si="143"/>
        <v>1</v>
      </c>
      <c r="I179" s="127">
        <f t="shared" si="140"/>
        <v>1</v>
      </c>
      <c r="J179" s="127">
        <f>G179*K$1</f>
        <v>25.4</v>
      </c>
      <c r="K179" s="156">
        <f>I179*K$1</f>
        <v>25.4</v>
      </c>
      <c r="L179" s="127">
        <f t="shared" si="141"/>
        <v>2641.6</v>
      </c>
      <c r="M179" s="127">
        <f t="shared" si="142"/>
        <v>104</v>
      </c>
      <c r="N179" s="19"/>
      <c r="O179" s="19"/>
      <c r="P179" s="149"/>
      <c r="Q179" s="197"/>
      <c r="R179" s="197"/>
      <c r="S179" s="197"/>
      <c r="T179" s="197"/>
      <c r="U179" s="197"/>
      <c r="V179" s="197"/>
      <c r="W179" s="188">
        <f>J179</f>
        <v>25.4</v>
      </c>
      <c r="X179" s="188">
        <f>H179*$K$1</f>
        <v>25.4</v>
      </c>
    </row>
    <row r="180" spans="1:25" s="126" customFormat="1" ht="15.75" thickBot="1" x14ac:dyDescent="0.3">
      <c r="A180" s="20"/>
      <c r="B180" s="230">
        <f>SUM(B174:B179)</f>
        <v>150</v>
      </c>
      <c r="C180" s="230">
        <f>SUM(C174:C179)</f>
        <v>73</v>
      </c>
      <c r="D180" s="151">
        <f>SUM(D174:D179)</f>
        <v>150</v>
      </c>
      <c r="E180" s="151">
        <f>SUM(E174:E179)</f>
        <v>73</v>
      </c>
      <c r="F180" s="121"/>
      <c r="G180" s="121">
        <f t="shared" ref="G180:M180" si="144">SUM(G174:G179)</f>
        <v>296</v>
      </c>
      <c r="H180" s="121">
        <f t="shared" si="144"/>
        <v>296</v>
      </c>
      <c r="I180" s="121">
        <f t="shared" si="144"/>
        <v>223</v>
      </c>
      <c r="J180" s="121">
        <f t="shared" si="144"/>
        <v>11725.289999999999</v>
      </c>
      <c r="K180" s="121">
        <f t="shared" si="144"/>
        <v>8688.9599999999991</v>
      </c>
      <c r="L180" s="121">
        <f t="shared" si="144"/>
        <v>1219430.1600000001</v>
      </c>
      <c r="M180" s="121">
        <f t="shared" si="144"/>
        <v>23192</v>
      </c>
      <c r="N180" s="125">
        <f>'Odometro-Kilometraje'!Y81</f>
        <v>12085</v>
      </c>
      <c r="O180" s="21">
        <f>(W180/N180)*100</f>
        <v>96.583367811336373</v>
      </c>
      <c r="P180" s="200"/>
      <c r="Q180" s="187"/>
      <c r="R180" s="187"/>
      <c r="S180" s="187"/>
      <c r="T180" s="187"/>
      <c r="U180" s="187"/>
      <c r="V180" s="187"/>
      <c r="W180" s="201">
        <f>SUM(W174:W179)</f>
        <v>11672.1</v>
      </c>
      <c r="X180" s="201">
        <f>SUM(X174:X179)</f>
        <v>11725.289999999999</v>
      </c>
    </row>
    <row r="181" spans="1:25" x14ac:dyDescent="0.25">
      <c r="A181" s="62">
        <f>A174+1</f>
        <v>45741</v>
      </c>
      <c r="B181" s="127">
        <v>47</v>
      </c>
      <c r="C181" s="127">
        <v>32</v>
      </c>
      <c r="D181" s="128">
        <f>'Data Ocupacion'!AZ42</f>
        <v>39</v>
      </c>
      <c r="E181" s="128">
        <f>'Data Ocupacion'!BA42</f>
        <v>31</v>
      </c>
      <c r="F181" s="127" t="s">
        <v>38</v>
      </c>
      <c r="G181" s="127">
        <f t="shared" ref="G181:G186" si="145">D181+E181*2</f>
        <v>101</v>
      </c>
      <c r="H181" s="127">
        <f>B181+C181*2</f>
        <v>111</v>
      </c>
      <c r="I181" s="127">
        <f t="shared" ref="I181:I186" si="146">D181+E181</f>
        <v>70</v>
      </c>
      <c r="J181" s="127">
        <f>G181*M$2</f>
        <v>4356.13</v>
      </c>
      <c r="K181" s="156">
        <f>I181*M$2</f>
        <v>3019.1000000000004</v>
      </c>
      <c r="L181" s="127">
        <f t="shared" ref="L181:L186" si="147">J181*104</f>
        <v>453037.52</v>
      </c>
      <c r="M181" s="127">
        <f t="shared" ref="M181:M186" si="148">I181*104</f>
        <v>7280</v>
      </c>
      <c r="N181" s="19"/>
      <c r="O181" s="19"/>
      <c r="P181" s="149"/>
      <c r="Q181" s="263"/>
      <c r="R181" s="189"/>
      <c r="S181" s="216"/>
      <c r="T181" s="323"/>
      <c r="U181" s="199"/>
      <c r="V181" s="245"/>
      <c r="W181" s="188">
        <f>J181-(Q181*($M$2-$K$1)+(R181*($M$2-$M$1))+  (T181*($M$2-$I$2)))</f>
        <v>4356.13</v>
      </c>
      <c r="X181" s="188">
        <f>H181*$M$2</f>
        <v>4787.43</v>
      </c>
    </row>
    <row r="182" spans="1:25" ht="18" customHeight="1" x14ac:dyDescent="0.25">
      <c r="A182" s="391" t="s">
        <v>194</v>
      </c>
      <c r="B182" s="127">
        <v>45</v>
      </c>
      <c r="C182" s="127">
        <v>33</v>
      </c>
      <c r="D182" s="128">
        <f>'Data Ocupacion'!AZ43</f>
        <v>38</v>
      </c>
      <c r="E182" s="128">
        <f>'Data Ocupacion'!BA43</f>
        <v>31</v>
      </c>
      <c r="F182" s="127" t="s">
        <v>52</v>
      </c>
      <c r="G182" s="127">
        <f t="shared" si="145"/>
        <v>100</v>
      </c>
      <c r="H182" s="127">
        <f t="shared" ref="H182:H188" si="149">B182+C182*2</f>
        <v>111</v>
      </c>
      <c r="I182" s="127">
        <f t="shared" si="146"/>
        <v>69</v>
      </c>
      <c r="J182" s="127">
        <f>G182*M$2</f>
        <v>4313</v>
      </c>
      <c r="K182" s="156">
        <f>I182*M$2</f>
        <v>2975.9700000000003</v>
      </c>
      <c r="L182" s="127">
        <f t="shared" si="147"/>
        <v>448552</v>
      </c>
      <c r="M182" s="127">
        <f t="shared" si="148"/>
        <v>7176</v>
      </c>
      <c r="N182" s="19"/>
      <c r="O182" s="19"/>
      <c r="P182" s="149"/>
      <c r="Q182" s="194"/>
      <c r="R182" s="194"/>
      <c r="S182" s="194"/>
      <c r="T182" s="193"/>
      <c r="U182" s="191"/>
      <c r="V182" s="246"/>
      <c r="W182" s="192">
        <f>J182-(T182*($M$2-$K$1)+(U182*($M$2-$M$1)))</f>
        <v>4313</v>
      </c>
      <c r="X182" s="188">
        <f>H182*$M$2</f>
        <v>4787.43</v>
      </c>
      <c r="Y182" s="175"/>
    </row>
    <row r="183" spans="1:25" x14ac:dyDescent="0.25">
      <c r="A183" s="391"/>
      <c r="B183" s="127">
        <v>29</v>
      </c>
      <c r="C183" s="127">
        <v>4</v>
      </c>
      <c r="D183" s="128">
        <f>'Data Ocupacion'!AZ44</f>
        <v>29</v>
      </c>
      <c r="E183" s="128">
        <f>'Data Ocupacion'!BA44</f>
        <v>4</v>
      </c>
      <c r="F183" s="127" t="s">
        <v>36</v>
      </c>
      <c r="G183" s="127">
        <f t="shared" si="145"/>
        <v>37</v>
      </c>
      <c r="H183" s="127">
        <f t="shared" si="149"/>
        <v>37</v>
      </c>
      <c r="I183" s="127">
        <f t="shared" si="146"/>
        <v>33</v>
      </c>
      <c r="J183" s="127">
        <f>G183*M$1</f>
        <v>1077.07</v>
      </c>
      <c r="K183" s="156">
        <f>I183*M$1</f>
        <v>960.63</v>
      </c>
      <c r="L183" s="127">
        <f t="shared" si="147"/>
        <v>112015.28</v>
      </c>
      <c r="M183" s="127">
        <f t="shared" si="148"/>
        <v>3432</v>
      </c>
      <c r="N183" s="19"/>
      <c r="O183" s="19"/>
      <c r="P183" s="149"/>
      <c r="Q183" s="193"/>
      <c r="R183" s="195"/>
      <c r="S183" s="217"/>
      <c r="T183" s="196"/>
      <c r="U183" s="197"/>
      <c r="V183" s="197"/>
      <c r="W183" s="188">
        <f>J183-(Q183*($M$1-$K$1))</f>
        <v>1077.07</v>
      </c>
      <c r="X183" s="188">
        <f>H183*$M$1</f>
        <v>1077.07</v>
      </c>
    </row>
    <row r="184" spans="1:25" ht="15" customHeight="1" x14ac:dyDescent="0.25">
      <c r="A184" s="391"/>
      <c r="B184" s="127">
        <v>28</v>
      </c>
      <c r="C184" s="127">
        <v>4</v>
      </c>
      <c r="D184" s="128">
        <f>'Data Ocupacion'!AZ45</f>
        <v>28</v>
      </c>
      <c r="E184" s="128">
        <f>'Data Ocupacion'!BA45</f>
        <v>4</v>
      </c>
      <c r="F184" s="127" t="s">
        <v>53</v>
      </c>
      <c r="G184" s="127">
        <f t="shared" si="145"/>
        <v>36</v>
      </c>
      <c r="H184" s="127">
        <f t="shared" si="149"/>
        <v>36</v>
      </c>
      <c r="I184" s="127">
        <f t="shared" si="146"/>
        <v>32</v>
      </c>
      <c r="J184" s="127">
        <f>G184*M$1</f>
        <v>1047.96</v>
      </c>
      <c r="K184" s="156">
        <f>I184*M$1</f>
        <v>931.52</v>
      </c>
      <c r="L184" s="127">
        <f t="shared" si="147"/>
        <v>108987.84</v>
      </c>
      <c r="M184" s="127">
        <f t="shared" si="148"/>
        <v>3328</v>
      </c>
      <c r="N184" s="19"/>
      <c r="O184" s="19"/>
      <c r="P184" s="149"/>
      <c r="Q184" s="197"/>
      <c r="R184" s="197"/>
      <c r="S184" s="197"/>
      <c r="T184" s="197"/>
      <c r="U184" s="197"/>
      <c r="V184" s="197"/>
      <c r="W184" s="188">
        <f>J184</f>
        <v>1047.96</v>
      </c>
      <c r="X184" s="188">
        <f>H184*$M$1</f>
        <v>1047.96</v>
      </c>
    </row>
    <row r="185" spans="1:25" ht="15.95" customHeight="1" x14ac:dyDescent="0.25">
      <c r="A185" s="391"/>
      <c r="B185" s="127">
        <v>0</v>
      </c>
      <c r="C185" s="127">
        <v>0</v>
      </c>
      <c r="D185" s="128">
        <f>'Data Ocupacion'!AZ46</f>
        <v>0</v>
      </c>
      <c r="E185" s="128">
        <f>'Data Ocupacion'!BA46</f>
        <v>0</v>
      </c>
      <c r="F185" s="127" t="s">
        <v>122</v>
      </c>
      <c r="G185" s="127">
        <f t="shared" si="145"/>
        <v>0</v>
      </c>
      <c r="H185" s="127">
        <f t="shared" si="149"/>
        <v>0</v>
      </c>
      <c r="I185" s="127">
        <f t="shared" si="146"/>
        <v>0</v>
      </c>
      <c r="J185" s="127">
        <f>G185*K$1</f>
        <v>0</v>
      </c>
      <c r="K185" s="156">
        <f>I185*K$1</f>
        <v>0</v>
      </c>
      <c r="L185" s="127">
        <f t="shared" si="147"/>
        <v>0</v>
      </c>
      <c r="M185" s="127">
        <f t="shared" si="148"/>
        <v>0</v>
      </c>
      <c r="N185" s="19"/>
      <c r="O185" s="19"/>
      <c r="P185" s="149"/>
      <c r="Q185" s="197"/>
      <c r="R185" s="197"/>
      <c r="S185" s="197"/>
      <c r="T185" s="197"/>
      <c r="U185" s="197"/>
      <c r="V185" s="197"/>
      <c r="W185" s="188">
        <f>J185</f>
        <v>0</v>
      </c>
      <c r="X185" s="188">
        <f>H185*$K$1</f>
        <v>0</v>
      </c>
    </row>
    <row r="186" spans="1:25" x14ac:dyDescent="0.25">
      <c r="A186" s="391"/>
      <c r="B186" s="127">
        <v>1</v>
      </c>
      <c r="C186" s="127">
        <v>0</v>
      </c>
      <c r="D186" s="128">
        <f>'Data Ocupacion'!AZ47</f>
        <v>1</v>
      </c>
      <c r="E186" s="128">
        <f>'Data Ocupacion'!BA47</f>
        <v>0</v>
      </c>
      <c r="F186" s="127" t="s">
        <v>35</v>
      </c>
      <c r="G186" s="127">
        <f t="shared" si="145"/>
        <v>1</v>
      </c>
      <c r="H186" s="127">
        <f t="shared" si="149"/>
        <v>1</v>
      </c>
      <c r="I186" s="127">
        <f t="shared" si="146"/>
        <v>1</v>
      </c>
      <c r="J186" s="127">
        <f>G186*K$1</f>
        <v>25.4</v>
      </c>
      <c r="K186" s="156">
        <f>I186*K$1</f>
        <v>25.4</v>
      </c>
      <c r="L186" s="127">
        <f t="shared" si="147"/>
        <v>2641.6</v>
      </c>
      <c r="M186" s="127">
        <f t="shared" si="148"/>
        <v>104</v>
      </c>
      <c r="N186" s="19"/>
      <c r="O186" s="19"/>
      <c r="P186" s="149"/>
      <c r="Q186" s="197"/>
      <c r="R186" s="197"/>
      <c r="S186" s="197"/>
      <c r="T186" s="197"/>
      <c r="U186" s="197"/>
      <c r="V186" s="197"/>
      <c r="W186" s="188">
        <f>J186</f>
        <v>25.4</v>
      </c>
      <c r="X186" s="188">
        <f>H186*$K$1</f>
        <v>25.4</v>
      </c>
    </row>
    <row r="187" spans="1:25" s="126" customFormat="1" x14ac:dyDescent="0.25">
      <c r="A187" s="391"/>
      <c r="B187" s="127">
        <v>0</v>
      </c>
      <c r="C187" s="127">
        <v>0</v>
      </c>
      <c r="D187" s="128">
        <f>'Data Ocupacion'!AZ56</f>
        <v>8</v>
      </c>
      <c r="E187" s="128">
        <f>'Data Ocupacion'!BA56</f>
        <v>1</v>
      </c>
      <c r="F187" s="127" t="s">
        <v>192</v>
      </c>
      <c r="G187" s="127">
        <f t="shared" ref="G187:G188" si="150">D187+E187*2</f>
        <v>10</v>
      </c>
      <c r="H187" s="127">
        <f t="shared" si="149"/>
        <v>0</v>
      </c>
      <c r="I187" s="127">
        <f t="shared" ref="I187:I188" si="151">D187+E187</f>
        <v>9</v>
      </c>
      <c r="J187" s="127">
        <f>G187*U$1</f>
        <v>391.9</v>
      </c>
      <c r="K187" s="156">
        <f>I187*U$1</f>
        <v>352.71</v>
      </c>
      <c r="L187" s="127">
        <f t="shared" ref="L187:L188" si="152">J187*104</f>
        <v>40757.599999999999</v>
      </c>
      <c r="M187" s="127">
        <f t="shared" ref="M187:M188" si="153">I187*104</f>
        <v>936</v>
      </c>
      <c r="N187" s="19"/>
      <c r="O187" s="19"/>
      <c r="P187" s="149"/>
      <c r="Q187" s="197"/>
      <c r="R187" s="197"/>
      <c r="S187" s="197"/>
      <c r="T187" s="197"/>
      <c r="U187" s="197"/>
      <c r="V187" s="197"/>
      <c r="W187" s="188">
        <f t="shared" ref="W187:W188" si="154">J187</f>
        <v>391.9</v>
      </c>
      <c r="X187" s="188">
        <f>H187*$U$1</f>
        <v>0</v>
      </c>
    </row>
    <row r="188" spans="1:25" s="126" customFormat="1" ht="15.75" thickBot="1" x14ac:dyDescent="0.3">
      <c r="A188" s="391"/>
      <c r="B188" s="127">
        <v>0</v>
      </c>
      <c r="C188" s="127">
        <v>0</v>
      </c>
      <c r="D188" s="128">
        <f>'Data Ocupacion'!AZ57</f>
        <v>8</v>
      </c>
      <c r="E188" s="128">
        <f>'Data Ocupacion'!BA57</f>
        <v>1</v>
      </c>
      <c r="F188" s="127" t="s">
        <v>193</v>
      </c>
      <c r="G188" s="127">
        <f t="shared" si="150"/>
        <v>10</v>
      </c>
      <c r="H188" s="127">
        <f t="shared" si="149"/>
        <v>0</v>
      </c>
      <c r="I188" s="127">
        <f t="shared" si="151"/>
        <v>9</v>
      </c>
      <c r="J188" s="127">
        <f>G188*U$1</f>
        <v>391.9</v>
      </c>
      <c r="K188" s="156">
        <f>I188*U$1</f>
        <v>352.71</v>
      </c>
      <c r="L188" s="127">
        <f t="shared" si="152"/>
        <v>40757.599999999999</v>
      </c>
      <c r="M188" s="127">
        <f t="shared" si="153"/>
        <v>936</v>
      </c>
      <c r="N188" s="19"/>
      <c r="O188" s="19"/>
      <c r="P188" s="149"/>
      <c r="Q188" s="197"/>
      <c r="R188" s="197"/>
      <c r="S188" s="197"/>
      <c r="T188" s="197"/>
      <c r="U188" s="197"/>
      <c r="V188" s="197"/>
      <c r="W188" s="188">
        <f t="shared" si="154"/>
        <v>391.9</v>
      </c>
      <c r="X188" s="188">
        <f>H188*$U$1</f>
        <v>0</v>
      </c>
    </row>
    <row r="189" spans="1:25" s="126" customFormat="1" ht="15.75" thickBot="1" x14ac:dyDescent="0.3">
      <c r="A189" s="209"/>
      <c r="B189" s="230">
        <f>SUM(B181:B188)</f>
        <v>150</v>
      </c>
      <c r="C189" s="230">
        <f>SUM(C181:C188)</f>
        <v>73</v>
      </c>
      <c r="D189" s="155">
        <f>SUM(D181:D188)</f>
        <v>151</v>
      </c>
      <c r="E189" s="155">
        <f>SUM(E181:E188)</f>
        <v>72</v>
      </c>
      <c r="F189" s="121"/>
      <c r="G189" s="121">
        <f t="shared" ref="G189:M189" si="155">SUM(G181:G188)</f>
        <v>295</v>
      </c>
      <c r="H189" s="121">
        <f t="shared" si="155"/>
        <v>296</v>
      </c>
      <c r="I189" s="121">
        <f t="shared" si="155"/>
        <v>223</v>
      </c>
      <c r="J189" s="122">
        <f t="shared" si="155"/>
        <v>11603.359999999999</v>
      </c>
      <c r="K189" s="121">
        <f t="shared" si="155"/>
        <v>8618.0399999999991</v>
      </c>
      <c r="L189" s="120">
        <f t="shared" si="155"/>
        <v>1206749.4400000004</v>
      </c>
      <c r="M189" s="154">
        <f t="shared" si="155"/>
        <v>23192</v>
      </c>
      <c r="N189" s="125">
        <f>'Odometro-Kilometraje'!Z81</f>
        <v>12045</v>
      </c>
      <c r="O189" s="21">
        <f>(W189/N189)*100</f>
        <v>96.333416355334151</v>
      </c>
      <c r="P189" s="200"/>
      <c r="Q189" s="187"/>
      <c r="R189" s="187"/>
      <c r="S189" s="187"/>
      <c r="T189" s="187"/>
      <c r="U189" s="187"/>
      <c r="V189" s="187"/>
      <c r="W189" s="201">
        <f>SUM(W181:W188)</f>
        <v>11603.359999999999</v>
      </c>
      <c r="X189" s="201">
        <f>SUM(X181:X188)</f>
        <v>11725.289999999999</v>
      </c>
    </row>
    <row r="190" spans="1:25" x14ac:dyDescent="0.25">
      <c r="A190" s="62">
        <f>A181+1</f>
        <v>45742</v>
      </c>
      <c r="B190" s="127">
        <v>47</v>
      </c>
      <c r="C190" s="127">
        <v>32</v>
      </c>
      <c r="D190" s="128">
        <f>'Data Ocupacion'!BB42</f>
        <v>29</v>
      </c>
      <c r="E190" s="128">
        <f>'Data Ocupacion'!BC42</f>
        <v>32</v>
      </c>
      <c r="F190" s="127" t="s">
        <v>38</v>
      </c>
      <c r="G190" s="127">
        <f t="shared" ref="G190:G197" si="156">D190+E190*2</f>
        <v>93</v>
      </c>
      <c r="H190" s="127">
        <f>B190+C190*2</f>
        <v>111</v>
      </c>
      <c r="I190" s="127">
        <f t="shared" ref="I190:I197" si="157">D190+E190</f>
        <v>61</v>
      </c>
      <c r="J190" s="127">
        <f>G190*M$2</f>
        <v>4011.09</v>
      </c>
      <c r="K190" s="156">
        <f>I190*M$2</f>
        <v>2630.9300000000003</v>
      </c>
      <c r="L190" s="127">
        <f t="shared" ref="L190:L197" si="158">J190*104</f>
        <v>417153.36</v>
      </c>
      <c r="M190" s="127">
        <f t="shared" ref="M190:M197" si="159">I190*104</f>
        <v>6344</v>
      </c>
      <c r="N190" s="19"/>
      <c r="O190" s="19"/>
      <c r="P190" s="149"/>
      <c r="Q190" s="263"/>
      <c r="R190" s="189"/>
      <c r="S190" s="216"/>
      <c r="T190" s="198"/>
      <c r="U190" s="199"/>
      <c r="V190" s="245"/>
      <c r="W190" s="188">
        <f>J190-(Q190*($M$2-$K$1)+(R190*($M$2-$M$1))+  (S190*($M$2-$I$2))+(T190*$K$1))</f>
        <v>4011.09</v>
      </c>
      <c r="X190" s="188">
        <f>H190*$M$2</f>
        <v>4787.43</v>
      </c>
    </row>
    <row r="191" spans="1:25" ht="15" customHeight="1" x14ac:dyDescent="0.25">
      <c r="A191" s="391" t="s">
        <v>197</v>
      </c>
      <c r="B191" s="127">
        <v>45</v>
      </c>
      <c r="C191" s="127">
        <v>33</v>
      </c>
      <c r="D191" s="128">
        <f>'Data Ocupacion'!BB43</f>
        <v>30</v>
      </c>
      <c r="E191" s="128">
        <f>'Data Ocupacion'!BC43</f>
        <v>28</v>
      </c>
      <c r="F191" s="127" t="s">
        <v>52</v>
      </c>
      <c r="G191" s="127">
        <f t="shared" si="156"/>
        <v>86</v>
      </c>
      <c r="H191" s="127">
        <f t="shared" ref="H191:H199" si="160">B191+C191*2</f>
        <v>111</v>
      </c>
      <c r="I191" s="127">
        <f t="shared" si="157"/>
        <v>58</v>
      </c>
      <c r="J191" s="127">
        <f>G191*M$2</f>
        <v>3709.1800000000003</v>
      </c>
      <c r="K191" s="156">
        <f>I191*M$2</f>
        <v>2501.54</v>
      </c>
      <c r="L191" s="127">
        <f t="shared" si="158"/>
        <v>385754.72000000003</v>
      </c>
      <c r="M191" s="127">
        <f t="shared" si="159"/>
        <v>6032</v>
      </c>
      <c r="N191" s="19"/>
      <c r="O191" s="19"/>
      <c r="P191" s="149"/>
      <c r="Q191" s="194"/>
      <c r="R191" s="194"/>
      <c r="S191" s="229"/>
      <c r="T191" s="263"/>
      <c r="U191" s="189"/>
      <c r="V191" s="216"/>
      <c r="W191" s="192">
        <f>J191-(T191*($M$2-$K$1)+(U191*($M$2-$M$1)))</f>
        <v>3709.1800000000003</v>
      </c>
      <c r="X191" s="188">
        <f>H191*$M$2</f>
        <v>4787.43</v>
      </c>
    </row>
    <row r="192" spans="1:25" x14ac:dyDescent="0.25">
      <c r="A192" s="391"/>
      <c r="B192" s="127">
        <v>29</v>
      </c>
      <c r="C192" s="127">
        <v>4</v>
      </c>
      <c r="D192" s="128">
        <f>'Data Ocupacion'!BB44</f>
        <v>27</v>
      </c>
      <c r="E192" s="128">
        <f>'Data Ocupacion'!BC44</f>
        <v>3</v>
      </c>
      <c r="F192" s="127" t="s">
        <v>36</v>
      </c>
      <c r="G192" s="127">
        <f t="shared" si="156"/>
        <v>33</v>
      </c>
      <c r="H192" s="127">
        <f t="shared" si="160"/>
        <v>37</v>
      </c>
      <c r="I192" s="127">
        <f t="shared" si="157"/>
        <v>30</v>
      </c>
      <c r="J192" s="127">
        <f>G192*M$1</f>
        <v>960.63</v>
      </c>
      <c r="K192" s="156">
        <f>I192*M$1</f>
        <v>873.3</v>
      </c>
      <c r="L192" s="127">
        <f t="shared" si="158"/>
        <v>99905.52</v>
      </c>
      <c r="M192" s="127">
        <f t="shared" si="159"/>
        <v>3120</v>
      </c>
      <c r="N192" s="19"/>
      <c r="O192" s="19" t="s">
        <v>147</v>
      </c>
      <c r="P192" s="149"/>
      <c r="Q192" s="193"/>
      <c r="R192" s="195"/>
      <c r="S192" s="217"/>
      <c r="T192" s="196"/>
      <c r="U192" s="197"/>
      <c r="V192" s="197"/>
      <c r="W192" s="188">
        <f>J192-(Q192*($M$1-$K$1))</f>
        <v>960.63</v>
      </c>
      <c r="X192" s="188">
        <f>H192*$M$1</f>
        <v>1077.07</v>
      </c>
    </row>
    <row r="193" spans="1:24" ht="15" customHeight="1" x14ac:dyDescent="0.25">
      <c r="A193" s="391"/>
      <c r="B193" s="127">
        <v>28</v>
      </c>
      <c r="C193" s="127">
        <v>4</v>
      </c>
      <c r="D193" s="128">
        <f>'Data Ocupacion'!BB45</f>
        <v>25</v>
      </c>
      <c r="E193" s="128">
        <f>'Data Ocupacion'!BC45</f>
        <v>3</v>
      </c>
      <c r="F193" s="127" t="s">
        <v>53</v>
      </c>
      <c r="G193" s="127">
        <f t="shared" si="156"/>
        <v>31</v>
      </c>
      <c r="H193" s="127">
        <f t="shared" si="160"/>
        <v>36</v>
      </c>
      <c r="I193" s="127">
        <f t="shared" si="157"/>
        <v>28</v>
      </c>
      <c r="J193" s="127">
        <f>G193*M$1</f>
        <v>902.41</v>
      </c>
      <c r="K193" s="156">
        <f>I193*M$1</f>
        <v>815.07999999999993</v>
      </c>
      <c r="L193" s="127">
        <f t="shared" si="158"/>
        <v>93850.64</v>
      </c>
      <c r="M193" s="127">
        <f t="shared" si="159"/>
        <v>2912</v>
      </c>
      <c r="N193" s="19"/>
      <c r="O193" s="19"/>
      <c r="P193" s="149"/>
      <c r="Q193" s="197"/>
      <c r="R193" s="197"/>
      <c r="S193" s="197"/>
      <c r="T193" s="197"/>
      <c r="U193" s="197"/>
      <c r="V193" s="197"/>
      <c r="W193" s="188">
        <f>J193</f>
        <v>902.41</v>
      </c>
      <c r="X193" s="188">
        <f>H193*$M$1</f>
        <v>1047.96</v>
      </c>
    </row>
    <row r="194" spans="1:24" ht="15" customHeight="1" x14ac:dyDescent="0.25">
      <c r="A194" s="391"/>
      <c r="B194" s="127">
        <v>0</v>
      </c>
      <c r="C194" s="127">
        <v>0</v>
      </c>
      <c r="D194" s="128">
        <f>'Data Ocupacion'!BB46</f>
        <v>0</v>
      </c>
      <c r="E194" s="128">
        <f>'Data Ocupacion'!BC46</f>
        <v>0</v>
      </c>
      <c r="F194" s="127" t="s">
        <v>122</v>
      </c>
      <c r="G194" s="127">
        <f t="shared" si="156"/>
        <v>0</v>
      </c>
      <c r="H194" s="127">
        <f t="shared" si="160"/>
        <v>0</v>
      </c>
      <c r="I194" s="127">
        <f t="shared" si="157"/>
        <v>0</v>
      </c>
      <c r="J194" s="127">
        <f>G194*K$1</f>
        <v>0</v>
      </c>
      <c r="K194" s="156">
        <f>I194*K$1</f>
        <v>0</v>
      </c>
      <c r="L194" s="127">
        <f t="shared" si="158"/>
        <v>0</v>
      </c>
      <c r="M194" s="127">
        <f t="shared" si="159"/>
        <v>0</v>
      </c>
      <c r="N194" s="19"/>
      <c r="O194" s="19"/>
      <c r="P194" s="149"/>
      <c r="Q194" s="197"/>
      <c r="R194" s="197"/>
      <c r="S194" s="197"/>
      <c r="T194" s="197"/>
      <c r="U194" s="197"/>
      <c r="V194" s="197"/>
      <c r="W194" s="188">
        <f>J194</f>
        <v>0</v>
      </c>
      <c r="X194" s="188">
        <f>H194*$K$1</f>
        <v>0</v>
      </c>
    </row>
    <row r="195" spans="1:24" ht="15" customHeight="1" x14ac:dyDescent="0.25">
      <c r="A195" s="391"/>
      <c r="B195" s="127">
        <v>1</v>
      </c>
      <c r="C195" s="127">
        <v>0</v>
      </c>
      <c r="D195" s="128">
        <f>'Data Ocupacion'!BB47</f>
        <v>1</v>
      </c>
      <c r="E195" s="128">
        <f>'Data Ocupacion'!BC47</f>
        <v>0</v>
      </c>
      <c r="F195" s="127" t="s">
        <v>35</v>
      </c>
      <c r="G195" s="127">
        <f t="shared" si="156"/>
        <v>1</v>
      </c>
      <c r="H195" s="127">
        <f t="shared" si="160"/>
        <v>1</v>
      </c>
      <c r="I195" s="127">
        <f t="shared" si="157"/>
        <v>1</v>
      </c>
      <c r="J195" s="127">
        <f>G195*K$1</f>
        <v>25.4</v>
      </c>
      <c r="K195" s="156">
        <f>I195*K$1</f>
        <v>25.4</v>
      </c>
      <c r="L195" s="127">
        <f t="shared" si="158"/>
        <v>2641.6</v>
      </c>
      <c r="M195" s="127">
        <f t="shared" si="159"/>
        <v>104</v>
      </c>
      <c r="N195" s="19"/>
      <c r="O195" s="19"/>
      <c r="P195" s="149"/>
      <c r="Q195" s="197"/>
      <c r="R195" s="197"/>
      <c r="S195" s="197"/>
      <c r="T195" s="197"/>
      <c r="U195" s="197"/>
      <c r="V195" s="197"/>
      <c r="W195" s="188">
        <f>J195</f>
        <v>25.4</v>
      </c>
      <c r="X195" s="188">
        <f>H195*$K$1</f>
        <v>25.4</v>
      </c>
    </row>
    <row r="196" spans="1:24" s="126" customFormat="1" ht="15" customHeight="1" x14ac:dyDescent="0.25">
      <c r="A196" s="391"/>
      <c r="B196" s="127">
        <v>0</v>
      </c>
      <c r="C196" s="127">
        <v>0</v>
      </c>
      <c r="D196" s="128">
        <f>'Data Ocupacion'!BB20</f>
        <v>2</v>
      </c>
      <c r="E196" s="128">
        <f>'Data Ocupacion'!BC20</f>
        <v>0</v>
      </c>
      <c r="F196" s="127" t="s">
        <v>179</v>
      </c>
      <c r="G196" s="236">
        <f t="shared" si="156"/>
        <v>2</v>
      </c>
      <c r="H196" s="127">
        <f t="shared" si="160"/>
        <v>0</v>
      </c>
      <c r="I196" s="127">
        <f t="shared" si="157"/>
        <v>2</v>
      </c>
      <c r="J196" s="127">
        <f>G196*I$1</f>
        <v>43.4</v>
      </c>
      <c r="K196" s="156">
        <f>I196*I$1</f>
        <v>43.4</v>
      </c>
      <c r="L196" s="127">
        <f t="shared" si="158"/>
        <v>4513.5999999999995</v>
      </c>
      <c r="M196" s="127">
        <f t="shared" si="159"/>
        <v>208</v>
      </c>
      <c r="N196" s="19"/>
      <c r="O196" s="19"/>
      <c r="P196" s="149"/>
      <c r="Q196" s="197"/>
      <c r="R196" s="197"/>
      <c r="S196" s="197"/>
      <c r="T196" s="197"/>
      <c r="U196" s="197"/>
      <c r="V196" s="197"/>
      <c r="W196" s="188">
        <f t="shared" ref="W196:W199" si="161">J196</f>
        <v>43.4</v>
      </c>
      <c r="X196" s="188">
        <f>H196*$I$1</f>
        <v>0</v>
      </c>
    </row>
    <row r="197" spans="1:24" s="126" customFormat="1" ht="15" customHeight="1" x14ac:dyDescent="0.25">
      <c r="A197" s="391"/>
      <c r="B197" s="127">
        <v>0</v>
      </c>
      <c r="C197" s="127">
        <v>0</v>
      </c>
      <c r="D197" s="128">
        <f>'Data Ocupacion'!BB21</f>
        <v>2</v>
      </c>
      <c r="E197" s="128">
        <f>'Data Ocupacion'!BC21</f>
        <v>1</v>
      </c>
      <c r="F197" s="127" t="s">
        <v>125</v>
      </c>
      <c r="G197" s="127">
        <f t="shared" si="156"/>
        <v>4</v>
      </c>
      <c r="H197" s="127">
        <f t="shared" si="160"/>
        <v>0</v>
      </c>
      <c r="I197" s="127">
        <f t="shared" si="157"/>
        <v>3</v>
      </c>
      <c r="J197" s="127">
        <f>G197*I$1</f>
        <v>86.8</v>
      </c>
      <c r="K197" s="156">
        <f>I197*I$1</f>
        <v>65.099999999999994</v>
      </c>
      <c r="L197" s="127">
        <f t="shared" si="158"/>
        <v>9027.1999999999989</v>
      </c>
      <c r="M197" s="127">
        <f t="shared" si="159"/>
        <v>312</v>
      </c>
      <c r="N197" s="19"/>
      <c r="O197" s="19"/>
      <c r="P197" s="149"/>
      <c r="Q197" s="197"/>
      <c r="R197" s="197"/>
      <c r="S197" s="197"/>
      <c r="T197" s="197"/>
      <c r="U197" s="197"/>
      <c r="V197" s="197"/>
      <c r="W197" s="188">
        <f t="shared" si="161"/>
        <v>86.8</v>
      </c>
      <c r="X197" s="188">
        <f>H197*$I$1</f>
        <v>0</v>
      </c>
    </row>
    <row r="198" spans="1:24" s="126" customFormat="1" ht="15" customHeight="1" x14ac:dyDescent="0.25">
      <c r="A198" s="391"/>
      <c r="B198" s="127">
        <v>0</v>
      </c>
      <c r="C198" s="127">
        <v>0</v>
      </c>
      <c r="D198" s="128">
        <f>'Data Ocupacion'!BB54</f>
        <v>10</v>
      </c>
      <c r="E198" s="128">
        <f>'Data Ocupacion'!BC54</f>
        <v>5</v>
      </c>
      <c r="F198" s="127" t="s">
        <v>180</v>
      </c>
      <c r="G198" s="127">
        <f t="shared" ref="G198:G199" si="162">D198+E198*2</f>
        <v>20</v>
      </c>
      <c r="H198" s="127">
        <f t="shared" si="160"/>
        <v>0</v>
      </c>
      <c r="I198" s="127">
        <f t="shared" ref="I198:I199" si="163">D198+E198</f>
        <v>15</v>
      </c>
      <c r="J198" s="127">
        <f>G198*O$2</f>
        <v>714.59999999999991</v>
      </c>
      <c r="K198" s="156">
        <f>I198*O$2</f>
        <v>535.94999999999993</v>
      </c>
      <c r="L198" s="127">
        <f t="shared" ref="L198:L199" si="164">J198*104</f>
        <v>74318.399999999994</v>
      </c>
      <c r="M198" s="127">
        <f t="shared" ref="M198:M199" si="165">I198*104</f>
        <v>1560</v>
      </c>
      <c r="N198" s="19"/>
      <c r="O198" s="19"/>
      <c r="P198" s="149"/>
      <c r="Q198" s="197"/>
      <c r="R198" s="197"/>
      <c r="S198" s="197"/>
      <c r="T198" s="197"/>
      <c r="U198" s="197"/>
      <c r="V198" s="197"/>
      <c r="W198" s="188">
        <f t="shared" si="161"/>
        <v>714.59999999999991</v>
      </c>
      <c r="X198" s="188">
        <f>H198*$O$2</f>
        <v>0</v>
      </c>
    </row>
    <row r="199" spans="1:24" s="126" customFormat="1" ht="15" customHeight="1" thickBot="1" x14ac:dyDescent="0.3">
      <c r="A199" s="391"/>
      <c r="B199" s="127">
        <v>0</v>
      </c>
      <c r="C199" s="127">
        <v>0</v>
      </c>
      <c r="D199" s="128">
        <f>'Data Ocupacion'!BB55</f>
        <v>11</v>
      </c>
      <c r="E199" s="128">
        <f>'Data Ocupacion'!BC55</f>
        <v>5</v>
      </c>
      <c r="F199" s="127" t="s">
        <v>181</v>
      </c>
      <c r="G199" s="127">
        <f t="shared" si="162"/>
        <v>21</v>
      </c>
      <c r="H199" s="127">
        <f t="shared" si="160"/>
        <v>0</v>
      </c>
      <c r="I199" s="127">
        <f t="shared" si="163"/>
        <v>16</v>
      </c>
      <c r="J199" s="127">
        <f>G199*O$2</f>
        <v>750.32999999999993</v>
      </c>
      <c r="K199" s="156">
        <f>I199*O$2</f>
        <v>571.67999999999995</v>
      </c>
      <c r="L199" s="127">
        <f t="shared" si="164"/>
        <v>78034.319999999992</v>
      </c>
      <c r="M199" s="127">
        <f t="shared" si="165"/>
        <v>1664</v>
      </c>
      <c r="N199" s="19"/>
      <c r="O199" s="19"/>
      <c r="P199" s="149"/>
      <c r="Q199" s="197"/>
      <c r="R199" s="197"/>
      <c r="S199" s="197"/>
      <c r="T199" s="197"/>
      <c r="U199" s="197"/>
      <c r="V199" s="197"/>
      <c r="W199" s="188">
        <f t="shared" si="161"/>
        <v>750.32999999999993</v>
      </c>
      <c r="X199" s="188">
        <f>H199*$O$2</f>
        <v>0</v>
      </c>
    </row>
    <row r="200" spans="1:24" s="126" customFormat="1" ht="15.75" thickBot="1" x14ac:dyDescent="0.3">
      <c r="A200" s="20"/>
      <c r="B200" s="230">
        <f>SUM(B190:B199)</f>
        <v>150</v>
      </c>
      <c r="C200" s="230">
        <f>SUM(C190:C199)</f>
        <v>73</v>
      </c>
      <c r="D200" s="155">
        <f>SUM(D190:D199)</f>
        <v>137</v>
      </c>
      <c r="E200" s="155">
        <f>SUM(E190:E199)</f>
        <v>77</v>
      </c>
      <c r="F200" s="121"/>
      <c r="G200" s="121">
        <f t="shared" ref="G200:M200" si="166">SUM(G190:G199)</f>
        <v>291</v>
      </c>
      <c r="H200" s="121">
        <f t="shared" si="166"/>
        <v>296</v>
      </c>
      <c r="I200" s="121">
        <f t="shared" si="166"/>
        <v>214</v>
      </c>
      <c r="J200" s="122">
        <f t="shared" si="166"/>
        <v>11203.839999999998</v>
      </c>
      <c r="K200" s="121">
        <f t="shared" si="166"/>
        <v>8062.38</v>
      </c>
      <c r="L200" s="120">
        <f t="shared" si="166"/>
        <v>1165199.3600000001</v>
      </c>
      <c r="M200" s="154">
        <f t="shared" si="166"/>
        <v>22256</v>
      </c>
      <c r="N200" s="125">
        <f>'Odometro-Kilometraje'!AA81</f>
        <v>11518</v>
      </c>
      <c r="O200" s="21">
        <f>(W200/N200)*100</f>
        <v>97.272443132488263</v>
      </c>
      <c r="P200" s="200"/>
      <c r="Q200" s="187"/>
      <c r="R200" s="187"/>
      <c r="S200" s="187"/>
      <c r="T200" s="187"/>
      <c r="U200" s="187"/>
      <c r="V200" s="187"/>
      <c r="W200" s="201">
        <f>SUM(W190:W199)</f>
        <v>11203.839999999998</v>
      </c>
      <c r="X200" s="201">
        <f>SUM(X190:X199)</f>
        <v>11725.289999999999</v>
      </c>
    </row>
    <row r="201" spans="1:24" x14ac:dyDescent="0.25">
      <c r="A201" s="62">
        <f>A190+1</f>
        <v>45743</v>
      </c>
      <c r="B201" s="127">
        <v>47</v>
      </c>
      <c r="C201" s="127">
        <v>32</v>
      </c>
      <c r="D201" s="128">
        <f>'Data Ocupacion'!BD42</f>
        <v>47</v>
      </c>
      <c r="E201" s="128">
        <f>'Data Ocupacion'!BE42</f>
        <v>32</v>
      </c>
      <c r="F201" s="127" t="s">
        <v>38</v>
      </c>
      <c r="G201" s="127">
        <f t="shared" ref="G201:G206" si="167">D201+E201*2</f>
        <v>111</v>
      </c>
      <c r="H201" s="127">
        <f>B201+C201*2</f>
        <v>111</v>
      </c>
      <c r="I201" s="127">
        <f t="shared" ref="I201:I206" si="168">D201+E201</f>
        <v>79</v>
      </c>
      <c r="J201" s="127">
        <f>G201*M$2</f>
        <v>4787.43</v>
      </c>
      <c r="K201" s="156">
        <f>I201*M$2</f>
        <v>3407.27</v>
      </c>
      <c r="L201" s="127">
        <f t="shared" ref="L201:L206" si="169">J201*104</f>
        <v>497892.72000000003</v>
      </c>
      <c r="M201" s="127">
        <f t="shared" ref="M201:M206" si="170">I201*104</f>
        <v>8216</v>
      </c>
      <c r="N201" s="19"/>
      <c r="O201" s="19"/>
      <c r="P201" s="149"/>
      <c r="Q201" s="193"/>
      <c r="R201" s="189"/>
      <c r="S201" s="216"/>
      <c r="T201" s="353">
        <v>4</v>
      </c>
      <c r="U201" s="199"/>
      <c r="V201" s="245"/>
      <c r="W201" s="188">
        <f>J201-(Q201*($M$2-$K$1)+(R201*($M$2-$M$1))+  (S201*($M$2-$I$2))+(T201*$K$1))</f>
        <v>4685.83</v>
      </c>
      <c r="X201" s="188">
        <f>H201*$M$2</f>
        <v>4787.43</v>
      </c>
    </row>
    <row r="202" spans="1:24" ht="18" customHeight="1" x14ac:dyDescent="0.25">
      <c r="A202" s="210"/>
      <c r="B202" s="127">
        <v>45</v>
      </c>
      <c r="C202" s="127">
        <v>33</v>
      </c>
      <c r="D202" s="128">
        <f>'Data Ocupacion'!BD43</f>
        <v>45</v>
      </c>
      <c r="E202" s="128">
        <f>'Data Ocupacion'!BE43</f>
        <v>33</v>
      </c>
      <c r="F202" s="127" t="s">
        <v>52</v>
      </c>
      <c r="G202" s="127">
        <f t="shared" si="167"/>
        <v>111</v>
      </c>
      <c r="H202" s="127">
        <f t="shared" ref="H202:H206" si="171">B202+C202*2</f>
        <v>111</v>
      </c>
      <c r="I202" s="127">
        <f t="shared" si="168"/>
        <v>78</v>
      </c>
      <c r="J202" s="127">
        <f>G202*M$2</f>
        <v>4787.43</v>
      </c>
      <c r="K202" s="156">
        <f>I202*M$2</f>
        <v>3364.1400000000003</v>
      </c>
      <c r="L202" s="127">
        <f t="shared" si="169"/>
        <v>497892.72000000003</v>
      </c>
      <c r="M202" s="127">
        <f t="shared" si="170"/>
        <v>8112</v>
      </c>
      <c r="N202" s="19"/>
      <c r="O202" s="19"/>
      <c r="P202" s="149"/>
      <c r="Q202" s="194"/>
      <c r="R202" s="194"/>
      <c r="S202" s="194"/>
      <c r="T202" s="193"/>
      <c r="U202" s="214"/>
      <c r="V202" s="246"/>
      <c r="W202" s="192">
        <f>J202-(T202*($M$2-$K$1)+(U202*($M$2-$M$1)))</f>
        <v>4787.43</v>
      </c>
      <c r="X202" s="188">
        <f>H202*$M$2</f>
        <v>4787.43</v>
      </c>
    </row>
    <row r="203" spans="1:24" ht="15" customHeight="1" x14ac:dyDescent="0.25">
      <c r="A203" s="210"/>
      <c r="B203" s="127">
        <v>29</v>
      </c>
      <c r="C203" s="127">
        <v>4</v>
      </c>
      <c r="D203" s="128">
        <f>'Data Ocupacion'!BD44</f>
        <v>29</v>
      </c>
      <c r="E203" s="128">
        <f>'Data Ocupacion'!BE44</f>
        <v>4</v>
      </c>
      <c r="F203" s="127" t="s">
        <v>36</v>
      </c>
      <c r="G203" s="127">
        <f t="shared" si="167"/>
        <v>37</v>
      </c>
      <c r="H203" s="127">
        <f t="shared" si="171"/>
        <v>37</v>
      </c>
      <c r="I203" s="127">
        <f t="shared" si="168"/>
        <v>33</v>
      </c>
      <c r="J203" s="127">
        <f>G203*M$1</f>
        <v>1077.07</v>
      </c>
      <c r="K203" s="156">
        <f>I203*M$1</f>
        <v>960.63</v>
      </c>
      <c r="L203" s="127">
        <f t="shared" si="169"/>
        <v>112015.28</v>
      </c>
      <c r="M203" s="127">
        <f t="shared" si="170"/>
        <v>3432</v>
      </c>
      <c r="N203" s="19"/>
      <c r="O203" s="19"/>
      <c r="P203" s="149"/>
      <c r="Q203" s="193"/>
      <c r="R203" s="195"/>
      <c r="S203" s="217"/>
      <c r="T203" s="196"/>
      <c r="U203" s="197"/>
      <c r="V203" s="197"/>
      <c r="W203" s="188">
        <f>J203-(Q203*($M$1-$K$1))</f>
        <v>1077.07</v>
      </c>
      <c r="X203" s="188">
        <f>H203*$M$1</f>
        <v>1077.07</v>
      </c>
    </row>
    <row r="204" spans="1:24" ht="15" customHeight="1" x14ac:dyDescent="0.25">
      <c r="A204" s="210"/>
      <c r="B204" s="127">
        <v>28</v>
      </c>
      <c r="C204" s="127">
        <v>4</v>
      </c>
      <c r="D204" s="128">
        <f>'Data Ocupacion'!BD45</f>
        <v>28</v>
      </c>
      <c r="E204" s="128">
        <f>'Data Ocupacion'!BE45</f>
        <v>4</v>
      </c>
      <c r="F204" s="127" t="s">
        <v>53</v>
      </c>
      <c r="G204" s="127">
        <f t="shared" si="167"/>
        <v>36</v>
      </c>
      <c r="H204" s="127">
        <f t="shared" si="171"/>
        <v>36</v>
      </c>
      <c r="I204" s="127">
        <f t="shared" si="168"/>
        <v>32</v>
      </c>
      <c r="J204" s="127">
        <f>G204*M$1</f>
        <v>1047.96</v>
      </c>
      <c r="K204" s="156">
        <f>I204*M$1</f>
        <v>931.52</v>
      </c>
      <c r="L204" s="127">
        <f t="shared" si="169"/>
        <v>108987.84</v>
      </c>
      <c r="M204" s="127">
        <f t="shared" si="170"/>
        <v>3328</v>
      </c>
      <c r="N204" s="19"/>
      <c r="O204" s="19"/>
      <c r="P204" s="149"/>
      <c r="Q204" s="197"/>
      <c r="R204" s="197"/>
      <c r="S204" s="197"/>
      <c r="T204" s="197"/>
      <c r="U204" s="197"/>
      <c r="V204" s="197"/>
      <c r="W204" s="188">
        <f>J204</f>
        <v>1047.96</v>
      </c>
      <c r="X204" s="188">
        <f>H204*$M$1</f>
        <v>1047.96</v>
      </c>
    </row>
    <row r="205" spans="1:24" ht="15" customHeight="1" x14ac:dyDescent="0.25">
      <c r="A205" s="210"/>
      <c r="B205" s="127">
        <v>0</v>
      </c>
      <c r="C205" s="127">
        <v>0</v>
      </c>
      <c r="D205" s="128">
        <f>'Data Ocupacion'!BD46</f>
        <v>0</v>
      </c>
      <c r="E205" s="128">
        <f>'Data Ocupacion'!BE46</f>
        <v>0</v>
      </c>
      <c r="F205" s="127" t="s">
        <v>122</v>
      </c>
      <c r="G205" s="127">
        <f t="shared" si="167"/>
        <v>0</v>
      </c>
      <c r="H205" s="127">
        <f t="shared" si="171"/>
        <v>0</v>
      </c>
      <c r="I205" s="127">
        <f t="shared" si="168"/>
        <v>0</v>
      </c>
      <c r="J205" s="127">
        <f>G205*K$1</f>
        <v>0</v>
      </c>
      <c r="K205" s="156">
        <f>I205*K$1</f>
        <v>0</v>
      </c>
      <c r="L205" s="127">
        <f t="shared" si="169"/>
        <v>0</v>
      </c>
      <c r="M205" s="127">
        <f t="shared" si="170"/>
        <v>0</v>
      </c>
      <c r="N205" s="19"/>
      <c r="O205" s="19"/>
      <c r="P205" s="149"/>
      <c r="Q205" s="197"/>
      <c r="R205" s="197"/>
      <c r="S205" s="197"/>
      <c r="T205" s="197"/>
      <c r="U205" s="197"/>
      <c r="V205" s="197"/>
      <c r="W205" s="188">
        <f>J205</f>
        <v>0</v>
      </c>
      <c r="X205" s="188">
        <f>H205*$K$1</f>
        <v>0</v>
      </c>
    </row>
    <row r="206" spans="1:24" ht="15.75" customHeight="1" thickBot="1" x14ac:dyDescent="0.3">
      <c r="A206" s="210"/>
      <c r="B206" s="127">
        <v>1</v>
      </c>
      <c r="C206" s="127">
        <v>0</v>
      </c>
      <c r="D206" s="128">
        <f>'Data Ocupacion'!BD47</f>
        <v>1</v>
      </c>
      <c r="E206" s="128">
        <f>'Data Ocupacion'!BE47</f>
        <v>0</v>
      </c>
      <c r="F206" s="127" t="s">
        <v>35</v>
      </c>
      <c r="G206" s="127">
        <f t="shared" si="167"/>
        <v>1</v>
      </c>
      <c r="H206" s="127">
        <f t="shared" si="171"/>
        <v>1</v>
      </c>
      <c r="I206" s="127">
        <f t="shared" si="168"/>
        <v>1</v>
      </c>
      <c r="J206" s="127">
        <f>G206*K$1</f>
        <v>25.4</v>
      </c>
      <c r="K206" s="156">
        <f>I206*K$1</f>
        <v>25.4</v>
      </c>
      <c r="L206" s="127">
        <f t="shared" si="169"/>
        <v>2641.6</v>
      </c>
      <c r="M206" s="127">
        <f t="shared" si="170"/>
        <v>104</v>
      </c>
      <c r="N206" s="19"/>
      <c r="O206" s="19"/>
      <c r="P206" s="149"/>
      <c r="Q206" s="197"/>
      <c r="R206" s="197"/>
      <c r="S206" s="197"/>
      <c r="T206" s="197"/>
      <c r="U206" s="197"/>
      <c r="V206" s="197"/>
      <c r="W206" s="188">
        <f>J206</f>
        <v>25.4</v>
      </c>
      <c r="X206" s="188">
        <f>H206*$K$1</f>
        <v>25.4</v>
      </c>
    </row>
    <row r="207" spans="1:24" s="126" customFormat="1" ht="15.75" thickBot="1" x14ac:dyDescent="0.3">
      <c r="A207" s="20"/>
      <c r="B207" s="230">
        <f>SUM(B201:B206)</f>
        <v>150</v>
      </c>
      <c r="C207" s="230">
        <f>SUM(C201:C206)</f>
        <v>73</v>
      </c>
      <c r="D207" s="151">
        <f>SUM(D201:D206)</f>
        <v>150</v>
      </c>
      <c r="E207" s="151">
        <f>SUM(E201:E206)</f>
        <v>73</v>
      </c>
      <c r="F207" s="121"/>
      <c r="G207" s="121">
        <f t="shared" ref="G207:M207" si="172">SUM(G201:G206)</f>
        <v>296</v>
      </c>
      <c r="H207" s="121">
        <f t="shared" si="172"/>
        <v>296</v>
      </c>
      <c r="I207" s="121">
        <f t="shared" si="172"/>
        <v>223</v>
      </c>
      <c r="J207" s="121">
        <f t="shared" si="172"/>
        <v>11725.289999999999</v>
      </c>
      <c r="K207" s="121">
        <f t="shared" si="172"/>
        <v>8688.9599999999991</v>
      </c>
      <c r="L207" s="121">
        <f t="shared" si="172"/>
        <v>1219430.1600000001</v>
      </c>
      <c r="M207" s="121">
        <f t="shared" si="172"/>
        <v>23192</v>
      </c>
      <c r="N207" s="125">
        <f>'Odometro-Kilometraje'!AB81</f>
        <v>11972</v>
      </c>
      <c r="O207" s="21">
        <f>(W207/N207)*100</f>
        <v>97.090628132308723</v>
      </c>
      <c r="P207" s="200"/>
      <c r="Q207" s="187"/>
      <c r="R207" s="187"/>
      <c r="S207" s="187"/>
      <c r="T207" s="187"/>
      <c r="U207" s="187"/>
      <c r="V207" s="187"/>
      <c r="W207" s="201">
        <f>SUM(W201:W206)</f>
        <v>11623.69</v>
      </c>
      <c r="X207" s="201">
        <f>SUM(X201:X206)</f>
        <v>11725.289999999999</v>
      </c>
    </row>
    <row r="208" spans="1:24" x14ac:dyDescent="0.25">
      <c r="A208" s="62">
        <f>A201+1</f>
        <v>45744</v>
      </c>
      <c r="B208" s="127">
        <v>47</v>
      </c>
      <c r="C208" s="127">
        <v>32</v>
      </c>
      <c r="D208" s="140">
        <f>'Data Ocupacion'!BF42</f>
        <v>48</v>
      </c>
      <c r="E208" s="140">
        <f>'Data Ocupacion'!BG42</f>
        <v>31</v>
      </c>
      <c r="F208" s="235" t="s">
        <v>38</v>
      </c>
      <c r="G208" s="236">
        <f t="shared" ref="G208:G213" si="173">D208+E208*2</f>
        <v>110</v>
      </c>
      <c r="H208" s="127">
        <f>B208+C208*2</f>
        <v>111</v>
      </c>
      <c r="I208" s="237">
        <f t="shared" ref="I208:I213" si="174">D208+E208</f>
        <v>79</v>
      </c>
      <c r="J208" s="237">
        <f>G208*M$2</f>
        <v>4744.3</v>
      </c>
      <c r="K208" s="156">
        <f>I208*M$2</f>
        <v>3407.27</v>
      </c>
      <c r="L208" s="127">
        <f t="shared" ref="L208:L213" si="175">J208*104</f>
        <v>493407.2</v>
      </c>
      <c r="M208" s="127">
        <f t="shared" ref="M208:M213" si="176">I208*104</f>
        <v>8216</v>
      </c>
      <c r="N208" s="19"/>
      <c r="O208" s="19"/>
      <c r="P208" s="149"/>
      <c r="Q208" s="193"/>
      <c r="R208" s="189"/>
      <c r="S208" s="216"/>
      <c r="T208" s="355">
        <v>3</v>
      </c>
      <c r="U208" s="199"/>
      <c r="V208" s="245"/>
      <c r="W208" s="188">
        <f>J208-(Q208*($M$2-$K$1)+(R208*($M$2-$M$1))+  (S208*($M$2-$I$2))+(T208*$K$1))</f>
        <v>4668.1000000000004</v>
      </c>
      <c r="X208" s="188">
        <f>H208*$M$2</f>
        <v>4787.43</v>
      </c>
    </row>
    <row r="209" spans="1:32" ht="15" customHeight="1" x14ac:dyDescent="0.25">
      <c r="A209" s="210"/>
      <c r="B209" s="127">
        <v>45</v>
      </c>
      <c r="C209" s="127">
        <v>33</v>
      </c>
      <c r="D209" s="128">
        <f>'Data Ocupacion'!BF43</f>
        <v>46</v>
      </c>
      <c r="E209" s="128">
        <f>'Data Ocupacion'!BG43</f>
        <v>32</v>
      </c>
      <c r="F209" s="235" t="s">
        <v>52</v>
      </c>
      <c r="G209" s="236">
        <f t="shared" si="173"/>
        <v>110</v>
      </c>
      <c r="H209" s="127">
        <f t="shared" ref="H209:H213" si="177">B209+C209*2</f>
        <v>111</v>
      </c>
      <c r="I209" s="127">
        <f t="shared" si="174"/>
        <v>78</v>
      </c>
      <c r="J209" s="127">
        <f>G209*M$2</f>
        <v>4744.3</v>
      </c>
      <c r="K209" s="156">
        <f>I209*M$2</f>
        <v>3364.1400000000003</v>
      </c>
      <c r="L209" s="127">
        <f t="shared" si="175"/>
        <v>493407.2</v>
      </c>
      <c r="M209" s="127">
        <f t="shared" si="176"/>
        <v>8112</v>
      </c>
      <c r="N209" s="19"/>
      <c r="O209" s="19"/>
      <c r="P209" s="149"/>
      <c r="Q209" s="194"/>
      <c r="R209" s="194"/>
      <c r="S209" s="194"/>
      <c r="T209" s="263"/>
      <c r="U209" s="263"/>
      <c r="V209" s="216"/>
      <c r="W209" s="192">
        <f>J209-(T209*($M$2-$K$1)+(U209*($M$2-$M$1)))</f>
        <v>4744.3</v>
      </c>
      <c r="X209" s="188">
        <f>H209*$M$2</f>
        <v>4787.43</v>
      </c>
    </row>
    <row r="210" spans="1:32" ht="15" customHeight="1" x14ac:dyDescent="0.25">
      <c r="A210" s="210"/>
      <c r="B210" s="127">
        <v>29</v>
      </c>
      <c r="C210" s="127">
        <v>4</v>
      </c>
      <c r="D210" s="128">
        <f>'Data Ocupacion'!BF44</f>
        <v>29</v>
      </c>
      <c r="E210" s="128">
        <f>'Data Ocupacion'!BG44</f>
        <v>4</v>
      </c>
      <c r="F210" s="235" t="s">
        <v>36</v>
      </c>
      <c r="G210" s="236">
        <f t="shared" si="173"/>
        <v>37</v>
      </c>
      <c r="H210" s="127">
        <f t="shared" si="177"/>
        <v>37</v>
      </c>
      <c r="I210" s="127">
        <f t="shared" si="174"/>
        <v>33</v>
      </c>
      <c r="J210" s="127">
        <f>G210*M$1</f>
        <v>1077.07</v>
      </c>
      <c r="K210" s="156">
        <f>I210*M$1</f>
        <v>960.63</v>
      </c>
      <c r="L210" s="127">
        <f t="shared" si="175"/>
        <v>112015.28</v>
      </c>
      <c r="M210" s="127">
        <f t="shared" si="176"/>
        <v>3432</v>
      </c>
      <c r="N210" s="19"/>
      <c r="O210" s="19" t="s">
        <v>147</v>
      </c>
      <c r="P210" s="149"/>
      <c r="Q210" s="193"/>
      <c r="R210" s="195"/>
      <c r="S210" s="217"/>
      <c r="T210" s="196"/>
      <c r="U210" s="197"/>
      <c r="V210" s="197"/>
      <c r="W210" s="188">
        <f>J210-(Q210*($M$1-$K$1))</f>
        <v>1077.07</v>
      </c>
      <c r="X210" s="188">
        <f>H210*$M$1</f>
        <v>1077.07</v>
      </c>
    </row>
    <row r="211" spans="1:32" ht="15" customHeight="1" x14ac:dyDescent="0.25">
      <c r="A211" s="210"/>
      <c r="B211" s="127">
        <v>28</v>
      </c>
      <c r="C211" s="127">
        <v>4</v>
      </c>
      <c r="D211" s="128">
        <f>'Data Ocupacion'!BF45</f>
        <v>28</v>
      </c>
      <c r="E211" s="128">
        <f>'Data Ocupacion'!BG45</f>
        <v>4</v>
      </c>
      <c r="F211" s="235" t="s">
        <v>53</v>
      </c>
      <c r="G211" s="236">
        <f t="shared" si="173"/>
        <v>36</v>
      </c>
      <c r="H211" s="127">
        <f t="shared" si="177"/>
        <v>36</v>
      </c>
      <c r="I211" s="127">
        <f t="shared" si="174"/>
        <v>32</v>
      </c>
      <c r="J211" s="127">
        <f>G211*M$1</f>
        <v>1047.96</v>
      </c>
      <c r="K211" s="156">
        <f>I211*M$1</f>
        <v>931.52</v>
      </c>
      <c r="L211" s="127">
        <f t="shared" si="175"/>
        <v>108987.84</v>
      </c>
      <c r="M211" s="127">
        <f t="shared" si="176"/>
        <v>3328</v>
      </c>
      <c r="N211" s="19"/>
      <c r="O211" s="19" t="s">
        <v>147</v>
      </c>
      <c r="P211" s="149"/>
      <c r="Q211" s="197"/>
      <c r="R211" s="197"/>
      <c r="S211" s="197"/>
      <c r="T211" s="197"/>
      <c r="U211" s="197"/>
      <c r="V211" s="197"/>
      <c r="W211" s="188">
        <f>J211</f>
        <v>1047.96</v>
      </c>
      <c r="X211" s="188">
        <f>H211*$M$1</f>
        <v>1047.96</v>
      </c>
    </row>
    <row r="212" spans="1:32" ht="15" customHeight="1" x14ac:dyDescent="0.25">
      <c r="A212" s="210"/>
      <c r="B212" s="127">
        <v>0</v>
      </c>
      <c r="C212" s="127">
        <v>0</v>
      </c>
      <c r="D212" s="128">
        <f>'Data Ocupacion'!BF46</f>
        <v>0</v>
      </c>
      <c r="E212" s="128">
        <f>'Data Ocupacion'!BG46</f>
        <v>0</v>
      </c>
      <c r="F212" s="235" t="s">
        <v>122</v>
      </c>
      <c r="G212" s="236">
        <f t="shared" si="173"/>
        <v>0</v>
      </c>
      <c r="H212" s="127">
        <f t="shared" si="177"/>
        <v>0</v>
      </c>
      <c r="I212" s="127">
        <f t="shared" si="174"/>
        <v>0</v>
      </c>
      <c r="J212" s="238">
        <f>G212*K$1</f>
        <v>0</v>
      </c>
      <c r="K212" s="156">
        <f>I212*K$1</f>
        <v>0</v>
      </c>
      <c r="L212" s="127">
        <f t="shared" si="175"/>
        <v>0</v>
      </c>
      <c r="M212" s="127">
        <f t="shared" si="176"/>
        <v>0</v>
      </c>
      <c r="N212" s="19"/>
      <c r="O212" s="19"/>
      <c r="P212" s="149"/>
      <c r="Q212" s="197"/>
      <c r="R212" s="197"/>
      <c r="S212" s="197"/>
      <c r="T212" s="197"/>
      <c r="U212" s="197"/>
      <c r="V212" s="197"/>
      <c r="W212" s="188">
        <f>J212</f>
        <v>0</v>
      </c>
      <c r="X212" s="188">
        <f>H212*$K$1</f>
        <v>0</v>
      </c>
    </row>
    <row r="213" spans="1:32" ht="15.75" customHeight="1" thickBot="1" x14ac:dyDescent="0.3">
      <c r="A213" s="210"/>
      <c r="B213" s="127">
        <v>1</v>
      </c>
      <c r="C213" s="127">
        <v>0</v>
      </c>
      <c r="D213" s="128">
        <f>'Data Ocupacion'!BF47</f>
        <v>1</v>
      </c>
      <c r="E213" s="128">
        <f>'Data Ocupacion'!BG47</f>
        <v>0</v>
      </c>
      <c r="F213" s="235" t="s">
        <v>35</v>
      </c>
      <c r="G213" s="236">
        <f t="shared" si="173"/>
        <v>1</v>
      </c>
      <c r="H213" s="127">
        <f t="shared" si="177"/>
        <v>1</v>
      </c>
      <c r="I213" s="239">
        <f t="shared" si="174"/>
        <v>1</v>
      </c>
      <c r="J213" s="239">
        <f>G213*K$1</f>
        <v>25.4</v>
      </c>
      <c r="K213" s="156">
        <f>I213*K$1</f>
        <v>25.4</v>
      </c>
      <c r="L213" s="127">
        <f t="shared" si="175"/>
        <v>2641.6</v>
      </c>
      <c r="M213" s="127">
        <f t="shared" si="176"/>
        <v>104</v>
      </c>
      <c r="N213" s="19"/>
      <c r="O213" s="19"/>
      <c r="P213" s="149"/>
      <c r="Q213" s="197"/>
      <c r="R213" s="197"/>
      <c r="S213" s="197"/>
      <c r="T213" s="197"/>
      <c r="U213" s="197"/>
      <c r="V213" s="197"/>
      <c r="W213" s="188">
        <f>J213</f>
        <v>25.4</v>
      </c>
      <c r="X213" s="188">
        <f>H213*$K$1</f>
        <v>25.4</v>
      </c>
    </row>
    <row r="214" spans="1:32" s="126" customFormat="1" ht="15.75" thickBot="1" x14ac:dyDescent="0.3">
      <c r="A214" s="20"/>
      <c r="B214" s="230">
        <f>SUM(B208:B213)</f>
        <v>150</v>
      </c>
      <c r="C214" s="230">
        <f>SUM(C208:C213)</f>
        <v>73</v>
      </c>
      <c r="D214" s="151">
        <f>SUM(D208:D213)</f>
        <v>152</v>
      </c>
      <c r="E214" s="151">
        <f>SUM(E208:E213)</f>
        <v>71</v>
      </c>
      <c r="F214" s="121"/>
      <c r="G214" s="121">
        <f t="shared" ref="G214:M214" si="178">SUM(G208:G213)</f>
        <v>294</v>
      </c>
      <c r="H214" s="121">
        <f t="shared" si="178"/>
        <v>296</v>
      </c>
      <c r="I214" s="121">
        <f t="shared" si="178"/>
        <v>223</v>
      </c>
      <c r="J214" s="121">
        <f t="shared" si="178"/>
        <v>11639.03</v>
      </c>
      <c r="K214" s="121">
        <f t="shared" si="178"/>
        <v>8688.9599999999991</v>
      </c>
      <c r="L214" s="121">
        <f t="shared" si="178"/>
        <v>1210459.1200000001</v>
      </c>
      <c r="M214" s="121">
        <f t="shared" si="178"/>
        <v>23192</v>
      </c>
      <c r="N214" s="125">
        <f>'Odometro-Kilometraje'!AC81</f>
        <v>11982</v>
      </c>
      <c r="O214" s="21">
        <f>(W214/N214)*100</f>
        <v>96.501669170422304</v>
      </c>
      <c r="P214" s="200"/>
      <c r="Q214" s="187"/>
      <c r="R214" s="187"/>
      <c r="S214" s="187"/>
      <c r="T214" s="187"/>
      <c r="U214" s="187"/>
      <c r="V214" s="187"/>
      <c r="W214" s="201">
        <f>SUM(W208:W213)</f>
        <v>11562.83</v>
      </c>
      <c r="X214" s="201">
        <f>SUM(X208:X213)</f>
        <v>11725.289999999999</v>
      </c>
    </row>
    <row r="215" spans="1:32" x14ac:dyDescent="0.25">
      <c r="A215" s="62">
        <f>A208+1</f>
        <v>45745</v>
      </c>
      <c r="B215" s="118">
        <v>69</v>
      </c>
      <c r="C215" s="118">
        <v>3</v>
      </c>
      <c r="D215" s="150">
        <f>'Data Ocupacion'!BH42</f>
        <v>69</v>
      </c>
      <c r="E215" s="150">
        <f>'Data Ocupacion'!BI42</f>
        <v>3</v>
      </c>
      <c r="F215" s="118" t="s">
        <v>38</v>
      </c>
      <c r="G215" s="118">
        <f t="shared" ref="G215:G220" si="179">D215+E215*2</f>
        <v>75</v>
      </c>
      <c r="H215" s="118">
        <f>B215+C215*2</f>
        <v>75</v>
      </c>
      <c r="I215" s="118">
        <f t="shared" ref="I215:I220" si="180">D215+E215</f>
        <v>72</v>
      </c>
      <c r="J215" s="118">
        <f>G215*M$2</f>
        <v>3234.75</v>
      </c>
      <c r="K215" s="156">
        <f>I215*M$2</f>
        <v>3105.36</v>
      </c>
      <c r="L215" s="118">
        <f t="shared" ref="L215:L220" si="181">J215*104</f>
        <v>336414</v>
      </c>
      <c r="M215" s="118">
        <f t="shared" ref="M215:M220" si="182">I215*104</f>
        <v>7488</v>
      </c>
      <c r="N215" s="19"/>
      <c r="O215" s="19"/>
      <c r="P215" s="149"/>
      <c r="Q215" s="193"/>
      <c r="R215" s="189"/>
      <c r="S215" s="216"/>
      <c r="T215" s="198"/>
      <c r="U215" s="199"/>
      <c r="V215" s="245"/>
      <c r="W215" s="188">
        <f>J215-(Q215*($M$2-$K$1)+(R215*($M$2-$M$1))+  (S215*($M$2-$I$2)))</f>
        <v>3234.75</v>
      </c>
      <c r="X215" s="188">
        <f>H215*$M$2</f>
        <v>3234.75</v>
      </c>
    </row>
    <row r="216" spans="1:32" ht="15" customHeight="1" x14ac:dyDescent="0.25">
      <c r="A216" s="210"/>
      <c r="B216" s="118">
        <v>75</v>
      </c>
      <c r="C216" s="118">
        <v>0</v>
      </c>
      <c r="D216" s="150">
        <f>'Data Ocupacion'!BH43</f>
        <v>75</v>
      </c>
      <c r="E216" s="150">
        <f>'Data Ocupacion'!BI43</f>
        <v>0</v>
      </c>
      <c r="F216" s="118" t="s">
        <v>52</v>
      </c>
      <c r="G216" s="118">
        <f t="shared" si="179"/>
        <v>75</v>
      </c>
      <c r="H216" s="118">
        <f t="shared" ref="H216:H220" si="183">B216+C216*2</f>
        <v>75</v>
      </c>
      <c r="I216" s="118">
        <f t="shared" si="180"/>
        <v>75</v>
      </c>
      <c r="J216" s="118">
        <f>G216*M$2</f>
        <v>3234.75</v>
      </c>
      <c r="K216" s="156">
        <f>I216*M$2</f>
        <v>3234.75</v>
      </c>
      <c r="L216" s="118">
        <f t="shared" si="181"/>
        <v>336414</v>
      </c>
      <c r="M216" s="118">
        <f t="shared" si="182"/>
        <v>7800</v>
      </c>
      <c r="N216" s="19"/>
      <c r="O216" s="19"/>
      <c r="P216" s="149"/>
      <c r="Q216" s="194"/>
      <c r="R216" s="194"/>
      <c r="S216" s="194"/>
      <c r="T216" s="263"/>
      <c r="U216" s="189"/>
      <c r="V216" s="216"/>
      <c r="W216" s="192">
        <f>J216-(T216*($M$2-$K$1)+(U216*($M$2-$M$1)))</f>
        <v>3234.75</v>
      </c>
      <c r="X216" s="188">
        <f>H216*$M$2</f>
        <v>3234.75</v>
      </c>
    </row>
    <row r="217" spans="1:32" s="126" customFormat="1" x14ac:dyDescent="0.25">
      <c r="A217" s="210"/>
      <c r="B217" s="118">
        <v>0</v>
      </c>
      <c r="C217" s="118">
        <v>0</v>
      </c>
      <c r="D217" s="150">
        <f>'Data Ocupacion'!BH44</f>
        <v>0</v>
      </c>
      <c r="E217" s="150">
        <f>'Data Ocupacion'!BI44</f>
        <v>0</v>
      </c>
      <c r="F217" s="118" t="s">
        <v>36</v>
      </c>
      <c r="G217" s="118">
        <f t="shared" si="179"/>
        <v>0</v>
      </c>
      <c r="H217" s="118">
        <f t="shared" si="183"/>
        <v>0</v>
      </c>
      <c r="I217" s="118">
        <f t="shared" si="180"/>
        <v>0</v>
      </c>
      <c r="J217" s="118">
        <f>G217*M$1</f>
        <v>0</v>
      </c>
      <c r="K217" s="156">
        <f>I217*M$1</f>
        <v>0</v>
      </c>
      <c r="L217" s="118">
        <f t="shared" si="181"/>
        <v>0</v>
      </c>
      <c r="M217" s="118">
        <f t="shared" si="182"/>
        <v>0</v>
      </c>
      <c r="N217" s="19"/>
      <c r="O217" s="19" t="s">
        <v>147</v>
      </c>
      <c r="P217" s="149"/>
      <c r="Q217" s="193"/>
      <c r="R217" s="195"/>
      <c r="S217" s="217"/>
      <c r="T217" s="196"/>
      <c r="U217" s="197"/>
      <c r="V217" s="197"/>
      <c r="W217" s="188">
        <f>J217-(Q217*($M$1-$K$1))</f>
        <v>0</v>
      </c>
      <c r="X217" s="188">
        <f>H217*$M$1</f>
        <v>0</v>
      </c>
    </row>
    <row r="218" spans="1:32" s="126" customFormat="1" ht="15" customHeight="1" x14ac:dyDescent="0.25">
      <c r="A218" s="210"/>
      <c r="B218" s="118">
        <v>0</v>
      </c>
      <c r="C218" s="118">
        <v>0</v>
      </c>
      <c r="D218" s="150">
        <f>'Data Ocupacion'!BH45</f>
        <v>0</v>
      </c>
      <c r="E218" s="150">
        <f>'Data Ocupacion'!BI45</f>
        <v>0</v>
      </c>
      <c r="F218" s="118" t="s">
        <v>53</v>
      </c>
      <c r="G218" s="118">
        <f t="shared" si="179"/>
        <v>0</v>
      </c>
      <c r="H218" s="118">
        <f t="shared" si="183"/>
        <v>0</v>
      </c>
      <c r="I218" s="118">
        <f t="shared" si="180"/>
        <v>0</v>
      </c>
      <c r="J218" s="118">
        <f>G218*M$1</f>
        <v>0</v>
      </c>
      <c r="K218" s="156">
        <f>I218*M$1</f>
        <v>0</v>
      </c>
      <c r="L218" s="118">
        <f t="shared" si="181"/>
        <v>0</v>
      </c>
      <c r="M218" s="118">
        <f t="shared" si="182"/>
        <v>0</v>
      </c>
      <c r="N218" s="19"/>
      <c r="O218" s="19" t="s">
        <v>147</v>
      </c>
      <c r="P218" s="149"/>
      <c r="Q218" s="197"/>
      <c r="R218" s="197"/>
      <c r="S218" s="197"/>
      <c r="T218" s="197"/>
      <c r="U218" s="197"/>
      <c r="V218" s="197"/>
      <c r="W218" s="188">
        <f>J218</f>
        <v>0</v>
      </c>
      <c r="X218" s="188">
        <f>H218*$M$1</f>
        <v>0</v>
      </c>
    </row>
    <row r="219" spans="1:32" s="126" customFormat="1" x14ac:dyDescent="0.25">
      <c r="A219" s="210"/>
      <c r="B219" s="118">
        <v>0</v>
      </c>
      <c r="C219" s="118">
        <v>0</v>
      </c>
      <c r="D219" s="150">
        <f>'Data Ocupacion'!BH46</f>
        <v>0</v>
      </c>
      <c r="E219" s="150">
        <f>'Data Ocupacion'!BI46</f>
        <v>0</v>
      </c>
      <c r="F219" s="118" t="s">
        <v>122</v>
      </c>
      <c r="G219" s="118">
        <f t="shared" si="179"/>
        <v>0</v>
      </c>
      <c r="H219" s="118">
        <f t="shared" si="183"/>
        <v>0</v>
      </c>
      <c r="I219" s="118">
        <f t="shared" si="180"/>
        <v>0</v>
      </c>
      <c r="J219" s="118">
        <f>G219*K$1</f>
        <v>0</v>
      </c>
      <c r="K219" s="156">
        <f>I219*K$1</f>
        <v>0</v>
      </c>
      <c r="L219" s="118">
        <f t="shared" si="181"/>
        <v>0</v>
      </c>
      <c r="M219" s="118">
        <f t="shared" si="182"/>
        <v>0</v>
      </c>
      <c r="N219" s="19"/>
      <c r="O219" s="19"/>
      <c r="P219" s="149"/>
      <c r="Q219" s="197"/>
      <c r="R219" s="197"/>
      <c r="S219" s="197"/>
      <c r="T219" s="197"/>
      <c r="U219" s="197"/>
      <c r="V219" s="197"/>
      <c r="W219" s="188">
        <f>J219</f>
        <v>0</v>
      </c>
      <c r="X219" s="188">
        <f>H219*$K$1</f>
        <v>0</v>
      </c>
    </row>
    <row r="220" spans="1:32" s="126" customFormat="1" ht="15.75" thickBot="1" x14ac:dyDescent="0.3">
      <c r="A220" s="210"/>
      <c r="B220" s="118">
        <v>0</v>
      </c>
      <c r="C220" s="118">
        <v>0</v>
      </c>
      <c r="D220" s="150">
        <f>'Data Ocupacion'!BH47</f>
        <v>0</v>
      </c>
      <c r="E220" s="150">
        <f>'Data Ocupacion'!BI47</f>
        <v>0</v>
      </c>
      <c r="F220" s="118" t="s">
        <v>35</v>
      </c>
      <c r="G220" s="118">
        <f t="shared" si="179"/>
        <v>0</v>
      </c>
      <c r="H220" s="118">
        <f t="shared" si="183"/>
        <v>0</v>
      </c>
      <c r="I220" s="118">
        <f t="shared" si="180"/>
        <v>0</v>
      </c>
      <c r="J220" s="118">
        <f>G220*K$1</f>
        <v>0</v>
      </c>
      <c r="K220" s="156">
        <f>I220*K$1</f>
        <v>0</v>
      </c>
      <c r="L220" s="118">
        <f t="shared" si="181"/>
        <v>0</v>
      </c>
      <c r="M220" s="118">
        <f t="shared" si="182"/>
        <v>0</v>
      </c>
      <c r="N220" s="19"/>
      <c r="O220" s="19"/>
      <c r="P220" s="149"/>
      <c r="Q220" s="197"/>
      <c r="R220" s="197"/>
      <c r="S220" s="197"/>
      <c r="T220" s="197"/>
      <c r="U220" s="197"/>
      <c r="V220" s="197"/>
      <c r="W220" s="188">
        <f>J220</f>
        <v>0</v>
      </c>
      <c r="X220" s="188">
        <f>H220*$K$1</f>
        <v>0</v>
      </c>
    </row>
    <row r="221" spans="1:32" s="126" customFormat="1" ht="14.25" customHeight="1" thickBot="1" x14ac:dyDescent="0.3">
      <c r="A221" s="20"/>
      <c r="B221" s="230">
        <f>SUM(B215:B220)</f>
        <v>144</v>
      </c>
      <c r="C221" s="230">
        <f>SUM(C215:C220)</f>
        <v>3</v>
      </c>
      <c r="D221" s="151">
        <f>SUM(D215:D220)</f>
        <v>144</v>
      </c>
      <c r="E221" s="151">
        <f>SUM(E215:E220)</f>
        <v>3</v>
      </c>
      <c r="F221" s="121"/>
      <c r="G221" s="121">
        <f t="shared" ref="G221:M221" si="184">SUM(G215:G220)</f>
        <v>150</v>
      </c>
      <c r="H221" s="121">
        <f t="shared" si="184"/>
        <v>150</v>
      </c>
      <c r="I221" s="121">
        <f t="shared" si="184"/>
        <v>147</v>
      </c>
      <c r="J221" s="121">
        <f t="shared" si="184"/>
        <v>6469.5</v>
      </c>
      <c r="K221" s="121">
        <f t="shared" si="184"/>
        <v>6340.1100000000006</v>
      </c>
      <c r="L221" s="121">
        <f t="shared" si="184"/>
        <v>672828</v>
      </c>
      <c r="M221" s="121">
        <f t="shared" si="184"/>
        <v>15288</v>
      </c>
      <c r="N221" s="125">
        <f>'Odometro-Kilometraje'!AD81</f>
        <v>6507</v>
      </c>
      <c r="O221" s="21">
        <f>(W221/N221)*100</f>
        <v>99.423697556477634</v>
      </c>
      <c r="P221" s="200"/>
      <c r="Q221" s="187"/>
      <c r="R221" s="187"/>
      <c r="S221" s="187"/>
      <c r="T221" s="187"/>
      <c r="U221" s="187"/>
      <c r="V221" s="187"/>
      <c r="W221" s="201">
        <f>SUM(W215:W220)</f>
        <v>6469.5</v>
      </c>
      <c r="X221" s="201">
        <f>SUM(X215:X220)</f>
        <v>6469.5</v>
      </c>
      <c r="Y221" s="262"/>
    </row>
    <row r="222" spans="1:32" s="126" customFormat="1" x14ac:dyDescent="0.25">
      <c r="A222" s="62">
        <f>A215+1</f>
        <v>45746</v>
      </c>
      <c r="B222" s="231">
        <v>51</v>
      </c>
      <c r="C222" s="231">
        <v>3</v>
      </c>
      <c r="D222" s="140">
        <f>'Data Ocupacion'!BJ42</f>
        <v>51</v>
      </c>
      <c r="E222" s="140">
        <f>'Data Ocupacion'!BK42</f>
        <v>3</v>
      </c>
      <c r="F222" s="231" t="s">
        <v>38</v>
      </c>
      <c r="G222" s="231">
        <f t="shared" ref="G222:G227" si="185">D222+E222*2</f>
        <v>57</v>
      </c>
      <c r="H222" s="231">
        <f>B222+C222*2</f>
        <v>57</v>
      </c>
      <c r="I222" s="231">
        <f t="shared" ref="I222:I227" si="186">D222+E222</f>
        <v>54</v>
      </c>
      <c r="J222" s="231">
        <f>G222*M$2</f>
        <v>2458.4100000000003</v>
      </c>
      <c r="K222" s="156">
        <f>I222*M$2</f>
        <v>2329.02</v>
      </c>
      <c r="L222" s="231">
        <f t="shared" ref="L222:L227" si="187">J222*104</f>
        <v>255674.64000000004</v>
      </c>
      <c r="M222" s="231">
        <f t="shared" ref="M222:M227" si="188">I222*104</f>
        <v>5616</v>
      </c>
      <c r="N222" s="19"/>
      <c r="O222" s="19"/>
      <c r="P222" s="149"/>
      <c r="Q222" s="189"/>
      <c r="R222" s="189"/>
      <c r="S222" s="216"/>
      <c r="T222" s="198"/>
      <c r="U222" s="199"/>
      <c r="V222" s="245"/>
      <c r="W222" s="188">
        <f>J222-(Q222*($M$2-$K$1)+(R222*($M$2-$M$1))+  (S222*($M$2-$I$2)))</f>
        <v>2458.4100000000003</v>
      </c>
      <c r="X222" s="188">
        <f>H222*$M$2</f>
        <v>2458.4100000000003</v>
      </c>
    </row>
    <row r="223" spans="1:32" s="126" customFormat="1" x14ac:dyDescent="0.25">
      <c r="A223" s="210"/>
      <c r="B223" s="231">
        <v>57</v>
      </c>
      <c r="C223" s="231">
        <v>0</v>
      </c>
      <c r="D223" s="140">
        <f>'Data Ocupacion'!BJ43</f>
        <v>57</v>
      </c>
      <c r="E223" s="140">
        <f>'Data Ocupacion'!BK43</f>
        <v>0</v>
      </c>
      <c r="F223" s="231" t="s">
        <v>52</v>
      </c>
      <c r="G223" s="231">
        <f t="shared" si="185"/>
        <v>57</v>
      </c>
      <c r="H223" s="231">
        <f t="shared" ref="H223:H227" si="189">B223+C223*2</f>
        <v>57</v>
      </c>
      <c r="I223" s="231">
        <f t="shared" si="186"/>
        <v>57</v>
      </c>
      <c r="J223" s="231">
        <f>G223*M$2</f>
        <v>2458.4100000000003</v>
      </c>
      <c r="K223" s="156">
        <f>I223*M$2</f>
        <v>2458.4100000000003</v>
      </c>
      <c r="L223" s="231">
        <f t="shared" si="187"/>
        <v>255674.64000000004</v>
      </c>
      <c r="M223" s="231">
        <f t="shared" si="188"/>
        <v>5928</v>
      </c>
      <c r="N223" s="19"/>
      <c r="O223" s="19"/>
      <c r="P223" s="149"/>
      <c r="Q223" s="194"/>
      <c r="R223" s="194"/>
      <c r="S223" s="194"/>
      <c r="T223" s="189"/>
      <c r="U223" s="189"/>
      <c r="V223" s="216"/>
      <c r="W223" s="192">
        <f>J223-(T223*($M$2-$K$1)+(U223*($M$2-$M$1)))</f>
        <v>2458.4100000000003</v>
      </c>
      <c r="X223" s="188">
        <f>H223*$M$2</f>
        <v>2458.4100000000003</v>
      </c>
    </row>
    <row r="224" spans="1:32" s="126" customFormat="1" x14ac:dyDescent="0.25">
      <c r="A224" s="210"/>
      <c r="B224" s="231">
        <v>0</v>
      </c>
      <c r="C224" s="231">
        <v>0</v>
      </c>
      <c r="D224" s="140">
        <f>'Data Ocupacion'!BJ44</f>
        <v>0</v>
      </c>
      <c r="E224" s="140">
        <f>'Data Ocupacion'!BK44</f>
        <v>0</v>
      </c>
      <c r="F224" s="231" t="s">
        <v>36</v>
      </c>
      <c r="G224" s="231">
        <f t="shared" si="185"/>
        <v>0</v>
      </c>
      <c r="H224" s="231">
        <f t="shared" si="189"/>
        <v>0</v>
      </c>
      <c r="I224" s="231">
        <f t="shared" si="186"/>
        <v>0</v>
      </c>
      <c r="J224" s="231">
        <f>G224*M$1</f>
        <v>0</v>
      </c>
      <c r="K224" s="156">
        <f>I224*M$1</f>
        <v>0</v>
      </c>
      <c r="L224" s="231">
        <f t="shared" si="187"/>
        <v>0</v>
      </c>
      <c r="M224" s="231">
        <f t="shared" si="188"/>
        <v>0</v>
      </c>
      <c r="N224" s="19"/>
      <c r="O224" s="19" t="s">
        <v>147</v>
      </c>
      <c r="P224" s="149"/>
      <c r="Q224" s="193"/>
      <c r="R224" s="195"/>
      <c r="S224" s="217"/>
      <c r="T224" s="196"/>
      <c r="U224" s="197"/>
      <c r="V224" s="197"/>
      <c r="W224" s="188">
        <f>J224-(Q224*($M$1-$K$1))</f>
        <v>0</v>
      </c>
      <c r="X224" s="188">
        <f>H224*$M$1</f>
        <v>0</v>
      </c>
      <c r="AF224" s="126">
        <v>46.84</v>
      </c>
    </row>
    <row r="225" spans="1:27" s="126" customFormat="1" x14ac:dyDescent="0.25">
      <c r="A225" s="210"/>
      <c r="B225" s="231">
        <v>0</v>
      </c>
      <c r="C225" s="231">
        <v>0</v>
      </c>
      <c r="D225" s="140">
        <f>'Data Ocupacion'!BJ45</f>
        <v>0</v>
      </c>
      <c r="E225" s="140">
        <f>'Data Ocupacion'!BK45</f>
        <v>0</v>
      </c>
      <c r="F225" s="231" t="s">
        <v>53</v>
      </c>
      <c r="G225" s="231">
        <f t="shared" si="185"/>
        <v>0</v>
      </c>
      <c r="H225" s="231">
        <f t="shared" si="189"/>
        <v>0</v>
      </c>
      <c r="I225" s="231">
        <f t="shared" si="186"/>
        <v>0</v>
      </c>
      <c r="J225" s="231">
        <f>G225*M$1</f>
        <v>0</v>
      </c>
      <c r="K225" s="156">
        <f>I225*M$1</f>
        <v>0</v>
      </c>
      <c r="L225" s="231">
        <f t="shared" si="187"/>
        <v>0</v>
      </c>
      <c r="M225" s="231">
        <f t="shared" si="188"/>
        <v>0</v>
      </c>
      <c r="N225" s="19"/>
      <c r="O225" s="19" t="s">
        <v>147</v>
      </c>
      <c r="P225" s="149"/>
      <c r="Q225" s="197"/>
      <c r="R225" s="197"/>
      <c r="S225" s="197"/>
      <c r="T225" s="197"/>
      <c r="U225" s="197"/>
      <c r="V225" s="197"/>
      <c r="W225" s="188">
        <f>J225</f>
        <v>0</v>
      </c>
      <c r="X225" s="188">
        <f>H225*$M$1</f>
        <v>0</v>
      </c>
    </row>
    <row r="226" spans="1:27" s="126" customFormat="1" x14ac:dyDescent="0.25">
      <c r="A226" s="210"/>
      <c r="B226" s="231">
        <v>0</v>
      </c>
      <c r="C226" s="231">
        <v>0</v>
      </c>
      <c r="D226" s="140">
        <f>'Data Ocupacion'!BJ46</f>
        <v>0</v>
      </c>
      <c r="E226" s="140">
        <f>'Data Ocupacion'!BK46</f>
        <v>0</v>
      </c>
      <c r="F226" s="231" t="s">
        <v>122</v>
      </c>
      <c r="G226" s="231">
        <f t="shared" si="185"/>
        <v>0</v>
      </c>
      <c r="H226" s="231">
        <f t="shared" si="189"/>
        <v>0</v>
      </c>
      <c r="I226" s="231">
        <f t="shared" si="186"/>
        <v>0</v>
      </c>
      <c r="J226" s="231">
        <f>G226*K$1</f>
        <v>0</v>
      </c>
      <c r="K226" s="156">
        <f>I226*K$1</f>
        <v>0</v>
      </c>
      <c r="L226" s="231">
        <f t="shared" si="187"/>
        <v>0</v>
      </c>
      <c r="M226" s="231">
        <f t="shared" si="188"/>
        <v>0</v>
      </c>
      <c r="N226" s="19"/>
      <c r="O226" s="19"/>
      <c r="P226" s="149"/>
      <c r="Q226" s="197"/>
      <c r="R226" s="197"/>
      <c r="S226" s="197"/>
      <c r="T226" s="197"/>
      <c r="U226" s="197"/>
      <c r="V226" s="197"/>
      <c r="W226" s="188">
        <f>J226</f>
        <v>0</v>
      </c>
      <c r="X226" s="188">
        <f>H226*$K$1</f>
        <v>0</v>
      </c>
    </row>
    <row r="227" spans="1:27" s="126" customFormat="1" ht="15.75" thickBot="1" x14ac:dyDescent="0.3">
      <c r="A227" s="210"/>
      <c r="B227" s="231">
        <v>0</v>
      </c>
      <c r="C227" s="231">
        <v>0</v>
      </c>
      <c r="D227" s="140">
        <f>'Data Ocupacion'!BJ47</f>
        <v>0</v>
      </c>
      <c r="E227" s="140">
        <f>'Data Ocupacion'!BK47</f>
        <v>0</v>
      </c>
      <c r="F227" s="231" t="s">
        <v>35</v>
      </c>
      <c r="G227" s="231">
        <f t="shared" si="185"/>
        <v>0</v>
      </c>
      <c r="H227" s="231">
        <f t="shared" si="189"/>
        <v>0</v>
      </c>
      <c r="I227" s="231">
        <f t="shared" si="186"/>
        <v>0</v>
      </c>
      <c r="J227" s="231">
        <f>G227*K$1</f>
        <v>0</v>
      </c>
      <c r="K227" s="156">
        <f>I227*K$1</f>
        <v>0</v>
      </c>
      <c r="L227" s="231">
        <f t="shared" si="187"/>
        <v>0</v>
      </c>
      <c r="M227" s="231">
        <f t="shared" si="188"/>
        <v>0</v>
      </c>
      <c r="N227" s="19"/>
      <c r="O227" s="19"/>
      <c r="P227" s="149"/>
      <c r="Q227" s="197"/>
      <c r="R227" s="197"/>
      <c r="S227" s="197"/>
      <c r="T227" s="197"/>
      <c r="U227" s="197"/>
      <c r="V227" s="197"/>
      <c r="W227" s="188">
        <f>J227</f>
        <v>0</v>
      </c>
      <c r="X227" s="188">
        <f>H227*$K$1</f>
        <v>0</v>
      </c>
    </row>
    <row r="228" spans="1:27" s="126" customFormat="1" ht="15.75" thickBot="1" x14ac:dyDescent="0.3">
      <c r="A228" s="20"/>
      <c r="B228" s="230">
        <f>SUM(B222:B227)</f>
        <v>108</v>
      </c>
      <c r="C228" s="230">
        <f>SUM(C222:C227)</f>
        <v>3</v>
      </c>
      <c r="D228" s="151">
        <f>SUM(D222:D227)</f>
        <v>108</v>
      </c>
      <c r="E228" s="151">
        <f>SUM(E222:E227)</f>
        <v>3</v>
      </c>
      <c r="F228" s="121"/>
      <c r="G228" s="121">
        <f t="shared" ref="G228:M228" si="190">SUM(G222:G227)</f>
        <v>114</v>
      </c>
      <c r="H228" s="121">
        <f t="shared" si="190"/>
        <v>114</v>
      </c>
      <c r="I228" s="121">
        <f t="shared" si="190"/>
        <v>111</v>
      </c>
      <c r="J228" s="121">
        <f t="shared" si="190"/>
        <v>4916.8200000000006</v>
      </c>
      <c r="K228" s="121">
        <f t="shared" si="190"/>
        <v>4787.43</v>
      </c>
      <c r="L228" s="121">
        <f t="shared" si="190"/>
        <v>511349.28000000009</v>
      </c>
      <c r="M228" s="121">
        <f t="shared" si="190"/>
        <v>11544</v>
      </c>
      <c r="N228" s="125">
        <f>'Odometro-Kilometraje'!AE81</f>
        <v>4945</v>
      </c>
      <c r="O228" s="21">
        <f>(W228/N228)*100</f>
        <v>99.430131445904962</v>
      </c>
      <c r="P228" s="200"/>
      <c r="Q228" s="187"/>
      <c r="R228" s="187"/>
      <c r="S228" s="187"/>
      <c r="T228" s="187"/>
      <c r="U228" s="187"/>
      <c r="V228" s="187"/>
      <c r="W228" s="201">
        <f>SUM(W222:W227)</f>
        <v>4916.8200000000006</v>
      </c>
      <c r="X228" s="201">
        <f>SUM(X222:X227)</f>
        <v>4916.8200000000006</v>
      </c>
      <c r="Y228" s="283"/>
    </row>
    <row r="229" spans="1:27" s="126" customFormat="1" x14ac:dyDescent="0.25">
      <c r="A229" s="62">
        <f>A222+1</f>
        <v>45747</v>
      </c>
      <c r="B229" s="127">
        <v>47</v>
      </c>
      <c r="C229" s="127">
        <v>32</v>
      </c>
      <c r="D229" s="128">
        <f>'Data Ocupacion'!BL42</f>
        <v>43</v>
      </c>
      <c r="E229" s="128">
        <f>'Data Ocupacion'!BM42</f>
        <v>36</v>
      </c>
      <c r="F229" s="127" t="s">
        <v>38</v>
      </c>
      <c r="G229" s="127">
        <f t="shared" ref="G229:G234" si="191">D229+E229*2</f>
        <v>115</v>
      </c>
      <c r="H229" s="127">
        <f>B229+C229*2</f>
        <v>111</v>
      </c>
      <c r="I229" s="127">
        <f t="shared" ref="I229:I234" si="192">D229+E229</f>
        <v>79</v>
      </c>
      <c r="J229" s="127">
        <f>G229*M$2</f>
        <v>4959.9500000000007</v>
      </c>
      <c r="K229" s="156">
        <f>I229*M$2</f>
        <v>3407.27</v>
      </c>
      <c r="L229" s="127">
        <f t="shared" ref="L229:L234" si="193">J229*104</f>
        <v>515834.80000000005</v>
      </c>
      <c r="M229" s="127">
        <f t="shared" ref="M229:M234" si="194">I229*104</f>
        <v>8216</v>
      </c>
      <c r="N229" s="19"/>
      <c r="O229" s="19"/>
      <c r="P229" s="149"/>
      <c r="Q229" s="256">
        <v>4</v>
      </c>
      <c r="R229" s="189"/>
      <c r="S229" s="216"/>
      <c r="T229" s="211">
        <v>5</v>
      </c>
      <c r="U229" s="199"/>
      <c r="V229" s="245"/>
      <c r="W229" s="188">
        <f>J229-(Q229*($M$2-$K$1)+(R229*($M$2-$M$1))+  (S229*($M$2-$I$2))+  (T229*($K$1)))</f>
        <v>4762.0300000000007</v>
      </c>
      <c r="X229" s="188">
        <f>H229*$M$2</f>
        <v>4787.43</v>
      </c>
      <c r="Y229" s="283"/>
    </row>
    <row r="230" spans="1:27" s="126" customFormat="1" ht="15" customHeight="1" x14ac:dyDescent="0.25">
      <c r="A230" s="210"/>
      <c r="B230" s="127">
        <v>45</v>
      </c>
      <c r="C230" s="127">
        <v>33</v>
      </c>
      <c r="D230" s="128">
        <f>'Data Ocupacion'!BL43</f>
        <v>46</v>
      </c>
      <c r="E230" s="128">
        <f>'Data Ocupacion'!BM43</f>
        <v>32</v>
      </c>
      <c r="F230" s="127" t="s">
        <v>52</v>
      </c>
      <c r="G230" s="127">
        <f t="shared" si="191"/>
        <v>110</v>
      </c>
      <c r="H230" s="127">
        <f t="shared" ref="H230:H234" si="195">B230+C230*2</f>
        <v>111</v>
      </c>
      <c r="I230" s="127">
        <f t="shared" si="192"/>
        <v>78</v>
      </c>
      <c r="J230" s="127">
        <f>G230*M$2</f>
        <v>4744.3</v>
      </c>
      <c r="K230" s="156">
        <f>I230*M$2</f>
        <v>3364.1400000000003</v>
      </c>
      <c r="L230" s="127">
        <f t="shared" si="193"/>
        <v>493407.2</v>
      </c>
      <c r="M230" s="127">
        <f t="shared" si="194"/>
        <v>8112</v>
      </c>
      <c r="N230" s="19"/>
      <c r="O230" s="19"/>
      <c r="P230" s="149"/>
      <c r="Q230" s="194"/>
      <c r="R230" s="194"/>
      <c r="S230" s="194"/>
      <c r="T230" s="189"/>
      <c r="U230" s="189"/>
      <c r="V230" s="216"/>
      <c r="W230" s="192">
        <f>J230-(T230*($M$2-$K$1)+(U230*($M$2-$M$1)))</f>
        <v>4744.3</v>
      </c>
      <c r="X230" s="188">
        <f>H230*$M$2</f>
        <v>4787.43</v>
      </c>
    </row>
    <row r="231" spans="1:27" s="126" customFormat="1" ht="15" customHeight="1" x14ac:dyDescent="0.25">
      <c r="A231" s="210"/>
      <c r="B231" s="127">
        <v>29</v>
      </c>
      <c r="C231" s="127">
        <v>4</v>
      </c>
      <c r="D231" s="128">
        <f>'Data Ocupacion'!BL44</f>
        <v>29</v>
      </c>
      <c r="E231" s="128">
        <f>'Data Ocupacion'!BM44</f>
        <v>4</v>
      </c>
      <c r="F231" s="127" t="s">
        <v>36</v>
      </c>
      <c r="G231" s="127">
        <f t="shared" si="191"/>
        <v>37</v>
      </c>
      <c r="H231" s="127">
        <f t="shared" si="195"/>
        <v>37</v>
      </c>
      <c r="I231" s="127">
        <f t="shared" si="192"/>
        <v>33</v>
      </c>
      <c r="J231" s="127">
        <f>G231*M$1</f>
        <v>1077.07</v>
      </c>
      <c r="K231" s="156">
        <f>I231*M$1</f>
        <v>960.63</v>
      </c>
      <c r="L231" s="127">
        <f t="shared" si="193"/>
        <v>112015.28</v>
      </c>
      <c r="M231" s="127">
        <f t="shared" si="194"/>
        <v>3432</v>
      </c>
      <c r="N231" s="19"/>
      <c r="O231" s="19"/>
      <c r="P231" s="149"/>
      <c r="Q231" s="193"/>
      <c r="R231" s="195"/>
      <c r="S231" s="217"/>
      <c r="T231" s="196"/>
      <c r="U231" s="197"/>
      <c r="V231" s="197"/>
      <c r="W231" s="188">
        <f>J231-(Q231*($M$1-$K$1))</f>
        <v>1077.07</v>
      </c>
      <c r="X231" s="188">
        <f>H231*$M$1</f>
        <v>1077.07</v>
      </c>
    </row>
    <row r="232" spans="1:27" s="126" customFormat="1" ht="15" customHeight="1" x14ac:dyDescent="0.25">
      <c r="A232" s="210"/>
      <c r="B232" s="127">
        <v>28</v>
      </c>
      <c r="C232" s="127">
        <v>4</v>
      </c>
      <c r="D232" s="128">
        <f>'Data Ocupacion'!BL45</f>
        <v>27</v>
      </c>
      <c r="E232" s="128">
        <f>'Data Ocupacion'!BM45</f>
        <v>5</v>
      </c>
      <c r="F232" s="127" t="s">
        <v>53</v>
      </c>
      <c r="G232" s="127">
        <f t="shared" si="191"/>
        <v>37</v>
      </c>
      <c r="H232" s="127">
        <f t="shared" si="195"/>
        <v>36</v>
      </c>
      <c r="I232" s="127">
        <f t="shared" si="192"/>
        <v>32</v>
      </c>
      <c r="J232" s="127">
        <f>G232*M$1</f>
        <v>1077.07</v>
      </c>
      <c r="K232" s="156">
        <f>I232*M$1</f>
        <v>931.52</v>
      </c>
      <c r="L232" s="127">
        <f t="shared" si="193"/>
        <v>112015.28</v>
      </c>
      <c r="M232" s="127">
        <f t="shared" si="194"/>
        <v>3328</v>
      </c>
      <c r="N232" s="19"/>
      <c r="O232" s="19"/>
      <c r="P232" s="149"/>
      <c r="Q232" s="197"/>
      <c r="R232" s="197"/>
      <c r="S232" s="197"/>
      <c r="T232" s="197"/>
      <c r="U232" s="197"/>
      <c r="V232" s="197"/>
      <c r="W232" s="188">
        <f>J232</f>
        <v>1077.07</v>
      </c>
      <c r="X232" s="188">
        <f>H232*$M$1</f>
        <v>1047.96</v>
      </c>
    </row>
    <row r="233" spans="1:27" s="126" customFormat="1" ht="15" customHeight="1" x14ac:dyDescent="0.25">
      <c r="A233" s="210"/>
      <c r="B233" s="127">
        <v>0</v>
      </c>
      <c r="C233" s="127">
        <v>0</v>
      </c>
      <c r="D233" s="128">
        <f>'Data Ocupacion'!BL46</f>
        <v>0</v>
      </c>
      <c r="E233" s="128">
        <f>'Data Ocupacion'!BM46</f>
        <v>0</v>
      </c>
      <c r="F233" s="127" t="s">
        <v>122</v>
      </c>
      <c r="G233" s="127">
        <f t="shared" si="191"/>
        <v>0</v>
      </c>
      <c r="H233" s="127">
        <f t="shared" si="195"/>
        <v>0</v>
      </c>
      <c r="I233" s="127">
        <f t="shared" si="192"/>
        <v>0</v>
      </c>
      <c r="J233" s="127">
        <f>G233*K$1</f>
        <v>0</v>
      </c>
      <c r="K233" s="156">
        <f>I233*K$1</f>
        <v>0</v>
      </c>
      <c r="L233" s="127">
        <f t="shared" si="193"/>
        <v>0</v>
      </c>
      <c r="M233" s="127">
        <f t="shared" si="194"/>
        <v>0</v>
      </c>
      <c r="N233" s="19"/>
      <c r="O233" s="19"/>
      <c r="P233" s="149"/>
      <c r="Q233" s="197"/>
      <c r="R233" s="197"/>
      <c r="S233" s="197"/>
      <c r="T233" s="197"/>
      <c r="U233" s="197"/>
      <c r="V233" s="197"/>
      <c r="W233" s="188">
        <f>J233</f>
        <v>0</v>
      </c>
      <c r="X233" s="188">
        <f>H233*$K$1</f>
        <v>0</v>
      </c>
    </row>
    <row r="234" spans="1:27" s="126" customFormat="1" ht="15.75" customHeight="1" thickBot="1" x14ac:dyDescent="0.3">
      <c r="A234" s="210"/>
      <c r="B234" s="127">
        <v>1</v>
      </c>
      <c r="C234" s="127">
        <v>0</v>
      </c>
      <c r="D234" s="128">
        <f>'Data Ocupacion'!BL47</f>
        <v>1</v>
      </c>
      <c r="E234" s="128">
        <f>'Data Ocupacion'!BM47</f>
        <v>0</v>
      </c>
      <c r="F234" s="127" t="s">
        <v>35</v>
      </c>
      <c r="G234" s="127">
        <f t="shared" si="191"/>
        <v>1</v>
      </c>
      <c r="H234" s="127">
        <f t="shared" si="195"/>
        <v>1</v>
      </c>
      <c r="I234" s="127">
        <f t="shared" si="192"/>
        <v>1</v>
      </c>
      <c r="J234" s="127">
        <f>G234*K$1</f>
        <v>25.4</v>
      </c>
      <c r="K234" s="156">
        <f>I234*K$1</f>
        <v>25.4</v>
      </c>
      <c r="L234" s="127">
        <f t="shared" si="193"/>
        <v>2641.6</v>
      </c>
      <c r="M234" s="127">
        <f t="shared" si="194"/>
        <v>104</v>
      </c>
      <c r="N234" s="19"/>
      <c r="O234" s="19"/>
      <c r="P234" s="149"/>
      <c r="Q234" s="197"/>
      <c r="R234" s="197"/>
      <c r="S234" s="197"/>
      <c r="T234" s="197"/>
      <c r="U234" s="197"/>
      <c r="V234" s="197"/>
      <c r="W234" s="188">
        <f>J234</f>
        <v>25.4</v>
      </c>
      <c r="X234" s="188">
        <f>H234*$K$1</f>
        <v>25.4</v>
      </c>
    </row>
    <row r="235" spans="1:27" s="126" customFormat="1" ht="15.75" thickBot="1" x14ac:dyDescent="0.3">
      <c r="A235" s="20"/>
      <c r="B235" s="230">
        <f>SUM(B229:B234)</f>
        <v>150</v>
      </c>
      <c r="C235" s="230">
        <f>SUM(C229:C234)</f>
        <v>73</v>
      </c>
      <c r="D235" s="151">
        <f>SUM(D229:D234)</f>
        <v>146</v>
      </c>
      <c r="E235" s="151">
        <f>SUM(E229:E234)</f>
        <v>77</v>
      </c>
      <c r="F235" s="121"/>
      <c r="G235" s="121">
        <f t="shared" ref="G235:M235" si="196">SUM(G229:G234)</f>
        <v>300</v>
      </c>
      <c r="H235" s="121">
        <f t="shared" si="196"/>
        <v>296</v>
      </c>
      <c r="I235" s="121">
        <f t="shared" si="196"/>
        <v>223</v>
      </c>
      <c r="J235" s="121">
        <f t="shared" si="196"/>
        <v>11883.789999999999</v>
      </c>
      <c r="K235" s="121">
        <f t="shared" si="196"/>
        <v>8688.9599999999991</v>
      </c>
      <c r="L235" s="121">
        <f t="shared" si="196"/>
        <v>1235914.1600000001</v>
      </c>
      <c r="M235" s="121">
        <f t="shared" si="196"/>
        <v>23192</v>
      </c>
      <c r="N235" s="125">
        <f>'Odometro-Kilometraje'!AF81</f>
        <v>12023</v>
      </c>
      <c r="O235" s="21">
        <f>(W235/N235)*100</f>
        <v>97.19595774765034</v>
      </c>
      <c r="P235" s="200"/>
      <c r="Q235" s="187"/>
      <c r="R235" s="187"/>
      <c r="S235" s="187"/>
      <c r="T235" s="187"/>
      <c r="U235" s="187"/>
      <c r="V235" s="187"/>
      <c r="W235" s="201">
        <f>SUM(W229:W234)</f>
        <v>11685.87</v>
      </c>
      <c r="X235" s="201">
        <f>SUM(X229:X234)</f>
        <v>11725.289999999999</v>
      </c>
    </row>
    <row r="236" spans="1:27" s="126" customFormat="1" ht="15.75" thickBot="1" x14ac:dyDescent="0.3"/>
    <row r="237" spans="1:27" s="126" customFormat="1" ht="15.75" thickBot="1" x14ac:dyDescent="0.3">
      <c r="A237"/>
      <c r="B237" s="379" t="s">
        <v>56</v>
      </c>
      <c r="C237" s="380"/>
      <c r="D237" s="380"/>
      <c r="E237" s="380"/>
      <c r="F237" s="380"/>
      <c r="G237" s="381"/>
      <c r="H237" s="360"/>
      <c r="I237" s="379" t="s">
        <v>57</v>
      </c>
      <c r="J237" s="380"/>
      <c r="K237" s="380"/>
      <c r="L237" s="380"/>
      <c r="M237" s="380"/>
      <c r="N237" s="381"/>
      <c r="P237" s="377" t="s">
        <v>142</v>
      </c>
      <c r="Q237" s="377"/>
      <c r="R237" s="377"/>
      <c r="S237" s="378"/>
      <c r="T237" s="374" t="s">
        <v>145</v>
      </c>
      <c r="U237" s="375"/>
      <c r="V237" s="376"/>
      <c r="W237" s="365" t="s">
        <v>146</v>
      </c>
      <c r="X237" s="365" t="s">
        <v>205</v>
      </c>
    </row>
    <row r="238" spans="1:27" s="126" customFormat="1" ht="24.75" thickBot="1" x14ac:dyDescent="0.3">
      <c r="A238" s="22" t="s">
        <v>56</v>
      </c>
      <c r="B238" s="184" t="s">
        <v>58</v>
      </c>
      <c r="C238" s="184" t="s">
        <v>59</v>
      </c>
      <c r="D238" s="184" t="s">
        <v>60</v>
      </c>
      <c r="E238" s="184" t="s">
        <v>61</v>
      </c>
      <c r="F238" s="184" t="s">
        <v>62</v>
      </c>
      <c r="G238" s="184" t="s">
        <v>63</v>
      </c>
      <c r="H238" s="184"/>
      <c r="I238" s="184" t="s">
        <v>58</v>
      </c>
      <c r="J238" s="184" t="s">
        <v>59</v>
      </c>
      <c r="K238" s="184" t="s">
        <v>60</v>
      </c>
      <c r="L238" s="184" t="s">
        <v>61</v>
      </c>
      <c r="M238" s="184" t="s">
        <v>62</v>
      </c>
      <c r="N238" s="184" t="s">
        <v>63</v>
      </c>
      <c r="P238" s="224" t="s">
        <v>143</v>
      </c>
      <c r="Q238" s="203" t="s">
        <v>144</v>
      </c>
      <c r="R238" s="223" t="s">
        <v>151</v>
      </c>
      <c r="S238" s="225" t="s">
        <v>149</v>
      </c>
      <c r="T238" s="204" t="s">
        <v>143</v>
      </c>
      <c r="U238" s="205" t="s">
        <v>144</v>
      </c>
      <c r="V238" s="244" t="s">
        <v>149</v>
      </c>
      <c r="W238" s="366"/>
      <c r="X238" s="366"/>
    </row>
    <row r="239" spans="1:27" ht="15.95" customHeight="1" x14ac:dyDescent="0.25">
      <c r="A239" s="23" t="s">
        <v>38</v>
      </c>
      <c r="B239" s="116">
        <f t="shared" ref="B239:C242" si="197">B5+B14+B23+B30+B37+B44+B51+B58+B65+B72+B79+B90+B97+B104+B111+B118+B125+B132+B139+B146+B153+B160+B167+B174+B181+B190+B201+B208+B215+B222+B229</f>
        <v>1601</v>
      </c>
      <c r="C239" s="116">
        <f t="shared" si="197"/>
        <v>688</v>
      </c>
      <c r="D239" s="116">
        <f t="shared" ref="D239:D252" si="198">B239+C239</f>
        <v>2289</v>
      </c>
      <c r="E239" s="142">
        <f>D239*43.13</f>
        <v>98724.57</v>
      </c>
      <c r="F239" s="142">
        <f>B239*43.13+C239*86.26</f>
        <v>128398.01000000001</v>
      </c>
      <c r="G239" s="142">
        <f t="shared" ref="G239:G252" si="199">F239*104</f>
        <v>13353393.040000001</v>
      </c>
      <c r="H239" s="142"/>
      <c r="I239" s="116">
        <f>D5+D14+D23+D30+D37+D44+D51+D58+D65+D72+D79+D90+D97+D104+D111+D118+D125+D132+D139+D146+D153+D160+D167+D174+D181+D190+D201+D208+D215+D222+D229</f>
        <v>1566</v>
      </c>
      <c r="J239" s="116">
        <f>E5+E14+E23+E30+E37+E44+E51+E58+E65+E72+E79+E90+E97+E104+E111+E118+E125+E132+E139+E146+E153+E160+E167+E174+E181+E190+E201+E208+E215+E222+E229</f>
        <v>686</v>
      </c>
      <c r="K239" s="141">
        <f>I239+J239</f>
        <v>2252</v>
      </c>
      <c r="L239" s="142">
        <f>K239*43.13</f>
        <v>97128.760000000009</v>
      </c>
      <c r="M239" s="142">
        <f>I239*43.13+J239*86.26</f>
        <v>126715.94</v>
      </c>
      <c r="N239" s="142">
        <f t="shared" ref="N239:N245" si="200">M239*104</f>
        <v>13178457.76</v>
      </c>
      <c r="O239" s="126"/>
      <c r="P239" s="218">
        <f>SUM(Q208,Q201,Q190,Q181,Q174,Q167,Q160,Q153,Q146,Q139,Q132,Q125,Q118,Q111,Q104,Q97,Q90,Q79,Q72,Q65,Q58,Q51,Q44,Q37,Q30,Q23,Q14,Q5,Q215,Q222,Q229)</f>
        <v>33</v>
      </c>
      <c r="Q239" s="219">
        <f>SUM(R208,R201,R190,R181,R174,R167,R160,R153,R146,R139,R132,R125,R118,R111,R104,R97,R90,R79,R72,R65,R58,R51,R44,R37,R30,R23,R14,R5,R215,R222,R229)</f>
        <v>0</v>
      </c>
      <c r="R239" s="126">
        <f>SUM(Q210,Q203,Q192,Q183,Q176,Q169,Q162,Q155,Q148,Q141,Q134,Q127,Q120,Q113,Q106,Q99,Q92,Q81,Q74,Q67,Q60,Q53,Q46,Q39,Q32,Q25,Q16,Q7,Q217,Q224,Q231)</f>
        <v>0</v>
      </c>
      <c r="S239" s="126">
        <f>SUM(S208,S201,S190,S181,S174,S167,S160,S153,S146,S139,S132,S125,S118,S111,S104,S97,S90,S79,S72,S65,S58,S51,S44,S37,S30,S23,S14,S5,S215,S222,S229)</f>
        <v>0</v>
      </c>
      <c r="T239" s="126">
        <f>SUM(T209,T202,T191,T182,T175,T168,T161,T154,T147,T140,T133,T126,T119,T112,T105,T98,T91,T80,T73,T66,T59,T52,T45,T38,T31,T24,T15,T6,T216,T223,T230)</f>
        <v>5</v>
      </c>
      <c r="U239" s="126">
        <f>SUM(U209,U202,U191,U182,U175,U168,U161,U154,U147,U140,U133,U126,U119,U112,U105,U98,U91,U80,U73,U66,U59,U52,U45,U38,U31,U24,U15,U6,U216,U223,U230)</f>
        <v>0</v>
      </c>
      <c r="V239" s="126">
        <f>SUM(V209,V202,V191,V182,V175,V168,V161,V154,V147,V140,V133,V126,V119,V112,V105,V98,V91,V80,V73,V66,V59,V52,V45,V38,V31,V24,V15,V6,V216,V223,V230)</f>
        <v>1</v>
      </c>
      <c r="W239" s="248">
        <f>W13+W22+W29+W36+W43+W50+W57+W64+W71+W78+W89+W96+W103+W110+W117+W124+W131+W138+W145+W152+W159+W166+W173+W180+W189+W200+W207+W214+W221+W228+W235</f>
        <v>299045.92000000004</v>
      </c>
      <c r="X239" s="248">
        <f>X13+X22+X29+X36+X43+X50+X57+X64+X71+X78+X89+X96+X103+X110+X117+X124+X131+X138+X145+X152+X159+X166+X173+X180+X189+X200+X207+X214+X221+X228+X235</f>
        <v>301626.47000000003</v>
      </c>
      <c r="Z239">
        <v>290570.65999999997</v>
      </c>
    </row>
    <row r="240" spans="1:27" ht="17.25" customHeight="1" x14ac:dyDescent="0.25">
      <c r="A240" s="23" t="s">
        <v>52</v>
      </c>
      <c r="B240" s="116">
        <f t="shared" si="197"/>
        <v>1619</v>
      </c>
      <c r="C240" s="116">
        <f t="shared" si="197"/>
        <v>679</v>
      </c>
      <c r="D240" s="116">
        <f t="shared" si="198"/>
        <v>2298</v>
      </c>
      <c r="E240" s="142">
        <f>D240*43.13</f>
        <v>99112.74</v>
      </c>
      <c r="F240" s="142">
        <f>B240*43.13+C240*86.26</f>
        <v>128398.01000000001</v>
      </c>
      <c r="G240" s="142">
        <f t="shared" si="199"/>
        <v>13353393.040000001</v>
      </c>
      <c r="H240" s="142"/>
      <c r="I240" s="116">
        <f>D6+D15+D24+D31+D38+D45+D52+D59+D66+D73+D80+D91+D98+D105+D112+D119+D126+D133+D140+D147+D154+D161+D168+D175+D182+D191+D202+D209+D216+D223+D230</f>
        <v>1597</v>
      </c>
      <c r="J240" s="116">
        <f>E6+E15+E24+E31+E38+E45+E52+E59+E66+E73+E80+E91+E98+E105+E112+E119+E126+E133+E140+E147+E154+E161+E168+E175+E182+E191+E202+E209+E216+E223+E230</f>
        <v>660</v>
      </c>
      <c r="K240" s="141">
        <f t="shared" ref="K240:K252" si="201">I240+J240</f>
        <v>2257</v>
      </c>
      <c r="L240" s="142">
        <f>K240*43.13</f>
        <v>97344.41</v>
      </c>
      <c r="M240" s="142">
        <f>I240*43.13+J240*86.26</f>
        <v>125810.21</v>
      </c>
      <c r="N240" s="142">
        <f t="shared" si="200"/>
        <v>13084261.84</v>
      </c>
      <c r="O240" s="126"/>
      <c r="W240" s="218"/>
      <c r="AA240" s="8"/>
    </row>
    <row r="241" spans="1:29" x14ac:dyDescent="0.25">
      <c r="A241" s="23" t="s">
        <v>36</v>
      </c>
      <c r="B241" s="116">
        <f t="shared" si="197"/>
        <v>620</v>
      </c>
      <c r="C241" s="116">
        <f t="shared" si="197"/>
        <v>73</v>
      </c>
      <c r="D241" s="116">
        <f t="shared" si="198"/>
        <v>693</v>
      </c>
      <c r="E241" s="142">
        <f>D241*29.11</f>
        <v>20173.23</v>
      </c>
      <c r="F241" s="142">
        <f>B241*29.11+C241*58.22</f>
        <v>22298.260000000002</v>
      </c>
      <c r="G241" s="142">
        <f t="shared" si="199"/>
        <v>2319019.04</v>
      </c>
      <c r="H241" s="142"/>
      <c r="I241" s="116">
        <f>D7+D16+D25+D32+D39+D46+D53+D60+D67+D74+D81+D92+D99+D106+D113+D120+D127+D134+D141+D148+D155+D162+D169+D176+D183+D192+D203+D210+D217+D224+D231</f>
        <v>613</v>
      </c>
      <c r="J241" s="116">
        <f>E7+E16+E25+E32+E39+E46+E53+E60+E67+E74+E81+E92+E99+E106+E113+E120+E127+E134+E141+E148+E155+E162+E169+E176+E183+E192+E203+E210+E217+E224+E231</f>
        <v>73</v>
      </c>
      <c r="K241" s="141">
        <f t="shared" si="201"/>
        <v>686</v>
      </c>
      <c r="L241" s="142">
        <f>K241*29.11</f>
        <v>19969.46</v>
      </c>
      <c r="M241" s="142">
        <f>I241*29.11+J241*58.22</f>
        <v>22094.489999999998</v>
      </c>
      <c r="N241" s="142">
        <f t="shared" si="200"/>
        <v>2297826.96</v>
      </c>
      <c r="O241" s="126"/>
      <c r="W241" s="218"/>
    </row>
    <row r="242" spans="1:29" x14ac:dyDescent="0.25">
      <c r="A242" s="23" t="s">
        <v>53</v>
      </c>
      <c r="B242" s="116">
        <f t="shared" si="197"/>
        <v>599</v>
      </c>
      <c r="C242" s="116">
        <f t="shared" si="197"/>
        <v>73</v>
      </c>
      <c r="D242" s="116">
        <f t="shared" si="198"/>
        <v>672</v>
      </c>
      <c r="E242" s="142">
        <f>D242*29.11</f>
        <v>19561.919999999998</v>
      </c>
      <c r="F242" s="142">
        <f>B242*29.11+C242*58.22</f>
        <v>21686.949999999997</v>
      </c>
      <c r="G242" s="142">
        <f t="shared" si="199"/>
        <v>2255442.7999999998</v>
      </c>
      <c r="H242" s="142"/>
      <c r="I242" s="116">
        <f>D8+D17+D26+D33+D40+D47+D54+D61+D68+D75+D82+D93+D100+D107+D114+D121+D128+D135+D142+D149+D156+D163+D170+D177+D184+D193+D204+D211+D218+D225+D232</f>
        <v>589</v>
      </c>
      <c r="J242" s="116">
        <f>E8+E17+E26+E33+E40+E47+E54+E61+E68+E75+E82+E93+E100+E107+E114+E121+E128+E135+E142+E149+E156+E163+E170+E177+E184+E193+E204+E211+E218+E225+E232</f>
        <v>75</v>
      </c>
      <c r="K242" s="141">
        <f t="shared" si="201"/>
        <v>664</v>
      </c>
      <c r="L242" s="142">
        <f>K242*29.11</f>
        <v>19329.04</v>
      </c>
      <c r="M242" s="142">
        <f>I242*29.11+J242*58.22</f>
        <v>21512.29</v>
      </c>
      <c r="N242" s="142">
        <f t="shared" si="200"/>
        <v>2237278.16</v>
      </c>
      <c r="O242" s="126"/>
      <c r="W242" s="218"/>
      <c r="AA242" s="103"/>
      <c r="AB242" s="103"/>
      <c r="AC242" s="103"/>
    </row>
    <row r="243" spans="1:29" x14ac:dyDescent="0.25">
      <c r="A243" s="23" t="s">
        <v>122</v>
      </c>
      <c r="B243" s="116">
        <f>B9+B18+B27+B34+B41+B48+B55+B62+B69+B76+B83+B94+B101+B108+B115+B122+B129+B136+B143+B150+B157+B164+B171+B178+B185+B194+B205+B212+B219+B226+B233</f>
        <v>0</v>
      </c>
      <c r="C243" s="116">
        <f>C9+C18+C27+C34+C41+C48+C55+C62+C69+C76+C84+C94+C101+C108+C115+C122+C129+C136+C143+C150+C157+C164+C171+C178+C185+C194+C205+C212+C219+C226+C233</f>
        <v>0</v>
      </c>
      <c r="D243" s="116">
        <f t="shared" si="198"/>
        <v>0</v>
      </c>
      <c r="E243" s="142">
        <f>D243*25.4</f>
        <v>0</v>
      </c>
      <c r="F243" s="142">
        <f>B243*25.4+C243*50.8</f>
        <v>0</v>
      </c>
      <c r="G243" s="142">
        <f t="shared" si="199"/>
        <v>0</v>
      </c>
      <c r="H243" s="142"/>
      <c r="I243" s="116">
        <f>D9+D18+D27+D34+D41+D48+D55+D62+D69+D76+D83+D94+D101+D108+D115+D122+D129+D136+D143+D150+D157+D164+D171+D178+D185+D194+D205+D212+D219+D226+D233</f>
        <v>0</v>
      </c>
      <c r="J243" s="116">
        <f>E9+E18+E27+E34+E41+E48+E55+E62+E69+E76+E84+E94+E101+E108+E115+E122+E129+E136+E143+E150+E157+E164+E171+E178+E185+E194+E205+E212+E219+E226+E233</f>
        <v>0</v>
      </c>
      <c r="K243" s="141">
        <f t="shared" si="201"/>
        <v>0</v>
      </c>
      <c r="L243" s="142">
        <f>K243*25.4</f>
        <v>0</v>
      </c>
      <c r="M243" s="142">
        <f>I243*25.4+J243*50.8</f>
        <v>0</v>
      </c>
      <c r="N243" s="142">
        <f t="shared" si="200"/>
        <v>0</v>
      </c>
      <c r="O243" s="126"/>
      <c r="W243" s="218"/>
    </row>
    <row r="244" spans="1:29" x14ac:dyDescent="0.25">
      <c r="A244" s="23" t="s">
        <v>35</v>
      </c>
      <c r="B244" s="116">
        <f>B10+B19+B28+B35+B42+B49+B56+B63+B70+B77+B84+B95+B102+B109+B116+B123+B130+B137+B144+B151+B158+B165+B172+B179+B186+B195+B206+B213+B220+B227+B234</f>
        <v>21</v>
      </c>
      <c r="C244" s="116">
        <f>C10+C19+C28+C35+C42+C49+C56+C63+C70+C77+C84+C95+C102+C109+C116+C123+C130+C137+C144+C151+C158+C165+C172+C179+C186+C195+C206+C213+C220+C227+C234</f>
        <v>0</v>
      </c>
      <c r="D244" s="116">
        <f t="shared" si="198"/>
        <v>21</v>
      </c>
      <c r="E244" s="142">
        <f>D244*25.4</f>
        <v>533.4</v>
      </c>
      <c r="F244" s="142">
        <f>B244*25.4+C244*50.8</f>
        <v>533.4</v>
      </c>
      <c r="G244" s="142">
        <f t="shared" si="199"/>
        <v>55473.599999999999</v>
      </c>
      <c r="H244" s="142"/>
      <c r="I244" s="116">
        <f>D10+D19+D28+D35+D42+D49+D56+D63+D70+D77+D84+D95+D102+D109+D116+D123+D130+D137+D144+D151+D158+D165+D172+D179+D186+D195+D206+D213+D220+D227+D234</f>
        <v>21</v>
      </c>
      <c r="J244" s="116">
        <f>E10+E19+E28+E35+E42+E49+E56+E63+E70+E77+E84+E95+E102+E109+E116+E123+E130+E137+E144+E151+E158+E165+E172+E179+E186+E195+E206+E213+E220+E227+E234</f>
        <v>0</v>
      </c>
      <c r="K244" s="141">
        <f t="shared" si="201"/>
        <v>21</v>
      </c>
      <c r="L244" s="142">
        <f>K244*25.4</f>
        <v>533.4</v>
      </c>
      <c r="M244" s="142">
        <f>I244*25.4+J244*50.8</f>
        <v>533.4</v>
      </c>
      <c r="N244" s="142">
        <f t="shared" si="200"/>
        <v>55473.599999999999</v>
      </c>
      <c r="O244" s="126"/>
      <c r="P244" s="126"/>
      <c r="Q244" s="126"/>
      <c r="R244" s="126"/>
      <c r="T244" s="126"/>
      <c r="U244" s="126"/>
      <c r="W244" s="218"/>
      <c r="AA244" s="103"/>
      <c r="AB244" s="103"/>
      <c r="AC244" s="103"/>
    </row>
    <row r="245" spans="1:29" s="126" customFormat="1" x14ac:dyDescent="0.25">
      <c r="A245" s="23" t="s">
        <v>179</v>
      </c>
      <c r="B245" s="116">
        <f>B85</f>
        <v>0</v>
      </c>
      <c r="C245" s="116">
        <f>C85</f>
        <v>0</v>
      </c>
      <c r="D245" s="116">
        <f t="shared" si="198"/>
        <v>0</v>
      </c>
      <c r="E245" s="142">
        <f>D245*X2</f>
        <v>0</v>
      </c>
      <c r="F245" s="142">
        <f>B245*X2+C245*(X1*2)</f>
        <v>0</v>
      </c>
      <c r="G245" s="142">
        <f t="shared" si="199"/>
        <v>0</v>
      </c>
      <c r="H245" s="142"/>
      <c r="I245" s="116">
        <f>D85+D196</f>
        <v>3</v>
      </c>
      <c r="J245" s="116">
        <f>E85+E196</f>
        <v>0</v>
      </c>
      <c r="K245" s="141">
        <f t="shared" si="201"/>
        <v>3</v>
      </c>
      <c r="L245" s="142">
        <f>K245*X2</f>
        <v>65.099999999999994</v>
      </c>
      <c r="M245" s="142">
        <f>I245*X2+J245*(X2*2)</f>
        <v>65.099999999999994</v>
      </c>
      <c r="N245" s="142">
        <f t="shared" si="200"/>
        <v>6770.4</v>
      </c>
      <c r="W245" s="218"/>
    </row>
    <row r="246" spans="1:29" s="126" customFormat="1" x14ac:dyDescent="0.25">
      <c r="A246" s="23" t="s">
        <v>125</v>
      </c>
      <c r="B246" s="116">
        <f>B86</f>
        <v>0</v>
      </c>
      <c r="C246" s="116">
        <f>C86</f>
        <v>0</v>
      </c>
      <c r="D246" s="116">
        <f t="shared" ref="D246:D247" si="202">B246+C246</f>
        <v>0</v>
      </c>
      <c r="E246" s="142">
        <f>D246*X2</f>
        <v>0</v>
      </c>
      <c r="F246" s="142">
        <f>B246*X2+C246*(X2*2)</f>
        <v>0</v>
      </c>
      <c r="G246" s="142">
        <f t="shared" ref="G246:G247" si="203">F246*104</f>
        <v>0</v>
      </c>
      <c r="H246" s="142"/>
      <c r="I246" s="116">
        <f>D86+D197</f>
        <v>6</v>
      </c>
      <c r="J246" s="116">
        <f>E86+E197</f>
        <v>1</v>
      </c>
      <c r="K246" s="141">
        <f t="shared" ref="K246:K247" si="204">I246+J246</f>
        <v>7</v>
      </c>
      <c r="L246" s="142">
        <f>K246*X2</f>
        <v>151.9</v>
      </c>
      <c r="M246" s="142">
        <f>I246*X2+J246*(X2*2)</f>
        <v>173.6</v>
      </c>
      <c r="N246" s="142">
        <f t="shared" ref="N246:N247" si="205">M246*104</f>
        <v>18054.399999999998</v>
      </c>
      <c r="W246" s="218"/>
    </row>
    <row r="247" spans="1:29" s="126" customFormat="1" x14ac:dyDescent="0.25">
      <c r="A247" s="23" t="s">
        <v>180</v>
      </c>
      <c r="B247" s="116">
        <f>B87+B198</f>
        <v>0</v>
      </c>
      <c r="C247" s="116">
        <f>C87+C198</f>
        <v>0</v>
      </c>
      <c r="D247" s="116">
        <f t="shared" si="202"/>
        <v>0</v>
      </c>
      <c r="E247" s="142">
        <f>D247*X2</f>
        <v>0</v>
      </c>
      <c r="F247" s="142">
        <f>B247*X2+C247*(X2*2)</f>
        <v>0</v>
      </c>
      <c r="G247" s="142">
        <f t="shared" si="203"/>
        <v>0</v>
      </c>
      <c r="H247" s="142"/>
      <c r="I247" s="116">
        <f>D87+D198</f>
        <v>12</v>
      </c>
      <c r="J247" s="116">
        <f>E87+E198</f>
        <v>9</v>
      </c>
      <c r="K247" s="141">
        <f t="shared" si="204"/>
        <v>21</v>
      </c>
      <c r="L247" s="142">
        <f>K247*O2</f>
        <v>750.32999999999993</v>
      </c>
      <c r="M247" s="142">
        <f>I247*O2+J247*(O2*2)</f>
        <v>1071.9000000000001</v>
      </c>
      <c r="N247" s="142">
        <f t="shared" si="205"/>
        <v>111477.6</v>
      </c>
      <c r="W247" s="218"/>
    </row>
    <row r="248" spans="1:29" s="126" customFormat="1" x14ac:dyDescent="0.25">
      <c r="A248" s="23" t="s">
        <v>181</v>
      </c>
      <c r="B248" s="116">
        <f>B88+B199</f>
        <v>0</v>
      </c>
      <c r="C248" s="116">
        <f>C88+C199</f>
        <v>0</v>
      </c>
      <c r="D248" s="116">
        <f t="shared" ref="D248:D250" si="206">B248+C248</f>
        <v>0</v>
      </c>
      <c r="E248" s="142" t="e">
        <f>D248*X3</f>
        <v>#VALUE!</v>
      </c>
      <c r="F248" s="142" t="e">
        <f>B248*X3+C248*(X3*2)</f>
        <v>#VALUE!</v>
      </c>
      <c r="G248" s="142" t="e">
        <f t="shared" ref="G248:G250" si="207">F248*104</f>
        <v>#VALUE!</v>
      </c>
      <c r="H248" s="142"/>
      <c r="I248" s="116">
        <f>D88+D199</f>
        <v>21</v>
      </c>
      <c r="J248" s="116">
        <f>E88+E199</f>
        <v>7</v>
      </c>
      <c r="K248" s="141">
        <f t="shared" ref="K248:K250" si="208">I248+J248</f>
        <v>28</v>
      </c>
      <c r="L248" s="142">
        <f>K248*O2</f>
        <v>1000.4399999999999</v>
      </c>
      <c r="M248" s="142">
        <f>I248*O2+J248*(O2*2)</f>
        <v>1250.55</v>
      </c>
      <c r="N248" s="142">
        <f t="shared" ref="N248:N250" si="209">M248*104</f>
        <v>130057.2</v>
      </c>
      <c r="W248" s="218"/>
    </row>
    <row r="249" spans="1:29" s="126" customFormat="1" x14ac:dyDescent="0.25">
      <c r="A249" s="23" t="s">
        <v>192</v>
      </c>
      <c r="B249" s="116">
        <f>B187</f>
        <v>0</v>
      </c>
      <c r="C249" s="116">
        <f>C187</f>
        <v>0</v>
      </c>
      <c r="D249" s="116">
        <f t="shared" si="206"/>
        <v>0</v>
      </c>
      <c r="E249" s="142">
        <f>D249*X4</f>
        <v>0</v>
      </c>
      <c r="F249" s="142">
        <f>B249*U1+C249*(U1*2)</f>
        <v>0</v>
      </c>
      <c r="G249" s="142">
        <f t="shared" si="207"/>
        <v>0</v>
      </c>
      <c r="H249" s="142"/>
      <c r="I249" s="116">
        <f>D187</f>
        <v>8</v>
      </c>
      <c r="J249" s="116">
        <f>E187</f>
        <v>1</v>
      </c>
      <c r="K249" s="141">
        <f t="shared" si="208"/>
        <v>9</v>
      </c>
      <c r="L249" s="142">
        <f>K249*U1</f>
        <v>352.71</v>
      </c>
      <c r="M249" s="142">
        <f>I249*U1+J249*(U1*2)</f>
        <v>391.9</v>
      </c>
      <c r="N249" s="142">
        <f t="shared" si="209"/>
        <v>40757.599999999999</v>
      </c>
      <c r="W249" s="218"/>
    </row>
    <row r="250" spans="1:29" s="126" customFormat="1" x14ac:dyDescent="0.25">
      <c r="A250" s="23" t="s">
        <v>193</v>
      </c>
      <c r="B250" s="116">
        <f>B188</f>
        <v>0</v>
      </c>
      <c r="C250" s="116">
        <f>C188</f>
        <v>0</v>
      </c>
      <c r="D250" s="116">
        <f t="shared" si="206"/>
        <v>0</v>
      </c>
      <c r="E250" s="142">
        <f>D250*X5</f>
        <v>0</v>
      </c>
      <c r="F250" s="142">
        <f>B250*U1+C250*(U1*2)</f>
        <v>0</v>
      </c>
      <c r="G250" s="142">
        <f t="shared" si="207"/>
        <v>0</v>
      </c>
      <c r="H250" s="142"/>
      <c r="I250" s="116">
        <f>D188</f>
        <v>8</v>
      </c>
      <c r="J250" s="116">
        <f>E188</f>
        <v>1</v>
      </c>
      <c r="K250" s="141">
        <f t="shared" si="208"/>
        <v>9</v>
      </c>
      <c r="L250" s="142">
        <f>K250*U1</f>
        <v>352.71</v>
      </c>
      <c r="M250" s="142">
        <f>I250*U1+J250*(U1*2)</f>
        <v>391.9</v>
      </c>
      <c r="N250" s="142">
        <f t="shared" si="209"/>
        <v>40757.599999999999</v>
      </c>
      <c r="W250" s="218"/>
    </row>
    <row r="251" spans="1:29" s="126" customFormat="1" x14ac:dyDescent="0.25">
      <c r="A251" s="23" t="s">
        <v>158</v>
      </c>
      <c r="B251" s="116">
        <f>B11+B20</f>
        <v>8</v>
      </c>
      <c r="C251" s="116">
        <f>C11+C20</f>
        <v>0</v>
      </c>
      <c r="D251" s="116">
        <f t="shared" si="198"/>
        <v>8</v>
      </c>
      <c r="E251" s="142">
        <f>D251*S1</f>
        <v>278.64</v>
      </c>
      <c r="F251" s="142">
        <f>B251*S1+C251*(S1*2)</f>
        <v>278.64</v>
      </c>
      <c r="G251" s="142">
        <f t="shared" si="199"/>
        <v>28978.559999999998</v>
      </c>
      <c r="H251" s="142"/>
      <c r="I251" s="116">
        <f>D11+D20</f>
        <v>6</v>
      </c>
      <c r="J251" s="116">
        <f>E11+E20</f>
        <v>2</v>
      </c>
      <c r="K251" s="141">
        <f t="shared" si="201"/>
        <v>8</v>
      </c>
      <c r="L251" s="142">
        <f>K251*S1</f>
        <v>278.64</v>
      </c>
      <c r="M251" s="142">
        <f>I251*S1+J251*(S1*2)</f>
        <v>348.29999999999995</v>
      </c>
      <c r="N251" s="142">
        <f>M251*104</f>
        <v>36223.199999999997</v>
      </c>
      <c r="W251" s="218"/>
    </row>
    <row r="252" spans="1:29" s="126" customFormat="1" x14ac:dyDescent="0.25">
      <c r="A252" s="23" t="s">
        <v>157</v>
      </c>
      <c r="B252" s="116">
        <f>B12+B21</f>
        <v>4</v>
      </c>
      <c r="C252" s="116">
        <f>C12+C21</f>
        <v>0</v>
      </c>
      <c r="D252" s="116">
        <f t="shared" si="198"/>
        <v>4</v>
      </c>
      <c r="E252" s="142">
        <f>D252*Q1</f>
        <v>33.200000000000003</v>
      </c>
      <c r="F252" s="142">
        <f>B252*Q1+C252*(Q1*2)</f>
        <v>33.200000000000003</v>
      </c>
      <c r="G252" s="142">
        <f t="shared" si="199"/>
        <v>3452.8</v>
      </c>
      <c r="H252" s="142"/>
      <c r="I252" s="116">
        <f>D12+D21</f>
        <v>4</v>
      </c>
      <c r="J252" s="116">
        <f>E12+E21</f>
        <v>0</v>
      </c>
      <c r="K252" s="141">
        <f t="shared" si="201"/>
        <v>4</v>
      </c>
      <c r="L252" s="142">
        <f>K252*Q1</f>
        <v>33.200000000000003</v>
      </c>
      <c r="M252" s="142">
        <f>I252*Q1+J252*(Q1*2)</f>
        <v>33.200000000000003</v>
      </c>
      <c r="N252" s="142">
        <f>M252*104</f>
        <v>3452.8</v>
      </c>
      <c r="W252" s="218"/>
    </row>
    <row r="253" spans="1:29" s="126" customForma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P253"/>
      <c r="Q253"/>
      <c r="R253"/>
      <c r="T253"/>
      <c r="U253"/>
      <c r="W253" s="218"/>
    </row>
    <row r="254" spans="1:29" s="126" customFormat="1" x14ac:dyDescent="0.25">
      <c r="A254" s="182" t="s">
        <v>64</v>
      </c>
      <c r="B254" s="242">
        <f>SUM(B239:B253)</f>
        <v>4472</v>
      </c>
      <c r="C254" s="242">
        <f>SUM(C239:C253)</f>
        <v>1513</v>
      </c>
      <c r="D254" s="242">
        <f>SUM(D239:D253)</f>
        <v>5985</v>
      </c>
      <c r="E254" s="183" t="e">
        <f t="shared" ref="E254:N254" si="210">SUM(E239:E252)</f>
        <v>#VALUE!</v>
      </c>
      <c r="F254" s="183" t="e">
        <f t="shared" si="210"/>
        <v>#VALUE!</v>
      </c>
      <c r="G254" s="183" t="e">
        <f t="shared" si="210"/>
        <v>#VALUE!</v>
      </c>
      <c r="H254" s="183"/>
      <c r="I254" s="241">
        <f t="shared" si="210"/>
        <v>4454</v>
      </c>
      <c r="J254" s="241">
        <f t="shared" si="210"/>
        <v>1515</v>
      </c>
      <c r="K254" s="232">
        <f t="shared" si="210"/>
        <v>5969</v>
      </c>
      <c r="L254" s="233">
        <f t="shared" si="210"/>
        <v>237290.1</v>
      </c>
      <c r="M254" s="233">
        <f t="shared" si="210"/>
        <v>300392.78000000003</v>
      </c>
      <c r="N254" s="233">
        <f t="shared" si="210"/>
        <v>31240849.120000005</v>
      </c>
      <c r="P254"/>
      <c r="Q254"/>
      <c r="R254"/>
      <c r="T254"/>
      <c r="U254"/>
      <c r="W254" s="218"/>
    </row>
    <row r="255" spans="1:29" x14ac:dyDescent="0.25">
      <c r="A255" s="126"/>
      <c r="B255" s="126"/>
      <c r="C255" s="126"/>
      <c r="D255" s="126"/>
      <c r="E255" s="126"/>
      <c r="F255" s="126"/>
      <c r="G255" s="126"/>
      <c r="I255" s="126"/>
      <c r="J255" s="126"/>
      <c r="K255" s="126"/>
      <c r="L255" s="126"/>
      <c r="M255" s="218"/>
      <c r="N255" s="126"/>
      <c r="O255" s="126"/>
      <c r="W255" s="218"/>
    </row>
    <row r="256" spans="1:29" ht="42" customHeight="1" thickBot="1" x14ac:dyDescent="0.3">
      <c r="B256" s="126" t="s">
        <v>65</v>
      </c>
      <c r="C256" s="126">
        <f>(B254)+(C254*2)</f>
        <v>7498</v>
      </c>
      <c r="D256" s="126"/>
      <c r="E256" s="126"/>
      <c r="F256" s="126" t="s">
        <v>65</v>
      </c>
      <c r="G256" s="126">
        <f>(I254)+(J254*2)</f>
        <v>7484</v>
      </c>
      <c r="I256" s="126"/>
      <c r="J256" s="206"/>
      <c r="K256" s="126"/>
      <c r="L256" s="126"/>
      <c r="M256" s="218"/>
      <c r="N256" s="126"/>
      <c r="O256" s="126"/>
      <c r="W256" s="218"/>
    </row>
    <row r="257" spans="1:23" x14ac:dyDescent="0.25">
      <c r="A257" s="24"/>
      <c r="B257" s="383" t="s">
        <v>55</v>
      </c>
      <c r="C257" s="384"/>
      <c r="D257" s="25" t="s">
        <v>65</v>
      </c>
      <c r="E257" s="26"/>
      <c r="F257" s="27" t="s">
        <v>61</v>
      </c>
      <c r="G257" s="27" t="s">
        <v>66</v>
      </c>
      <c r="H257" s="25"/>
      <c r="I257" s="28" t="s">
        <v>67</v>
      </c>
      <c r="J257" s="126"/>
      <c r="K257" s="126"/>
      <c r="L257" s="126"/>
      <c r="M257" s="126"/>
      <c r="N257" s="126"/>
      <c r="O257" s="126"/>
      <c r="W257" s="218"/>
    </row>
    <row r="258" spans="1:23" x14ac:dyDescent="0.25">
      <c r="A258" s="29"/>
      <c r="B258" s="30" t="s">
        <v>58</v>
      </c>
      <c r="C258" s="30" t="s">
        <v>68</v>
      </c>
      <c r="D258" s="31"/>
      <c r="E258" s="32"/>
      <c r="F258" s="30"/>
      <c r="G258" s="30"/>
      <c r="H258" s="31"/>
      <c r="I258" s="33"/>
      <c r="J258" s="126"/>
      <c r="K258" s="126"/>
      <c r="L258" s="126"/>
      <c r="M258" s="126"/>
      <c r="N258" s="126"/>
      <c r="O258" s="126"/>
      <c r="W258" s="218"/>
    </row>
    <row r="259" spans="1:23" ht="15" hidden="1" customHeight="1" x14ac:dyDescent="0.25">
      <c r="A259" s="34" t="s">
        <v>69</v>
      </c>
      <c r="B259" s="147" t="e">
        <f>+#REF!</f>
        <v>#REF!</v>
      </c>
      <c r="C259" s="147" t="e">
        <f>+#REF!</f>
        <v>#REF!</v>
      </c>
      <c r="D259" s="147" t="e">
        <f>+B259+2*C259</f>
        <v>#REF!</v>
      </c>
      <c r="E259" s="35" t="s">
        <v>69</v>
      </c>
      <c r="F259" s="36" t="e">
        <f>+E254</f>
        <v>#VALUE!</v>
      </c>
      <c r="G259" s="36" t="e">
        <f>+F254</f>
        <v>#VALUE!</v>
      </c>
      <c r="H259" s="407"/>
      <c r="I259" s="37" t="e">
        <f>+G254</f>
        <v>#VALUE!</v>
      </c>
      <c r="J259" s="126"/>
      <c r="K259" s="126"/>
      <c r="L259" s="126"/>
      <c r="M259" s="126"/>
      <c r="N259" s="126"/>
      <c r="O259" s="126"/>
      <c r="W259" s="218"/>
    </row>
    <row r="260" spans="1:23" ht="15.95" hidden="1" customHeight="1" thickBot="1" x14ac:dyDescent="0.3">
      <c r="A260" s="38" t="s">
        <v>70</v>
      </c>
      <c r="B260" s="181" t="e">
        <f>+#REF!</f>
        <v>#REF!</v>
      </c>
      <c r="C260" s="181" t="e">
        <f>+#REF!</f>
        <v>#REF!</v>
      </c>
      <c r="D260" s="147" t="e">
        <f>+B260+2*C260</f>
        <v>#REF!</v>
      </c>
      <c r="E260" s="38" t="s">
        <v>70</v>
      </c>
      <c r="F260" s="39" t="e">
        <f>+#REF!</f>
        <v>#REF!</v>
      </c>
      <c r="G260" s="39" t="e">
        <f>+#REF!</f>
        <v>#REF!</v>
      </c>
      <c r="H260" s="408"/>
      <c r="I260" s="40" t="e">
        <f>+#REF!</f>
        <v>#REF!</v>
      </c>
      <c r="J260" s="126"/>
      <c r="K260" s="126"/>
      <c r="L260" s="126"/>
      <c r="M260" s="126"/>
      <c r="N260" s="126"/>
      <c r="O260" s="126"/>
      <c r="W260" s="218"/>
    </row>
    <row r="261" spans="1:23" ht="15" hidden="1" customHeight="1" x14ac:dyDescent="0.25">
      <c r="C261" s="126"/>
      <c r="D261" s="126"/>
      <c r="E261" s="126"/>
      <c r="F261" s="126"/>
      <c r="G261" s="126"/>
      <c r="I261" s="126" t="s">
        <v>65</v>
      </c>
      <c r="J261" s="234">
        <f>(I254)+(J254*2)</f>
        <v>7484</v>
      </c>
      <c r="K261" s="126"/>
      <c r="L261" s="126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</row>
    <row r="262" spans="1:23" ht="15" hidden="1" customHeight="1" x14ac:dyDescent="0.25">
      <c r="C262" s="126"/>
      <c r="D262" s="126"/>
      <c r="E262" s="126"/>
      <c r="F262" s="126"/>
      <c r="G262" s="126"/>
      <c r="I262" s="126"/>
      <c r="J262" s="126"/>
      <c r="K262" s="126"/>
      <c r="L262" s="126"/>
      <c r="M262" s="126"/>
      <c r="N262" s="126"/>
      <c r="O262" s="126"/>
    </row>
    <row r="263" spans="1:23" x14ac:dyDescent="0.25">
      <c r="C263" s="126"/>
    </row>
  </sheetData>
  <dataConsolidate>
    <dataRefs count="1">
      <dataRef name="=suma($G$5:$G$9)" r:id="rId1"/>
    </dataRefs>
  </dataConsolidate>
  <mergeCells count="37">
    <mergeCell ref="X237:X238"/>
    <mergeCell ref="X3:X4"/>
    <mergeCell ref="H3:H4"/>
    <mergeCell ref="B257:C257"/>
    <mergeCell ref="B237:G237"/>
    <mergeCell ref="A6:A12"/>
    <mergeCell ref="F3:F4"/>
    <mergeCell ref="G3:G4"/>
    <mergeCell ref="A15:A21"/>
    <mergeCell ref="A73:A77"/>
    <mergeCell ref="A80:A88"/>
    <mergeCell ref="A91:A95"/>
    <mergeCell ref="A105:A109"/>
    <mergeCell ref="A182:A188"/>
    <mergeCell ref="A191:A199"/>
    <mergeCell ref="A98:A102"/>
    <mergeCell ref="A133:A137"/>
    <mergeCell ref="I237:N237"/>
    <mergeCell ref="I3:I4"/>
    <mergeCell ref="K3:K4"/>
    <mergeCell ref="L3:L4"/>
    <mergeCell ref="M3:M4"/>
    <mergeCell ref="N3:N4"/>
    <mergeCell ref="J3:J4"/>
    <mergeCell ref="W237:W238"/>
    <mergeCell ref="W3:W4"/>
    <mergeCell ref="P3:P4"/>
    <mergeCell ref="O3:O4"/>
    <mergeCell ref="Q3:S3"/>
    <mergeCell ref="T237:V237"/>
    <mergeCell ref="T3:V3"/>
    <mergeCell ref="P237:S237"/>
    <mergeCell ref="B2:C2"/>
    <mergeCell ref="D2:E2"/>
    <mergeCell ref="B3:C3"/>
    <mergeCell ref="D3:E3"/>
    <mergeCell ref="A24:A28"/>
  </mergeCells>
  <conditionalFormatting sqref="D51:E56 D167:E172 D208:E213 D201:D206 D174:E179 D5:E12 D23:D28 D181:E188 D190:D195 D198:E199">
    <cfRule type="expression" dxfId="39" priority="267">
      <formula>AND($B5&lt;&gt;$D5)</formula>
    </cfRule>
  </conditionalFormatting>
  <conditionalFormatting sqref="D58:E63">
    <cfRule type="expression" dxfId="38" priority="180">
      <formula>AND($B58&lt;&gt;$D58)</formula>
    </cfRule>
  </conditionalFormatting>
  <conditionalFormatting sqref="D160:E165">
    <cfRule type="expression" dxfId="37" priority="154">
      <formula>AND($B160&lt;&gt;$D160)</formula>
    </cfRule>
  </conditionalFormatting>
  <conditionalFormatting sqref="E37:E42 E5:E12 E23:E28">
    <cfRule type="expression" dxfId="36" priority="141">
      <formula>AND($C5&lt;&gt;$E5)</formula>
    </cfRule>
  </conditionalFormatting>
  <conditionalFormatting sqref="D37:D42">
    <cfRule type="expression" dxfId="35" priority="142">
      <formula>AND($B37&lt;&gt;$D37)</formula>
    </cfRule>
  </conditionalFormatting>
  <conditionalFormatting sqref="E190:E195">
    <cfRule type="expression" dxfId="34" priority="117">
      <formula>AND($C190&lt;&gt;$E190)</formula>
    </cfRule>
  </conditionalFormatting>
  <conditionalFormatting sqref="E190:E195">
    <cfRule type="expression" dxfId="33" priority="115">
      <formula>AND($C190&lt;&gt;$E190)</formula>
    </cfRule>
  </conditionalFormatting>
  <conditionalFormatting sqref="E14:E19">
    <cfRule type="expression" dxfId="32" priority="109">
      <formula>AND($C14&lt;&gt;$E14)</formula>
    </cfRule>
  </conditionalFormatting>
  <conditionalFormatting sqref="D14:D20 E20 D21:E21">
    <cfRule type="expression" dxfId="31" priority="110">
      <formula>AND($B14&lt;&gt;$D14)</formula>
    </cfRule>
  </conditionalFormatting>
  <conditionalFormatting sqref="E146:E151">
    <cfRule type="expression" dxfId="30" priority="61">
      <formula>AND($C146&lt;&gt;$E146)</formula>
    </cfRule>
  </conditionalFormatting>
  <conditionalFormatting sqref="D146:D151">
    <cfRule type="expression" dxfId="29" priority="62">
      <formula>AND($B146&lt;&gt;$D146)</formula>
    </cfRule>
  </conditionalFormatting>
  <conditionalFormatting sqref="D153:E158">
    <cfRule type="expression" dxfId="28" priority="57">
      <formula>AND($B153&lt;&gt;$D153)</formula>
    </cfRule>
  </conditionalFormatting>
  <conditionalFormatting sqref="D215:E220">
    <cfRule type="expression" dxfId="27" priority="45">
      <formula>AND($B215&lt;&gt;$D215)</formula>
    </cfRule>
  </conditionalFormatting>
  <conditionalFormatting sqref="D222:E227">
    <cfRule type="expression" dxfId="26" priority="43">
      <formula>AND($B222&lt;&gt;$D222)</formula>
    </cfRule>
  </conditionalFormatting>
  <conditionalFormatting sqref="D229:E234">
    <cfRule type="expression" dxfId="25" priority="41">
      <formula>AND($B229&lt;&gt;$D229)</formula>
    </cfRule>
  </conditionalFormatting>
  <conditionalFormatting sqref="E30:E35">
    <cfRule type="expression" dxfId="24" priority="32">
      <formula>AND($C30&lt;&gt;$E30)</formula>
    </cfRule>
  </conditionalFormatting>
  <conditionalFormatting sqref="D30:D35">
    <cfRule type="expression" dxfId="23" priority="33">
      <formula>AND($B30&lt;&gt;$D30)</formula>
    </cfRule>
  </conditionalFormatting>
  <conditionalFormatting sqref="E44:E49">
    <cfRule type="expression" dxfId="22" priority="30">
      <formula>AND($C44&lt;&gt;$E44)</formula>
    </cfRule>
  </conditionalFormatting>
  <conditionalFormatting sqref="D44:D49">
    <cfRule type="expression" dxfId="21" priority="31">
      <formula>AND($B44&lt;&gt;$D44)</formula>
    </cfRule>
  </conditionalFormatting>
  <conditionalFormatting sqref="D125:E130">
    <cfRule type="expression" dxfId="20" priority="28">
      <formula>AND($B125&lt;&gt;$D125)</formula>
    </cfRule>
  </conditionalFormatting>
  <conditionalFormatting sqref="E201:E206">
    <cfRule type="expression" dxfId="19" priority="22">
      <formula>AND($C201&lt;&gt;$E201)</formula>
    </cfRule>
  </conditionalFormatting>
  <conditionalFormatting sqref="D65:E70">
    <cfRule type="expression" dxfId="18" priority="20">
      <formula>AND($B65&lt;&gt;$D65)</formula>
    </cfRule>
  </conditionalFormatting>
  <conditionalFormatting sqref="D90:E95">
    <cfRule type="expression" dxfId="17" priority="18">
      <formula>AND($B90&lt;&gt;$D90)</formula>
    </cfRule>
  </conditionalFormatting>
  <conditionalFormatting sqref="D97:E102">
    <cfRule type="expression" dxfId="16" priority="17">
      <formula>AND($B97&lt;&gt;$D97)</formula>
    </cfRule>
  </conditionalFormatting>
  <conditionalFormatting sqref="D104:E109">
    <cfRule type="expression" dxfId="15" priority="16">
      <formula>AND($B104&lt;&gt;$D104)</formula>
    </cfRule>
  </conditionalFormatting>
  <conditionalFormatting sqref="D65:E70">
    <cfRule type="expression" dxfId="14" priority="15">
      <formula>AND($B65&lt;&gt;$D65)</formula>
    </cfRule>
  </conditionalFormatting>
  <conditionalFormatting sqref="D58:E63">
    <cfRule type="expression" dxfId="13" priority="14">
      <formula>AND($B58&lt;&gt;$D58)</formula>
    </cfRule>
  </conditionalFormatting>
  <conditionalFormatting sqref="D72:E77">
    <cfRule type="expression" dxfId="12" priority="13">
      <formula>AND($B72&lt;&gt;$D72)</formula>
    </cfRule>
  </conditionalFormatting>
  <conditionalFormatting sqref="D118:E123">
    <cfRule type="expression" dxfId="11" priority="12">
      <formula>AND($B118&lt;&gt;$D118)</formula>
    </cfRule>
  </conditionalFormatting>
  <conditionalFormatting sqref="D118:D123">
    <cfRule type="expression" dxfId="10" priority="11">
      <formula>AND($B118&lt;&gt;$D118)</formula>
    </cfRule>
  </conditionalFormatting>
  <conditionalFormatting sqref="E118:E123">
    <cfRule type="expression" dxfId="9" priority="10">
      <formula>AND($C118&lt;&gt;$E118)</formula>
    </cfRule>
  </conditionalFormatting>
  <conditionalFormatting sqref="D111:E116">
    <cfRule type="expression" dxfId="8" priority="9">
      <formula>AND($B111&lt;&gt;$D111)</formula>
    </cfRule>
  </conditionalFormatting>
  <conditionalFormatting sqref="D132:E137">
    <cfRule type="expression" dxfId="7" priority="8">
      <formula>AND($B132&lt;&gt;$D132)</formula>
    </cfRule>
  </conditionalFormatting>
  <conditionalFormatting sqref="D139:E144">
    <cfRule type="expression" dxfId="6" priority="7">
      <formula>AND($B139&lt;&gt;$D139)</formula>
    </cfRule>
  </conditionalFormatting>
  <conditionalFormatting sqref="D79:D88 E85:E88">
    <cfRule type="expression" dxfId="5" priority="5">
      <formula>AND($B79&lt;&gt;$D79)</formula>
    </cfRule>
  </conditionalFormatting>
  <conditionalFormatting sqref="E79:E84">
    <cfRule type="expression" dxfId="4" priority="4">
      <formula>AND($B79&lt;&gt;$D79)</formula>
    </cfRule>
  </conditionalFormatting>
  <conditionalFormatting sqref="Y79:Y88 Z85:Z88">
    <cfRule type="expression" dxfId="3" priority="3">
      <formula>AND($B79&lt;&gt;$D79)</formula>
    </cfRule>
  </conditionalFormatting>
  <conditionalFormatting sqref="Z79:Z84">
    <cfRule type="expression" dxfId="2" priority="2">
      <formula>AND($B79&lt;&gt;$D79)</formula>
    </cfRule>
  </conditionalFormatting>
  <conditionalFormatting sqref="D196:E197">
    <cfRule type="expression" dxfId="1" priority="1">
      <formula>AND($B196&lt;&gt;$D196)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M125"/>
  <sheetViews>
    <sheetView topLeftCell="A51" zoomScaleNormal="100" workbookViewId="0">
      <selection activeCell="BB72" sqref="BB72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71" x14ac:dyDescent="0.25">
      <c r="C1" s="8"/>
      <c r="D1" s="393">
        <v>45717</v>
      </c>
      <c r="E1" s="393"/>
      <c r="F1" s="393">
        <v>45718</v>
      </c>
      <c r="G1" s="393"/>
      <c r="H1" s="393">
        <v>45719</v>
      </c>
      <c r="I1" s="393"/>
      <c r="J1" s="393">
        <v>45720</v>
      </c>
      <c r="K1" s="393"/>
      <c r="L1" s="393">
        <v>45721</v>
      </c>
      <c r="M1" s="393"/>
      <c r="N1" s="393">
        <v>45722</v>
      </c>
      <c r="O1" s="393"/>
      <c r="P1" s="393">
        <v>45723</v>
      </c>
      <c r="Q1" s="393"/>
      <c r="R1" s="393">
        <v>45724</v>
      </c>
      <c r="S1" s="393"/>
      <c r="T1" s="393">
        <v>45725</v>
      </c>
      <c r="U1" s="393"/>
      <c r="V1" s="393">
        <v>45726</v>
      </c>
      <c r="W1" s="393"/>
      <c r="X1" s="393">
        <v>45727</v>
      </c>
      <c r="Y1" s="393"/>
      <c r="Z1" s="393">
        <v>45728</v>
      </c>
      <c r="AA1" s="393"/>
      <c r="AB1" s="393">
        <v>45729</v>
      </c>
      <c r="AC1" s="393"/>
      <c r="AD1" s="393">
        <v>45730</v>
      </c>
      <c r="AE1" s="393"/>
      <c r="AF1" s="393">
        <v>45731</v>
      </c>
      <c r="AG1" s="393"/>
      <c r="AH1" s="393">
        <v>45732</v>
      </c>
      <c r="AI1" s="393"/>
      <c r="AJ1" s="393">
        <v>45733</v>
      </c>
      <c r="AK1" s="393"/>
      <c r="AL1" s="393">
        <v>45734</v>
      </c>
      <c r="AM1" s="393"/>
      <c r="AN1" s="393">
        <v>45735</v>
      </c>
      <c r="AO1" s="393"/>
      <c r="AP1" s="393">
        <v>45736</v>
      </c>
      <c r="AQ1" s="393"/>
      <c r="AR1" s="393">
        <v>45737</v>
      </c>
      <c r="AS1" s="393"/>
      <c r="AT1" s="393">
        <v>45738</v>
      </c>
      <c r="AU1" s="393"/>
      <c r="AV1" s="393">
        <v>45739</v>
      </c>
      <c r="AW1" s="393"/>
      <c r="AX1" s="393">
        <v>45740</v>
      </c>
      <c r="AY1" s="393"/>
      <c r="AZ1" s="393">
        <v>45741</v>
      </c>
      <c r="BA1" s="393"/>
      <c r="BB1" s="393">
        <v>45742</v>
      </c>
      <c r="BC1" s="393"/>
      <c r="BD1" s="393">
        <v>45743</v>
      </c>
      <c r="BE1" s="393"/>
      <c r="BF1" s="393">
        <v>45744</v>
      </c>
      <c r="BG1" s="393"/>
      <c r="BH1" s="393">
        <v>45745</v>
      </c>
      <c r="BI1" s="393"/>
      <c r="BJ1" s="393">
        <v>45746</v>
      </c>
      <c r="BK1" s="393"/>
      <c r="BL1" s="393">
        <v>45747</v>
      </c>
      <c r="BM1" s="393"/>
    </row>
    <row r="2" spans="1:71" ht="15.75" thickBot="1" x14ac:dyDescent="0.3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  <c r="BJ2" s="47" t="s">
        <v>71</v>
      </c>
      <c r="BK2" s="48" t="s">
        <v>72</v>
      </c>
      <c r="BL2" s="47" t="s">
        <v>71</v>
      </c>
      <c r="BM2" s="48" t="s">
        <v>72</v>
      </c>
    </row>
    <row r="3" spans="1:71" ht="15.75" thickBot="1" x14ac:dyDescent="0.3">
      <c r="A3" s="67" t="s">
        <v>73</v>
      </c>
      <c r="B3" s="68"/>
      <c r="C3" s="8"/>
      <c r="D3" s="137">
        <v>0</v>
      </c>
      <c r="E3" s="137">
        <v>0</v>
      </c>
      <c r="F3" s="138">
        <v>0</v>
      </c>
      <c r="G3" s="138">
        <v>0</v>
      </c>
      <c r="H3" s="159">
        <v>7</v>
      </c>
      <c r="I3" s="159">
        <v>3</v>
      </c>
      <c r="J3" s="159">
        <v>7</v>
      </c>
      <c r="K3" s="159">
        <v>3</v>
      </c>
      <c r="L3" s="159">
        <v>7</v>
      </c>
      <c r="M3" s="302">
        <v>3</v>
      </c>
      <c r="N3" s="159">
        <v>7</v>
      </c>
      <c r="O3" s="159">
        <v>3</v>
      </c>
      <c r="P3" s="159">
        <v>7</v>
      </c>
      <c r="Q3" s="159">
        <v>3</v>
      </c>
      <c r="R3" s="137">
        <v>0</v>
      </c>
      <c r="S3" s="137">
        <v>0</v>
      </c>
      <c r="T3" s="138">
        <v>0</v>
      </c>
      <c r="U3" s="138">
        <v>0</v>
      </c>
      <c r="V3" s="159">
        <v>7</v>
      </c>
      <c r="W3" s="159">
        <v>3</v>
      </c>
      <c r="X3" s="159">
        <v>7</v>
      </c>
      <c r="Y3" s="159">
        <v>3</v>
      </c>
      <c r="Z3" s="159">
        <v>7</v>
      </c>
      <c r="AA3" s="159">
        <v>3</v>
      </c>
      <c r="AB3" s="159">
        <v>7</v>
      </c>
      <c r="AC3" s="159">
        <v>3</v>
      </c>
      <c r="AD3" s="159">
        <v>7</v>
      </c>
      <c r="AE3" s="159">
        <v>3</v>
      </c>
      <c r="AF3" s="137">
        <v>0</v>
      </c>
      <c r="AG3" s="137">
        <v>0</v>
      </c>
      <c r="AH3" s="138">
        <v>0</v>
      </c>
      <c r="AI3" s="138">
        <v>0</v>
      </c>
      <c r="AJ3" s="159">
        <v>7</v>
      </c>
      <c r="AK3" s="159">
        <v>3</v>
      </c>
      <c r="AL3" s="159">
        <v>7</v>
      </c>
      <c r="AM3" s="159">
        <v>3</v>
      </c>
      <c r="AN3" s="159">
        <v>7</v>
      </c>
      <c r="AO3" s="159">
        <v>3</v>
      </c>
      <c r="AP3" s="159">
        <v>7</v>
      </c>
      <c r="AQ3" s="159">
        <v>3</v>
      </c>
      <c r="AR3" s="159">
        <v>7</v>
      </c>
      <c r="AS3" s="159">
        <v>3</v>
      </c>
      <c r="AT3" s="137">
        <v>0</v>
      </c>
      <c r="AU3" s="137">
        <v>0</v>
      </c>
      <c r="AV3" s="138">
        <v>0</v>
      </c>
      <c r="AW3" s="138">
        <v>0</v>
      </c>
      <c r="AX3" s="159">
        <v>7</v>
      </c>
      <c r="AY3" s="159">
        <v>3</v>
      </c>
      <c r="AZ3" s="159">
        <v>7</v>
      </c>
      <c r="BA3" s="159">
        <v>3</v>
      </c>
      <c r="BB3" s="159">
        <v>7</v>
      </c>
      <c r="BC3" s="159">
        <v>3</v>
      </c>
      <c r="BD3" s="159">
        <v>7</v>
      </c>
      <c r="BE3" s="159">
        <v>3</v>
      </c>
      <c r="BF3" s="159">
        <v>7</v>
      </c>
      <c r="BG3" s="159">
        <v>3</v>
      </c>
      <c r="BH3" s="137">
        <v>0</v>
      </c>
      <c r="BI3" s="137">
        <v>0</v>
      </c>
      <c r="BJ3" s="138">
        <v>0</v>
      </c>
      <c r="BK3" s="138">
        <v>0</v>
      </c>
      <c r="BL3" s="159">
        <v>7</v>
      </c>
      <c r="BM3" s="159">
        <v>3</v>
      </c>
      <c r="BP3" s="126"/>
      <c r="BQ3" s="126"/>
      <c r="BR3" s="126"/>
      <c r="BS3" s="126"/>
    </row>
    <row r="4" spans="1:71" s="126" customFormat="1" x14ac:dyDescent="0.25">
      <c r="A4" s="67" t="s">
        <v>123</v>
      </c>
      <c r="B4" s="158"/>
      <c r="C4" s="8"/>
      <c r="D4" s="137">
        <v>0</v>
      </c>
      <c r="E4" s="137">
        <v>0</v>
      </c>
      <c r="F4" s="138">
        <v>0</v>
      </c>
      <c r="G4" s="138">
        <v>0</v>
      </c>
      <c r="H4" s="159">
        <v>0</v>
      </c>
      <c r="I4" s="159">
        <v>0</v>
      </c>
      <c r="J4" s="159">
        <v>0</v>
      </c>
      <c r="K4" s="159">
        <v>0</v>
      </c>
      <c r="L4" s="159">
        <v>0</v>
      </c>
      <c r="M4" s="302">
        <v>0</v>
      </c>
      <c r="N4" s="159">
        <v>0</v>
      </c>
      <c r="O4" s="159">
        <v>0</v>
      </c>
      <c r="P4" s="159">
        <v>0</v>
      </c>
      <c r="Q4" s="159">
        <v>0</v>
      </c>
      <c r="R4" s="137">
        <v>0</v>
      </c>
      <c r="S4" s="137">
        <v>0</v>
      </c>
      <c r="T4" s="138">
        <v>0</v>
      </c>
      <c r="U4" s="138">
        <v>0</v>
      </c>
      <c r="V4" s="159">
        <v>0</v>
      </c>
      <c r="W4" s="159">
        <v>0</v>
      </c>
      <c r="X4" s="159">
        <v>0</v>
      </c>
      <c r="Y4" s="159">
        <v>0</v>
      </c>
      <c r="Z4" s="159">
        <v>0</v>
      </c>
      <c r="AA4" s="159">
        <v>0</v>
      </c>
      <c r="AB4" s="159">
        <v>0</v>
      </c>
      <c r="AC4" s="159">
        <v>0</v>
      </c>
      <c r="AD4" s="159">
        <v>0</v>
      </c>
      <c r="AE4" s="159">
        <v>0</v>
      </c>
      <c r="AF4" s="137">
        <v>0</v>
      </c>
      <c r="AG4" s="137">
        <v>0</v>
      </c>
      <c r="AH4" s="138">
        <v>0</v>
      </c>
      <c r="AI4" s="138">
        <v>0</v>
      </c>
      <c r="AJ4" s="159">
        <v>0</v>
      </c>
      <c r="AK4" s="159">
        <v>0</v>
      </c>
      <c r="AL4" s="159">
        <v>0</v>
      </c>
      <c r="AM4" s="159">
        <v>0</v>
      </c>
      <c r="AN4" s="159">
        <v>0</v>
      </c>
      <c r="AO4" s="159">
        <v>0</v>
      </c>
      <c r="AP4" s="159">
        <v>0</v>
      </c>
      <c r="AQ4" s="159">
        <v>0</v>
      </c>
      <c r="AR4" s="159">
        <v>0</v>
      </c>
      <c r="AS4" s="159">
        <v>0</v>
      </c>
      <c r="AT4" s="137">
        <v>0</v>
      </c>
      <c r="AU4" s="137">
        <v>0</v>
      </c>
      <c r="AV4" s="138">
        <v>0</v>
      </c>
      <c r="AW4" s="138">
        <v>0</v>
      </c>
      <c r="AX4" s="159">
        <v>0</v>
      </c>
      <c r="AY4" s="159">
        <v>0</v>
      </c>
      <c r="AZ4" s="159">
        <v>0</v>
      </c>
      <c r="BA4" s="159">
        <v>0</v>
      </c>
      <c r="BB4" s="159">
        <v>0</v>
      </c>
      <c r="BC4" s="159">
        <v>0</v>
      </c>
      <c r="BD4" s="159">
        <v>0</v>
      </c>
      <c r="BE4" s="159">
        <v>0</v>
      </c>
      <c r="BF4" s="159">
        <v>0</v>
      </c>
      <c r="BG4" s="159">
        <v>0</v>
      </c>
      <c r="BH4" s="137">
        <v>0</v>
      </c>
      <c r="BI4" s="137">
        <v>0</v>
      </c>
      <c r="BJ4" s="138">
        <v>0</v>
      </c>
      <c r="BK4" s="138">
        <v>0</v>
      </c>
      <c r="BL4" s="159">
        <v>0</v>
      </c>
      <c r="BM4" s="159">
        <v>0</v>
      </c>
    </row>
    <row r="5" spans="1:71" x14ac:dyDescent="0.25">
      <c r="A5" s="69" t="s">
        <v>74</v>
      </c>
      <c r="B5" s="70"/>
      <c r="C5" s="8"/>
      <c r="D5" s="137">
        <v>0</v>
      </c>
      <c r="E5" s="137">
        <v>0</v>
      </c>
      <c r="F5" s="138">
        <v>0</v>
      </c>
      <c r="G5" s="138">
        <v>0</v>
      </c>
      <c r="H5" s="159">
        <v>1</v>
      </c>
      <c r="I5" s="159">
        <v>9</v>
      </c>
      <c r="J5" s="159">
        <v>1</v>
      </c>
      <c r="K5" s="159">
        <v>9</v>
      </c>
      <c r="L5" s="159">
        <v>1</v>
      </c>
      <c r="M5" s="302">
        <v>9</v>
      </c>
      <c r="N5" s="159">
        <v>1</v>
      </c>
      <c r="O5" s="159">
        <v>9</v>
      </c>
      <c r="P5" s="159">
        <v>1</v>
      </c>
      <c r="Q5" s="159">
        <v>9</v>
      </c>
      <c r="R5" s="137">
        <v>0</v>
      </c>
      <c r="S5" s="137">
        <v>0</v>
      </c>
      <c r="T5" s="138">
        <v>0</v>
      </c>
      <c r="U5" s="138">
        <v>0</v>
      </c>
      <c r="V5" s="159">
        <v>1</v>
      </c>
      <c r="W5" s="159">
        <v>9</v>
      </c>
      <c r="X5" s="159">
        <v>1</v>
      </c>
      <c r="Y5" s="159">
        <v>8</v>
      </c>
      <c r="Z5" s="159">
        <v>2</v>
      </c>
      <c r="AA5" s="159">
        <v>8</v>
      </c>
      <c r="AB5" s="159">
        <v>1</v>
      </c>
      <c r="AC5" s="159">
        <v>9</v>
      </c>
      <c r="AD5" s="159">
        <v>1</v>
      </c>
      <c r="AE5" s="159">
        <v>9</v>
      </c>
      <c r="AF5" s="137">
        <v>0</v>
      </c>
      <c r="AG5" s="137">
        <v>0</v>
      </c>
      <c r="AH5" s="138">
        <v>0</v>
      </c>
      <c r="AI5" s="138">
        <v>0</v>
      </c>
      <c r="AJ5" s="159">
        <v>3</v>
      </c>
      <c r="AK5" s="159">
        <v>7</v>
      </c>
      <c r="AL5" s="159">
        <v>2</v>
      </c>
      <c r="AM5" s="159">
        <v>8</v>
      </c>
      <c r="AN5" s="159">
        <v>2</v>
      </c>
      <c r="AO5" s="159">
        <v>8</v>
      </c>
      <c r="AP5" s="159">
        <v>2</v>
      </c>
      <c r="AQ5" s="159">
        <v>8</v>
      </c>
      <c r="AR5" s="159">
        <v>1</v>
      </c>
      <c r="AS5" s="159">
        <v>9</v>
      </c>
      <c r="AT5" s="137">
        <v>0</v>
      </c>
      <c r="AU5" s="137">
        <v>0</v>
      </c>
      <c r="AV5" s="138">
        <v>0</v>
      </c>
      <c r="AW5" s="138">
        <v>0</v>
      </c>
      <c r="AX5" s="159">
        <v>1</v>
      </c>
      <c r="AY5" s="159">
        <v>9</v>
      </c>
      <c r="AZ5" s="159">
        <v>1</v>
      </c>
      <c r="BA5" s="159">
        <v>9</v>
      </c>
      <c r="BB5" s="159">
        <v>1</v>
      </c>
      <c r="BC5" s="159">
        <v>9</v>
      </c>
      <c r="BD5" s="159">
        <v>1</v>
      </c>
      <c r="BE5" s="159">
        <v>9</v>
      </c>
      <c r="BF5" s="159">
        <v>1</v>
      </c>
      <c r="BG5" s="159">
        <v>9</v>
      </c>
      <c r="BH5" s="137">
        <v>0</v>
      </c>
      <c r="BI5" s="137">
        <v>0</v>
      </c>
      <c r="BJ5" s="138">
        <v>0</v>
      </c>
      <c r="BK5" s="138">
        <v>0</v>
      </c>
      <c r="BL5" s="159">
        <v>2</v>
      </c>
      <c r="BM5" s="159">
        <v>8</v>
      </c>
      <c r="BP5" s="126"/>
      <c r="BQ5" s="126"/>
      <c r="BR5" s="126"/>
      <c r="BS5" s="126"/>
    </row>
    <row r="6" spans="1:71" x14ac:dyDescent="0.25">
      <c r="A6" s="69" t="s">
        <v>75</v>
      </c>
      <c r="B6" s="70"/>
      <c r="C6" s="8"/>
      <c r="D6" s="137">
        <v>0</v>
      </c>
      <c r="E6" s="137">
        <v>0</v>
      </c>
      <c r="F6" s="138">
        <v>0</v>
      </c>
      <c r="G6" s="138">
        <v>0</v>
      </c>
      <c r="H6" s="159">
        <v>10</v>
      </c>
      <c r="I6" s="159">
        <v>0</v>
      </c>
      <c r="J6" s="159">
        <v>10</v>
      </c>
      <c r="K6" s="159">
        <v>0</v>
      </c>
      <c r="L6" s="159">
        <v>10</v>
      </c>
      <c r="M6" s="302">
        <v>0</v>
      </c>
      <c r="N6" s="159">
        <v>10</v>
      </c>
      <c r="O6" s="159">
        <v>0</v>
      </c>
      <c r="P6" s="159">
        <v>10</v>
      </c>
      <c r="Q6" s="159">
        <v>0</v>
      </c>
      <c r="R6" s="137">
        <v>0</v>
      </c>
      <c r="S6" s="137">
        <v>0</v>
      </c>
      <c r="T6" s="138">
        <v>0</v>
      </c>
      <c r="U6" s="138">
        <v>0</v>
      </c>
      <c r="V6" s="159">
        <v>10</v>
      </c>
      <c r="W6" s="159">
        <v>0</v>
      </c>
      <c r="X6" s="159">
        <v>10</v>
      </c>
      <c r="Y6" s="159">
        <v>0</v>
      </c>
      <c r="Z6" s="159">
        <v>10</v>
      </c>
      <c r="AA6" s="159">
        <v>0</v>
      </c>
      <c r="AB6" s="159">
        <v>10</v>
      </c>
      <c r="AC6" s="159">
        <v>0</v>
      </c>
      <c r="AD6" s="159">
        <v>10</v>
      </c>
      <c r="AE6" s="159">
        <v>0</v>
      </c>
      <c r="AF6" s="137">
        <v>0</v>
      </c>
      <c r="AG6" s="137">
        <v>0</v>
      </c>
      <c r="AH6" s="138">
        <v>0</v>
      </c>
      <c r="AI6" s="138">
        <v>0</v>
      </c>
      <c r="AJ6" s="159">
        <v>8</v>
      </c>
      <c r="AK6" s="159">
        <v>2</v>
      </c>
      <c r="AL6" s="159">
        <v>9</v>
      </c>
      <c r="AM6" s="159">
        <v>1</v>
      </c>
      <c r="AN6" s="159">
        <v>9</v>
      </c>
      <c r="AO6" s="159">
        <v>1</v>
      </c>
      <c r="AP6" s="159">
        <v>9</v>
      </c>
      <c r="AQ6" s="159">
        <v>1</v>
      </c>
      <c r="AR6" s="159">
        <v>9</v>
      </c>
      <c r="AS6" s="159">
        <v>1</v>
      </c>
      <c r="AT6" s="137">
        <v>0</v>
      </c>
      <c r="AU6" s="137">
        <v>0</v>
      </c>
      <c r="AV6" s="138">
        <v>0</v>
      </c>
      <c r="AW6" s="138">
        <v>0</v>
      </c>
      <c r="AX6" s="159">
        <v>9</v>
      </c>
      <c r="AY6" s="159">
        <v>1</v>
      </c>
      <c r="AZ6" s="159">
        <v>9</v>
      </c>
      <c r="BA6" s="159">
        <v>1</v>
      </c>
      <c r="BB6" s="159">
        <v>8</v>
      </c>
      <c r="BC6" s="159">
        <v>1</v>
      </c>
      <c r="BD6" s="159">
        <v>9</v>
      </c>
      <c r="BE6" s="159">
        <v>1</v>
      </c>
      <c r="BF6" s="159">
        <v>9</v>
      </c>
      <c r="BG6" s="159">
        <v>1</v>
      </c>
      <c r="BH6" s="137">
        <v>0</v>
      </c>
      <c r="BI6" s="137">
        <v>0</v>
      </c>
      <c r="BJ6" s="138">
        <v>0</v>
      </c>
      <c r="BK6" s="138">
        <v>0</v>
      </c>
      <c r="BL6" s="159">
        <v>8</v>
      </c>
      <c r="BM6" s="159">
        <v>2</v>
      </c>
      <c r="BP6" s="126"/>
      <c r="BQ6" s="126"/>
      <c r="BR6" s="126"/>
      <c r="BS6" s="126"/>
    </row>
    <row r="7" spans="1:71" x14ac:dyDescent="0.25">
      <c r="A7" s="69" t="s">
        <v>76</v>
      </c>
      <c r="B7" s="70"/>
      <c r="C7" s="8"/>
      <c r="D7" s="137">
        <v>0</v>
      </c>
      <c r="E7" s="137">
        <v>0</v>
      </c>
      <c r="F7" s="138">
        <v>0</v>
      </c>
      <c r="G7" s="138">
        <v>0</v>
      </c>
      <c r="H7" s="159">
        <v>0</v>
      </c>
      <c r="I7" s="159">
        <v>0</v>
      </c>
      <c r="J7" s="159">
        <v>0</v>
      </c>
      <c r="K7" s="159">
        <v>0</v>
      </c>
      <c r="L7" s="159">
        <v>0</v>
      </c>
      <c r="M7" s="302">
        <v>0</v>
      </c>
      <c r="N7" s="159">
        <v>0</v>
      </c>
      <c r="O7" s="159">
        <v>0</v>
      </c>
      <c r="P7" s="159">
        <v>0</v>
      </c>
      <c r="Q7" s="159">
        <v>0</v>
      </c>
      <c r="R7" s="137">
        <v>0</v>
      </c>
      <c r="S7" s="137">
        <v>0</v>
      </c>
      <c r="T7" s="138">
        <v>0</v>
      </c>
      <c r="U7" s="138">
        <v>0</v>
      </c>
      <c r="V7" s="159">
        <v>0</v>
      </c>
      <c r="W7" s="159">
        <v>0</v>
      </c>
      <c r="X7" s="159">
        <v>0</v>
      </c>
      <c r="Y7" s="159">
        <v>0</v>
      </c>
      <c r="Z7" s="159">
        <v>0</v>
      </c>
      <c r="AA7" s="159">
        <v>0</v>
      </c>
      <c r="AB7" s="159">
        <v>0</v>
      </c>
      <c r="AC7" s="159">
        <v>0</v>
      </c>
      <c r="AD7" s="159">
        <v>0</v>
      </c>
      <c r="AE7" s="159">
        <v>0</v>
      </c>
      <c r="AF7" s="137">
        <v>0</v>
      </c>
      <c r="AG7" s="137">
        <v>0</v>
      </c>
      <c r="AH7" s="138">
        <v>0</v>
      </c>
      <c r="AI7" s="138">
        <v>0</v>
      </c>
      <c r="AJ7" s="159">
        <v>0</v>
      </c>
      <c r="AK7" s="159">
        <v>0</v>
      </c>
      <c r="AL7" s="159">
        <v>0</v>
      </c>
      <c r="AM7" s="159">
        <v>0</v>
      </c>
      <c r="AN7" s="159">
        <v>0</v>
      </c>
      <c r="AO7" s="159">
        <v>0</v>
      </c>
      <c r="AP7" s="159">
        <v>0</v>
      </c>
      <c r="AQ7" s="159">
        <v>0</v>
      </c>
      <c r="AR7" s="159">
        <v>0</v>
      </c>
      <c r="AS7" s="159">
        <v>0</v>
      </c>
      <c r="AT7" s="137">
        <v>0</v>
      </c>
      <c r="AU7" s="137">
        <v>0</v>
      </c>
      <c r="AV7" s="138">
        <v>0</v>
      </c>
      <c r="AW7" s="138">
        <v>0</v>
      </c>
      <c r="AX7" s="159">
        <v>0</v>
      </c>
      <c r="AY7" s="159">
        <v>0</v>
      </c>
      <c r="AZ7" s="159">
        <v>0</v>
      </c>
      <c r="BA7" s="159">
        <v>0</v>
      </c>
      <c r="BB7" s="159">
        <v>0</v>
      </c>
      <c r="BC7" s="159">
        <v>0</v>
      </c>
      <c r="BD7" s="159">
        <v>0</v>
      </c>
      <c r="BE7" s="159">
        <v>0</v>
      </c>
      <c r="BF7" s="159">
        <v>0</v>
      </c>
      <c r="BG7" s="159">
        <v>0</v>
      </c>
      <c r="BH7" s="137">
        <v>0</v>
      </c>
      <c r="BI7" s="137">
        <v>0</v>
      </c>
      <c r="BJ7" s="138">
        <v>0</v>
      </c>
      <c r="BK7" s="138">
        <v>0</v>
      </c>
      <c r="BL7" s="159">
        <v>0</v>
      </c>
      <c r="BM7" s="159">
        <v>0</v>
      </c>
      <c r="BP7" s="126"/>
      <c r="BQ7" s="126"/>
      <c r="BR7" s="126"/>
      <c r="BS7" s="126"/>
    </row>
    <row r="8" spans="1:71" ht="15.75" thickBot="1" x14ac:dyDescent="0.3">
      <c r="A8" s="69" t="s">
        <v>77</v>
      </c>
      <c r="B8" s="71"/>
      <c r="C8" s="8"/>
      <c r="D8" s="137">
        <v>0</v>
      </c>
      <c r="E8" s="137">
        <v>0</v>
      </c>
      <c r="F8" s="138">
        <v>0</v>
      </c>
      <c r="G8" s="138">
        <v>0</v>
      </c>
      <c r="H8" s="159">
        <v>6</v>
      </c>
      <c r="I8" s="159">
        <v>4</v>
      </c>
      <c r="J8" s="159">
        <v>6</v>
      </c>
      <c r="K8" s="159">
        <v>4</v>
      </c>
      <c r="L8" s="159">
        <v>6</v>
      </c>
      <c r="M8" s="302">
        <v>4</v>
      </c>
      <c r="N8" s="159">
        <v>6</v>
      </c>
      <c r="O8" s="159">
        <v>4</v>
      </c>
      <c r="P8" s="159">
        <v>6</v>
      </c>
      <c r="Q8" s="159">
        <v>4</v>
      </c>
      <c r="R8" s="137">
        <v>0</v>
      </c>
      <c r="S8" s="137">
        <v>0</v>
      </c>
      <c r="T8" s="138">
        <v>0</v>
      </c>
      <c r="U8" s="138">
        <v>0</v>
      </c>
      <c r="V8" s="159">
        <v>6</v>
      </c>
      <c r="W8" s="159">
        <v>4</v>
      </c>
      <c r="X8" s="159">
        <v>5</v>
      </c>
      <c r="Y8" s="159">
        <v>5</v>
      </c>
      <c r="Z8" s="159">
        <v>5</v>
      </c>
      <c r="AA8" s="159">
        <v>5</v>
      </c>
      <c r="AB8" s="159">
        <v>4</v>
      </c>
      <c r="AC8" s="159">
        <v>6</v>
      </c>
      <c r="AD8" s="159">
        <v>4</v>
      </c>
      <c r="AE8" s="159">
        <v>6</v>
      </c>
      <c r="AF8" s="137">
        <v>0</v>
      </c>
      <c r="AG8" s="137">
        <v>0</v>
      </c>
      <c r="AH8" s="138">
        <v>0</v>
      </c>
      <c r="AI8" s="138">
        <v>0</v>
      </c>
      <c r="AJ8" s="159">
        <v>6</v>
      </c>
      <c r="AK8" s="159">
        <v>4</v>
      </c>
      <c r="AL8" s="159">
        <v>5</v>
      </c>
      <c r="AM8" s="159">
        <v>5</v>
      </c>
      <c r="AN8" s="159">
        <v>5</v>
      </c>
      <c r="AO8" s="159">
        <v>5</v>
      </c>
      <c r="AP8" s="159">
        <v>5</v>
      </c>
      <c r="AQ8" s="159">
        <v>5</v>
      </c>
      <c r="AR8" s="159">
        <v>4</v>
      </c>
      <c r="AS8" s="159">
        <v>6</v>
      </c>
      <c r="AT8" s="137">
        <v>0</v>
      </c>
      <c r="AU8" s="137">
        <v>0</v>
      </c>
      <c r="AV8" s="138">
        <v>0</v>
      </c>
      <c r="AW8" s="138">
        <v>0</v>
      </c>
      <c r="AX8" s="159">
        <v>4</v>
      </c>
      <c r="AY8" s="159">
        <v>6</v>
      </c>
      <c r="AZ8" s="159">
        <v>4</v>
      </c>
      <c r="BA8" s="159">
        <v>6</v>
      </c>
      <c r="BB8" s="159">
        <v>4</v>
      </c>
      <c r="BC8" s="159">
        <v>6</v>
      </c>
      <c r="BD8" s="159">
        <v>4</v>
      </c>
      <c r="BE8" s="159">
        <v>6</v>
      </c>
      <c r="BF8" s="159">
        <v>4</v>
      </c>
      <c r="BG8" s="159">
        <v>6</v>
      </c>
      <c r="BH8" s="137">
        <v>0</v>
      </c>
      <c r="BI8" s="137">
        <v>0</v>
      </c>
      <c r="BJ8" s="138">
        <v>0</v>
      </c>
      <c r="BK8" s="138">
        <v>0</v>
      </c>
      <c r="BL8" s="159">
        <v>5</v>
      </c>
      <c r="BM8" s="159">
        <v>5</v>
      </c>
      <c r="BP8" s="126"/>
      <c r="BQ8" s="126"/>
      <c r="BR8" s="126"/>
      <c r="BS8" s="126"/>
    </row>
    <row r="9" spans="1:71" x14ac:dyDescent="0.25">
      <c r="A9" s="55"/>
      <c r="B9" s="55"/>
      <c r="C9" s="8"/>
      <c r="D9" s="296"/>
      <c r="E9" s="296"/>
      <c r="F9" s="296"/>
      <c r="G9" s="296"/>
      <c r="H9" s="296"/>
      <c r="I9" s="296"/>
      <c r="J9" s="296" t="s">
        <v>147</v>
      </c>
      <c r="K9" s="296" t="s">
        <v>147</v>
      </c>
      <c r="L9" s="296" t="s">
        <v>147</v>
      </c>
      <c r="M9" s="296" t="s">
        <v>147</v>
      </c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 t="s">
        <v>147</v>
      </c>
      <c r="AE9" s="296" t="s">
        <v>147</v>
      </c>
      <c r="AF9" s="296" t="s">
        <v>147</v>
      </c>
      <c r="AG9" s="296" t="s">
        <v>147</v>
      </c>
      <c r="AH9" s="296" t="s">
        <v>147</v>
      </c>
      <c r="AI9" s="296" t="s">
        <v>147</v>
      </c>
      <c r="AJ9" s="296" t="s">
        <v>147</v>
      </c>
      <c r="AK9" s="296" t="s">
        <v>147</v>
      </c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 t="s">
        <v>147</v>
      </c>
      <c r="BC9" s="296" t="s">
        <v>147</v>
      </c>
      <c r="BD9" s="296" t="s">
        <v>147</v>
      </c>
      <c r="BE9" s="296" t="s">
        <v>147</v>
      </c>
      <c r="BF9" s="296" t="s">
        <v>147</v>
      </c>
      <c r="BG9" s="296" t="s">
        <v>147</v>
      </c>
      <c r="BH9" s="296" t="s">
        <v>147</v>
      </c>
      <c r="BI9" s="296" t="s">
        <v>147</v>
      </c>
      <c r="BJ9" s="296"/>
      <c r="BK9" s="296"/>
      <c r="BL9" s="296"/>
      <c r="BM9" s="296"/>
      <c r="BP9" s="126"/>
      <c r="BQ9" s="126"/>
      <c r="BR9" s="126"/>
      <c r="BS9" s="126"/>
    </row>
    <row r="10" spans="1:71" x14ac:dyDescent="0.25">
      <c r="A10" s="72" t="s">
        <v>73</v>
      </c>
      <c r="B10" s="73"/>
      <c r="C10" s="8"/>
      <c r="D10" s="137">
        <v>0</v>
      </c>
      <c r="E10" s="137">
        <v>0</v>
      </c>
      <c r="F10" s="138">
        <v>0</v>
      </c>
      <c r="G10" s="138">
        <v>0</v>
      </c>
      <c r="H10" s="159">
        <v>16</v>
      </c>
      <c r="I10" s="159">
        <v>0</v>
      </c>
      <c r="J10" s="159">
        <v>16</v>
      </c>
      <c r="K10" s="159">
        <v>0</v>
      </c>
      <c r="L10" s="159">
        <v>16</v>
      </c>
      <c r="M10" s="302">
        <v>0</v>
      </c>
      <c r="N10" s="159">
        <v>16</v>
      </c>
      <c r="O10" s="159">
        <v>0</v>
      </c>
      <c r="P10" s="159">
        <v>16</v>
      </c>
      <c r="Q10" s="159">
        <v>0</v>
      </c>
      <c r="R10" s="137">
        <v>0</v>
      </c>
      <c r="S10" s="137">
        <v>0</v>
      </c>
      <c r="T10" s="138">
        <v>0</v>
      </c>
      <c r="U10" s="138">
        <v>0</v>
      </c>
      <c r="V10" s="159">
        <v>16</v>
      </c>
      <c r="W10" s="159">
        <v>0</v>
      </c>
      <c r="X10" s="159">
        <v>13</v>
      </c>
      <c r="Y10" s="159">
        <v>0</v>
      </c>
      <c r="Z10" s="159">
        <v>16</v>
      </c>
      <c r="AA10" s="159">
        <v>0</v>
      </c>
      <c r="AB10" s="159">
        <v>16</v>
      </c>
      <c r="AC10" s="159">
        <v>0</v>
      </c>
      <c r="AD10" s="159">
        <v>16</v>
      </c>
      <c r="AE10" s="159">
        <v>0</v>
      </c>
      <c r="AF10" s="137">
        <v>0</v>
      </c>
      <c r="AG10" s="137">
        <v>0</v>
      </c>
      <c r="AH10" s="138">
        <v>0</v>
      </c>
      <c r="AI10" s="138">
        <v>0</v>
      </c>
      <c r="AJ10" s="159">
        <v>15</v>
      </c>
      <c r="AK10" s="159">
        <v>1</v>
      </c>
      <c r="AL10" s="159">
        <v>15</v>
      </c>
      <c r="AM10" s="159">
        <v>1</v>
      </c>
      <c r="AN10" s="159">
        <v>15</v>
      </c>
      <c r="AO10" s="159">
        <v>1</v>
      </c>
      <c r="AP10" s="159">
        <v>15</v>
      </c>
      <c r="AQ10" s="159">
        <v>1</v>
      </c>
      <c r="AR10" s="159">
        <v>15</v>
      </c>
      <c r="AS10" s="159">
        <v>1</v>
      </c>
      <c r="AT10" s="137">
        <v>0</v>
      </c>
      <c r="AU10" s="137">
        <v>0</v>
      </c>
      <c r="AV10" s="138">
        <v>0</v>
      </c>
      <c r="AW10" s="138">
        <v>0</v>
      </c>
      <c r="AX10" s="159">
        <v>15</v>
      </c>
      <c r="AY10" s="159">
        <v>1</v>
      </c>
      <c r="AZ10" s="159">
        <v>15</v>
      </c>
      <c r="BA10" s="159">
        <v>1</v>
      </c>
      <c r="BB10" s="159">
        <v>13</v>
      </c>
      <c r="BC10" s="159">
        <v>0</v>
      </c>
      <c r="BD10" s="159">
        <v>15</v>
      </c>
      <c r="BE10" s="159">
        <v>1</v>
      </c>
      <c r="BF10" s="159">
        <v>15</v>
      </c>
      <c r="BG10" s="159">
        <v>1</v>
      </c>
      <c r="BH10" s="137">
        <v>0</v>
      </c>
      <c r="BI10" s="137">
        <v>0</v>
      </c>
      <c r="BJ10" s="138">
        <v>0</v>
      </c>
      <c r="BK10" s="138">
        <v>0</v>
      </c>
      <c r="BL10" s="159">
        <v>15</v>
      </c>
      <c r="BM10" s="159">
        <v>1</v>
      </c>
      <c r="BP10" s="126"/>
      <c r="BQ10" s="126"/>
      <c r="BR10" s="126"/>
      <c r="BS10" s="126"/>
    </row>
    <row r="11" spans="1:71" s="126" customFormat="1" x14ac:dyDescent="0.25">
      <c r="A11" s="72" t="s">
        <v>123</v>
      </c>
      <c r="B11" s="73"/>
      <c r="C11" s="8"/>
      <c r="D11" s="137">
        <v>0</v>
      </c>
      <c r="E11" s="137">
        <v>0</v>
      </c>
      <c r="F11" s="138">
        <v>0</v>
      </c>
      <c r="G11" s="138">
        <v>0</v>
      </c>
      <c r="H11" s="159">
        <v>0</v>
      </c>
      <c r="I11" s="159">
        <v>0</v>
      </c>
      <c r="J11" s="159">
        <v>0</v>
      </c>
      <c r="K11" s="159">
        <v>0</v>
      </c>
      <c r="L11" s="159">
        <v>0</v>
      </c>
      <c r="M11" s="302">
        <v>0</v>
      </c>
      <c r="N11" s="159">
        <v>0</v>
      </c>
      <c r="O11" s="159">
        <v>0</v>
      </c>
      <c r="P11" s="159">
        <v>0</v>
      </c>
      <c r="Q11" s="159">
        <v>0</v>
      </c>
      <c r="R11" s="137">
        <v>0</v>
      </c>
      <c r="S11" s="137">
        <v>0</v>
      </c>
      <c r="T11" s="138">
        <v>0</v>
      </c>
      <c r="U11" s="138">
        <v>0</v>
      </c>
      <c r="V11" s="159">
        <v>0</v>
      </c>
      <c r="W11" s="159">
        <v>0</v>
      </c>
      <c r="X11" s="159">
        <v>0</v>
      </c>
      <c r="Y11" s="159">
        <v>0</v>
      </c>
      <c r="Z11" s="159">
        <v>0</v>
      </c>
      <c r="AA11" s="159">
        <v>0</v>
      </c>
      <c r="AB11" s="159">
        <v>0</v>
      </c>
      <c r="AC11" s="159">
        <v>0</v>
      </c>
      <c r="AD11" s="159">
        <v>0</v>
      </c>
      <c r="AE11" s="159">
        <v>0</v>
      </c>
      <c r="AF11" s="137">
        <v>0</v>
      </c>
      <c r="AG11" s="137">
        <v>0</v>
      </c>
      <c r="AH11" s="138">
        <v>0</v>
      </c>
      <c r="AI11" s="138">
        <v>0</v>
      </c>
      <c r="AJ11" s="159">
        <v>0</v>
      </c>
      <c r="AK11" s="159">
        <v>0</v>
      </c>
      <c r="AL11" s="159">
        <v>0</v>
      </c>
      <c r="AM11" s="159">
        <v>0</v>
      </c>
      <c r="AN11" s="159">
        <v>0</v>
      </c>
      <c r="AO11" s="159">
        <v>0</v>
      </c>
      <c r="AP11" s="159">
        <v>0</v>
      </c>
      <c r="AQ11" s="159">
        <v>0</v>
      </c>
      <c r="AR11" s="159">
        <v>0</v>
      </c>
      <c r="AS11" s="159">
        <v>0</v>
      </c>
      <c r="AT11" s="137">
        <v>0</v>
      </c>
      <c r="AU11" s="137">
        <v>0</v>
      </c>
      <c r="AV11" s="138">
        <v>0</v>
      </c>
      <c r="AW11" s="138">
        <v>0</v>
      </c>
      <c r="AX11" s="159">
        <v>0</v>
      </c>
      <c r="AY11" s="159">
        <v>0</v>
      </c>
      <c r="AZ11" s="159">
        <v>0</v>
      </c>
      <c r="BA11" s="159">
        <v>0</v>
      </c>
      <c r="BB11" s="159">
        <v>0</v>
      </c>
      <c r="BC11" s="159">
        <v>0</v>
      </c>
      <c r="BD11" s="159">
        <v>0</v>
      </c>
      <c r="BE11" s="159">
        <v>0</v>
      </c>
      <c r="BF11" s="159">
        <v>0</v>
      </c>
      <c r="BG11" s="159">
        <v>0</v>
      </c>
      <c r="BH11" s="137">
        <v>0</v>
      </c>
      <c r="BI11" s="137">
        <v>0</v>
      </c>
      <c r="BJ11" s="138">
        <v>0</v>
      </c>
      <c r="BK11" s="138">
        <v>0</v>
      </c>
      <c r="BL11" s="159">
        <v>0</v>
      </c>
      <c r="BM11" s="159">
        <v>0</v>
      </c>
    </row>
    <row r="12" spans="1:71" x14ac:dyDescent="0.25">
      <c r="A12" s="74" t="s">
        <v>74</v>
      </c>
      <c r="B12" s="75"/>
      <c r="C12" s="8"/>
      <c r="D12" s="137">
        <v>54</v>
      </c>
      <c r="E12" s="137">
        <v>18</v>
      </c>
      <c r="F12" s="138">
        <v>52</v>
      </c>
      <c r="G12" s="138">
        <v>2</v>
      </c>
      <c r="H12" s="159">
        <v>48</v>
      </c>
      <c r="I12" s="159">
        <v>13</v>
      </c>
      <c r="J12" s="159">
        <v>48</v>
      </c>
      <c r="K12" s="159">
        <v>13</v>
      </c>
      <c r="L12" s="159">
        <v>48</v>
      </c>
      <c r="M12" s="302">
        <v>13</v>
      </c>
      <c r="N12" s="159">
        <v>45</v>
      </c>
      <c r="O12" s="159">
        <v>16</v>
      </c>
      <c r="P12" s="159">
        <v>47</v>
      </c>
      <c r="Q12" s="159">
        <v>14</v>
      </c>
      <c r="R12" s="137">
        <v>69</v>
      </c>
      <c r="S12" s="137">
        <v>3</v>
      </c>
      <c r="T12" s="138">
        <v>51</v>
      </c>
      <c r="U12" s="138">
        <v>3</v>
      </c>
      <c r="V12" s="159">
        <v>48</v>
      </c>
      <c r="W12" s="159">
        <v>13</v>
      </c>
      <c r="X12" s="159">
        <v>38</v>
      </c>
      <c r="Y12" s="159">
        <v>13</v>
      </c>
      <c r="Z12" s="159">
        <v>46</v>
      </c>
      <c r="AA12" s="159">
        <v>15</v>
      </c>
      <c r="AB12" s="159">
        <v>44</v>
      </c>
      <c r="AC12" s="159">
        <v>17</v>
      </c>
      <c r="AD12" s="159">
        <v>44</v>
      </c>
      <c r="AE12" s="159">
        <v>17</v>
      </c>
      <c r="AF12" s="137">
        <v>69</v>
      </c>
      <c r="AG12" s="137">
        <v>3</v>
      </c>
      <c r="AH12" s="138">
        <v>51</v>
      </c>
      <c r="AI12" s="138">
        <v>3</v>
      </c>
      <c r="AJ12" s="159">
        <v>44</v>
      </c>
      <c r="AK12" s="159">
        <v>17</v>
      </c>
      <c r="AL12" s="159">
        <v>44</v>
      </c>
      <c r="AM12" s="159">
        <v>17</v>
      </c>
      <c r="AN12" s="159">
        <v>44</v>
      </c>
      <c r="AO12" s="159">
        <v>17</v>
      </c>
      <c r="AP12" s="159">
        <v>42</v>
      </c>
      <c r="AQ12" s="159">
        <v>19</v>
      </c>
      <c r="AR12" s="159">
        <v>42</v>
      </c>
      <c r="AS12" s="159">
        <v>19</v>
      </c>
      <c r="AT12" s="137">
        <v>69</v>
      </c>
      <c r="AU12" s="137">
        <v>3</v>
      </c>
      <c r="AV12" s="138">
        <v>51</v>
      </c>
      <c r="AW12" s="138">
        <v>3</v>
      </c>
      <c r="AX12" s="159">
        <v>44</v>
      </c>
      <c r="AY12" s="159">
        <v>17</v>
      </c>
      <c r="AZ12" s="159">
        <v>36</v>
      </c>
      <c r="BA12" s="159">
        <v>16</v>
      </c>
      <c r="BB12" s="159">
        <v>26</v>
      </c>
      <c r="BC12" s="159">
        <v>17</v>
      </c>
      <c r="BD12" s="159">
        <v>44</v>
      </c>
      <c r="BE12" s="159">
        <v>17</v>
      </c>
      <c r="BF12" s="159">
        <v>44</v>
      </c>
      <c r="BG12" s="159">
        <v>17</v>
      </c>
      <c r="BH12" s="137">
        <v>69</v>
      </c>
      <c r="BI12" s="137">
        <v>3</v>
      </c>
      <c r="BJ12" s="138">
        <v>51</v>
      </c>
      <c r="BK12" s="138">
        <v>3</v>
      </c>
      <c r="BL12" s="159">
        <v>39</v>
      </c>
      <c r="BM12" s="159">
        <v>22</v>
      </c>
      <c r="BP12" s="126"/>
      <c r="BQ12" s="126"/>
      <c r="BR12" s="126"/>
      <c r="BS12" s="126"/>
    </row>
    <row r="13" spans="1:71" x14ac:dyDescent="0.25">
      <c r="A13" s="74" t="s">
        <v>75</v>
      </c>
      <c r="B13" s="75"/>
      <c r="C13" s="8"/>
      <c r="D13" s="137">
        <v>0</v>
      </c>
      <c r="E13" s="137">
        <v>0</v>
      </c>
      <c r="F13" s="138">
        <v>0</v>
      </c>
      <c r="G13" s="138">
        <v>0</v>
      </c>
      <c r="H13" s="159">
        <v>13</v>
      </c>
      <c r="I13" s="159">
        <v>3</v>
      </c>
      <c r="J13" s="159">
        <v>13</v>
      </c>
      <c r="K13" s="159">
        <v>3</v>
      </c>
      <c r="L13" s="159">
        <v>13</v>
      </c>
      <c r="M13" s="302">
        <v>3</v>
      </c>
      <c r="N13" s="159">
        <v>13</v>
      </c>
      <c r="O13" s="159">
        <v>3</v>
      </c>
      <c r="P13" s="159">
        <v>13</v>
      </c>
      <c r="Q13" s="159">
        <v>3</v>
      </c>
      <c r="R13" s="137">
        <v>0</v>
      </c>
      <c r="S13" s="137">
        <v>0</v>
      </c>
      <c r="T13" s="138">
        <v>0</v>
      </c>
      <c r="U13" s="138">
        <v>0</v>
      </c>
      <c r="V13" s="159">
        <v>13</v>
      </c>
      <c r="W13" s="159">
        <v>3</v>
      </c>
      <c r="X13" s="159">
        <v>9</v>
      </c>
      <c r="Y13" s="159">
        <v>3</v>
      </c>
      <c r="Z13" s="159">
        <v>13</v>
      </c>
      <c r="AA13" s="159">
        <v>3</v>
      </c>
      <c r="AB13" s="159">
        <v>13</v>
      </c>
      <c r="AC13" s="159">
        <v>3</v>
      </c>
      <c r="AD13" s="159">
        <v>13</v>
      </c>
      <c r="AE13" s="159">
        <v>3</v>
      </c>
      <c r="AF13" s="137">
        <v>0</v>
      </c>
      <c r="AG13" s="137">
        <v>0</v>
      </c>
      <c r="AH13" s="138">
        <v>0</v>
      </c>
      <c r="AI13" s="138">
        <v>0</v>
      </c>
      <c r="AJ13" s="159">
        <v>13</v>
      </c>
      <c r="AK13" s="159">
        <v>3</v>
      </c>
      <c r="AL13" s="159">
        <v>13</v>
      </c>
      <c r="AM13" s="159">
        <v>3</v>
      </c>
      <c r="AN13" s="159">
        <v>13</v>
      </c>
      <c r="AO13" s="159">
        <v>3</v>
      </c>
      <c r="AP13" s="159">
        <v>13</v>
      </c>
      <c r="AQ13" s="159">
        <v>3</v>
      </c>
      <c r="AR13" s="159">
        <v>13</v>
      </c>
      <c r="AS13" s="159">
        <v>3</v>
      </c>
      <c r="AT13" s="137">
        <v>0</v>
      </c>
      <c r="AU13" s="137">
        <v>0</v>
      </c>
      <c r="AV13" s="138">
        <v>0</v>
      </c>
      <c r="AW13" s="138">
        <v>0</v>
      </c>
      <c r="AX13" s="159">
        <v>13</v>
      </c>
      <c r="AY13" s="159">
        <v>3</v>
      </c>
      <c r="AZ13" s="159">
        <v>13</v>
      </c>
      <c r="BA13" s="159">
        <v>3</v>
      </c>
      <c r="BB13" s="159">
        <v>11</v>
      </c>
      <c r="BC13" s="159">
        <v>2</v>
      </c>
      <c r="BD13" s="159">
        <v>13</v>
      </c>
      <c r="BE13" s="159">
        <v>3</v>
      </c>
      <c r="BF13" s="159">
        <v>13</v>
      </c>
      <c r="BG13" s="159">
        <v>3</v>
      </c>
      <c r="BH13" s="137">
        <v>0</v>
      </c>
      <c r="BI13" s="137">
        <v>0</v>
      </c>
      <c r="BJ13" s="138">
        <v>0</v>
      </c>
      <c r="BK13" s="138">
        <v>0</v>
      </c>
      <c r="BL13" s="159">
        <v>13</v>
      </c>
      <c r="BM13" s="159">
        <v>3</v>
      </c>
      <c r="BP13" s="126"/>
      <c r="BQ13" s="126"/>
      <c r="BR13" s="126"/>
      <c r="BS13" s="126"/>
    </row>
    <row r="14" spans="1:71" ht="15.75" thickBot="1" x14ac:dyDescent="0.3">
      <c r="A14" s="76" t="s">
        <v>76</v>
      </c>
      <c r="B14" s="77"/>
      <c r="C14" s="8"/>
      <c r="D14" s="137">
        <v>0</v>
      </c>
      <c r="E14" s="137">
        <v>0</v>
      </c>
      <c r="F14" s="138">
        <v>0</v>
      </c>
      <c r="G14" s="138">
        <v>0</v>
      </c>
      <c r="H14" s="159">
        <v>1</v>
      </c>
      <c r="I14" s="159">
        <v>0</v>
      </c>
      <c r="J14" s="159">
        <v>1</v>
      </c>
      <c r="K14" s="159">
        <v>0</v>
      </c>
      <c r="L14" s="159">
        <v>1</v>
      </c>
      <c r="M14" s="302">
        <v>0</v>
      </c>
      <c r="N14" s="159">
        <v>1</v>
      </c>
      <c r="O14" s="159">
        <v>0</v>
      </c>
      <c r="P14" s="159">
        <v>1</v>
      </c>
      <c r="Q14" s="159">
        <v>0</v>
      </c>
      <c r="R14" s="137">
        <v>0</v>
      </c>
      <c r="S14" s="137">
        <v>0</v>
      </c>
      <c r="T14" s="138">
        <v>0</v>
      </c>
      <c r="U14" s="138">
        <v>0</v>
      </c>
      <c r="V14" s="159">
        <v>1</v>
      </c>
      <c r="W14" s="159">
        <v>0</v>
      </c>
      <c r="X14" s="159">
        <v>1</v>
      </c>
      <c r="Y14" s="159">
        <v>0</v>
      </c>
      <c r="Z14" s="159">
        <v>1</v>
      </c>
      <c r="AA14" s="159">
        <v>0</v>
      </c>
      <c r="AB14" s="159">
        <v>1</v>
      </c>
      <c r="AC14" s="159">
        <v>0</v>
      </c>
      <c r="AD14" s="159">
        <v>1</v>
      </c>
      <c r="AE14" s="159">
        <v>0</v>
      </c>
      <c r="AF14" s="137">
        <v>0</v>
      </c>
      <c r="AG14" s="137">
        <v>0</v>
      </c>
      <c r="AH14" s="138">
        <v>0</v>
      </c>
      <c r="AI14" s="138">
        <v>0</v>
      </c>
      <c r="AJ14" s="159">
        <v>1</v>
      </c>
      <c r="AK14" s="159">
        <v>0</v>
      </c>
      <c r="AL14" s="159">
        <v>1</v>
      </c>
      <c r="AM14" s="159">
        <v>0</v>
      </c>
      <c r="AN14" s="159">
        <v>1</v>
      </c>
      <c r="AO14" s="159">
        <v>0</v>
      </c>
      <c r="AP14" s="159">
        <v>1</v>
      </c>
      <c r="AQ14" s="159">
        <v>0</v>
      </c>
      <c r="AR14" s="159">
        <v>1</v>
      </c>
      <c r="AS14" s="159">
        <v>0</v>
      </c>
      <c r="AT14" s="137">
        <v>0</v>
      </c>
      <c r="AU14" s="137">
        <v>0</v>
      </c>
      <c r="AV14" s="138">
        <v>0</v>
      </c>
      <c r="AW14" s="138">
        <v>0</v>
      </c>
      <c r="AX14" s="159">
        <v>1</v>
      </c>
      <c r="AY14" s="159">
        <v>0</v>
      </c>
      <c r="AZ14" s="159">
        <v>1</v>
      </c>
      <c r="BA14" s="159">
        <v>0</v>
      </c>
      <c r="BB14" s="159">
        <v>1</v>
      </c>
      <c r="BC14" s="159">
        <v>0</v>
      </c>
      <c r="BD14" s="159">
        <v>1</v>
      </c>
      <c r="BE14" s="159">
        <v>0</v>
      </c>
      <c r="BF14" s="159">
        <v>1</v>
      </c>
      <c r="BG14" s="159">
        <v>0</v>
      </c>
      <c r="BH14" s="137">
        <v>0</v>
      </c>
      <c r="BI14" s="137">
        <v>0</v>
      </c>
      <c r="BJ14" s="138">
        <v>0</v>
      </c>
      <c r="BK14" s="138">
        <v>0</v>
      </c>
      <c r="BL14" s="159">
        <v>1</v>
      </c>
      <c r="BM14" s="159">
        <v>0</v>
      </c>
      <c r="BP14" s="126"/>
      <c r="BQ14" s="126"/>
      <c r="BR14" s="126"/>
      <c r="BS14" s="126"/>
    </row>
    <row r="15" spans="1:71" x14ac:dyDescent="0.25">
      <c r="A15" s="293" t="s">
        <v>77</v>
      </c>
      <c r="B15" s="293"/>
      <c r="C15" s="8"/>
      <c r="D15" s="137">
        <v>58</v>
      </c>
      <c r="E15" s="137">
        <v>17</v>
      </c>
      <c r="F15" s="138">
        <v>57</v>
      </c>
      <c r="G15" s="138">
        <v>0</v>
      </c>
      <c r="H15" s="159">
        <v>38</v>
      </c>
      <c r="I15" s="159">
        <v>23</v>
      </c>
      <c r="J15" s="159">
        <v>38</v>
      </c>
      <c r="K15" s="159">
        <v>23</v>
      </c>
      <c r="L15" s="159">
        <v>38</v>
      </c>
      <c r="M15" s="302">
        <v>23</v>
      </c>
      <c r="N15" s="159">
        <v>38</v>
      </c>
      <c r="O15" s="159">
        <v>23</v>
      </c>
      <c r="P15" s="159">
        <v>38</v>
      </c>
      <c r="Q15" s="159">
        <v>23</v>
      </c>
      <c r="R15" s="137">
        <v>75</v>
      </c>
      <c r="S15" s="137">
        <v>0</v>
      </c>
      <c r="T15" s="138">
        <v>57</v>
      </c>
      <c r="U15" s="138">
        <v>0</v>
      </c>
      <c r="V15" s="159">
        <v>38</v>
      </c>
      <c r="W15" s="159">
        <v>23</v>
      </c>
      <c r="X15" s="159">
        <v>28</v>
      </c>
      <c r="Y15" s="159">
        <v>21</v>
      </c>
      <c r="Z15" s="159">
        <v>38</v>
      </c>
      <c r="AA15" s="159">
        <v>23</v>
      </c>
      <c r="AB15" s="159">
        <v>36</v>
      </c>
      <c r="AC15" s="159">
        <v>25</v>
      </c>
      <c r="AD15" s="159">
        <v>36</v>
      </c>
      <c r="AE15" s="159">
        <v>25</v>
      </c>
      <c r="AF15" s="137">
        <v>75</v>
      </c>
      <c r="AG15" s="137">
        <v>0</v>
      </c>
      <c r="AH15" s="138">
        <v>57</v>
      </c>
      <c r="AI15" s="138">
        <v>0</v>
      </c>
      <c r="AJ15" s="159">
        <v>38</v>
      </c>
      <c r="AK15" s="159">
        <v>23</v>
      </c>
      <c r="AL15" s="159">
        <v>37</v>
      </c>
      <c r="AM15" s="159">
        <v>24</v>
      </c>
      <c r="AN15" s="159">
        <v>36</v>
      </c>
      <c r="AO15" s="159">
        <v>25</v>
      </c>
      <c r="AP15" s="159">
        <v>37</v>
      </c>
      <c r="AQ15" s="159">
        <v>24</v>
      </c>
      <c r="AR15" s="159">
        <v>36</v>
      </c>
      <c r="AS15" s="159">
        <v>25</v>
      </c>
      <c r="AT15" s="137">
        <v>75</v>
      </c>
      <c r="AU15" s="137">
        <v>0</v>
      </c>
      <c r="AV15" s="138">
        <v>57</v>
      </c>
      <c r="AW15" s="138">
        <v>0</v>
      </c>
      <c r="AX15" s="159">
        <v>36</v>
      </c>
      <c r="AY15" s="159">
        <v>25</v>
      </c>
      <c r="AZ15" s="159">
        <v>29</v>
      </c>
      <c r="BA15" s="159">
        <v>23</v>
      </c>
      <c r="BB15" s="159">
        <v>21</v>
      </c>
      <c r="BC15" s="159">
        <v>20</v>
      </c>
      <c r="BD15" s="159">
        <v>36</v>
      </c>
      <c r="BE15" s="159">
        <v>25</v>
      </c>
      <c r="BF15" s="159">
        <v>37</v>
      </c>
      <c r="BG15" s="159">
        <v>24</v>
      </c>
      <c r="BH15" s="137">
        <v>75</v>
      </c>
      <c r="BI15" s="137">
        <v>0</v>
      </c>
      <c r="BJ15" s="138">
        <v>57</v>
      </c>
      <c r="BK15" s="138">
        <v>0</v>
      </c>
      <c r="BL15" s="159">
        <v>36</v>
      </c>
      <c r="BM15" s="159">
        <v>25</v>
      </c>
      <c r="BP15" s="126"/>
      <c r="BQ15" s="126"/>
      <c r="BR15" s="126"/>
      <c r="BS15" s="126"/>
    </row>
    <row r="16" spans="1:71" ht="15.75" thickBot="1" x14ac:dyDescent="0.3">
      <c r="A16" s="76" t="s">
        <v>165</v>
      </c>
      <c r="B16" s="77"/>
      <c r="C16" s="8"/>
      <c r="D16" s="296"/>
      <c r="E16" s="296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X16" s="126"/>
      <c r="Y16" s="296"/>
      <c r="Z16" s="295"/>
      <c r="AA16" s="295"/>
      <c r="AB16" s="296"/>
      <c r="AC16" s="296"/>
      <c r="AD16" s="295"/>
      <c r="AE16" s="295"/>
      <c r="AF16" s="296"/>
      <c r="AG16" s="296"/>
      <c r="AH16" s="296"/>
      <c r="AI16" s="296"/>
      <c r="AT16" s="296"/>
      <c r="AU16" s="295"/>
      <c r="AV16" s="295"/>
      <c r="AW16" s="295"/>
      <c r="AX16" s="295"/>
      <c r="AY16" s="295"/>
      <c r="AZ16" s="295"/>
      <c r="BA16" s="295"/>
      <c r="BB16" s="126"/>
      <c r="BC16" s="126"/>
      <c r="BF16" s="296"/>
      <c r="BG16" s="296"/>
      <c r="BH16" s="126"/>
      <c r="BI16" s="126"/>
      <c r="BP16" s="126"/>
      <c r="BQ16" s="126"/>
      <c r="BR16" s="126"/>
      <c r="BS16" s="126"/>
    </row>
    <row r="17" spans="1:71" s="126" customFormat="1" x14ac:dyDescent="0.25">
      <c r="A17" s="293" t="s">
        <v>164</v>
      </c>
      <c r="B17" s="293"/>
      <c r="C17" s="8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R17" s="296"/>
      <c r="S17" s="296"/>
      <c r="T17" s="296"/>
      <c r="U17" s="296"/>
      <c r="AD17" s="295"/>
      <c r="AE17" s="295"/>
      <c r="AF17" s="296"/>
      <c r="AG17" s="296"/>
      <c r="AH17" s="296"/>
      <c r="AI17" s="296"/>
      <c r="BF17" s="296"/>
      <c r="BG17" s="296"/>
    </row>
    <row r="18" spans="1:71" s="126" customFormat="1" x14ac:dyDescent="0.25">
      <c r="A18" s="320" t="s">
        <v>170</v>
      </c>
      <c r="B18" s="320"/>
      <c r="C18" s="8"/>
      <c r="D18" s="314">
        <v>3</v>
      </c>
      <c r="E18" s="314">
        <v>1</v>
      </c>
      <c r="F18" s="327">
        <v>3</v>
      </c>
      <c r="G18" s="327">
        <v>1</v>
      </c>
      <c r="H18" s="296"/>
      <c r="I18" s="296"/>
      <c r="J18" s="296"/>
      <c r="K18" s="296"/>
      <c r="L18" s="296"/>
      <c r="M18" s="296"/>
      <c r="R18" s="296"/>
      <c r="S18" s="296"/>
      <c r="T18" s="296"/>
      <c r="U18" s="296"/>
      <c r="AD18" s="295"/>
      <c r="AE18" s="295"/>
      <c r="AF18" s="296"/>
      <c r="AG18" s="296"/>
      <c r="AH18" s="296"/>
      <c r="AI18" s="296"/>
      <c r="BF18" s="296"/>
      <c r="BG18" s="296"/>
    </row>
    <row r="19" spans="1:71" s="126" customFormat="1" ht="15.75" thickBot="1" x14ac:dyDescent="0.3">
      <c r="A19" s="320" t="s">
        <v>171</v>
      </c>
      <c r="B19" s="320"/>
      <c r="C19" s="8"/>
      <c r="D19" s="314">
        <v>2</v>
      </c>
      <c r="E19" s="314">
        <v>0</v>
      </c>
      <c r="F19" s="327">
        <v>2</v>
      </c>
      <c r="G19" s="327">
        <v>0</v>
      </c>
      <c r="H19" s="296"/>
      <c r="I19" s="296"/>
      <c r="J19" s="296"/>
      <c r="K19" s="296"/>
      <c r="L19" s="296"/>
      <c r="M19" s="296"/>
      <c r="R19" s="296"/>
      <c r="S19" s="296"/>
      <c r="T19" s="296"/>
      <c r="U19" s="296"/>
      <c r="AD19" s="295"/>
      <c r="AE19" s="295"/>
      <c r="AF19" s="296"/>
      <c r="AG19" s="296"/>
      <c r="AH19" s="296"/>
      <c r="AI19" s="296"/>
      <c r="BF19" s="296"/>
      <c r="BG19" s="296"/>
    </row>
    <row r="20" spans="1:71" s="126" customFormat="1" x14ac:dyDescent="0.25">
      <c r="A20" s="320" t="s">
        <v>184</v>
      </c>
      <c r="B20" s="320"/>
      <c r="C20" s="8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R20" s="296"/>
      <c r="S20" s="296"/>
      <c r="T20" s="296"/>
      <c r="U20" s="296"/>
      <c r="X20" s="347">
        <v>1</v>
      </c>
      <c r="Y20" s="348">
        <v>0</v>
      </c>
      <c r="AD20" s="295"/>
      <c r="AE20" s="295"/>
      <c r="AF20" s="296"/>
      <c r="AG20" s="296"/>
      <c r="AH20" s="296"/>
      <c r="AI20" s="296"/>
      <c r="BB20" s="335">
        <v>2</v>
      </c>
      <c r="BC20" s="335">
        <v>0</v>
      </c>
      <c r="BF20" s="296"/>
      <c r="BG20" s="296"/>
    </row>
    <row r="21" spans="1:71" s="126" customFormat="1" x14ac:dyDescent="0.25">
      <c r="A21" s="320" t="s">
        <v>183</v>
      </c>
      <c r="B21" s="320"/>
      <c r="C21" s="8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R21" s="296"/>
      <c r="S21" s="296"/>
      <c r="T21" s="296"/>
      <c r="U21" s="296"/>
      <c r="X21" s="349">
        <v>4</v>
      </c>
      <c r="Y21" s="350">
        <v>0</v>
      </c>
      <c r="AD21" s="295"/>
      <c r="AE21" s="295"/>
      <c r="AF21" s="296"/>
      <c r="AG21" s="296"/>
      <c r="AH21" s="296"/>
      <c r="AI21" s="296"/>
      <c r="BB21" s="335">
        <v>2</v>
      </c>
      <c r="BC21" s="335">
        <v>1</v>
      </c>
      <c r="BF21" s="296"/>
      <c r="BG21" s="296"/>
    </row>
    <row r="22" spans="1:71" s="126" customFormat="1" x14ac:dyDescent="0.25">
      <c r="A22" s="320" t="s">
        <v>185</v>
      </c>
      <c r="B22" s="320"/>
      <c r="C22" s="8"/>
      <c r="D22" s="296"/>
      <c r="E22" s="296"/>
      <c r="F22" s="296"/>
      <c r="G22" s="296"/>
      <c r="H22" s="296"/>
      <c r="I22" s="296"/>
      <c r="J22" s="296"/>
      <c r="K22" s="296"/>
      <c r="L22" s="296"/>
      <c r="M22" s="296"/>
      <c r="R22" s="296"/>
      <c r="S22" s="296"/>
      <c r="T22" s="296"/>
      <c r="U22" s="296"/>
      <c r="X22" s="349">
        <v>2</v>
      </c>
      <c r="Y22" s="350">
        <v>4</v>
      </c>
      <c r="AD22" s="295"/>
      <c r="AE22" s="295"/>
      <c r="AF22" s="296"/>
      <c r="AG22" s="296"/>
      <c r="AH22" s="296"/>
      <c r="AI22" s="296"/>
      <c r="BB22" s="335">
        <v>10</v>
      </c>
      <c r="BC22" s="335">
        <v>5</v>
      </c>
      <c r="BF22" s="296"/>
      <c r="BG22" s="296"/>
    </row>
    <row r="23" spans="1:71" s="126" customFormat="1" ht="15.75" thickBot="1" x14ac:dyDescent="0.3">
      <c r="A23" s="320" t="s">
        <v>182</v>
      </c>
      <c r="B23" s="320"/>
      <c r="C23" s="8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R23" s="296"/>
      <c r="S23" s="296"/>
      <c r="T23" s="296"/>
      <c r="U23" s="296"/>
      <c r="X23" s="351">
        <v>10</v>
      </c>
      <c r="Y23" s="352">
        <v>2</v>
      </c>
      <c r="AD23" s="295"/>
      <c r="AE23" s="295"/>
      <c r="AF23" s="296"/>
      <c r="AG23" s="296"/>
      <c r="AH23" s="296"/>
      <c r="AI23" s="296"/>
      <c r="AT23" s="296"/>
      <c r="AU23" s="296"/>
      <c r="AV23" s="296"/>
      <c r="AW23" s="296"/>
      <c r="AZ23" s="295"/>
      <c r="BA23" s="295"/>
      <c r="BB23" s="335">
        <v>11</v>
      </c>
      <c r="BC23" s="335">
        <v>5</v>
      </c>
      <c r="BF23" s="296"/>
      <c r="BG23" s="296"/>
    </row>
    <row r="24" spans="1:71" s="126" customFormat="1" x14ac:dyDescent="0.25">
      <c r="A24" s="320" t="s">
        <v>195</v>
      </c>
      <c r="B24" s="320"/>
      <c r="C24" s="8"/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R24" s="296"/>
      <c r="S24" s="296"/>
      <c r="T24" s="296"/>
      <c r="U24" s="296"/>
      <c r="AD24" s="295"/>
      <c r="AE24" s="295"/>
      <c r="AF24" s="296"/>
      <c r="AG24" s="296"/>
      <c r="AH24" s="296"/>
      <c r="AI24" s="296"/>
      <c r="AT24" s="296"/>
      <c r="AU24" s="296"/>
      <c r="AV24" s="296"/>
      <c r="AW24" s="296"/>
      <c r="AZ24" s="307">
        <v>8</v>
      </c>
      <c r="BA24" s="343">
        <v>1</v>
      </c>
      <c r="BF24" s="296"/>
      <c r="BG24" s="296"/>
    </row>
    <row r="25" spans="1:71" s="126" customFormat="1" x14ac:dyDescent="0.25">
      <c r="A25" s="320" t="s">
        <v>196</v>
      </c>
      <c r="B25" s="320"/>
      <c r="C25" s="8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R25" s="296"/>
      <c r="S25" s="296"/>
      <c r="T25" s="296"/>
      <c r="U25" s="296"/>
      <c r="AD25" s="295"/>
      <c r="AE25" s="295"/>
      <c r="AF25" s="296"/>
      <c r="AG25" s="296"/>
      <c r="AH25" s="296"/>
      <c r="AI25" s="296"/>
      <c r="AT25" s="296"/>
      <c r="AU25" s="296"/>
      <c r="AV25" s="296"/>
      <c r="AW25" s="296"/>
      <c r="AZ25" s="307">
        <v>8</v>
      </c>
      <c r="BA25" s="307">
        <v>1</v>
      </c>
      <c r="BF25" s="296"/>
      <c r="BG25" s="296"/>
    </row>
    <row r="26" spans="1:71" s="126" customFormat="1" x14ac:dyDescent="0.25">
      <c r="A26" s="294"/>
      <c r="B26" s="294"/>
      <c r="C26" s="8"/>
      <c r="D26" s="296"/>
      <c r="E26" s="296"/>
      <c r="F26" s="296"/>
      <c r="G26" s="296"/>
      <c r="H26" s="296"/>
      <c r="I26" s="296"/>
      <c r="J26" s="296"/>
      <c r="K26" s="296"/>
      <c r="L26" s="296"/>
      <c r="M26" s="296"/>
      <c r="R26" s="296"/>
      <c r="S26" s="296"/>
      <c r="T26" s="296"/>
      <c r="U26" s="296"/>
      <c r="V26" s="295"/>
      <c r="W26" s="295"/>
      <c r="X26" s="296"/>
      <c r="Y26" s="296"/>
      <c r="AD26" s="295"/>
      <c r="AE26" s="295"/>
      <c r="AF26" s="296"/>
      <c r="AG26" s="296"/>
      <c r="AH26" s="296"/>
      <c r="AI26" s="296"/>
      <c r="AT26" s="296"/>
      <c r="AU26" s="296"/>
      <c r="AV26" s="296"/>
      <c r="AW26" s="296"/>
      <c r="AZ26" s="295"/>
      <c r="BA26" s="295"/>
      <c r="BF26" s="296"/>
      <c r="BG26" s="296"/>
    </row>
    <row r="27" spans="1:71" x14ac:dyDescent="0.25">
      <c r="A27" s="69" t="s">
        <v>73</v>
      </c>
      <c r="B27" s="70"/>
      <c r="C27" s="8"/>
      <c r="D27" s="137">
        <v>0</v>
      </c>
      <c r="E27" s="137">
        <v>0</v>
      </c>
      <c r="F27" s="138">
        <v>0</v>
      </c>
      <c r="G27" s="138">
        <v>0</v>
      </c>
      <c r="H27" s="159">
        <v>7</v>
      </c>
      <c r="I27" s="159">
        <v>0</v>
      </c>
      <c r="J27" s="159">
        <v>7</v>
      </c>
      <c r="K27" s="302">
        <v>0</v>
      </c>
      <c r="L27" s="159">
        <v>7</v>
      </c>
      <c r="M27" s="302">
        <v>0</v>
      </c>
      <c r="N27" s="307">
        <v>7</v>
      </c>
      <c r="O27" s="307">
        <v>0</v>
      </c>
      <c r="P27" s="307">
        <v>7</v>
      </c>
      <c r="Q27" s="307">
        <v>0</v>
      </c>
      <c r="R27" s="137">
        <v>0</v>
      </c>
      <c r="S27" s="137">
        <v>0</v>
      </c>
      <c r="T27" s="138">
        <v>0</v>
      </c>
      <c r="U27" s="138">
        <v>0</v>
      </c>
      <c r="V27" s="307">
        <v>7</v>
      </c>
      <c r="W27" s="270">
        <v>0</v>
      </c>
      <c r="X27" s="335">
        <v>7</v>
      </c>
      <c r="Y27" s="335">
        <v>0</v>
      </c>
      <c r="Z27" s="159">
        <v>7</v>
      </c>
      <c r="AA27" s="159">
        <v>0</v>
      </c>
      <c r="AB27" s="270">
        <v>7</v>
      </c>
      <c r="AC27" s="270">
        <v>0</v>
      </c>
      <c r="AD27" s="270">
        <v>7</v>
      </c>
      <c r="AE27" s="270">
        <v>0</v>
      </c>
      <c r="AF27" s="137">
        <v>0</v>
      </c>
      <c r="AG27" s="137">
        <v>0</v>
      </c>
      <c r="AH27" s="138">
        <v>0</v>
      </c>
      <c r="AI27" s="138">
        <v>0</v>
      </c>
      <c r="AJ27" s="270">
        <v>7</v>
      </c>
      <c r="AK27" s="270">
        <v>0</v>
      </c>
      <c r="AL27" s="307">
        <v>7</v>
      </c>
      <c r="AM27" s="307">
        <v>0</v>
      </c>
      <c r="AN27" s="159">
        <v>7</v>
      </c>
      <c r="AO27" s="159">
        <v>0</v>
      </c>
      <c r="AP27" s="335">
        <v>7</v>
      </c>
      <c r="AQ27" s="335">
        <v>0</v>
      </c>
      <c r="AR27" s="335">
        <v>6</v>
      </c>
      <c r="AS27" s="335">
        <v>0</v>
      </c>
      <c r="AT27" s="137">
        <v>0</v>
      </c>
      <c r="AU27" s="137">
        <v>0</v>
      </c>
      <c r="AV27" s="138">
        <v>0</v>
      </c>
      <c r="AW27" s="138">
        <v>0</v>
      </c>
      <c r="AX27" s="159">
        <v>7</v>
      </c>
      <c r="AY27" s="159">
        <v>0</v>
      </c>
      <c r="AZ27" s="159">
        <v>7</v>
      </c>
      <c r="BA27" s="159">
        <v>0</v>
      </c>
      <c r="BB27" s="159">
        <v>7</v>
      </c>
      <c r="BC27" s="159">
        <v>0</v>
      </c>
      <c r="BD27" s="159">
        <v>7</v>
      </c>
      <c r="BE27" s="159">
        <v>0</v>
      </c>
      <c r="BF27" s="159">
        <v>7</v>
      </c>
      <c r="BG27" s="159">
        <v>0</v>
      </c>
      <c r="BH27" s="137">
        <v>0</v>
      </c>
      <c r="BI27" s="137">
        <v>0</v>
      </c>
      <c r="BJ27" s="358">
        <v>0</v>
      </c>
      <c r="BK27" s="358">
        <v>0</v>
      </c>
      <c r="BL27" s="335">
        <v>7</v>
      </c>
      <c r="BM27" s="335">
        <v>0</v>
      </c>
      <c r="BP27" s="126"/>
      <c r="BQ27" s="126"/>
      <c r="BR27" s="126"/>
      <c r="BS27" s="126"/>
    </row>
    <row r="28" spans="1:71" s="126" customFormat="1" x14ac:dyDescent="0.25">
      <c r="A28" s="69" t="s">
        <v>123</v>
      </c>
      <c r="B28" s="70"/>
      <c r="C28" s="8"/>
      <c r="D28" s="137">
        <v>0</v>
      </c>
      <c r="E28" s="137">
        <v>0</v>
      </c>
      <c r="F28" s="138">
        <v>0</v>
      </c>
      <c r="G28" s="138">
        <v>0</v>
      </c>
      <c r="H28" s="159">
        <v>0</v>
      </c>
      <c r="I28" s="159">
        <v>0</v>
      </c>
      <c r="J28" s="159">
        <v>0</v>
      </c>
      <c r="K28" s="302">
        <v>0</v>
      </c>
      <c r="L28" s="159">
        <v>0</v>
      </c>
      <c r="M28" s="302">
        <v>0</v>
      </c>
      <c r="N28" s="307">
        <v>0</v>
      </c>
      <c r="O28" s="307">
        <v>0</v>
      </c>
      <c r="P28" s="307">
        <v>0</v>
      </c>
      <c r="Q28" s="307">
        <v>0</v>
      </c>
      <c r="R28" s="137">
        <v>0</v>
      </c>
      <c r="S28" s="137">
        <v>0</v>
      </c>
      <c r="T28" s="138">
        <v>0</v>
      </c>
      <c r="U28" s="138">
        <v>0</v>
      </c>
      <c r="V28" s="307">
        <v>0</v>
      </c>
      <c r="W28" s="270">
        <v>0</v>
      </c>
      <c r="X28" s="335">
        <v>0</v>
      </c>
      <c r="Y28" s="335">
        <v>0</v>
      </c>
      <c r="Z28" s="159">
        <v>0</v>
      </c>
      <c r="AA28" s="159">
        <v>0</v>
      </c>
      <c r="AB28" s="270">
        <v>0</v>
      </c>
      <c r="AC28" s="270">
        <v>0</v>
      </c>
      <c r="AD28" s="270">
        <v>0</v>
      </c>
      <c r="AE28" s="270">
        <v>0</v>
      </c>
      <c r="AF28" s="137">
        <v>0</v>
      </c>
      <c r="AG28" s="137">
        <v>0</v>
      </c>
      <c r="AH28" s="138">
        <v>0</v>
      </c>
      <c r="AI28" s="138">
        <v>0</v>
      </c>
      <c r="AJ28" s="270">
        <v>0</v>
      </c>
      <c r="AK28" s="270">
        <v>0</v>
      </c>
      <c r="AL28" s="307">
        <v>0</v>
      </c>
      <c r="AM28" s="307">
        <v>0</v>
      </c>
      <c r="AN28" s="159">
        <v>0</v>
      </c>
      <c r="AO28" s="159">
        <v>0</v>
      </c>
      <c r="AP28" s="335">
        <v>0</v>
      </c>
      <c r="AQ28" s="335">
        <v>0</v>
      </c>
      <c r="AR28" s="335">
        <v>0</v>
      </c>
      <c r="AS28" s="335">
        <v>0</v>
      </c>
      <c r="AT28" s="137">
        <v>0</v>
      </c>
      <c r="AU28" s="137">
        <v>0</v>
      </c>
      <c r="AV28" s="138">
        <v>0</v>
      </c>
      <c r="AW28" s="138">
        <v>0</v>
      </c>
      <c r="AX28" s="159">
        <v>0</v>
      </c>
      <c r="AY28" s="159">
        <v>0</v>
      </c>
      <c r="AZ28" s="159">
        <v>0</v>
      </c>
      <c r="BA28" s="159">
        <v>0</v>
      </c>
      <c r="BB28" s="159">
        <v>0</v>
      </c>
      <c r="BC28" s="159">
        <v>0</v>
      </c>
      <c r="BD28" s="159">
        <v>0</v>
      </c>
      <c r="BE28" s="159">
        <v>0</v>
      </c>
      <c r="BF28" s="159">
        <v>0</v>
      </c>
      <c r="BG28" s="159">
        <v>0</v>
      </c>
      <c r="BH28" s="137">
        <v>0</v>
      </c>
      <c r="BI28" s="137">
        <v>0</v>
      </c>
      <c r="BJ28" s="358">
        <v>0</v>
      </c>
      <c r="BK28" s="358">
        <v>0</v>
      </c>
      <c r="BL28" s="335">
        <v>0</v>
      </c>
      <c r="BM28" s="335">
        <v>0</v>
      </c>
    </row>
    <row r="29" spans="1:71" x14ac:dyDescent="0.25">
      <c r="A29" s="69" t="s">
        <v>74</v>
      </c>
      <c r="B29" s="70"/>
      <c r="C29" s="8"/>
      <c r="D29" s="137">
        <v>0</v>
      </c>
      <c r="E29" s="137">
        <v>0</v>
      </c>
      <c r="F29" s="138">
        <v>0</v>
      </c>
      <c r="G29" s="138">
        <v>0</v>
      </c>
      <c r="H29" s="159">
        <v>2</v>
      </c>
      <c r="I29" s="159">
        <v>6</v>
      </c>
      <c r="J29" s="159">
        <v>2</v>
      </c>
      <c r="K29" s="302">
        <v>6</v>
      </c>
      <c r="L29" s="159">
        <v>2</v>
      </c>
      <c r="M29" s="302">
        <v>6</v>
      </c>
      <c r="N29" s="307">
        <v>2</v>
      </c>
      <c r="O29" s="307">
        <v>6</v>
      </c>
      <c r="P29" s="307">
        <v>2</v>
      </c>
      <c r="Q29" s="307">
        <v>6</v>
      </c>
      <c r="R29" s="137">
        <v>0</v>
      </c>
      <c r="S29" s="137">
        <v>0</v>
      </c>
      <c r="T29" s="138">
        <v>0</v>
      </c>
      <c r="U29" s="138">
        <v>0</v>
      </c>
      <c r="V29" s="159">
        <v>2</v>
      </c>
      <c r="W29" s="159">
        <v>6</v>
      </c>
      <c r="X29" s="335">
        <v>2</v>
      </c>
      <c r="Y29" s="335">
        <v>6</v>
      </c>
      <c r="Z29" s="159">
        <v>2</v>
      </c>
      <c r="AA29" s="159">
        <v>6</v>
      </c>
      <c r="AB29" s="159">
        <v>2</v>
      </c>
      <c r="AC29" s="159">
        <v>6</v>
      </c>
      <c r="AD29" s="159">
        <v>2</v>
      </c>
      <c r="AE29" s="159">
        <v>6</v>
      </c>
      <c r="AF29" s="137">
        <v>0</v>
      </c>
      <c r="AG29" s="137">
        <v>0</v>
      </c>
      <c r="AH29" s="138">
        <v>0</v>
      </c>
      <c r="AI29" s="138">
        <v>0</v>
      </c>
      <c r="AJ29" s="159">
        <v>3</v>
      </c>
      <c r="AK29" s="159">
        <v>5</v>
      </c>
      <c r="AL29" s="159">
        <v>3</v>
      </c>
      <c r="AM29" s="159">
        <v>5</v>
      </c>
      <c r="AN29" s="159">
        <v>2</v>
      </c>
      <c r="AO29" s="159">
        <v>6</v>
      </c>
      <c r="AP29" s="335">
        <v>3</v>
      </c>
      <c r="AQ29" s="335">
        <v>5</v>
      </c>
      <c r="AR29" s="335">
        <v>3</v>
      </c>
      <c r="AS29" s="335">
        <v>6</v>
      </c>
      <c r="AT29" s="137">
        <v>0</v>
      </c>
      <c r="AU29" s="137">
        <v>0</v>
      </c>
      <c r="AV29" s="138">
        <v>0</v>
      </c>
      <c r="AW29" s="138">
        <v>0</v>
      </c>
      <c r="AX29" s="159">
        <v>2</v>
      </c>
      <c r="AY29" s="159">
        <v>6</v>
      </c>
      <c r="AZ29" s="159">
        <v>2</v>
      </c>
      <c r="BA29" s="159">
        <v>6</v>
      </c>
      <c r="BB29" s="159">
        <v>2</v>
      </c>
      <c r="BC29" s="159">
        <v>6</v>
      </c>
      <c r="BD29" s="159">
        <v>2</v>
      </c>
      <c r="BE29" s="159">
        <v>6</v>
      </c>
      <c r="BF29" s="159">
        <v>3</v>
      </c>
      <c r="BG29" s="159">
        <v>5</v>
      </c>
      <c r="BH29" s="137">
        <v>0</v>
      </c>
      <c r="BI29" s="137">
        <v>0</v>
      </c>
      <c r="BJ29" s="358">
        <v>0</v>
      </c>
      <c r="BK29" s="358">
        <v>0</v>
      </c>
      <c r="BL29" s="335">
        <v>2</v>
      </c>
      <c r="BM29" s="335">
        <v>6</v>
      </c>
      <c r="BP29" s="126"/>
      <c r="BQ29" s="126"/>
      <c r="BR29" s="126"/>
      <c r="BS29" s="126"/>
    </row>
    <row r="30" spans="1:71" x14ac:dyDescent="0.25">
      <c r="A30" s="69" t="s">
        <v>75</v>
      </c>
      <c r="B30" s="70"/>
      <c r="C30" s="8"/>
      <c r="D30" s="137">
        <v>0</v>
      </c>
      <c r="E30" s="137">
        <v>0</v>
      </c>
      <c r="F30" s="138">
        <v>0</v>
      </c>
      <c r="G30" s="138">
        <v>0</v>
      </c>
      <c r="H30" s="159">
        <v>6</v>
      </c>
      <c r="I30" s="159">
        <v>0</v>
      </c>
      <c r="J30" s="159">
        <v>6</v>
      </c>
      <c r="K30" s="302">
        <v>0</v>
      </c>
      <c r="L30" s="159">
        <v>6</v>
      </c>
      <c r="M30" s="302">
        <v>0</v>
      </c>
      <c r="N30" s="307">
        <v>6</v>
      </c>
      <c r="O30" s="307">
        <v>0</v>
      </c>
      <c r="P30" s="307">
        <v>6</v>
      </c>
      <c r="Q30" s="307">
        <v>0</v>
      </c>
      <c r="R30" s="137">
        <v>0</v>
      </c>
      <c r="S30" s="137">
        <v>0</v>
      </c>
      <c r="T30" s="138">
        <v>0</v>
      </c>
      <c r="U30" s="138">
        <v>0</v>
      </c>
      <c r="V30" s="159">
        <v>6</v>
      </c>
      <c r="W30" s="159">
        <v>0</v>
      </c>
      <c r="X30" s="335">
        <v>6</v>
      </c>
      <c r="Y30" s="335">
        <v>0</v>
      </c>
      <c r="Z30" s="270">
        <v>6</v>
      </c>
      <c r="AA30" s="270">
        <v>0</v>
      </c>
      <c r="AB30" s="159">
        <v>6</v>
      </c>
      <c r="AC30" s="159">
        <v>0</v>
      </c>
      <c r="AD30" s="159">
        <v>6</v>
      </c>
      <c r="AE30" s="159">
        <v>0</v>
      </c>
      <c r="AF30" s="137">
        <v>0</v>
      </c>
      <c r="AG30" s="137">
        <v>0</v>
      </c>
      <c r="AH30" s="138">
        <v>0</v>
      </c>
      <c r="AI30" s="138">
        <v>0</v>
      </c>
      <c r="AJ30" s="159">
        <v>6</v>
      </c>
      <c r="AK30" s="159">
        <v>0</v>
      </c>
      <c r="AL30" s="159">
        <v>6</v>
      </c>
      <c r="AM30" s="159">
        <v>0</v>
      </c>
      <c r="AN30" s="159">
        <v>6</v>
      </c>
      <c r="AO30" s="159">
        <v>0</v>
      </c>
      <c r="AP30" s="335">
        <v>6</v>
      </c>
      <c r="AQ30" s="335">
        <v>0</v>
      </c>
      <c r="AR30" s="335">
        <v>6</v>
      </c>
      <c r="AS30" s="335">
        <v>0</v>
      </c>
      <c r="AT30" s="137">
        <v>0</v>
      </c>
      <c r="AU30" s="137">
        <v>0</v>
      </c>
      <c r="AV30" s="138">
        <v>0</v>
      </c>
      <c r="AW30" s="138">
        <v>0</v>
      </c>
      <c r="AX30" s="159">
        <v>6</v>
      </c>
      <c r="AY30" s="159">
        <v>0</v>
      </c>
      <c r="AZ30" s="159">
        <v>6</v>
      </c>
      <c r="BA30" s="159">
        <v>0</v>
      </c>
      <c r="BB30" s="159">
        <v>6</v>
      </c>
      <c r="BC30" s="159">
        <v>0</v>
      </c>
      <c r="BD30" s="159">
        <v>6</v>
      </c>
      <c r="BE30" s="159">
        <v>0</v>
      </c>
      <c r="BF30" s="159">
        <v>6</v>
      </c>
      <c r="BG30" s="159">
        <v>0</v>
      </c>
      <c r="BH30" s="137">
        <v>0</v>
      </c>
      <c r="BI30" s="137">
        <v>0</v>
      </c>
      <c r="BJ30" s="358">
        <v>0</v>
      </c>
      <c r="BK30" s="358">
        <v>0</v>
      </c>
      <c r="BL30" s="335">
        <v>6</v>
      </c>
      <c r="BM30" s="335">
        <v>0</v>
      </c>
      <c r="BP30" s="126"/>
      <c r="BQ30" s="126"/>
      <c r="BR30" s="126"/>
      <c r="BS30" s="126"/>
    </row>
    <row r="31" spans="1:71" x14ac:dyDescent="0.25">
      <c r="A31" s="69" t="s">
        <v>76</v>
      </c>
      <c r="B31" s="70"/>
      <c r="C31" s="8"/>
      <c r="D31" s="137">
        <v>0</v>
      </c>
      <c r="E31" s="137">
        <v>0</v>
      </c>
      <c r="F31" s="138">
        <v>0</v>
      </c>
      <c r="G31" s="138">
        <v>0</v>
      </c>
      <c r="H31" s="159">
        <v>0</v>
      </c>
      <c r="I31" s="159">
        <v>0</v>
      </c>
      <c r="J31" s="159">
        <v>0</v>
      </c>
      <c r="K31" s="302">
        <v>0</v>
      </c>
      <c r="L31" s="159">
        <v>0</v>
      </c>
      <c r="M31" s="302">
        <v>0</v>
      </c>
      <c r="N31" s="270">
        <v>0</v>
      </c>
      <c r="O31" s="270">
        <v>0</v>
      </c>
      <c r="P31" s="270">
        <v>0</v>
      </c>
      <c r="Q31" s="270">
        <v>0</v>
      </c>
      <c r="R31" s="137">
        <v>0</v>
      </c>
      <c r="S31" s="137">
        <v>0</v>
      </c>
      <c r="T31" s="138">
        <v>0</v>
      </c>
      <c r="U31" s="138">
        <v>0</v>
      </c>
      <c r="V31" s="159">
        <v>0</v>
      </c>
      <c r="W31" s="159">
        <v>0</v>
      </c>
      <c r="X31" s="335">
        <v>0</v>
      </c>
      <c r="Y31" s="335">
        <v>0</v>
      </c>
      <c r="Z31" s="159">
        <v>0</v>
      </c>
      <c r="AA31" s="159">
        <v>0</v>
      </c>
      <c r="AB31" s="159">
        <v>0</v>
      </c>
      <c r="AC31" s="159">
        <v>0</v>
      </c>
      <c r="AD31" s="159">
        <v>0</v>
      </c>
      <c r="AE31" s="159">
        <v>0</v>
      </c>
      <c r="AF31" s="137">
        <v>0</v>
      </c>
      <c r="AG31" s="137">
        <v>0</v>
      </c>
      <c r="AH31" s="138">
        <v>0</v>
      </c>
      <c r="AI31" s="138">
        <v>0</v>
      </c>
      <c r="AJ31" s="159">
        <v>0</v>
      </c>
      <c r="AK31" s="159">
        <v>0</v>
      </c>
      <c r="AL31" s="159">
        <v>0</v>
      </c>
      <c r="AM31" s="159">
        <v>0</v>
      </c>
      <c r="AN31" s="159">
        <v>0</v>
      </c>
      <c r="AO31" s="159">
        <v>0</v>
      </c>
      <c r="AP31" s="335">
        <v>0</v>
      </c>
      <c r="AQ31" s="335">
        <v>0</v>
      </c>
      <c r="AR31" s="335">
        <v>0</v>
      </c>
      <c r="AS31" s="335">
        <v>0</v>
      </c>
      <c r="AT31" s="137">
        <v>0</v>
      </c>
      <c r="AU31" s="137">
        <v>0</v>
      </c>
      <c r="AV31" s="138">
        <v>0</v>
      </c>
      <c r="AW31" s="138">
        <v>0</v>
      </c>
      <c r="AX31" s="159">
        <v>0</v>
      </c>
      <c r="AY31" s="159">
        <v>0</v>
      </c>
      <c r="AZ31" s="159">
        <v>0</v>
      </c>
      <c r="BA31" s="159">
        <v>0</v>
      </c>
      <c r="BB31" s="159">
        <v>0</v>
      </c>
      <c r="BC31" s="159">
        <v>0</v>
      </c>
      <c r="BD31" s="270">
        <v>0</v>
      </c>
      <c r="BE31" s="270">
        <v>0</v>
      </c>
      <c r="BF31" s="159">
        <v>0</v>
      </c>
      <c r="BG31" s="159">
        <v>0</v>
      </c>
      <c r="BH31" s="314">
        <v>0</v>
      </c>
      <c r="BI31" s="314">
        <v>0</v>
      </c>
      <c r="BJ31" s="358">
        <v>0</v>
      </c>
      <c r="BK31" s="358">
        <v>0</v>
      </c>
      <c r="BL31" s="335">
        <v>0</v>
      </c>
      <c r="BM31" s="335">
        <v>0</v>
      </c>
      <c r="BP31" s="126"/>
      <c r="BQ31" s="126"/>
      <c r="BR31" s="126"/>
      <c r="BS31" s="126"/>
    </row>
    <row r="32" spans="1:71" ht="15.75" thickBot="1" x14ac:dyDescent="0.3">
      <c r="A32" s="69" t="s">
        <v>77</v>
      </c>
      <c r="B32" s="78"/>
      <c r="C32" s="8"/>
      <c r="D32" s="137">
        <v>0</v>
      </c>
      <c r="E32" s="137">
        <v>0</v>
      </c>
      <c r="F32" s="138">
        <v>0</v>
      </c>
      <c r="G32" s="138">
        <v>0</v>
      </c>
      <c r="H32" s="159">
        <v>5</v>
      </c>
      <c r="I32" s="159">
        <v>2</v>
      </c>
      <c r="J32" s="159">
        <v>5</v>
      </c>
      <c r="K32" s="302">
        <v>2</v>
      </c>
      <c r="L32" s="159">
        <v>5</v>
      </c>
      <c r="M32" s="302">
        <v>2</v>
      </c>
      <c r="N32" s="270">
        <v>5</v>
      </c>
      <c r="O32" s="270">
        <v>2</v>
      </c>
      <c r="P32" s="270">
        <v>5</v>
      </c>
      <c r="Q32" s="270">
        <v>2</v>
      </c>
      <c r="R32" s="137">
        <v>0</v>
      </c>
      <c r="S32" s="137">
        <v>0</v>
      </c>
      <c r="T32" s="138">
        <v>0</v>
      </c>
      <c r="U32" s="138">
        <v>0</v>
      </c>
      <c r="V32" s="159">
        <v>5</v>
      </c>
      <c r="W32" s="159">
        <v>2</v>
      </c>
      <c r="X32" s="335">
        <v>5</v>
      </c>
      <c r="Y32" s="335">
        <v>2</v>
      </c>
      <c r="Z32" s="159">
        <v>5</v>
      </c>
      <c r="AA32" s="159">
        <v>2</v>
      </c>
      <c r="AB32" s="159">
        <v>5</v>
      </c>
      <c r="AC32" s="159">
        <v>2</v>
      </c>
      <c r="AD32" s="159">
        <v>5</v>
      </c>
      <c r="AE32" s="159">
        <v>2</v>
      </c>
      <c r="AF32" s="137">
        <v>0</v>
      </c>
      <c r="AG32" s="137">
        <v>0</v>
      </c>
      <c r="AH32" s="138">
        <v>0</v>
      </c>
      <c r="AI32" s="138">
        <v>0</v>
      </c>
      <c r="AJ32" s="159">
        <v>5</v>
      </c>
      <c r="AK32" s="159">
        <v>2</v>
      </c>
      <c r="AL32" s="159">
        <v>5</v>
      </c>
      <c r="AM32" s="159">
        <v>2</v>
      </c>
      <c r="AN32" s="159">
        <v>5</v>
      </c>
      <c r="AO32" s="159">
        <v>2</v>
      </c>
      <c r="AP32" s="335">
        <v>5</v>
      </c>
      <c r="AQ32" s="335">
        <v>2</v>
      </c>
      <c r="AR32" s="335">
        <v>5</v>
      </c>
      <c r="AS32" s="335">
        <v>2</v>
      </c>
      <c r="AT32" s="137">
        <v>0</v>
      </c>
      <c r="AU32" s="137">
        <v>0</v>
      </c>
      <c r="AV32" s="138">
        <v>0</v>
      </c>
      <c r="AW32" s="138">
        <v>0</v>
      </c>
      <c r="AX32" s="159">
        <v>5</v>
      </c>
      <c r="AY32" s="159">
        <v>2</v>
      </c>
      <c r="AZ32" s="159">
        <v>5</v>
      </c>
      <c r="BA32" s="159">
        <v>2</v>
      </c>
      <c r="BB32" s="159">
        <v>5</v>
      </c>
      <c r="BC32" s="159">
        <v>2</v>
      </c>
      <c r="BD32" s="159">
        <v>5</v>
      </c>
      <c r="BE32" s="159">
        <v>2</v>
      </c>
      <c r="BF32" s="159">
        <v>5</v>
      </c>
      <c r="BG32" s="159">
        <v>2</v>
      </c>
      <c r="BH32" s="137">
        <v>0</v>
      </c>
      <c r="BI32" s="137">
        <v>0</v>
      </c>
      <c r="BJ32" s="358">
        <v>0</v>
      </c>
      <c r="BK32" s="358">
        <v>0</v>
      </c>
      <c r="BL32" s="335">
        <v>5</v>
      </c>
      <c r="BM32" s="335">
        <v>2</v>
      </c>
      <c r="BP32" s="126"/>
      <c r="BQ32" s="126"/>
      <c r="BR32" s="126"/>
      <c r="BS32" s="126"/>
    </row>
    <row r="33" spans="1:71 16315:16315" x14ac:dyDescent="0.25">
      <c r="A33" s="55"/>
      <c r="B33" s="55"/>
      <c r="C33" s="8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P33" s="126"/>
      <c r="BQ33" s="126"/>
      <c r="BR33" s="126"/>
      <c r="BS33" s="126"/>
    </row>
    <row r="34" spans="1:71 16315:16315" ht="15.75" thickBot="1" x14ac:dyDescent="0.3">
      <c r="C34" s="8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P34" s="126"/>
      <c r="BQ34" s="126"/>
      <c r="BR34" s="126"/>
      <c r="BS34" s="126"/>
    </row>
    <row r="35" spans="1:71 16315:16315" ht="15.75" thickBot="1" x14ac:dyDescent="0.3">
      <c r="C35" s="8"/>
      <c r="D35" s="176">
        <f t="shared" ref="D35:AI35" si="0">SUM(D3:D32)</f>
        <v>117</v>
      </c>
      <c r="E35" s="176">
        <f t="shared" si="0"/>
        <v>36</v>
      </c>
      <c r="F35" s="65">
        <f t="shared" si="0"/>
        <v>114</v>
      </c>
      <c r="G35" s="65">
        <f t="shared" si="0"/>
        <v>3</v>
      </c>
      <c r="H35" s="139">
        <f t="shared" si="0"/>
        <v>160</v>
      </c>
      <c r="I35" s="139">
        <f t="shared" si="0"/>
        <v>63</v>
      </c>
      <c r="J35" s="139">
        <f t="shared" si="0"/>
        <v>160</v>
      </c>
      <c r="K35" s="139">
        <f t="shared" si="0"/>
        <v>63</v>
      </c>
      <c r="L35" s="139">
        <f t="shared" si="0"/>
        <v>160</v>
      </c>
      <c r="M35" s="139">
        <f t="shared" si="0"/>
        <v>63</v>
      </c>
      <c r="N35" s="139">
        <f t="shared" si="0"/>
        <v>157</v>
      </c>
      <c r="O35" s="139">
        <f t="shared" si="0"/>
        <v>66</v>
      </c>
      <c r="P35" s="139">
        <f t="shared" si="0"/>
        <v>159</v>
      </c>
      <c r="Q35" s="139">
        <f t="shared" si="0"/>
        <v>64</v>
      </c>
      <c r="R35" s="176">
        <f t="shared" si="0"/>
        <v>144</v>
      </c>
      <c r="S35" s="176">
        <f t="shared" si="0"/>
        <v>3</v>
      </c>
      <c r="T35" s="65">
        <f t="shared" si="0"/>
        <v>108</v>
      </c>
      <c r="U35" s="65">
        <f t="shared" si="0"/>
        <v>3</v>
      </c>
      <c r="V35" s="139">
        <f t="shared" si="0"/>
        <v>160</v>
      </c>
      <c r="W35" s="139">
        <f t="shared" si="0"/>
        <v>63</v>
      </c>
      <c r="X35" s="139">
        <f t="shared" si="0"/>
        <v>149</v>
      </c>
      <c r="Y35" s="139">
        <f t="shared" si="0"/>
        <v>67</v>
      </c>
      <c r="Z35" s="139">
        <f t="shared" si="0"/>
        <v>158</v>
      </c>
      <c r="AA35" s="139">
        <f t="shared" si="0"/>
        <v>65</v>
      </c>
      <c r="AB35" s="139">
        <f t="shared" si="0"/>
        <v>152</v>
      </c>
      <c r="AC35" s="139">
        <f t="shared" si="0"/>
        <v>71</v>
      </c>
      <c r="AD35" s="139">
        <f t="shared" si="0"/>
        <v>152</v>
      </c>
      <c r="AE35" s="139">
        <f t="shared" si="0"/>
        <v>71</v>
      </c>
      <c r="AF35" s="176">
        <f t="shared" si="0"/>
        <v>144</v>
      </c>
      <c r="AG35" s="176">
        <f t="shared" si="0"/>
        <v>3</v>
      </c>
      <c r="AH35" s="65">
        <f t="shared" si="0"/>
        <v>108</v>
      </c>
      <c r="AI35" s="65">
        <f t="shared" si="0"/>
        <v>3</v>
      </c>
      <c r="AJ35" s="139">
        <f t="shared" ref="AJ35:BM35" si="1">SUM(AJ3:AJ32)</f>
        <v>156</v>
      </c>
      <c r="AK35" s="139">
        <f t="shared" si="1"/>
        <v>67</v>
      </c>
      <c r="AL35" s="139">
        <f t="shared" si="1"/>
        <v>154</v>
      </c>
      <c r="AM35" s="139">
        <f t="shared" si="1"/>
        <v>69</v>
      </c>
      <c r="AN35" s="139">
        <f t="shared" si="1"/>
        <v>152</v>
      </c>
      <c r="AO35" s="139">
        <f t="shared" si="1"/>
        <v>71</v>
      </c>
      <c r="AP35" s="139">
        <f t="shared" si="1"/>
        <v>152</v>
      </c>
      <c r="AQ35" s="139">
        <f t="shared" si="1"/>
        <v>71</v>
      </c>
      <c r="AR35" s="139">
        <f t="shared" si="1"/>
        <v>148</v>
      </c>
      <c r="AS35" s="139">
        <f t="shared" si="1"/>
        <v>75</v>
      </c>
      <c r="AT35" s="176">
        <f t="shared" si="1"/>
        <v>144</v>
      </c>
      <c r="AU35" s="176">
        <f t="shared" si="1"/>
        <v>3</v>
      </c>
      <c r="AV35" s="65">
        <f t="shared" si="1"/>
        <v>108</v>
      </c>
      <c r="AW35" s="65">
        <f t="shared" si="1"/>
        <v>3</v>
      </c>
      <c r="AX35" s="139">
        <f t="shared" si="1"/>
        <v>150</v>
      </c>
      <c r="AY35" s="139">
        <f t="shared" si="1"/>
        <v>73</v>
      </c>
      <c r="AZ35" s="139">
        <f t="shared" si="1"/>
        <v>151</v>
      </c>
      <c r="BA35" s="139">
        <f t="shared" si="1"/>
        <v>72</v>
      </c>
      <c r="BB35" s="139">
        <f t="shared" si="1"/>
        <v>137</v>
      </c>
      <c r="BC35" s="139">
        <f t="shared" si="1"/>
        <v>77</v>
      </c>
      <c r="BD35" s="139">
        <f t="shared" si="1"/>
        <v>150</v>
      </c>
      <c r="BE35" s="139">
        <f t="shared" si="1"/>
        <v>73</v>
      </c>
      <c r="BF35" s="139">
        <f t="shared" si="1"/>
        <v>152</v>
      </c>
      <c r="BG35" s="139">
        <f t="shared" si="1"/>
        <v>71</v>
      </c>
      <c r="BH35" s="176">
        <f t="shared" si="1"/>
        <v>144</v>
      </c>
      <c r="BI35" s="176">
        <f t="shared" si="1"/>
        <v>3</v>
      </c>
      <c r="BJ35" s="65">
        <f t="shared" si="1"/>
        <v>108</v>
      </c>
      <c r="BK35" s="65">
        <f t="shared" si="1"/>
        <v>3</v>
      </c>
      <c r="BL35" s="139">
        <f t="shared" si="1"/>
        <v>146</v>
      </c>
      <c r="BM35" s="139">
        <f t="shared" si="1"/>
        <v>77</v>
      </c>
      <c r="BP35" s="126"/>
      <c r="BQ35" s="126"/>
      <c r="BR35" s="126"/>
      <c r="BS35" s="126"/>
      <c r="XCM35" s="66"/>
    </row>
    <row r="36" spans="1:71 16315:16315" x14ac:dyDescent="0.25">
      <c r="C36" s="8"/>
      <c r="L36" s="126"/>
      <c r="Z36" s="126"/>
      <c r="AA36" s="126"/>
      <c r="AB36" s="126"/>
      <c r="AC36" s="126"/>
      <c r="AG36" s="126"/>
      <c r="AH36" s="126"/>
      <c r="AI36" s="126"/>
      <c r="AR36" s="56"/>
      <c r="AS36" s="56"/>
      <c r="AT36" s="56"/>
      <c r="AU36" s="56"/>
      <c r="AV36" s="56"/>
      <c r="AW36" s="56"/>
      <c r="AX36" s="56"/>
      <c r="AY36" s="56"/>
      <c r="AZ36" s="56"/>
      <c r="BH36" s="56"/>
      <c r="BI36" s="56"/>
      <c r="BJ36" s="56"/>
      <c r="BK36" s="56"/>
      <c r="BL36" s="56"/>
      <c r="BM36" s="56"/>
      <c r="BP36" s="126"/>
      <c r="BQ36" s="126"/>
      <c r="BR36" s="126"/>
      <c r="BS36" s="126"/>
    </row>
    <row r="37" spans="1:71 16315:16315" ht="18" x14ac:dyDescent="0.25">
      <c r="C37" s="8"/>
      <c r="L37" s="126"/>
      <c r="Z37" s="57"/>
      <c r="AR37" s="56"/>
      <c r="AS37" s="56"/>
      <c r="AT37" s="56"/>
      <c r="AU37" s="56"/>
      <c r="AV37" s="56"/>
      <c r="AW37" s="56"/>
      <c r="AX37" s="56"/>
      <c r="AY37" s="56"/>
      <c r="AZ37" s="56"/>
      <c r="BH37" s="56"/>
      <c r="BI37" s="56"/>
      <c r="BJ37" s="56"/>
      <c r="BK37" s="56"/>
      <c r="BL37" s="56"/>
      <c r="BM37" s="56"/>
    </row>
    <row r="38" spans="1:71 16315:16315" x14ac:dyDescent="0.25">
      <c r="C38" s="8"/>
      <c r="F38" s="126"/>
      <c r="G38" s="126"/>
      <c r="H38" s="126"/>
      <c r="I38" s="126"/>
      <c r="J38" s="8"/>
      <c r="K38" s="8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</row>
    <row r="39" spans="1:71 16315:16315" x14ac:dyDescent="0.25">
      <c r="C39" s="8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</row>
    <row r="40" spans="1:71 16315:16315" x14ac:dyDescent="0.25">
      <c r="C40" s="8"/>
      <c r="L40" s="126"/>
      <c r="AZ40" s="126"/>
      <c r="BA40" s="126"/>
      <c r="BB40" s="126"/>
      <c r="BC40" s="126"/>
      <c r="BD40" s="126"/>
      <c r="BE40" s="126"/>
      <c r="BF40" s="126"/>
      <c r="BG40" s="126"/>
      <c r="BH40" s="126"/>
      <c r="BI40" s="126"/>
      <c r="BJ40" s="126"/>
      <c r="BK40" s="126"/>
      <c r="BL40" s="126"/>
      <c r="BM40" s="126"/>
    </row>
    <row r="41" spans="1:71 16315:16315" x14ac:dyDescent="0.25">
      <c r="A41" s="58" t="s">
        <v>78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</row>
    <row r="42" spans="1:71 16315:16315" x14ac:dyDescent="0.25">
      <c r="A42" t="s">
        <v>79</v>
      </c>
      <c r="C42" s="8"/>
      <c r="D42" s="59">
        <f t="shared" ref="D42:AI42" si="2">D5+D12+D29</f>
        <v>54</v>
      </c>
      <c r="E42" s="59">
        <f t="shared" si="2"/>
        <v>18</v>
      </c>
      <c r="F42" s="59">
        <f t="shared" si="2"/>
        <v>52</v>
      </c>
      <c r="G42" s="59">
        <f t="shared" si="2"/>
        <v>2</v>
      </c>
      <c r="H42" s="59">
        <f t="shared" si="2"/>
        <v>51</v>
      </c>
      <c r="I42" s="59">
        <f t="shared" si="2"/>
        <v>28</v>
      </c>
      <c r="J42" s="59">
        <f t="shared" si="2"/>
        <v>51</v>
      </c>
      <c r="K42" s="59">
        <f t="shared" si="2"/>
        <v>28</v>
      </c>
      <c r="L42" s="153">
        <f t="shared" si="2"/>
        <v>51</v>
      </c>
      <c r="M42" s="59">
        <f t="shared" si="2"/>
        <v>28</v>
      </c>
      <c r="N42" s="329">
        <f t="shared" si="2"/>
        <v>48</v>
      </c>
      <c r="O42" s="329">
        <f t="shared" si="2"/>
        <v>31</v>
      </c>
      <c r="P42" s="331">
        <f t="shared" si="2"/>
        <v>50</v>
      </c>
      <c r="Q42" s="331">
        <f t="shared" si="2"/>
        <v>29</v>
      </c>
      <c r="R42" s="290">
        <f t="shared" si="2"/>
        <v>69</v>
      </c>
      <c r="S42" s="290">
        <f t="shared" si="2"/>
        <v>3</v>
      </c>
      <c r="T42" s="59">
        <f t="shared" si="2"/>
        <v>51</v>
      </c>
      <c r="U42" s="59">
        <f t="shared" si="2"/>
        <v>3</v>
      </c>
      <c r="V42" s="305">
        <f t="shared" si="2"/>
        <v>51</v>
      </c>
      <c r="W42" s="305">
        <f t="shared" si="2"/>
        <v>28</v>
      </c>
      <c r="X42" s="306">
        <f t="shared" si="2"/>
        <v>41</v>
      </c>
      <c r="Y42" s="306">
        <f t="shared" si="2"/>
        <v>27</v>
      </c>
      <c r="Z42" s="308">
        <f t="shared" si="2"/>
        <v>50</v>
      </c>
      <c r="AA42" s="308">
        <f t="shared" si="2"/>
        <v>29</v>
      </c>
      <c r="AB42" s="309">
        <f t="shared" si="2"/>
        <v>47</v>
      </c>
      <c r="AC42" s="309">
        <f t="shared" si="2"/>
        <v>32</v>
      </c>
      <c r="AD42" s="59">
        <f t="shared" si="2"/>
        <v>47</v>
      </c>
      <c r="AE42" s="59">
        <f t="shared" si="2"/>
        <v>32</v>
      </c>
      <c r="AF42" s="59">
        <f t="shared" si="2"/>
        <v>69</v>
      </c>
      <c r="AG42" s="271">
        <f t="shared" si="2"/>
        <v>3</v>
      </c>
      <c r="AH42" s="59">
        <f t="shared" si="2"/>
        <v>51</v>
      </c>
      <c r="AI42" s="59">
        <f t="shared" si="2"/>
        <v>3</v>
      </c>
      <c r="AJ42" s="297">
        <f t="shared" ref="AJ42:BM42" si="3">AJ5+AJ12+AJ29</f>
        <v>50</v>
      </c>
      <c r="AK42" s="297">
        <f t="shared" si="3"/>
        <v>29</v>
      </c>
      <c r="AL42" s="337">
        <f t="shared" si="3"/>
        <v>49</v>
      </c>
      <c r="AM42" s="337">
        <f t="shared" si="3"/>
        <v>30</v>
      </c>
      <c r="AN42" s="311">
        <f t="shared" si="3"/>
        <v>48</v>
      </c>
      <c r="AO42" s="311">
        <f t="shared" si="3"/>
        <v>31</v>
      </c>
      <c r="AP42" s="337">
        <f t="shared" si="3"/>
        <v>47</v>
      </c>
      <c r="AQ42" s="337">
        <f t="shared" si="3"/>
        <v>32</v>
      </c>
      <c r="AR42" s="312">
        <f t="shared" si="3"/>
        <v>46</v>
      </c>
      <c r="AS42" s="312">
        <f t="shared" si="3"/>
        <v>34</v>
      </c>
      <c r="AT42" s="313">
        <f t="shared" si="3"/>
        <v>69</v>
      </c>
      <c r="AU42" s="313">
        <f t="shared" si="3"/>
        <v>3</v>
      </c>
      <c r="AV42" s="321">
        <f t="shared" si="3"/>
        <v>51</v>
      </c>
      <c r="AW42" s="321">
        <f t="shared" si="3"/>
        <v>3</v>
      </c>
      <c r="AX42" s="322">
        <f t="shared" si="3"/>
        <v>47</v>
      </c>
      <c r="AY42" s="322">
        <f t="shared" si="3"/>
        <v>32</v>
      </c>
      <c r="AZ42" s="59">
        <f t="shared" si="3"/>
        <v>39</v>
      </c>
      <c r="BA42" s="274">
        <f t="shared" si="3"/>
        <v>31</v>
      </c>
      <c r="BB42" s="117">
        <f t="shared" si="3"/>
        <v>29</v>
      </c>
      <c r="BC42" s="275">
        <f t="shared" si="3"/>
        <v>32</v>
      </c>
      <c r="BD42" s="298">
        <f t="shared" si="3"/>
        <v>47</v>
      </c>
      <c r="BE42" s="298">
        <f t="shared" si="3"/>
        <v>32</v>
      </c>
      <c r="BF42" s="177">
        <f t="shared" si="3"/>
        <v>48</v>
      </c>
      <c r="BG42" s="177">
        <f t="shared" si="3"/>
        <v>31</v>
      </c>
      <c r="BH42" s="299">
        <f t="shared" si="3"/>
        <v>69</v>
      </c>
      <c r="BI42" s="299">
        <f t="shared" si="3"/>
        <v>3</v>
      </c>
      <c r="BJ42" s="300">
        <f t="shared" si="3"/>
        <v>51</v>
      </c>
      <c r="BK42" s="300">
        <f t="shared" si="3"/>
        <v>3</v>
      </c>
      <c r="BL42" s="301">
        <f t="shared" si="3"/>
        <v>43</v>
      </c>
      <c r="BM42" s="301">
        <f t="shared" si="3"/>
        <v>36</v>
      </c>
    </row>
    <row r="43" spans="1:71 16315:16315" x14ac:dyDescent="0.25">
      <c r="A43" t="s">
        <v>80</v>
      </c>
      <c r="C43" s="8"/>
      <c r="D43" s="59">
        <f t="shared" ref="D43:AI43" si="4">D8+D15+D32</f>
        <v>58</v>
      </c>
      <c r="E43" s="59">
        <f t="shared" si="4"/>
        <v>17</v>
      </c>
      <c r="F43" s="59">
        <f t="shared" si="4"/>
        <v>57</v>
      </c>
      <c r="G43" s="59">
        <f t="shared" si="4"/>
        <v>0</v>
      </c>
      <c r="H43" s="59">
        <f t="shared" si="4"/>
        <v>49</v>
      </c>
      <c r="I43" s="59">
        <f t="shared" si="4"/>
        <v>29</v>
      </c>
      <c r="J43" s="59">
        <f t="shared" si="4"/>
        <v>49</v>
      </c>
      <c r="K43" s="59">
        <f t="shared" si="4"/>
        <v>29</v>
      </c>
      <c r="L43" s="153">
        <f t="shared" si="4"/>
        <v>49</v>
      </c>
      <c r="M43" s="59">
        <f t="shared" si="4"/>
        <v>29</v>
      </c>
      <c r="N43" s="329">
        <f t="shared" si="4"/>
        <v>49</v>
      </c>
      <c r="O43" s="329">
        <f t="shared" si="4"/>
        <v>29</v>
      </c>
      <c r="P43" s="331">
        <f t="shared" si="4"/>
        <v>49</v>
      </c>
      <c r="Q43" s="331">
        <f t="shared" si="4"/>
        <v>29</v>
      </c>
      <c r="R43" s="290">
        <f t="shared" si="4"/>
        <v>75</v>
      </c>
      <c r="S43" s="290">
        <f t="shared" si="4"/>
        <v>0</v>
      </c>
      <c r="T43" s="59">
        <f t="shared" si="4"/>
        <v>57</v>
      </c>
      <c r="U43" s="59">
        <f t="shared" si="4"/>
        <v>0</v>
      </c>
      <c r="V43" s="305">
        <f t="shared" si="4"/>
        <v>49</v>
      </c>
      <c r="W43" s="305">
        <f t="shared" si="4"/>
        <v>29</v>
      </c>
      <c r="X43" s="306">
        <f t="shared" si="4"/>
        <v>38</v>
      </c>
      <c r="Y43" s="306">
        <f t="shared" si="4"/>
        <v>28</v>
      </c>
      <c r="Z43" s="308">
        <f t="shared" si="4"/>
        <v>48</v>
      </c>
      <c r="AA43" s="308">
        <f t="shared" si="4"/>
        <v>30</v>
      </c>
      <c r="AB43" s="309">
        <f t="shared" si="4"/>
        <v>45</v>
      </c>
      <c r="AC43" s="309">
        <f t="shared" si="4"/>
        <v>33</v>
      </c>
      <c r="AD43" s="59">
        <f t="shared" si="4"/>
        <v>45</v>
      </c>
      <c r="AE43" s="269">
        <f t="shared" si="4"/>
        <v>33</v>
      </c>
      <c r="AF43" s="271">
        <f t="shared" si="4"/>
        <v>75</v>
      </c>
      <c r="AG43" s="271">
        <f t="shared" si="4"/>
        <v>0</v>
      </c>
      <c r="AH43" s="59">
        <f t="shared" si="4"/>
        <v>57</v>
      </c>
      <c r="AI43" s="59">
        <f t="shared" si="4"/>
        <v>0</v>
      </c>
      <c r="AJ43" s="297">
        <f t="shared" ref="AJ43:BM43" si="5">AJ8+AJ15+AJ32</f>
        <v>49</v>
      </c>
      <c r="AK43" s="297">
        <f t="shared" si="5"/>
        <v>29</v>
      </c>
      <c r="AL43" s="337">
        <f t="shared" si="5"/>
        <v>47</v>
      </c>
      <c r="AM43" s="337">
        <f t="shared" si="5"/>
        <v>31</v>
      </c>
      <c r="AN43" s="311">
        <f t="shared" si="5"/>
        <v>46</v>
      </c>
      <c r="AO43" s="311">
        <f t="shared" si="5"/>
        <v>32</v>
      </c>
      <c r="AP43" s="337">
        <f t="shared" si="5"/>
        <v>47</v>
      </c>
      <c r="AQ43" s="337">
        <f t="shared" si="5"/>
        <v>31</v>
      </c>
      <c r="AR43" s="312">
        <f t="shared" si="5"/>
        <v>45</v>
      </c>
      <c r="AS43" s="312">
        <f t="shared" si="5"/>
        <v>33</v>
      </c>
      <c r="AT43" s="313">
        <f t="shared" si="5"/>
        <v>75</v>
      </c>
      <c r="AU43" s="313">
        <f t="shared" si="5"/>
        <v>0</v>
      </c>
      <c r="AV43" s="321">
        <f t="shared" si="5"/>
        <v>57</v>
      </c>
      <c r="AW43" s="321">
        <f t="shared" si="5"/>
        <v>0</v>
      </c>
      <c r="AX43" s="322">
        <f t="shared" si="5"/>
        <v>45</v>
      </c>
      <c r="AY43" s="322">
        <f t="shared" si="5"/>
        <v>33</v>
      </c>
      <c r="AZ43" s="274">
        <f t="shared" si="5"/>
        <v>38</v>
      </c>
      <c r="BA43" s="274">
        <f t="shared" si="5"/>
        <v>31</v>
      </c>
      <c r="BB43" s="275">
        <f t="shared" si="5"/>
        <v>30</v>
      </c>
      <c r="BC43" s="275">
        <f t="shared" si="5"/>
        <v>28</v>
      </c>
      <c r="BD43" s="298">
        <f t="shared" si="5"/>
        <v>45</v>
      </c>
      <c r="BE43" s="298">
        <f t="shared" si="5"/>
        <v>33</v>
      </c>
      <c r="BF43" s="177">
        <f t="shared" si="5"/>
        <v>46</v>
      </c>
      <c r="BG43" s="177">
        <f t="shared" si="5"/>
        <v>32</v>
      </c>
      <c r="BH43" s="299">
        <f t="shared" si="5"/>
        <v>75</v>
      </c>
      <c r="BI43" s="299">
        <f t="shared" si="5"/>
        <v>0</v>
      </c>
      <c r="BJ43" s="300">
        <f t="shared" si="5"/>
        <v>57</v>
      </c>
      <c r="BK43" s="300">
        <f t="shared" si="5"/>
        <v>0</v>
      </c>
      <c r="BL43" s="301">
        <f t="shared" si="5"/>
        <v>46</v>
      </c>
      <c r="BM43" s="301">
        <f t="shared" si="5"/>
        <v>32</v>
      </c>
    </row>
    <row r="44" spans="1:71 16315:16315" x14ac:dyDescent="0.25">
      <c r="A44" t="s">
        <v>81</v>
      </c>
      <c r="C44" s="8"/>
      <c r="D44" s="59">
        <f t="shared" ref="D44:AI44" si="6">D3+D10+D27</f>
        <v>0</v>
      </c>
      <c r="E44" s="59">
        <f t="shared" si="6"/>
        <v>0</v>
      </c>
      <c r="F44" s="59">
        <f t="shared" si="6"/>
        <v>0</v>
      </c>
      <c r="G44" s="59">
        <f t="shared" si="6"/>
        <v>0</v>
      </c>
      <c r="H44" s="59">
        <f t="shared" si="6"/>
        <v>30</v>
      </c>
      <c r="I44" s="59">
        <f t="shared" si="6"/>
        <v>3</v>
      </c>
      <c r="J44" s="59">
        <f t="shared" si="6"/>
        <v>30</v>
      </c>
      <c r="K44" s="59">
        <f t="shared" si="6"/>
        <v>3</v>
      </c>
      <c r="L44" s="153">
        <f t="shared" si="6"/>
        <v>30</v>
      </c>
      <c r="M44" s="59">
        <f t="shared" si="6"/>
        <v>3</v>
      </c>
      <c r="N44" s="329">
        <f t="shared" si="6"/>
        <v>30</v>
      </c>
      <c r="O44" s="329">
        <f t="shared" si="6"/>
        <v>3</v>
      </c>
      <c r="P44" s="331">
        <f t="shared" si="6"/>
        <v>30</v>
      </c>
      <c r="Q44" s="331">
        <f t="shared" si="6"/>
        <v>3</v>
      </c>
      <c r="R44" s="290">
        <f t="shared" si="6"/>
        <v>0</v>
      </c>
      <c r="S44" s="290">
        <f t="shared" si="6"/>
        <v>0</v>
      </c>
      <c r="T44" s="59">
        <f t="shared" si="6"/>
        <v>0</v>
      </c>
      <c r="U44" s="59">
        <f t="shared" si="6"/>
        <v>0</v>
      </c>
      <c r="V44" s="305">
        <f t="shared" si="6"/>
        <v>30</v>
      </c>
      <c r="W44" s="305">
        <f t="shared" si="6"/>
        <v>3</v>
      </c>
      <c r="X44" s="306">
        <f t="shared" si="6"/>
        <v>27</v>
      </c>
      <c r="Y44" s="306">
        <f t="shared" si="6"/>
        <v>3</v>
      </c>
      <c r="Z44" s="308">
        <f t="shared" si="6"/>
        <v>30</v>
      </c>
      <c r="AA44" s="308">
        <f t="shared" si="6"/>
        <v>3</v>
      </c>
      <c r="AB44" s="309">
        <f t="shared" si="6"/>
        <v>30</v>
      </c>
      <c r="AC44" s="309">
        <f t="shared" si="6"/>
        <v>3</v>
      </c>
      <c r="AD44" s="59">
        <f t="shared" si="6"/>
        <v>30</v>
      </c>
      <c r="AE44" s="269">
        <f t="shared" si="6"/>
        <v>3</v>
      </c>
      <c r="AF44" s="59">
        <f t="shared" si="6"/>
        <v>0</v>
      </c>
      <c r="AG44" s="271">
        <f t="shared" si="6"/>
        <v>0</v>
      </c>
      <c r="AH44" s="59">
        <f t="shared" si="6"/>
        <v>0</v>
      </c>
      <c r="AI44" s="59">
        <f t="shared" si="6"/>
        <v>0</v>
      </c>
      <c r="AJ44" s="297">
        <f t="shared" ref="AJ44:BM44" si="7">AJ3+AJ10+AJ27</f>
        <v>29</v>
      </c>
      <c r="AK44" s="297">
        <f t="shared" si="7"/>
        <v>4</v>
      </c>
      <c r="AL44" s="337">
        <f t="shared" si="7"/>
        <v>29</v>
      </c>
      <c r="AM44" s="337">
        <f t="shared" si="7"/>
        <v>4</v>
      </c>
      <c r="AN44" s="311">
        <f t="shared" si="7"/>
        <v>29</v>
      </c>
      <c r="AO44" s="311">
        <f t="shared" si="7"/>
        <v>4</v>
      </c>
      <c r="AP44" s="337">
        <f t="shared" si="7"/>
        <v>29</v>
      </c>
      <c r="AQ44" s="337">
        <f t="shared" si="7"/>
        <v>4</v>
      </c>
      <c r="AR44" s="312">
        <f t="shared" si="7"/>
        <v>28</v>
      </c>
      <c r="AS44" s="312">
        <f t="shared" si="7"/>
        <v>4</v>
      </c>
      <c r="AT44" s="313">
        <f t="shared" si="7"/>
        <v>0</v>
      </c>
      <c r="AU44" s="313">
        <f t="shared" si="7"/>
        <v>0</v>
      </c>
      <c r="AV44" s="321">
        <f t="shared" si="7"/>
        <v>0</v>
      </c>
      <c r="AW44" s="321">
        <f t="shared" si="7"/>
        <v>0</v>
      </c>
      <c r="AX44" s="322">
        <f t="shared" si="7"/>
        <v>29</v>
      </c>
      <c r="AY44" s="322">
        <f t="shared" si="7"/>
        <v>4</v>
      </c>
      <c r="AZ44" s="59">
        <f t="shared" si="7"/>
        <v>29</v>
      </c>
      <c r="BA44" s="274">
        <f t="shared" si="7"/>
        <v>4</v>
      </c>
      <c r="BB44" s="275">
        <f t="shared" si="7"/>
        <v>27</v>
      </c>
      <c r="BC44" s="275">
        <f t="shared" si="7"/>
        <v>3</v>
      </c>
      <c r="BD44" s="298">
        <f t="shared" si="7"/>
        <v>29</v>
      </c>
      <c r="BE44" s="298">
        <f t="shared" si="7"/>
        <v>4</v>
      </c>
      <c r="BF44" s="276">
        <f t="shared" si="7"/>
        <v>29</v>
      </c>
      <c r="BG44" s="177">
        <f t="shared" si="7"/>
        <v>4</v>
      </c>
      <c r="BH44" s="299">
        <f t="shared" si="7"/>
        <v>0</v>
      </c>
      <c r="BI44" s="299">
        <f t="shared" si="7"/>
        <v>0</v>
      </c>
      <c r="BJ44" s="300">
        <f t="shared" si="7"/>
        <v>0</v>
      </c>
      <c r="BK44" s="300">
        <f t="shared" si="7"/>
        <v>0</v>
      </c>
      <c r="BL44" s="301">
        <f t="shared" si="7"/>
        <v>29</v>
      </c>
      <c r="BM44" s="301">
        <f t="shared" si="7"/>
        <v>4</v>
      </c>
    </row>
    <row r="45" spans="1:71 16315:16315" x14ac:dyDescent="0.25">
      <c r="A45" t="s">
        <v>82</v>
      </c>
      <c r="C45" s="8"/>
      <c r="D45" s="59">
        <f t="shared" ref="D45:AI45" si="8">D6+D13+D30</f>
        <v>0</v>
      </c>
      <c r="E45" s="59">
        <f t="shared" si="8"/>
        <v>0</v>
      </c>
      <c r="F45" s="59">
        <f t="shared" si="8"/>
        <v>0</v>
      </c>
      <c r="G45" s="59">
        <f t="shared" si="8"/>
        <v>0</v>
      </c>
      <c r="H45" s="59">
        <f t="shared" si="8"/>
        <v>29</v>
      </c>
      <c r="I45" s="59">
        <f t="shared" si="8"/>
        <v>3</v>
      </c>
      <c r="J45" s="59">
        <f t="shared" si="8"/>
        <v>29</v>
      </c>
      <c r="K45" s="59">
        <f t="shared" si="8"/>
        <v>3</v>
      </c>
      <c r="L45" s="153">
        <f t="shared" si="8"/>
        <v>29</v>
      </c>
      <c r="M45" s="59">
        <f t="shared" si="8"/>
        <v>3</v>
      </c>
      <c r="N45" s="329">
        <f t="shared" si="8"/>
        <v>29</v>
      </c>
      <c r="O45" s="329">
        <f t="shared" si="8"/>
        <v>3</v>
      </c>
      <c r="P45" s="331">
        <f t="shared" si="8"/>
        <v>29</v>
      </c>
      <c r="Q45" s="331">
        <f t="shared" si="8"/>
        <v>3</v>
      </c>
      <c r="R45" s="290">
        <f t="shared" si="8"/>
        <v>0</v>
      </c>
      <c r="S45" s="290">
        <f t="shared" si="8"/>
        <v>0</v>
      </c>
      <c r="T45" s="59">
        <f t="shared" si="8"/>
        <v>0</v>
      </c>
      <c r="U45" s="59">
        <f t="shared" si="8"/>
        <v>0</v>
      </c>
      <c r="V45" s="305">
        <f t="shared" si="8"/>
        <v>29</v>
      </c>
      <c r="W45" s="305">
        <f t="shared" si="8"/>
        <v>3</v>
      </c>
      <c r="X45" s="306">
        <f t="shared" si="8"/>
        <v>25</v>
      </c>
      <c r="Y45" s="306">
        <f t="shared" si="8"/>
        <v>3</v>
      </c>
      <c r="Z45" s="308">
        <f t="shared" si="8"/>
        <v>29</v>
      </c>
      <c r="AA45" s="308">
        <f t="shared" si="8"/>
        <v>3</v>
      </c>
      <c r="AB45" s="309">
        <f t="shared" si="8"/>
        <v>29</v>
      </c>
      <c r="AC45" s="309">
        <f t="shared" si="8"/>
        <v>3</v>
      </c>
      <c r="AD45" s="59">
        <f t="shared" si="8"/>
        <v>29</v>
      </c>
      <c r="AE45" s="269">
        <f t="shared" si="8"/>
        <v>3</v>
      </c>
      <c r="AF45" s="59">
        <f t="shared" si="8"/>
        <v>0</v>
      </c>
      <c r="AG45" s="271">
        <f t="shared" si="8"/>
        <v>0</v>
      </c>
      <c r="AH45" s="59">
        <f t="shared" si="8"/>
        <v>0</v>
      </c>
      <c r="AI45" s="59">
        <f t="shared" si="8"/>
        <v>0</v>
      </c>
      <c r="AJ45" s="297">
        <f t="shared" ref="AJ45:BM45" si="9">AJ6+AJ13+AJ30</f>
        <v>27</v>
      </c>
      <c r="AK45" s="297">
        <f t="shared" si="9"/>
        <v>5</v>
      </c>
      <c r="AL45" s="337">
        <f t="shared" si="9"/>
        <v>28</v>
      </c>
      <c r="AM45" s="337">
        <f t="shared" si="9"/>
        <v>4</v>
      </c>
      <c r="AN45" s="311">
        <f t="shared" si="9"/>
        <v>28</v>
      </c>
      <c r="AO45" s="311">
        <f t="shared" si="9"/>
        <v>4</v>
      </c>
      <c r="AP45" s="337">
        <f t="shared" si="9"/>
        <v>28</v>
      </c>
      <c r="AQ45" s="337">
        <f t="shared" si="9"/>
        <v>4</v>
      </c>
      <c r="AR45" s="312">
        <f t="shared" si="9"/>
        <v>28</v>
      </c>
      <c r="AS45" s="312">
        <f t="shared" si="9"/>
        <v>4</v>
      </c>
      <c r="AT45" s="313">
        <f t="shared" si="9"/>
        <v>0</v>
      </c>
      <c r="AU45" s="313">
        <f t="shared" si="9"/>
        <v>0</v>
      </c>
      <c r="AV45" s="321">
        <f t="shared" si="9"/>
        <v>0</v>
      </c>
      <c r="AW45" s="321">
        <f t="shared" si="9"/>
        <v>0</v>
      </c>
      <c r="AX45" s="322">
        <f t="shared" si="9"/>
        <v>28</v>
      </c>
      <c r="AY45" s="322">
        <f t="shared" si="9"/>
        <v>4</v>
      </c>
      <c r="AZ45" s="59">
        <f t="shared" si="9"/>
        <v>28</v>
      </c>
      <c r="BA45" s="274">
        <f t="shared" si="9"/>
        <v>4</v>
      </c>
      <c r="BB45" s="117">
        <f t="shared" si="9"/>
        <v>25</v>
      </c>
      <c r="BC45" s="275">
        <f t="shared" si="9"/>
        <v>3</v>
      </c>
      <c r="BD45" s="298">
        <f t="shared" si="9"/>
        <v>28</v>
      </c>
      <c r="BE45" s="298">
        <f t="shared" si="9"/>
        <v>4</v>
      </c>
      <c r="BF45" s="177">
        <f t="shared" si="9"/>
        <v>28</v>
      </c>
      <c r="BG45" s="177">
        <f t="shared" si="9"/>
        <v>4</v>
      </c>
      <c r="BH45" s="299">
        <f t="shared" si="9"/>
        <v>0</v>
      </c>
      <c r="BI45" s="299">
        <f t="shared" si="9"/>
        <v>0</v>
      </c>
      <c r="BJ45" s="300">
        <f t="shared" si="9"/>
        <v>0</v>
      </c>
      <c r="BK45" s="300">
        <f t="shared" si="9"/>
        <v>0</v>
      </c>
      <c r="BL45" s="301">
        <f t="shared" si="9"/>
        <v>27</v>
      </c>
      <c r="BM45" s="301">
        <f t="shared" si="9"/>
        <v>5</v>
      </c>
    </row>
    <row r="46" spans="1:71 16315:16315" s="126" customFormat="1" x14ac:dyDescent="0.25">
      <c r="A46" s="126" t="s">
        <v>122</v>
      </c>
      <c r="C46" s="8"/>
      <c r="D46" s="157">
        <f t="shared" ref="D46:AI46" si="10">D4+D11+D28</f>
        <v>0</v>
      </c>
      <c r="E46" s="157">
        <f t="shared" si="10"/>
        <v>0</v>
      </c>
      <c r="F46" s="157">
        <f t="shared" si="10"/>
        <v>0</v>
      </c>
      <c r="G46" s="157">
        <f t="shared" si="10"/>
        <v>0</v>
      </c>
      <c r="H46" s="157">
        <f t="shared" si="10"/>
        <v>0</v>
      </c>
      <c r="I46" s="157">
        <f t="shared" si="10"/>
        <v>0</v>
      </c>
      <c r="J46" s="157">
        <f t="shared" si="10"/>
        <v>0</v>
      </c>
      <c r="K46" s="157">
        <f t="shared" si="10"/>
        <v>0</v>
      </c>
      <c r="L46" s="157">
        <f t="shared" si="10"/>
        <v>0</v>
      </c>
      <c r="M46" s="157">
        <f t="shared" si="10"/>
        <v>0</v>
      </c>
      <c r="N46" s="329">
        <f t="shared" si="10"/>
        <v>0</v>
      </c>
      <c r="O46" s="329">
        <f t="shared" si="10"/>
        <v>0</v>
      </c>
      <c r="P46" s="331">
        <f t="shared" si="10"/>
        <v>0</v>
      </c>
      <c r="Q46" s="331">
        <f t="shared" si="10"/>
        <v>0</v>
      </c>
      <c r="R46" s="290">
        <f t="shared" si="10"/>
        <v>0</v>
      </c>
      <c r="S46" s="290">
        <f t="shared" si="10"/>
        <v>0</v>
      </c>
      <c r="T46" s="157">
        <f t="shared" si="10"/>
        <v>0</v>
      </c>
      <c r="U46" s="157">
        <f t="shared" si="10"/>
        <v>0</v>
      </c>
      <c r="V46" s="305">
        <f t="shared" si="10"/>
        <v>0</v>
      </c>
      <c r="W46" s="305">
        <f t="shared" si="10"/>
        <v>0</v>
      </c>
      <c r="X46" s="306">
        <f t="shared" si="10"/>
        <v>0</v>
      </c>
      <c r="Y46" s="306">
        <f t="shared" si="10"/>
        <v>0</v>
      </c>
      <c r="Z46" s="308">
        <f t="shared" si="10"/>
        <v>0</v>
      </c>
      <c r="AA46" s="308">
        <f t="shared" si="10"/>
        <v>0</v>
      </c>
      <c r="AB46" s="309">
        <f t="shared" si="10"/>
        <v>0</v>
      </c>
      <c r="AC46" s="309">
        <f t="shared" si="10"/>
        <v>0</v>
      </c>
      <c r="AD46" s="157">
        <f t="shared" si="10"/>
        <v>0</v>
      </c>
      <c r="AE46" s="269">
        <f t="shared" si="10"/>
        <v>0</v>
      </c>
      <c r="AF46" s="157">
        <f t="shared" si="10"/>
        <v>0</v>
      </c>
      <c r="AG46" s="271">
        <f t="shared" si="10"/>
        <v>0</v>
      </c>
      <c r="AH46" s="157">
        <f t="shared" si="10"/>
        <v>0</v>
      </c>
      <c r="AI46" s="157">
        <f t="shared" si="10"/>
        <v>0</v>
      </c>
      <c r="AJ46" s="297">
        <f t="shared" ref="AJ46:BM46" si="11">AJ4+AJ11+AJ28</f>
        <v>0</v>
      </c>
      <c r="AK46" s="297">
        <f t="shared" si="11"/>
        <v>0</v>
      </c>
      <c r="AL46" s="337">
        <f t="shared" si="11"/>
        <v>0</v>
      </c>
      <c r="AM46" s="337">
        <f t="shared" si="11"/>
        <v>0</v>
      </c>
      <c r="AN46" s="311">
        <f t="shared" si="11"/>
        <v>0</v>
      </c>
      <c r="AO46" s="311">
        <f t="shared" si="11"/>
        <v>0</v>
      </c>
      <c r="AP46" s="337">
        <f t="shared" si="11"/>
        <v>0</v>
      </c>
      <c r="AQ46" s="337">
        <f t="shared" si="11"/>
        <v>0</v>
      </c>
      <c r="AR46" s="312">
        <f t="shared" si="11"/>
        <v>0</v>
      </c>
      <c r="AS46" s="312">
        <f t="shared" si="11"/>
        <v>0</v>
      </c>
      <c r="AT46" s="313">
        <f t="shared" si="11"/>
        <v>0</v>
      </c>
      <c r="AU46" s="313">
        <f t="shared" si="11"/>
        <v>0</v>
      </c>
      <c r="AV46" s="321">
        <f t="shared" si="11"/>
        <v>0</v>
      </c>
      <c r="AW46" s="321">
        <f t="shared" si="11"/>
        <v>0</v>
      </c>
      <c r="AX46" s="322">
        <f t="shared" si="11"/>
        <v>0</v>
      </c>
      <c r="AY46" s="322">
        <f t="shared" si="11"/>
        <v>0</v>
      </c>
      <c r="AZ46" s="157">
        <f t="shared" si="11"/>
        <v>0</v>
      </c>
      <c r="BA46" s="274">
        <f t="shared" si="11"/>
        <v>0</v>
      </c>
      <c r="BB46" s="157">
        <f t="shared" si="11"/>
        <v>0</v>
      </c>
      <c r="BC46" s="275">
        <f t="shared" si="11"/>
        <v>0</v>
      </c>
      <c r="BD46" s="298">
        <f t="shared" si="11"/>
        <v>0</v>
      </c>
      <c r="BE46" s="298">
        <f t="shared" si="11"/>
        <v>0</v>
      </c>
      <c r="BF46" s="177">
        <f t="shared" si="11"/>
        <v>0</v>
      </c>
      <c r="BG46" s="177">
        <f t="shared" si="11"/>
        <v>0</v>
      </c>
      <c r="BH46" s="299">
        <f t="shared" si="11"/>
        <v>0</v>
      </c>
      <c r="BI46" s="299">
        <f t="shared" si="11"/>
        <v>0</v>
      </c>
      <c r="BJ46" s="300">
        <f t="shared" si="11"/>
        <v>0</v>
      </c>
      <c r="BK46" s="300">
        <f t="shared" si="11"/>
        <v>0</v>
      </c>
      <c r="BL46" s="301">
        <f t="shared" si="11"/>
        <v>0</v>
      </c>
      <c r="BM46" s="301">
        <f t="shared" si="11"/>
        <v>0</v>
      </c>
    </row>
    <row r="47" spans="1:71 16315:16315" x14ac:dyDescent="0.25">
      <c r="A47" t="s">
        <v>35</v>
      </c>
      <c r="C47" s="8"/>
      <c r="D47" s="59">
        <f t="shared" ref="D47:AI47" si="12">D7+D14+D31</f>
        <v>0</v>
      </c>
      <c r="E47" s="59">
        <f t="shared" si="12"/>
        <v>0</v>
      </c>
      <c r="F47" s="59">
        <f t="shared" si="12"/>
        <v>0</v>
      </c>
      <c r="G47" s="59">
        <f t="shared" si="12"/>
        <v>0</v>
      </c>
      <c r="H47" s="59">
        <f t="shared" si="12"/>
        <v>1</v>
      </c>
      <c r="I47" s="59">
        <f t="shared" si="12"/>
        <v>0</v>
      </c>
      <c r="J47" s="59">
        <f t="shared" si="12"/>
        <v>1</v>
      </c>
      <c r="K47" s="59">
        <f t="shared" si="12"/>
        <v>0</v>
      </c>
      <c r="L47" s="153">
        <f t="shared" si="12"/>
        <v>1</v>
      </c>
      <c r="M47" s="59">
        <f t="shared" si="12"/>
        <v>0</v>
      </c>
      <c r="N47" s="329">
        <f t="shared" si="12"/>
        <v>1</v>
      </c>
      <c r="O47" s="329">
        <f t="shared" si="12"/>
        <v>0</v>
      </c>
      <c r="P47" s="331">
        <f t="shared" si="12"/>
        <v>1</v>
      </c>
      <c r="Q47" s="331">
        <f t="shared" si="12"/>
        <v>0</v>
      </c>
      <c r="R47" s="290">
        <f t="shared" si="12"/>
        <v>0</v>
      </c>
      <c r="S47" s="290">
        <f t="shared" si="12"/>
        <v>0</v>
      </c>
      <c r="T47" s="59">
        <f t="shared" si="12"/>
        <v>0</v>
      </c>
      <c r="U47" s="59">
        <f t="shared" si="12"/>
        <v>0</v>
      </c>
      <c r="V47" s="305">
        <f t="shared" si="12"/>
        <v>1</v>
      </c>
      <c r="W47" s="305">
        <f t="shared" si="12"/>
        <v>0</v>
      </c>
      <c r="X47" s="306">
        <f t="shared" si="12"/>
        <v>1</v>
      </c>
      <c r="Y47" s="306">
        <f t="shared" si="12"/>
        <v>0</v>
      </c>
      <c r="Z47" s="308">
        <f t="shared" si="12"/>
        <v>1</v>
      </c>
      <c r="AA47" s="308">
        <f t="shared" si="12"/>
        <v>0</v>
      </c>
      <c r="AB47" s="309">
        <f t="shared" si="12"/>
        <v>1</v>
      </c>
      <c r="AC47" s="309">
        <f t="shared" si="12"/>
        <v>0</v>
      </c>
      <c r="AD47" s="59">
        <f t="shared" si="12"/>
        <v>1</v>
      </c>
      <c r="AE47" s="269">
        <f t="shared" si="12"/>
        <v>0</v>
      </c>
      <c r="AF47" s="271">
        <f t="shared" si="12"/>
        <v>0</v>
      </c>
      <c r="AG47" s="271">
        <f t="shared" si="12"/>
        <v>0</v>
      </c>
      <c r="AH47" s="59">
        <f t="shared" si="12"/>
        <v>0</v>
      </c>
      <c r="AI47" s="59">
        <f t="shared" si="12"/>
        <v>0</v>
      </c>
      <c r="AJ47" s="297">
        <f t="shared" ref="AJ47:BM47" si="13">AJ7+AJ14+AJ31</f>
        <v>1</v>
      </c>
      <c r="AK47" s="297">
        <f t="shared" si="13"/>
        <v>0</v>
      </c>
      <c r="AL47" s="337">
        <f t="shared" si="13"/>
        <v>1</v>
      </c>
      <c r="AM47" s="337">
        <f t="shared" si="13"/>
        <v>0</v>
      </c>
      <c r="AN47" s="311">
        <f t="shared" si="13"/>
        <v>1</v>
      </c>
      <c r="AO47" s="311">
        <f t="shared" si="13"/>
        <v>0</v>
      </c>
      <c r="AP47" s="337">
        <f t="shared" si="13"/>
        <v>1</v>
      </c>
      <c r="AQ47" s="337">
        <f t="shared" si="13"/>
        <v>0</v>
      </c>
      <c r="AR47" s="312">
        <f t="shared" si="13"/>
        <v>1</v>
      </c>
      <c r="AS47" s="312">
        <f t="shared" si="13"/>
        <v>0</v>
      </c>
      <c r="AT47" s="313">
        <f t="shared" si="13"/>
        <v>0</v>
      </c>
      <c r="AU47" s="313">
        <f t="shared" si="13"/>
        <v>0</v>
      </c>
      <c r="AV47" s="321">
        <f t="shared" si="13"/>
        <v>0</v>
      </c>
      <c r="AW47" s="321">
        <f t="shared" si="13"/>
        <v>0</v>
      </c>
      <c r="AX47" s="322">
        <f t="shared" si="13"/>
        <v>1</v>
      </c>
      <c r="AY47" s="322">
        <f t="shared" si="13"/>
        <v>0</v>
      </c>
      <c r="AZ47" s="274">
        <f t="shared" si="13"/>
        <v>1</v>
      </c>
      <c r="BA47" s="274">
        <f t="shared" si="13"/>
        <v>0</v>
      </c>
      <c r="BB47" s="275">
        <f t="shared" si="13"/>
        <v>1</v>
      </c>
      <c r="BC47" s="275">
        <f t="shared" si="13"/>
        <v>0</v>
      </c>
      <c r="BD47" s="298">
        <f t="shared" si="13"/>
        <v>1</v>
      </c>
      <c r="BE47" s="298">
        <f t="shared" si="13"/>
        <v>0</v>
      </c>
      <c r="BF47" s="177">
        <f t="shared" si="13"/>
        <v>1</v>
      </c>
      <c r="BG47" s="177">
        <f t="shared" si="13"/>
        <v>0</v>
      </c>
      <c r="BH47" s="299">
        <f t="shared" si="13"/>
        <v>0</v>
      </c>
      <c r="BI47" s="299">
        <f t="shared" si="13"/>
        <v>0</v>
      </c>
      <c r="BJ47" s="300">
        <f t="shared" si="13"/>
        <v>0</v>
      </c>
      <c r="BK47" s="300">
        <f t="shared" si="13"/>
        <v>0</v>
      </c>
      <c r="BL47" s="301">
        <f t="shared" si="13"/>
        <v>1</v>
      </c>
      <c r="BM47" s="301">
        <f t="shared" si="13"/>
        <v>0</v>
      </c>
    </row>
    <row r="48" spans="1:71 16315:16315" s="126" customFormat="1" x14ac:dyDescent="0.25">
      <c r="A48" s="126" t="s">
        <v>162</v>
      </c>
      <c r="C48" s="8"/>
      <c r="D48" s="304"/>
      <c r="E48" s="304"/>
      <c r="F48" s="304"/>
      <c r="G48" s="304"/>
      <c r="H48" s="304">
        <f>H16</f>
        <v>0</v>
      </c>
      <c r="I48" s="304">
        <v>0</v>
      </c>
      <c r="J48" s="304"/>
      <c r="K48" s="304"/>
      <c r="L48" s="304"/>
      <c r="M48" s="304"/>
      <c r="N48" s="304"/>
      <c r="O48" s="304"/>
      <c r="P48" s="304"/>
      <c r="Q48" s="304"/>
      <c r="R48" s="304"/>
      <c r="S48" s="304"/>
      <c r="T48" s="304"/>
      <c r="U48" s="304"/>
      <c r="V48" s="304"/>
      <c r="W48" s="304"/>
      <c r="X48" s="304"/>
      <c r="Y48" s="304"/>
      <c r="Z48" s="304"/>
      <c r="AA48" s="304"/>
      <c r="AB48" s="304"/>
      <c r="AC48" s="304"/>
      <c r="AD48" s="304"/>
      <c r="AE48" s="304"/>
      <c r="AF48" s="304"/>
      <c r="AG48" s="304"/>
      <c r="AH48" s="304"/>
      <c r="AI48" s="304"/>
      <c r="AJ48" s="304"/>
      <c r="AK48" s="304"/>
      <c r="AL48" s="304"/>
      <c r="AM48" s="304"/>
      <c r="AN48" s="304"/>
      <c r="AO48" s="304"/>
      <c r="AP48" s="304"/>
      <c r="AQ48" s="304"/>
      <c r="AR48" s="304"/>
      <c r="AS48" s="304"/>
      <c r="AT48" s="304"/>
      <c r="AU48" s="304"/>
      <c r="AV48" s="304"/>
      <c r="AW48" s="304"/>
      <c r="AX48" s="304"/>
      <c r="AY48" s="304"/>
      <c r="AZ48" s="304"/>
      <c r="BA48" s="304"/>
      <c r="BB48" s="304"/>
      <c r="BC48" s="304"/>
      <c r="BD48" s="304"/>
      <c r="BE48" s="304"/>
      <c r="BF48" s="304"/>
      <c r="BG48" s="304"/>
      <c r="BH48" s="304"/>
      <c r="BI48" s="304"/>
      <c r="BJ48" s="304"/>
      <c r="BK48" s="304"/>
      <c r="BL48" s="304"/>
      <c r="BM48" s="304"/>
    </row>
    <row r="49" spans="1:65" s="126" customFormat="1" x14ac:dyDescent="0.25">
      <c r="A49" s="126" t="s">
        <v>163</v>
      </c>
      <c r="C49" s="8"/>
      <c r="D49" s="304"/>
      <c r="E49" s="304"/>
      <c r="F49" s="304"/>
      <c r="G49" s="304"/>
      <c r="H49" s="304">
        <f>H17</f>
        <v>0</v>
      </c>
      <c r="I49" s="304">
        <f>I17</f>
        <v>0</v>
      </c>
      <c r="J49" s="304"/>
      <c r="K49" s="304"/>
      <c r="L49" s="304"/>
      <c r="M49" s="304"/>
      <c r="N49" s="304"/>
      <c r="O49" s="304"/>
      <c r="P49" s="304"/>
      <c r="Q49" s="304"/>
      <c r="R49" s="304"/>
      <c r="S49" s="304"/>
      <c r="T49" s="304"/>
      <c r="U49" s="304"/>
      <c r="V49" s="304"/>
      <c r="W49" s="304"/>
      <c r="X49" s="304"/>
      <c r="Y49" s="304"/>
      <c r="Z49" s="304"/>
      <c r="AA49" s="304"/>
      <c r="AB49" s="304"/>
      <c r="AC49" s="304"/>
      <c r="AD49" s="304"/>
      <c r="AE49" s="304"/>
      <c r="AF49" s="304"/>
      <c r="AG49" s="304"/>
      <c r="AH49" s="304"/>
      <c r="AI49" s="304"/>
      <c r="AJ49" s="304"/>
      <c r="AK49" s="304"/>
      <c r="AL49" s="304"/>
      <c r="AM49" s="304"/>
      <c r="AN49" s="304"/>
      <c r="AO49" s="304"/>
      <c r="AP49" s="304"/>
      <c r="AQ49" s="304"/>
      <c r="AR49" s="304"/>
      <c r="AS49" s="304"/>
      <c r="AT49" s="304"/>
      <c r="AU49" s="304"/>
      <c r="AV49" s="304"/>
      <c r="AW49" s="304"/>
      <c r="AX49" s="304"/>
      <c r="AY49" s="304"/>
      <c r="AZ49" s="304"/>
      <c r="BA49" s="304"/>
      <c r="BB49" s="304"/>
      <c r="BC49" s="304"/>
      <c r="BD49" s="304"/>
      <c r="BE49" s="304"/>
      <c r="BF49" s="304"/>
      <c r="BG49" s="304"/>
      <c r="BH49" s="304"/>
      <c r="BI49" s="304"/>
      <c r="BJ49" s="304"/>
      <c r="BK49" s="304"/>
      <c r="BL49" s="304"/>
      <c r="BM49" s="304"/>
    </row>
    <row r="50" spans="1:65" s="126" customFormat="1" x14ac:dyDescent="0.25">
      <c r="A50" s="126" t="s">
        <v>158</v>
      </c>
      <c r="C50" s="8"/>
      <c r="D50" s="313">
        <f t="shared" ref="D50:G51" si="14">D18</f>
        <v>3</v>
      </c>
      <c r="E50" s="324">
        <f t="shared" si="14"/>
        <v>1</v>
      </c>
      <c r="F50" s="324">
        <f t="shared" si="14"/>
        <v>3</v>
      </c>
      <c r="G50" s="324">
        <f t="shared" si="14"/>
        <v>1</v>
      </c>
      <c r="H50" s="313"/>
      <c r="I50" s="313"/>
      <c r="J50" s="313"/>
      <c r="K50" s="313"/>
      <c r="L50" s="313"/>
      <c r="M50" s="313"/>
      <c r="N50" s="313"/>
      <c r="O50" s="313"/>
      <c r="P50" s="313"/>
      <c r="Q50" s="313"/>
      <c r="R50" s="313"/>
      <c r="S50" s="313"/>
      <c r="T50" s="313"/>
      <c r="U50" s="313"/>
      <c r="V50" s="313"/>
      <c r="W50" s="313"/>
      <c r="X50" s="313"/>
      <c r="Y50" s="333"/>
      <c r="Z50" s="313"/>
      <c r="AA50" s="313"/>
      <c r="AB50" s="313"/>
      <c r="AC50" s="313"/>
      <c r="AD50" s="313"/>
      <c r="AE50" s="313"/>
      <c r="AF50" s="313"/>
      <c r="AG50" s="313"/>
      <c r="AH50" s="313"/>
      <c r="AI50" s="313"/>
      <c r="AJ50" s="313"/>
      <c r="AK50" s="313"/>
      <c r="AL50" s="313"/>
      <c r="AM50" s="313"/>
      <c r="AN50" s="313"/>
      <c r="AO50" s="313"/>
      <c r="AP50" s="313"/>
      <c r="AQ50" s="313"/>
      <c r="AR50" s="313"/>
      <c r="AS50" s="313"/>
      <c r="AT50" s="313"/>
      <c r="AU50" s="313"/>
      <c r="AV50" s="313"/>
      <c r="AW50" s="313"/>
      <c r="AX50" s="313">
        <f t="shared" ref="AX50:BG50" si="15">AX18</f>
        <v>0</v>
      </c>
      <c r="AY50" s="322">
        <f t="shared" si="15"/>
        <v>0</v>
      </c>
      <c r="AZ50" s="313">
        <f t="shared" si="15"/>
        <v>0</v>
      </c>
      <c r="BA50" s="313">
        <f t="shared" si="15"/>
        <v>0</v>
      </c>
      <c r="BB50" s="313">
        <f t="shared" si="15"/>
        <v>0</v>
      </c>
      <c r="BC50" s="313">
        <f t="shared" si="15"/>
        <v>0</v>
      </c>
      <c r="BD50" s="313">
        <f t="shared" si="15"/>
        <v>0</v>
      </c>
      <c r="BE50" s="313">
        <f t="shared" si="15"/>
        <v>0</v>
      </c>
      <c r="BF50" s="313">
        <f t="shared" si="15"/>
        <v>0</v>
      </c>
      <c r="BG50" s="313">
        <f t="shared" si="15"/>
        <v>0</v>
      </c>
      <c r="BH50" s="313"/>
      <c r="BI50" s="313"/>
      <c r="BJ50" s="313"/>
      <c r="BK50" s="313"/>
      <c r="BL50" s="313"/>
      <c r="BM50" s="313"/>
    </row>
    <row r="51" spans="1:65" s="126" customFormat="1" x14ac:dyDescent="0.25">
      <c r="A51" s="126" t="s">
        <v>157</v>
      </c>
      <c r="C51" s="8"/>
      <c r="D51" s="324">
        <f t="shared" si="14"/>
        <v>2</v>
      </c>
      <c r="E51" s="324">
        <f t="shared" si="14"/>
        <v>0</v>
      </c>
      <c r="F51" s="324">
        <f t="shared" si="14"/>
        <v>2</v>
      </c>
      <c r="G51" s="324">
        <f t="shared" si="14"/>
        <v>0</v>
      </c>
      <c r="H51" s="313"/>
      <c r="I51" s="313"/>
      <c r="J51" s="313"/>
      <c r="K51" s="313"/>
      <c r="L51" s="313"/>
      <c r="M51" s="313"/>
      <c r="N51" s="313"/>
      <c r="O51" s="313"/>
      <c r="P51" s="313"/>
      <c r="Q51" s="313"/>
      <c r="R51" s="313"/>
      <c r="S51" s="313"/>
      <c r="T51" s="313"/>
      <c r="U51" s="313"/>
      <c r="V51" s="313"/>
      <c r="W51" s="313"/>
      <c r="X51" s="333"/>
      <c r="Y51" s="333"/>
      <c r="Z51" s="313"/>
      <c r="AA51" s="313"/>
      <c r="AB51" s="313"/>
      <c r="AC51" s="313"/>
      <c r="AD51" s="313"/>
      <c r="AE51" s="313"/>
      <c r="AF51" s="313"/>
      <c r="AG51" s="313"/>
      <c r="AH51" s="313"/>
      <c r="AI51" s="313"/>
      <c r="AJ51" s="313"/>
      <c r="AK51" s="313"/>
      <c r="AL51" s="313"/>
      <c r="AM51" s="313"/>
      <c r="AN51" s="313"/>
      <c r="AO51" s="313"/>
      <c r="AP51" s="313"/>
      <c r="AQ51" s="313"/>
      <c r="AR51" s="313"/>
      <c r="AS51" s="313"/>
      <c r="AT51" s="313"/>
      <c r="AU51" s="313"/>
      <c r="AV51" s="313"/>
      <c r="AW51" s="313"/>
      <c r="AX51" s="322">
        <f t="shared" ref="AX51:BG51" si="16">AX19</f>
        <v>0</v>
      </c>
      <c r="AY51" s="322">
        <f t="shared" si="16"/>
        <v>0</v>
      </c>
      <c r="AZ51" s="313">
        <f t="shared" si="16"/>
        <v>0</v>
      </c>
      <c r="BA51" s="313">
        <f t="shared" si="16"/>
        <v>0</v>
      </c>
      <c r="BB51" s="313">
        <f t="shared" si="16"/>
        <v>0</v>
      </c>
      <c r="BC51" s="313">
        <f t="shared" si="16"/>
        <v>0</v>
      </c>
      <c r="BD51" s="313">
        <f t="shared" si="16"/>
        <v>0</v>
      </c>
      <c r="BE51" s="313">
        <f t="shared" si="16"/>
        <v>0</v>
      </c>
      <c r="BF51" s="313">
        <f t="shared" si="16"/>
        <v>0</v>
      </c>
      <c r="BG51" s="313">
        <f t="shared" si="16"/>
        <v>0</v>
      </c>
      <c r="BH51" s="313"/>
      <c r="BI51" s="313"/>
      <c r="BJ51" s="313"/>
      <c r="BK51" s="313"/>
      <c r="BL51" s="313"/>
      <c r="BM51" s="313"/>
    </row>
    <row r="52" spans="1:65" s="126" customFormat="1" x14ac:dyDescent="0.25">
      <c r="A52" s="126" t="s">
        <v>186</v>
      </c>
      <c r="C52" s="8"/>
      <c r="D52" s="334"/>
      <c r="E52" s="334"/>
      <c r="F52" s="334"/>
      <c r="G52" s="334"/>
      <c r="H52" s="334"/>
      <c r="I52" s="334"/>
      <c r="J52" s="334"/>
      <c r="K52" s="334"/>
      <c r="L52" s="334"/>
      <c r="M52" s="334"/>
      <c r="N52" s="334"/>
      <c r="O52" s="334"/>
      <c r="P52" s="334"/>
      <c r="Q52" s="334"/>
      <c r="R52" s="334"/>
      <c r="S52" s="334"/>
      <c r="T52" s="334"/>
      <c r="U52" s="334"/>
      <c r="V52" s="334"/>
      <c r="W52" s="334"/>
      <c r="X52" s="334">
        <f t="shared" ref="X52:Y55" si="17">X20</f>
        <v>1</v>
      </c>
      <c r="Y52" s="334">
        <f t="shared" si="17"/>
        <v>0</v>
      </c>
      <c r="Z52" s="334"/>
      <c r="AA52" s="334"/>
      <c r="AB52" s="334"/>
      <c r="AC52" s="334"/>
      <c r="AD52" s="334"/>
      <c r="AE52" s="334"/>
      <c r="AF52" s="334"/>
      <c r="AG52" s="334"/>
      <c r="AH52" s="334"/>
      <c r="AI52" s="334"/>
      <c r="AJ52" s="334"/>
      <c r="AK52" s="334"/>
      <c r="AL52" s="334"/>
      <c r="AM52" s="334"/>
      <c r="AN52" s="334"/>
      <c r="AO52" s="334"/>
      <c r="AP52" s="334"/>
      <c r="AQ52" s="334"/>
      <c r="AR52" s="334"/>
      <c r="AS52" s="334"/>
      <c r="AT52" s="334"/>
      <c r="AU52" s="334"/>
      <c r="AV52" s="334"/>
      <c r="AW52" s="334"/>
      <c r="AX52" s="334"/>
      <c r="AY52" s="334"/>
      <c r="AZ52" s="334"/>
      <c r="BA52" s="334"/>
      <c r="BB52" s="334"/>
      <c r="BC52" s="334"/>
      <c r="BD52" s="334"/>
      <c r="BE52" s="334"/>
      <c r="BF52" s="334"/>
      <c r="BG52" s="334"/>
      <c r="BH52" s="334"/>
      <c r="BI52" s="334"/>
      <c r="BJ52" s="334"/>
      <c r="BK52" s="334"/>
      <c r="BL52" s="334"/>
      <c r="BM52" s="334"/>
    </row>
    <row r="53" spans="1:65" s="126" customFormat="1" x14ac:dyDescent="0.25">
      <c r="A53" s="126" t="s">
        <v>125</v>
      </c>
      <c r="C53" s="8"/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4">
        <f t="shared" si="17"/>
        <v>4</v>
      </c>
      <c r="Y53" s="334">
        <f t="shared" si="17"/>
        <v>0</v>
      </c>
      <c r="Z53" s="333"/>
      <c r="AA53" s="333"/>
      <c r="AB53" s="333"/>
      <c r="AC53" s="333"/>
      <c r="AD53" s="333"/>
      <c r="AE53" s="333"/>
      <c r="AF53" s="333"/>
      <c r="AG53" s="333"/>
      <c r="AH53" s="333"/>
      <c r="AI53" s="333"/>
      <c r="AJ53" s="333"/>
      <c r="AK53" s="333"/>
      <c r="AL53" s="333"/>
      <c r="AM53" s="333"/>
      <c r="AN53" s="333"/>
      <c r="AO53" s="333"/>
      <c r="AP53" s="333"/>
      <c r="AQ53" s="333"/>
      <c r="AR53" s="333"/>
      <c r="AS53" s="333"/>
      <c r="AT53" s="333"/>
      <c r="AU53" s="333"/>
      <c r="AV53" s="333"/>
      <c r="AW53" s="333"/>
      <c r="AX53" s="333"/>
      <c r="AY53" s="333"/>
      <c r="AZ53" s="333"/>
      <c r="BA53" s="333"/>
      <c r="BB53" s="333"/>
      <c r="BC53" s="333"/>
      <c r="BD53" s="333"/>
      <c r="BE53" s="333"/>
      <c r="BF53" s="333"/>
      <c r="BG53" s="333"/>
      <c r="BH53" s="333"/>
      <c r="BI53" s="333"/>
      <c r="BJ53" s="333"/>
      <c r="BK53" s="333"/>
      <c r="BL53" s="333"/>
      <c r="BM53" s="333"/>
    </row>
    <row r="54" spans="1:65" s="126" customFormat="1" x14ac:dyDescent="0.25">
      <c r="A54" s="126" t="s">
        <v>180</v>
      </c>
      <c r="C54" s="8"/>
      <c r="D54" s="333"/>
      <c r="E54" s="333"/>
      <c r="F54" s="333"/>
      <c r="G54" s="333"/>
      <c r="H54" s="333"/>
      <c r="I54" s="333"/>
      <c r="J54" s="333"/>
      <c r="K54" s="333"/>
      <c r="L54" s="333"/>
      <c r="M54" s="333"/>
      <c r="N54" s="333"/>
      <c r="O54" s="333"/>
      <c r="P54" s="333"/>
      <c r="Q54" s="333"/>
      <c r="R54" s="333"/>
      <c r="S54" s="333"/>
      <c r="T54" s="333"/>
      <c r="U54" s="333"/>
      <c r="V54" s="333"/>
      <c r="W54" s="333"/>
      <c r="X54" s="334">
        <f t="shared" si="17"/>
        <v>2</v>
      </c>
      <c r="Y54" s="334">
        <f t="shared" si="17"/>
        <v>4</v>
      </c>
      <c r="Z54" s="333"/>
      <c r="AA54" s="333"/>
      <c r="AB54" s="333"/>
      <c r="AC54" s="333"/>
      <c r="AD54" s="333"/>
      <c r="AE54" s="333"/>
      <c r="AF54" s="333"/>
      <c r="AG54" s="333"/>
      <c r="AH54" s="333"/>
      <c r="AI54" s="333"/>
      <c r="AJ54" s="333"/>
      <c r="AK54" s="333"/>
      <c r="AL54" s="333"/>
      <c r="AM54" s="333"/>
      <c r="AN54" s="333"/>
      <c r="AO54" s="333"/>
      <c r="AP54" s="333"/>
      <c r="AQ54" s="333"/>
      <c r="AR54" s="333"/>
      <c r="AS54" s="333"/>
      <c r="AT54" s="333"/>
      <c r="AU54" s="333"/>
      <c r="AV54" s="333"/>
      <c r="AW54" s="333"/>
      <c r="AX54" s="333"/>
      <c r="AY54" s="333"/>
      <c r="AZ54" s="333"/>
      <c r="BA54" s="333"/>
      <c r="BB54" s="342">
        <f>BB22</f>
        <v>10</v>
      </c>
      <c r="BC54" s="342">
        <f>BC22</f>
        <v>5</v>
      </c>
      <c r="BD54" s="333"/>
      <c r="BE54" s="333"/>
      <c r="BF54" s="333"/>
      <c r="BG54" s="333"/>
      <c r="BH54" s="333"/>
      <c r="BI54" s="333"/>
      <c r="BJ54" s="333"/>
      <c r="BK54" s="333"/>
      <c r="BL54" s="333"/>
      <c r="BM54" s="333"/>
    </row>
    <row r="55" spans="1:65" s="126" customFormat="1" x14ac:dyDescent="0.25">
      <c r="A55" s="126" t="s">
        <v>181</v>
      </c>
      <c r="C55" s="8"/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4">
        <f t="shared" si="17"/>
        <v>10</v>
      </c>
      <c r="Y55" s="334">
        <f t="shared" si="17"/>
        <v>2</v>
      </c>
      <c r="Z55" s="333"/>
      <c r="AA55" s="333"/>
      <c r="AB55" s="333"/>
      <c r="AC55" s="333"/>
      <c r="AD55" s="333"/>
      <c r="AE55" s="333"/>
      <c r="AF55" s="333"/>
      <c r="AG55" s="333"/>
      <c r="AH55" s="333"/>
      <c r="AI55" s="333"/>
      <c r="AJ55" s="333"/>
      <c r="AK55" s="333"/>
      <c r="AL55" s="333"/>
      <c r="AM55" s="333"/>
      <c r="AN55" s="333"/>
      <c r="AO55" s="333"/>
      <c r="AP55" s="333"/>
      <c r="AQ55" s="333"/>
      <c r="AR55" s="333"/>
      <c r="AS55" s="333"/>
      <c r="AT55" s="333"/>
      <c r="AU55" s="333"/>
      <c r="AV55" s="333"/>
      <c r="AW55" s="333"/>
      <c r="AX55" s="333"/>
      <c r="AY55" s="333"/>
      <c r="AZ55" s="333"/>
      <c r="BA55" s="333"/>
      <c r="BB55" s="342">
        <f>BB23</f>
        <v>11</v>
      </c>
      <c r="BC55" s="342">
        <f>BC23</f>
        <v>5</v>
      </c>
      <c r="BD55" s="333"/>
      <c r="BE55" s="333"/>
      <c r="BF55" s="333"/>
      <c r="BG55" s="333"/>
      <c r="BH55" s="333"/>
      <c r="BI55" s="333"/>
      <c r="BJ55" s="333"/>
      <c r="BK55" s="333"/>
      <c r="BL55" s="333"/>
      <c r="BM55" s="333"/>
    </row>
    <row r="56" spans="1:65" s="126" customFormat="1" x14ac:dyDescent="0.25">
      <c r="A56" s="126" t="s">
        <v>192</v>
      </c>
      <c r="C56" s="8"/>
      <c r="D56" s="340"/>
      <c r="E56" s="340"/>
      <c r="F56" s="340"/>
      <c r="G56" s="340"/>
      <c r="H56" s="340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Y56" s="340"/>
      <c r="Z56" s="340"/>
      <c r="AA56" s="340"/>
      <c r="AB56" s="340"/>
      <c r="AC56" s="340"/>
      <c r="AD56" s="340"/>
      <c r="AE56" s="340"/>
      <c r="AF56" s="340"/>
      <c r="AG56" s="340"/>
      <c r="AH56" s="340"/>
      <c r="AI56" s="340"/>
      <c r="AJ56" s="340"/>
      <c r="AK56" s="340"/>
      <c r="AL56" s="340"/>
      <c r="AM56" s="340"/>
      <c r="AN56" s="340"/>
      <c r="AO56" s="340"/>
      <c r="AP56" s="340"/>
      <c r="AQ56" s="340"/>
      <c r="AR56" s="340"/>
      <c r="AS56" s="340"/>
      <c r="AT56" s="340"/>
      <c r="AU56" s="340"/>
      <c r="AV56" s="340"/>
      <c r="AW56" s="340"/>
      <c r="AX56" s="340"/>
      <c r="AY56" s="340"/>
      <c r="AZ56" s="340">
        <f>AZ24</f>
        <v>8</v>
      </c>
      <c r="BA56" s="340">
        <f>BA24</f>
        <v>1</v>
      </c>
      <c r="BB56" s="340"/>
      <c r="BC56" s="340"/>
      <c r="BD56" s="340"/>
      <c r="BE56" s="340"/>
      <c r="BF56" s="340"/>
      <c r="BG56" s="340"/>
      <c r="BH56" s="340"/>
      <c r="BI56" s="340"/>
      <c r="BJ56" s="340"/>
      <c r="BK56" s="340"/>
      <c r="BL56" s="340"/>
      <c r="BM56" s="340"/>
    </row>
    <row r="57" spans="1:65" s="126" customFormat="1" x14ac:dyDescent="0.25">
      <c r="A57" s="126" t="s">
        <v>193</v>
      </c>
      <c r="C57" s="8"/>
      <c r="D57" s="333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  <c r="AA57" s="333"/>
      <c r="AB57" s="333"/>
      <c r="AC57" s="333"/>
      <c r="AD57" s="333"/>
      <c r="AE57" s="333"/>
      <c r="AF57" s="333"/>
      <c r="AG57" s="333"/>
      <c r="AH57" s="333"/>
      <c r="AI57" s="333"/>
      <c r="AJ57" s="333"/>
      <c r="AK57" s="333"/>
      <c r="AL57" s="333"/>
      <c r="AM57" s="333"/>
      <c r="AN57" s="333"/>
      <c r="AO57" s="333"/>
      <c r="AP57" s="333"/>
      <c r="AQ57" s="333"/>
      <c r="AR57" s="333"/>
      <c r="AS57" s="333"/>
      <c r="AT57" s="333"/>
      <c r="AU57" s="333"/>
      <c r="AV57" s="333"/>
      <c r="AW57" s="333"/>
      <c r="AX57" s="333"/>
      <c r="AY57" s="333"/>
      <c r="AZ57" s="340">
        <f>AZ25</f>
        <v>8</v>
      </c>
      <c r="BA57" s="340">
        <f>BA25</f>
        <v>1</v>
      </c>
      <c r="BB57" s="333"/>
      <c r="BC57" s="333"/>
      <c r="BD57" s="333"/>
      <c r="BE57" s="333"/>
      <c r="BF57" s="333"/>
      <c r="BG57" s="333"/>
      <c r="BH57" s="333"/>
      <c r="BI57" s="333"/>
      <c r="BJ57" s="333"/>
      <c r="BK57" s="333"/>
      <c r="BL57" s="333"/>
      <c r="BM57" s="333"/>
    </row>
    <row r="58" spans="1:65" s="126" customFormat="1" x14ac:dyDescent="0.25">
      <c r="C58" s="8"/>
      <c r="D58" s="333"/>
      <c r="E58" s="333"/>
      <c r="F58" s="333"/>
      <c r="G58" s="333"/>
      <c r="H58" s="333"/>
      <c r="I58" s="333"/>
      <c r="J58" s="333"/>
      <c r="K58" s="333"/>
      <c r="L58" s="333"/>
      <c r="M58" s="333"/>
      <c r="N58" s="333"/>
      <c r="O58" s="333"/>
      <c r="P58" s="333"/>
      <c r="Q58" s="333"/>
      <c r="R58" s="333"/>
      <c r="S58" s="333"/>
      <c r="T58" s="333"/>
      <c r="U58" s="333"/>
      <c r="V58" s="333"/>
      <c r="W58" s="333"/>
      <c r="X58" s="333"/>
      <c r="Y58" s="333"/>
      <c r="Z58" s="333"/>
      <c r="AA58" s="333"/>
      <c r="AB58" s="333"/>
      <c r="AC58" s="333"/>
      <c r="AD58" s="333"/>
      <c r="AE58" s="333"/>
      <c r="AF58" s="333"/>
      <c r="AG58" s="333"/>
      <c r="AH58" s="333"/>
      <c r="AI58" s="333"/>
      <c r="AJ58" s="333"/>
      <c r="AK58" s="333"/>
      <c r="AL58" s="333"/>
      <c r="AM58" s="333"/>
      <c r="AN58" s="333"/>
      <c r="AO58" s="333"/>
      <c r="AP58" s="333"/>
      <c r="AQ58" s="333"/>
      <c r="AR58" s="333"/>
      <c r="AS58" s="333"/>
      <c r="AT58" s="333"/>
      <c r="AU58" s="333"/>
      <c r="AV58" s="333"/>
      <c r="AW58" s="333"/>
      <c r="AX58" s="333"/>
      <c r="AY58" s="333"/>
      <c r="AZ58" s="333"/>
      <c r="BA58" s="333"/>
      <c r="BB58" s="333"/>
      <c r="BC58" s="333"/>
      <c r="BD58" s="333"/>
      <c r="BE58" s="333"/>
      <c r="BF58" s="333"/>
      <c r="BG58" s="333"/>
      <c r="BH58" s="333"/>
      <c r="BI58" s="333"/>
      <c r="BJ58" s="333"/>
      <c r="BK58" s="333"/>
      <c r="BL58" s="333"/>
      <c r="BM58" s="333"/>
    </row>
    <row r="59" spans="1:65" x14ac:dyDescent="0.25">
      <c r="A59" s="394" t="s">
        <v>83</v>
      </c>
      <c r="B59" s="394"/>
      <c r="C59" s="8"/>
      <c r="D59" s="152">
        <f>SUM(D42:D51)</f>
        <v>117</v>
      </c>
      <c r="E59" s="250">
        <f>SUM(E42:E51)</f>
        <v>36</v>
      </c>
      <c r="F59" s="250">
        <f>SUM(F42:F51)</f>
        <v>114</v>
      </c>
      <c r="G59" s="250">
        <f>SUM(G42:G51)</f>
        <v>3</v>
      </c>
      <c r="H59" s="250">
        <f>SUM(H42:H49)</f>
        <v>160</v>
      </c>
      <c r="I59" s="250">
        <f>SUM(I42:I49)</f>
        <v>63</v>
      </c>
      <c r="J59" s="250">
        <f t="shared" ref="J59:AI59" si="18">SUM(J42:J47)</f>
        <v>160</v>
      </c>
      <c r="K59" s="250">
        <f t="shared" si="18"/>
        <v>63</v>
      </c>
      <c r="L59" s="250">
        <f t="shared" si="18"/>
        <v>160</v>
      </c>
      <c r="M59" s="250">
        <f t="shared" si="18"/>
        <v>63</v>
      </c>
      <c r="N59" s="250">
        <f t="shared" si="18"/>
        <v>157</v>
      </c>
      <c r="O59" s="250">
        <f t="shared" si="18"/>
        <v>66</v>
      </c>
      <c r="P59" s="250">
        <f t="shared" si="18"/>
        <v>159</v>
      </c>
      <c r="Q59" s="250">
        <f t="shared" si="18"/>
        <v>64</v>
      </c>
      <c r="R59" s="250">
        <f t="shared" si="18"/>
        <v>144</v>
      </c>
      <c r="S59" s="250">
        <f t="shared" si="18"/>
        <v>3</v>
      </c>
      <c r="T59" s="250">
        <f t="shared" si="18"/>
        <v>108</v>
      </c>
      <c r="U59" s="250">
        <f>SUM(U42:U47)</f>
        <v>3</v>
      </c>
      <c r="V59" s="292">
        <f>SUM(V42:V47)</f>
        <v>160</v>
      </c>
      <c r="W59" s="292">
        <f>SUM(W42:W47)</f>
        <v>63</v>
      </c>
      <c r="X59" s="250">
        <f>SUM(X42:X57)</f>
        <v>149</v>
      </c>
      <c r="Y59" s="250">
        <f>SUM(Y42:Y57)</f>
        <v>67</v>
      </c>
      <c r="Z59" s="250">
        <f t="shared" si="18"/>
        <v>158</v>
      </c>
      <c r="AA59" s="250">
        <f t="shared" si="18"/>
        <v>65</v>
      </c>
      <c r="AB59" s="250">
        <f t="shared" si="18"/>
        <v>152</v>
      </c>
      <c r="AC59" s="250">
        <f t="shared" si="18"/>
        <v>71</v>
      </c>
      <c r="AD59" s="250">
        <f t="shared" si="18"/>
        <v>152</v>
      </c>
      <c r="AE59" s="250">
        <f t="shared" si="18"/>
        <v>71</v>
      </c>
      <c r="AF59" s="250">
        <f t="shared" si="18"/>
        <v>144</v>
      </c>
      <c r="AG59" s="250">
        <f t="shared" si="18"/>
        <v>3</v>
      </c>
      <c r="AH59" s="250">
        <f t="shared" si="18"/>
        <v>108</v>
      </c>
      <c r="AI59" s="250">
        <f t="shared" si="18"/>
        <v>3</v>
      </c>
      <c r="AJ59" s="250">
        <f t="shared" ref="AJ59:BK59" si="19">SUM(AJ42:AJ47)</f>
        <v>156</v>
      </c>
      <c r="AK59" s="250">
        <f t="shared" si="19"/>
        <v>67</v>
      </c>
      <c r="AL59" s="250">
        <f t="shared" si="19"/>
        <v>154</v>
      </c>
      <c r="AM59" s="250">
        <f t="shared" si="19"/>
        <v>69</v>
      </c>
      <c r="AN59" s="250">
        <f t="shared" si="19"/>
        <v>152</v>
      </c>
      <c r="AO59" s="250">
        <f t="shared" si="19"/>
        <v>71</v>
      </c>
      <c r="AP59" s="250">
        <f t="shared" si="19"/>
        <v>152</v>
      </c>
      <c r="AQ59" s="250">
        <f t="shared" si="19"/>
        <v>71</v>
      </c>
      <c r="AR59" s="250">
        <f t="shared" si="19"/>
        <v>148</v>
      </c>
      <c r="AS59" s="250">
        <f t="shared" si="19"/>
        <v>75</v>
      </c>
      <c r="AT59" s="250">
        <f t="shared" si="19"/>
        <v>144</v>
      </c>
      <c r="AU59" s="250">
        <f t="shared" si="19"/>
        <v>3</v>
      </c>
      <c r="AV59" s="250">
        <f t="shared" si="19"/>
        <v>108</v>
      </c>
      <c r="AW59" s="250">
        <f t="shared" si="19"/>
        <v>3</v>
      </c>
      <c r="AX59" s="250">
        <f>SUM(AX42:AX51)</f>
        <v>150</v>
      </c>
      <c r="AY59" s="313">
        <f t="shared" ref="AY59:BG59" si="20">SUM(AY42:AY51)</f>
        <v>73</v>
      </c>
      <c r="AZ59" s="313">
        <f>SUM(AZ42:AZ57)</f>
        <v>151</v>
      </c>
      <c r="BA59" s="313">
        <f>SUM(BA42:BA57)</f>
        <v>72</v>
      </c>
      <c r="BB59" s="313">
        <f>SUM(BB42:BB55)</f>
        <v>133</v>
      </c>
      <c r="BC59" s="313">
        <f>SUM(BC42:BC55)</f>
        <v>76</v>
      </c>
      <c r="BD59" s="313">
        <f t="shared" si="20"/>
        <v>150</v>
      </c>
      <c r="BE59" s="313">
        <f t="shared" si="20"/>
        <v>73</v>
      </c>
      <c r="BF59" s="313">
        <f t="shared" si="20"/>
        <v>152</v>
      </c>
      <c r="BG59" s="313">
        <f t="shared" si="20"/>
        <v>71</v>
      </c>
      <c r="BH59" s="250">
        <f t="shared" si="19"/>
        <v>144</v>
      </c>
      <c r="BI59" s="250">
        <f t="shared" si="19"/>
        <v>3</v>
      </c>
      <c r="BJ59" s="250">
        <f t="shared" si="19"/>
        <v>108</v>
      </c>
      <c r="BK59" s="250">
        <f t="shared" si="19"/>
        <v>3</v>
      </c>
      <c r="BL59" s="279">
        <f>SUM(BL42:BL47)</f>
        <v>146</v>
      </c>
      <c r="BM59" s="279">
        <f>SUM(BM42:BM47)</f>
        <v>77</v>
      </c>
    </row>
    <row r="60" spans="1:65" x14ac:dyDescent="0.25">
      <c r="C60" s="8"/>
      <c r="L60" s="126"/>
      <c r="AR60" s="56"/>
      <c r="AS60" s="56"/>
      <c r="AT60" s="56"/>
      <c r="AU60" s="56"/>
      <c r="AV60" s="56"/>
      <c r="AW60" s="56"/>
      <c r="AX60" s="56"/>
      <c r="AY60" s="56"/>
      <c r="AZ60" s="56"/>
      <c r="BB60" s="56"/>
      <c r="BD60" s="56"/>
      <c r="BH60" s="56"/>
      <c r="BI60" s="56"/>
      <c r="BJ60" s="56"/>
      <c r="BK60" s="56"/>
      <c r="BL60" s="56"/>
      <c r="BM60" s="56"/>
    </row>
    <row r="61" spans="1:65" x14ac:dyDescent="0.25">
      <c r="A61" s="58" t="s">
        <v>84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60"/>
      <c r="AS61" s="60"/>
      <c r="AT61" s="60"/>
      <c r="AU61" s="60"/>
      <c r="AV61" s="60"/>
      <c r="AW61" s="60"/>
      <c r="AX61" s="60"/>
      <c r="AY61" s="60"/>
      <c r="AZ61" s="60"/>
      <c r="BA61" s="58"/>
      <c r="BB61" s="60"/>
      <c r="BC61" s="58"/>
      <c r="BD61" s="60"/>
      <c r="BE61" s="58"/>
      <c r="BF61" s="58"/>
      <c r="BG61" s="58"/>
      <c r="BH61" s="60"/>
      <c r="BI61" s="60"/>
      <c r="BJ61" s="60"/>
      <c r="BK61" s="60"/>
      <c r="BL61" s="60"/>
      <c r="BM61" s="60"/>
    </row>
    <row r="62" spans="1:65" x14ac:dyDescent="0.25">
      <c r="A62" t="s">
        <v>79</v>
      </c>
      <c r="C62" s="8"/>
      <c r="D62" s="59">
        <f>D5+E5+D12+E12+D29+E29</f>
        <v>72</v>
      </c>
      <c r="E62" s="59"/>
      <c r="F62" s="59">
        <f>F5+G5+F12+G12+F29+G29</f>
        <v>54</v>
      </c>
      <c r="G62" s="59"/>
      <c r="H62" s="59">
        <f>H5+I5+H12+I12+H29+I29</f>
        <v>79</v>
      </c>
      <c r="I62" s="59"/>
      <c r="J62" s="59">
        <f>J5+K5+J12+K12+J29+K29</f>
        <v>79</v>
      </c>
      <c r="K62" s="59"/>
      <c r="L62" s="153">
        <f>L5+M5+L12+M12+L29+M29</f>
        <v>79</v>
      </c>
      <c r="M62" s="329"/>
      <c r="N62" s="329">
        <f>N5+O5+N12+O12+N29+O29</f>
        <v>79</v>
      </c>
      <c r="O62" s="331"/>
      <c r="P62" s="331">
        <f>P5+Q5+P12+Q12+P29+Q29</f>
        <v>79</v>
      </c>
      <c r="Q62" s="290"/>
      <c r="R62" s="290">
        <f>R5+S5+R12+S12+R29+S29</f>
        <v>72</v>
      </c>
      <c r="S62" s="59"/>
      <c r="T62" s="59">
        <f>T5+U5+T12+U12+T29+U29</f>
        <v>54</v>
      </c>
      <c r="U62" s="305"/>
      <c r="V62" s="305">
        <f>V5+W5+V12+W12+V29+W29</f>
        <v>79</v>
      </c>
      <c r="W62" s="306"/>
      <c r="X62" s="306">
        <f>X5+Y5+X12+Y12+X29+Y29</f>
        <v>68</v>
      </c>
      <c r="Y62" s="308"/>
      <c r="Z62" s="308">
        <f>Z5+AA5+Z12+AA12+Z29+AA29</f>
        <v>79</v>
      </c>
      <c r="AA62" s="309"/>
      <c r="AB62" s="309">
        <f>AB5+AC5+AB12+AC12+AB29+AC29</f>
        <v>79</v>
      </c>
      <c r="AC62" s="59"/>
      <c r="AD62" s="59">
        <f>AD5+AE5+AD12+AE12+AD29+AE29</f>
        <v>79</v>
      </c>
      <c r="AE62" s="59"/>
      <c r="AF62" s="59">
        <f>AF5+AG5+AF12+AG12+AF29+AG29</f>
        <v>72</v>
      </c>
      <c r="AG62" s="59"/>
      <c r="AH62" s="59">
        <f>AH5+AI5+AH12+AI12+AH29+AI29</f>
        <v>54</v>
      </c>
      <c r="AI62" s="297"/>
      <c r="AJ62" s="297">
        <f>AJ5+AK5+AJ12+AK12+AJ29+AK29</f>
        <v>79</v>
      </c>
      <c r="AK62" s="310"/>
      <c r="AL62" s="336">
        <f>AL5+AM5+AL12+AM12+AL29+AM29</f>
        <v>79</v>
      </c>
      <c r="AM62" s="311"/>
      <c r="AN62" s="311">
        <f>AN5+AO5+AN12+AO12+AN29+AO29</f>
        <v>79</v>
      </c>
      <c r="AO62" s="337"/>
      <c r="AP62" s="337">
        <f>AP5+AQ5+AP12+AQ12+AP29+AQ29</f>
        <v>79</v>
      </c>
      <c r="AQ62" s="312"/>
      <c r="AR62" s="312">
        <f>AR5+AS5+AR12+AS12+AR29+AS29</f>
        <v>80</v>
      </c>
      <c r="AS62" s="313"/>
      <c r="AT62" s="313">
        <f>AT5+AU5+AT12+AU12+AT29+AU29</f>
        <v>72</v>
      </c>
      <c r="AU62" s="321"/>
      <c r="AV62" s="321">
        <f>AV5+AW5+AV12+AW12+AV29+AW29</f>
        <v>54</v>
      </c>
      <c r="AW62" s="322"/>
      <c r="AX62" s="322">
        <f>AX5+AY5+AX12+AY12+AX29+AY29</f>
        <v>79</v>
      </c>
      <c r="AY62" s="59"/>
      <c r="AZ62" s="59">
        <f>AZ5+BA5+AZ12+BA12+AZ29+BA29</f>
        <v>70</v>
      </c>
      <c r="BA62" s="59"/>
      <c r="BB62" s="117">
        <f>BB5+BC5+BB12+BC12+BB29+BC29</f>
        <v>61</v>
      </c>
      <c r="BC62" s="298"/>
      <c r="BD62" s="298">
        <f>BD5+BE5+BD12+BE12+BD29+BE29</f>
        <v>79</v>
      </c>
      <c r="BE62" s="117"/>
      <c r="BF62" s="59">
        <f>BF5+BG5+BF12+BG12+BF29+BG29</f>
        <v>79</v>
      </c>
      <c r="BG62" s="299"/>
      <c r="BH62" s="299">
        <f>BH5+BI5+BH12+BI12+BH29+BI29</f>
        <v>72</v>
      </c>
      <c r="BI62" s="300"/>
      <c r="BJ62" s="300">
        <f>BJ5+BK5+BJ12+BK12+BJ29+BK29</f>
        <v>54</v>
      </c>
      <c r="BK62" s="301"/>
      <c r="BL62" s="301">
        <f>BL5+BM5+BL12+BM12+BL29+BM29</f>
        <v>79</v>
      </c>
      <c r="BM62" s="279"/>
    </row>
    <row r="63" spans="1:65" x14ac:dyDescent="0.25">
      <c r="A63" t="s">
        <v>80</v>
      </c>
      <c r="C63" s="8"/>
      <c r="D63" s="59">
        <f>D8+E8+D15+E15+D32+E32</f>
        <v>75</v>
      </c>
      <c r="E63" s="59"/>
      <c r="F63" s="59">
        <f>F8+G8+F15+G15+F32+G32</f>
        <v>57</v>
      </c>
      <c r="G63" s="59"/>
      <c r="H63" s="59">
        <f>H8+I8+H15+I15+H32+I32</f>
        <v>78</v>
      </c>
      <c r="I63" s="59"/>
      <c r="J63" s="59">
        <f>J8+K8+J15+K15+J32+K32</f>
        <v>78</v>
      </c>
      <c r="K63" s="59"/>
      <c r="L63" s="59">
        <f>L8+M8+L15+M15+L32+M32</f>
        <v>78</v>
      </c>
      <c r="M63" s="329"/>
      <c r="N63" s="329">
        <f>N8+O8+N15+O15+N32+O32</f>
        <v>78</v>
      </c>
      <c r="O63" s="331"/>
      <c r="P63" s="331">
        <f>P8+Q8+P15+Q15+P32+Q32</f>
        <v>78</v>
      </c>
      <c r="Q63" s="290"/>
      <c r="R63" s="290">
        <f>R8+S8+R15+S15+R32+S32</f>
        <v>75</v>
      </c>
      <c r="S63" s="59"/>
      <c r="T63" s="59">
        <f>T8+U8+T15+U15+T32+U32</f>
        <v>57</v>
      </c>
      <c r="U63" s="305"/>
      <c r="V63" s="305">
        <f>V8+W8+V15+W15+V32+W32</f>
        <v>78</v>
      </c>
      <c r="W63" s="306"/>
      <c r="X63" s="306">
        <f>X8+Y8+X15+Y15+X32+Y32</f>
        <v>66</v>
      </c>
      <c r="Y63" s="308"/>
      <c r="Z63" s="308">
        <f>Z8+AA8+Z15+AA15+Z32+AA32</f>
        <v>78</v>
      </c>
      <c r="AA63" s="309"/>
      <c r="AB63" s="309">
        <f>AB8+AC8+AB15+AC15+AB32+AC32</f>
        <v>78</v>
      </c>
      <c r="AC63" s="59"/>
      <c r="AD63" s="59">
        <f>AD8+AE8+AD15+AE15+AD32+AE32</f>
        <v>78</v>
      </c>
      <c r="AE63" s="59"/>
      <c r="AF63" s="271">
        <f>AF8+AG8+AF15+AG15+AF32+AG32</f>
        <v>75</v>
      </c>
      <c r="AG63" s="59"/>
      <c r="AH63" s="59">
        <f>AH8+AI8+AH15+AI15+AH32+AI32</f>
        <v>57</v>
      </c>
      <c r="AI63" s="297"/>
      <c r="AJ63" s="297">
        <f>AJ8+AK8+AJ15+AK15+AJ32+AK32</f>
        <v>78</v>
      </c>
      <c r="AK63" s="310"/>
      <c r="AL63" s="336">
        <f>AL8+AM8+AL15+AM15+AL32+AM32</f>
        <v>78</v>
      </c>
      <c r="AM63" s="311"/>
      <c r="AN63" s="311">
        <f>AN8+AO8+AN15+AO15+AN32+AO32</f>
        <v>78</v>
      </c>
      <c r="AO63" s="337"/>
      <c r="AP63" s="337">
        <f>AP8+AQ8+AP15+AQ15+AP32+AQ32</f>
        <v>78</v>
      </c>
      <c r="AQ63" s="312"/>
      <c r="AR63" s="312">
        <f>AR8+AS8+AR15+AS15+AR32+AS32</f>
        <v>78</v>
      </c>
      <c r="AS63" s="313"/>
      <c r="AT63" s="313">
        <f>AT8+AU8+AT15+AU15+AT32+AU32</f>
        <v>75</v>
      </c>
      <c r="AU63" s="321"/>
      <c r="AV63" s="321">
        <f>AV8+AW8+AV15+AW15+AV32+AW32</f>
        <v>57</v>
      </c>
      <c r="AW63" s="322"/>
      <c r="AX63" s="322">
        <f>AX8+AY8+AX15+AY15+AX32+AY32</f>
        <v>78</v>
      </c>
      <c r="AY63" s="59"/>
      <c r="AZ63" s="274">
        <f>AZ8+BA8+AZ15+BA15+AZ32+BA32</f>
        <v>69</v>
      </c>
      <c r="BA63" s="59"/>
      <c r="BB63" s="275">
        <f>BB8+BC8+BB15+BC15+BB32+BC32</f>
        <v>58</v>
      </c>
      <c r="BC63" s="298"/>
      <c r="BD63" s="298">
        <f>BD8+BE8+BD15+BE15+BD32+BE32</f>
        <v>78</v>
      </c>
      <c r="BE63" s="117"/>
      <c r="BF63" s="59">
        <f>BF8+BG8+BF15+BG15+BF32+BG32</f>
        <v>78</v>
      </c>
      <c r="BG63" s="299"/>
      <c r="BH63" s="299">
        <f>BH8+BI8+BH15+BI15+BH32+BI32</f>
        <v>75</v>
      </c>
      <c r="BI63" s="300"/>
      <c r="BJ63" s="300">
        <f>BJ8+BK8+BJ15+BK15+BJ32+BK32</f>
        <v>57</v>
      </c>
      <c r="BK63" s="301"/>
      <c r="BL63" s="301">
        <f>BL8+BM8+BL15+BM15+BL32+BM32</f>
        <v>78</v>
      </c>
      <c r="BM63" s="279"/>
    </row>
    <row r="64" spans="1:65" x14ac:dyDescent="0.25">
      <c r="A64" t="s">
        <v>81</v>
      </c>
      <c r="C64" s="8"/>
      <c r="D64" s="59">
        <f>D3+E3+D10+E10+D27+E27</f>
        <v>0</v>
      </c>
      <c r="E64" s="59"/>
      <c r="F64" s="59">
        <f>F3+G3+F10+G10+F27+G27</f>
        <v>0</v>
      </c>
      <c r="G64" s="59"/>
      <c r="H64" s="59">
        <f>H3+I3+H10+I10+H27+I27</f>
        <v>33</v>
      </c>
      <c r="I64" s="59"/>
      <c r="J64" s="59">
        <f>J3+K3+J10+K10+J27+K27</f>
        <v>33</v>
      </c>
      <c r="K64" s="59"/>
      <c r="L64" s="59">
        <f>L3+M3+L10+M10+L27+M27</f>
        <v>33</v>
      </c>
      <c r="M64" s="329"/>
      <c r="N64" s="329">
        <f>N3+O3+N10+O10+N27+O27</f>
        <v>33</v>
      </c>
      <c r="O64" s="331"/>
      <c r="P64" s="331">
        <f>P3+Q3+P10+Q10+P27+Q27</f>
        <v>33</v>
      </c>
      <c r="Q64" s="290"/>
      <c r="R64" s="290">
        <f>R3+S3+R10+S10+R27+S27</f>
        <v>0</v>
      </c>
      <c r="S64" s="59"/>
      <c r="T64" s="59">
        <f>T3+U3+T10+U10+T27+U27</f>
        <v>0</v>
      </c>
      <c r="U64" s="305"/>
      <c r="V64" s="305">
        <f>V3+W3+V10+W10+V27+W27</f>
        <v>33</v>
      </c>
      <c r="W64" s="306"/>
      <c r="X64" s="306">
        <f>X3+Y3+X10+Y10+X27+Y27</f>
        <v>30</v>
      </c>
      <c r="Y64" s="308"/>
      <c r="Z64" s="308">
        <f>Z3+AA3+Z10+AA10+Z27+AA27</f>
        <v>33</v>
      </c>
      <c r="AA64" s="309"/>
      <c r="AB64" s="309">
        <f>AB3+AC3+AB10+AC10+AB27+AC27</f>
        <v>33</v>
      </c>
      <c r="AC64" s="59"/>
      <c r="AD64" s="59">
        <f>AD3+AE3+AD10+AE10+AD27+AE27</f>
        <v>33</v>
      </c>
      <c r="AE64" s="59"/>
      <c r="AF64" s="59">
        <f>AF3+AG3+AF10+AG10+AF27+AG27</f>
        <v>0</v>
      </c>
      <c r="AG64" s="59"/>
      <c r="AH64" s="59">
        <f>AH3+AI3+AH10+AI10+AH27+AI27</f>
        <v>0</v>
      </c>
      <c r="AI64" s="297"/>
      <c r="AJ64" s="297">
        <f>AJ3+AK3+AJ10+AK10+AJ27+AK27</f>
        <v>33</v>
      </c>
      <c r="AK64" s="310"/>
      <c r="AL64" s="336">
        <f>AL3+AM3+AL10+AM10+AL27+AM27</f>
        <v>33</v>
      </c>
      <c r="AM64" s="311"/>
      <c r="AN64" s="311">
        <f>AN3+AO3+AN10+AO10+AN27+AO27</f>
        <v>33</v>
      </c>
      <c r="AO64" s="337"/>
      <c r="AP64" s="337">
        <f>AP3+AQ3+AP10+AQ10+AP27+AQ27</f>
        <v>33</v>
      </c>
      <c r="AQ64" s="312"/>
      <c r="AR64" s="312">
        <f>AR3+AS3+AR10+AS10+AR27+AS27</f>
        <v>32</v>
      </c>
      <c r="AS64" s="313"/>
      <c r="AT64" s="313">
        <f>AT3+AU3+AT10+AU10+AT27+AU27</f>
        <v>0</v>
      </c>
      <c r="AU64" s="321"/>
      <c r="AV64" s="321">
        <f>AV3+AW3+AV10+AW10+AV27+AW27</f>
        <v>0</v>
      </c>
      <c r="AW64" s="322"/>
      <c r="AX64" s="322">
        <f>AX3+AY3+AX10+AY10+AX27+AY27</f>
        <v>33</v>
      </c>
      <c r="AY64" s="59"/>
      <c r="AZ64" s="59">
        <f>AZ3+BA3+AZ10+BA10+AZ27+BA27</f>
        <v>33</v>
      </c>
      <c r="BA64" s="59"/>
      <c r="BB64" s="117">
        <f>BB3+BC3+BB10+BC10+BB27+BC27</f>
        <v>30</v>
      </c>
      <c r="BC64" s="298"/>
      <c r="BD64" s="298">
        <f>BD3+BE3+BD10+BE10+BD27+BE27</f>
        <v>33</v>
      </c>
      <c r="BE64" s="117"/>
      <c r="BF64" s="59">
        <f>BF3+BG3+BF10+BG10+BF27+BG27</f>
        <v>33</v>
      </c>
      <c r="BG64" s="299"/>
      <c r="BH64" s="299">
        <f>BH3+BI3+BH10+BI10+BH27+BI27</f>
        <v>0</v>
      </c>
      <c r="BI64" s="300"/>
      <c r="BJ64" s="300">
        <f>BJ3+BK3+BJ10+BK10+BJ27+BK27</f>
        <v>0</v>
      </c>
      <c r="BK64" s="301"/>
      <c r="BL64" s="301">
        <f>BL3+BM3+BL10+BM10+BL27+BM27</f>
        <v>33</v>
      </c>
      <c r="BM64" s="279"/>
    </row>
    <row r="65" spans="1:65" x14ac:dyDescent="0.25">
      <c r="A65" t="s">
        <v>82</v>
      </c>
      <c r="C65" s="8"/>
      <c r="D65" s="59">
        <f>D6+E6+D13+E13+D30+E30</f>
        <v>0</v>
      </c>
      <c r="E65" s="59"/>
      <c r="F65" s="59">
        <f>F6+G6+F13+G13+F30+G30</f>
        <v>0</v>
      </c>
      <c r="G65" s="59"/>
      <c r="H65" s="59">
        <f>H6+I6+H13+I13+H30+I30</f>
        <v>32</v>
      </c>
      <c r="I65" s="59"/>
      <c r="J65" s="59">
        <f>J6+K6+J13+K13+J30+K30</f>
        <v>32</v>
      </c>
      <c r="K65" s="59"/>
      <c r="L65" s="59">
        <f>L6+M6+L13+M13+L30+M30</f>
        <v>32</v>
      </c>
      <c r="M65" s="329"/>
      <c r="N65" s="329">
        <f>N6+O6+N13+O13+N30+O30</f>
        <v>32</v>
      </c>
      <c r="O65" s="331"/>
      <c r="P65" s="331">
        <f>P6+Q6+P13+Q13+P30+Q30</f>
        <v>32</v>
      </c>
      <c r="Q65" s="290"/>
      <c r="R65" s="290">
        <f>R6+S6+R13+S13+R30+S30</f>
        <v>0</v>
      </c>
      <c r="S65" s="59"/>
      <c r="T65" s="59">
        <f>T6+U6+T13+U13+T30+U30</f>
        <v>0</v>
      </c>
      <c r="U65" s="305"/>
      <c r="V65" s="305">
        <f>V6+W6+V13+W13+V30+W30</f>
        <v>32</v>
      </c>
      <c r="W65" s="306"/>
      <c r="X65" s="306">
        <f>X6+Y6+X13+Y13+X30+Y30</f>
        <v>28</v>
      </c>
      <c r="Y65" s="308"/>
      <c r="Z65" s="308">
        <f>Z6+AA6+Z13+AA13+Z30+AA30</f>
        <v>32</v>
      </c>
      <c r="AA65" s="309"/>
      <c r="AB65" s="309">
        <f>AB6+AC6+AB13+AC13+AB30+AC30</f>
        <v>32</v>
      </c>
      <c r="AC65" s="59"/>
      <c r="AD65" s="59">
        <f>AD6+AE6+AD13+AE13+AD30+AE30</f>
        <v>32</v>
      </c>
      <c r="AE65" s="59"/>
      <c r="AF65" s="59">
        <f>AF6+AG6+AF13+AG13+AF30+AG30</f>
        <v>0</v>
      </c>
      <c r="AG65" s="59"/>
      <c r="AH65" s="59">
        <f>AH6+AI6+AH13+AI13+AH30+AI30</f>
        <v>0</v>
      </c>
      <c r="AI65" s="297"/>
      <c r="AJ65" s="297">
        <f>AJ6+AK6+AJ13+AK13+AJ30+AK30</f>
        <v>32</v>
      </c>
      <c r="AK65" s="310"/>
      <c r="AL65" s="336">
        <f>AL6+AM6+AL13+AM13+AL30+AM30</f>
        <v>32</v>
      </c>
      <c r="AM65" s="311"/>
      <c r="AN65" s="311">
        <f>AN6+AO6+AN13+AO13+AN30+AO30</f>
        <v>32</v>
      </c>
      <c r="AO65" s="337"/>
      <c r="AP65" s="337">
        <f>AP6+AQ6+AP13+AQ13+AP30+AQ30</f>
        <v>32</v>
      </c>
      <c r="AQ65" s="312"/>
      <c r="AR65" s="312">
        <f>AR6+AS6+AR13+AS13+AR30+AS30</f>
        <v>32</v>
      </c>
      <c r="AS65" s="313"/>
      <c r="AT65" s="313">
        <f>AT6+AU6+AT13+AU13+AT30+AU30</f>
        <v>0</v>
      </c>
      <c r="AU65" s="321"/>
      <c r="AV65" s="321">
        <f>AV6+AW6+AV13+AW13+AV30+AW30</f>
        <v>0</v>
      </c>
      <c r="AW65" s="322"/>
      <c r="AX65" s="322">
        <f>AX6+AY6+AX13+AY13+AX30+AY30</f>
        <v>32</v>
      </c>
      <c r="AY65" s="59"/>
      <c r="AZ65" s="59">
        <f>AZ6+BA6+AZ13+BA13+AZ30+BA30</f>
        <v>32</v>
      </c>
      <c r="BA65" s="59"/>
      <c r="BB65" s="117">
        <f>BB6+BC6+BB13+BC13+BB30+BC30</f>
        <v>28</v>
      </c>
      <c r="BC65" s="298"/>
      <c r="BD65" s="298">
        <f>BD6+BE6+BD13+BE13+BD30+BE30</f>
        <v>32</v>
      </c>
      <c r="BE65" s="117"/>
      <c r="BF65" s="59">
        <f>BF6+BG6+BF13+BG13+BF30+BG30</f>
        <v>32</v>
      </c>
      <c r="BG65" s="299"/>
      <c r="BH65" s="299">
        <f>BH6+BI6+BH13+BI13+BH30+BI30</f>
        <v>0</v>
      </c>
      <c r="BI65" s="300"/>
      <c r="BJ65" s="300">
        <f>BJ6+BK6+BJ13+BK13+BJ30+BK30</f>
        <v>0</v>
      </c>
      <c r="BK65" s="301"/>
      <c r="BL65" s="301">
        <f>BL6+BM6+BL13+BM13+BL30+BM30</f>
        <v>32</v>
      </c>
      <c r="BM65" s="279"/>
    </row>
    <row r="66" spans="1:65" s="126" customFormat="1" x14ac:dyDescent="0.25">
      <c r="A66" s="126" t="s">
        <v>122</v>
      </c>
      <c r="C66" s="8"/>
      <c r="D66" s="157">
        <f>D4+E4+D11+E11+D28+E28</f>
        <v>0</v>
      </c>
      <c r="E66" s="157"/>
      <c r="F66" s="157">
        <f>F4+G4+F11+G11+F28+G28</f>
        <v>0</v>
      </c>
      <c r="G66" s="157"/>
      <c r="H66" s="157">
        <f>H4+I4+H11+I11+H28+I28</f>
        <v>0</v>
      </c>
      <c r="I66" s="157"/>
      <c r="J66" s="157">
        <f>J4+K4+J11+K11+J28+K28</f>
        <v>0</v>
      </c>
      <c r="K66" s="157"/>
      <c r="L66" s="157">
        <f>L4+M4+L11+M11+L28+M28</f>
        <v>0</v>
      </c>
      <c r="M66" s="329"/>
      <c r="N66" s="329">
        <f>N4+O4+N11+O11+N28+O28</f>
        <v>0</v>
      </c>
      <c r="O66" s="331"/>
      <c r="P66" s="331">
        <f>P4+Q4+P11+Q11+P28+Q28</f>
        <v>0</v>
      </c>
      <c r="Q66" s="290"/>
      <c r="R66" s="290">
        <f>R4+S4+R11+S11+R28+S28</f>
        <v>0</v>
      </c>
      <c r="S66" s="157"/>
      <c r="T66" s="157">
        <f>T4+U4+T11+U11+T28+U28</f>
        <v>0</v>
      </c>
      <c r="U66" s="305"/>
      <c r="V66" s="305">
        <f>V4+W4+V11+W11+V28+W28</f>
        <v>0</v>
      </c>
      <c r="W66" s="306"/>
      <c r="X66" s="306">
        <f>X4+Y4+X11+Y11+X28+Y28</f>
        <v>0</v>
      </c>
      <c r="Y66" s="308"/>
      <c r="Z66" s="308">
        <f>Z4+AA4+Z11+AA11+Z28+AA28</f>
        <v>0</v>
      </c>
      <c r="AA66" s="309"/>
      <c r="AB66" s="309">
        <f>AB4+AC4+AB11+AC11+AB28+AC28</f>
        <v>0</v>
      </c>
      <c r="AC66" s="157"/>
      <c r="AD66" s="157">
        <f>AD4+AE4+AD11+AE11+AD28+AE28</f>
        <v>0</v>
      </c>
      <c r="AE66" s="157"/>
      <c r="AF66" s="157">
        <f>AF4+AG4+AF11+AG11+AF28+AG28</f>
        <v>0</v>
      </c>
      <c r="AG66" s="157"/>
      <c r="AH66" s="157">
        <f>AH4+AI4+AH11+AI11+AH28+AI28</f>
        <v>0</v>
      </c>
      <c r="AI66" s="297"/>
      <c r="AJ66" s="297">
        <f>AJ4+AK4+AJ11+AK11+AJ28+AK28</f>
        <v>0</v>
      </c>
      <c r="AK66" s="310"/>
      <c r="AL66" s="336">
        <f>AL4+AM4+AL11+AM11+AL28+AM28</f>
        <v>0</v>
      </c>
      <c r="AM66" s="311"/>
      <c r="AN66" s="311">
        <f>AN4+AO4+AN11+AO11+AN28+AO28</f>
        <v>0</v>
      </c>
      <c r="AO66" s="337"/>
      <c r="AP66" s="337">
        <f>AP4+AQ4+AP11+AQ11+AP28+AQ28</f>
        <v>0</v>
      </c>
      <c r="AQ66" s="312"/>
      <c r="AR66" s="312">
        <f>AR4+AS4+AR11+AS11+AR28+AS28</f>
        <v>0</v>
      </c>
      <c r="AS66" s="313"/>
      <c r="AT66" s="313">
        <f>AT4+AU4+AT11+AU11+AT28+AU28</f>
        <v>0</v>
      </c>
      <c r="AU66" s="321"/>
      <c r="AV66" s="321">
        <f>AV4+AW4+AV11+AW11+AV28+AW28</f>
        <v>0</v>
      </c>
      <c r="AW66" s="322"/>
      <c r="AX66" s="322">
        <f>AX4+AY4+AX11+AY11+AX28+AY28</f>
        <v>0</v>
      </c>
      <c r="AY66" s="157"/>
      <c r="AZ66" s="157">
        <f>AZ4+BA4+AZ11+BA11+AZ28+BA28</f>
        <v>0</v>
      </c>
      <c r="BA66" s="157"/>
      <c r="BB66" s="157">
        <f>BB4+BC4+BB11+BC11+BB28+BC28</f>
        <v>0</v>
      </c>
      <c r="BC66" s="298"/>
      <c r="BD66" s="298">
        <f>BD4+BE4+BD11+BE11+BD28+BE28</f>
        <v>0</v>
      </c>
      <c r="BE66" s="157"/>
      <c r="BF66" s="157">
        <f>BF4+BG4+BF11+BG11+BF28+BG28</f>
        <v>0</v>
      </c>
      <c r="BG66" s="299"/>
      <c r="BH66" s="299">
        <f>BH4+BI4+BH11+BI11+BH28+BI28</f>
        <v>0</v>
      </c>
      <c r="BI66" s="300"/>
      <c r="BJ66" s="300">
        <f>BJ4+BK4+BJ11+BK11+BJ28+BK28</f>
        <v>0</v>
      </c>
      <c r="BK66" s="301"/>
      <c r="BL66" s="301">
        <f>BL4+BM4+BL11+BM11+BL28+BM28</f>
        <v>0</v>
      </c>
      <c r="BM66" s="279"/>
    </row>
    <row r="67" spans="1:65" x14ac:dyDescent="0.25">
      <c r="A67" t="s">
        <v>35</v>
      </c>
      <c r="C67" s="8"/>
      <c r="D67" s="59">
        <f>D7+E7+D14+E14+D31+E31</f>
        <v>0</v>
      </c>
      <c r="E67" s="59"/>
      <c r="F67" s="59">
        <f>F7+G7+F14+G14+F31+G31</f>
        <v>0</v>
      </c>
      <c r="G67" s="59"/>
      <c r="H67" s="59">
        <f>H7+I7+H14+I14+H31+I31</f>
        <v>1</v>
      </c>
      <c r="I67" s="59"/>
      <c r="J67" s="59">
        <f>J7+K7+J14+K14+J31+K31</f>
        <v>1</v>
      </c>
      <c r="K67" s="59"/>
      <c r="L67" s="59">
        <f>L7+M7+L14+M14+L31+M31</f>
        <v>1</v>
      </c>
      <c r="M67" s="329"/>
      <c r="N67" s="329">
        <f>N7+O7+N14+O14+N31+O31</f>
        <v>1</v>
      </c>
      <c r="O67" s="331"/>
      <c r="P67" s="331">
        <f>P7+Q7+P14+Q14+P31+Q31</f>
        <v>1</v>
      </c>
      <c r="Q67" s="290"/>
      <c r="R67" s="290">
        <f>R7+S7+R14+S14+R31+S31</f>
        <v>0</v>
      </c>
      <c r="S67" s="59"/>
      <c r="T67" s="59">
        <f>T7+U7+T14+U14+T31+U31</f>
        <v>0</v>
      </c>
      <c r="U67" s="305"/>
      <c r="V67" s="305">
        <f>V7+W7+V14+W14+V31+W31</f>
        <v>1</v>
      </c>
      <c r="W67" s="306"/>
      <c r="X67" s="306">
        <f>X7+Y7+X14+Y14+X31+Y31</f>
        <v>1</v>
      </c>
      <c r="Y67" s="308"/>
      <c r="Z67" s="308">
        <f>Z7+AA7+Z14+AA14+Z31+AA31</f>
        <v>1</v>
      </c>
      <c r="AA67" s="309"/>
      <c r="AB67" s="309">
        <f>AB7+AC7+AB14+AC14+AB31+AC31</f>
        <v>1</v>
      </c>
      <c r="AC67" s="59"/>
      <c r="AD67" s="59">
        <f>AD7+AE7+AD14+AE14+AD31+AE31</f>
        <v>1</v>
      </c>
      <c r="AE67" s="59"/>
      <c r="AF67" s="271">
        <f>AF7+AG7+AF14+AG14+AF31+AG31</f>
        <v>0</v>
      </c>
      <c r="AG67" s="59"/>
      <c r="AH67" s="59">
        <f>AH7+AI7+AH14+AI14+AH31+AI31</f>
        <v>0</v>
      </c>
      <c r="AI67" s="297"/>
      <c r="AJ67" s="297">
        <f>AJ7+AK7+AJ14+AK14+AJ31+AK31</f>
        <v>1</v>
      </c>
      <c r="AK67" s="310"/>
      <c r="AL67" s="336">
        <f>AL7+AM7+AL14+AM14+AL31+AM31</f>
        <v>1</v>
      </c>
      <c r="AM67" s="311"/>
      <c r="AN67" s="311">
        <f>AN7+AO7+AN14+AO14+AN31+AO31</f>
        <v>1</v>
      </c>
      <c r="AO67" s="337"/>
      <c r="AP67" s="337">
        <f>AP7+AQ7+AP14+AQ14+AP31+AQ31</f>
        <v>1</v>
      </c>
      <c r="AQ67" s="312"/>
      <c r="AR67" s="312">
        <f>AR7+AS7+AR14+AS14+AR31+AS31</f>
        <v>1</v>
      </c>
      <c r="AS67" s="313"/>
      <c r="AT67" s="313">
        <f>AT7+AU7+AT14+AU14+AT31+AU31</f>
        <v>0</v>
      </c>
      <c r="AU67" s="321"/>
      <c r="AV67" s="321">
        <f>AV7+AW7+AV14+AW14+AV31+AW31</f>
        <v>0</v>
      </c>
      <c r="AW67" s="322"/>
      <c r="AX67" s="322">
        <f>AX7+AY7+AX14+AY14+AX31+AY31</f>
        <v>1</v>
      </c>
      <c r="AY67" s="59"/>
      <c r="AZ67" s="274">
        <f>AZ7+BA7+AZ14+BA14+AZ31+BA31</f>
        <v>1</v>
      </c>
      <c r="BA67" s="59"/>
      <c r="BB67" s="275">
        <f>BB7+BC7+BB14+BC14+BB31+BC31</f>
        <v>1</v>
      </c>
      <c r="BC67" s="298"/>
      <c r="BD67" s="298">
        <f>BD7+BE7+BD14+BE14+BD31+BE31</f>
        <v>1</v>
      </c>
      <c r="BE67" s="117"/>
      <c r="BF67" s="59">
        <f>BF7+BG7+BF14+BG14+BF31+BG31</f>
        <v>1</v>
      </c>
      <c r="BG67" s="299"/>
      <c r="BH67" s="299">
        <f>BH7+BI7+BH14+BI14+BH31+BI31</f>
        <v>0</v>
      </c>
      <c r="BI67" s="300"/>
      <c r="BJ67" s="300">
        <f>BJ7+BK7+BJ14+BK14+BJ31+BK31</f>
        <v>0</v>
      </c>
      <c r="BK67" s="301"/>
      <c r="BL67" s="301">
        <f>BL7+BM7+BL14+BM14+BL31+BM31</f>
        <v>1</v>
      </c>
      <c r="BM67" s="279"/>
    </row>
    <row r="68" spans="1:65" s="126" customFormat="1" x14ac:dyDescent="0.25">
      <c r="A68" s="126" t="s">
        <v>162</v>
      </c>
      <c r="C68" s="8"/>
      <c r="D68" s="304"/>
      <c r="E68" s="304"/>
      <c r="F68" s="304"/>
      <c r="G68" s="304"/>
      <c r="H68" s="304">
        <f>H16+I16</f>
        <v>0</v>
      </c>
      <c r="I68" s="304"/>
      <c r="J68" s="304"/>
      <c r="K68" s="304"/>
      <c r="L68" s="304"/>
      <c r="M68" s="304"/>
      <c r="N68" s="304"/>
      <c r="O68" s="331"/>
      <c r="P68" s="331"/>
      <c r="Q68" s="304"/>
      <c r="R68" s="304"/>
      <c r="S68" s="304"/>
      <c r="T68" s="304"/>
      <c r="U68" s="304"/>
      <c r="V68" s="304"/>
      <c r="W68" s="304"/>
      <c r="X68" s="304"/>
      <c r="Y68" s="304"/>
      <c r="Z68" s="304"/>
      <c r="AA68" s="304"/>
      <c r="AB68" s="304"/>
      <c r="AC68" s="304"/>
      <c r="AD68" s="304"/>
      <c r="AE68" s="304"/>
      <c r="AF68" s="304"/>
      <c r="AG68" s="304"/>
      <c r="AH68" s="304"/>
      <c r="AI68" s="304"/>
      <c r="AJ68" s="304"/>
      <c r="AK68" s="304"/>
      <c r="AL68" s="304"/>
      <c r="AM68" s="304"/>
      <c r="AN68" s="304"/>
      <c r="AO68" s="304"/>
      <c r="AP68" s="304"/>
      <c r="AQ68" s="304"/>
      <c r="AR68" s="304"/>
      <c r="AS68" s="304"/>
      <c r="AT68" s="304"/>
      <c r="AU68" s="304"/>
      <c r="AV68" s="304"/>
      <c r="AW68" s="304"/>
      <c r="AX68" s="304"/>
      <c r="AY68" s="304"/>
      <c r="AZ68" s="304"/>
      <c r="BA68" s="304"/>
      <c r="BB68" s="304"/>
      <c r="BC68" s="304"/>
      <c r="BD68" s="304"/>
      <c r="BE68" s="304"/>
      <c r="BF68" s="304"/>
      <c r="BG68" s="304"/>
      <c r="BH68" s="304"/>
      <c r="BI68" s="304"/>
      <c r="BJ68" s="304"/>
      <c r="BK68" s="304"/>
      <c r="BL68" s="304"/>
      <c r="BM68" s="304"/>
    </row>
    <row r="69" spans="1:65" s="126" customFormat="1" x14ac:dyDescent="0.25">
      <c r="A69" s="126" t="s">
        <v>163</v>
      </c>
      <c r="C69" s="8"/>
      <c r="D69" s="304"/>
      <c r="E69" s="304"/>
      <c r="F69" s="304"/>
      <c r="G69" s="304"/>
      <c r="H69" s="304">
        <f>H17+I17</f>
        <v>0</v>
      </c>
      <c r="I69" s="304"/>
      <c r="J69" s="304"/>
      <c r="K69" s="304"/>
      <c r="L69" s="304"/>
      <c r="M69" s="304"/>
      <c r="N69" s="304"/>
      <c r="O69" s="331"/>
      <c r="P69" s="331"/>
      <c r="Q69" s="304"/>
      <c r="R69" s="304"/>
      <c r="S69" s="304"/>
      <c r="T69" s="304"/>
      <c r="U69" s="304"/>
      <c r="V69" s="304"/>
      <c r="W69" s="304"/>
      <c r="X69" s="304"/>
      <c r="Y69" s="304"/>
      <c r="Z69" s="304"/>
      <c r="AA69" s="304"/>
      <c r="AB69" s="304"/>
      <c r="AC69" s="304"/>
      <c r="AD69" s="304"/>
      <c r="AE69" s="304"/>
      <c r="AF69" s="304"/>
      <c r="AG69" s="304"/>
      <c r="AH69" s="304"/>
      <c r="AI69" s="304"/>
      <c r="AJ69" s="304"/>
      <c r="AK69" s="304"/>
      <c r="AL69" s="304"/>
      <c r="AM69" s="304"/>
      <c r="AN69" s="304"/>
      <c r="AO69" s="304"/>
      <c r="AP69" s="304"/>
      <c r="AQ69" s="304"/>
      <c r="AR69" s="304"/>
      <c r="AS69" s="304"/>
      <c r="AT69" s="304"/>
      <c r="AU69" s="304"/>
      <c r="AV69" s="304"/>
      <c r="AW69" s="304"/>
      <c r="AX69" s="304"/>
      <c r="AY69" s="304"/>
      <c r="AZ69" s="304"/>
      <c r="BA69" s="304"/>
      <c r="BB69" s="304"/>
      <c r="BC69" s="304"/>
      <c r="BD69" s="304"/>
      <c r="BE69" s="304"/>
      <c r="BF69" s="304"/>
      <c r="BG69" s="304"/>
      <c r="BH69" s="304"/>
      <c r="BI69" s="304"/>
      <c r="BJ69" s="304"/>
      <c r="BK69" s="304"/>
      <c r="BL69" s="304"/>
      <c r="BM69" s="304"/>
    </row>
    <row r="70" spans="1:65" s="126" customFormat="1" x14ac:dyDescent="0.25">
      <c r="A70" s="126" t="s">
        <v>158</v>
      </c>
      <c r="C70" s="8"/>
      <c r="D70" s="313">
        <f>D18+E18</f>
        <v>4</v>
      </c>
      <c r="E70" s="324"/>
      <c r="F70" s="324">
        <f>F18+G18</f>
        <v>4</v>
      </c>
      <c r="G70" s="313"/>
      <c r="H70" s="313"/>
      <c r="I70" s="313"/>
      <c r="J70" s="313"/>
      <c r="K70" s="313"/>
      <c r="L70" s="313"/>
      <c r="M70" s="313"/>
      <c r="N70" s="313"/>
      <c r="O70" s="331"/>
      <c r="P70" s="331"/>
      <c r="Q70" s="313"/>
      <c r="R70" s="313"/>
      <c r="S70" s="313"/>
      <c r="T70" s="313"/>
      <c r="U70" s="313"/>
      <c r="V70" s="313"/>
      <c r="W70" s="313"/>
      <c r="X70" s="313"/>
      <c r="Y70" s="313"/>
      <c r="Z70" s="313"/>
      <c r="AA70" s="313"/>
      <c r="AB70" s="313"/>
      <c r="AC70" s="313"/>
      <c r="AD70" s="313"/>
      <c r="AE70" s="313"/>
      <c r="AF70" s="313"/>
      <c r="AG70" s="313"/>
      <c r="AH70" s="313"/>
      <c r="AI70" s="313"/>
      <c r="AJ70" s="313"/>
      <c r="AK70" s="313"/>
      <c r="AL70" s="313"/>
      <c r="AM70" s="313"/>
      <c r="AN70" s="313"/>
      <c r="AO70" s="313"/>
      <c r="AP70" s="313"/>
      <c r="AQ70" s="313"/>
      <c r="AR70" s="313"/>
      <c r="AS70" s="313"/>
      <c r="AT70" s="313"/>
      <c r="AU70" s="313"/>
      <c r="AV70" s="313"/>
      <c r="AW70" s="313"/>
      <c r="AX70" s="313">
        <f>AX18+AY18</f>
        <v>0</v>
      </c>
      <c r="AY70" s="313"/>
      <c r="AZ70" s="313">
        <f>AZ18+BA18</f>
        <v>0</v>
      </c>
      <c r="BA70" s="313"/>
      <c r="BB70" s="313">
        <f>BB18+BC18</f>
        <v>0</v>
      </c>
      <c r="BC70" s="313"/>
      <c r="BD70" s="313">
        <f>BD18+BE18</f>
        <v>0</v>
      </c>
      <c r="BE70" s="313"/>
      <c r="BF70" s="313">
        <f>BF18+BG18</f>
        <v>0</v>
      </c>
      <c r="BG70" s="313"/>
      <c r="BH70" s="313"/>
      <c r="BI70" s="313"/>
      <c r="BJ70" s="313"/>
      <c r="BK70" s="313"/>
      <c r="BL70" s="313"/>
      <c r="BM70" s="313"/>
    </row>
    <row r="71" spans="1:65" s="126" customFormat="1" x14ac:dyDescent="0.25">
      <c r="A71" s="126" t="s">
        <v>157</v>
      </c>
      <c r="C71" s="8"/>
      <c r="D71" s="324">
        <f>D19+E19</f>
        <v>2</v>
      </c>
      <c r="E71" s="324"/>
      <c r="F71" s="324">
        <f>F19+G19</f>
        <v>2</v>
      </c>
      <c r="G71" s="313"/>
      <c r="H71" s="313"/>
      <c r="I71" s="313"/>
      <c r="J71" s="313"/>
      <c r="K71" s="313"/>
      <c r="L71" s="313"/>
      <c r="M71" s="313"/>
      <c r="N71" s="313"/>
      <c r="O71" s="331"/>
      <c r="P71" s="331"/>
      <c r="Q71" s="313"/>
      <c r="R71" s="313"/>
      <c r="S71" s="313"/>
      <c r="T71" s="313"/>
      <c r="U71" s="313"/>
      <c r="V71" s="313"/>
      <c r="W71" s="313"/>
      <c r="X71" s="313"/>
      <c r="Y71" s="313"/>
      <c r="Z71" s="313"/>
      <c r="AA71" s="313"/>
      <c r="AB71" s="313"/>
      <c r="AC71" s="313"/>
      <c r="AD71" s="313"/>
      <c r="AE71" s="313"/>
      <c r="AF71" s="313"/>
      <c r="AG71" s="313"/>
      <c r="AH71" s="313"/>
      <c r="AI71" s="313"/>
      <c r="AJ71" s="313"/>
      <c r="AK71" s="313"/>
      <c r="AL71" s="313"/>
      <c r="AM71" s="313"/>
      <c r="AN71" s="313"/>
      <c r="AO71" s="313"/>
      <c r="AP71" s="313"/>
      <c r="AQ71" s="313"/>
      <c r="AR71" s="313"/>
      <c r="AS71" s="313"/>
      <c r="AT71" s="313"/>
      <c r="AU71" s="313"/>
      <c r="AV71" s="313"/>
      <c r="AW71" s="313"/>
      <c r="AX71" s="322">
        <f>AX19+AY19</f>
        <v>0</v>
      </c>
      <c r="AY71" s="313"/>
      <c r="AZ71" s="313">
        <f>AZ19+BA19</f>
        <v>0</v>
      </c>
      <c r="BA71" s="313"/>
      <c r="BB71" s="313">
        <f>BB19+BC19</f>
        <v>0</v>
      </c>
      <c r="BC71" s="313"/>
      <c r="BD71" s="313">
        <f>BD19+BE19</f>
        <v>0</v>
      </c>
      <c r="BE71" s="313"/>
      <c r="BF71" s="313">
        <f>BF19+BG19</f>
        <v>0</v>
      </c>
      <c r="BG71" s="313"/>
      <c r="BH71" s="313"/>
      <c r="BI71" s="313"/>
      <c r="BJ71" s="313"/>
      <c r="BK71" s="313"/>
      <c r="BL71" s="313"/>
      <c r="BM71" s="313"/>
    </row>
    <row r="72" spans="1:65" s="126" customFormat="1" x14ac:dyDescent="0.25">
      <c r="A72" s="126" t="s">
        <v>186</v>
      </c>
      <c r="C72" s="8"/>
      <c r="D72" s="334"/>
      <c r="E72" s="334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>
        <f>X20+Y20</f>
        <v>1</v>
      </c>
      <c r="Y72" s="334"/>
      <c r="Z72" s="334"/>
      <c r="AA72" s="334"/>
      <c r="AB72" s="334"/>
      <c r="AC72" s="334"/>
      <c r="AD72" s="334"/>
      <c r="AE72" s="334"/>
      <c r="AF72" s="334"/>
      <c r="AG72" s="334"/>
      <c r="AH72" s="334"/>
      <c r="AI72" s="334"/>
      <c r="AJ72" s="334"/>
      <c r="AK72" s="334"/>
      <c r="AL72" s="334"/>
      <c r="AM72" s="334"/>
      <c r="AN72" s="334"/>
      <c r="AO72" s="334"/>
      <c r="AP72" s="334"/>
      <c r="AQ72" s="334"/>
      <c r="AR72" s="334"/>
      <c r="AS72" s="334"/>
      <c r="AT72" s="334"/>
      <c r="AU72" s="334"/>
      <c r="AV72" s="334"/>
      <c r="AW72" s="334"/>
      <c r="AX72" s="334"/>
      <c r="AY72" s="334"/>
      <c r="AZ72" s="334"/>
      <c r="BA72" s="334"/>
      <c r="BB72" s="359">
        <f t="shared" ref="BB72:BB73" si="21">BB20+BC20</f>
        <v>2</v>
      </c>
      <c r="BC72" s="334"/>
      <c r="BD72" s="334"/>
      <c r="BE72" s="334"/>
      <c r="BF72" s="334"/>
      <c r="BG72" s="334"/>
      <c r="BH72" s="334"/>
      <c r="BI72" s="334"/>
      <c r="BJ72" s="334"/>
      <c r="BK72" s="334"/>
      <c r="BL72" s="334"/>
      <c r="BM72" s="334"/>
    </row>
    <row r="73" spans="1:65" s="126" customFormat="1" x14ac:dyDescent="0.25">
      <c r="A73" s="126" t="s">
        <v>125</v>
      </c>
      <c r="C73" s="8"/>
      <c r="D73" s="334"/>
      <c r="E73" s="334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>
        <f>X21+Y21</f>
        <v>4</v>
      </c>
      <c r="Y73" s="334"/>
      <c r="Z73" s="334"/>
      <c r="AA73" s="334"/>
      <c r="AB73" s="334"/>
      <c r="AC73" s="334"/>
      <c r="AD73" s="334"/>
      <c r="AE73" s="334"/>
      <c r="AF73" s="334"/>
      <c r="AG73" s="334"/>
      <c r="AH73" s="334"/>
      <c r="AI73" s="334"/>
      <c r="AJ73" s="334"/>
      <c r="AK73" s="334"/>
      <c r="AL73" s="334"/>
      <c r="AM73" s="334"/>
      <c r="AN73" s="334"/>
      <c r="AO73" s="334"/>
      <c r="AP73" s="334"/>
      <c r="AQ73" s="334"/>
      <c r="AR73" s="334"/>
      <c r="AS73" s="334"/>
      <c r="AT73" s="334"/>
      <c r="AU73" s="334"/>
      <c r="AV73" s="334"/>
      <c r="AW73" s="334"/>
      <c r="AX73" s="334"/>
      <c r="AY73" s="334"/>
      <c r="AZ73" s="334"/>
      <c r="BA73" s="334"/>
      <c r="BB73" s="359">
        <f t="shared" si="21"/>
        <v>3</v>
      </c>
      <c r="BC73" s="334"/>
      <c r="BD73" s="334"/>
      <c r="BE73" s="334"/>
      <c r="BF73" s="334"/>
      <c r="BG73" s="334"/>
      <c r="BH73" s="334"/>
      <c r="BI73" s="334"/>
      <c r="BJ73" s="334"/>
      <c r="BK73" s="334"/>
      <c r="BL73" s="334"/>
      <c r="BM73" s="334"/>
    </row>
    <row r="74" spans="1:65" s="126" customFormat="1" x14ac:dyDescent="0.25">
      <c r="A74" s="126" t="s">
        <v>180</v>
      </c>
      <c r="C74" s="8"/>
      <c r="D74" s="334"/>
      <c r="E74" s="334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>
        <f>X22+Y22</f>
        <v>6</v>
      </c>
      <c r="Y74" s="334"/>
      <c r="Z74" s="334"/>
      <c r="AA74" s="334"/>
      <c r="AB74" s="334"/>
      <c r="AC74" s="334"/>
      <c r="AD74" s="334"/>
      <c r="AE74" s="334"/>
      <c r="AF74" s="334"/>
      <c r="AG74" s="334"/>
      <c r="AH74" s="334"/>
      <c r="AI74" s="334"/>
      <c r="AJ74" s="334"/>
      <c r="AK74" s="334"/>
      <c r="AL74" s="334"/>
      <c r="AM74" s="334"/>
      <c r="AN74" s="334"/>
      <c r="AO74" s="334"/>
      <c r="AP74" s="334"/>
      <c r="AQ74" s="334"/>
      <c r="AR74" s="334"/>
      <c r="AS74" s="334"/>
      <c r="AT74" s="334"/>
      <c r="AU74" s="334"/>
      <c r="AV74" s="334"/>
      <c r="AW74" s="334"/>
      <c r="AX74" s="334"/>
      <c r="AY74" s="334"/>
      <c r="AZ74" s="334"/>
      <c r="BA74" s="334"/>
      <c r="BB74" s="342">
        <f>BB22+BC22</f>
        <v>15</v>
      </c>
      <c r="BC74" s="334"/>
      <c r="BD74" s="334"/>
      <c r="BE74" s="334"/>
      <c r="BF74" s="334"/>
      <c r="BG74" s="334"/>
      <c r="BH74" s="334"/>
      <c r="BI74" s="334"/>
      <c r="BJ74" s="334"/>
      <c r="BK74" s="334"/>
      <c r="BL74" s="334"/>
      <c r="BM74" s="334"/>
    </row>
    <row r="75" spans="1:65" s="126" customFormat="1" x14ac:dyDescent="0.25">
      <c r="A75" s="126" t="s">
        <v>181</v>
      </c>
      <c r="C75" s="8"/>
      <c r="D75" s="334"/>
      <c r="E75" s="334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>
        <f>X23+Y23</f>
        <v>12</v>
      </c>
      <c r="Y75" s="334"/>
      <c r="Z75" s="334"/>
      <c r="AA75" s="334"/>
      <c r="AB75" s="334"/>
      <c r="AC75" s="334"/>
      <c r="AD75" s="334"/>
      <c r="AE75" s="334"/>
      <c r="AF75" s="334"/>
      <c r="AG75" s="334"/>
      <c r="AH75" s="334"/>
      <c r="AI75" s="334"/>
      <c r="AJ75" s="334"/>
      <c r="AK75" s="334"/>
      <c r="AL75" s="334"/>
      <c r="AM75" s="334"/>
      <c r="AN75" s="334"/>
      <c r="AO75" s="334"/>
      <c r="AP75" s="334"/>
      <c r="AQ75" s="334"/>
      <c r="AR75" s="334"/>
      <c r="AS75" s="334"/>
      <c r="AT75" s="334"/>
      <c r="AU75" s="334"/>
      <c r="AV75" s="334"/>
      <c r="AW75" s="334"/>
      <c r="AX75" s="334"/>
      <c r="AY75" s="334"/>
      <c r="AZ75" s="334"/>
      <c r="BA75" s="334"/>
      <c r="BB75" s="342">
        <f>BB23+BC23</f>
        <v>16</v>
      </c>
      <c r="BC75" s="334"/>
      <c r="BD75" s="334"/>
      <c r="BE75" s="334"/>
      <c r="BF75" s="334"/>
      <c r="BG75" s="334"/>
      <c r="BH75" s="334"/>
      <c r="BI75" s="334"/>
      <c r="BJ75" s="334"/>
      <c r="BK75" s="334"/>
      <c r="BL75" s="334"/>
      <c r="BM75" s="334"/>
    </row>
    <row r="76" spans="1:65" s="126" customFormat="1" x14ac:dyDescent="0.25">
      <c r="A76" s="126" t="s">
        <v>192</v>
      </c>
      <c r="C76" s="8"/>
      <c r="D76" s="340"/>
      <c r="E76" s="340"/>
      <c r="F76" s="340"/>
      <c r="G76" s="340"/>
      <c r="H76" s="340"/>
      <c r="I76" s="340"/>
      <c r="J76" s="340"/>
      <c r="K76" s="340"/>
      <c r="L76" s="340"/>
      <c r="M76" s="340"/>
      <c r="N76" s="340"/>
      <c r="O76" s="340"/>
      <c r="P76" s="340"/>
      <c r="Q76" s="340"/>
      <c r="R76" s="340"/>
      <c r="S76" s="340"/>
      <c r="T76" s="340"/>
      <c r="U76" s="340"/>
      <c r="V76" s="340"/>
      <c r="W76" s="340"/>
      <c r="X76" s="340"/>
      <c r="Y76" s="340"/>
      <c r="Z76" s="340"/>
      <c r="AA76" s="340"/>
      <c r="AB76" s="340"/>
      <c r="AC76" s="340"/>
      <c r="AD76" s="340"/>
      <c r="AE76" s="340"/>
      <c r="AF76" s="340"/>
      <c r="AG76" s="340"/>
      <c r="AH76" s="340"/>
      <c r="AI76" s="340"/>
      <c r="AJ76" s="340"/>
      <c r="AK76" s="340"/>
      <c r="AL76" s="340"/>
      <c r="AM76" s="340"/>
      <c r="AN76" s="340"/>
      <c r="AO76" s="340"/>
      <c r="AP76" s="340"/>
      <c r="AQ76" s="340"/>
      <c r="AR76" s="340"/>
      <c r="AS76" s="340"/>
      <c r="AT76" s="340"/>
      <c r="AU76" s="340"/>
      <c r="AV76" s="340"/>
      <c r="AW76" s="340"/>
      <c r="AX76" s="340"/>
      <c r="AY76" s="340"/>
      <c r="AZ76" s="340">
        <f>AZ24+BA24</f>
        <v>9</v>
      </c>
      <c r="BA76" s="340"/>
      <c r="BB76" s="340"/>
      <c r="BC76" s="340"/>
      <c r="BD76" s="340"/>
      <c r="BE76" s="340"/>
      <c r="BF76" s="340"/>
      <c r="BG76" s="340"/>
      <c r="BH76" s="340"/>
      <c r="BI76" s="340"/>
      <c r="BJ76" s="340"/>
      <c r="BK76" s="340"/>
      <c r="BL76" s="340"/>
      <c r="BM76" s="340"/>
    </row>
    <row r="77" spans="1:65" s="126" customFormat="1" x14ac:dyDescent="0.25">
      <c r="A77" s="126" t="s">
        <v>193</v>
      </c>
      <c r="C77" s="8"/>
      <c r="D77" s="340"/>
      <c r="E77" s="340"/>
      <c r="F77" s="340"/>
      <c r="G77" s="340"/>
      <c r="H77" s="340"/>
      <c r="I77" s="340"/>
      <c r="J77" s="340"/>
      <c r="K77" s="340"/>
      <c r="L77" s="340"/>
      <c r="M77" s="340"/>
      <c r="N77" s="340"/>
      <c r="O77" s="340"/>
      <c r="P77" s="340"/>
      <c r="Q77" s="340"/>
      <c r="R77" s="340"/>
      <c r="S77" s="340"/>
      <c r="T77" s="340"/>
      <c r="U77" s="340"/>
      <c r="V77" s="340"/>
      <c r="W77" s="340"/>
      <c r="X77" s="340"/>
      <c r="Y77" s="340"/>
      <c r="Z77" s="340"/>
      <c r="AA77" s="340"/>
      <c r="AB77" s="340"/>
      <c r="AC77" s="340"/>
      <c r="AD77" s="340"/>
      <c r="AE77" s="340"/>
      <c r="AF77" s="340"/>
      <c r="AG77" s="340"/>
      <c r="AH77" s="340"/>
      <c r="AI77" s="340"/>
      <c r="AJ77" s="340"/>
      <c r="AK77" s="340"/>
      <c r="AL77" s="340"/>
      <c r="AM77" s="340"/>
      <c r="AN77" s="340"/>
      <c r="AO77" s="340"/>
      <c r="AP77" s="340"/>
      <c r="AQ77" s="340"/>
      <c r="AR77" s="340"/>
      <c r="AS77" s="340"/>
      <c r="AT77" s="340"/>
      <c r="AU77" s="340"/>
      <c r="AV77" s="340"/>
      <c r="AW77" s="340"/>
      <c r="AX77" s="340"/>
      <c r="AY77" s="340"/>
      <c r="AZ77" s="340">
        <f>AZ25+BA25</f>
        <v>9</v>
      </c>
      <c r="BA77" s="340"/>
      <c r="BB77" s="340"/>
      <c r="BC77" s="340"/>
      <c r="BD77" s="340"/>
      <c r="BE77" s="340"/>
      <c r="BF77" s="340"/>
      <c r="BG77" s="340"/>
      <c r="BH77" s="340"/>
      <c r="BI77" s="340"/>
      <c r="BJ77" s="340"/>
      <c r="BK77" s="340"/>
      <c r="BL77" s="340"/>
      <c r="BM77" s="340"/>
    </row>
    <row r="78" spans="1:65" x14ac:dyDescent="0.25">
      <c r="C78" s="8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331"/>
      <c r="P78" s="331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6"/>
      <c r="AS78" s="56"/>
      <c r="AT78" s="56"/>
      <c r="AU78" s="56"/>
      <c r="AV78" s="56"/>
      <c r="AW78" s="56"/>
      <c r="AX78" s="56"/>
      <c r="AY78" s="56"/>
      <c r="AZ78" s="56"/>
      <c r="BA78" s="59"/>
      <c r="BB78" s="56"/>
      <c r="BC78" s="117"/>
      <c r="BD78" s="56"/>
      <c r="BE78" s="117"/>
      <c r="BF78" s="59"/>
      <c r="BG78" s="59"/>
      <c r="BH78" s="56"/>
      <c r="BI78" s="56"/>
      <c r="BJ78" s="56"/>
      <c r="BK78" s="56"/>
      <c r="BL78" s="56"/>
      <c r="BM78" s="56"/>
    </row>
    <row r="79" spans="1:65" x14ac:dyDescent="0.25">
      <c r="A79" s="58" t="s">
        <v>65</v>
      </c>
      <c r="B79" s="58"/>
      <c r="C79" s="58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0"/>
      <c r="AS79" s="60"/>
      <c r="AT79" s="60"/>
      <c r="AU79" s="60"/>
      <c r="AV79" s="60"/>
      <c r="AW79" s="60"/>
      <c r="AX79" s="60"/>
      <c r="AY79" s="60"/>
      <c r="AZ79" s="60"/>
      <c r="BA79" s="61"/>
      <c r="BB79" s="60"/>
      <c r="BC79" s="61"/>
      <c r="BD79" s="60"/>
      <c r="BE79" s="61"/>
      <c r="BF79" s="61"/>
      <c r="BG79" s="61"/>
      <c r="BH79" s="60"/>
      <c r="BI79" s="60"/>
      <c r="BJ79" s="60"/>
      <c r="BK79" s="60"/>
      <c r="BL79" s="60"/>
      <c r="BM79" s="60"/>
    </row>
    <row r="80" spans="1:65" x14ac:dyDescent="0.25">
      <c r="A80" t="s">
        <v>79</v>
      </c>
      <c r="C80" s="8"/>
      <c r="D80" s="59">
        <f>(D5+D12+D29)+2*(E5+E12+E29)</f>
        <v>90</v>
      </c>
      <c r="E80" s="59"/>
      <c r="F80" s="59">
        <f>(F5+F12+F29)+2*(G5+G12+G29)</f>
        <v>56</v>
      </c>
      <c r="G80" s="59"/>
      <c r="H80" s="59">
        <f>(H5+H12+H29)+2*(I5+I12+I29)</f>
        <v>107</v>
      </c>
      <c r="I80" s="59"/>
      <c r="J80" s="59">
        <f>(J5+J12+J29)+2*(K5+K12+K29)</f>
        <v>107</v>
      </c>
      <c r="K80" s="59"/>
      <c r="L80" s="59">
        <f>(L5+L12+L29)+2*(M5+M12+M29)</f>
        <v>107</v>
      </c>
      <c r="M80" s="329"/>
      <c r="N80" s="329">
        <f>(N5+N12+N29)+2*(O5+O12+O29)</f>
        <v>110</v>
      </c>
      <c r="O80" s="331"/>
      <c r="P80" s="331">
        <f>(P5+P12+P29)+2*(Q5+Q12+Q29)</f>
        <v>108</v>
      </c>
      <c r="Q80" s="290"/>
      <c r="R80" s="290">
        <f>(R5+R12+R29)+2*(S5+S12+S29)</f>
        <v>75</v>
      </c>
      <c r="S80" s="59"/>
      <c r="T80" s="59">
        <f>(T5+T12+T29)+2*(U5+U12+U29)</f>
        <v>57</v>
      </c>
      <c r="U80" s="305"/>
      <c r="V80" s="305">
        <f>(V5+V12+V29)+2*(W5+W12+W29)</f>
        <v>107</v>
      </c>
      <c r="W80" s="306"/>
      <c r="X80" s="306">
        <f>(X5+X12+X29)+2*(Y5+Y12+Y29)</f>
        <v>95</v>
      </c>
      <c r="Y80" s="308"/>
      <c r="Z80" s="308">
        <f>(Z5+Z12+Z29)+2*(AA5+AA12+AA29)</f>
        <v>108</v>
      </c>
      <c r="AA80" s="309"/>
      <c r="AB80" s="309">
        <f>(AB5+AB12+AB29)+2*(AC5+AC12+AC29)</f>
        <v>111</v>
      </c>
      <c r="AC80" s="59"/>
      <c r="AD80" s="59">
        <f>(AD5+AD12+AD29)+2*(AE5+AE12+AE29)</f>
        <v>111</v>
      </c>
      <c r="AE80" s="59"/>
      <c r="AF80" s="59">
        <f>(AF5+AF12+AF29)+2*(AG5+AG12+AG29)</f>
        <v>75</v>
      </c>
      <c r="AG80" s="59"/>
      <c r="AH80" s="59">
        <f>(AH5+AH12+AH29)+2*(AI5+AI12+AI29)</f>
        <v>57</v>
      </c>
      <c r="AI80" s="297"/>
      <c r="AJ80" s="297">
        <f>(AJ5+AJ12+AJ29)+2*(AK5+AK12+AK29)</f>
        <v>108</v>
      </c>
      <c r="AK80" s="310"/>
      <c r="AL80" s="336">
        <f>(AL5+AL12+AL29)+2*(AM5+AM12+AM29)</f>
        <v>109</v>
      </c>
      <c r="AM80" s="311"/>
      <c r="AN80" s="311">
        <f>(AN5+AN12+AN29)+2*(AO5+AO12+AO29)</f>
        <v>110</v>
      </c>
      <c r="AO80" s="337"/>
      <c r="AP80" s="337">
        <f>(AP5+AP12+AP29)+2*(AQ5+AQ12+AQ29)</f>
        <v>111</v>
      </c>
      <c r="AQ80" s="312"/>
      <c r="AR80" s="312">
        <f>(AR5+AR12+AR29)+2*(AS5+AS12+AS29)</f>
        <v>114</v>
      </c>
      <c r="AS80" s="313"/>
      <c r="AT80" s="313">
        <f>(AT5+AT12+AT29)+2*(AU5+AU12+AU29)</f>
        <v>75</v>
      </c>
      <c r="AU80" s="321"/>
      <c r="AV80" s="321">
        <f>(AV5+AV12+AV29)+2*(AW5+AW12+AW29)</f>
        <v>57</v>
      </c>
      <c r="AW80" s="322"/>
      <c r="AX80" s="322">
        <f>(AX5+AX12+AX29)+2*(AY5+AY12+AY29)</f>
        <v>111</v>
      </c>
      <c r="AY80" s="59"/>
      <c r="AZ80" s="59">
        <f>(AZ5+AZ12+AZ29)+2*(BA5+BA12+BA29)</f>
        <v>101</v>
      </c>
      <c r="BA80" s="119"/>
      <c r="BB80" s="117">
        <f>(BB5+BB12+BB29)+2*(BC5+BC12+BC29)</f>
        <v>93</v>
      </c>
      <c r="BC80" s="298"/>
      <c r="BD80" s="298">
        <f>(BD5+BD12+BD29)+2*(BE5+BE12+BE29)</f>
        <v>111</v>
      </c>
      <c r="BE80" s="119"/>
      <c r="BF80" s="59">
        <f>(BF5+BF12+BF29)+2*(BG5+BG12+BG29)</f>
        <v>110</v>
      </c>
      <c r="BG80" s="299"/>
      <c r="BH80" s="299">
        <f>(BH5+BH12+BH29)+2*(BI5+BI12+BI29)</f>
        <v>75</v>
      </c>
      <c r="BI80" s="300"/>
      <c r="BJ80" s="300">
        <f>(BJ5+BJ12+BJ29)+2*(BK5+BK12+BK29)</f>
        <v>57</v>
      </c>
      <c r="BK80" s="301"/>
      <c r="BL80" s="301">
        <f>(BL5+BL12+BL29)+2*(BM5+BM12+BM29)</f>
        <v>115</v>
      </c>
      <c r="BM80" s="279"/>
    </row>
    <row r="81" spans="1:75" x14ac:dyDescent="0.25">
      <c r="A81" t="s">
        <v>80</v>
      </c>
      <c r="C81" s="8"/>
      <c r="D81" s="59">
        <f>(D8+D15+D32)+2*(E8+E15+E32)</f>
        <v>92</v>
      </c>
      <c r="E81" s="59"/>
      <c r="F81" s="59">
        <f>(F8+F15+F32)+2*(G8+G15+G32)</f>
        <v>57</v>
      </c>
      <c r="G81" s="59"/>
      <c r="H81" s="59">
        <f>(H8+H15+H32)+2*(I8+I15+I32)</f>
        <v>107</v>
      </c>
      <c r="I81" s="59"/>
      <c r="J81" s="59">
        <f>(J8+J15+J32)+2*(K8+K15+K32)</f>
        <v>107</v>
      </c>
      <c r="K81" s="59"/>
      <c r="L81" s="59">
        <f>(L8+L15+L32)+2*(M8+M15+M32)</f>
        <v>107</v>
      </c>
      <c r="M81" s="329"/>
      <c r="N81" s="329">
        <f>(N8+N15+N32)+2*(O8+O15+O32)</f>
        <v>107</v>
      </c>
      <c r="O81" s="331"/>
      <c r="P81" s="331">
        <f>(P8+P15+P32)+2*(Q8+Q15+Q32)</f>
        <v>107</v>
      </c>
      <c r="Q81" s="290"/>
      <c r="R81" s="290">
        <f>(R8+R15+R32)+2*(S8+S15+S32)</f>
        <v>75</v>
      </c>
      <c r="S81" s="59"/>
      <c r="T81" s="59">
        <f>(T8+T15+T32)+2*(U8+U15+U32)</f>
        <v>57</v>
      </c>
      <c r="U81" s="305"/>
      <c r="V81" s="305">
        <f>(V8+V15+V32)+2*(W8+W15+W32)</f>
        <v>107</v>
      </c>
      <c r="W81" s="306"/>
      <c r="X81" s="306">
        <f>(X8+X15+X32)+2*(Y8+Y15+Y32)</f>
        <v>94</v>
      </c>
      <c r="Y81" s="308"/>
      <c r="Z81" s="308">
        <f>(Z8+Z15+Z32)+2*(AA8+AA15+AA32)</f>
        <v>108</v>
      </c>
      <c r="AA81" s="309"/>
      <c r="AB81" s="309">
        <f>(AB8+AB15+AB32)+2*(AC8+AC15+AC32)</f>
        <v>111</v>
      </c>
      <c r="AC81" s="59"/>
      <c r="AD81" s="59">
        <f>(AD8+AD15+AD32)+2*(AE8+AE15+AE32)</f>
        <v>111</v>
      </c>
      <c r="AE81" s="59"/>
      <c r="AF81" s="271">
        <f>(AF8+AF15+AF32)+2*(AG8+AG15+AG32)</f>
        <v>75</v>
      </c>
      <c r="AG81" s="59"/>
      <c r="AH81" s="59">
        <f>(AH8+AH15+AH32)+2*(AI8+AI15+AI32)</f>
        <v>57</v>
      </c>
      <c r="AI81" s="297"/>
      <c r="AJ81" s="297">
        <f>(AJ8+AJ15+AJ32)+2*(AK8+AK15+AK32)</f>
        <v>107</v>
      </c>
      <c r="AK81" s="310"/>
      <c r="AL81" s="336">
        <f>(AL8+AL15+AL32)+2*(AM8+AM15+AM32)</f>
        <v>109</v>
      </c>
      <c r="AM81" s="311"/>
      <c r="AN81" s="311">
        <f>(AN8+AN15+AN32)+2*(AO8+AO15+AO32)</f>
        <v>110</v>
      </c>
      <c r="AO81" s="337"/>
      <c r="AP81" s="337">
        <f>(AP8+AP15+AP32)+2*(AQ8+AQ15+AQ32)</f>
        <v>109</v>
      </c>
      <c r="AQ81" s="312"/>
      <c r="AR81" s="312">
        <f>(AR8+AR15+AR32)+2*(AS8+AS15+AS32)</f>
        <v>111</v>
      </c>
      <c r="AS81" s="313"/>
      <c r="AT81" s="313">
        <f>(AT8+AT15+AT32)+2*(AU8+AU15+AU32)</f>
        <v>75</v>
      </c>
      <c r="AU81" s="321"/>
      <c r="AV81" s="321">
        <f>(AV8+AV15+AV32)+2*(AW8+AW15+AW32)</f>
        <v>57</v>
      </c>
      <c r="AW81" s="322"/>
      <c r="AX81" s="322">
        <f>(AX8+AX15+AX32)+2*(AY8+AY15+AY32)</f>
        <v>111</v>
      </c>
      <c r="AY81" s="59"/>
      <c r="AZ81" s="274">
        <f>(AZ8+AZ15+AZ32)+2*(BA8+BA15+BA32)</f>
        <v>100</v>
      </c>
      <c r="BA81" s="119"/>
      <c r="BB81" s="275">
        <f>(BB8+BB15+BB32)+2*(BC8+BC15+BC32)</f>
        <v>86</v>
      </c>
      <c r="BC81" s="298"/>
      <c r="BD81" s="298">
        <f>(BD8+BD15+BD32)+2*(BE8+BE15+BE32)</f>
        <v>111</v>
      </c>
      <c r="BE81" s="119"/>
      <c r="BF81" s="59">
        <f>(BF8+BF15+BF32)+2*(BG8+BG15+BG32)</f>
        <v>110</v>
      </c>
      <c r="BG81" s="299"/>
      <c r="BH81" s="299">
        <f>(BH8+BH15+BH32)+2*(BI8+BI15+BI32)</f>
        <v>75</v>
      </c>
      <c r="BI81" s="300"/>
      <c r="BJ81" s="300">
        <f>(BJ8+BJ15+BJ32)+2*(BK8+BK15+BK32)</f>
        <v>57</v>
      </c>
      <c r="BK81" s="301"/>
      <c r="BL81" s="301">
        <f>(BL8+BL15+BL32)+2*(BM8+BM15+BM32)</f>
        <v>110</v>
      </c>
      <c r="BM81" s="279"/>
    </row>
    <row r="82" spans="1:75" x14ac:dyDescent="0.25">
      <c r="A82" t="s">
        <v>81</v>
      </c>
      <c r="C82" s="8"/>
      <c r="D82" s="59">
        <f>(D3+D10+D27)+2*(E3+E10+E27)</f>
        <v>0</v>
      </c>
      <c r="E82" s="59"/>
      <c r="F82" s="59">
        <f>(F3+F10+F27)+2*(G3+G10+G27)</f>
        <v>0</v>
      </c>
      <c r="G82" s="59"/>
      <c r="H82" s="59">
        <f>(H3+H10+H27)+2*(I3+I10+I27)</f>
        <v>36</v>
      </c>
      <c r="I82" s="59"/>
      <c r="J82" s="59">
        <f>(J3+J10+J27)+2*(K3+K10+K27)</f>
        <v>36</v>
      </c>
      <c r="K82" s="59"/>
      <c r="L82" s="59">
        <f>(L3+L10+L27)+2*(M3+M10+M27)</f>
        <v>36</v>
      </c>
      <c r="M82" s="329"/>
      <c r="N82" s="329">
        <f>(N3+N10+N27)+2*(O3+O10+O27)</f>
        <v>36</v>
      </c>
      <c r="O82" s="331"/>
      <c r="P82" s="331">
        <f>(P3+P10+P27)+2*(Q3+Q10+Q27)</f>
        <v>36</v>
      </c>
      <c r="Q82" s="290"/>
      <c r="R82" s="290">
        <f>(R3+R10+R27)+2*(S3+S10+S27)</f>
        <v>0</v>
      </c>
      <c r="S82" s="59"/>
      <c r="T82" s="59">
        <f>(T3+T10+T27)+2*(U3+U10+U27)</f>
        <v>0</v>
      </c>
      <c r="U82" s="305"/>
      <c r="V82" s="305">
        <f>(V3+V10+V27)+2*(W3+W10+W27)</f>
        <v>36</v>
      </c>
      <c r="W82" s="306"/>
      <c r="X82" s="306">
        <f>(X3+X10+X27)+2*(Y3+Y10+Y27)</f>
        <v>33</v>
      </c>
      <c r="Y82" s="308"/>
      <c r="Z82" s="308">
        <f>(Z3+Z10+Z27)+2*(AA3+AA10+AA27)</f>
        <v>36</v>
      </c>
      <c r="AA82" s="309"/>
      <c r="AB82" s="309">
        <f>(AB3+AB10+AB27)+2*(AC3+AC10+AC27)</f>
        <v>36</v>
      </c>
      <c r="AC82" s="59"/>
      <c r="AD82" s="59">
        <f>(AD3+AD10+AD27)+2*(AE3+AE10+AE27)</f>
        <v>36</v>
      </c>
      <c r="AE82" s="59"/>
      <c r="AF82" s="59">
        <f>(AF3+AF10+AF27)+2*(AG3+AG10+AG27)</f>
        <v>0</v>
      </c>
      <c r="AG82" s="59"/>
      <c r="AH82" s="59">
        <f>(AH3+AH10+AH27)+2*(AI3+AI10+AI27)</f>
        <v>0</v>
      </c>
      <c r="AI82" s="297"/>
      <c r="AJ82" s="297">
        <f>(AJ3+AJ10+AJ27)+2*(AK3+AK10+AK27)</f>
        <v>37</v>
      </c>
      <c r="AK82" s="310"/>
      <c r="AL82" s="336">
        <f>(AL3+AL10+AL27)+2*(AM3+AM10+AM27)</f>
        <v>37</v>
      </c>
      <c r="AM82" s="311"/>
      <c r="AN82" s="311">
        <f>(AN3+AN10+AN27)+2*(AO3+AO10+AO27)</f>
        <v>37</v>
      </c>
      <c r="AO82" s="337"/>
      <c r="AP82" s="337">
        <f>(AP3+AP10+AP27)+2*(AQ3+AQ10+AQ27)</f>
        <v>37</v>
      </c>
      <c r="AQ82" s="312"/>
      <c r="AR82" s="312">
        <f>(AR3+AR10+AR27)+2*(AS3+AS10+AS27)</f>
        <v>36</v>
      </c>
      <c r="AS82" s="313"/>
      <c r="AT82" s="313">
        <f>(AT3+AT10+AT27)+2*(AU3+AU10+AU27)</f>
        <v>0</v>
      </c>
      <c r="AU82" s="321"/>
      <c r="AV82" s="321">
        <f>(AV3+AV10+AV27)+2*(AW3+AW10+AW27)</f>
        <v>0</v>
      </c>
      <c r="AW82" s="322"/>
      <c r="AX82" s="322">
        <f>(AX3+AX10+AX27)+2*(AY3+AY10+AY27)</f>
        <v>37</v>
      </c>
      <c r="AY82" s="59"/>
      <c r="AZ82" s="59">
        <f>(AZ3+AZ10+AZ27)+2*(BA3+BA10+BA27)</f>
        <v>37</v>
      </c>
      <c r="BA82" s="119"/>
      <c r="BB82" s="117">
        <f>(BB3+BB10+BB27)+2*(BC3+BC10+BC27)</f>
        <v>33</v>
      </c>
      <c r="BC82" s="298"/>
      <c r="BD82" s="298">
        <f>(BD3+BD10+BD27)+2*(BE3+BE10+BE27)</f>
        <v>37</v>
      </c>
      <c r="BE82" s="119"/>
      <c r="BF82" s="59">
        <f>(BF3+BF10+BF27)+2*(BG3+BG10+BG27)</f>
        <v>37</v>
      </c>
      <c r="BG82" s="299"/>
      <c r="BH82" s="299">
        <f>(BH3+BH10+BH27)+2*(BI3+BI10+BI27)</f>
        <v>0</v>
      </c>
      <c r="BI82" s="300"/>
      <c r="BJ82" s="300">
        <f>(BJ3+BJ10+BJ27)+2*(BK3+BK10+BK27)</f>
        <v>0</v>
      </c>
      <c r="BK82" s="301"/>
      <c r="BL82" s="301">
        <f>(BL3+BL10+BL27)+2*(BM3+BM10+BM27)</f>
        <v>37</v>
      </c>
      <c r="BM82" s="279"/>
    </row>
    <row r="83" spans="1:75" x14ac:dyDescent="0.25">
      <c r="A83" t="s">
        <v>82</v>
      </c>
      <c r="C83" s="8"/>
      <c r="D83" s="59">
        <f>(D6+D13+D30)+2*(E6+E13+E30)</f>
        <v>0</v>
      </c>
      <c r="E83" s="59"/>
      <c r="F83" s="59">
        <f>(F6+F13+F30)+2*(G6+G13+G30)</f>
        <v>0</v>
      </c>
      <c r="G83" s="59"/>
      <c r="H83" s="59">
        <f>(H6+H13+H30)+2*(I6+I13+I30)</f>
        <v>35</v>
      </c>
      <c r="I83" s="59"/>
      <c r="J83" s="59">
        <f>(J6+J13+J30)+2*(K6+K13+K30)</f>
        <v>35</v>
      </c>
      <c r="K83" s="59"/>
      <c r="L83" s="59">
        <f>(L6+L13+L30)+2*(M6+M13+M30)</f>
        <v>35</v>
      </c>
      <c r="M83" s="329"/>
      <c r="N83" s="329">
        <f>(N6+N13+N30)+2*(O6+O13+O30)</f>
        <v>35</v>
      </c>
      <c r="O83" s="331"/>
      <c r="P83" s="331">
        <f>(P6+P13+P30)+2*(Q6+Q13+Q30)</f>
        <v>35</v>
      </c>
      <c r="Q83" s="290"/>
      <c r="R83" s="290">
        <f>(R6+R13+R30)+2*(S6+S13+S30)</f>
        <v>0</v>
      </c>
      <c r="S83" s="59"/>
      <c r="T83" s="59">
        <f>(T6+T13+T30)+2*(U6+U13+U30)</f>
        <v>0</v>
      </c>
      <c r="U83" s="305"/>
      <c r="V83" s="305">
        <f>(V6+V13+V30)+2*(W6+W13+W30)</f>
        <v>35</v>
      </c>
      <c r="W83" s="306"/>
      <c r="X83" s="306">
        <f>(X6+X13+X30)+2*(Y6+Y13+Y30)</f>
        <v>31</v>
      </c>
      <c r="Y83" s="308"/>
      <c r="Z83" s="308">
        <f>(Z6+Z13+Z30)+2*(AA6+AA13+AA30)</f>
        <v>35</v>
      </c>
      <c r="AA83" s="309"/>
      <c r="AB83" s="309">
        <f>(AB6+AB13+AB30)+2*(AC6+AC13+AC30)</f>
        <v>35</v>
      </c>
      <c r="AC83" s="59"/>
      <c r="AD83" s="59">
        <f>(AD6+AD13+AD30)+2*(AE6+AE13+AE30)</f>
        <v>35</v>
      </c>
      <c r="AE83" s="59"/>
      <c r="AF83" s="59">
        <f>(AF6+AF13+AF30)+2*(AG6+AG13+AG30)</f>
        <v>0</v>
      </c>
      <c r="AG83" s="59"/>
      <c r="AH83" s="59">
        <f>(AH6+AH13+AH30)+2*(AI6+AI13+AI30)</f>
        <v>0</v>
      </c>
      <c r="AI83" s="297"/>
      <c r="AJ83" s="297">
        <f>(AJ6+AJ13+AJ30)+2*(AK6+AK13+AK30)</f>
        <v>37</v>
      </c>
      <c r="AK83" s="310"/>
      <c r="AL83" s="336">
        <f>(AL6+AL13+AL30)+2*(AM6+AM13+AM30)</f>
        <v>36</v>
      </c>
      <c r="AM83" s="311"/>
      <c r="AN83" s="311">
        <f>(AN6+AN13+AN30)+2*(AO6+AO13+AO30)</f>
        <v>36</v>
      </c>
      <c r="AO83" s="337"/>
      <c r="AP83" s="337">
        <f>(AP6+AP13+AP30)+2*(AQ6+AQ13+AQ30)</f>
        <v>36</v>
      </c>
      <c r="AQ83" s="312"/>
      <c r="AR83" s="312">
        <f>(AR6+AR13+AR30)+2*(AS6+AS13+AS30)</f>
        <v>36</v>
      </c>
      <c r="AS83" s="313"/>
      <c r="AT83" s="313">
        <f>(AT6+AT13+AT30)+2*(AU6+AU13+AU30)</f>
        <v>0</v>
      </c>
      <c r="AU83" s="321"/>
      <c r="AV83" s="321">
        <f>(AV6+AV13+AV30)+2*(AW6+AW13+AW30)</f>
        <v>0</v>
      </c>
      <c r="AW83" s="322"/>
      <c r="AX83" s="322">
        <f>(AX6+AX13+AX30)+2*(AY6+AY13+AY30)</f>
        <v>36</v>
      </c>
      <c r="AY83" s="59"/>
      <c r="AZ83" s="59">
        <f>(AZ6+AZ13+AZ30)+2*(BA6+BA13+BA30)</f>
        <v>36</v>
      </c>
      <c r="BA83" s="119"/>
      <c r="BB83" s="117">
        <f>(BB6+BB13+BB30)+2*(BC6+BC13+BC30)</f>
        <v>31</v>
      </c>
      <c r="BC83" s="298"/>
      <c r="BD83" s="298">
        <f>(BD6+BD13+BD30)+2*(BE6+BE13+BE30)</f>
        <v>36</v>
      </c>
      <c r="BE83" s="119"/>
      <c r="BF83" s="59">
        <f>(BF6+BF13+BF30)+2*(BG6+BG13+BG30)</f>
        <v>36</v>
      </c>
      <c r="BG83" s="299"/>
      <c r="BH83" s="299">
        <f>(BH6+BH13+BH30)+2*(BI6+BI13+BI30)</f>
        <v>0</v>
      </c>
      <c r="BI83" s="300"/>
      <c r="BJ83" s="300">
        <f>(BJ6+BJ13+BJ30)+2*(BK6+BK13+BK30)</f>
        <v>0</v>
      </c>
      <c r="BK83" s="301"/>
      <c r="BL83" s="301">
        <f>(BL6+BL13+BL30)+2*(BM6+BM13+BM30)</f>
        <v>37</v>
      </c>
      <c r="BM83" s="279"/>
    </row>
    <row r="84" spans="1:75" s="126" customFormat="1" x14ac:dyDescent="0.25">
      <c r="A84" s="126" t="s">
        <v>122</v>
      </c>
      <c r="C84" s="8"/>
      <c r="D84" s="157">
        <f>(D4+D11+D28)+2*(E4+E11+E28)</f>
        <v>0</v>
      </c>
      <c r="E84" s="157"/>
      <c r="F84" s="157">
        <f>(F4+F11+F28)+2*(G4+G11+G28)</f>
        <v>0</v>
      </c>
      <c r="G84" s="157"/>
      <c r="H84" s="157">
        <f>(H4+H11+H28)+2*(I4+I11+I28)</f>
        <v>0</v>
      </c>
      <c r="I84" s="157"/>
      <c r="J84" s="157">
        <f>(J4+J11+J28)+2*(K4+K11+K28)</f>
        <v>0</v>
      </c>
      <c r="K84" s="157"/>
      <c r="L84" s="157">
        <f>(L4+L11+L28)+2*(M4+M11+M28)</f>
        <v>0</v>
      </c>
      <c r="M84" s="329"/>
      <c r="N84" s="329">
        <f>(N4+N11+N28)+2*(O4+O11+O28)</f>
        <v>0</v>
      </c>
      <c r="O84" s="331"/>
      <c r="P84" s="331">
        <f>(P4+P11+P28)+2*(Q4+Q11+Q28)</f>
        <v>0</v>
      </c>
      <c r="Q84" s="290"/>
      <c r="R84" s="290">
        <f>(R4+R11+R28)+2*(S4+S11+S28)</f>
        <v>0</v>
      </c>
      <c r="S84" s="157"/>
      <c r="T84" s="157">
        <f>(T4+T11+T28)+2*(U4+U11+U28)</f>
        <v>0</v>
      </c>
      <c r="U84" s="305"/>
      <c r="V84" s="305">
        <f>(V4+V11+V28)+2*(W4+W11+W28)</f>
        <v>0</v>
      </c>
      <c r="W84" s="306"/>
      <c r="X84" s="306">
        <f>(X4+X11+X28)+2*(Y4+Y11+Y28)</f>
        <v>0</v>
      </c>
      <c r="Y84" s="308"/>
      <c r="Z84" s="308">
        <f>(Z4+Z11+Z28)+2*(AA4+AA11+AA28)</f>
        <v>0</v>
      </c>
      <c r="AA84" s="309"/>
      <c r="AB84" s="309">
        <f>(AB4+AB11+AB28)+2*(AC4+AC11+AC28)</f>
        <v>0</v>
      </c>
      <c r="AC84" s="157"/>
      <c r="AD84" s="157">
        <f>(AD4+AD11+AD28)+2*(AE4+AE11+AE28)</f>
        <v>0</v>
      </c>
      <c r="AE84" s="157"/>
      <c r="AF84" s="157">
        <f>(AF4+AF11+AF28)+2*(AG4+AG11+AG28)</f>
        <v>0</v>
      </c>
      <c r="AG84" s="157"/>
      <c r="AH84" s="157">
        <f>(AH4+AH11+AH28)+2*(AI4+AI11+AI28)</f>
        <v>0</v>
      </c>
      <c r="AI84" s="297"/>
      <c r="AJ84" s="297">
        <f>(AJ4+AJ11+AJ28)+2*(AK4+AK11+AK28)</f>
        <v>0</v>
      </c>
      <c r="AK84" s="310"/>
      <c r="AL84" s="336">
        <f>(AL4+AL11+AL28)+2*(AM4+AM11+AM28)</f>
        <v>0</v>
      </c>
      <c r="AM84" s="311"/>
      <c r="AN84" s="311">
        <f>(AN4+AN11+AN28)+2*(AO4+AO11+AO28)</f>
        <v>0</v>
      </c>
      <c r="AO84" s="337"/>
      <c r="AP84" s="337">
        <f>(AP4+AP11+AP28)+2*(AQ4+AQ11+AQ28)</f>
        <v>0</v>
      </c>
      <c r="AQ84" s="312"/>
      <c r="AR84" s="312">
        <f>(AR4+AR11+AR28)+2*(AS4+AS11+AS28)</f>
        <v>0</v>
      </c>
      <c r="AS84" s="313"/>
      <c r="AT84" s="313">
        <f>(AT4+AT11+AT28)+2*(AU4+AU11+AU28)</f>
        <v>0</v>
      </c>
      <c r="AU84" s="321"/>
      <c r="AV84" s="321">
        <f>(AV4+AV11+AV28)+2*(AW4+AW11+AW28)</f>
        <v>0</v>
      </c>
      <c r="AW84" s="322"/>
      <c r="AX84" s="322">
        <f>(AX4+AX11+AX28)+2*(AY4+AY11+AY28)</f>
        <v>0</v>
      </c>
      <c r="AY84" s="157"/>
      <c r="AZ84" s="157">
        <f>(AZ4+AZ11+AZ28)+2*(BA4+BA11+BA28)</f>
        <v>0</v>
      </c>
      <c r="BA84" s="157"/>
      <c r="BB84" s="157">
        <f>(BB4+BB11+BB28)+2*(BC4+BC11+BC28)</f>
        <v>0</v>
      </c>
      <c r="BC84" s="298"/>
      <c r="BD84" s="298">
        <f>(BD4+BD11+BD28)+2*(BE4+BE11+BE28)</f>
        <v>0</v>
      </c>
      <c r="BE84" s="157"/>
      <c r="BF84" s="157">
        <f>(BF4+BF11+BF28)+2*(BG4+BG11+BG28)</f>
        <v>0</v>
      </c>
      <c r="BG84" s="299"/>
      <c r="BH84" s="299">
        <f>(BH4+BH11+BH28)+2*(BI4+BI11+BI28)</f>
        <v>0</v>
      </c>
      <c r="BI84" s="300"/>
      <c r="BJ84" s="300">
        <f>(BJ4+BJ11+BJ28)+2*(BK4+BK11+BK28)</f>
        <v>0</v>
      </c>
      <c r="BK84" s="301"/>
      <c r="BL84" s="301">
        <f>(BL4+BL11+BL28)+2*(BM4+BM11+BM28)</f>
        <v>0</v>
      </c>
      <c r="BM84" s="279"/>
    </row>
    <row r="85" spans="1:75" x14ac:dyDescent="0.25">
      <c r="A85" t="s">
        <v>35</v>
      </c>
      <c r="C85" s="8"/>
      <c r="D85" s="59">
        <f>(D7+D14+D31)+2*(E7+E14+E31)</f>
        <v>0</v>
      </c>
      <c r="E85" s="59"/>
      <c r="F85" s="59">
        <f>(F7+F14+F31)+2*(G7+G14+G31)</f>
        <v>0</v>
      </c>
      <c r="G85" s="59"/>
      <c r="H85" s="59">
        <f>(H7+H14+H31)+2*(I7+I14+I31)</f>
        <v>1</v>
      </c>
      <c r="I85" s="59"/>
      <c r="J85" s="59">
        <f>(J7+J14+J31)+2*(K7+K14+K31)</f>
        <v>1</v>
      </c>
      <c r="K85" s="59"/>
      <c r="L85" s="59">
        <f>(L7+L14+L31)+2*(M7+M14+M31)</f>
        <v>1</v>
      </c>
      <c r="M85" s="329"/>
      <c r="N85" s="329">
        <f>(N7+N14+N31)+2*(O7+O14+O31)</f>
        <v>1</v>
      </c>
      <c r="O85" s="331"/>
      <c r="P85" s="331">
        <f>(P7+P14+P31)+2*(Q7+Q14+Q31)</f>
        <v>1</v>
      </c>
      <c r="Q85" s="290"/>
      <c r="R85" s="290">
        <f>(R7+R14+R31)+2*(S7+S14+S31)</f>
        <v>0</v>
      </c>
      <c r="S85" s="59"/>
      <c r="T85" s="59">
        <f>(T7+T14+T31)+2*(U7+U14+U31)</f>
        <v>0</v>
      </c>
      <c r="U85" s="305"/>
      <c r="V85" s="305">
        <f>(V7+V14+V31)+2*(W7+W14+W31)</f>
        <v>1</v>
      </c>
      <c r="W85" s="306"/>
      <c r="X85" s="306">
        <f>(X7+X14+X31)+2*(Y7+Y14+Y31)</f>
        <v>1</v>
      </c>
      <c r="Y85" s="308"/>
      <c r="Z85" s="308">
        <f>(Z7+Z14+Z31)+2*(AA7+AA14+AA31)</f>
        <v>1</v>
      </c>
      <c r="AA85" s="309"/>
      <c r="AB85" s="309">
        <f>(AB7+AB14+AB31)+2*(AC7+AC14+AC31)</f>
        <v>1</v>
      </c>
      <c r="AC85" s="59"/>
      <c r="AD85" s="59">
        <f>(AD7+AD14+AD31)+2*(AE7+AE14+AE31)</f>
        <v>1</v>
      </c>
      <c r="AE85" s="59"/>
      <c r="AF85" s="271">
        <f>(AF7+AF14+AF31)+2*(AG7+AG14+AG31)</f>
        <v>0</v>
      </c>
      <c r="AG85" s="59"/>
      <c r="AH85" s="59">
        <f>(AH7+AH14+AH31)+2*(AI7+AI14+AI31)</f>
        <v>0</v>
      </c>
      <c r="AI85" s="297"/>
      <c r="AJ85" s="297">
        <f>(AJ7+AJ14+AJ31)+2*(AK7+AK14+AK31)</f>
        <v>1</v>
      </c>
      <c r="AK85" s="310"/>
      <c r="AL85" s="336">
        <f>(AL7+AL14+AL31)+2*(AM7+AM14+AM31)</f>
        <v>1</v>
      </c>
      <c r="AM85" s="311"/>
      <c r="AN85" s="311">
        <f>(AN7+AN14+AN31)+2*(AO7+AO14+AO31)</f>
        <v>1</v>
      </c>
      <c r="AO85" s="337"/>
      <c r="AP85" s="337">
        <f>(AP7+AP14+AP31)+2*(AQ7+AQ14+AQ31)</f>
        <v>1</v>
      </c>
      <c r="AQ85" s="312"/>
      <c r="AR85" s="312">
        <f>(AR7+AR14+AR31)+2*(AS7+AS14+AS31)</f>
        <v>1</v>
      </c>
      <c r="AS85" s="313"/>
      <c r="AT85" s="313">
        <f>(AT7+AT14+AT31)+2*(AU7+AU14+AU31)</f>
        <v>0</v>
      </c>
      <c r="AU85" s="321"/>
      <c r="AV85" s="321">
        <f>(AV7+AV14+AV31)+2*(AW7+AW14+AW31)</f>
        <v>0</v>
      </c>
      <c r="AW85" s="322"/>
      <c r="AX85" s="322">
        <f>(AX7+AX14+AX31)+2*(AY7+AY14+AY31)</f>
        <v>1</v>
      </c>
      <c r="AY85" s="59"/>
      <c r="AZ85" s="274">
        <f>(AZ7+AZ14+AZ31)+2*(BA7+BA14+BA31)</f>
        <v>1</v>
      </c>
      <c r="BA85" s="119"/>
      <c r="BB85" s="275">
        <f>(BB7+BB14+BB31)+2*(BC7+BC14+BC31)</f>
        <v>1</v>
      </c>
      <c r="BC85" s="298"/>
      <c r="BD85" s="298">
        <f>(BD7+BD14+BD31)+2*(BE7+BE14+BE31)</f>
        <v>1</v>
      </c>
      <c r="BE85" s="119"/>
      <c r="BF85" s="59">
        <f>(BF7+BF14+BF31)+2*(BG7+BG14+BG31)</f>
        <v>1</v>
      </c>
      <c r="BG85" s="299"/>
      <c r="BH85" s="299">
        <f>(BH7+BH14+BH31)+2*(BI7+BI14+BI31)</f>
        <v>0</v>
      </c>
      <c r="BI85" s="300"/>
      <c r="BJ85" s="300">
        <f>(BJ7+BJ14+BJ31)+2*(BK7+BK14+BK31)</f>
        <v>0</v>
      </c>
      <c r="BK85" s="301"/>
      <c r="BL85" s="301">
        <f>(BL7+BL14+BL31)+2*(BM7+BM14+BM31)</f>
        <v>1</v>
      </c>
      <c r="BM85" s="279"/>
    </row>
    <row r="86" spans="1:75" s="126" customFormat="1" x14ac:dyDescent="0.25">
      <c r="A86" s="126" t="s">
        <v>162</v>
      </c>
      <c r="C86" s="8"/>
      <c r="D86" s="324"/>
      <c r="E86" s="304"/>
      <c r="F86" s="304"/>
      <c r="G86" s="304"/>
      <c r="H86" s="304">
        <v>6</v>
      </c>
      <c r="I86" s="304"/>
      <c r="J86" s="304"/>
      <c r="K86" s="304"/>
      <c r="L86" s="304"/>
      <c r="M86" s="304"/>
      <c r="N86" s="304"/>
      <c r="O86" s="304"/>
      <c r="P86" s="304"/>
      <c r="Q86" s="304"/>
      <c r="R86" s="304"/>
      <c r="S86" s="304"/>
      <c r="T86" s="304"/>
      <c r="U86" s="304"/>
      <c r="V86" s="304"/>
      <c r="W86" s="304"/>
      <c r="X86" s="304"/>
      <c r="Y86" s="304"/>
      <c r="Z86" s="304"/>
      <c r="AA86" s="304"/>
      <c r="AB86" s="304"/>
      <c r="AC86" s="304"/>
      <c r="AD86" s="304"/>
      <c r="AE86" s="304"/>
      <c r="AF86" s="304"/>
      <c r="AG86" s="304"/>
      <c r="AH86" s="304"/>
      <c r="AI86" s="304"/>
      <c r="AJ86" s="304"/>
      <c r="AK86" s="304"/>
      <c r="AL86" s="304"/>
      <c r="AM86" s="304"/>
      <c r="AN86" s="304"/>
      <c r="AO86" s="304"/>
      <c r="AP86" s="304"/>
      <c r="AQ86" s="304"/>
      <c r="AR86" s="304"/>
      <c r="AS86" s="304"/>
      <c r="AT86" s="304"/>
      <c r="AU86" s="304"/>
      <c r="AV86" s="304"/>
      <c r="AW86" s="304"/>
      <c r="AX86" s="313"/>
      <c r="AY86" s="304"/>
      <c r="AZ86" s="304"/>
      <c r="BA86" s="304"/>
      <c r="BB86" s="304"/>
      <c r="BC86" s="304"/>
      <c r="BD86" s="304"/>
      <c r="BE86" s="304"/>
      <c r="BF86" s="304"/>
      <c r="BG86" s="304"/>
      <c r="BH86" s="304"/>
      <c r="BI86" s="304"/>
      <c r="BJ86" s="304"/>
      <c r="BK86" s="304"/>
      <c r="BL86" s="304"/>
      <c r="BM86" s="304"/>
    </row>
    <row r="87" spans="1:75" s="126" customFormat="1" x14ac:dyDescent="0.25">
      <c r="A87" s="126" t="s">
        <v>163</v>
      </c>
      <c r="C87" s="8"/>
      <c r="D87" s="324"/>
      <c r="E87" s="304"/>
      <c r="F87" s="304"/>
      <c r="G87" s="304"/>
      <c r="H87" s="304">
        <v>4</v>
      </c>
      <c r="I87" s="304"/>
      <c r="J87" s="304"/>
      <c r="K87" s="304"/>
      <c r="L87" s="304"/>
      <c r="M87" s="304"/>
      <c r="N87" s="304"/>
      <c r="O87" s="304"/>
      <c r="P87" s="304"/>
      <c r="Q87" s="304"/>
      <c r="R87" s="304"/>
      <c r="S87" s="304"/>
      <c r="T87" s="304"/>
      <c r="U87" s="304"/>
      <c r="V87" s="304"/>
      <c r="W87" s="304"/>
      <c r="X87" s="304"/>
      <c r="Y87" s="304"/>
      <c r="Z87" s="304"/>
      <c r="AA87" s="304"/>
      <c r="AB87" s="304"/>
      <c r="AC87" s="304"/>
      <c r="AD87" s="304"/>
      <c r="AE87" s="304"/>
      <c r="AF87" s="304"/>
      <c r="AG87" s="304"/>
      <c r="AH87" s="304"/>
      <c r="AI87" s="304"/>
      <c r="AJ87" s="304"/>
      <c r="AK87" s="304"/>
      <c r="AL87" s="304"/>
      <c r="AM87" s="304"/>
      <c r="AN87" s="304"/>
      <c r="AO87" s="304"/>
      <c r="AP87" s="304"/>
      <c r="AQ87" s="304"/>
      <c r="AR87" s="304"/>
      <c r="AS87" s="304"/>
      <c r="AT87" s="304"/>
      <c r="AU87" s="304"/>
      <c r="AV87" s="304"/>
      <c r="AW87" s="304"/>
      <c r="AX87" s="313"/>
      <c r="AY87" s="304"/>
      <c r="AZ87" s="304"/>
      <c r="BA87" s="304"/>
      <c r="BB87" s="304"/>
      <c r="BC87" s="304"/>
      <c r="BD87" s="304"/>
      <c r="BE87" s="304"/>
      <c r="BF87" s="304"/>
      <c r="BG87" s="304"/>
      <c r="BH87" s="304"/>
      <c r="BI87" s="304"/>
      <c r="BJ87" s="304"/>
      <c r="BK87" s="304"/>
      <c r="BL87" s="304"/>
      <c r="BM87" s="304"/>
    </row>
    <row r="88" spans="1:75" ht="15" customHeight="1" x14ac:dyDescent="0.25">
      <c r="A88" s="126" t="s">
        <v>158</v>
      </c>
      <c r="D88" s="324">
        <f>(D18)+2*(E18)</f>
        <v>5</v>
      </c>
      <c r="E88" s="324"/>
      <c r="F88" s="324">
        <f>(F18)+2*(G18)</f>
        <v>5</v>
      </c>
      <c r="P88" s="280"/>
      <c r="Q88" s="280"/>
      <c r="R88" s="280"/>
      <c r="S88" s="280"/>
      <c r="T88" s="280"/>
      <c r="U88" s="280"/>
      <c r="V88" s="280"/>
      <c r="W88" s="280"/>
      <c r="X88" s="340"/>
      <c r="Y88" s="280"/>
      <c r="Z88" s="280"/>
      <c r="AA88" s="280"/>
      <c r="AB88" s="280"/>
      <c r="AC88" s="280"/>
      <c r="AD88" s="280"/>
      <c r="AE88" s="280"/>
      <c r="AF88" s="280"/>
      <c r="AG88" s="280"/>
      <c r="AH88" s="280"/>
      <c r="AI88" s="280"/>
      <c r="AJ88" s="280"/>
      <c r="AK88" s="280"/>
      <c r="AL88" s="280"/>
      <c r="AM88" s="280"/>
      <c r="AN88" s="280"/>
      <c r="AO88" s="280"/>
      <c r="AP88" s="280"/>
      <c r="AQ88" s="280"/>
      <c r="AR88" s="280"/>
      <c r="AS88" s="280"/>
      <c r="AT88" s="280"/>
      <c r="AU88" s="280"/>
      <c r="AV88" s="280"/>
      <c r="AW88" s="126"/>
      <c r="AX88" s="313">
        <f>(AX18)+2*(AY18)</f>
        <v>0</v>
      </c>
      <c r="AY88" s="313"/>
      <c r="AZ88" s="313">
        <f t="shared" ref="AZ88:BF88" si="22">(AZ18)+2*(BA18)</f>
        <v>0</v>
      </c>
      <c r="BA88" s="313"/>
      <c r="BB88" s="313">
        <f t="shared" si="22"/>
        <v>0</v>
      </c>
      <c r="BC88" s="313"/>
      <c r="BD88" s="313">
        <f t="shared" si="22"/>
        <v>0</v>
      </c>
      <c r="BE88" s="313"/>
      <c r="BF88" s="313">
        <f t="shared" si="22"/>
        <v>0</v>
      </c>
      <c r="BG88" s="126"/>
      <c r="BH88" s="126"/>
      <c r="BI88" s="126"/>
      <c r="BJ88" s="126"/>
      <c r="BK88" s="126"/>
      <c r="BL88" s="126"/>
      <c r="BM88" s="126"/>
      <c r="BN88" s="126"/>
      <c r="BO88" s="126"/>
      <c r="BP88" s="126"/>
      <c r="BQ88" s="126"/>
      <c r="BR88" s="126"/>
    </row>
    <row r="89" spans="1:75" x14ac:dyDescent="0.25">
      <c r="A89" s="126" t="s">
        <v>157</v>
      </c>
      <c r="D89" s="324">
        <f>(D19)+2*(E19)</f>
        <v>2</v>
      </c>
      <c r="E89" s="324"/>
      <c r="F89" s="324">
        <f>(F19)+2*(G19)</f>
        <v>2</v>
      </c>
      <c r="X89" s="340"/>
      <c r="AX89" s="322">
        <f>(AX19)+2*(AY19)</f>
        <v>0</v>
      </c>
      <c r="AY89" s="313"/>
      <c r="AZ89" s="313">
        <f t="shared" ref="AZ89:BF89" si="23">(AZ19)+2*(BA19)</f>
        <v>0</v>
      </c>
      <c r="BA89" s="313"/>
      <c r="BB89" s="313">
        <f t="shared" si="23"/>
        <v>0</v>
      </c>
      <c r="BC89" s="313"/>
      <c r="BD89" s="313">
        <f t="shared" si="23"/>
        <v>0</v>
      </c>
      <c r="BE89" s="313"/>
      <c r="BF89" s="313">
        <f t="shared" si="23"/>
        <v>0</v>
      </c>
    </row>
    <row r="90" spans="1:75" x14ac:dyDescent="0.25">
      <c r="A90" s="126" t="s">
        <v>186</v>
      </c>
      <c r="X90" s="334">
        <f>(X20)+2*(Y20)</f>
        <v>1</v>
      </c>
      <c r="Y90" s="126"/>
      <c r="Z90" s="126"/>
      <c r="AA90" s="126"/>
      <c r="AB90" s="126"/>
      <c r="AC90" s="126"/>
      <c r="AD90" s="126"/>
      <c r="AE90" s="126"/>
      <c r="AF90" s="126"/>
      <c r="AG90" s="126"/>
      <c r="AH90" s="126"/>
      <c r="AI90" s="126"/>
      <c r="AJ90" s="126"/>
      <c r="AK90" s="126"/>
      <c r="AL90" s="126"/>
      <c r="AM90" s="126"/>
      <c r="AN90" s="126"/>
      <c r="AO90" s="126"/>
      <c r="AP90" s="126"/>
      <c r="AQ90" s="126"/>
      <c r="AR90" s="126"/>
      <c r="AS90" s="126"/>
      <c r="AT90" s="126"/>
      <c r="AU90" s="126"/>
      <c r="AV90" s="126"/>
      <c r="AW90" s="126"/>
      <c r="AX90" s="313"/>
      <c r="AY90" s="126"/>
      <c r="BB90" s="359">
        <f t="shared" ref="BB90:BB93" si="24">(BB20)+2*(BC20)</f>
        <v>2</v>
      </c>
    </row>
    <row r="91" spans="1:75" x14ac:dyDescent="0.25">
      <c r="A91" s="126" t="s">
        <v>125</v>
      </c>
      <c r="X91" s="334">
        <f t="shared" ref="X91:X93" si="25">(X21)+2*(Y21)</f>
        <v>4</v>
      </c>
      <c r="BB91" s="359">
        <f t="shared" si="24"/>
        <v>4</v>
      </c>
    </row>
    <row r="92" spans="1:75" x14ac:dyDescent="0.25">
      <c r="A92" s="126" t="s">
        <v>180</v>
      </c>
      <c r="X92" s="340">
        <f t="shared" si="25"/>
        <v>10</v>
      </c>
      <c r="AZ92" s="126"/>
      <c r="BB92" s="342">
        <f t="shared" si="24"/>
        <v>20</v>
      </c>
    </row>
    <row r="93" spans="1:75" x14ac:dyDescent="0.25">
      <c r="A93" s="126" t="s">
        <v>181</v>
      </c>
      <c r="X93" s="340">
        <f t="shared" si="25"/>
        <v>14</v>
      </c>
      <c r="AZ93" s="126"/>
      <c r="BB93" s="342">
        <f t="shared" si="24"/>
        <v>21</v>
      </c>
    </row>
    <row r="94" spans="1:75" x14ac:dyDescent="0.25">
      <c r="A94" s="126" t="s">
        <v>192</v>
      </c>
      <c r="AZ94" s="340">
        <f>(AZ24)+2*(BA24)</f>
        <v>10</v>
      </c>
    </row>
    <row r="95" spans="1:75" x14ac:dyDescent="0.25">
      <c r="A95" s="126" t="s">
        <v>193</v>
      </c>
      <c r="AZ95" s="340">
        <f>(AZ25)+2*(BA25)</f>
        <v>10</v>
      </c>
    </row>
    <row r="96" spans="1:75" ht="12" customHeight="1" x14ac:dyDescent="0.25">
      <c r="A96" s="341"/>
      <c r="B96" s="341"/>
      <c r="C96" s="341"/>
      <c r="D96" s="341"/>
      <c r="E96" s="341"/>
      <c r="F96" s="341"/>
      <c r="G96" s="341"/>
      <c r="H96" s="341"/>
      <c r="I96" s="341"/>
      <c r="J96" s="341"/>
      <c r="K96" s="341"/>
      <c r="L96" s="341"/>
      <c r="M96" s="341"/>
      <c r="N96" s="341"/>
      <c r="O96" s="341"/>
      <c r="P96" s="341"/>
      <c r="Q96" s="341"/>
      <c r="R96" s="341"/>
      <c r="S96" s="341"/>
      <c r="T96" s="341"/>
      <c r="U96" s="341"/>
      <c r="V96" s="341"/>
      <c r="W96" s="341"/>
      <c r="X96" s="341"/>
      <c r="Y96" s="341"/>
      <c r="Z96" s="341"/>
      <c r="AA96" s="341"/>
      <c r="AB96" s="341"/>
      <c r="AC96" s="341"/>
      <c r="AD96" s="341"/>
      <c r="AE96" s="341"/>
      <c r="AF96" s="341"/>
      <c r="AG96" s="341"/>
      <c r="AH96" s="341"/>
      <c r="AI96" s="341"/>
      <c r="AJ96" s="341"/>
      <c r="AK96" s="341"/>
      <c r="AL96" s="341"/>
      <c r="AM96" s="341"/>
      <c r="AN96" s="341"/>
      <c r="AO96" s="341"/>
      <c r="AP96" s="341"/>
      <c r="AQ96" s="341"/>
      <c r="AR96" s="341"/>
      <c r="AS96" s="341"/>
      <c r="AT96" s="341"/>
      <c r="AU96" s="341"/>
      <c r="AV96" s="341"/>
      <c r="AW96" s="341"/>
      <c r="AX96" s="341"/>
      <c r="AY96" s="341"/>
      <c r="AZ96" s="341"/>
      <c r="BA96" s="341"/>
      <c r="BB96" s="341"/>
      <c r="BC96" s="341"/>
      <c r="BD96" s="341"/>
      <c r="BE96" s="341"/>
      <c r="BF96" s="341"/>
      <c r="BG96" s="341"/>
      <c r="BH96" s="341"/>
      <c r="BI96" s="341"/>
      <c r="BJ96" s="341"/>
      <c r="BK96" s="341"/>
      <c r="BL96" s="341"/>
      <c r="BM96" s="341"/>
      <c r="BN96" s="341"/>
      <c r="BO96" s="341"/>
      <c r="BP96" s="341"/>
      <c r="BQ96" s="341"/>
      <c r="BR96" s="341"/>
      <c r="BS96" s="341"/>
      <c r="BT96" s="341"/>
      <c r="BU96" s="341"/>
      <c r="BV96" s="341"/>
      <c r="BW96" s="341"/>
    </row>
    <row r="98" spans="10:72" x14ac:dyDescent="0.25">
      <c r="J98" s="280"/>
      <c r="K98" s="280"/>
      <c r="L98" s="280"/>
      <c r="M98" s="280"/>
      <c r="N98" s="280"/>
      <c r="O98" s="280"/>
      <c r="P98" s="280"/>
      <c r="Q98" s="280"/>
      <c r="R98" s="280"/>
      <c r="S98" s="280"/>
      <c r="T98" s="280"/>
      <c r="U98" s="280"/>
      <c r="V98" s="280"/>
      <c r="W98" s="280"/>
      <c r="X98" s="280"/>
      <c r="Y98" s="280"/>
      <c r="Z98" s="280"/>
      <c r="AA98" s="280"/>
      <c r="AB98" s="280"/>
      <c r="AC98" s="280"/>
      <c r="AD98" s="280"/>
      <c r="AE98" s="280"/>
      <c r="AF98" s="280"/>
      <c r="AG98" s="280"/>
      <c r="AH98" s="280"/>
      <c r="AI98" s="280"/>
      <c r="AJ98" s="280"/>
      <c r="AK98" s="280"/>
      <c r="AL98" s="280"/>
      <c r="AM98" s="280"/>
      <c r="AN98" s="280"/>
      <c r="AO98" s="280"/>
      <c r="AP98" s="280"/>
      <c r="AQ98" s="280"/>
      <c r="AR98" s="280"/>
      <c r="AS98" s="280"/>
      <c r="AT98" s="280"/>
      <c r="AU98" s="280"/>
      <c r="AV98" s="280"/>
      <c r="AW98" s="280"/>
      <c r="AX98" s="280"/>
      <c r="AY98" s="280"/>
      <c r="AZ98" s="280"/>
      <c r="BA98" s="280"/>
      <c r="BB98" s="280"/>
      <c r="BC98" s="280"/>
      <c r="BD98" s="280"/>
      <c r="BE98" s="280"/>
      <c r="BF98" s="280"/>
      <c r="BG98" s="280"/>
      <c r="BH98" s="280"/>
      <c r="BI98" s="280"/>
      <c r="BJ98" s="280"/>
      <c r="BK98" s="280"/>
      <c r="BL98" s="280"/>
      <c r="BM98" s="280"/>
      <c r="BN98" s="280"/>
      <c r="BO98" s="280"/>
      <c r="BP98" s="280"/>
      <c r="BQ98" s="280"/>
      <c r="BR98" s="280"/>
      <c r="BS98" s="280"/>
      <c r="BT98" s="280"/>
    </row>
    <row r="99" spans="10:72" x14ac:dyDescent="0.25">
      <c r="J99" s="280"/>
      <c r="K99" s="280"/>
      <c r="L99" s="280"/>
      <c r="M99" s="280"/>
      <c r="N99" s="280"/>
      <c r="O99" s="280"/>
      <c r="P99" s="280"/>
      <c r="Q99" s="280"/>
      <c r="R99" s="280"/>
      <c r="S99" s="280"/>
      <c r="T99" s="280"/>
      <c r="U99" s="280"/>
      <c r="V99" s="280"/>
      <c r="W99" s="280"/>
      <c r="X99" s="280"/>
      <c r="Y99" s="280"/>
      <c r="Z99" s="280"/>
      <c r="AA99" s="280"/>
      <c r="AB99" s="280"/>
      <c r="AC99" s="280"/>
      <c r="AD99" s="280"/>
      <c r="AE99" s="280"/>
      <c r="AF99" s="280"/>
      <c r="AG99" s="280"/>
      <c r="AH99" s="280"/>
      <c r="AI99" s="280"/>
      <c r="AJ99" s="280"/>
      <c r="AK99" s="280"/>
      <c r="AL99" s="280"/>
      <c r="AM99" s="280"/>
      <c r="AN99" s="280"/>
      <c r="AO99" s="280"/>
      <c r="AP99" s="280"/>
      <c r="AQ99" s="280"/>
      <c r="AR99" s="280"/>
      <c r="AS99" s="280"/>
      <c r="AT99" s="280"/>
      <c r="AU99" s="280"/>
      <c r="AV99" s="280"/>
      <c r="AW99" s="280"/>
      <c r="AX99" s="280"/>
      <c r="AY99" s="280"/>
      <c r="AZ99" s="280"/>
      <c r="BA99" s="280"/>
      <c r="BB99" s="280"/>
      <c r="BC99" s="280"/>
      <c r="BD99" s="280"/>
      <c r="BE99" s="280"/>
      <c r="BF99" s="280"/>
      <c r="BG99" s="280"/>
      <c r="BH99" s="280"/>
      <c r="BI99" s="280"/>
      <c r="BJ99" s="280"/>
      <c r="BK99" s="280"/>
      <c r="BL99" s="280"/>
      <c r="BM99" s="280"/>
      <c r="BN99" s="280"/>
      <c r="BO99" s="280"/>
      <c r="BP99" s="280"/>
      <c r="BQ99" s="280"/>
      <c r="BR99" s="280"/>
      <c r="BS99" s="280"/>
      <c r="BT99" s="280"/>
    </row>
    <row r="100" spans="10:72" x14ac:dyDescent="0.25"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80"/>
      <c r="AB100" s="280"/>
      <c r="AC100" s="280"/>
      <c r="AD100" s="280"/>
      <c r="AE100" s="280"/>
      <c r="AF100" s="280"/>
      <c r="AG100" s="280"/>
      <c r="AH100" s="280"/>
      <c r="AI100" s="280"/>
      <c r="AJ100" s="280"/>
      <c r="AK100" s="280"/>
      <c r="AL100" s="280"/>
      <c r="AM100" s="280"/>
      <c r="AN100" s="280"/>
      <c r="AO100" s="280"/>
      <c r="AP100" s="280"/>
      <c r="AQ100" s="280"/>
      <c r="AR100" s="280"/>
      <c r="AS100" s="280"/>
      <c r="AT100" s="280"/>
      <c r="AU100" s="280"/>
      <c r="AV100" s="280"/>
      <c r="AW100" s="280"/>
      <c r="AX100" s="280"/>
      <c r="AY100" s="280"/>
      <c r="AZ100" s="280"/>
      <c r="BA100" s="280"/>
      <c r="BB100" s="280"/>
      <c r="BC100" s="280"/>
      <c r="BD100" s="280"/>
      <c r="BE100" s="280"/>
      <c r="BF100" s="280"/>
      <c r="BG100" s="280"/>
      <c r="BH100" s="280"/>
      <c r="BI100" s="280"/>
      <c r="BJ100" s="280"/>
      <c r="BK100" s="280"/>
      <c r="BL100" s="280"/>
      <c r="BM100" s="280"/>
      <c r="BN100" s="280"/>
      <c r="BO100" s="280"/>
      <c r="BP100" s="280"/>
      <c r="BQ100" s="280"/>
      <c r="BR100" s="280"/>
      <c r="BS100" s="280"/>
      <c r="BT100" s="280"/>
    </row>
    <row r="101" spans="10:72" x14ac:dyDescent="0.25"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80"/>
      <c r="AB101" s="280"/>
      <c r="AC101" s="280"/>
      <c r="AD101" s="280"/>
      <c r="AE101" s="280"/>
      <c r="AF101" s="280"/>
      <c r="AG101" s="280"/>
      <c r="AH101" s="280"/>
      <c r="AI101" s="280"/>
      <c r="AJ101" s="280"/>
      <c r="AK101" s="280"/>
      <c r="AL101" s="280"/>
      <c r="AM101" s="280"/>
      <c r="AN101" s="280"/>
      <c r="AO101" s="280"/>
      <c r="AP101" s="280"/>
      <c r="AQ101" s="280"/>
      <c r="AR101" s="280"/>
      <c r="AS101" s="280"/>
      <c r="AT101" s="280"/>
      <c r="AU101" s="280"/>
      <c r="AV101" s="280"/>
      <c r="AW101" s="280"/>
      <c r="AX101" s="280"/>
      <c r="AY101" s="280"/>
      <c r="AZ101" s="280"/>
      <c r="BA101" s="280"/>
      <c r="BB101" s="280"/>
      <c r="BC101" s="280"/>
      <c r="BD101" s="280"/>
      <c r="BE101" s="280"/>
      <c r="BF101" s="280"/>
      <c r="BG101" s="280"/>
      <c r="BH101" s="280"/>
      <c r="BI101" s="280"/>
      <c r="BJ101" s="280"/>
      <c r="BK101" s="280"/>
      <c r="BL101" s="280"/>
      <c r="BM101" s="280"/>
      <c r="BN101" s="280"/>
      <c r="BO101" s="280"/>
      <c r="BP101" s="280"/>
      <c r="BQ101" s="280"/>
      <c r="BR101" s="280"/>
      <c r="BS101" s="280"/>
      <c r="BT101" s="280"/>
    </row>
    <row r="102" spans="10:72" x14ac:dyDescent="0.25"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  <c r="AA102" s="280"/>
      <c r="AB102" s="280"/>
      <c r="AC102" s="280"/>
      <c r="AD102" s="280"/>
      <c r="AE102" s="280"/>
      <c r="AF102" s="280"/>
      <c r="AG102" s="280"/>
      <c r="AH102" s="280"/>
      <c r="AI102" s="280"/>
      <c r="AJ102" s="280"/>
      <c r="AK102" s="280"/>
      <c r="AL102" s="280"/>
      <c r="AM102" s="280"/>
      <c r="AN102" s="280"/>
      <c r="AO102" s="280"/>
      <c r="AP102" s="280"/>
      <c r="AQ102" s="280"/>
      <c r="AR102" s="280"/>
      <c r="AS102" s="280"/>
      <c r="AT102" s="280"/>
      <c r="AU102" s="280"/>
      <c r="AV102" s="280"/>
      <c r="AW102" s="280"/>
      <c r="AX102" s="280"/>
      <c r="AY102" s="280"/>
      <c r="AZ102" s="280"/>
      <c r="BA102" s="280"/>
      <c r="BB102" s="280"/>
      <c r="BC102" s="280"/>
      <c r="BD102" s="280"/>
      <c r="BE102" s="280"/>
      <c r="BF102" s="280"/>
      <c r="BG102" s="280"/>
      <c r="BH102" s="280"/>
      <c r="BI102" s="280"/>
      <c r="BJ102" s="280"/>
      <c r="BK102" s="280"/>
      <c r="BL102" s="280"/>
      <c r="BM102" s="280"/>
      <c r="BN102" s="280"/>
      <c r="BO102" s="280"/>
      <c r="BP102" s="280"/>
      <c r="BQ102" s="280"/>
      <c r="BR102" s="280"/>
      <c r="BS102" s="280"/>
      <c r="BT102" s="280"/>
    </row>
    <row r="103" spans="10:72" x14ac:dyDescent="0.25">
      <c r="J103" s="280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0"/>
      <c r="V103" s="280"/>
      <c r="W103" s="280"/>
      <c r="X103" s="280"/>
      <c r="Y103" s="280"/>
      <c r="Z103" s="280"/>
      <c r="AA103" s="280"/>
      <c r="AB103" s="280"/>
      <c r="AC103" s="280"/>
      <c r="AD103" s="280"/>
      <c r="AE103" s="280"/>
      <c r="AF103" s="280"/>
      <c r="AG103" s="280"/>
      <c r="AH103" s="280"/>
      <c r="AI103" s="280"/>
      <c r="AJ103" s="280"/>
      <c r="AK103" s="280"/>
      <c r="AL103" s="280"/>
      <c r="AM103" s="280"/>
      <c r="AN103" s="280"/>
      <c r="AO103" s="280"/>
      <c r="AP103" s="280"/>
      <c r="AQ103" s="280"/>
      <c r="AR103" s="280"/>
      <c r="AS103" s="280"/>
      <c r="AT103" s="280"/>
      <c r="AU103" s="280"/>
      <c r="AV103" s="280"/>
      <c r="AW103" s="280"/>
      <c r="AX103" s="280"/>
      <c r="AY103" s="280"/>
      <c r="AZ103" s="280"/>
      <c r="BA103" s="280"/>
      <c r="BB103" s="280"/>
      <c r="BC103" s="280"/>
      <c r="BD103" s="280"/>
      <c r="BE103" s="280"/>
      <c r="BF103" s="280"/>
      <c r="BG103" s="280"/>
      <c r="BH103" s="280"/>
      <c r="BI103" s="280"/>
      <c r="BJ103" s="280"/>
      <c r="BK103" s="280"/>
      <c r="BL103" s="280"/>
      <c r="BM103" s="280"/>
      <c r="BN103" s="280"/>
      <c r="BO103" s="280"/>
      <c r="BP103" s="280"/>
      <c r="BQ103" s="280"/>
      <c r="BR103" s="280"/>
      <c r="BS103" s="280"/>
      <c r="BT103" s="280"/>
    </row>
    <row r="104" spans="10:72" x14ac:dyDescent="0.25">
      <c r="J104" s="280"/>
      <c r="K104" s="280"/>
      <c r="L104" s="280"/>
      <c r="M104" s="280"/>
      <c r="N104" s="280"/>
      <c r="O104" s="280"/>
      <c r="P104" s="280"/>
      <c r="Q104" s="280"/>
      <c r="R104" s="280"/>
      <c r="S104" s="280"/>
      <c r="T104" s="280"/>
      <c r="U104" s="280"/>
      <c r="V104" s="280"/>
      <c r="W104" s="280"/>
      <c r="X104" s="280"/>
      <c r="Y104" s="280"/>
      <c r="Z104" s="280"/>
      <c r="AA104" s="280"/>
      <c r="AB104" s="280"/>
      <c r="AC104" s="280"/>
      <c r="AD104" s="280"/>
      <c r="AE104" s="280"/>
      <c r="AF104" s="280"/>
      <c r="AG104" s="280"/>
      <c r="AH104" s="280"/>
      <c r="AI104" s="280"/>
      <c r="AJ104" s="280"/>
      <c r="AK104" s="280"/>
      <c r="AL104" s="280"/>
      <c r="AM104" s="280"/>
      <c r="AN104" s="280"/>
      <c r="AO104" s="280"/>
      <c r="AP104" s="280"/>
      <c r="AQ104" s="280"/>
      <c r="AR104" s="280"/>
      <c r="AS104" s="280"/>
      <c r="AT104" s="280"/>
      <c r="AU104" s="280"/>
      <c r="AV104" s="280"/>
      <c r="AW104" s="280"/>
      <c r="AX104" s="280"/>
      <c r="AY104" s="280"/>
      <c r="AZ104" s="280"/>
      <c r="BA104" s="280"/>
      <c r="BB104" s="280"/>
      <c r="BC104" s="280"/>
      <c r="BD104" s="280"/>
      <c r="BE104" s="280"/>
      <c r="BF104" s="280"/>
      <c r="BG104" s="280"/>
      <c r="BH104" s="280"/>
      <c r="BI104" s="280"/>
      <c r="BJ104" s="280"/>
      <c r="BK104" s="280"/>
      <c r="BL104" s="280"/>
      <c r="BM104" s="280"/>
      <c r="BN104" s="280"/>
      <c r="BO104" s="280"/>
      <c r="BP104" s="280"/>
      <c r="BQ104" s="280"/>
      <c r="BR104" s="280"/>
      <c r="BS104" s="280"/>
      <c r="BT104" s="280"/>
    </row>
    <row r="105" spans="10:72" x14ac:dyDescent="0.25">
      <c r="J105" s="280"/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  <c r="AA105" s="280"/>
      <c r="AB105" s="280"/>
      <c r="AC105" s="280"/>
      <c r="AD105" s="280"/>
      <c r="AE105" s="280"/>
      <c r="AF105" s="280"/>
      <c r="AG105" s="280"/>
      <c r="AH105" s="280"/>
      <c r="AI105" s="280"/>
      <c r="AJ105" s="280"/>
      <c r="AK105" s="280"/>
      <c r="AL105" s="280"/>
      <c r="AM105" s="280"/>
      <c r="AN105" s="280"/>
      <c r="AO105" s="280"/>
      <c r="AP105" s="280"/>
      <c r="AQ105" s="280"/>
      <c r="AR105" s="280"/>
      <c r="AS105" s="280"/>
      <c r="AT105" s="280"/>
      <c r="AU105" s="280"/>
      <c r="AV105" s="280"/>
      <c r="AW105" s="280"/>
      <c r="AX105" s="280"/>
      <c r="AY105" s="280"/>
      <c r="AZ105" s="280"/>
      <c r="BA105" s="280"/>
      <c r="BB105" s="280"/>
      <c r="BC105" s="280"/>
      <c r="BD105" s="280"/>
      <c r="BE105" s="280"/>
      <c r="BF105" s="280"/>
      <c r="BG105" s="280"/>
      <c r="BH105" s="280"/>
      <c r="BI105" s="280"/>
      <c r="BJ105" s="280"/>
      <c r="BK105" s="280"/>
      <c r="BL105" s="280"/>
      <c r="BM105" s="280"/>
      <c r="BN105" s="280"/>
      <c r="BO105" s="280"/>
      <c r="BP105" s="280"/>
      <c r="BQ105" s="280"/>
      <c r="BR105" s="280"/>
      <c r="BS105" s="280"/>
      <c r="BT105" s="280"/>
    </row>
    <row r="106" spans="10:72" x14ac:dyDescent="0.25">
      <c r="J106" s="280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0"/>
      <c r="V106" s="280"/>
      <c r="W106" s="280"/>
      <c r="X106" s="280"/>
      <c r="Y106" s="280"/>
      <c r="Z106" s="280"/>
      <c r="AA106" s="280"/>
      <c r="AB106" s="280"/>
      <c r="AC106" s="280"/>
      <c r="AD106" s="280"/>
      <c r="AE106" s="280"/>
      <c r="AF106" s="280"/>
      <c r="AG106" s="280"/>
      <c r="AH106" s="280"/>
      <c r="AI106" s="280"/>
      <c r="AJ106" s="280"/>
      <c r="AK106" s="280"/>
      <c r="AL106" s="280"/>
      <c r="AM106" s="280"/>
      <c r="AN106" s="280"/>
      <c r="AO106" s="280"/>
      <c r="AP106" s="280"/>
      <c r="AQ106" s="280"/>
      <c r="AR106" s="280"/>
      <c r="AS106" s="280"/>
      <c r="AT106" s="280"/>
      <c r="AU106" s="280"/>
      <c r="AV106" s="280"/>
      <c r="AW106" s="280"/>
      <c r="AX106" s="280"/>
      <c r="AY106" s="280"/>
      <c r="AZ106" s="280"/>
      <c r="BA106" s="280"/>
      <c r="BB106" s="280"/>
      <c r="BC106" s="280"/>
      <c r="BD106" s="280"/>
      <c r="BE106" s="280"/>
      <c r="BF106" s="280"/>
      <c r="BG106" s="280"/>
      <c r="BH106" s="280"/>
      <c r="BI106" s="280"/>
      <c r="BJ106" s="280"/>
      <c r="BK106" s="280"/>
      <c r="BL106" s="280"/>
      <c r="BM106" s="280"/>
      <c r="BN106" s="280"/>
      <c r="BO106" s="280"/>
      <c r="BP106" s="280"/>
      <c r="BQ106" s="280"/>
      <c r="BR106" s="280"/>
      <c r="BS106" s="280"/>
      <c r="BT106" s="280"/>
    </row>
    <row r="107" spans="10:72" x14ac:dyDescent="0.25">
      <c r="J107" s="280"/>
      <c r="K107" s="280"/>
      <c r="L107" s="280"/>
      <c r="M107" s="280"/>
      <c r="N107" s="280"/>
      <c r="O107" s="280"/>
      <c r="P107" s="280"/>
      <c r="Q107" s="280"/>
      <c r="R107" s="280"/>
      <c r="S107" s="280"/>
      <c r="T107" s="280"/>
      <c r="U107" s="280"/>
      <c r="V107" s="280"/>
      <c r="W107" s="280"/>
      <c r="X107" s="280"/>
      <c r="Y107" s="280"/>
      <c r="Z107" s="280"/>
      <c r="AA107" s="280"/>
      <c r="AB107" s="280"/>
      <c r="AC107" s="280"/>
      <c r="AD107" s="280"/>
      <c r="AE107" s="280"/>
      <c r="AF107" s="280"/>
      <c r="AG107" s="280"/>
      <c r="AH107" s="280"/>
      <c r="AI107" s="280"/>
      <c r="AJ107" s="280"/>
      <c r="AK107" s="280"/>
      <c r="AL107" s="280"/>
      <c r="AM107" s="280"/>
      <c r="AN107" s="280"/>
      <c r="AO107" s="280"/>
      <c r="AP107" s="280"/>
      <c r="AQ107" s="280"/>
      <c r="AR107" s="280"/>
      <c r="AS107" s="280"/>
      <c r="AT107" s="280"/>
      <c r="AU107" s="280"/>
      <c r="AV107" s="280"/>
      <c r="AW107" s="280"/>
      <c r="AX107" s="280"/>
      <c r="AY107" s="280"/>
      <c r="AZ107" s="280"/>
      <c r="BA107" s="280"/>
      <c r="BB107" s="280"/>
      <c r="BC107" s="280"/>
      <c r="BD107" s="280"/>
      <c r="BE107" s="280"/>
      <c r="BF107" s="280"/>
      <c r="BG107" s="280"/>
      <c r="BH107" s="280"/>
      <c r="BI107" s="280"/>
      <c r="BJ107" s="280"/>
      <c r="BK107" s="280"/>
      <c r="BL107" s="280"/>
      <c r="BM107" s="280"/>
      <c r="BN107" s="280"/>
      <c r="BO107" s="280"/>
      <c r="BP107" s="280"/>
      <c r="BQ107" s="280"/>
      <c r="BR107" s="280"/>
      <c r="BS107" s="280"/>
      <c r="BT107" s="280"/>
    </row>
    <row r="108" spans="10:72" x14ac:dyDescent="0.25">
      <c r="J108" s="280"/>
      <c r="K108" s="280"/>
      <c r="L108" s="280"/>
      <c r="M108" s="280"/>
      <c r="N108" s="280"/>
      <c r="O108" s="280"/>
      <c r="P108" s="280"/>
      <c r="Q108" s="280"/>
      <c r="R108" s="280"/>
      <c r="S108" s="280"/>
      <c r="T108" s="280"/>
      <c r="U108" s="280"/>
      <c r="V108" s="280"/>
      <c r="W108" s="280"/>
      <c r="X108" s="280"/>
      <c r="Y108" s="280"/>
      <c r="Z108" s="280"/>
      <c r="AA108" s="280"/>
      <c r="AB108" s="280"/>
      <c r="AC108" s="280"/>
      <c r="AD108" s="280"/>
      <c r="AE108" s="280"/>
      <c r="AF108" s="280"/>
      <c r="AG108" s="280"/>
      <c r="AH108" s="280"/>
      <c r="AI108" s="280"/>
      <c r="AJ108" s="280"/>
      <c r="AK108" s="280"/>
      <c r="AL108" s="280"/>
      <c r="AM108" s="280"/>
      <c r="AN108" s="280"/>
      <c r="AO108" s="280"/>
      <c r="AP108" s="280"/>
      <c r="AQ108" s="280"/>
      <c r="AR108" s="280"/>
      <c r="AS108" s="280"/>
      <c r="AT108" s="280"/>
      <c r="AU108" s="280"/>
      <c r="AV108" s="280"/>
      <c r="AW108" s="280"/>
      <c r="AX108" s="280"/>
      <c r="AY108" s="280"/>
      <c r="AZ108" s="280"/>
      <c r="BA108" s="280"/>
      <c r="BB108" s="280"/>
      <c r="BC108" s="280"/>
      <c r="BD108" s="280"/>
      <c r="BE108" s="280"/>
      <c r="BF108" s="280"/>
      <c r="BG108" s="280"/>
      <c r="BH108" s="280"/>
      <c r="BI108" s="280"/>
      <c r="BJ108" s="280"/>
      <c r="BK108" s="280"/>
      <c r="BL108" s="280"/>
      <c r="BM108" s="280"/>
      <c r="BN108" s="280"/>
      <c r="BO108" s="280"/>
      <c r="BP108" s="280"/>
      <c r="BQ108" s="280"/>
      <c r="BR108" s="280"/>
      <c r="BS108" s="280"/>
      <c r="BT108" s="280"/>
    </row>
    <row r="109" spans="10:72" ht="15.75" thickBot="1" x14ac:dyDescent="0.3">
      <c r="J109" s="280"/>
      <c r="K109" s="280"/>
      <c r="L109" s="280"/>
      <c r="M109" s="280"/>
      <c r="N109" s="280"/>
      <c r="O109" s="280"/>
      <c r="P109" s="280"/>
      <c r="Q109" s="280"/>
      <c r="R109" s="280"/>
      <c r="S109" s="280"/>
      <c r="T109" s="280"/>
      <c r="U109" s="280"/>
      <c r="V109" s="280"/>
      <c r="W109" s="280"/>
      <c r="X109" s="280"/>
      <c r="Y109" s="280"/>
      <c r="Z109" s="280"/>
      <c r="AA109" s="280"/>
      <c r="AB109" s="280"/>
      <c r="AC109" s="280"/>
      <c r="AD109" s="280"/>
      <c r="AE109" s="280"/>
      <c r="AF109" s="280"/>
      <c r="AG109" s="280"/>
      <c r="AH109" s="280"/>
      <c r="AI109" s="280"/>
      <c r="AJ109" s="280"/>
      <c r="AK109" s="280"/>
      <c r="AL109" s="280"/>
      <c r="AM109" s="280"/>
      <c r="AN109" s="280"/>
      <c r="AO109" s="280"/>
      <c r="AP109" s="280"/>
      <c r="AQ109" s="280"/>
      <c r="AR109" s="280"/>
      <c r="AS109" s="280"/>
      <c r="AT109" s="280"/>
      <c r="AU109" s="280"/>
      <c r="AV109" s="280"/>
      <c r="AW109" s="280"/>
      <c r="AX109" s="280"/>
      <c r="AY109" s="280"/>
      <c r="AZ109" s="280"/>
      <c r="BA109" s="280"/>
      <c r="BB109" s="280"/>
      <c r="BC109" s="280"/>
      <c r="BD109" s="280"/>
      <c r="BE109" s="280"/>
      <c r="BF109" s="280"/>
      <c r="BG109" s="280"/>
      <c r="BH109" s="280"/>
      <c r="BI109" s="280"/>
      <c r="BJ109" s="280"/>
      <c r="BK109" s="280"/>
      <c r="BL109" s="280"/>
      <c r="BM109" s="280"/>
      <c r="BN109" s="280"/>
      <c r="BO109" s="280"/>
      <c r="BP109" s="280"/>
      <c r="BQ109" s="280"/>
      <c r="BR109" s="280"/>
      <c r="BS109" s="280"/>
      <c r="BT109" s="280"/>
    </row>
    <row r="110" spans="10:72" ht="15.75" thickBot="1" x14ac:dyDescent="0.3">
      <c r="J110" s="280"/>
      <c r="K110" s="280"/>
      <c r="L110" s="280"/>
      <c r="M110" s="280"/>
      <c r="N110" s="280"/>
      <c r="O110" s="280"/>
      <c r="P110" s="280"/>
      <c r="Q110" s="280"/>
      <c r="R110" s="280"/>
      <c r="S110" s="280"/>
      <c r="T110" s="280"/>
      <c r="U110" s="280"/>
      <c r="V110" s="280"/>
      <c r="W110" s="280"/>
      <c r="X110" s="280"/>
      <c r="Y110" s="280"/>
      <c r="Z110" s="280"/>
      <c r="AA110" s="280"/>
      <c r="AB110" s="280"/>
      <c r="AC110" s="280"/>
      <c r="AD110" s="280"/>
      <c r="AE110" s="280"/>
      <c r="AF110" s="280"/>
      <c r="AG110" s="280"/>
      <c r="AH110" s="280"/>
      <c r="AI110" s="356">
        <v>7</v>
      </c>
      <c r="AJ110" s="356">
        <v>0</v>
      </c>
      <c r="AK110" s="356">
        <v>2</v>
      </c>
      <c r="AL110" s="356">
        <v>8</v>
      </c>
      <c r="AM110" s="356">
        <v>0</v>
      </c>
      <c r="AN110" s="356">
        <v>5</v>
      </c>
      <c r="AO110" s="357"/>
      <c r="AP110" s="357">
        <v>15</v>
      </c>
      <c r="AQ110" s="357">
        <v>0</v>
      </c>
      <c r="AR110" s="357">
        <v>39</v>
      </c>
      <c r="AS110" s="357">
        <v>13</v>
      </c>
      <c r="AT110" s="357">
        <v>1</v>
      </c>
      <c r="AU110" s="357">
        <v>36</v>
      </c>
      <c r="AV110" s="357"/>
      <c r="AW110" s="356">
        <v>7</v>
      </c>
      <c r="AX110" s="356">
        <v>0</v>
      </c>
      <c r="AY110" s="356">
        <v>2</v>
      </c>
      <c r="AZ110" s="356">
        <v>6</v>
      </c>
      <c r="BA110" s="356">
        <v>0</v>
      </c>
      <c r="BB110" s="356">
        <v>5</v>
      </c>
      <c r="BC110" s="280"/>
      <c r="BD110" s="280"/>
      <c r="BE110" s="280"/>
      <c r="BF110" s="280"/>
      <c r="BG110" s="280"/>
      <c r="BH110" s="280"/>
      <c r="BI110" s="280"/>
      <c r="BJ110" s="280"/>
      <c r="BK110" s="280"/>
      <c r="BL110" s="280"/>
      <c r="BM110" s="280"/>
      <c r="BN110" s="280"/>
      <c r="BO110" s="280"/>
      <c r="BP110" s="280"/>
      <c r="BQ110" s="280"/>
      <c r="BR110" s="280"/>
      <c r="BS110" s="280"/>
      <c r="BT110" s="280"/>
    </row>
    <row r="111" spans="10:72" ht="15.75" thickBot="1" x14ac:dyDescent="0.3"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80"/>
      <c r="AB111" s="280"/>
      <c r="AC111" s="280"/>
      <c r="AD111" s="280"/>
      <c r="AE111" s="280"/>
      <c r="AF111" s="280"/>
      <c r="AG111" s="280"/>
      <c r="AH111" s="280"/>
      <c r="AI111" s="356">
        <v>3</v>
      </c>
      <c r="AJ111" s="356">
        <v>0</v>
      </c>
      <c r="AK111" s="356">
        <v>8</v>
      </c>
      <c r="AL111" s="356">
        <v>2</v>
      </c>
      <c r="AM111" s="356">
        <v>0</v>
      </c>
      <c r="AN111" s="356">
        <v>5</v>
      </c>
      <c r="AO111" s="357"/>
      <c r="AP111" s="357">
        <v>1</v>
      </c>
      <c r="AQ111" s="357">
        <v>0</v>
      </c>
      <c r="AR111" s="357">
        <v>22</v>
      </c>
      <c r="AS111" s="357">
        <v>3</v>
      </c>
      <c r="AT111" s="357">
        <v>0</v>
      </c>
      <c r="AU111" s="357">
        <v>25</v>
      </c>
      <c r="AV111" s="357"/>
      <c r="AW111" s="356">
        <v>0</v>
      </c>
      <c r="AX111" s="356">
        <v>0</v>
      </c>
      <c r="AY111" s="356">
        <v>6</v>
      </c>
      <c r="AZ111" s="356">
        <v>0</v>
      </c>
      <c r="BA111" s="356">
        <v>0</v>
      </c>
      <c r="BB111" s="356">
        <v>2</v>
      </c>
      <c r="BC111" s="280"/>
      <c r="BD111" s="280"/>
      <c r="BE111" s="280"/>
      <c r="BF111" s="280"/>
      <c r="BG111" s="280"/>
      <c r="BH111" s="280"/>
      <c r="BI111" s="280"/>
      <c r="BJ111" s="280"/>
      <c r="BK111" s="280"/>
      <c r="BL111" s="280"/>
      <c r="BM111" s="280"/>
      <c r="BN111" s="280"/>
      <c r="BO111" s="280"/>
      <c r="BP111" s="280"/>
      <c r="BQ111" s="280"/>
      <c r="BR111" s="280"/>
      <c r="BS111" s="280"/>
      <c r="BT111" s="280"/>
    </row>
    <row r="112" spans="10:72" x14ac:dyDescent="0.25"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  <c r="AA112" s="280"/>
      <c r="AB112" s="280"/>
      <c r="AC112" s="280"/>
      <c r="AD112" s="280"/>
      <c r="AE112" s="280"/>
      <c r="AF112" s="280"/>
      <c r="AG112" s="280"/>
      <c r="AH112" s="280"/>
      <c r="AI112" s="280"/>
      <c r="AJ112" s="280"/>
      <c r="AK112" s="280"/>
      <c r="AL112" s="280"/>
      <c r="AM112" s="280"/>
      <c r="AN112" s="280"/>
      <c r="AO112" s="280"/>
      <c r="AP112" s="280"/>
      <c r="AQ112" s="280"/>
      <c r="AR112" s="280"/>
      <c r="AS112" s="280"/>
      <c r="AT112" s="280"/>
      <c r="AU112" s="280"/>
      <c r="AV112" s="280"/>
      <c r="AW112" s="280"/>
      <c r="AX112" s="280"/>
      <c r="AY112" s="280"/>
      <c r="AZ112" s="280"/>
      <c r="BA112" s="280"/>
      <c r="BB112" s="280"/>
      <c r="BC112" s="280"/>
      <c r="BD112" s="280"/>
      <c r="BE112" s="280"/>
      <c r="BF112" s="280"/>
      <c r="BG112" s="280"/>
      <c r="BH112" s="280"/>
      <c r="BI112" s="280"/>
      <c r="BJ112" s="280"/>
      <c r="BK112" s="280"/>
      <c r="BL112" s="280"/>
      <c r="BM112" s="280"/>
      <c r="BN112" s="280"/>
      <c r="BO112" s="280"/>
      <c r="BP112" s="280"/>
      <c r="BQ112" s="280"/>
      <c r="BR112" s="280"/>
      <c r="BS112" s="280"/>
      <c r="BT112" s="280"/>
    </row>
    <row r="113" spans="10:72" x14ac:dyDescent="0.25">
      <c r="J113" s="280"/>
      <c r="K113" s="280"/>
      <c r="L113" s="280"/>
      <c r="M113" s="280"/>
      <c r="N113" s="280"/>
      <c r="O113" s="280"/>
      <c r="P113" s="280"/>
      <c r="Q113" s="280"/>
      <c r="R113" s="280"/>
      <c r="S113" s="280"/>
      <c r="T113" s="280"/>
      <c r="U113" s="280"/>
      <c r="V113" s="280"/>
      <c r="W113" s="280"/>
      <c r="X113" s="280"/>
      <c r="Y113" s="280"/>
      <c r="Z113" s="280"/>
      <c r="AA113" s="280"/>
      <c r="AB113" s="280"/>
      <c r="AC113" s="280"/>
      <c r="AD113" s="280"/>
      <c r="AE113" s="280"/>
      <c r="AF113" s="280"/>
      <c r="AG113" s="280"/>
      <c r="AH113" s="280"/>
      <c r="AI113" s="280"/>
      <c r="AJ113" s="280"/>
      <c r="AK113" s="280"/>
      <c r="AL113" s="280"/>
      <c r="AM113" s="280"/>
      <c r="AN113" s="280"/>
      <c r="AO113" s="280"/>
      <c r="AP113" s="280"/>
      <c r="AQ113" s="280"/>
      <c r="AR113" s="280"/>
      <c r="AS113" s="280"/>
      <c r="AT113" s="280"/>
      <c r="AU113" s="280"/>
      <c r="AV113" s="280"/>
      <c r="AW113" s="280"/>
      <c r="AX113" s="280"/>
      <c r="AY113" s="280"/>
      <c r="AZ113" s="280"/>
      <c r="BA113" s="280"/>
      <c r="BB113" s="280"/>
      <c r="BC113" s="280"/>
      <c r="BD113" s="280"/>
      <c r="BE113" s="280"/>
      <c r="BF113" s="280"/>
      <c r="BG113" s="280"/>
      <c r="BH113" s="280"/>
      <c r="BI113" s="280"/>
      <c r="BJ113" s="280"/>
      <c r="BK113" s="280"/>
      <c r="BL113" s="280"/>
      <c r="BM113" s="280"/>
      <c r="BN113" s="280"/>
      <c r="BO113" s="280"/>
      <c r="BP113" s="280"/>
      <c r="BQ113" s="280"/>
      <c r="BR113" s="280"/>
      <c r="BS113" s="280"/>
      <c r="BT113" s="280"/>
    </row>
    <row r="114" spans="10:72" x14ac:dyDescent="0.25">
      <c r="J114" s="280"/>
      <c r="K114" s="280"/>
      <c r="L114" s="280"/>
      <c r="M114" s="280"/>
      <c r="N114" s="280"/>
      <c r="O114" s="280"/>
      <c r="P114" s="280"/>
      <c r="Q114" s="280"/>
      <c r="R114" s="280"/>
      <c r="S114" s="280"/>
      <c r="T114" s="280"/>
      <c r="U114" s="280"/>
      <c r="V114" s="280"/>
      <c r="W114" s="280"/>
      <c r="X114" s="280"/>
      <c r="Y114" s="280"/>
      <c r="Z114" s="280"/>
      <c r="AA114" s="280"/>
      <c r="AB114" s="280"/>
      <c r="AC114" s="280"/>
      <c r="AD114" s="280"/>
      <c r="AE114" s="280"/>
      <c r="AF114" s="280"/>
      <c r="AG114" s="280"/>
      <c r="AH114" s="280"/>
      <c r="AI114" s="280"/>
      <c r="AJ114" s="280"/>
      <c r="AK114" s="280"/>
      <c r="AL114" s="280"/>
      <c r="AM114" s="280"/>
      <c r="AN114" s="280"/>
      <c r="AO114" s="280"/>
      <c r="AP114" s="280"/>
      <c r="AQ114" s="280"/>
      <c r="AR114" s="280"/>
      <c r="AS114" s="280"/>
      <c r="AT114" s="280"/>
      <c r="AU114" s="280"/>
      <c r="AV114" s="280"/>
      <c r="AW114" s="280"/>
      <c r="AX114" s="280"/>
      <c r="AY114" s="280"/>
      <c r="AZ114" s="280"/>
      <c r="BA114" s="280"/>
      <c r="BB114" s="280"/>
      <c r="BC114" s="280"/>
      <c r="BD114" s="280"/>
      <c r="BE114" s="280"/>
      <c r="BF114" s="280"/>
      <c r="BG114" s="280"/>
      <c r="BH114" s="280"/>
      <c r="BI114" s="280"/>
      <c r="BJ114" s="280"/>
      <c r="BK114" s="280"/>
      <c r="BL114" s="280"/>
      <c r="BM114" s="280"/>
      <c r="BN114" s="280"/>
      <c r="BO114" s="280"/>
      <c r="BP114" s="280"/>
      <c r="BQ114" s="280"/>
      <c r="BR114" s="280"/>
      <c r="BS114" s="280"/>
      <c r="BT114" s="280"/>
    </row>
    <row r="115" spans="10:72" x14ac:dyDescent="0.25"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80"/>
      <c r="AB115" s="280"/>
      <c r="AC115" s="280"/>
      <c r="AD115" s="280"/>
      <c r="AE115" s="280"/>
      <c r="AF115" s="280"/>
      <c r="AG115" s="280"/>
      <c r="AH115" s="280"/>
      <c r="AI115" s="280"/>
      <c r="AJ115" s="280"/>
      <c r="AK115" s="280"/>
      <c r="AL115" s="280"/>
      <c r="AM115" s="280"/>
      <c r="AN115" s="280"/>
      <c r="AO115" s="280"/>
      <c r="AP115" s="280"/>
      <c r="AQ115" s="280"/>
      <c r="AR115" s="280"/>
      <c r="AS115" s="280"/>
      <c r="AT115" s="280"/>
      <c r="AU115" s="280"/>
      <c r="AV115" s="280"/>
      <c r="AW115" s="280"/>
      <c r="AX115" s="280"/>
      <c r="AY115" s="280"/>
      <c r="AZ115" s="280"/>
      <c r="BA115" s="280"/>
      <c r="BB115" s="280"/>
      <c r="BC115" s="280"/>
      <c r="BD115" s="280"/>
      <c r="BE115" s="280"/>
      <c r="BF115" s="280"/>
      <c r="BG115" s="280"/>
      <c r="BH115" s="280"/>
      <c r="BI115" s="280"/>
      <c r="BJ115" s="280"/>
      <c r="BK115" s="280"/>
      <c r="BL115" s="280"/>
      <c r="BM115" s="280"/>
      <c r="BN115" s="280"/>
      <c r="BO115" s="280"/>
      <c r="BP115" s="280"/>
      <c r="BQ115" s="280"/>
      <c r="BR115" s="280"/>
      <c r="BS115" s="280"/>
      <c r="BT115" s="280"/>
    </row>
    <row r="116" spans="10:72" x14ac:dyDescent="0.25"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80"/>
      <c r="AB116" s="280"/>
      <c r="AC116" s="280"/>
      <c r="AD116" s="280"/>
      <c r="AE116" s="280"/>
      <c r="AF116" s="280"/>
      <c r="AG116" s="280"/>
      <c r="AH116" s="280"/>
      <c r="AI116" s="280"/>
      <c r="AJ116" s="280"/>
      <c r="AK116" s="280"/>
      <c r="AL116" s="280"/>
      <c r="AM116" s="280"/>
      <c r="AN116" s="280"/>
      <c r="AO116" s="280"/>
      <c r="AP116" s="280"/>
      <c r="AQ116" s="280"/>
      <c r="AR116" s="280"/>
      <c r="AS116" s="280"/>
      <c r="AT116" s="280"/>
      <c r="AU116" s="280"/>
      <c r="AV116" s="280"/>
      <c r="AW116" s="280"/>
      <c r="AX116" s="280"/>
      <c r="AY116" s="280"/>
      <c r="AZ116" s="280"/>
      <c r="BA116" s="280"/>
      <c r="BB116" s="280"/>
      <c r="BC116" s="280"/>
      <c r="BD116" s="280"/>
      <c r="BE116" s="280"/>
      <c r="BF116" s="280"/>
      <c r="BG116" s="280"/>
      <c r="BH116" s="280"/>
      <c r="BI116" s="280"/>
      <c r="BJ116" s="280"/>
      <c r="BK116" s="280"/>
      <c r="BL116" s="280"/>
      <c r="BM116" s="280"/>
      <c r="BN116" s="280"/>
      <c r="BO116" s="280"/>
      <c r="BP116" s="280"/>
      <c r="BQ116" s="280"/>
      <c r="BR116" s="280"/>
      <c r="BS116" s="280"/>
      <c r="BT116" s="280"/>
    </row>
    <row r="117" spans="10:72" x14ac:dyDescent="0.25"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/>
      <c r="V117" s="280"/>
      <c r="W117" s="280"/>
      <c r="X117" s="280"/>
      <c r="Y117" s="280"/>
      <c r="Z117" s="280"/>
      <c r="AA117" s="280"/>
      <c r="AB117" s="280"/>
      <c r="AC117" s="280"/>
      <c r="AD117" s="280"/>
      <c r="AE117" s="280"/>
      <c r="AF117" s="280"/>
      <c r="AG117" s="280"/>
      <c r="AH117" s="280"/>
      <c r="AI117" s="280"/>
      <c r="AJ117" s="280"/>
      <c r="AK117" s="280"/>
      <c r="AL117" s="280"/>
      <c r="AM117" s="280"/>
      <c r="AN117" s="280"/>
      <c r="AO117" s="280"/>
      <c r="AP117" s="280"/>
      <c r="AQ117" s="280"/>
      <c r="AR117" s="280"/>
      <c r="AS117" s="280"/>
      <c r="AT117" s="280"/>
      <c r="AU117" s="280"/>
      <c r="AV117" s="280"/>
      <c r="AW117" s="280"/>
      <c r="AX117" s="280"/>
      <c r="AY117" s="280"/>
      <c r="AZ117" s="280"/>
      <c r="BA117" s="280"/>
      <c r="BB117" s="280"/>
      <c r="BC117" s="280"/>
      <c r="BD117" s="280"/>
      <c r="BE117" s="280"/>
      <c r="BF117" s="280"/>
      <c r="BG117" s="280"/>
      <c r="BH117" s="280"/>
      <c r="BI117" s="280"/>
      <c r="BJ117" s="280"/>
      <c r="BK117" s="280"/>
      <c r="BL117" s="280"/>
      <c r="BM117" s="280"/>
      <c r="BN117" s="280"/>
      <c r="BO117" s="280"/>
      <c r="BP117" s="280"/>
      <c r="BQ117" s="280"/>
      <c r="BR117" s="280"/>
      <c r="BS117" s="280"/>
      <c r="BT117" s="280"/>
    </row>
    <row r="118" spans="10:72" x14ac:dyDescent="0.25"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280"/>
      <c r="W118" s="280"/>
      <c r="X118" s="280"/>
      <c r="Y118" s="280"/>
      <c r="Z118" s="280"/>
      <c r="AA118" s="280"/>
      <c r="AB118" s="280"/>
      <c r="AC118" s="280"/>
      <c r="AD118" s="280"/>
      <c r="AE118" s="280"/>
      <c r="AF118" s="280"/>
      <c r="AG118" s="280"/>
      <c r="AH118" s="280"/>
      <c r="AI118" s="280"/>
      <c r="AJ118" s="280"/>
      <c r="AK118" s="280"/>
      <c r="AL118" s="280"/>
      <c r="AM118" s="280"/>
      <c r="AN118" s="280"/>
      <c r="AO118" s="280"/>
      <c r="AP118" s="280"/>
      <c r="AQ118" s="280"/>
      <c r="AR118" s="280"/>
      <c r="AS118" s="280"/>
      <c r="AT118" s="280"/>
      <c r="AU118" s="280"/>
      <c r="AV118" s="280"/>
      <c r="AW118" s="280"/>
      <c r="AX118" s="280"/>
      <c r="AY118" s="280"/>
      <c r="AZ118" s="280"/>
      <c r="BA118" s="280"/>
      <c r="BB118" s="280"/>
      <c r="BC118" s="280"/>
      <c r="BD118" s="280"/>
      <c r="BE118" s="280"/>
      <c r="BF118" s="280"/>
      <c r="BG118" s="280"/>
      <c r="BH118" s="280"/>
      <c r="BI118" s="280"/>
      <c r="BJ118" s="280"/>
      <c r="BK118" s="280"/>
      <c r="BL118" s="280"/>
      <c r="BM118" s="280"/>
      <c r="BN118" s="280"/>
      <c r="BO118" s="280"/>
      <c r="BP118" s="280"/>
      <c r="BQ118" s="280"/>
      <c r="BR118" s="280"/>
      <c r="BS118" s="280"/>
      <c r="BT118" s="280"/>
    </row>
    <row r="119" spans="10:72" x14ac:dyDescent="0.25"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80"/>
      <c r="AB119" s="280"/>
      <c r="AC119" s="280"/>
      <c r="AD119" s="280"/>
      <c r="AE119" s="280"/>
      <c r="AF119" s="280"/>
      <c r="AG119" s="280"/>
      <c r="AH119" s="280"/>
      <c r="AI119" s="280"/>
      <c r="AJ119" s="280"/>
      <c r="AK119" s="280"/>
      <c r="AL119" s="280"/>
      <c r="AM119" s="280"/>
      <c r="AN119" s="280"/>
      <c r="AO119" s="280"/>
      <c r="AP119" s="280"/>
      <c r="AQ119" s="280"/>
      <c r="AR119" s="280"/>
      <c r="AS119" s="280"/>
      <c r="AT119" s="280"/>
      <c r="AU119" s="280"/>
      <c r="AV119" s="280"/>
      <c r="AW119" s="280"/>
      <c r="AX119" s="280"/>
      <c r="AY119" s="280"/>
      <c r="AZ119" s="280"/>
      <c r="BA119" s="280"/>
      <c r="BB119" s="280"/>
      <c r="BC119" s="280"/>
      <c r="BD119" s="280"/>
      <c r="BE119" s="280"/>
      <c r="BF119" s="280"/>
      <c r="BG119" s="280"/>
      <c r="BH119" s="280"/>
      <c r="BI119" s="280"/>
      <c r="BJ119" s="280"/>
      <c r="BK119" s="280"/>
      <c r="BL119" s="280"/>
      <c r="BM119" s="280"/>
      <c r="BN119" s="280"/>
      <c r="BO119" s="280"/>
      <c r="BP119" s="280"/>
      <c r="BQ119" s="280"/>
      <c r="BR119" s="280"/>
      <c r="BS119" s="280"/>
      <c r="BT119" s="280"/>
    </row>
    <row r="120" spans="10:72" x14ac:dyDescent="0.25"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80"/>
      <c r="AB120" s="280"/>
      <c r="AC120" s="280"/>
      <c r="AD120" s="280"/>
      <c r="AE120" s="280"/>
      <c r="AF120" s="280"/>
      <c r="AG120" s="280"/>
      <c r="AH120" s="280"/>
      <c r="AI120" s="280"/>
      <c r="AJ120" s="280"/>
      <c r="AK120" s="280"/>
      <c r="AL120" s="280"/>
      <c r="AM120" s="280"/>
      <c r="AN120" s="280"/>
      <c r="AO120" s="280"/>
      <c r="AP120" s="280"/>
      <c r="AQ120" s="280"/>
      <c r="AR120" s="280"/>
      <c r="AS120" s="280"/>
      <c r="AT120" s="280"/>
      <c r="AU120" s="280"/>
      <c r="AV120" s="280"/>
      <c r="AW120" s="280"/>
      <c r="AX120" s="280"/>
      <c r="AY120" s="280"/>
      <c r="AZ120" s="280"/>
      <c r="BA120" s="280"/>
      <c r="BB120" s="280"/>
      <c r="BC120" s="280"/>
      <c r="BD120" s="280"/>
      <c r="BE120" s="280"/>
      <c r="BF120" s="280"/>
      <c r="BG120" s="280"/>
      <c r="BH120" s="280"/>
      <c r="BI120" s="280"/>
      <c r="BJ120" s="280"/>
      <c r="BK120" s="280"/>
      <c r="BL120" s="280"/>
      <c r="BM120" s="280"/>
      <c r="BN120" s="280"/>
      <c r="BO120" s="280"/>
      <c r="BP120" s="280"/>
      <c r="BQ120" s="280"/>
      <c r="BR120" s="280"/>
      <c r="BS120" s="280"/>
      <c r="BT120" s="280"/>
    </row>
    <row r="121" spans="10:72" x14ac:dyDescent="0.25"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  <c r="AA121" s="280"/>
      <c r="AB121" s="280"/>
      <c r="AC121" s="280"/>
      <c r="AD121" s="280"/>
      <c r="AE121" s="280"/>
      <c r="AF121" s="280"/>
      <c r="AG121" s="280"/>
      <c r="AH121" s="280"/>
      <c r="AI121" s="280"/>
      <c r="AJ121" s="280"/>
      <c r="AK121" s="280"/>
      <c r="AL121" s="280"/>
      <c r="AM121" s="280"/>
      <c r="AN121" s="280"/>
      <c r="AO121" s="280"/>
      <c r="AP121" s="280"/>
      <c r="AQ121" s="280"/>
      <c r="AR121" s="280"/>
      <c r="AS121" s="280"/>
      <c r="AT121" s="280"/>
      <c r="AU121" s="280"/>
      <c r="AV121" s="280"/>
      <c r="AW121" s="280"/>
      <c r="AX121" s="280"/>
      <c r="AY121" s="280"/>
      <c r="AZ121" s="280"/>
      <c r="BA121" s="280"/>
      <c r="BB121" s="280"/>
      <c r="BC121" s="280"/>
      <c r="BD121" s="280"/>
      <c r="BE121" s="280"/>
      <c r="BF121" s="280"/>
      <c r="BG121" s="280"/>
      <c r="BH121" s="280"/>
      <c r="BI121" s="280"/>
      <c r="BJ121" s="280"/>
      <c r="BK121" s="280"/>
      <c r="BL121" s="280"/>
      <c r="BM121" s="280"/>
      <c r="BN121" s="280"/>
      <c r="BO121" s="280"/>
      <c r="BP121" s="280"/>
      <c r="BQ121" s="280"/>
      <c r="BR121" s="280"/>
      <c r="BS121" s="280"/>
      <c r="BT121" s="280"/>
    </row>
    <row r="122" spans="10:72" x14ac:dyDescent="0.25"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280"/>
      <c r="W122" s="280"/>
      <c r="X122" s="280"/>
      <c r="Y122" s="280"/>
      <c r="Z122" s="280"/>
      <c r="AA122" s="280"/>
      <c r="AB122" s="280"/>
      <c r="AC122" s="280"/>
      <c r="AD122" s="280"/>
      <c r="AE122" s="280"/>
      <c r="AF122" s="280"/>
      <c r="AG122" s="280"/>
      <c r="AH122" s="280"/>
      <c r="AI122" s="280"/>
      <c r="AJ122" s="280"/>
      <c r="AK122" s="280"/>
      <c r="AL122" s="280"/>
      <c r="AM122" s="280"/>
      <c r="AN122" s="280"/>
      <c r="AO122" s="280"/>
      <c r="AP122" s="280"/>
      <c r="AQ122" s="280"/>
      <c r="AR122" s="280"/>
      <c r="AS122" s="280"/>
      <c r="AT122" s="280"/>
      <c r="AU122" s="280"/>
      <c r="AV122" s="280"/>
      <c r="AW122" s="280"/>
      <c r="AX122" s="280"/>
      <c r="AY122" s="280"/>
      <c r="AZ122" s="280"/>
      <c r="BA122" s="280"/>
      <c r="BB122" s="280"/>
      <c r="BC122" s="280"/>
      <c r="BD122" s="280"/>
      <c r="BE122" s="280"/>
      <c r="BF122" s="280"/>
      <c r="BG122" s="280"/>
      <c r="BH122" s="280"/>
      <c r="BI122" s="280"/>
      <c r="BJ122" s="280"/>
      <c r="BK122" s="280"/>
      <c r="BL122" s="280"/>
      <c r="BM122" s="280"/>
      <c r="BN122" s="280"/>
      <c r="BO122" s="280"/>
      <c r="BP122" s="280"/>
      <c r="BQ122" s="280"/>
      <c r="BR122" s="280"/>
      <c r="BS122" s="280"/>
      <c r="BT122" s="280"/>
    </row>
    <row r="123" spans="10:72" x14ac:dyDescent="0.25"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280"/>
      <c r="W123" s="280"/>
      <c r="X123" s="280"/>
      <c r="Y123" s="280"/>
      <c r="Z123" s="280"/>
      <c r="AA123" s="280"/>
      <c r="AB123" s="280"/>
      <c r="AC123" s="280"/>
      <c r="AD123" s="280"/>
      <c r="AE123" s="280"/>
      <c r="AF123" s="280"/>
      <c r="AG123" s="280"/>
      <c r="AH123" s="280"/>
      <c r="AI123" s="280"/>
      <c r="AJ123" s="280"/>
      <c r="AK123" s="280"/>
      <c r="AL123" s="280"/>
      <c r="AM123" s="280"/>
      <c r="AN123" s="280"/>
      <c r="AO123" s="280"/>
      <c r="AP123" s="280"/>
      <c r="AQ123" s="280"/>
      <c r="AR123" s="280"/>
      <c r="AS123" s="280"/>
      <c r="AT123" s="280"/>
      <c r="AU123" s="280"/>
      <c r="AV123" s="280"/>
      <c r="AW123" s="280"/>
      <c r="AX123" s="280"/>
      <c r="AY123" s="280"/>
      <c r="AZ123" s="280"/>
      <c r="BA123" s="280"/>
      <c r="BB123" s="280"/>
      <c r="BC123" s="280"/>
      <c r="BD123" s="280"/>
      <c r="BE123" s="280"/>
      <c r="BF123" s="280"/>
      <c r="BG123" s="280"/>
      <c r="BH123" s="280"/>
      <c r="BI123" s="280"/>
      <c r="BJ123" s="280"/>
      <c r="BK123" s="280"/>
      <c r="BL123" s="280"/>
      <c r="BM123" s="280"/>
      <c r="BN123" s="280"/>
      <c r="BO123" s="280"/>
      <c r="BP123" s="280"/>
      <c r="BQ123" s="280"/>
      <c r="BR123" s="280"/>
      <c r="BS123" s="280"/>
      <c r="BT123" s="280"/>
    </row>
    <row r="124" spans="10:72" x14ac:dyDescent="0.25"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280"/>
      <c r="W124" s="280"/>
      <c r="X124" s="280"/>
      <c r="Y124" s="280"/>
      <c r="Z124" s="280"/>
      <c r="AA124" s="280"/>
      <c r="AB124" s="280"/>
      <c r="AC124" s="280"/>
      <c r="AD124" s="280"/>
      <c r="AE124" s="280"/>
      <c r="AF124" s="280"/>
      <c r="AG124" s="280"/>
      <c r="AH124" s="280"/>
      <c r="AI124" s="280"/>
      <c r="AJ124" s="280"/>
      <c r="AK124" s="280"/>
      <c r="AL124" s="280"/>
      <c r="AM124" s="280"/>
      <c r="AN124" s="280"/>
      <c r="AO124" s="280"/>
      <c r="AP124" s="280"/>
      <c r="AQ124" s="280"/>
      <c r="AR124" s="280"/>
      <c r="AS124" s="280"/>
      <c r="AT124" s="280"/>
      <c r="AU124" s="280"/>
      <c r="AV124" s="280"/>
      <c r="AW124" s="280"/>
      <c r="AX124" s="280"/>
      <c r="AY124" s="280"/>
      <c r="AZ124" s="280"/>
      <c r="BA124" s="280"/>
      <c r="BB124" s="280"/>
      <c r="BC124" s="280"/>
      <c r="BD124" s="280"/>
      <c r="BE124" s="280"/>
      <c r="BF124" s="280"/>
      <c r="BG124" s="280"/>
      <c r="BH124" s="280"/>
      <c r="BI124" s="280"/>
      <c r="BJ124" s="280"/>
      <c r="BK124" s="280"/>
      <c r="BL124" s="280"/>
      <c r="BM124" s="280"/>
      <c r="BN124" s="280"/>
      <c r="BO124" s="280"/>
      <c r="BP124" s="280"/>
      <c r="BQ124" s="280"/>
      <c r="BR124" s="280"/>
      <c r="BS124" s="280"/>
      <c r="BT124" s="280"/>
    </row>
    <row r="125" spans="10:72" x14ac:dyDescent="0.25"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80"/>
      <c r="AB125" s="280"/>
      <c r="AC125" s="280"/>
      <c r="AD125" s="280"/>
      <c r="AE125" s="280"/>
      <c r="AF125" s="280"/>
      <c r="AG125" s="280"/>
      <c r="AH125" s="280"/>
      <c r="AI125" s="280"/>
      <c r="AJ125" s="280"/>
      <c r="AK125" s="280"/>
      <c r="AL125" s="280"/>
      <c r="AM125" s="280"/>
      <c r="AN125" s="280"/>
      <c r="AO125" s="280"/>
      <c r="AP125" s="280"/>
      <c r="AQ125" s="280"/>
      <c r="AR125" s="280"/>
      <c r="AS125" s="280"/>
      <c r="AT125" s="280"/>
      <c r="AU125" s="280"/>
      <c r="AV125" s="280"/>
      <c r="AW125" s="280"/>
      <c r="AX125" s="280"/>
      <c r="AY125" s="280"/>
      <c r="AZ125" s="280"/>
      <c r="BA125" s="280"/>
      <c r="BB125" s="280"/>
      <c r="BC125" s="280"/>
      <c r="BD125" s="280"/>
      <c r="BE125" s="280"/>
      <c r="BF125" s="280"/>
      <c r="BG125" s="280"/>
      <c r="BH125" s="280"/>
      <c r="BI125" s="280"/>
      <c r="BJ125" s="280"/>
      <c r="BK125" s="280"/>
      <c r="BL125" s="280"/>
      <c r="BM125" s="280"/>
      <c r="BN125" s="280"/>
      <c r="BO125" s="280"/>
      <c r="BP125" s="280"/>
      <c r="BQ125" s="280"/>
      <c r="BR125" s="280"/>
      <c r="BS125" s="280"/>
      <c r="BT125" s="280"/>
    </row>
  </sheetData>
  <mergeCells count="32">
    <mergeCell ref="BB1:BC1"/>
    <mergeCell ref="AX1:AY1"/>
    <mergeCell ref="AV1:AW1"/>
    <mergeCell ref="A59:B59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  <mergeCell ref="BL1:BM1"/>
    <mergeCell ref="AH1:AI1"/>
    <mergeCell ref="BJ1:BK1"/>
    <mergeCell ref="AB1:AC1"/>
    <mergeCell ref="AD1:AE1"/>
    <mergeCell ref="BH1:BI1"/>
    <mergeCell ref="AJ1:AK1"/>
    <mergeCell ref="AF1:AG1"/>
    <mergeCell ref="AL1:AM1"/>
    <mergeCell ref="BF1:BG1"/>
    <mergeCell ref="AT1:AU1"/>
    <mergeCell ref="AN1:AO1"/>
    <mergeCell ref="BD1:BE1"/>
    <mergeCell ref="AR1:AS1"/>
    <mergeCell ref="AP1:AQ1"/>
    <mergeCell ref="AZ1:BA1"/>
  </mergeCells>
  <conditionalFormatting sqref="X20:Y23">
    <cfRule type="expression" dxfId="0" priority="1">
      <formula>AND($B20&lt;&gt;$D20)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0"/>
  <sheetViews>
    <sheetView tabSelected="1" zoomScaleNormal="100" workbookViewId="0">
      <selection activeCell="C48" sqref="C48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1.28515625" customWidth="1"/>
    <col min="32" max="32" width="10.7109375" customWidth="1"/>
    <col min="33" max="33" width="10.140625" bestFit="1" customWidth="1"/>
  </cols>
  <sheetData>
    <row r="1" spans="1:33" ht="24.75" x14ac:dyDescent="0.45">
      <c r="A1" s="129" t="s">
        <v>173</v>
      </c>
      <c r="B1" s="79"/>
    </row>
    <row r="3" spans="1:33" x14ac:dyDescent="0.25">
      <c r="A3" s="80"/>
      <c r="B3" s="80"/>
      <c r="C3" s="95">
        <v>45717</v>
      </c>
      <c r="D3" s="95">
        <v>45718</v>
      </c>
      <c r="E3" s="95">
        <v>45719</v>
      </c>
      <c r="F3" s="95">
        <v>45720</v>
      </c>
      <c r="G3" s="95">
        <v>45721</v>
      </c>
      <c r="H3" s="95">
        <v>45722</v>
      </c>
      <c r="I3" s="95">
        <v>45723</v>
      </c>
      <c r="J3" s="95">
        <v>45724</v>
      </c>
      <c r="K3" s="95">
        <v>45725</v>
      </c>
      <c r="L3" s="95">
        <v>45726</v>
      </c>
      <c r="M3" s="95">
        <v>45727</v>
      </c>
      <c r="N3" s="95">
        <v>45728</v>
      </c>
      <c r="O3" s="95">
        <v>45729</v>
      </c>
      <c r="P3" s="95">
        <v>45730</v>
      </c>
      <c r="Q3" s="95">
        <v>45731</v>
      </c>
      <c r="R3" s="95">
        <v>45732</v>
      </c>
      <c r="S3" s="95">
        <v>45733</v>
      </c>
      <c r="T3" s="95">
        <v>45734</v>
      </c>
      <c r="U3" s="95">
        <v>45735</v>
      </c>
      <c r="V3" s="95">
        <v>45736</v>
      </c>
      <c r="W3" s="95">
        <v>45737</v>
      </c>
      <c r="X3" s="95">
        <v>45738</v>
      </c>
      <c r="Y3" s="95">
        <v>45739</v>
      </c>
      <c r="Z3" s="95">
        <v>45740</v>
      </c>
      <c r="AA3" s="95">
        <v>45741</v>
      </c>
      <c r="AB3" s="95">
        <v>45742</v>
      </c>
      <c r="AC3" s="95">
        <v>45743</v>
      </c>
      <c r="AD3" s="95">
        <v>45744</v>
      </c>
      <c r="AE3" s="95">
        <v>45745</v>
      </c>
      <c r="AF3" s="95">
        <v>45746</v>
      </c>
      <c r="AG3" s="95">
        <v>45747</v>
      </c>
    </row>
    <row r="4" spans="1:33" x14ac:dyDescent="0.25">
      <c r="A4" s="81" t="s">
        <v>85</v>
      </c>
      <c r="B4" s="82" t="s">
        <v>86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</row>
    <row r="5" spans="1:33" s="87" customFormat="1" ht="14.25" x14ac:dyDescent="0.2">
      <c r="A5" s="83" t="s">
        <v>74</v>
      </c>
      <c r="B5" s="84">
        <v>43.13</v>
      </c>
      <c r="C5" s="97">
        <f>'Data Ocupacion'!D62</f>
        <v>72</v>
      </c>
      <c r="D5" s="97">
        <f>'Data Ocupacion'!F62</f>
        <v>54</v>
      </c>
      <c r="E5" s="97">
        <f>'Data Ocupacion'!H62</f>
        <v>79</v>
      </c>
      <c r="F5" s="97">
        <f>'Data Ocupacion'!J62</f>
        <v>79</v>
      </c>
      <c r="G5" s="97">
        <f>'Data Ocupacion'!L62</f>
        <v>79</v>
      </c>
      <c r="H5" s="97">
        <f>'Data Ocupacion'!N62</f>
        <v>79</v>
      </c>
      <c r="I5" s="97">
        <f>'Data Ocupacion'!P62</f>
        <v>79</v>
      </c>
      <c r="J5" s="97">
        <f>'Data Ocupacion'!R62</f>
        <v>72</v>
      </c>
      <c r="K5" s="97">
        <f>'Data Ocupacion'!T62</f>
        <v>54</v>
      </c>
      <c r="L5" s="97">
        <f>'Data Ocupacion'!V62</f>
        <v>79</v>
      </c>
      <c r="M5" s="97">
        <f>'Data Ocupacion'!X62</f>
        <v>68</v>
      </c>
      <c r="N5" s="97">
        <f>'Data Ocupacion'!Z62</f>
        <v>79</v>
      </c>
      <c r="O5" s="97">
        <f>'Data Ocupacion'!AB62</f>
        <v>79</v>
      </c>
      <c r="P5" s="97">
        <f>'Data Ocupacion'!AD62</f>
        <v>79</v>
      </c>
      <c r="Q5" s="97">
        <f>'Data Ocupacion'!AF62</f>
        <v>72</v>
      </c>
      <c r="R5" s="97">
        <f>'Data Ocupacion'!AH62</f>
        <v>54</v>
      </c>
      <c r="S5" s="97">
        <f>'Data Ocupacion'!AJ62</f>
        <v>79</v>
      </c>
      <c r="T5" s="97">
        <f>'Data Ocupacion'!AL62</f>
        <v>79</v>
      </c>
      <c r="U5" s="97">
        <f>'Data Ocupacion'!AN62</f>
        <v>79</v>
      </c>
      <c r="V5" s="97">
        <f>'Data Ocupacion'!AP62</f>
        <v>79</v>
      </c>
      <c r="W5" s="97">
        <f>'Data Ocupacion'!AR62</f>
        <v>80</v>
      </c>
      <c r="X5" s="97">
        <f>'Data Ocupacion'!AT62</f>
        <v>72</v>
      </c>
      <c r="Y5" s="97">
        <f>'Data Ocupacion'!AV62</f>
        <v>54</v>
      </c>
      <c r="Z5" s="97">
        <f>'Data Ocupacion'!AX62</f>
        <v>79</v>
      </c>
      <c r="AA5" s="97">
        <f>'Data Ocupacion'!AZ62</f>
        <v>70</v>
      </c>
      <c r="AB5" s="97">
        <f>'Data Ocupacion'!BB62</f>
        <v>61</v>
      </c>
      <c r="AC5" s="97">
        <f>'Data Ocupacion'!BD62</f>
        <v>79</v>
      </c>
      <c r="AD5" s="97">
        <f>'Data Ocupacion'!BF62</f>
        <v>79</v>
      </c>
      <c r="AE5" s="97">
        <f>'Data Ocupacion'!BH62</f>
        <v>72</v>
      </c>
      <c r="AF5" s="97">
        <f>'Data Ocupacion'!BJ62</f>
        <v>54</v>
      </c>
      <c r="AG5" s="97">
        <f>'Data Ocupacion'!BL62</f>
        <v>79</v>
      </c>
    </row>
    <row r="6" spans="1:33" s="87" customFormat="1" ht="14.25" x14ac:dyDescent="0.2">
      <c r="A6" s="83" t="s">
        <v>77</v>
      </c>
      <c r="B6" s="84">
        <v>43.13</v>
      </c>
      <c r="C6" s="97">
        <f>'Data Ocupacion'!D63</f>
        <v>75</v>
      </c>
      <c r="D6" s="97">
        <f>'Data Ocupacion'!F63</f>
        <v>57</v>
      </c>
      <c r="E6" s="97">
        <f>'Data Ocupacion'!H63</f>
        <v>78</v>
      </c>
      <c r="F6" s="97">
        <f>'Data Ocupacion'!J63</f>
        <v>78</v>
      </c>
      <c r="G6" s="97">
        <f>'Data Ocupacion'!L63</f>
        <v>78</v>
      </c>
      <c r="H6" s="97">
        <f>'Data Ocupacion'!N63</f>
        <v>78</v>
      </c>
      <c r="I6" s="97">
        <f>'Data Ocupacion'!P63</f>
        <v>78</v>
      </c>
      <c r="J6" s="97">
        <f>'Data Ocupacion'!R63</f>
        <v>75</v>
      </c>
      <c r="K6" s="97">
        <f>'Data Ocupacion'!T63</f>
        <v>57</v>
      </c>
      <c r="L6" s="97">
        <f>'Data Ocupacion'!V63</f>
        <v>78</v>
      </c>
      <c r="M6" s="97">
        <f>'Data Ocupacion'!X63</f>
        <v>66</v>
      </c>
      <c r="N6" s="97">
        <f>'Data Ocupacion'!Z63</f>
        <v>78</v>
      </c>
      <c r="O6" s="97">
        <f>'Data Ocupacion'!AB63</f>
        <v>78</v>
      </c>
      <c r="P6" s="97">
        <f>'Data Ocupacion'!AD63</f>
        <v>78</v>
      </c>
      <c r="Q6" s="97">
        <f>'Data Ocupacion'!AF63</f>
        <v>75</v>
      </c>
      <c r="R6" s="97">
        <f>'Data Ocupacion'!AH63</f>
        <v>57</v>
      </c>
      <c r="S6" s="97">
        <f>'Data Ocupacion'!AJ63</f>
        <v>78</v>
      </c>
      <c r="T6" s="97">
        <f>'Data Ocupacion'!AL63</f>
        <v>78</v>
      </c>
      <c r="U6" s="97">
        <f>'Data Ocupacion'!AN63</f>
        <v>78</v>
      </c>
      <c r="V6" s="97">
        <f>'Data Ocupacion'!AP63</f>
        <v>78</v>
      </c>
      <c r="W6" s="97">
        <f>'Data Ocupacion'!AR63</f>
        <v>78</v>
      </c>
      <c r="X6" s="97">
        <f>'Data Ocupacion'!AT63</f>
        <v>75</v>
      </c>
      <c r="Y6" s="97">
        <f>'Data Ocupacion'!AV63</f>
        <v>57</v>
      </c>
      <c r="Z6" s="97">
        <f>'Data Ocupacion'!AX63</f>
        <v>78</v>
      </c>
      <c r="AA6" s="97">
        <f>'Data Ocupacion'!AZ63</f>
        <v>69</v>
      </c>
      <c r="AB6" s="97">
        <f>'Data Ocupacion'!BB63</f>
        <v>58</v>
      </c>
      <c r="AC6" s="97">
        <f>'Data Ocupacion'!BD63</f>
        <v>78</v>
      </c>
      <c r="AD6" s="97">
        <f>'Data Ocupacion'!BF63</f>
        <v>78</v>
      </c>
      <c r="AE6" s="97">
        <f>'Data Ocupacion'!BH63</f>
        <v>75</v>
      </c>
      <c r="AF6" s="97">
        <f>'Data Ocupacion'!BJ63</f>
        <v>57</v>
      </c>
      <c r="AG6" s="97">
        <f>'Data Ocupacion'!BL63</f>
        <v>78</v>
      </c>
    </row>
    <row r="7" spans="1:33" s="87" customFormat="1" ht="14.25" x14ac:dyDescent="0.2">
      <c r="A7" s="83" t="s">
        <v>73</v>
      </c>
      <c r="B7" s="84">
        <v>29.11</v>
      </c>
      <c r="C7" s="97">
        <f>'Data Ocupacion'!D64</f>
        <v>0</v>
      </c>
      <c r="D7" s="97">
        <f>'Data Ocupacion'!F64</f>
        <v>0</v>
      </c>
      <c r="E7" s="97">
        <f>'Data Ocupacion'!H64</f>
        <v>33</v>
      </c>
      <c r="F7" s="97">
        <f>'Data Ocupacion'!J64</f>
        <v>33</v>
      </c>
      <c r="G7" s="97">
        <f>'Data Ocupacion'!L64</f>
        <v>33</v>
      </c>
      <c r="H7" s="97">
        <f>'Data Ocupacion'!N64</f>
        <v>33</v>
      </c>
      <c r="I7" s="97">
        <f>'Data Ocupacion'!P64</f>
        <v>33</v>
      </c>
      <c r="J7" s="97">
        <f>'Data Ocupacion'!R64</f>
        <v>0</v>
      </c>
      <c r="K7" s="97">
        <f>'Data Ocupacion'!T64</f>
        <v>0</v>
      </c>
      <c r="L7" s="97">
        <f>'Data Ocupacion'!V64</f>
        <v>33</v>
      </c>
      <c r="M7" s="97">
        <f>'Data Ocupacion'!X64</f>
        <v>30</v>
      </c>
      <c r="N7" s="97">
        <f>'Data Ocupacion'!Z64</f>
        <v>33</v>
      </c>
      <c r="O7" s="97">
        <f>'Data Ocupacion'!AB64</f>
        <v>33</v>
      </c>
      <c r="P7" s="97">
        <f>'Data Ocupacion'!AD64</f>
        <v>33</v>
      </c>
      <c r="Q7" s="97">
        <f>'Data Ocupacion'!AF64</f>
        <v>0</v>
      </c>
      <c r="R7" s="97">
        <f>'Data Ocupacion'!AH64</f>
        <v>0</v>
      </c>
      <c r="S7" s="97">
        <f>'Data Ocupacion'!AJ64</f>
        <v>33</v>
      </c>
      <c r="T7" s="97">
        <f>'Data Ocupacion'!AL64</f>
        <v>33</v>
      </c>
      <c r="U7" s="97">
        <f>'Data Ocupacion'!AN64</f>
        <v>33</v>
      </c>
      <c r="V7" s="97">
        <f>'Data Ocupacion'!AP64</f>
        <v>33</v>
      </c>
      <c r="W7" s="97">
        <f>'Data Ocupacion'!AR64</f>
        <v>32</v>
      </c>
      <c r="X7" s="97">
        <f>'Data Ocupacion'!AT64</f>
        <v>0</v>
      </c>
      <c r="Y7" s="97">
        <f>'Data Ocupacion'!AV64</f>
        <v>0</v>
      </c>
      <c r="Z7" s="97">
        <f>'Data Ocupacion'!AX64</f>
        <v>33</v>
      </c>
      <c r="AA7" s="97">
        <f>'Data Ocupacion'!AZ64</f>
        <v>33</v>
      </c>
      <c r="AB7" s="97">
        <f>'Data Ocupacion'!BB64</f>
        <v>30</v>
      </c>
      <c r="AC7" s="97">
        <f>'Data Ocupacion'!BD64</f>
        <v>33</v>
      </c>
      <c r="AD7" s="97">
        <f>'Data Ocupacion'!BF64</f>
        <v>33</v>
      </c>
      <c r="AE7" s="97">
        <f>'Data Ocupacion'!BH64</f>
        <v>0</v>
      </c>
      <c r="AF7" s="97">
        <f>'Data Ocupacion'!BJ64</f>
        <v>0</v>
      </c>
      <c r="AG7" s="97">
        <f>'Data Ocupacion'!BL64</f>
        <v>33</v>
      </c>
    </row>
    <row r="8" spans="1:33" s="87" customFormat="1" ht="14.25" x14ac:dyDescent="0.2">
      <c r="A8" s="83" t="s">
        <v>75</v>
      </c>
      <c r="B8" s="84">
        <v>29.11</v>
      </c>
      <c r="C8" s="97">
        <f>'Data Ocupacion'!D65</f>
        <v>0</v>
      </c>
      <c r="D8" s="97">
        <f>'Data Ocupacion'!F65</f>
        <v>0</v>
      </c>
      <c r="E8" s="97">
        <f>'Data Ocupacion'!H65</f>
        <v>32</v>
      </c>
      <c r="F8" s="97">
        <f>'Data Ocupacion'!J65</f>
        <v>32</v>
      </c>
      <c r="G8" s="97">
        <f>'Data Ocupacion'!L65</f>
        <v>32</v>
      </c>
      <c r="H8" s="97">
        <f>'Data Ocupacion'!N65</f>
        <v>32</v>
      </c>
      <c r="I8" s="97">
        <f>'Data Ocupacion'!P65</f>
        <v>32</v>
      </c>
      <c r="J8" s="97">
        <f>'Data Ocupacion'!R65</f>
        <v>0</v>
      </c>
      <c r="K8" s="97">
        <f>'Data Ocupacion'!T65</f>
        <v>0</v>
      </c>
      <c r="L8" s="97">
        <f>'Data Ocupacion'!V65</f>
        <v>32</v>
      </c>
      <c r="M8" s="97">
        <f>'Data Ocupacion'!X65</f>
        <v>28</v>
      </c>
      <c r="N8" s="97">
        <f>'Data Ocupacion'!Z65</f>
        <v>32</v>
      </c>
      <c r="O8" s="97">
        <f>'Data Ocupacion'!AB65</f>
        <v>32</v>
      </c>
      <c r="P8" s="97">
        <f>'Data Ocupacion'!AD65</f>
        <v>32</v>
      </c>
      <c r="Q8" s="97">
        <f>'Data Ocupacion'!AF65</f>
        <v>0</v>
      </c>
      <c r="R8" s="97">
        <f>'Data Ocupacion'!AH65</f>
        <v>0</v>
      </c>
      <c r="S8" s="97">
        <f>'Data Ocupacion'!AJ65</f>
        <v>32</v>
      </c>
      <c r="T8" s="97">
        <f>'Data Ocupacion'!AL65</f>
        <v>32</v>
      </c>
      <c r="U8" s="97">
        <f>'Data Ocupacion'!AN65</f>
        <v>32</v>
      </c>
      <c r="V8" s="97">
        <f>'Data Ocupacion'!AP65</f>
        <v>32</v>
      </c>
      <c r="W8" s="97">
        <f>'Data Ocupacion'!AR65</f>
        <v>32</v>
      </c>
      <c r="X8" s="97">
        <f>'Data Ocupacion'!AT65</f>
        <v>0</v>
      </c>
      <c r="Y8" s="97">
        <f>'Data Ocupacion'!AV65</f>
        <v>0</v>
      </c>
      <c r="Z8" s="97">
        <f>'Data Ocupacion'!AX65</f>
        <v>32</v>
      </c>
      <c r="AA8" s="97">
        <f>'Data Ocupacion'!AZ65</f>
        <v>32</v>
      </c>
      <c r="AB8" s="97">
        <f>'Data Ocupacion'!BB65</f>
        <v>28</v>
      </c>
      <c r="AC8" s="97">
        <f>'Data Ocupacion'!BD65</f>
        <v>32</v>
      </c>
      <c r="AD8" s="97">
        <f>'Data Ocupacion'!BF65</f>
        <v>32</v>
      </c>
      <c r="AE8" s="97">
        <f>'Data Ocupacion'!BH65</f>
        <v>0</v>
      </c>
      <c r="AF8" s="97">
        <f>'Data Ocupacion'!BJ65</f>
        <v>0</v>
      </c>
      <c r="AG8" s="97">
        <f>'Data Ocupacion'!BL65</f>
        <v>32</v>
      </c>
    </row>
    <row r="9" spans="1:33" s="87" customFormat="1" ht="14.25" x14ac:dyDescent="0.2">
      <c r="A9" s="83" t="s">
        <v>123</v>
      </c>
      <c r="B9" s="84">
        <v>25.4</v>
      </c>
      <c r="C9" s="97">
        <f>'Data Ocupacion'!D66</f>
        <v>0</v>
      </c>
      <c r="D9" s="97">
        <f>'Data Ocupacion'!F66</f>
        <v>0</v>
      </c>
      <c r="E9" s="97">
        <f>'Data Ocupacion'!H66</f>
        <v>0</v>
      </c>
      <c r="F9" s="97">
        <f>'Data Ocupacion'!J66</f>
        <v>0</v>
      </c>
      <c r="G9" s="97">
        <f>'Data Ocupacion'!L66</f>
        <v>0</v>
      </c>
      <c r="H9" s="97">
        <f>'Data Ocupacion'!N66</f>
        <v>0</v>
      </c>
      <c r="I9" s="97">
        <f>'Data Ocupacion'!P66</f>
        <v>0</v>
      </c>
      <c r="J9" s="97">
        <f>'Data Ocupacion'!R66</f>
        <v>0</v>
      </c>
      <c r="K9" s="97">
        <f>'Data Ocupacion'!T66</f>
        <v>0</v>
      </c>
      <c r="L9" s="97">
        <f>'Data Ocupacion'!V66</f>
        <v>0</v>
      </c>
      <c r="M9" s="97">
        <f>'Data Ocupacion'!X66</f>
        <v>0</v>
      </c>
      <c r="N9" s="97">
        <f>'Data Ocupacion'!Z66</f>
        <v>0</v>
      </c>
      <c r="O9" s="97">
        <f>'Data Ocupacion'!AB66</f>
        <v>0</v>
      </c>
      <c r="P9" s="97">
        <f>'Data Ocupacion'!AD66</f>
        <v>0</v>
      </c>
      <c r="Q9" s="97">
        <f>'Data Ocupacion'!AF66</f>
        <v>0</v>
      </c>
      <c r="R9" s="97">
        <f>'Data Ocupacion'!AH66</f>
        <v>0</v>
      </c>
      <c r="S9" s="97">
        <f>'Data Ocupacion'!AJ66</f>
        <v>0</v>
      </c>
      <c r="T9" s="97">
        <f>'Data Ocupacion'!AL66</f>
        <v>0</v>
      </c>
      <c r="U9" s="97">
        <f>'Data Ocupacion'!AN66</f>
        <v>0</v>
      </c>
      <c r="V9" s="97">
        <f>'Data Ocupacion'!AP66</f>
        <v>0</v>
      </c>
      <c r="W9" s="97">
        <f>'Data Ocupacion'!AR66</f>
        <v>0</v>
      </c>
      <c r="X9" s="97">
        <f>'Data Ocupacion'!AT66</f>
        <v>0</v>
      </c>
      <c r="Y9" s="97">
        <f>'Data Ocupacion'!AV66</f>
        <v>0</v>
      </c>
      <c r="Z9" s="97">
        <f>'Data Ocupacion'!AX66</f>
        <v>0</v>
      </c>
      <c r="AA9" s="97">
        <f>'Data Ocupacion'!AZ66</f>
        <v>0</v>
      </c>
      <c r="AB9" s="97">
        <f>'Data Ocupacion'!BB66</f>
        <v>0</v>
      </c>
      <c r="AC9" s="97">
        <f>'Data Ocupacion'!BD66</f>
        <v>0</v>
      </c>
      <c r="AD9" s="97">
        <f>'Data Ocupacion'!BF66</f>
        <v>0</v>
      </c>
      <c r="AE9" s="97">
        <f>'Data Ocupacion'!BH66</f>
        <v>0</v>
      </c>
      <c r="AF9" s="97">
        <f>'Data Ocupacion'!BJ66</f>
        <v>0</v>
      </c>
      <c r="AG9" s="97">
        <f>'Data Ocupacion'!BL66</f>
        <v>0</v>
      </c>
    </row>
    <row r="10" spans="1:33" s="87" customFormat="1" ht="14.25" x14ac:dyDescent="0.2">
      <c r="A10" s="221" t="s">
        <v>76</v>
      </c>
      <c r="B10" s="84">
        <v>25.4</v>
      </c>
      <c r="C10" s="97">
        <f>'Data Ocupacion'!D67</f>
        <v>0</v>
      </c>
      <c r="D10" s="97">
        <f>'Data Ocupacion'!F67</f>
        <v>0</v>
      </c>
      <c r="E10" s="97">
        <f>'Data Ocupacion'!H67</f>
        <v>1</v>
      </c>
      <c r="F10" s="97">
        <f>'Data Ocupacion'!J67</f>
        <v>1</v>
      </c>
      <c r="G10" s="97">
        <f>'Data Ocupacion'!L67</f>
        <v>1</v>
      </c>
      <c r="H10" s="97">
        <f>'Data Ocupacion'!N67</f>
        <v>1</v>
      </c>
      <c r="I10" s="97">
        <f>'Data Ocupacion'!P67</f>
        <v>1</v>
      </c>
      <c r="J10" s="97">
        <f>'Data Ocupacion'!R67</f>
        <v>0</v>
      </c>
      <c r="K10" s="97">
        <f>'Data Ocupacion'!T67</f>
        <v>0</v>
      </c>
      <c r="L10" s="97">
        <f>'Data Ocupacion'!V67</f>
        <v>1</v>
      </c>
      <c r="M10" s="97">
        <f>'Data Ocupacion'!X67</f>
        <v>1</v>
      </c>
      <c r="N10" s="97">
        <f>'Data Ocupacion'!Z67</f>
        <v>1</v>
      </c>
      <c r="O10" s="97">
        <f>'Data Ocupacion'!AB67</f>
        <v>1</v>
      </c>
      <c r="P10" s="97">
        <f>'Data Ocupacion'!AD67</f>
        <v>1</v>
      </c>
      <c r="Q10" s="97">
        <f>'Data Ocupacion'!AF67</f>
        <v>0</v>
      </c>
      <c r="R10" s="97">
        <f>'Data Ocupacion'!AH67</f>
        <v>0</v>
      </c>
      <c r="S10" s="97">
        <f>'Data Ocupacion'!AJ67</f>
        <v>1</v>
      </c>
      <c r="T10" s="97">
        <f>'Data Ocupacion'!AL67</f>
        <v>1</v>
      </c>
      <c r="U10" s="97">
        <f>'Data Ocupacion'!AN67</f>
        <v>1</v>
      </c>
      <c r="V10" s="97">
        <f>'Data Ocupacion'!AP67</f>
        <v>1</v>
      </c>
      <c r="W10" s="97">
        <f>'Data Ocupacion'!AR67</f>
        <v>1</v>
      </c>
      <c r="X10" s="97">
        <f>'Data Ocupacion'!AT67</f>
        <v>0</v>
      </c>
      <c r="Y10" s="97">
        <f>'Data Ocupacion'!AV67</f>
        <v>0</v>
      </c>
      <c r="Z10" s="97">
        <f>'Data Ocupacion'!AX67</f>
        <v>1</v>
      </c>
      <c r="AA10" s="97">
        <f>'Data Ocupacion'!AZ67</f>
        <v>1</v>
      </c>
      <c r="AB10" s="97">
        <f>'Data Ocupacion'!BB67</f>
        <v>1</v>
      </c>
      <c r="AC10" s="97">
        <f>'Data Ocupacion'!BD67</f>
        <v>1</v>
      </c>
      <c r="AD10" s="97">
        <f>'Data Ocupacion'!BF67</f>
        <v>1</v>
      </c>
      <c r="AE10" s="97">
        <f>'Data Ocupacion'!BH67</f>
        <v>0</v>
      </c>
      <c r="AF10" s="97">
        <f>'Data Ocupacion'!BJ67</f>
        <v>0</v>
      </c>
      <c r="AG10" s="97">
        <f>'Data Ocupacion'!BL67</f>
        <v>1</v>
      </c>
    </row>
    <row r="11" spans="1:33" s="87" customFormat="1" ht="14.25" x14ac:dyDescent="0.2">
      <c r="A11" s="221" t="s">
        <v>165</v>
      </c>
      <c r="B11" s="84">
        <v>11.71</v>
      </c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</row>
    <row r="12" spans="1:33" s="87" customFormat="1" ht="14.25" x14ac:dyDescent="0.2">
      <c r="A12" s="221" t="s">
        <v>164</v>
      </c>
      <c r="B12" s="84">
        <v>11.71</v>
      </c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</row>
    <row r="13" spans="1:33" s="87" customFormat="1" ht="14.25" x14ac:dyDescent="0.2">
      <c r="A13" s="221" t="s">
        <v>170</v>
      </c>
      <c r="B13" s="84">
        <v>34.83</v>
      </c>
      <c r="C13" s="97">
        <f>'Data Ocupacion'!D70</f>
        <v>4</v>
      </c>
      <c r="D13" s="97">
        <f>'Data Ocupacion'!F70</f>
        <v>4</v>
      </c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</row>
    <row r="14" spans="1:33" s="87" customFormat="1" ht="14.25" x14ac:dyDescent="0.2">
      <c r="A14" s="221" t="s">
        <v>171</v>
      </c>
      <c r="B14" s="84">
        <v>8.3000000000000007</v>
      </c>
      <c r="C14" s="97">
        <f>'Data Ocupacion'!D71</f>
        <v>2</v>
      </c>
      <c r="D14" s="97">
        <f>'Data Ocupacion'!F71</f>
        <v>2</v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</row>
    <row r="15" spans="1:33" s="87" customFormat="1" ht="14.25" x14ac:dyDescent="0.2">
      <c r="A15" s="221" t="s">
        <v>184</v>
      </c>
      <c r="B15" s="84">
        <v>21.7</v>
      </c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>
        <f>'Data Ocupacion'!X72</f>
        <v>1</v>
      </c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>
        <f>'Data Ocupacion'!BB72</f>
        <v>2</v>
      </c>
      <c r="AC15" s="97"/>
      <c r="AD15" s="97"/>
      <c r="AE15" s="97"/>
      <c r="AF15" s="97"/>
      <c r="AG15" s="97"/>
    </row>
    <row r="16" spans="1:33" s="87" customFormat="1" ht="14.25" x14ac:dyDescent="0.2">
      <c r="A16" s="221" t="s">
        <v>183</v>
      </c>
      <c r="B16" s="84">
        <v>21.7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>
        <f>'Data Ocupacion'!X73</f>
        <v>4</v>
      </c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>
        <f>'Data Ocupacion'!BB73</f>
        <v>3</v>
      </c>
      <c r="AC16" s="97"/>
      <c r="AD16" s="97"/>
      <c r="AE16" s="97"/>
      <c r="AF16" s="97"/>
      <c r="AG16" s="97"/>
    </row>
    <row r="17" spans="1:33" s="87" customFormat="1" ht="14.25" x14ac:dyDescent="0.2">
      <c r="A17" s="221" t="s">
        <v>195</v>
      </c>
      <c r="B17" s="84">
        <v>39.19</v>
      </c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>
        <f>'Data Ocupacion'!AZ76</f>
        <v>9</v>
      </c>
      <c r="AB17" s="97"/>
      <c r="AC17" s="97"/>
      <c r="AD17" s="97"/>
      <c r="AE17" s="97"/>
      <c r="AF17" s="97"/>
      <c r="AG17" s="97"/>
    </row>
    <row r="18" spans="1:33" s="87" customFormat="1" ht="14.25" x14ac:dyDescent="0.2">
      <c r="A18" s="221" t="s">
        <v>196</v>
      </c>
      <c r="B18" s="84">
        <v>39.19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>
        <f>'Data Ocupacion'!AZ77</f>
        <v>9</v>
      </c>
      <c r="AB18" s="97"/>
      <c r="AC18" s="97"/>
      <c r="AD18" s="97"/>
      <c r="AE18" s="97"/>
      <c r="AF18" s="97"/>
      <c r="AG18" s="97"/>
    </row>
    <row r="19" spans="1:33" s="87" customFormat="1" ht="14.25" x14ac:dyDescent="0.2">
      <c r="A19" s="221" t="s">
        <v>185</v>
      </c>
      <c r="B19" s="84">
        <v>35.729999999999997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>
        <f>'Data Ocupacion'!X74</f>
        <v>6</v>
      </c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>
        <f>'Data Ocupacion'!BB74</f>
        <v>15</v>
      </c>
      <c r="AC19" s="97"/>
      <c r="AD19" s="97"/>
      <c r="AE19" s="97"/>
      <c r="AF19" s="97"/>
      <c r="AG19" s="97"/>
    </row>
    <row r="20" spans="1:33" s="87" customFormat="1" ht="14.25" x14ac:dyDescent="0.2">
      <c r="A20" s="221" t="s">
        <v>182</v>
      </c>
      <c r="B20" s="84">
        <v>35.729999999999997</v>
      </c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>
        <f>'Data Ocupacion'!X75</f>
        <v>12</v>
      </c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>
        <f>'Data Ocupacion'!BB75</f>
        <v>16</v>
      </c>
      <c r="AC20" s="97"/>
      <c r="AD20" s="97"/>
      <c r="AE20" s="97"/>
      <c r="AF20" s="97"/>
      <c r="AG20" s="97"/>
    </row>
    <row r="21" spans="1:33" s="87" customFormat="1" ht="14.25" x14ac:dyDescent="0.2">
      <c r="A21" s="303"/>
      <c r="B21" s="84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T21" s="97"/>
      <c r="V21" s="97"/>
      <c r="X21" s="97"/>
      <c r="Z21" s="97"/>
      <c r="AB21" s="97"/>
      <c r="AD21" s="97"/>
      <c r="AE21" s="97"/>
      <c r="AF21" s="97"/>
      <c r="AG21" s="97"/>
    </row>
    <row r="22" spans="1:33" s="87" customFormat="1" ht="14.25" x14ac:dyDescent="0.2">
      <c r="A22" s="83" t="s">
        <v>87</v>
      </c>
      <c r="B22" s="84">
        <v>43.13</v>
      </c>
      <c r="C22" s="97">
        <f>'Data Ocupacion'!D80</f>
        <v>90</v>
      </c>
      <c r="D22" s="97">
        <f>'Data Ocupacion'!F80</f>
        <v>56</v>
      </c>
      <c r="E22" s="97">
        <f>'Data Ocupacion'!H80</f>
        <v>107</v>
      </c>
      <c r="F22" s="97">
        <f>'Data Ocupacion'!J80</f>
        <v>107</v>
      </c>
      <c r="G22" s="97">
        <f>'Data Ocupacion'!L80</f>
        <v>107</v>
      </c>
      <c r="H22" s="97">
        <f>'Data Ocupacion'!N80</f>
        <v>110</v>
      </c>
      <c r="I22" s="97">
        <f>'Data Ocupacion'!P80</f>
        <v>108</v>
      </c>
      <c r="J22" s="97">
        <f>'Data Ocupacion'!R80</f>
        <v>75</v>
      </c>
      <c r="K22" s="97">
        <f>'Data Ocupacion'!T80</f>
        <v>57</v>
      </c>
      <c r="L22" s="97">
        <f>'Data Ocupacion'!V80</f>
        <v>107</v>
      </c>
      <c r="M22" s="97">
        <f>'Data Ocupacion'!X80</f>
        <v>95</v>
      </c>
      <c r="N22" s="97">
        <f>'Data Ocupacion'!Z80</f>
        <v>108</v>
      </c>
      <c r="O22" s="97">
        <f>'Data Ocupacion'!AB80</f>
        <v>111</v>
      </c>
      <c r="P22" s="97">
        <f>'Data Ocupacion'!AD80</f>
        <v>111</v>
      </c>
      <c r="Q22" s="97">
        <f>'Data Ocupacion'!AF80</f>
        <v>75</v>
      </c>
      <c r="R22" s="97">
        <f>'Data Ocupacion'!AH80</f>
        <v>57</v>
      </c>
      <c r="S22" s="97">
        <f>'Data Ocupacion'!AJ80</f>
        <v>108</v>
      </c>
      <c r="T22" s="97">
        <f>'Data Ocupacion'!AL80</f>
        <v>109</v>
      </c>
      <c r="U22" s="97">
        <f>'Data Ocupacion'!AN80</f>
        <v>110</v>
      </c>
      <c r="V22" s="97">
        <f>'Data Ocupacion'!AP80</f>
        <v>111</v>
      </c>
      <c r="W22" s="97">
        <f>'Data Ocupacion'!AR80</f>
        <v>114</v>
      </c>
      <c r="X22" s="97">
        <f>'Data Ocupacion'!AT80</f>
        <v>75</v>
      </c>
      <c r="Y22" s="97">
        <f>'Data Ocupacion'!AV80</f>
        <v>57</v>
      </c>
      <c r="Z22" s="97">
        <f>'Data Ocupacion'!AX80</f>
        <v>111</v>
      </c>
      <c r="AA22" s="97">
        <f>'Data Ocupacion'!AZ80</f>
        <v>101</v>
      </c>
      <c r="AB22" s="97">
        <f>'Data Ocupacion'!BB80</f>
        <v>93</v>
      </c>
      <c r="AC22" s="97">
        <f>'Data Ocupacion'!BD80</f>
        <v>111</v>
      </c>
      <c r="AD22" s="97">
        <f>'Data Ocupacion'!BF80</f>
        <v>110</v>
      </c>
      <c r="AE22" s="97">
        <f>'Data Ocupacion'!BH80</f>
        <v>75</v>
      </c>
      <c r="AF22" s="97">
        <f>'Data Ocupacion'!BJ80</f>
        <v>57</v>
      </c>
      <c r="AG22" s="97">
        <f>'Data Ocupacion'!BL80</f>
        <v>115</v>
      </c>
    </row>
    <row r="23" spans="1:33" s="87" customFormat="1" ht="14.25" x14ac:dyDescent="0.2">
      <c r="A23" s="83" t="s">
        <v>88</v>
      </c>
      <c r="B23" s="84">
        <v>43.13</v>
      </c>
      <c r="C23" s="97">
        <f>'Data Ocupacion'!D81</f>
        <v>92</v>
      </c>
      <c r="D23" s="97">
        <f>'Data Ocupacion'!F81</f>
        <v>57</v>
      </c>
      <c r="E23" s="97">
        <f>'Data Ocupacion'!H81</f>
        <v>107</v>
      </c>
      <c r="F23" s="97">
        <f>'Data Ocupacion'!J81</f>
        <v>107</v>
      </c>
      <c r="G23" s="97">
        <f>'Data Ocupacion'!L81</f>
        <v>107</v>
      </c>
      <c r="H23" s="97">
        <f>'Data Ocupacion'!N81</f>
        <v>107</v>
      </c>
      <c r="I23" s="97">
        <f>'Data Ocupacion'!P81</f>
        <v>107</v>
      </c>
      <c r="J23" s="97">
        <f>'Data Ocupacion'!R81</f>
        <v>75</v>
      </c>
      <c r="K23" s="97">
        <f>'Data Ocupacion'!T81</f>
        <v>57</v>
      </c>
      <c r="L23" s="97">
        <f>'Data Ocupacion'!V81</f>
        <v>107</v>
      </c>
      <c r="M23" s="97">
        <f>'Data Ocupacion'!X81</f>
        <v>94</v>
      </c>
      <c r="N23" s="97">
        <f>'Data Ocupacion'!Z81</f>
        <v>108</v>
      </c>
      <c r="O23" s="97">
        <f>'Data Ocupacion'!AB81</f>
        <v>111</v>
      </c>
      <c r="P23" s="97">
        <f>'Data Ocupacion'!AD81</f>
        <v>111</v>
      </c>
      <c r="Q23" s="97">
        <f>'Data Ocupacion'!AF81</f>
        <v>75</v>
      </c>
      <c r="R23" s="97">
        <f>'Data Ocupacion'!AH81</f>
        <v>57</v>
      </c>
      <c r="S23" s="97">
        <f>'Data Ocupacion'!AJ81</f>
        <v>107</v>
      </c>
      <c r="T23" s="97">
        <f>'Data Ocupacion'!AL81</f>
        <v>109</v>
      </c>
      <c r="U23" s="97">
        <f>'Data Ocupacion'!AN81</f>
        <v>110</v>
      </c>
      <c r="V23" s="97">
        <f>'Data Ocupacion'!AP81</f>
        <v>109</v>
      </c>
      <c r="W23" s="97">
        <f>'Data Ocupacion'!AR81</f>
        <v>111</v>
      </c>
      <c r="X23" s="97">
        <f>'Data Ocupacion'!AT81</f>
        <v>75</v>
      </c>
      <c r="Y23" s="97">
        <f>'Data Ocupacion'!AV81</f>
        <v>57</v>
      </c>
      <c r="Z23" s="97">
        <f>'Data Ocupacion'!AX81</f>
        <v>111</v>
      </c>
      <c r="AA23" s="97">
        <f>'Data Ocupacion'!AZ81</f>
        <v>100</v>
      </c>
      <c r="AB23" s="97">
        <f>'Data Ocupacion'!BB81</f>
        <v>86</v>
      </c>
      <c r="AC23" s="97">
        <f>'Data Ocupacion'!BD81</f>
        <v>111</v>
      </c>
      <c r="AD23" s="97">
        <f>'Data Ocupacion'!BF81</f>
        <v>110</v>
      </c>
      <c r="AE23" s="97">
        <f>'Data Ocupacion'!BH81</f>
        <v>75</v>
      </c>
      <c r="AF23" s="97">
        <f>'Data Ocupacion'!BJ81</f>
        <v>57</v>
      </c>
      <c r="AG23" s="97">
        <f>'Data Ocupacion'!BL81</f>
        <v>110</v>
      </c>
    </row>
    <row r="24" spans="1:33" s="87" customFormat="1" ht="14.25" x14ac:dyDescent="0.2">
      <c r="A24" s="83" t="s">
        <v>89</v>
      </c>
      <c r="B24" s="84">
        <v>29.11</v>
      </c>
      <c r="C24" s="97">
        <f>'Data Ocupacion'!D82</f>
        <v>0</v>
      </c>
      <c r="D24" s="97">
        <f>'Data Ocupacion'!F82</f>
        <v>0</v>
      </c>
      <c r="E24" s="97">
        <f>'Data Ocupacion'!H82</f>
        <v>36</v>
      </c>
      <c r="F24" s="97">
        <f>'Data Ocupacion'!J82</f>
        <v>36</v>
      </c>
      <c r="G24" s="97">
        <f>'Data Ocupacion'!L82</f>
        <v>36</v>
      </c>
      <c r="H24" s="97">
        <f>'Data Ocupacion'!N82</f>
        <v>36</v>
      </c>
      <c r="I24" s="97">
        <f>'Data Ocupacion'!P82</f>
        <v>36</v>
      </c>
      <c r="J24" s="97">
        <f>'Data Ocupacion'!R82</f>
        <v>0</v>
      </c>
      <c r="K24" s="97">
        <f>'Data Ocupacion'!T82</f>
        <v>0</v>
      </c>
      <c r="L24" s="97">
        <f>'Data Ocupacion'!V82</f>
        <v>36</v>
      </c>
      <c r="M24" s="97">
        <f>'Data Ocupacion'!X82</f>
        <v>33</v>
      </c>
      <c r="N24" s="97">
        <f>'Data Ocupacion'!Z82</f>
        <v>36</v>
      </c>
      <c r="O24" s="97">
        <f>'Data Ocupacion'!AB82</f>
        <v>36</v>
      </c>
      <c r="P24" s="97">
        <f>'Data Ocupacion'!AD82</f>
        <v>36</v>
      </c>
      <c r="Q24" s="97">
        <f>'Data Ocupacion'!AF82</f>
        <v>0</v>
      </c>
      <c r="R24" s="97">
        <f>'Data Ocupacion'!AH82</f>
        <v>0</v>
      </c>
      <c r="S24" s="97">
        <f>'Data Ocupacion'!AJ82</f>
        <v>37</v>
      </c>
      <c r="T24" s="97">
        <f>'Data Ocupacion'!AL82</f>
        <v>37</v>
      </c>
      <c r="U24" s="97">
        <f>'Data Ocupacion'!AN82</f>
        <v>37</v>
      </c>
      <c r="V24" s="97">
        <f>'Data Ocupacion'!AP82</f>
        <v>37</v>
      </c>
      <c r="W24" s="97">
        <f>'Data Ocupacion'!AR82</f>
        <v>36</v>
      </c>
      <c r="X24" s="97">
        <f>'Data Ocupacion'!AT82</f>
        <v>0</v>
      </c>
      <c r="Y24" s="97">
        <f>'Data Ocupacion'!AV82</f>
        <v>0</v>
      </c>
      <c r="Z24" s="97">
        <f>'Data Ocupacion'!AX82</f>
        <v>37</v>
      </c>
      <c r="AA24" s="97">
        <f>'Data Ocupacion'!AZ82</f>
        <v>37</v>
      </c>
      <c r="AB24" s="97">
        <f>'Data Ocupacion'!BB82</f>
        <v>33</v>
      </c>
      <c r="AC24" s="97">
        <f>'Data Ocupacion'!BD82</f>
        <v>37</v>
      </c>
      <c r="AD24" s="97">
        <f>'Data Ocupacion'!BF82</f>
        <v>37</v>
      </c>
      <c r="AE24" s="97">
        <f>'Data Ocupacion'!BH82</f>
        <v>0</v>
      </c>
      <c r="AF24" s="97">
        <f>'Data Ocupacion'!BJ82</f>
        <v>0</v>
      </c>
      <c r="AG24" s="97">
        <f>'Data Ocupacion'!BL82</f>
        <v>37</v>
      </c>
    </row>
    <row r="25" spans="1:33" s="87" customFormat="1" ht="14.25" x14ac:dyDescent="0.2">
      <c r="A25" s="83" t="s">
        <v>90</v>
      </c>
      <c r="B25" s="84">
        <v>29.11</v>
      </c>
      <c r="C25" s="97">
        <f>'Data Ocupacion'!D83</f>
        <v>0</v>
      </c>
      <c r="D25" s="97">
        <f>'Data Ocupacion'!F83</f>
        <v>0</v>
      </c>
      <c r="E25" s="97">
        <f>'Data Ocupacion'!H83</f>
        <v>35</v>
      </c>
      <c r="F25" s="97">
        <f>'Data Ocupacion'!J83</f>
        <v>35</v>
      </c>
      <c r="G25" s="97">
        <f>'Data Ocupacion'!L83</f>
        <v>35</v>
      </c>
      <c r="H25" s="97">
        <f>'Data Ocupacion'!N83</f>
        <v>35</v>
      </c>
      <c r="I25" s="97">
        <f>'Data Ocupacion'!P83</f>
        <v>35</v>
      </c>
      <c r="J25" s="97">
        <f>'Data Ocupacion'!R83</f>
        <v>0</v>
      </c>
      <c r="K25" s="97">
        <f>'Data Ocupacion'!T83</f>
        <v>0</v>
      </c>
      <c r="L25" s="97">
        <f>'Data Ocupacion'!V83</f>
        <v>35</v>
      </c>
      <c r="M25" s="97">
        <f>'Data Ocupacion'!X83</f>
        <v>31</v>
      </c>
      <c r="N25" s="97">
        <f>'Data Ocupacion'!Z83</f>
        <v>35</v>
      </c>
      <c r="O25" s="97">
        <f>'Data Ocupacion'!AB83</f>
        <v>35</v>
      </c>
      <c r="P25" s="97">
        <f>'Data Ocupacion'!AD83</f>
        <v>35</v>
      </c>
      <c r="Q25" s="97">
        <f>'Data Ocupacion'!AF83</f>
        <v>0</v>
      </c>
      <c r="R25" s="97">
        <f>'Data Ocupacion'!AH83</f>
        <v>0</v>
      </c>
      <c r="S25" s="97">
        <f>'Data Ocupacion'!AJ83</f>
        <v>37</v>
      </c>
      <c r="T25" s="97">
        <f>'Data Ocupacion'!AL83</f>
        <v>36</v>
      </c>
      <c r="U25" s="97">
        <f>'Data Ocupacion'!AN83</f>
        <v>36</v>
      </c>
      <c r="V25" s="97">
        <f>'Data Ocupacion'!AP83</f>
        <v>36</v>
      </c>
      <c r="W25" s="97">
        <f>'Data Ocupacion'!AR83</f>
        <v>36</v>
      </c>
      <c r="X25" s="97">
        <f>'Data Ocupacion'!AT83</f>
        <v>0</v>
      </c>
      <c r="Y25" s="97">
        <f>'Data Ocupacion'!AV83</f>
        <v>0</v>
      </c>
      <c r="Z25" s="97">
        <f>'Data Ocupacion'!AX83</f>
        <v>36</v>
      </c>
      <c r="AA25" s="97">
        <f>'Data Ocupacion'!AZ83</f>
        <v>36</v>
      </c>
      <c r="AB25" s="97">
        <f>'Data Ocupacion'!BB83</f>
        <v>31</v>
      </c>
      <c r="AC25" s="97">
        <f>'Data Ocupacion'!BD83</f>
        <v>36</v>
      </c>
      <c r="AD25" s="97">
        <f>'Data Ocupacion'!BF83</f>
        <v>36</v>
      </c>
      <c r="AE25" s="97">
        <f>'Data Ocupacion'!BH83</f>
        <v>0</v>
      </c>
      <c r="AF25" s="97">
        <f>'Data Ocupacion'!BJ83</f>
        <v>0</v>
      </c>
      <c r="AG25" s="97">
        <f>'Data Ocupacion'!BL83</f>
        <v>37</v>
      </c>
    </row>
    <row r="26" spans="1:33" s="87" customFormat="1" ht="14.25" x14ac:dyDescent="0.2">
      <c r="A26" s="83" t="s">
        <v>91</v>
      </c>
      <c r="B26" s="84">
        <v>25.4</v>
      </c>
      <c r="C26" s="97">
        <f>'Data Ocupacion'!D85</f>
        <v>0</v>
      </c>
      <c r="D26" s="97">
        <f>'Data Ocupacion'!F85</f>
        <v>0</v>
      </c>
      <c r="E26" s="97">
        <f>'Data Ocupacion'!H85</f>
        <v>1</v>
      </c>
      <c r="F26" s="97">
        <f>'Data Ocupacion'!J85</f>
        <v>1</v>
      </c>
      <c r="G26" s="97">
        <f>'Data Ocupacion'!L85</f>
        <v>1</v>
      </c>
      <c r="H26" s="97">
        <f>'Data Ocupacion'!N85</f>
        <v>1</v>
      </c>
      <c r="I26" s="97">
        <f>'Data Ocupacion'!P85</f>
        <v>1</v>
      </c>
      <c r="J26" s="97">
        <f>'Data Ocupacion'!R85</f>
        <v>0</v>
      </c>
      <c r="K26" s="97">
        <f>'Data Ocupacion'!T85</f>
        <v>0</v>
      </c>
      <c r="L26" s="97">
        <f>'Data Ocupacion'!V85</f>
        <v>1</v>
      </c>
      <c r="M26" s="97">
        <f>'Data Ocupacion'!X85</f>
        <v>1</v>
      </c>
      <c r="N26" s="97">
        <f>'Data Ocupacion'!Z85</f>
        <v>1</v>
      </c>
      <c r="O26" s="97">
        <f>'Data Ocupacion'!AB85</f>
        <v>1</v>
      </c>
      <c r="P26" s="97">
        <f>'Data Ocupacion'!AD85</f>
        <v>1</v>
      </c>
      <c r="Q26" s="97">
        <f>'Data Ocupacion'!AF85</f>
        <v>0</v>
      </c>
      <c r="R26" s="97">
        <f>'Data Ocupacion'!AH85</f>
        <v>0</v>
      </c>
      <c r="S26" s="97">
        <f>'Data Ocupacion'!AJ85</f>
        <v>1</v>
      </c>
      <c r="T26" s="97">
        <f>'Data Ocupacion'!AL85</f>
        <v>1</v>
      </c>
      <c r="U26" s="97">
        <f>'Data Ocupacion'!AN85</f>
        <v>1</v>
      </c>
      <c r="V26" s="97">
        <f>'Data Ocupacion'!AP85</f>
        <v>1</v>
      </c>
      <c r="W26" s="97">
        <f>'Data Ocupacion'!AR85</f>
        <v>1</v>
      </c>
      <c r="X26" s="97">
        <f>'Data Ocupacion'!AT85</f>
        <v>0</v>
      </c>
      <c r="Y26" s="97">
        <f>'Data Ocupacion'!AV85</f>
        <v>0</v>
      </c>
      <c r="Z26" s="97">
        <f>'Data Ocupacion'!AX85</f>
        <v>1</v>
      </c>
      <c r="AA26" s="97">
        <f>'Data Ocupacion'!AZ85</f>
        <v>1</v>
      </c>
      <c r="AB26" s="97">
        <f>'Data Ocupacion'!BB85</f>
        <v>1</v>
      </c>
      <c r="AC26" s="97">
        <f>'Data Ocupacion'!BD85</f>
        <v>1</v>
      </c>
      <c r="AD26" s="97">
        <f>'Data Ocupacion'!BF85</f>
        <v>1</v>
      </c>
      <c r="AE26" s="97">
        <f>'Data Ocupacion'!BH85</f>
        <v>0</v>
      </c>
      <c r="AF26" s="97">
        <f>'Data Ocupacion'!BJ85</f>
        <v>0</v>
      </c>
      <c r="AG26" s="97">
        <f>'Data Ocupacion'!BL85</f>
        <v>1</v>
      </c>
    </row>
    <row r="27" spans="1:33" s="87" customFormat="1" ht="14.25" x14ac:dyDescent="0.2">
      <c r="A27" s="221" t="s">
        <v>124</v>
      </c>
      <c r="B27" s="84">
        <v>25.4</v>
      </c>
      <c r="C27" s="97">
        <v>0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>
        <v>0</v>
      </c>
      <c r="L27" s="97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5">
        <v>0</v>
      </c>
      <c r="Y27" s="85">
        <v>0</v>
      </c>
      <c r="Z27" s="97">
        <v>0</v>
      </c>
      <c r="AA27" s="85">
        <v>0</v>
      </c>
      <c r="AB27" s="85">
        <v>0</v>
      </c>
      <c r="AC27" s="85">
        <v>0</v>
      </c>
      <c r="AD27" s="85">
        <v>0</v>
      </c>
      <c r="AE27" s="97">
        <v>0</v>
      </c>
      <c r="AF27" s="97">
        <v>0</v>
      </c>
      <c r="AG27" s="97">
        <v>0</v>
      </c>
    </row>
    <row r="28" spans="1:33" s="87" customFormat="1" ht="14.25" x14ac:dyDescent="0.2">
      <c r="A28" s="221" t="s">
        <v>166</v>
      </c>
      <c r="B28" s="84">
        <v>11.71</v>
      </c>
      <c r="C28" s="97"/>
      <c r="D28" s="85"/>
      <c r="E28" s="85"/>
      <c r="F28" s="85"/>
      <c r="G28" s="85"/>
      <c r="H28" s="85"/>
      <c r="I28" s="85"/>
      <c r="J28" s="85"/>
      <c r="K28" s="85"/>
      <c r="L28" s="97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97"/>
      <c r="AA28" s="85"/>
      <c r="AB28" s="85"/>
      <c r="AC28" s="85"/>
      <c r="AD28" s="85"/>
      <c r="AE28" s="97"/>
      <c r="AF28" s="97"/>
      <c r="AG28" s="97"/>
    </row>
    <row r="29" spans="1:33" s="87" customFormat="1" ht="14.25" x14ac:dyDescent="0.2">
      <c r="A29" s="221" t="s">
        <v>167</v>
      </c>
      <c r="B29" s="84">
        <v>11.71</v>
      </c>
      <c r="C29" s="97"/>
      <c r="D29" s="85"/>
      <c r="E29" s="85"/>
      <c r="F29" s="85"/>
      <c r="G29" s="85"/>
      <c r="H29" s="85"/>
      <c r="I29" s="85"/>
      <c r="J29" s="85"/>
      <c r="K29" s="85"/>
      <c r="L29" s="97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97"/>
      <c r="AA29" s="85"/>
      <c r="AB29" s="85"/>
      <c r="AC29" s="85"/>
      <c r="AD29" s="85"/>
      <c r="AE29" s="97"/>
      <c r="AF29" s="97"/>
      <c r="AG29" s="97"/>
    </row>
    <row r="30" spans="1:33" s="87" customFormat="1" ht="14.25" x14ac:dyDescent="0.2">
      <c r="A30" s="221" t="s">
        <v>168</v>
      </c>
      <c r="B30" s="84">
        <v>34.83</v>
      </c>
      <c r="C30" s="97">
        <f>'Data Ocupacion'!D88</f>
        <v>5</v>
      </c>
      <c r="D30" s="97">
        <f>'Data Ocupacion'!F88</f>
        <v>5</v>
      </c>
      <c r="E30" s="85"/>
      <c r="F30" s="85"/>
      <c r="G30" s="85"/>
      <c r="H30" s="85"/>
      <c r="I30" s="85"/>
      <c r="J30" s="85"/>
      <c r="K30" s="85"/>
      <c r="L30" s="97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97"/>
      <c r="AA30" s="97"/>
      <c r="AB30" s="97"/>
      <c r="AC30" s="97"/>
      <c r="AD30" s="97"/>
      <c r="AE30" s="97"/>
      <c r="AF30" s="97"/>
      <c r="AG30" s="97"/>
    </row>
    <row r="31" spans="1:33" s="87" customFormat="1" ht="14.25" x14ac:dyDescent="0.2">
      <c r="A31" s="221" t="s">
        <v>169</v>
      </c>
      <c r="B31" s="84">
        <v>8.3000000000000007</v>
      </c>
      <c r="C31" s="97">
        <f>'Data Ocupacion'!D89</f>
        <v>2</v>
      </c>
      <c r="D31" s="97">
        <f>'Data Ocupacion'!F89</f>
        <v>2</v>
      </c>
      <c r="E31" s="85"/>
      <c r="F31" s="85"/>
      <c r="G31" s="85"/>
      <c r="H31" s="85"/>
      <c r="I31" s="85"/>
      <c r="J31" s="85"/>
      <c r="K31" s="85"/>
      <c r="L31" s="97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97"/>
      <c r="AA31" s="97"/>
      <c r="AB31" s="97"/>
      <c r="AC31" s="97"/>
      <c r="AD31" s="97"/>
      <c r="AE31" s="97"/>
      <c r="AF31" s="97"/>
      <c r="AG31" s="97"/>
    </row>
    <row r="32" spans="1:33" s="87" customFormat="1" ht="14.25" x14ac:dyDescent="0.2">
      <c r="A32" s="221" t="s">
        <v>187</v>
      </c>
      <c r="B32" s="84">
        <v>21.7</v>
      </c>
      <c r="C32" s="97"/>
      <c r="D32" s="97"/>
      <c r="E32" s="85"/>
      <c r="F32" s="85"/>
      <c r="G32" s="85"/>
      <c r="H32" s="85"/>
      <c r="I32" s="85"/>
      <c r="J32" s="85"/>
      <c r="K32" s="85"/>
      <c r="L32" s="97"/>
      <c r="M32" s="97">
        <f>'Data Ocupacion'!X90</f>
        <v>1</v>
      </c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97"/>
      <c r="AA32" s="97"/>
      <c r="AB32" s="97">
        <f>'Data Ocupacion'!BB90</f>
        <v>2</v>
      </c>
      <c r="AC32" s="97"/>
      <c r="AD32" s="97"/>
      <c r="AE32" s="97"/>
      <c r="AF32" s="97"/>
      <c r="AG32" s="97"/>
    </row>
    <row r="33" spans="1:33" s="87" customFormat="1" ht="14.25" x14ac:dyDescent="0.2">
      <c r="A33" s="221" t="s">
        <v>188</v>
      </c>
      <c r="B33" s="84">
        <v>21.7</v>
      </c>
      <c r="C33" s="97"/>
      <c r="D33" s="97"/>
      <c r="E33" s="85"/>
      <c r="F33" s="85"/>
      <c r="G33" s="85"/>
      <c r="H33" s="85"/>
      <c r="I33" s="85"/>
      <c r="J33" s="85"/>
      <c r="K33" s="85"/>
      <c r="L33" s="97"/>
      <c r="M33" s="97">
        <f>'Data Ocupacion'!X91</f>
        <v>4</v>
      </c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97"/>
      <c r="AA33" s="97"/>
      <c r="AB33" s="97">
        <f>'Data Ocupacion'!BB91</f>
        <v>4</v>
      </c>
      <c r="AC33" s="97"/>
      <c r="AD33" s="97"/>
      <c r="AE33" s="97"/>
      <c r="AF33" s="97"/>
      <c r="AG33" s="97"/>
    </row>
    <row r="34" spans="1:33" s="87" customFormat="1" ht="14.25" x14ac:dyDescent="0.2">
      <c r="A34" s="221" t="s">
        <v>198</v>
      </c>
      <c r="B34" s="84">
        <v>39.19</v>
      </c>
      <c r="C34" s="97"/>
      <c r="D34" s="97"/>
      <c r="E34" s="85"/>
      <c r="F34" s="85"/>
      <c r="G34" s="85"/>
      <c r="H34" s="85"/>
      <c r="I34" s="85"/>
      <c r="J34" s="85"/>
      <c r="K34" s="85"/>
      <c r="L34" s="97"/>
      <c r="M34" s="97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97"/>
      <c r="AA34" s="97">
        <f>'Data Ocupacion'!AZ94</f>
        <v>10</v>
      </c>
      <c r="AB34" s="97"/>
      <c r="AC34" s="97"/>
      <c r="AD34" s="97"/>
      <c r="AE34" s="97"/>
      <c r="AF34" s="97"/>
      <c r="AG34" s="97"/>
    </row>
    <row r="35" spans="1:33" s="87" customFormat="1" ht="14.25" x14ac:dyDescent="0.2">
      <c r="A35" s="221" t="s">
        <v>199</v>
      </c>
      <c r="B35" s="84">
        <v>39.19</v>
      </c>
      <c r="C35" s="97"/>
      <c r="D35" s="97"/>
      <c r="E35" s="85"/>
      <c r="F35" s="85"/>
      <c r="G35" s="85"/>
      <c r="H35" s="85"/>
      <c r="I35" s="85"/>
      <c r="J35" s="85"/>
      <c r="K35" s="85"/>
      <c r="L35" s="97"/>
      <c r="M35" s="97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97"/>
      <c r="AA35" s="97">
        <f>'Data Ocupacion'!AZ95</f>
        <v>10</v>
      </c>
      <c r="AB35" s="97"/>
      <c r="AC35" s="97"/>
      <c r="AD35" s="97"/>
      <c r="AE35" s="97"/>
      <c r="AF35" s="97"/>
      <c r="AG35" s="97"/>
    </row>
    <row r="36" spans="1:33" s="87" customFormat="1" ht="14.25" x14ac:dyDescent="0.2">
      <c r="A36" s="221" t="s">
        <v>189</v>
      </c>
      <c r="B36" s="84">
        <v>35.729999999999997</v>
      </c>
      <c r="C36" s="97"/>
      <c r="D36" s="97"/>
      <c r="E36" s="85"/>
      <c r="F36" s="85"/>
      <c r="G36" s="85"/>
      <c r="H36" s="85"/>
      <c r="I36" s="85"/>
      <c r="J36" s="85"/>
      <c r="K36" s="85"/>
      <c r="L36" s="97"/>
      <c r="M36" s="97">
        <f>'Data Ocupacion'!X92</f>
        <v>10</v>
      </c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97"/>
      <c r="AA36" s="97"/>
      <c r="AB36" s="97">
        <f>'Data Ocupacion'!BB92</f>
        <v>20</v>
      </c>
      <c r="AC36" s="97"/>
      <c r="AD36" s="97"/>
      <c r="AE36" s="97"/>
      <c r="AF36" s="97"/>
      <c r="AG36" s="97"/>
    </row>
    <row r="37" spans="1:33" s="87" customFormat="1" ht="14.25" x14ac:dyDescent="0.2">
      <c r="A37" s="221" t="s">
        <v>190</v>
      </c>
      <c r="B37" s="84">
        <v>35.729999999999997</v>
      </c>
      <c r="C37" s="97"/>
      <c r="D37" s="97"/>
      <c r="E37" s="85"/>
      <c r="F37" s="85"/>
      <c r="G37" s="85"/>
      <c r="H37" s="85"/>
      <c r="I37" s="85"/>
      <c r="J37" s="85"/>
      <c r="K37" s="85"/>
      <c r="L37" s="97"/>
      <c r="M37" s="97">
        <f>'Data Ocupacion'!X93</f>
        <v>14</v>
      </c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97"/>
      <c r="AA37" s="97"/>
      <c r="AB37" s="97">
        <f>'Data Ocupacion'!BB93</f>
        <v>21</v>
      </c>
      <c r="AC37" s="97"/>
      <c r="AD37" s="97"/>
      <c r="AE37" s="97"/>
      <c r="AF37" s="97"/>
      <c r="AG37" s="97"/>
    </row>
    <row r="38" spans="1:33" s="87" customFormat="1" ht="14.25" x14ac:dyDescent="0.2">
      <c r="A38" s="303"/>
      <c r="B38" s="251"/>
      <c r="C38" s="85"/>
      <c r="D38" s="85"/>
      <c r="E38" s="85"/>
      <c r="F38" s="85"/>
      <c r="G38" s="85"/>
      <c r="H38" s="85"/>
      <c r="I38" s="85"/>
      <c r="J38" s="85"/>
      <c r="K38" s="85"/>
      <c r="L38" s="97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97"/>
      <c r="AA38" s="85"/>
      <c r="AB38" s="85"/>
      <c r="AC38" s="85"/>
      <c r="AD38" s="85"/>
      <c r="AE38" s="97"/>
      <c r="AF38" s="97"/>
      <c r="AG38" s="97"/>
    </row>
    <row r="39" spans="1:33" x14ac:dyDescent="0.25">
      <c r="A39" s="88" t="s">
        <v>152</v>
      </c>
      <c r="B39" s="84">
        <v>-17.73</v>
      </c>
      <c r="C39" s="85">
        <f>'KM-Servicio'!Q5</f>
        <v>0</v>
      </c>
      <c r="D39" s="85">
        <f>'KM-Servicio'!Q14</f>
        <v>0</v>
      </c>
      <c r="E39" s="85">
        <f>'KM-Servicio'!Q23</f>
        <v>1</v>
      </c>
      <c r="F39" s="85">
        <f>'KM-Servicio'!Q30</f>
        <v>2</v>
      </c>
      <c r="G39" s="85">
        <f>'KM-Servicio'!Q37</f>
        <v>2</v>
      </c>
      <c r="H39" s="85">
        <f>'KM-Servicio'!Q44</f>
        <v>1</v>
      </c>
      <c r="I39" s="85">
        <f>'KM-Servicio'!Q51</f>
        <v>1</v>
      </c>
      <c r="J39" s="85">
        <f>'KM-Servicio'!Q58</f>
        <v>0</v>
      </c>
      <c r="K39" s="85">
        <f>'KM-Servicio'!Q65</f>
        <v>0</v>
      </c>
      <c r="L39" s="85">
        <f>'KM-Servicio'!Q72</f>
        <v>2</v>
      </c>
      <c r="M39" s="85">
        <f>'KM-Servicio'!Q79</f>
        <v>0</v>
      </c>
      <c r="N39" s="85">
        <f>'KM-Servicio'!Q90</f>
        <v>3</v>
      </c>
      <c r="O39" s="85">
        <f>'KM-Servicio'!Q97</f>
        <v>3</v>
      </c>
      <c r="P39" s="85">
        <f>'KM-Servicio'!Q104</f>
        <v>0</v>
      </c>
      <c r="Q39" s="85">
        <f>'KM-Servicio'!Q111</f>
        <v>0</v>
      </c>
      <c r="R39" s="85">
        <f>'KM-Servicio'!Q118</f>
        <v>0</v>
      </c>
      <c r="S39" s="85">
        <f>'KM-Servicio'!Q125</f>
        <v>1</v>
      </c>
      <c r="T39" s="85">
        <f>'KM-Servicio'!Q132</f>
        <v>3</v>
      </c>
      <c r="U39" s="85">
        <f>'KM-Servicio'!Q139</f>
        <v>3</v>
      </c>
      <c r="V39" s="85">
        <f>'KM-Servicio'!Q146</f>
        <v>3</v>
      </c>
      <c r="W39" s="85">
        <f>'KM-Servicio'!Q153</f>
        <v>1</v>
      </c>
      <c r="X39" s="85">
        <f>'KM-Servicio'!Q160</f>
        <v>0</v>
      </c>
      <c r="Y39" s="85"/>
      <c r="Z39" s="85">
        <f>'KM-Servicio'!Q174</f>
        <v>3</v>
      </c>
      <c r="AA39" s="85">
        <f>'KM-Servicio'!Q181</f>
        <v>0</v>
      </c>
      <c r="AB39" s="85">
        <f>'KM-Servicio'!Q190</f>
        <v>0</v>
      </c>
      <c r="AC39" s="85">
        <f>'KM-Servicio'!Q201</f>
        <v>0</v>
      </c>
      <c r="AD39" s="85">
        <f>'KM-Servicio'!Q208</f>
        <v>0</v>
      </c>
      <c r="AE39" s="85">
        <f>'KM-Servicio'!Q215</f>
        <v>0</v>
      </c>
      <c r="AF39" s="85">
        <f>'KM-Servicio'!Q222</f>
        <v>0</v>
      </c>
      <c r="AG39" s="85">
        <f>'KM-Servicio'!Q229</f>
        <v>4</v>
      </c>
    </row>
    <row r="40" spans="1:33" x14ac:dyDescent="0.25">
      <c r="A40" s="88" t="s">
        <v>153</v>
      </c>
      <c r="B40" s="84">
        <v>-17.73</v>
      </c>
      <c r="C40" s="85">
        <f>'KM-Servicio'!T6</f>
        <v>4</v>
      </c>
      <c r="D40" s="85">
        <f>'KM-Servicio'!T15</f>
        <v>0</v>
      </c>
      <c r="E40" s="85">
        <f>'KM-Servicio'!T24</f>
        <v>0</v>
      </c>
      <c r="F40" s="85">
        <f>'KM-Servicio'!T31</f>
        <v>0</v>
      </c>
      <c r="G40" s="85">
        <f>'KM-Servicio'!T38</f>
        <v>0</v>
      </c>
      <c r="H40" s="85">
        <f>'KM-Servicio'!T45</f>
        <v>1</v>
      </c>
      <c r="I40" s="85">
        <f>'KM-Servicio'!T52</f>
        <v>0</v>
      </c>
      <c r="J40" s="85">
        <f>'KM-Servicio'!T59</f>
        <v>0</v>
      </c>
      <c r="K40" s="85">
        <f>'KM-Servicio'!T66</f>
        <v>0</v>
      </c>
      <c r="L40" s="85">
        <f>'KM-Servicio'!T73</f>
        <v>0</v>
      </c>
      <c r="M40" s="85">
        <f>'KM-Servicio'!T80</f>
        <v>0</v>
      </c>
      <c r="N40" s="85">
        <f>'KM-Servicio'!T91</f>
        <v>0</v>
      </c>
      <c r="O40" s="85">
        <f>'KM-Servicio'!T98</f>
        <v>0</v>
      </c>
      <c r="P40" s="85">
        <f>'KM-Servicio'!T105</f>
        <v>0</v>
      </c>
      <c r="Q40" s="85">
        <f>'KM-Servicio'!T112</f>
        <v>0</v>
      </c>
      <c r="R40" s="85">
        <f>'KM-Servicio'!T119</f>
        <v>0</v>
      </c>
      <c r="S40" s="85">
        <f>'KM-Servicio'!T126</f>
        <v>0</v>
      </c>
      <c r="T40" s="85">
        <f>'KM-Servicio'!T133</f>
        <v>0</v>
      </c>
      <c r="U40" s="85">
        <f>'KM-Servicio'!T140</f>
        <v>0</v>
      </c>
      <c r="V40" s="85">
        <f>'KM-Servicio'!T147</f>
        <v>0</v>
      </c>
      <c r="W40" s="85">
        <f>'KM-Servicio'!T154</f>
        <v>0</v>
      </c>
      <c r="X40" s="85">
        <f>'KM-Servicio'!T161</f>
        <v>0</v>
      </c>
      <c r="Y40" s="85">
        <f>'KM-Servicio'!T168</f>
        <v>0</v>
      </c>
      <c r="Z40" s="85">
        <f>'KM-Servicio'!T175</f>
        <v>0</v>
      </c>
      <c r="AA40" s="85">
        <f>'KM-Servicio'!T182</f>
        <v>0</v>
      </c>
      <c r="AB40" s="85">
        <f>'KM-Servicio'!T191</f>
        <v>0</v>
      </c>
      <c r="AC40" s="85">
        <v>0</v>
      </c>
      <c r="AD40" s="85">
        <f>'KM-Servicio'!T209</f>
        <v>0</v>
      </c>
      <c r="AE40" s="85">
        <f>'KM-Servicio'!T216</f>
        <v>0</v>
      </c>
      <c r="AF40" s="85">
        <f>'KM-Servicio'!T223</f>
        <v>0</v>
      </c>
      <c r="AG40" s="85">
        <f>'KM-Servicio'!T230</f>
        <v>0</v>
      </c>
    </row>
    <row r="41" spans="1:33" s="126" customFormat="1" x14ac:dyDescent="0.25">
      <c r="A41" s="88" t="s">
        <v>155</v>
      </c>
      <c r="B41" s="84">
        <v>-14.02</v>
      </c>
      <c r="C41" s="85">
        <f>'KM-Servicio'!U6</f>
        <v>0</v>
      </c>
      <c r="D41" s="85">
        <f>'KM-Servicio'!U15</f>
        <v>0</v>
      </c>
      <c r="E41" s="85">
        <f>'KM-Servicio'!U24</f>
        <v>0</v>
      </c>
      <c r="F41" s="85">
        <f>'KM-Servicio'!U31</f>
        <v>0</v>
      </c>
      <c r="G41" s="85">
        <f>'KM-Servicio'!U38</f>
        <v>0</v>
      </c>
      <c r="H41" s="85">
        <f>'KM-Servicio'!U45</f>
        <v>0</v>
      </c>
      <c r="I41" s="85">
        <f>'KM-Servicio'!U52</f>
        <v>0</v>
      </c>
      <c r="J41" s="85">
        <f>'KM-Servicio'!U59</f>
        <v>0</v>
      </c>
      <c r="K41" s="85">
        <f>'KM-Servicio'!U66</f>
        <v>0</v>
      </c>
      <c r="L41" s="85">
        <f>'KM-Servicio'!U73</f>
        <v>0</v>
      </c>
      <c r="M41" s="85">
        <f>'KM-Servicio'!U80</f>
        <v>0</v>
      </c>
      <c r="N41" s="85">
        <f>'KM-Servicio'!U91</f>
        <v>0</v>
      </c>
      <c r="O41" s="85">
        <f>'KM-Servicio'!U98</f>
        <v>0</v>
      </c>
      <c r="P41" s="85">
        <f>'KM-Servicio'!U105</f>
        <v>0</v>
      </c>
      <c r="Q41" s="85">
        <f>'KM-Servicio'!U112</f>
        <v>0</v>
      </c>
      <c r="R41" s="85">
        <f>'KM-Servicio'!U119</f>
        <v>0</v>
      </c>
      <c r="S41" s="85">
        <f>'KM-Servicio'!U126</f>
        <v>0</v>
      </c>
      <c r="T41" s="85">
        <f>'KM-Servicio'!U133</f>
        <v>0</v>
      </c>
      <c r="U41" s="85">
        <f>'KM-Servicio'!U140</f>
        <v>0</v>
      </c>
      <c r="V41" s="85">
        <f>'KM-Servicio'!U147</f>
        <v>0</v>
      </c>
      <c r="W41" s="85">
        <f>'KM-Servicio'!U154</f>
        <v>0</v>
      </c>
      <c r="X41" s="85">
        <f>'KM-Servicio'!U161</f>
        <v>0</v>
      </c>
      <c r="Y41" s="85">
        <f>'KM-Servicio'!U168</f>
        <v>0</v>
      </c>
      <c r="Z41" s="85">
        <f>'KM-Servicio'!U175</f>
        <v>0</v>
      </c>
      <c r="AA41" s="85">
        <f>'KM-Servicio'!U182</f>
        <v>0</v>
      </c>
      <c r="AB41" s="85">
        <f>'KM-Servicio'!U191</f>
        <v>0</v>
      </c>
      <c r="AC41" s="85">
        <f>'KM-Servicio'!U202</f>
        <v>0</v>
      </c>
      <c r="AD41" s="85">
        <f>'KM-Servicio'!U209</f>
        <v>0</v>
      </c>
      <c r="AE41" s="85">
        <f>'KM-Servicio'!U216</f>
        <v>0</v>
      </c>
      <c r="AF41" s="85">
        <f>'KM-Servicio'!U223</f>
        <v>0</v>
      </c>
      <c r="AG41" s="85">
        <f>'KM-Servicio'!U230</f>
        <v>0</v>
      </c>
    </row>
    <row r="42" spans="1:33" s="126" customFormat="1" x14ac:dyDescent="0.25">
      <c r="A42" s="220" t="s">
        <v>154</v>
      </c>
      <c r="B42" s="84">
        <v>-3.71</v>
      </c>
      <c r="C42" s="85"/>
      <c r="D42" s="85"/>
      <c r="E42" s="85">
        <f>'KM-Servicio'!Q25</f>
        <v>0</v>
      </c>
      <c r="F42" s="85"/>
      <c r="G42" s="85">
        <f>'KM-Servicio'!Q39</f>
        <v>0</v>
      </c>
      <c r="H42" s="85"/>
      <c r="I42" s="85"/>
      <c r="J42" s="85"/>
      <c r="K42" s="85"/>
      <c r="L42" s="85"/>
      <c r="M42" s="85"/>
      <c r="N42" s="85">
        <f>'KM-Servicio'!Q92</f>
        <v>0</v>
      </c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</row>
    <row r="43" spans="1:33" s="126" customFormat="1" x14ac:dyDescent="0.25">
      <c r="A43" s="226" t="s">
        <v>160</v>
      </c>
      <c r="B43" s="84">
        <v>-25.4</v>
      </c>
      <c r="C43" s="85"/>
      <c r="D43" s="85"/>
      <c r="E43" s="85"/>
      <c r="F43" s="85"/>
      <c r="G43" s="85">
        <v>1</v>
      </c>
      <c r="H43" s="85">
        <v>3</v>
      </c>
      <c r="I43" s="85"/>
      <c r="J43" s="85"/>
      <c r="K43" s="85"/>
      <c r="L43" s="85"/>
      <c r="M43" s="85">
        <v>1</v>
      </c>
      <c r="N43" s="85">
        <v>3</v>
      </c>
      <c r="O43" s="85">
        <v>2</v>
      </c>
      <c r="P43" s="85">
        <v>1</v>
      </c>
      <c r="Q43" s="85"/>
      <c r="R43" s="85"/>
      <c r="S43" s="85"/>
      <c r="T43" s="85"/>
      <c r="U43" s="85">
        <v>1</v>
      </c>
      <c r="V43" s="85">
        <v>2</v>
      </c>
      <c r="W43" s="85"/>
      <c r="X43" s="85"/>
      <c r="Y43" s="85"/>
      <c r="Z43" s="85"/>
      <c r="AA43" s="85"/>
      <c r="AB43" s="85"/>
      <c r="AC43" s="85">
        <v>4</v>
      </c>
      <c r="AD43" s="85">
        <v>3</v>
      </c>
      <c r="AE43" s="85"/>
      <c r="AF43" s="85"/>
      <c r="AG43" s="85">
        <v>5</v>
      </c>
    </row>
    <row r="44" spans="1:33" s="126" customFormat="1" x14ac:dyDescent="0.25">
      <c r="A44" s="226" t="s">
        <v>204</v>
      </c>
      <c r="B44" s="84">
        <v>-12.72</v>
      </c>
      <c r="C44" s="85"/>
      <c r="D44" s="85"/>
      <c r="E44" s="85"/>
      <c r="F44" s="85"/>
      <c r="G44" s="85"/>
      <c r="H44" s="85"/>
      <c r="I44" s="85"/>
      <c r="J44" s="85"/>
      <c r="K44" s="85"/>
      <c r="L44" s="85">
        <v>1</v>
      </c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</row>
    <row r="45" spans="1:33" x14ac:dyDescent="0.25">
      <c r="A45" s="89"/>
      <c r="B45" s="84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</row>
    <row r="46" spans="1:33" x14ac:dyDescent="0.25">
      <c r="A46" s="90" t="s">
        <v>84</v>
      </c>
      <c r="B46" s="243">
        <f t="shared" ref="B46:B53" si="0">SUM(C46:AG46)</f>
        <v>5969</v>
      </c>
      <c r="C46" s="93">
        <f>SUM(C5:C14)</f>
        <v>153</v>
      </c>
      <c r="D46" s="93">
        <f>SUM(D5:D14)</f>
        <v>117</v>
      </c>
      <c r="E46" s="93">
        <f>SUM(E5:E12)</f>
        <v>223</v>
      </c>
      <c r="F46" s="93">
        <f t="shared" ref="F46:AG46" si="1">SUM(F5:F10)</f>
        <v>223</v>
      </c>
      <c r="G46" s="93">
        <f t="shared" si="1"/>
        <v>223</v>
      </c>
      <c r="H46" s="93">
        <f t="shared" si="1"/>
        <v>223</v>
      </c>
      <c r="I46" s="93">
        <f t="shared" si="1"/>
        <v>223</v>
      </c>
      <c r="J46" s="93">
        <f t="shared" si="1"/>
        <v>147</v>
      </c>
      <c r="K46" s="93">
        <f t="shared" si="1"/>
        <v>111</v>
      </c>
      <c r="L46" s="93">
        <f t="shared" si="1"/>
        <v>223</v>
      </c>
      <c r="M46" s="93">
        <f>SUM(M5:M20)</f>
        <v>216</v>
      </c>
      <c r="N46" s="93">
        <f t="shared" si="1"/>
        <v>223</v>
      </c>
      <c r="O46" s="93">
        <f t="shared" si="1"/>
        <v>223</v>
      </c>
      <c r="P46" s="93">
        <f t="shared" si="1"/>
        <v>223</v>
      </c>
      <c r="Q46" s="93">
        <f t="shared" si="1"/>
        <v>147</v>
      </c>
      <c r="R46" s="93">
        <f t="shared" si="1"/>
        <v>111</v>
      </c>
      <c r="S46" s="93">
        <f t="shared" si="1"/>
        <v>223</v>
      </c>
      <c r="T46" s="93">
        <f t="shared" si="1"/>
        <v>223</v>
      </c>
      <c r="U46" s="93">
        <f t="shared" si="1"/>
        <v>223</v>
      </c>
      <c r="V46" s="93">
        <f t="shared" si="1"/>
        <v>223</v>
      </c>
      <c r="W46" s="93">
        <f t="shared" si="1"/>
        <v>223</v>
      </c>
      <c r="X46" s="93">
        <f t="shared" si="1"/>
        <v>147</v>
      </c>
      <c r="Y46" s="93">
        <f t="shared" si="1"/>
        <v>111</v>
      </c>
      <c r="Z46" s="93">
        <f>SUM(Z5:Z14)</f>
        <v>223</v>
      </c>
      <c r="AA46" s="93">
        <f>SUM(AA5:AA18)</f>
        <v>223</v>
      </c>
      <c r="AB46" s="93">
        <f>SUM(AB5:AB20)</f>
        <v>214</v>
      </c>
      <c r="AC46" s="93">
        <f>SUM(AC5:AC14)</f>
        <v>223</v>
      </c>
      <c r="AD46" s="93">
        <f>SUM(AD5:AD14)</f>
        <v>223</v>
      </c>
      <c r="AE46" s="93">
        <f t="shared" si="1"/>
        <v>147</v>
      </c>
      <c r="AF46" s="93">
        <f t="shared" si="1"/>
        <v>111</v>
      </c>
      <c r="AG46" s="93">
        <f t="shared" si="1"/>
        <v>223</v>
      </c>
    </row>
    <row r="47" spans="1:33" x14ac:dyDescent="0.25">
      <c r="A47" s="92" t="s">
        <v>65</v>
      </c>
      <c r="B47" s="243">
        <f t="shared" si="0"/>
        <v>7484</v>
      </c>
      <c r="C47" s="93">
        <f>SUM(C22:C31)</f>
        <v>189</v>
      </c>
      <c r="D47" s="93">
        <f>SUM(D22:D31)</f>
        <v>120</v>
      </c>
      <c r="E47" s="93">
        <f>SUM(E22:E29)</f>
        <v>286</v>
      </c>
      <c r="F47" s="93">
        <f t="shared" ref="F47:AG47" si="2">SUM(F22:F27)</f>
        <v>286</v>
      </c>
      <c r="G47" s="93">
        <f t="shared" si="2"/>
        <v>286</v>
      </c>
      <c r="H47" s="93">
        <f t="shared" si="2"/>
        <v>289</v>
      </c>
      <c r="I47" s="93">
        <f t="shared" si="2"/>
        <v>287</v>
      </c>
      <c r="J47" s="93">
        <f t="shared" si="2"/>
        <v>150</v>
      </c>
      <c r="K47" s="93">
        <f t="shared" si="2"/>
        <v>114</v>
      </c>
      <c r="L47" s="93">
        <f t="shared" si="2"/>
        <v>286</v>
      </c>
      <c r="M47" s="93">
        <f>SUM(M22:M37)</f>
        <v>283</v>
      </c>
      <c r="N47" s="93">
        <f t="shared" si="2"/>
        <v>288</v>
      </c>
      <c r="O47" s="93">
        <f t="shared" si="2"/>
        <v>294</v>
      </c>
      <c r="P47" s="93">
        <f t="shared" si="2"/>
        <v>294</v>
      </c>
      <c r="Q47" s="93">
        <f t="shared" si="2"/>
        <v>150</v>
      </c>
      <c r="R47" s="93">
        <f t="shared" si="2"/>
        <v>114</v>
      </c>
      <c r="S47" s="93">
        <f t="shared" si="2"/>
        <v>290</v>
      </c>
      <c r="T47" s="93">
        <f t="shared" si="2"/>
        <v>292</v>
      </c>
      <c r="U47" s="93">
        <f t="shared" si="2"/>
        <v>294</v>
      </c>
      <c r="V47" s="93">
        <f t="shared" si="2"/>
        <v>294</v>
      </c>
      <c r="W47" s="93">
        <f t="shared" si="2"/>
        <v>298</v>
      </c>
      <c r="X47" s="93">
        <f t="shared" si="2"/>
        <v>150</v>
      </c>
      <c r="Y47" s="93">
        <f t="shared" si="2"/>
        <v>114</v>
      </c>
      <c r="Z47" s="93">
        <f>SUM(Z22:Z31)</f>
        <v>296</v>
      </c>
      <c r="AA47" s="93">
        <f>SUM(AA22:AA35)</f>
        <v>295</v>
      </c>
      <c r="AB47" s="93">
        <f>SUM(AB22:AB37)</f>
        <v>291</v>
      </c>
      <c r="AC47" s="93">
        <f>SUM(AC22:AC31)</f>
        <v>296</v>
      </c>
      <c r="AD47" s="93">
        <f>SUM(AD22:AD31)</f>
        <v>294</v>
      </c>
      <c r="AE47" s="93">
        <f t="shared" si="2"/>
        <v>150</v>
      </c>
      <c r="AF47" s="93">
        <f t="shared" si="2"/>
        <v>114</v>
      </c>
      <c r="AG47" s="93">
        <f t="shared" si="2"/>
        <v>300</v>
      </c>
    </row>
    <row r="48" spans="1:33" x14ac:dyDescent="0.25">
      <c r="A48" s="92" t="s">
        <v>92</v>
      </c>
      <c r="B48" s="243">
        <f>SUM(C48:AG48)</f>
        <v>299045.92000000004</v>
      </c>
      <c r="C48" s="93">
        <f>(C22*$B$22+C23*$B$23+C24*$B$24+C25*$B$25+C27*$B$27+C40*$B$40+C26*$B$26+C39*$B$39+C41*$B$41+C42*$B$42+C30*$B$30+C31*$B$31)</f>
        <v>7969.49</v>
      </c>
      <c r="D48" s="93">
        <f>(D22*$B$22+D23*$B$23+D24*$B$24+D25*$B$25+D27*$B$27+D40*$B$40+D26*$B$26+D39*$B$39+D41*$B$41+D42*$B$42+D30*$B$30+D31*$B$31)</f>
        <v>5064.4400000000005</v>
      </c>
      <c r="E48" s="93">
        <f>(E22*$B$22+E23*$B$23+E24*$B$24+E25*$B$25+E27*$B$27+E40*$B$40+E26*$B$26+E39*$B$39+E41*$B$41+E42*$B$42+E28*B28+E29*B29)</f>
        <v>11304.3</v>
      </c>
      <c r="F48" s="93">
        <f t="shared" ref="F48:AF48" si="3">(F22*$B$22+F23*$B$23+F24*$B$24+F25*$B$25+F27*$B$27+F40*$B$40+F26*$B$26+F39*$B$39+F41*$B$41+F42*$B$42)</f>
        <v>11286.57</v>
      </c>
      <c r="G48" s="93">
        <f>(G22*$B$22+G23*$B$23+G24*$B$24+G25*$B$25+G27*$B$27+G40*$B$40+G26*$B$26+G39*$B$39+G41*$B$41+G42*$B$42+G43*B43)</f>
        <v>11261.17</v>
      </c>
      <c r="H48" s="93">
        <f>(H22*$B$22+H23*$B$23+H24*$B$24+H25*$B$25+H27*$B$27+H40*$B$40+H26*$B$26+H39*$B$39+H41*$B$41+H42*$B$42+H43*B43)</f>
        <v>11339.759999999998</v>
      </c>
      <c r="I48" s="93">
        <f t="shared" si="3"/>
        <v>11347.43</v>
      </c>
      <c r="J48" s="93">
        <f t="shared" si="3"/>
        <v>6469.5</v>
      </c>
      <c r="K48" s="93">
        <f t="shared" si="3"/>
        <v>4916.8200000000006</v>
      </c>
      <c r="L48" s="93">
        <f>(L22*$B$22+L23*$B$23+L24*$B$24+L25*$B$25+L27*$B$27+L40*$B$40+L26*$B$26+L39*$B$39+L41*$B$41+L42*$B$42+L44*B44)</f>
        <v>11273.85</v>
      </c>
      <c r="M48" s="93">
        <f>(M22*$B$22+M23*$B$23+M24*$B$24+M25*$B$25+M27*$B$27+M40*$B$40+M26*$B$26+M39*$B$39+M41*$B$41+M42*$B$42+M32*B32+M33*B33+M36*B36+M37*B37+M43*B43)</f>
        <v>10980.63</v>
      </c>
      <c r="N48" s="93">
        <f>(N22*$B$22+N23*$B$23+N24*$B$24+N25*$B$25+N27*$B$27+N40*$B$40+N26*$B$26+N39*$B$39+N41*$B$41+N42*$B$42+N43*B43)</f>
        <v>11278.9</v>
      </c>
      <c r="O48" s="93">
        <f>(O22*$B$22+O23*$B$23+O24*$B$24+O25*$B$25+O27*$B$27+O40*$B$40+O26*$B$26+O39*$B$39+O41*$B$41+O42*$B$42+O43*B43)</f>
        <v>11563.08</v>
      </c>
      <c r="P48" s="93">
        <f>(P22*$B$22+P23*$B$23+P24*$B$24+P25*$B$25+P27*$B$27+P40*$B$40+P26*$B$26+P39*$B$39+P41*$B$41+P42*$B$42+P43*B43)</f>
        <v>11641.67</v>
      </c>
      <c r="Q48" s="93">
        <f t="shared" si="3"/>
        <v>6469.5</v>
      </c>
      <c r="R48" s="93">
        <f t="shared" si="3"/>
        <v>4916.8200000000006</v>
      </c>
      <c r="S48" s="93">
        <f t="shared" si="3"/>
        <v>11434.76</v>
      </c>
      <c r="T48" s="93">
        <f t="shared" si="3"/>
        <v>11499.579999999998</v>
      </c>
      <c r="U48" s="93">
        <f>(U22*$B$22+U23*$B$23+U24*$B$24+U25*$B$25+U27*$B$27+U40*$B$40+U26*$B$26+U39*$B$39+U41*$B$41+U42*$B$42+U43*B43)</f>
        <v>11560.44</v>
      </c>
      <c r="V48" s="93">
        <f>(V22*$B$22+V23*$B$23+V24*$B$24+V25*$B$25+V27*$B$27+V40*$B$40+V26*$B$26+V39*$B$39+V41*$B$41+V42*$B$42+V43*B43)</f>
        <v>11535.04</v>
      </c>
      <c r="W48" s="93">
        <f t="shared" si="3"/>
        <v>11807.839999999998</v>
      </c>
      <c r="X48" s="93">
        <f t="shared" si="3"/>
        <v>6469.5</v>
      </c>
      <c r="Y48" s="93">
        <f t="shared" si="3"/>
        <v>4916.8200000000006</v>
      </c>
      <c r="Z48" s="93">
        <f>(Z22*$B$22+Z23*$B$23+Z24*$B$24+Z25*$B$25+Z27*$B$27+Z40*$B$40+Z26*$B$26+Z39*$B$39+Z41*$B$41+Z42*$B$42+Z30*$B$30+Z31*$B$31)</f>
        <v>11672.099999999999</v>
      </c>
      <c r="AA48" s="93">
        <f>(AA22*$B$22+AA23*$B$23+AA24*$B$24+AA25*$B$25+AA27*$B$27+AA40*$B$40+AA26*$B$26+AA39*$B$39+AA41*$B$41+AA42*$B$42+AA30*$B$30+AA31*$B$31+AA34*B34+AA35*B35)</f>
        <v>11603.359999999999</v>
      </c>
      <c r="AB48" s="93">
        <f>(AB22*$B$22+AB23*$B$23+AB24*$B$24+AB25*$B$25+AB27*$B$27+AB40*$B$40+AB26*$B$26+AB39*$B$39+AB41*$B$41+AB42*$B$42+AB30*$B$30+AB31*$B$31+AB36*B36+AB37*B37+AB32*B32+AB33*B33)</f>
        <v>11203.839999999998</v>
      </c>
      <c r="AC48" s="93">
        <f>(AC22*$B$22+AC23*$B$23+AC24*$B$24+AC25*$B$25+AC27*$B$27+AC40*$B$40+AC26*$B$26+AC39*$B$39+AC41*$B$41+AC42*$B$42+AC30*$B$30+AC31*$B$31+AC43*B43)</f>
        <v>11623.689999999999</v>
      </c>
      <c r="AD48" s="93">
        <f>(AD22*$B$22+AD23*$B$23+AD24*$B$24+AD25*$B$25+AD27*$B$27+AD40*$B$40+AD26*$B$26+AD39*$B$39+AD41*$B$41+AD42*$B$42+AD30*$B$30+AD31*$B$31+AD43*B43)</f>
        <v>11562.83</v>
      </c>
      <c r="AE48" s="93">
        <f t="shared" si="3"/>
        <v>6469.5</v>
      </c>
      <c r="AF48" s="93">
        <f t="shared" si="3"/>
        <v>4916.8200000000006</v>
      </c>
      <c r="AG48" s="93">
        <f>(AG22*$B$22+AG23*$B$23+AG24*$B$24+AG25*$B$25+AG27*$B$27+AG40*$B$40+AG26*$B$26+AG39*$B$39+AG41*$B$41+AG42*$B$42+AG43*B43)</f>
        <v>11685.869999999999</v>
      </c>
    </row>
    <row r="49" spans="1:34" x14ac:dyDescent="0.25">
      <c r="A49" s="92" t="s">
        <v>93</v>
      </c>
      <c r="B49" s="243">
        <f t="shared" si="0"/>
        <v>237290.09999999989</v>
      </c>
      <c r="C49" s="93">
        <f>$B$5*C5+$B$6*C6+$B$7*C7+$B$8*C8+$B$10*C10+$B$9*C9+C13*$B$13+C14*$B$14</f>
        <v>6496.0300000000007</v>
      </c>
      <c r="D49" s="93">
        <f>$B$5*D5+$B$6*D6+$B$7*D7+$B$8*D8+$B$10*D10+$B$9*D9+D13*$B$13+D14*$B$14</f>
        <v>4943.3500000000004</v>
      </c>
      <c r="E49" s="93">
        <f>$B$5*E5+$B$6*E6+$B$7*E7+$B$8*E8+$B$10*E10+$B$9*E9+E11*B11+E12*B12</f>
        <v>8688.9599999999991</v>
      </c>
      <c r="F49" s="93">
        <f t="shared" ref="F49:AG49" si="4">$B$5*F5+$B$6*F6+$B$7*F7+$B$8*F8+$B$10*F10+$B$9*F9</f>
        <v>8688.9599999999991</v>
      </c>
      <c r="G49" s="93">
        <f t="shared" si="4"/>
        <v>8688.9599999999991</v>
      </c>
      <c r="H49" s="93">
        <f t="shared" si="4"/>
        <v>8688.9599999999991</v>
      </c>
      <c r="I49" s="93">
        <f t="shared" si="4"/>
        <v>8688.9599999999991</v>
      </c>
      <c r="J49" s="93">
        <f t="shared" si="4"/>
        <v>6340.1100000000006</v>
      </c>
      <c r="K49" s="93">
        <f t="shared" si="4"/>
        <v>4787.43</v>
      </c>
      <c r="L49" s="93">
        <f t="shared" si="4"/>
        <v>8688.9599999999991</v>
      </c>
      <c r="M49" s="93">
        <f>$B$5*M5+$B$6*M6+$B$7*M7+$B$8*M8+$B$10*M10+$B$9*M9+M15*B15+M16*B16+M19*B19+M20*B20</f>
        <v>8244.84</v>
      </c>
      <c r="N49" s="93">
        <f t="shared" si="4"/>
        <v>8688.9599999999991</v>
      </c>
      <c r="O49" s="93">
        <f t="shared" si="4"/>
        <v>8688.9599999999991</v>
      </c>
      <c r="P49" s="93">
        <f t="shared" si="4"/>
        <v>8688.9599999999991</v>
      </c>
      <c r="Q49" s="93">
        <f t="shared" si="4"/>
        <v>6340.1100000000006</v>
      </c>
      <c r="R49" s="93">
        <f t="shared" si="4"/>
        <v>4787.43</v>
      </c>
      <c r="S49" s="93">
        <f t="shared" si="4"/>
        <v>8688.9599999999991</v>
      </c>
      <c r="T49" s="93">
        <f t="shared" si="4"/>
        <v>8688.9599999999991</v>
      </c>
      <c r="U49" s="93">
        <f t="shared" si="4"/>
        <v>8688.9599999999991</v>
      </c>
      <c r="V49" s="93">
        <f t="shared" si="4"/>
        <v>8688.9599999999991</v>
      </c>
      <c r="W49" s="93">
        <f t="shared" si="4"/>
        <v>8702.9800000000014</v>
      </c>
      <c r="X49" s="93">
        <f t="shared" si="4"/>
        <v>6340.1100000000006</v>
      </c>
      <c r="Y49" s="93">
        <f t="shared" si="4"/>
        <v>4787.43</v>
      </c>
      <c r="Z49" s="93">
        <f>$B$5*Z5+$B$6*Z6+$B$7*Z7+$B$8*Z8+$B$10*Z10+$B$9*Z9+Z13*$B$13+Z14*$B$14</f>
        <v>8688.9599999999991</v>
      </c>
      <c r="AA49" s="93">
        <f>$B$5*AA5+$B$6*AA6+$B$7*AA7+$B$8*AA8+$B$10*AA10+$B$9*AA9+AA13*$B$13+AA14*$B$14+AA17*B17+AA18*B18</f>
        <v>8618.0399999999991</v>
      </c>
      <c r="AB49" s="93">
        <f>$B$5*AB5+$B$6*AB6+$B$7*AB7+$B$8*AB8+$B$10*AB10+$B$9*AB9+AB15*$B$15+AB16*$B$16+AB19*B19+AB20*B20</f>
        <v>8062.38</v>
      </c>
      <c r="AC49" s="93">
        <f>$B$5*AC5+$B$6*AC6+$B$7*AC7+$B$8*AC8+$B$10*AC10+$B$9*AC9+AC13*$B$13+AC14*$B$14</f>
        <v>8688.9599999999991</v>
      </c>
      <c r="AD49" s="93">
        <f>$B$5*AD5+$B$6*AD6+$B$7*AD7+$B$8*AD8+$B$10*AD10+$B$9*AD9+AD13*$B$13+AD14*$B$14</f>
        <v>8688.9599999999991</v>
      </c>
      <c r="AE49" s="93">
        <f t="shared" si="4"/>
        <v>6340.1100000000006</v>
      </c>
      <c r="AF49" s="93">
        <f t="shared" si="4"/>
        <v>4787.43</v>
      </c>
      <c r="AG49" s="93">
        <f t="shared" si="4"/>
        <v>8688.9599999999991</v>
      </c>
    </row>
    <row r="50" spans="1:34" x14ac:dyDescent="0.25">
      <c r="A50" s="92" t="s">
        <v>94</v>
      </c>
      <c r="B50" s="243">
        <f t="shared" si="0"/>
        <v>31100775.680000003</v>
      </c>
      <c r="C50" s="93">
        <f t="shared" ref="C50:AF50" si="5">C48*104</f>
        <v>828826.96</v>
      </c>
      <c r="D50" s="93">
        <f t="shared" si="5"/>
        <v>526701.76</v>
      </c>
      <c r="E50" s="93">
        <f t="shared" si="5"/>
        <v>1175647.2</v>
      </c>
      <c r="F50" s="93">
        <f t="shared" si="5"/>
        <v>1173803.28</v>
      </c>
      <c r="G50" s="93">
        <f t="shared" si="5"/>
        <v>1171161.68</v>
      </c>
      <c r="H50" s="93">
        <f t="shared" si="5"/>
        <v>1179335.0399999998</v>
      </c>
      <c r="I50" s="93">
        <f t="shared" si="5"/>
        <v>1180132.72</v>
      </c>
      <c r="J50" s="93">
        <f t="shared" si="5"/>
        <v>672828</v>
      </c>
      <c r="K50" s="93">
        <f t="shared" si="5"/>
        <v>511349.28000000009</v>
      </c>
      <c r="L50" s="93">
        <f t="shared" si="5"/>
        <v>1172480.4000000001</v>
      </c>
      <c r="M50" s="93">
        <f t="shared" si="5"/>
        <v>1141985.52</v>
      </c>
      <c r="N50" s="93">
        <f t="shared" si="5"/>
        <v>1173005.5999999999</v>
      </c>
      <c r="O50" s="93">
        <f t="shared" si="5"/>
        <v>1202560.32</v>
      </c>
      <c r="P50" s="93">
        <f t="shared" si="5"/>
        <v>1210733.68</v>
      </c>
      <c r="Q50" s="93">
        <f t="shared" si="5"/>
        <v>672828</v>
      </c>
      <c r="R50" s="93">
        <f t="shared" si="5"/>
        <v>511349.28000000009</v>
      </c>
      <c r="S50" s="93">
        <f t="shared" si="5"/>
        <v>1189215.04</v>
      </c>
      <c r="T50" s="93">
        <f t="shared" si="5"/>
        <v>1195956.3199999998</v>
      </c>
      <c r="U50" s="93">
        <f t="shared" si="5"/>
        <v>1202285.76</v>
      </c>
      <c r="V50" s="93">
        <f t="shared" si="5"/>
        <v>1199644.1600000001</v>
      </c>
      <c r="W50" s="93">
        <f t="shared" si="5"/>
        <v>1228015.3599999999</v>
      </c>
      <c r="X50" s="93">
        <f t="shared" si="5"/>
        <v>672828</v>
      </c>
      <c r="Y50" s="93">
        <f t="shared" si="5"/>
        <v>511349.28000000009</v>
      </c>
      <c r="Z50" s="93">
        <f t="shared" si="5"/>
        <v>1213898.3999999999</v>
      </c>
      <c r="AA50" s="93">
        <f t="shared" si="5"/>
        <v>1206749.44</v>
      </c>
      <c r="AB50" s="93">
        <f t="shared" si="5"/>
        <v>1165199.3599999999</v>
      </c>
      <c r="AC50" s="93">
        <f t="shared" si="5"/>
        <v>1208863.7599999998</v>
      </c>
      <c r="AD50" s="93">
        <f t="shared" si="5"/>
        <v>1202534.32</v>
      </c>
      <c r="AE50" s="93">
        <f t="shared" si="5"/>
        <v>672828</v>
      </c>
      <c r="AF50" s="93">
        <f t="shared" si="5"/>
        <v>511349.28000000009</v>
      </c>
      <c r="AG50" s="93">
        <f>AG48*104</f>
        <v>1215330.48</v>
      </c>
    </row>
    <row r="51" spans="1:34" x14ac:dyDescent="0.25">
      <c r="A51" s="92" t="s">
        <v>95</v>
      </c>
      <c r="B51" s="91">
        <f t="shared" si="0"/>
        <v>598091.84000000008</v>
      </c>
      <c r="C51" s="93">
        <f>C48*2</f>
        <v>15938.98</v>
      </c>
      <c r="D51" s="93">
        <f t="shared" ref="D51:AD51" si="6">D48*2</f>
        <v>10128.880000000001</v>
      </c>
      <c r="E51" s="93">
        <f t="shared" si="6"/>
        <v>22608.6</v>
      </c>
      <c r="F51" s="93">
        <f t="shared" si="6"/>
        <v>22573.14</v>
      </c>
      <c r="G51" s="93">
        <f t="shared" si="6"/>
        <v>22522.34</v>
      </c>
      <c r="H51" s="93">
        <f t="shared" si="6"/>
        <v>22679.519999999997</v>
      </c>
      <c r="I51" s="93">
        <f t="shared" si="6"/>
        <v>22694.86</v>
      </c>
      <c r="J51" s="93">
        <f t="shared" si="6"/>
        <v>12939</v>
      </c>
      <c r="K51" s="93">
        <f t="shared" si="6"/>
        <v>9833.6400000000012</v>
      </c>
      <c r="L51" s="93">
        <f t="shared" si="6"/>
        <v>22547.7</v>
      </c>
      <c r="M51" s="93">
        <f t="shared" si="6"/>
        <v>21961.26</v>
      </c>
      <c r="N51" s="93">
        <f t="shared" si="6"/>
        <v>22557.8</v>
      </c>
      <c r="O51" s="93">
        <f t="shared" si="6"/>
        <v>23126.16</v>
      </c>
      <c r="P51" s="93">
        <f t="shared" si="6"/>
        <v>23283.34</v>
      </c>
      <c r="Q51" s="93">
        <f t="shared" si="6"/>
        <v>12939</v>
      </c>
      <c r="R51" s="93">
        <f t="shared" si="6"/>
        <v>9833.6400000000012</v>
      </c>
      <c r="S51" s="93">
        <f t="shared" si="6"/>
        <v>22869.52</v>
      </c>
      <c r="T51" s="93">
        <f t="shared" si="6"/>
        <v>22999.159999999996</v>
      </c>
      <c r="U51" s="93">
        <f t="shared" si="6"/>
        <v>23120.880000000001</v>
      </c>
      <c r="V51" s="93">
        <f t="shared" si="6"/>
        <v>23070.080000000002</v>
      </c>
      <c r="W51" s="93">
        <f t="shared" si="6"/>
        <v>23615.679999999997</v>
      </c>
      <c r="X51" s="93">
        <f t="shared" si="6"/>
        <v>12939</v>
      </c>
      <c r="Y51" s="93">
        <f t="shared" si="6"/>
        <v>9833.6400000000012</v>
      </c>
      <c r="Z51" s="93">
        <f t="shared" si="6"/>
        <v>23344.199999999997</v>
      </c>
      <c r="AA51" s="93">
        <f t="shared" si="6"/>
        <v>23206.719999999998</v>
      </c>
      <c r="AB51" s="93">
        <f t="shared" si="6"/>
        <v>22407.679999999997</v>
      </c>
      <c r="AC51" s="93">
        <f t="shared" si="6"/>
        <v>23247.379999999997</v>
      </c>
      <c r="AD51" s="93">
        <f t="shared" si="6"/>
        <v>23125.66</v>
      </c>
      <c r="AE51" s="93">
        <f>AE48*2</f>
        <v>12939</v>
      </c>
      <c r="AF51" s="93">
        <f>AF48*2</f>
        <v>9833.6400000000012</v>
      </c>
      <c r="AG51" s="93">
        <f>AG48*2</f>
        <v>23371.739999999998</v>
      </c>
    </row>
    <row r="52" spans="1:34" x14ac:dyDescent="0.25">
      <c r="A52" s="92" t="s">
        <v>96</v>
      </c>
      <c r="B52" s="91">
        <f t="shared" si="0"/>
        <v>2709208</v>
      </c>
      <c r="C52" s="93">
        <f>+C47*362</f>
        <v>68418</v>
      </c>
      <c r="D52" s="93">
        <f t="shared" ref="D52:AD52" si="7">+D47*362</f>
        <v>43440</v>
      </c>
      <c r="E52" s="93">
        <f t="shared" si="7"/>
        <v>103532</v>
      </c>
      <c r="F52" s="93">
        <f t="shared" si="7"/>
        <v>103532</v>
      </c>
      <c r="G52" s="93">
        <f t="shared" si="7"/>
        <v>103532</v>
      </c>
      <c r="H52" s="93">
        <f t="shared" si="7"/>
        <v>104618</v>
      </c>
      <c r="I52" s="93">
        <f t="shared" si="7"/>
        <v>103894</v>
      </c>
      <c r="J52" s="93">
        <f t="shared" si="7"/>
        <v>54300</v>
      </c>
      <c r="K52" s="93">
        <f t="shared" si="7"/>
        <v>41268</v>
      </c>
      <c r="L52" s="93">
        <f t="shared" si="7"/>
        <v>103532</v>
      </c>
      <c r="M52" s="93">
        <f t="shared" si="7"/>
        <v>102446</v>
      </c>
      <c r="N52" s="93">
        <f t="shared" si="7"/>
        <v>104256</v>
      </c>
      <c r="O52" s="93">
        <f t="shared" si="7"/>
        <v>106428</v>
      </c>
      <c r="P52" s="93">
        <f t="shared" si="7"/>
        <v>106428</v>
      </c>
      <c r="Q52" s="93">
        <f t="shared" si="7"/>
        <v>54300</v>
      </c>
      <c r="R52" s="93">
        <f t="shared" si="7"/>
        <v>41268</v>
      </c>
      <c r="S52" s="93">
        <f t="shared" si="7"/>
        <v>104980</v>
      </c>
      <c r="T52" s="93">
        <f t="shared" si="7"/>
        <v>105704</v>
      </c>
      <c r="U52" s="93">
        <f t="shared" si="7"/>
        <v>106428</v>
      </c>
      <c r="V52" s="93">
        <f t="shared" si="7"/>
        <v>106428</v>
      </c>
      <c r="W52" s="93">
        <f t="shared" si="7"/>
        <v>107876</v>
      </c>
      <c r="X52" s="93">
        <f t="shared" si="7"/>
        <v>54300</v>
      </c>
      <c r="Y52" s="93">
        <f t="shared" si="7"/>
        <v>41268</v>
      </c>
      <c r="Z52" s="93">
        <f t="shared" si="7"/>
        <v>107152</v>
      </c>
      <c r="AA52" s="93">
        <f t="shared" si="7"/>
        <v>106790</v>
      </c>
      <c r="AB52" s="93">
        <f t="shared" si="7"/>
        <v>105342</v>
      </c>
      <c r="AC52" s="93">
        <f t="shared" si="7"/>
        <v>107152</v>
      </c>
      <c r="AD52" s="93">
        <f t="shared" si="7"/>
        <v>106428</v>
      </c>
      <c r="AE52" s="93">
        <f>+AE47*362</f>
        <v>54300</v>
      </c>
      <c r="AF52" s="93">
        <f>+AF47*362</f>
        <v>41268</v>
      </c>
      <c r="AG52" s="93">
        <f>+AG47*362</f>
        <v>108600</v>
      </c>
    </row>
    <row r="53" spans="1:34" ht="14.25" customHeight="1" x14ac:dyDescent="0.25">
      <c r="A53" s="94" t="s">
        <v>97</v>
      </c>
      <c r="B53" s="243">
        <f t="shared" si="0"/>
        <v>23714341.456</v>
      </c>
      <c r="C53" s="93">
        <f>C48*79.3</f>
        <v>631980.55699999991</v>
      </c>
      <c r="D53" s="93">
        <f t="shared" ref="D53:AD53" si="8">D48*79.3</f>
        <v>401610.092</v>
      </c>
      <c r="E53" s="93">
        <f t="shared" si="8"/>
        <v>896430.98999999987</v>
      </c>
      <c r="F53" s="93">
        <f t="shared" si="8"/>
        <v>895025.00099999993</v>
      </c>
      <c r="G53" s="93">
        <f t="shared" si="8"/>
        <v>893010.78099999996</v>
      </c>
      <c r="H53" s="93">
        <f t="shared" si="8"/>
        <v>899242.96799999988</v>
      </c>
      <c r="I53" s="93">
        <f t="shared" si="8"/>
        <v>899851.19900000002</v>
      </c>
      <c r="J53" s="93">
        <f t="shared" si="8"/>
        <v>513031.35</v>
      </c>
      <c r="K53" s="93">
        <f t="shared" si="8"/>
        <v>389903.82600000006</v>
      </c>
      <c r="L53" s="93">
        <f t="shared" si="8"/>
        <v>894016.30500000005</v>
      </c>
      <c r="M53" s="93">
        <f t="shared" si="8"/>
        <v>870763.95899999992</v>
      </c>
      <c r="N53" s="93">
        <f t="shared" si="8"/>
        <v>894416.7699999999</v>
      </c>
      <c r="O53" s="93">
        <f t="shared" si="8"/>
        <v>916952.24399999995</v>
      </c>
      <c r="P53" s="93">
        <f t="shared" si="8"/>
        <v>923184.43099999998</v>
      </c>
      <c r="Q53" s="93">
        <f t="shared" si="8"/>
        <v>513031.35</v>
      </c>
      <c r="R53" s="93">
        <f t="shared" si="8"/>
        <v>389903.82600000006</v>
      </c>
      <c r="S53" s="93">
        <f t="shared" si="8"/>
        <v>906776.46799999999</v>
      </c>
      <c r="T53" s="93">
        <f t="shared" si="8"/>
        <v>911916.69399999978</v>
      </c>
      <c r="U53" s="93">
        <f t="shared" si="8"/>
        <v>916742.89199999999</v>
      </c>
      <c r="V53" s="93">
        <f t="shared" si="8"/>
        <v>914728.67200000002</v>
      </c>
      <c r="W53" s="93">
        <f t="shared" si="8"/>
        <v>936361.71199999982</v>
      </c>
      <c r="X53" s="93">
        <f t="shared" si="8"/>
        <v>513031.35</v>
      </c>
      <c r="Y53" s="93">
        <f t="shared" si="8"/>
        <v>389903.82600000006</v>
      </c>
      <c r="Z53" s="93">
        <f t="shared" si="8"/>
        <v>925597.5299999998</v>
      </c>
      <c r="AA53" s="93">
        <f t="shared" si="8"/>
        <v>920146.44799999986</v>
      </c>
      <c r="AB53" s="93">
        <f t="shared" si="8"/>
        <v>888464.51199999987</v>
      </c>
      <c r="AC53" s="93">
        <f>AC48*79.3</f>
        <v>921758.61699999985</v>
      </c>
      <c r="AD53" s="93">
        <f t="shared" si="8"/>
        <v>916932.41899999999</v>
      </c>
      <c r="AE53" s="93">
        <f>AE48*79.3</f>
        <v>513031.35</v>
      </c>
      <c r="AF53" s="93">
        <f>AF48*79.3</f>
        <v>389903.82600000006</v>
      </c>
      <c r="AG53" s="93">
        <f>AG48*79.3</f>
        <v>926689.49099999992</v>
      </c>
    </row>
    <row r="54" spans="1:34" x14ac:dyDescent="0.25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93"/>
      <c r="O54" s="8"/>
    </row>
    <row r="55" spans="1:34" x14ac:dyDescent="0.25"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</row>
    <row r="57" spans="1:34" x14ac:dyDescent="0.25"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  <c r="Y57" s="175"/>
      <c r="Z57" s="175"/>
      <c r="AA57" s="175"/>
      <c r="AB57" s="175"/>
      <c r="AC57" s="175"/>
      <c r="AD57" s="175"/>
      <c r="AE57" s="175"/>
      <c r="AF57" s="175"/>
      <c r="AG57" s="175"/>
    </row>
    <row r="58" spans="1:34" x14ac:dyDescent="0.25">
      <c r="E58" s="44"/>
      <c r="F58" s="135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5"/>
      <c r="Y58" s="44"/>
      <c r="AB58" s="8"/>
    </row>
    <row r="59" spans="1:34" x14ac:dyDescent="0.25">
      <c r="E59" s="44"/>
      <c r="F59" s="44"/>
      <c r="G59" s="44"/>
      <c r="H59" s="126"/>
      <c r="I59" s="44"/>
      <c r="J59" s="44"/>
      <c r="K59" s="126"/>
      <c r="L59" s="44"/>
      <c r="M59" s="44"/>
      <c r="N59" s="44"/>
      <c r="O59" s="126"/>
      <c r="P59" s="44"/>
      <c r="Q59" s="44"/>
      <c r="R59" s="44"/>
      <c r="S59" s="126"/>
      <c r="T59" s="44"/>
      <c r="U59" s="44"/>
      <c r="V59" s="44"/>
      <c r="W59" s="126"/>
      <c r="X59" s="44"/>
      <c r="Y59" s="44"/>
      <c r="Z59" s="44"/>
      <c r="AA59" s="126"/>
      <c r="AB59" s="44"/>
      <c r="AD59" s="44"/>
      <c r="AE59" s="44"/>
      <c r="AF59" s="126"/>
      <c r="AG59" s="44"/>
    </row>
    <row r="60" spans="1:34" x14ac:dyDescent="0.25">
      <c r="P60" s="86"/>
      <c r="R60" s="175"/>
      <c r="AB60" s="8"/>
    </row>
    <row r="61" spans="1:34" x14ac:dyDescent="0.25">
      <c r="P61" s="86"/>
      <c r="R61" s="175"/>
      <c r="AB61" s="8"/>
    </row>
    <row r="62" spans="1:34" x14ac:dyDescent="0.25"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75"/>
      <c r="S62" s="126"/>
      <c r="T62" s="126"/>
      <c r="U62" s="126"/>
      <c r="V62" s="126"/>
      <c r="W62" s="126"/>
      <c r="X62" s="126"/>
      <c r="Y62" s="126"/>
      <c r="Z62" s="126"/>
      <c r="AA62" s="126"/>
      <c r="AB62" s="8"/>
      <c r="AD62" s="126"/>
      <c r="AE62" s="126"/>
      <c r="AF62" s="126"/>
      <c r="AG62" s="126"/>
      <c r="AH62" s="126"/>
    </row>
    <row r="63" spans="1:34" x14ac:dyDescent="0.25">
      <c r="P63" s="86"/>
      <c r="R63" s="175"/>
      <c r="AB63" s="8"/>
    </row>
    <row r="64" spans="1:34" x14ac:dyDescent="0.25">
      <c r="P64" s="86"/>
      <c r="R64" s="175"/>
      <c r="AB64" s="8"/>
    </row>
    <row r="65" spans="5:34" x14ac:dyDescent="0.25"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75"/>
      <c r="S65" s="126"/>
      <c r="T65" s="126"/>
      <c r="U65" s="126"/>
      <c r="V65" s="126"/>
      <c r="W65" s="126"/>
      <c r="X65" s="126"/>
      <c r="Y65" s="126"/>
      <c r="Z65" s="126"/>
      <c r="AA65" s="126"/>
      <c r="AB65" s="8"/>
      <c r="AD65" s="126"/>
      <c r="AE65" s="126"/>
      <c r="AF65" s="126"/>
      <c r="AG65" s="126"/>
      <c r="AH65" s="126"/>
    </row>
    <row r="66" spans="5:34" x14ac:dyDescent="0.25">
      <c r="Q66" s="86"/>
      <c r="R66" s="175"/>
      <c r="AB66" s="8"/>
    </row>
    <row r="67" spans="5:34" x14ac:dyDescent="0.25">
      <c r="Q67" s="86"/>
      <c r="R67" s="175"/>
    </row>
    <row r="68" spans="5:34" x14ac:dyDescent="0.25">
      <c r="Q68" s="86"/>
      <c r="R68" s="175"/>
    </row>
    <row r="69" spans="5:34" x14ac:dyDescent="0.25">
      <c r="Q69" s="86"/>
      <c r="R69" s="175"/>
    </row>
    <row r="70" spans="5:34" x14ac:dyDescent="0.25">
      <c r="Q70" s="8"/>
      <c r="R70" s="175"/>
    </row>
    <row r="71" spans="5:34" x14ac:dyDescent="0.25">
      <c r="Q71" s="8"/>
      <c r="R71" s="175"/>
    </row>
    <row r="72" spans="5:34" x14ac:dyDescent="0.25">
      <c r="R72" s="175"/>
    </row>
    <row r="73" spans="5:34" x14ac:dyDescent="0.25">
      <c r="R73" s="175"/>
    </row>
    <row r="74" spans="5:34" x14ac:dyDescent="0.25">
      <c r="R74" s="175"/>
    </row>
    <row r="75" spans="5:34" x14ac:dyDescent="0.25">
      <c r="R75" s="175"/>
    </row>
    <row r="76" spans="5:34" x14ac:dyDescent="0.25">
      <c r="R76" s="175"/>
    </row>
    <row r="77" spans="5:34" x14ac:dyDescent="0.25">
      <c r="R77" s="175"/>
    </row>
    <row r="78" spans="5:34" x14ac:dyDescent="0.25">
      <c r="R78" s="175"/>
    </row>
    <row r="79" spans="5:34" x14ac:dyDescent="0.25">
      <c r="R79" s="175"/>
    </row>
    <row r="80" spans="5:34" x14ac:dyDescent="0.25">
      <c r="R80" s="175"/>
    </row>
    <row r="81" spans="18:18" x14ac:dyDescent="0.25">
      <c r="R81" s="126"/>
    </row>
    <row r="82" spans="18:18" x14ac:dyDescent="0.25">
      <c r="R82" s="126"/>
    </row>
    <row r="83" spans="18:18" x14ac:dyDescent="0.25">
      <c r="R83" s="126"/>
    </row>
    <row r="84" spans="18:18" x14ac:dyDescent="0.25">
      <c r="R84" s="126"/>
    </row>
    <row r="85" spans="18:18" x14ac:dyDescent="0.25">
      <c r="R85" s="126"/>
    </row>
    <row r="86" spans="18:18" x14ac:dyDescent="0.25">
      <c r="R86" s="126"/>
    </row>
    <row r="87" spans="18:18" x14ac:dyDescent="0.25">
      <c r="R87" s="126"/>
    </row>
    <row r="88" spans="18:18" x14ac:dyDescent="0.25">
      <c r="R88" s="126"/>
    </row>
    <row r="89" spans="18:18" x14ac:dyDescent="0.25">
      <c r="R89" s="126"/>
    </row>
    <row r="90" spans="18:18" x14ac:dyDescent="0.25">
      <c r="R90" s="12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1" sqref="H11"/>
    </sheetView>
  </sheetViews>
  <sheetFormatPr baseColWidth="10" defaultColWidth="11.42578125" defaultRowHeight="15" x14ac:dyDescent="0.25"/>
  <cols>
    <col min="1" max="2" width="11.42578125" style="126"/>
    <col min="3" max="3" width="19.140625" style="126" customWidth="1"/>
    <col min="4" max="4" width="11.42578125" style="126"/>
    <col min="5" max="5" width="18.42578125" style="126" customWidth="1"/>
    <col min="6" max="6" width="14.140625" style="126" customWidth="1"/>
    <col min="7" max="7" width="23.85546875" style="126" customWidth="1"/>
    <col min="8" max="8" width="22.7109375" style="126" customWidth="1"/>
    <col min="9" max="9" width="11.42578125" style="126"/>
    <col min="10" max="10" width="50.85546875" style="126" customWidth="1"/>
    <col min="11" max="11" width="18.5703125" style="126" customWidth="1"/>
    <col min="12" max="12" width="14.28515625" style="126" customWidth="1"/>
    <col min="13" max="13" width="25.5703125" style="126" customWidth="1"/>
    <col min="14" max="16384" width="11.42578125" style="126"/>
  </cols>
  <sheetData>
    <row r="1" spans="1:14" ht="44.25" x14ac:dyDescent="0.25">
      <c r="A1" s="395" t="s">
        <v>174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</row>
    <row r="2" spans="1:14" x14ac:dyDescent="0.25">
      <c r="A2" s="161" t="s">
        <v>126</v>
      </c>
      <c r="B2" s="161" t="s">
        <v>3</v>
      </c>
      <c r="C2" s="161" t="s">
        <v>127</v>
      </c>
      <c r="D2" s="161" t="s">
        <v>128</v>
      </c>
      <c r="E2" s="162" t="s">
        <v>129</v>
      </c>
      <c r="F2" s="162" t="s">
        <v>130</v>
      </c>
      <c r="G2" s="162" t="s">
        <v>131</v>
      </c>
      <c r="H2" s="162" t="s">
        <v>132</v>
      </c>
      <c r="I2" s="162" t="s">
        <v>133</v>
      </c>
      <c r="J2" s="162" t="s">
        <v>134</v>
      </c>
      <c r="K2" s="162" t="s">
        <v>135</v>
      </c>
      <c r="L2" s="162" t="s">
        <v>136</v>
      </c>
      <c r="M2" s="162" t="s">
        <v>137</v>
      </c>
    </row>
    <row r="3" spans="1:14" x14ac:dyDescent="0.25">
      <c r="A3" s="163">
        <v>45717</v>
      </c>
      <c r="B3" s="12">
        <f>'KM-Servicio'!N13</f>
        <v>8422</v>
      </c>
      <c r="C3" s="12">
        <f>B3</f>
        <v>8422</v>
      </c>
      <c r="D3" s="12">
        <f>'KM-Servicio'!W13</f>
        <v>7969.49</v>
      </c>
      <c r="E3" s="12">
        <f>D3</f>
        <v>7969.49</v>
      </c>
      <c r="F3" s="169">
        <f>'KM-Servicio'!O13</f>
        <v>94.627048207076697</v>
      </c>
      <c r="G3" s="170">
        <f>SUM('KM-Servicio'!B13:C13)</f>
        <v>153</v>
      </c>
      <c r="H3" s="170">
        <f>SUM('KM-Servicio'!D13:E13)</f>
        <v>153</v>
      </c>
      <c r="I3" s="147"/>
      <c r="J3" s="147"/>
      <c r="K3" s="12">
        <f>'Oferta Diaria'!C53</f>
        <v>631980.55699999991</v>
      </c>
      <c r="L3" s="178" t="s">
        <v>141</v>
      </c>
      <c r="M3" s="167"/>
      <c r="N3" s="165"/>
    </row>
    <row r="4" spans="1:14" x14ac:dyDescent="0.25">
      <c r="A4" s="163">
        <v>45718</v>
      </c>
      <c r="B4" s="12">
        <f>'KM-Servicio'!N22</f>
        <v>5211</v>
      </c>
      <c r="C4" s="12">
        <f>B4+C3</f>
        <v>13633</v>
      </c>
      <c r="D4" s="12">
        <f>'KM-Servicio'!W22</f>
        <v>5064.4400000000005</v>
      </c>
      <c r="E4" s="12">
        <f>D4+E3</f>
        <v>13033.93</v>
      </c>
      <c r="F4" s="169">
        <f>'KM-Servicio'!O22</f>
        <v>97.187488006140867</v>
      </c>
      <c r="G4" s="170">
        <f>SUM('KM-Servicio'!B22:C22)</f>
        <v>117</v>
      </c>
      <c r="H4" s="170">
        <f>SUM('KM-Servicio'!D22:E22)</f>
        <v>117</v>
      </c>
      <c r="I4" s="147"/>
      <c r="J4" s="147"/>
      <c r="K4" s="12">
        <f>'Oferta Diaria'!D53</f>
        <v>401610.092</v>
      </c>
      <c r="L4" s="178" t="s">
        <v>139</v>
      </c>
      <c r="M4" s="167"/>
      <c r="N4" s="165"/>
    </row>
    <row r="5" spans="1:14" x14ac:dyDescent="0.25">
      <c r="A5" s="163">
        <v>45719</v>
      </c>
      <c r="B5" s="12">
        <f>'KM-Servicio'!N29</f>
        <v>11744</v>
      </c>
      <c r="C5" s="12">
        <f t="shared" ref="C5:C30" si="0">B5+C4</f>
        <v>25377</v>
      </c>
      <c r="D5" s="12">
        <f>'KM-Servicio'!W29</f>
        <v>11304.3</v>
      </c>
      <c r="E5" s="12">
        <f t="shared" ref="E5:E30" si="1">D5+E4</f>
        <v>24338.23</v>
      </c>
      <c r="F5" s="169">
        <f>'KM-Servicio'!O29</f>
        <v>96.25596049046321</v>
      </c>
      <c r="G5" s="170">
        <f>SUM('KM-Servicio'!B29:C29)</f>
        <v>223</v>
      </c>
      <c r="H5" s="170">
        <f>SUM('KM-Servicio'!D29:E29)</f>
        <v>223</v>
      </c>
      <c r="I5" s="147"/>
      <c r="J5" s="147"/>
      <c r="K5" s="12">
        <f>'Oferta Diaria'!E53</f>
        <v>896430.98999999987</v>
      </c>
      <c r="L5" s="164" t="s">
        <v>140</v>
      </c>
      <c r="M5" s="167"/>
      <c r="N5" s="165"/>
    </row>
    <row r="6" spans="1:14" x14ac:dyDescent="0.25">
      <c r="A6" s="163">
        <v>45720</v>
      </c>
      <c r="B6" s="12">
        <f>'KM-Servicio'!N36</f>
        <v>11775</v>
      </c>
      <c r="C6" s="12">
        <f t="shared" si="0"/>
        <v>37152</v>
      </c>
      <c r="D6" s="12">
        <f>'KM-Servicio'!W36</f>
        <v>11286.57</v>
      </c>
      <c r="E6" s="12">
        <f t="shared" si="1"/>
        <v>35624.800000000003</v>
      </c>
      <c r="F6" s="169">
        <f>'KM-Servicio'!O36</f>
        <v>95.851974522292991</v>
      </c>
      <c r="G6" s="170">
        <f>SUM('KM-Servicio'!B36:C36)</f>
        <v>223</v>
      </c>
      <c r="H6" s="170">
        <f>SUM('KM-Servicio'!D36:E36)</f>
        <v>223</v>
      </c>
      <c r="I6" s="147"/>
      <c r="J6" s="147"/>
      <c r="K6" s="12">
        <f>'Oferta Diaria'!F53</f>
        <v>895025.00099999993</v>
      </c>
      <c r="L6" s="164" t="s">
        <v>140</v>
      </c>
      <c r="M6" s="167"/>
      <c r="N6" s="165"/>
    </row>
    <row r="7" spans="1:14" ht="16.5" customHeight="1" x14ac:dyDescent="0.25">
      <c r="A7" s="163">
        <v>45721</v>
      </c>
      <c r="B7" s="12">
        <f>'KM-Servicio'!N43</f>
        <v>11732</v>
      </c>
      <c r="C7" s="12">
        <f t="shared" si="0"/>
        <v>48884</v>
      </c>
      <c r="D7" s="12">
        <f>'KM-Servicio'!W43</f>
        <v>11261.169999999998</v>
      </c>
      <c r="E7" s="12">
        <f t="shared" si="1"/>
        <v>46885.97</v>
      </c>
      <c r="F7" s="169">
        <f>'KM-Servicio'!O43</f>
        <v>95.98678827139446</v>
      </c>
      <c r="G7" s="170">
        <f>SUM('KM-Servicio'!B43:C43)</f>
        <v>223</v>
      </c>
      <c r="H7" s="170">
        <f>SUM('KM-Servicio'!D43:E43)</f>
        <v>223</v>
      </c>
      <c r="I7" s="147"/>
      <c r="J7" s="147"/>
      <c r="K7" s="12">
        <f>'Oferta Diaria'!G53</f>
        <v>893010.78099999996</v>
      </c>
      <c r="L7" s="164" t="s">
        <v>140</v>
      </c>
      <c r="M7" s="180"/>
      <c r="N7" s="165"/>
    </row>
    <row r="8" spans="1:14" x14ac:dyDescent="0.25">
      <c r="A8" s="163">
        <v>45722</v>
      </c>
      <c r="B8" s="12">
        <f>'KM-Servicio'!N50</f>
        <v>11736</v>
      </c>
      <c r="C8" s="12">
        <f t="shared" si="0"/>
        <v>60620</v>
      </c>
      <c r="D8" s="12">
        <f>'KM-Servicio'!W50</f>
        <v>11339.759999999998</v>
      </c>
      <c r="E8" s="12">
        <f t="shared" si="1"/>
        <v>58225.729999999996</v>
      </c>
      <c r="F8" s="169">
        <f>'KM-Servicio'!O50</f>
        <v>96.62372188139058</v>
      </c>
      <c r="G8" s="170">
        <f>SUM('KM-Servicio'!B50:C50)</f>
        <v>223</v>
      </c>
      <c r="H8" s="170">
        <f>SUM('KM-Servicio'!D50:E50)</f>
        <v>223</v>
      </c>
      <c r="I8" s="147"/>
      <c r="J8" s="147"/>
      <c r="K8" s="12">
        <f>'Oferta Diaria'!H53</f>
        <v>899242.96799999988</v>
      </c>
      <c r="L8" s="164" t="s">
        <v>140</v>
      </c>
      <c r="M8" s="167"/>
      <c r="N8" s="165"/>
    </row>
    <row r="9" spans="1:14" x14ac:dyDescent="0.25">
      <c r="A9" s="163">
        <v>45723</v>
      </c>
      <c r="B9" s="12">
        <f>'KM-Servicio'!N57</f>
        <v>11720</v>
      </c>
      <c r="C9" s="12">
        <f t="shared" si="0"/>
        <v>72340</v>
      </c>
      <c r="D9" s="12">
        <f>'KM-Servicio'!W57</f>
        <v>11347.43</v>
      </c>
      <c r="E9" s="12">
        <f t="shared" si="1"/>
        <v>69573.16</v>
      </c>
      <c r="F9" s="169">
        <f>'KM-Servicio'!O57</f>
        <v>96.821075085324239</v>
      </c>
      <c r="G9" s="170">
        <f>SUM('KM-Servicio'!B57:C57)</f>
        <v>223</v>
      </c>
      <c r="H9" s="170">
        <f>SUM('KM-Servicio'!D57:E57)</f>
        <v>223</v>
      </c>
      <c r="I9" s="147"/>
      <c r="J9" s="147"/>
      <c r="K9" s="12">
        <f>'Oferta Diaria'!I53</f>
        <v>899851.19900000002</v>
      </c>
      <c r="L9" s="164" t="s">
        <v>140</v>
      </c>
      <c r="M9" s="179"/>
      <c r="N9" s="165"/>
    </row>
    <row r="10" spans="1:14" x14ac:dyDescent="0.25">
      <c r="A10" s="163">
        <v>45724</v>
      </c>
      <c r="B10" s="12">
        <f>'KM-Servicio'!N64</f>
        <v>6497</v>
      </c>
      <c r="C10" s="12">
        <f t="shared" si="0"/>
        <v>78837</v>
      </c>
      <c r="D10" s="12">
        <f>'KM-Servicio'!W64</f>
        <v>6469.5</v>
      </c>
      <c r="E10" s="12">
        <f t="shared" si="1"/>
        <v>76042.66</v>
      </c>
      <c r="F10" s="169">
        <f>'KM-Servicio'!O64</f>
        <v>99.576727720486375</v>
      </c>
      <c r="G10" s="170">
        <f>SUM('KM-Servicio'!B64:C64)</f>
        <v>147</v>
      </c>
      <c r="H10" s="170">
        <f>SUM('KM-Servicio'!D64:E64)</f>
        <v>147</v>
      </c>
      <c r="I10" s="147"/>
      <c r="J10" s="147"/>
      <c r="K10" s="12">
        <f>'Oferta Diaria'!J53</f>
        <v>513031.35</v>
      </c>
      <c r="L10" s="178" t="s">
        <v>141</v>
      </c>
      <c r="M10" s="167"/>
      <c r="N10" s="165"/>
    </row>
    <row r="11" spans="1:14" x14ac:dyDescent="0.25">
      <c r="A11" s="163">
        <v>45725</v>
      </c>
      <c r="B11" s="12">
        <f>'KM-Servicio'!N71</f>
        <v>4974</v>
      </c>
      <c r="C11" s="12">
        <f t="shared" si="0"/>
        <v>83811</v>
      </c>
      <c r="D11" s="12">
        <f>'KM-Servicio'!W71</f>
        <v>4916.8200000000006</v>
      </c>
      <c r="E11" s="12">
        <f t="shared" si="1"/>
        <v>80959.48000000001</v>
      </c>
      <c r="F11" s="169">
        <f>'KM-Servicio'!O71</f>
        <v>98.850422195416172</v>
      </c>
      <c r="G11" s="170">
        <f>SUM('KM-Servicio'!B71:C71)</f>
        <v>111</v>
      </c>
      <c r="H11" s="170">
        <f>SUM('KM-Servicio'!D71:E71)</f>
        <v>111</v>
      </c>
      <c r="I11" s="147"/>
      <c r="J11" s="147"/>
      <c r="K11" s="12">
        <f>'Oferta Diaria'!K53</f>
        <v>389903.82600000006</v>
      </c>
      <c r="L11" s="178" t="s">
        <v>139</v>
      </c>
      <c r="M11" s="167"/>
      <c r="N11" s="165"/>
    </row>
    <row r="12" spans="1:14" x14ac:dyDescent="0.25">
      <c r="A12" s="163">
        <v>45726</v>
      </c>
      <c r="B12" s="12">
        <f>'KM-Servicio'!N78</f>
        <v>11698</v>
      </c>
      <c r="C12" s="12">
        <f t="shared" si="0"/>
        <v>95509</v>
      </c>
      <c r="D12" s="12">
        <f>'KM-Servicio'!W78</f>
        <v>11273.849999999999</v>
      </c>
      <c r="E12" s="12">
        <f t="shared" si="1"/>
        <v>92233.330000000016</v>
      </c>
      <c r="F12" s="169">
        <f>'KM-Servicio'!O78</f>
        <v>96.374166524192162</v>
      </c>
      <c r="G12" s="170">
        <f>SUM('KM-Servicio'!B78:C78)</f>
        <v>223</v>
      </c>
      <c r="H12" s="170">
        <f>SUM('KM-Servicio'!D78:E78)</f>
        <v>223</v>
      </c>
      <c r="I12" s="147"/>
      <c r="J12" s="147"/>
      <c r="K12" s="12">
        <f>'Oferta Diaria'!L53</f>
        <v>894016.30500000005</v>
      </c>
      <c r="L12" s="164" t="s">
        <v>140</v>
      </c>
      <c r="M12" s="167"/>
      <c r="N12" s="165"/>
    </row>
    <row r="13" spans="1:14" x14ac:dyDescent="0.25">
      <c r="A13" s="163">
        <v>45727</v>
      </c>
      <c r="B13" s="12">
        <f>'KM-Servicio'!N89</f>
        <v>11605</v>
      </c>
      <c r="C13" s="12">
        <f t="shared" si="0"/>
        <v>107114</v>
      </c>
      <c r="D13" s="12">
        <f>'KM-Servicio'!W89</f>
        <v>10980.629999999997</v>
      </c>
      <c r="E13" s="12">
        <f t="shared" si="1"/>
        <v>103213.96000000002</v>
      </c>
      <c r="F13" s="169">
        <f>'KM-Servicio'!O89</f>
        <v>94.619819043515704</v>
      </c>
      <c r="G13" s="170">
        <f>SUM('KM-Servicio'!B89:C89)</f>
        <v>223</v>
      </c>
      <c r="H13" s="170">
        <f>SUM('KM-Servicio'!D89:E89)</f>
        <v>216</v>
      </c>
      <c r="I13" s="147"/>
      <c r="J13" s="147"/>
      <c r="K13" s="12">
        <f>'Oferta Diaria'!M53</f>
        <v>870763.95899999992</v>
      </c>
      <c r="L13" s="164" t="s">
        <v>140</v>
      </c>
      <c r="M13" s="167"/>
      <c r="N13" s="165"/>
    </row>
    <row r="14" spans="1:14" x14ac:dyDescent="0.25">
      <c r="A14" s="163">
        <v>45728</v>
      </c>
      <c r="B14" s="12">
        <f>'KM-Servicio'!N96</f>
        <v>11812</v>
      </c>
      <c r="C14" s="12">
        <f t="shared" si="0"/>
        <v>118926</v>
      </c>
      <c r="D14" s="12">
        <f>'KM-Servicio'!W96</f>
        <v>11278.899999999998</v>
      </c>
      <c r="E14" s="12">
        <f t="shared" si="1"/>
        <v>114492.86000000002</v>
      </c>
      <c r="F14" s="169">
        <f>'KM-Servicio'!O96</f>
        <v>95.486793091771062</v>
      </c>
      <c r="G14" s="170">
        <f>SUM('KM-Servicio'!B96:C96)</f>
        <v>223</v>
      </c>
      <c r="H14" s="170">
        <f>SUM('KM-Servicio'!D96:E96)</f>
        <v>223</v>
      </c>
      <c r="I14" s="147"/>
      <c r="J14" s="147"/>
      <c r="K14" s="12">
        <f>'Oferta Diaria'!N53</f>
        <v>894416.7699999999</v>
      </c>
      <c r="L14" s="164" t="s">
        <v>140</v>
      </c>
      <c r="M14" s="167"/>
      <c r="N14" s="165"/>
    </row>
    <row r="15" spans="1:14" ht="16.5" customHeight="1" x14ac:dyDescent="0.25">
      <c r="A15" s="163">
        <v>45729</v>
      </c>
      <c r="B15" s="12">
        <f>'KM-Servicio'!N103</f>
        <v>12084</v>
      </c>
      <c r="C15" s="12">
        <f t="shared" si="0"/>
        <v>131010</v>
      </c>
      <c r="D15" s="12">
        <f>'KM-Servicio'!W103</f>
        <v>11563.080000000002</v>
      </c>
      <c r="E15" s="12">
        <f t="shared" si="1"/>
        <v>126055.94000000002</v>
      </c>
      <c r="F15" s="169">
        <f>'KM-Servicio'!O103</f>
        <v>95.689175769612717</v>
      </c>
      <c r="G15" s="170">
        <f>SUM('KM-Servicio'!B103:C103)</f>
        <v>223</v>
      </c>
      <c r="H15" s="170">
        <f>SUM('KM-Servicio'!D103:E103)</f>
        <v>223</v>
      </c>
      <c r="I15" s="147"/>
      <c r="J15" s="147"/>
      <c r="K15" s="12">
        <f>'Oferta Diaria'!O53</f>
        <v>916952.24399999995</v>
      </c>
      <c r="L15" s="164" t="s">
        <v>140</v>
      </c>
      <c r="M15" s="167"/>
      <c r="N15" s="165"/>
    </row>
    <row r="16" spans="1:14" x14ac:dyDescent="0.25">
      <c r="A16" s="163">
        <v>45730</v>
      </c>
      <c r="B16" s="12">
        <f>'KM-Servicio'!N110</f>
        <v>12053</v>
      </c>
      <c r="C16" s="12">
        <f t="shared" si="0"/>
        <v>143063</v>
      </c>
      <c r="D16" s="12">
        <f>'KM-Servicio'!W110</f>
        <v>11641.670000000002</v>
      </c>
      <c r="E16" s="12">
        <f t="shared" si="1"/>
        <v>137697.61000000002</v>
      </c>
      <c r="F16" s="169">
        <f>'KM-Servicio'!O110</f>
        <v>96.587322658259367</v>
      </c>
      <c r="G16" s="170">
        <f>SUM('KM-Servicio'!B110:C110)</f>
        <v>223</v>
      </c>
      <c r="H16" s="170">
        <f>SUM('KM-Servicio'!D110:E110)</f>
        <v>223</v>
      </c>
      <c r="I16" s="147"/>
      <c r="J16" s="147"/>
      <c r="K16" s="12">
        <f>'Oferta Diaria'!P53</f>
        <v>923184.43099999998</v>
      </c>
      <c r="L16" s="164" t="s">
        <v>140</v>
      </c>
      <c r="M16" s="167"/>
      <c r="N16" s="165"/>
    </row>
    <row r="17" spans="1:16" x14ac:dyDescent="0.25">
      <c r="A17" s="163">
        <v>45731</v>
      </c>
      <c r="B17" s="12">
        <f>'KM-Servicio'!N117</f>
        <v>6585</v>
      </c>
      <c r="C17" s="12">
        <f t="shared" si="0"/>
        <v>149648</v>
      </c>
      <c r="D17" s="12">
        <f>'KM-Servicio'!W117</f>
        <v>6469.5</v>
      </c>
      <c r="E17" s="12">
        <f t="shared" si="1"/>
        <v>144167.11000000002</v>
      </c>
      <c r="F17" s="169">
        <f>'KM-Servicio'!O117</f>
        <v>98.24601366742597</v>
      </c>
      <c r="G17" s="170">
        <f>SUM('KM-Servicio'!B117:C117)</f>
        <v>147</v>
      </c>
      <c r="H17" s="170">
        <f>SUM('KM-Servicio'!D117:E117)</f>
        <v>147</v>
      </c>
      <c r="I17" s="147"/>
      <c r="J17" s="147"/>
      <c r="K17" s="12">
        <f>'Oferta Diaria'!Q53</f>
        <v>513031.35</v>
      </c>
      <c r="L17" s="178" t="s">
        <v>141</v>
      </c>
      <c r="M17" s="167"/>
      <c r="N17" s="165"/>
    </row>
    <row r="18" spans="1:16" ht="14.25" customHeight="1" x14ac:dyDescent="0.25">
      <c r="A18" s="163">
        <v>45732</v>
      </c>
      <c r="B18" s="12">
        <f>'KM-Servicio'!$N$124</f>
        <v>4952</v>
      </c>
      <c r="C18" s="12">
        <f t="shared" si="0"/>
        <v>154600</v>
      </c>
      <c r="D18" s="12">
        <f>'KM-Servicio'!$W$124</f>
        <v>4916.8200000000006</v>
      </c>
      <c r="E18" s="12">
        <f t="shared" si="1"/>
        <v>149083.93000000002</v>
      </c>
      <c r="F18" s="169">
        <f>'KM-Servicio'!O124</f>
        <v>99.289579967689832</v>
      </c>
      <c r="G18" s="170">
        <f>SUM('KM-Servicio'!B124:C124)</f>
        <v>111</v>
      </c>
      <c r="H18" s="170">
        <f>SUM('KM-Servicio'!D124:E124)</f>
        <v>111</v>
      </c>
      <c r="I18" s="147"/>
      <c r="J18" s="147"/>
      <c r="K18" s="12">
        <f>'Oferta Diaria'!R53</f>
        <v>389903.82600000006</v>
      </c>
      <c r="L18" s="178" t="s">
        <v>139</v>
      </c>
      <c r="M18" s="147"/>
    </row>
    <row r="19" spans="1:16" x14ac:dyDescent="0.25">
      <c r="A19" s="163">
        <v>45733</v>
      </c>
      <c r="B19" s="12">
        <f>'KM-Servicio'!$N$131</f>
        <v>11873</v>
      </c>
      <c r="C19" s="12">
        <f t="shared" si="0"/>
        <v>166473</v>
      </c>
      <c r="D19" s="12">
        <f>'KM-Servicio'!$W$131</f>
        <v>11434.76</v>
      </c>
      <c r="E19" s="12">
        <f t="shared" si="1"/>
        <v>160518.69000000003</v>
      </c>
      <c r="F19" s="169">
        <f>'KM-Servicio'!O131</f>
        <v>96.308936241893377</v>
      </c>
      <c r="G19" s="170">
        <f>SUM('KM-Servicio'!B131:C131)</f>
        <v>223</v>
      </c>
      <c r="H19" s="170">
        <f>SUM('KM-Servicio'!D131:E131)</f>
        <v>223</v>
      </c>
      <c r="I19" s="147"/>
      <c r="J19" s="147"/>
      <c r="K19" s="12">
        <f>'Oferta Diaria'!S53</f>
        <v>906776.46799999999</v>
      </c>
      <c r="L19" s="164" t="s">
        <v>140</v>
      </c>
      <c r="M19" s="167"/>
      <c r="N19" s="165"/>
    </row>
    <row r="20" spans="1:16" x14ac:dyDescent="0.25">
      <c r="A20" s="163">
        <v>45734</v>
      </c>
      <c r="B20" s="12">
        <f>'KM-Servicio'!N138</f>
        <v>11936</v>
      </c>
      <c r="C20" s="12">
        <f t="shared" si="0"/>
        <v>178409</v>
      </c>
      <c r="D20" s="12">
        <f>'KM-Servicio'!$W$138</f>
        <v>11499.58</v>
      </c>
      <c r="E20" s="12">
        <f t="shared" si="1"/>
        <v>172018.27000000002</v>
      </c>
      <c r="F20" s="169">
        <f>'KM-Servicio'!O138</f>
        <v>96.343666219839136</v>
      </c>
      <c r="G20" s="170">
        <f>SUM('KM-Servicio'!B138:C138)</f>
        <v>223</v>
      </c>
      <c r="H20" s="170">
        <f>SUM('KM-Servicio'!D138:E138)</f>
        <v>223</v>
      </c>
      <c r="I20" s="147"/>
      <c r="J20" s="147"/>
      <c r="K20" s="12">
        <f>'Oferta Diaria'!T53</f>
        <v>911916.69399999978</v>
      </c>
      <c r="L20" s="178" t="s">
        <v>140</v>
      </c>
      <c r="M20" s="167"/>
      <c r="N20" s="165"/>
    </row>
    <row r="21" spans="1:16" x14ac:dyDescent="0.25">
      <c r="A21" s="163">
        <v>45735</v>
      </c>
      <c r="B21" s="12">
        <f>'KM-Servicio'!N145</f>
        <v>12063</v>
      </c>
      <c r="C21" s="12">
        <f t="shared" si="0"/>
        <v>190472</v>
      </c>
      <c r="D21" s="12">
        <f>'KM-Servicio'!$W$145</f>
        <v>11560.44</v>
      </c>
      <c r="E21" s="12">
        <f t="shared" si="1"/>
        <v>183578.71000000002</v>
      </c>
      <c r="F21" s="174">
        <f>'KM-Servicio'!O145</f>
        <v>95.833872171101717</v>
      </c>
      <c r="G21" s="170">
        <f>SUM('KM-Servicio'!B145:C145)</f>
        <v>223</v>
      </c>
      <c r="H21" s="170">
        <f>SUM('KM-Servicio'!D145:E145)</f>
        <v>223</v>
      </c>
      <c r="I21" s="147"/>
      <c r="J21" s="147"/>
      <c r="K21" s="12">
        <f>'Oferta Diaria'!U53</f>
        <v>916742.89199999999</v>
      </c>
      <c r="L21" s="178" t="s">
        <v>140</v>
      </c>
      <c r="M21" s="167"/>
      <c r="N21" s="165"/>
    </row>
    <row r="22" spans="1:16" x14ac:dyDescent="0.25">
      <c r="A22" s="163">
        <v>45736</v>
      </c>
      <c r="B22" s="12">
        <f>'KM-Servicio'!N152</f>
        <v>11903</v>
      </c>
      <c r="C22" s="12">
        <f t="shared" si="0"/>
        <v>202375</v>
      </c>
      <c r="D22" s="12">
        <f>'KM-Servicio'!$W$152</f>
        <v>11535.039999999999</v>
      </c>
      <c r="E22" s="12">
        <f t="shared" si="1"/>
        <v>195113.75000000003</v>
      </c>
      <c r="F22" s="174">
        <f>'KM-Servicio'!O152</f>
        <v>96.908678484415688</v>
      </c>
      <c r="G22" s="170">
        <f>SUM('KM-Servicio'!B152:C152)</f>
        <v>223</v>
      </c>
      <c r="H22" s="170">
        <f>SUM('KM-Servicio'!D152:E152)</f>
        <v>223</v>
      </c>
      <c r="I22" s="147"/>
      <c r="J22" s="147"/>
      <c r="K22" s="12">
        <f>'Oferta Diaria'!V53</f>
        <v>914728.67200000002</v>
      </c>
      <c r="L22" s="178" t="s">
        <v>140</v>
      </c>
      <c r="M22" s="167"/>
      <c r="N22" s="165"/>
    </row>
    <row r="23" spans="1:16" x14ac:dyDescent="0.25">
      <c r="A23" s="163">
        <v>45737</v>
      </c>
      <c r="B23" s="12">
        <f>'KM-Servicio'!N159</f>
        <v>12209</v>
      </c>
      <c r="C23" s="12">
        <f t="shared" si="0"/>
        <v>214584</v>
      </c>
      <c r="D23" s="12">
        <f>'KM-Servicio'!$W$159</f>
        <v>11807.839999999998</v>
      </c>
      <c r="E23" s="12">
        <f t="shared" si="1"/>
        <v>206921.59000000003</v>
      </c>
      <c r="F23" s="169">
        <f>'KM-Servicio'!O159</f>
        <v>96.714227209435649</v>
      </c>
      <c r="G23" s="170">
        <f>SUM('KM-Servicio'!B159:C159)</f>
        <v>223</v>
      </c>
      <c r="H23" s="170">
        <f>SUM('KM-Servicio'!D159:E159)</f>
        <v>223</v>
      </c>
      <c r="I23" s="147"/>
      <c r="J23" s="147"/>
      <c r="K23" s="12">
        <f>'Oferta Diaria'!W53</f>
        <v>936361.71199999982</v>
      </c>
      <c r="L23" s="164" t="s">
        <v>140</v>
      </c>
      <c r="M23" s="167"/>
      <c r="N23" s="165"/>
    </row>
    <row r="24" spans="1:16" x14ac:dyDescent="0.25">
      <c r="A24" s="163">
        <v>45738</v>
      </c>
      <c r="B24" s="12">
        <f>'KM-Servicio'!N166</f>
        <v>6498</v>
      </c>
      <c r="C24" s="12">
        <f t="shared" si="0"/>
        <v>221082</v>
      </c>
      <c r="D24" s="12">
        <f>'KM-Servicio'!$W$166</f>
        <v>6469.5</v>
      </c>
      <c r="E24" s="12">
        <f t="shared" si="1"/>
        <v>213391.09000000003</v>
      </c>
      <c r="F24" s="169">
        <f>'KM-Servicio'!O166</f>
        <v>99.561403508771932</v>
      </c>
      <c r="G24" s="170">
        <f>SUM('KM-Servicio'!B166:C166)</f>
        <v>147</v>
      </c>
      <c r="H24" s="170">
        <f>SUM('KM-Servicio'!D166:E166)</f>
        <v>147</v>
      </c>
      <c r="I24" s="147"/>
      <c r="J24" s="147"/>
      <c r="K24" s="12">
        <f>'Oferta Diaria'!X53</f>
        <v>513031.35</v>
      </c>
      <c r="L24" s="178" t="s">
        <v>141</v>
      </c>
      <c r="M24" s="167"/>
      <c r="N24" s="165"/>
    </row>
    <row r="25" spans="1:16" x14ac:dyDescent="0.25">
      <c r="A25" s="163">
        <v>45739</v>
      </c>
      <c r="B25" s="12">
        <f>'KM-Servicio'!N173</f>
        <v>4972</v>
      </c>
      <c r="C25" s="12">
        <f t="shared" si="0"/>
        <v>226054</v>
      </c>
      <c r="D25" s="12">
        <f>'KM-Servicio'!$W$173</f>
        <v>4916.8200000000006</v>
      </c>
      <c r="E25" s="12">
        <f t="shared" si="1"/>
        <v>218307.91000000003</v>
      </c>
      <c r="F25" s="169">
        <f>'KM-Servicio'!O173</f>
        <v>98.890185036202752</v>
      </c>
      <c r="G25" s="170">
        <f>SUM('KM-Servicio'!B173:C173)</f>
        <v>111</v>
      </c>
      <c r="H25" s="170">
        <f>SUM('KM-Servicio'!D173:E173)</f>
        <v>111</v>
      </c>
      <c r="I25" s="147"/>
      <c r="J25" s="147"/>
      <c r="K25" s="12">
        <f>'Oferta Diaria'!Y53</f>
        <v>389903.82600000006</v>
      </c>
      <c r="L25" s="178" t="s">
        <v>139</v>
      </c>
      <c r="M25" s="167"/>
      <c r="N25" s="165"/>
    </row>
    <row r="26" spans="1:16" x14ac:dyDescent="0.25">
      <c r="A26" s="163">
        <v>45740</v>
      </c>
      <c r="B26" s="12">
        <f>'KM-Servicio'!N180</f>
        <v>12085</v>
      </c>
      <c r="C26" s="12">
        <f t="shared" si="0"/>
        <v>238139</v>
      </c>
      <c r="D26" s="12">
        <f>'KM-Servicio'!$W$180</f>
        <v>11672.1</v>
      </c>
      <c r="E26" s="12">
        <f t="shared" si="1"/>
        <v>229980.01000000004</v>
      </c>
      <c r="F26" s="169">
        <f>'KM-Servicio'!O180</f>
        <v>96.583367811336373</v>
      </c>
      <c r="G26" s="170">
        <f>SUM('KM-Servicio'!B180:C180)</f>
        <v>223</v>
      </c>
      <c r="H26" s="170">
        <f>SUM('KM-Servicio'!D180:E180)</f>
        <v>223</v>
      </c>
      <c r="I26" s="147"/>
      <c r="J26" s="147"/>
      <c r="K26" s="12">
        <f>'Oferta Diaria'!Z53</f>
        <v>925597.5299999998</v>
      </c>
      <c r="L26" s="164" t="s">
        <v>140</v>
      </c>
      <c r="M26" s="167"/>
      <c r="N26" s="165"/>
    </row>
    <row r="27" spans="1:16" x14ac:dyDescent="0.25">
      <c r="A27" s="163">
        <v>45741</v>
      </c>
      <c r="B27" s="12">
        <f>'KM-Servicio'!N189</f>
        <v>12045</v>
      </c>
      <c r="C27" s="12">
        <f t="shared" si="0"/>
        <v>250184</v>
      </c>
      <c r="D27" s="12">
        <f>'KM-Servicio'!$W$189</f>
        <v>11603.359999999999</v>
      </c>
      <c r="E27" s="12">
        <f t="shared" si="1"/>
        <v>241583.37000000002</v>
      </c>
      <c r="F27" s="169">
        <f>'KM-Servicio'!O189</f>
        <v>96.333416355334151</v>
      </c>
      <c r="G27" s="170">
        <f>SUM('KM-Servicio'!B189:C189)</f>
        <v>223</v>
      </c>
      <c r="H27" s="170">
        <f>SUM('KM-Servicio'!D189:E189)</f>
        <v>223</v>
      </c>
      <c r="I27" s="147"/>
      <c r="J27" s="147"/>
      <c r="K27" s="12">
        <f>'Oferta Diaria'!AA53</f>
        <v>920146.44799999986</v>
      </c>
      <c r="L27" s="178" t="s">
        <v>140</v>
      </c>
      <c r="M27" s="167"/>
      <c r="N27" s="165"/>
    </row>
    <row r="28" spans="1:16" x14ac:dyDescent="0.25">
      <c r="A28" s="163">
        <v>45742</v>
      </c>
      <c r="B28" s="12">
        <f>'KM-Servicio'!N200</f>
        <v>11518</v>
      </c>
      <c r="C28" s="12">
        <f t="shared" si="0"/>
        <v>261702</v>
      </c>
      <c r="D28" s="12">
        <f>'KM-Servicio'!$W$200</f>
        <v>11203.839999999998</v>
      </c>
      <c r="E28" s="12">
        <f t="shared" si="1"/>
        <v>252787.21000000002</v>
      </c>
      <c r="F28" s="169">
        <f>'KM-Servicio'!O200</f>
        <v>97.272443132488263</v>
      </c>
      <c r="G28" s="170">
        <f>SUM('KM-Servicio'!B200:C200)</f>
        <v>223</v>
      </c>
      <c r="H28" s="170">
        <f>SUM('KM-Servicio'!D200:E200)</f>
        <v>214</v>
      </c>
      <c r="I28" s="147"/>
      <c r="J28" s="147"/>
      <c r="K28" s="12">
        <f>'Oferta Diaria'!AB53</f>
        <v>888464.51199999987</v>
      </c>
      <c r="L28" s="178" t="s">
        <v>140</v>
      </c>
      <c r="M28" s="167"/>
      <c r="N28" s="165"/>
    </row>
    <row r="29" spans="1:16" x14ac:dyDescent="0.25">
      <c r="A29" s="163">
        <v>45743</v>
      </c>
      <c r="B29" s="12">
        <f>'KM-Servicio'!N207</f>
        <v>11972</v>
      </c>
      <c r="C29" s="12">
        <f t="shared" si="0"/>
        <v>273674</v>
      </c>
      <c r="D29" s="12">
        <f>'KM-Servicio'!$W$207</f>
        <v>11623.69</v>
      </c>
      <c r="E29" s="12">
        <f t="shared" si="1"/>
        <v>264410.90000000002</v>
      </c>
      <c r="F29" s="169">
        <f>'KM-Servicio'!O207</f>
        <v>97.090628132308723</v>
      </c>
      <c r="G29" s="170">
        <f>SUM('KM-Servicio'!B207:C207)</f>
        <v>223</v>
      </c>
      <c r="H29" s="170">
        <f>SUM('KM-Servicio'!D207:E207)</f>
        <v>223</v>
      </c>
      <c r="I29" s="147"/>
      <c r="J29" s="147"/>
      <c r="K29" s="12">
        <f>'Oferta Diaria'!AC53</f>
        <v>921758.61699999985</v>
      </c>
      <c r="L29" s="178" t="s">
        <v>140</v>
      </c>
      <c r="M29" s="167"/>
      <c r="N29" s="165"/>
    </row>
    <row r="30" spans="1:16" x14ac:dyDescent="0.25">
      <c r="A30" s="163">
        <v>45744</v>
      </c>
      <c r="B30" s="12">
        <f>'KM-Servicio'!N214</f>
        <v>11982</v>
      </c>
      <c r="C30" s="12">
        <f t="shared" si="0"/>
        <v>285656</v>
      </c>
      <c r="D30" s="12">
        <f>'KM-Servicio'!$W$214</f>
        <v>11562.83</v>
      </c>
      <c r="E30" s="12">
        <f t="shared" si="1"/>
        <v>275973.73000000004</v>
      </c>
      <c r="F30" s="169">
        <f>'KM-Servicio'!O214</f>
        <v>96.501669170422304</v>
      </c>
      <c r="G30" s="170">
        <f>SUM('KM-Servicio'!B214:C214)</f>
        <v>223</v>
      </c>
      <c r="H30" s="170">
        <f>SUM('KM-Servicio'!D214:E214)</f>
        <v>223</v>
      </c>
      <c r="I30" s="147"/>
      <c r="J30" s="147"/>
      <c r="K30" s="12">
        <f>'Oferta Diaria'!AD53</f>
        <v>916932.41899999999</v>
      </c>
      <c r="L30" s="178" t="s">
        <v>140</v>
      </c>
      <c r="M30" s="167"/>
      <c r="N30" s="166"/>
    </row>
    <row r="31" spans="1:16" x14ac:dyDescent="0.25">
      <c r="A31" s="163">
        <v>45745</v>
      </c>
      <c r="B31" s="12">
        <f>'KM-Servicio'!N221</f>
        <v>6507</v>
      </c>
      <c r="C31" s="12">
        <f>B31+C30</f>
        <v>292163</v>
      </c>
      <c r="D31" s="12">
        <f>'KM-Servicio'!$W$221</f>
        <v>6469.5</v>
      </c>
      <c r="E31" s="12">
        <f>D31+E30</f>
        <v>282443.23000000004</v>
      </c>
      <c r="F31" s="169">
        <f>'KM-Servicio'!O221</f>
        <v>99.423697556477634</v>
      </c>
      <c r="G31" s="170">
        <f>SUM('KM-Servicio'!B221:C221)</f>
        <v>147</v>
      </c>
      <c r="H31" s="170">
        <f>SUM('KM-Servicio'!D221:E221)</f>
        <v>147</v>
      </c>
      <c r="I31" s="147"/>
      <c r="J31" s="147"/>
      <c r="K31" s="12">
        <f>'Oferta Diaria'!AE53</f>
        <v>513031.35</v>
      </c>
      <c r="L31" s="178" t="s">
        <v>141</v>
      </c>
      <c r="M31" s="167"/>
      <c r="N31" s="166"/>
    </row>
    <row r="32" spans="1:16" x14ac:dyDescent="0.25">
      <c r="A32" s="163">
        <v>45746</v>
      </c>
      <c r="B32" s="12">
        <f>'KM-Servicio'!N228</f>
        <v>4945</v>
      </c>
      <c r="C32" s="12">
        <f>B32+C31</f>
        <v>297108</v>
      </c>
      <c r="D32" s="12">
        <f>'KM-Servicio'!$W$228</f>
        <v>4916.8200000000006</v>
      </c>
      <c r="E32" s="12">
        <f>D32+E31</f>
        <v>287360.05000000005</v>
      </c>
      <c r="F32" s="169">
        <f>'KM-Servicio'!O228</f>
        <v>99.430131445904962</v>
      </c>
      <c r="G32" s="170">
        <f>SUM('KM-Servicio'!B228:C228)</f>
        <v>111</v>
      </c>
      <c r="H32" s="170">
        <f>SUM('KM-Servicio'!D228:E228)</f>
        <v>111</v>
      </c>
      <c r="I32" s="147"/>
      <c r="J32" s="147"/>
      <c r="K32" s="12">
        <f>'Oferta Diaria'!AF53</f>
        <v>389903.82600000006</v>
      </c>
      <c r="L32" s="178" t="s">
        <v>139</v>
      </c>
      <c r="M32" s="167"/>
      <c r="N32" s="166"/>
      <c r="O32" s="264"/>
      <c r="P32" s="264"/>
    </row>
    <row r="33" spans="1:16" x14ac:dyDescent="0.25">
      <c r="A33" s="163">
        <v>45747</v>
      </c>
      <c r="B33" s="12">
        <f>'KM-Servicio'!N235</f>
        <v>12023</v>
      </c>
      <c r="C33" s="12">
        <f>B33+C32</f>
        <v>309131</v>
      </c>
      <c r="D33" s="12">
        <f>'KM-Servicio'!$W$235</f>
        <v>11685.87</v>
      </c>
      <c r="E33" s="12">
        <f>D33+E32</f>
        <v>299045.92000000004</v>
      </c>
      <c r="F33" s="169">
        <f>'KM-Servicio'!O235</f>
        <v>97.19595774765034</v>
      </c>
      <c r="G33" s="170">
        <f>SUM('KM-Servicio'!B235:C235)</f>
        <v>223</v>
      </c>
      <c r="H33" s="170">
        <f>SUM('KM-Servicio'!D235:E235)</f>
        <v>223</v>
      </c>
      <c r="I33" s="147"/>
      <c r="J33" s="147"/>
      <c r="K33" s="12">
        <f>'Oferta Diaria'!AG53</f>
        <v>926689.49099999992</v>
      </c>
      <c r="L33" s="178" t="s">
        <v>140</v>
      </c>
      <c r="M33" s="167"/>
      <c r="N33" s="265"/>
      <c r="O33" s="266"/>
      <c r="P33" s="267"/>
    </row>
    <row r="34" spans="1:16" x14ac:dyDescent="0.25">
      <c r="A34" s="171" t="s">
        <v>138</v>
      </c>
      <c r="B34" s="172">
        <f>SUM(B3:B33)</f>
        <v>309131</v>
      </c>
      <c r="C34" s="172">
        <f>SUM(C3:C33)</f>
        <v>4936152</v>
      </c>
      <c r="D34" s="172">
        <f>SUM(D3:D33)</f>
        <v>299045.92000000004</v>
      </c>
      <c r="E34" s="172">
        <f>SUM(E3:E33)</f>
        <v>4763032.62</v>
      </c>
      <c r="F34" s="173">
        <f>AVERAGE(F3:F33)</f>
        <v>97.047301849226955</v>
      </c>
      <c r="G34" s="172">
        <f>SUM(G3:G33)</f>
        <v>5985</v>
      </c>
      <c r="H34" s="172">
        <f>SUM(H3:H33)</f>
        <v>5969</v>
      </c>
      <c r="I34" s="172">
        <f>SUM(I3:I32)</f>
        <v>0</v>
      </c>
      <c r="J34" s="172">
        <f>SUM(J3:J32)</f>
        <v>0</v>
      </c>
      <c r="K34" s="172">
        <f>SUM(K3:K33)</f>
        <v>23714341.456</v>
      </c>
      <c r="L34" s="164"/>
      <c r="M34" s="171"/>
      <c r="N34" s="264"/>
      <c r="O34" s="264"/>
      <c r="P34" s="264"/>
    </row>
    <row r="35" spans="1:16" x14ac:dyDescent="0.25">
      <c r="L35" s="212"/>
    </row>
    <row r="38" spans="1:16" x14ac:dyDescent="0.25">
      <c r="F38" s="165"/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97" t="s">
        <v>98</v>
      </c>
      <c r="B3" s="398"/>
      <c r="C3" s="398"/>
      <c r="D3" s="399"/>
    </row>
    <row r="4" spans="1:15" x14ac:dyDescent="0.25">
      <c r="A4" s="98" t="s">
        <v>99</v>
      </c>
      <c r="B4" s="99" t="s">
        <v>100</v>
      </c>
      <c r="C4" s="100" t="s">
        <v>54</v>
      </c>
      <c r="D4" s="100" t="s">
        <v>101</v>
      </c>
    </row>
    <row r="5" spans="1:15" x14ac:dyDescent="0.25">
      <c r="A5" s="34" t="s">
        <v>102</v>
      </c>
      <c r="B5" s="131">
        <f>C5/30</f>
        <v>249.46666666666667</v>
      </c>
      <c r="C5" s="132">
        <f>'KM-Servicio'!J261</f>
        <v>7484</v>
      </c>
      <c r="D5" s="132">
        <f>'KM-Servicio'!C256</f>
        <v>7498</v>
      </c>
    </row>
    <row r="6" spans="1:15" x14ac:dyDescent="0.25">
      <c r="A6" s="34" t="s">
        <v>103</v>
      </c>
      <c r="B6" s="131">
        <f>C6/30</f>
        <v>198.96666666666667</v>
      </c>
      <c r="C6" s="132">
        <f>'KM-Servicio'!K254</f>
        <v>5969</v>
      </c>
      <c r="D6" s="132">
        <f>'KM-Servicio'!D254</f>
        <v>5985</v>
      </c>
    </row>
    <row r="7" spans="1:15" x14ac:dyDescent="0.25">
      <c r="A7" s="34" t="s">
        <v>66</v>
      </c>
      <c r="B7" s="131">
        <f>C7/30</f>
        <v>10013.092666666667</v>
      </c>
      <c r="C7" s="132">
        <f>'KM-Servicio'!M254</f>
        <v>300392.78000000003</v>
      </c>
      <c r="D7" s="132" t="e">
        <f>'KM-Servicio'!F254</f>
        <v>#VALUE!</v>
      </c>
    </row>
    <row r="8" spans="1:15" x14ac:dyDescent="0.25">
      <c r="A8" s="34" t="s">
        <v>104</v>
      </c>
      <c r="B8" s="131">
        <f>C8/30</f>
        <v>7909.67</v>
      </c>
      <c r="C8" s="132">
        <f>'KM-Servicio'!L254</f>
        <v>237290.1</v>
      </c>
      <c r="D8" s="132" t="e">
        <f>'KM-Servicio'!E254</f>
        <v>#VALUE!</v>
      </c>
    </row>
    <row r="9" spans="1:15" x14ac:dyDescent="0.25">
      <c r="A9" s="34" t="s">
        <v>105</v>
      </c>
      <c r="B9" s="131">
        <f>C9/30</f>
        <v>1041361.6373333335</v>
      </c>
      <c r="C9" s="132">
        <f>'KM-Servicio'!N254</f>
        <v>31240849.120000005</v>
      </c>
      <c r="D9" s="132" t="e">
        <f>'KM-Servicio'!G254</f>
        <v>#VALUE!</v>
      </c>
    </row>
    <row r="10" spans="1:15" x14ac:dyDescent="0.25">
      <c r="A10" s="34" t="s">
        <v>106</v>
      </c>
      <c r="B10" s="131"/>
      <c r="C10" s="133"/>
      <c r="J10" s="103"/>
    </row>
    <row r="11" spans="1:15" x14ac:dyDescent="0.25">
      <c r="A11" s="34" t="s">
        <v>107</v>
      </c>
      <c r="B11" s="131">
        <f>C11/30</f>
        <v>40531.73333333333</v>
      </c>
      <c r="C11" s="207">
        <v>1215952</v>
      </c>
      <c r="D11" s="134" t="s">
        <v>148</v>
      </c>
      <c r="E11" s="101"/>
      <c r="H11" s="103"/>
      <c r="I11" s="103"/>
      <c r="J11" s="103"/>
      <c r="K11" s="103"/>
      <c r="L11" s="106"/>
      <c r="M11" s="102"/>
      <c r="N11" s="102"/>
    </row>
    <row r="12" spans="1:15" ht="15.75" thickBot="1" x14ac:dyDescent="0.3">
      <c r="A12" s="34" t="s">
        <v>108</v>
      </c>
      <c r="B12" s="134"/>
      <c r="C12" s="131"/>
      <c r="D12" s="134"/>
      <c r="F12" s="102"/>
      <c r="G12" s="103"/>
      <c r="H12" s="103"/>
      <c r="I12" s="103"/>
      <c r="J12" s="103"/>
    </row>
    <row r="13" spans="1:15" ht="15.75" thickBot="1" x14ac:dyDescent="0.3">
      <c r="A13" s="400" t="s">
        <v>109</v>
      </c>
      <c r="B13" s="401"/>
      <c r="C13" s="401"/>
      <c r="D13" s="402"/>
      <c r="F13" s="143"/>
      <c r="G13" s="144"/>
      <c r="H13" s="144"/>
      <c r="I13" s="144"/>
      <c r="J13" s="144"/>
      <c r="K13" s="143"/>
      <c r="L13" s="144"/>
      <c r="M13" s="144"/>
      <c r="N13" s="44"/>
    </row>
    <row r="14" spans="1:15" x14ac:dyDescent="0.25">
      <c r="A14" s="104"/>
      <c r="B14" s="99"/>
      <c r="C14" s="100"/>
      <c r="D14" s="100"/>
      <c r="F14" s="145"/>
      <c r="G14" s="145"/>
      <c r="H14" s="143"/>
      <c r="I14" s="143"/>
      <c r="J14" s="143"/>
      <c r="K14" s="143"/>
      <c r="L14" s="143"/>
      <c r="M14" s="44"/>
      <c r="N14" s="44"/>
    </row>
    <row r="15" spans="1:15" x14ac:dyDescent="0.25">
      <c r="A15" s="107"/>
      <c r="B15" s="147"/>
      <c r="C15" s="147"/>
      <c r="D15" s="109"/>
      <c r="F15" s="143"/>
      <c r="G15" s="143"/>
      <c r="H15" s="143"/>
      <c r="I15" s="143"/>
      <c r="J15" s="143"/>
      <c r="K15" s="144"/>
      <c r="L15" s="144"/>
      <c r="M15" s="144"/>
      <c r="N15" s="144"/>
    </row>
    <row r="16" spans="1:15" x14ac:dyDescent="0.25">
      <c r="A16" s="107"/>
      <c r="B16" s="108"/>
      <c r="C16" s="108"/>
      <c r="D16" s="109"/>
      <c r="F16" s="143"/>
      <c r="G16" s="406"/>
      <c r="H16" s="406"/>
      <c r="I16" s="143"/>
      <c r="J16" s="143"/>
      <c r="K16" s="143"/>
      <c r="L16" s="144"/>
      <c r="M16" s="144"/>
      <c r="N16" s="144"/>
      <c r="O16" s="102"/>
    </row>
    <row r="17" spans="1:15" x14ac:dyDescent="0.25">
      <c r="A17" s="107"/>
      <c r="B17" s="108"/>
      <c r="C17" s="108"/>
      <c r="D17" s="109"/>
      <c r="F17" s="143"/>
      <c r="G17" s="406"/>
      <c r="H17" s="406"/>
      <c r="I17" s="143"/>
      <c r="J17" s="144"/>
      <c r="K17" s="144"/>
      <c r="L17" s="144"/>
      <c r="M17" s="144"/>
      <c r="N17" s="144"/>
      <c r="O17" s="103"/>
    </row>
    <row r="18" spans="1:15" x14ac:dyDescent="0.25">
      <c r="A18" s="107"/>
      <c r="B18" s="108"/>
      <c r="C18" s="108"/>
      <c r="D18" s="109"/>
      <c r="F18" s="143"/>
      <c r="G18" s="406"/>
      <c r="H18" s="406"/>
      <c r="I18" s="144"/>
      <c r="J18" s="144"/>
      <c r="K18" s="44"/>
      <c r="L18" s="44"/>
      <c r="M18" s="44"/>
      <c r="N18" s="44"/>
    </row>
    <row r="19" spans="1:15" x14ac:dyDescent="0.25">
      <c r="A19" s="107"/>
      <c r="B19" s="113"/>
      <c r="C19" s="113"/>
      <c r="D19" s="109"/>
      <c r="F19" s="143"/>
      <c r="G19" s="406"/>
      <c r="H19" s="406"/>
      <c r="I19" s="144"/>
      <c r="J19" s="144"/>
      <c r="K19" s="44"/>
      <c r="L19" s="44"/>
      <c r="M19" s="44"/>
      <c r="N19" s="44"/>
    </row>
    <row r="20" spans="1:15" x14ac:dyDescent="0.25">
      <c r="A20" s="107"/>
      <c r="B20" s="108"/>
      <c r="C20" s="108"/>
      <c r="D20" s="109"/>
      <c r="F20" s="143"/>
      <c r="G20" s="406"/>
      <c r="H20" s="406"/>
      <c r="I20" s="144"/>
      <c r="J20" s="144"/>
      <c r="K20" s="44"/>
      <c r="L20" s="44"/>
      <c r="M20" s="44"/>
      <c r="N20" s="44"/>
    </row>
    <row r="21" spans="1:15" x14ac:dyDescent="0.25">
      <c r="A21" s="107"/>
      <c r="B21" s="108"/>
      <c r="C21" s="108"/>
      <c r="D21" s="109"/>
      <c r="F21" s="143"/>
      <c r="G21" s="406"/>
      <c r="H21" s="406"/>
      <c r="I21" s="143"/>
      <c r="J21" s="44"/>
      <c r="K21" s="44"/>
      <c r="L21" s="44"/>
      <c r="M21" s="44"/>
      <c r="N21" s="44"/>
    </row>
    <row r="22" spans="1:15" x14ac:dyDescent="0.25">
      <c r="A22" s="107"/>
      <c r="B22" s="108"/>
      <c r="C22" s="108"/>
      <c r="D22" s="109"/>
      <c r="F22" s="143"/>
      <c r="G22" s="144"/>
      <c r="H22" s="144"/>
      <c r="I22" s="144"/>
      <c r="J22" s="144"/>
      <c r="K22" s="143"/>
      <c r="L22" s="145"/>
      <c r="M22" s="143"/>
      <c r="N22" s="44"/>
    </row>
    <row r="23" spans="1:15" ht="15.75" thickBot="1" x14ac:dyDescent="0.3">
      <c r="A23" s="110"/>
      <c r="B23" s="403"/>
      <c r="C23" s="404"/>
      <c r="D23" s="405"/>
      <c r="F23" s="146"/>
      <c r="G23" s="144"/>
      <c r="H23" s="144"/>
      <c r="I23" s="144"/>
      <c r="J23" s="44"/>
      <c r="K23" s="44"/>
      <c r="L23" s="44"/>
      <c r="M23" s="44"/>
      <c r="N23" s="44"/>
    </row>
    <row r="24" spans="1:15" ht="15.75" thickBot="1" x14ac:dyDescent="0.3">
      <c r="A24" s="400"/>
      <c r="B24" s="401"/>
      <c r="C24" s="401"/>
      <c r="D24" s="402"/>
      <c r="F24" s="144"/>
      <c r="G24" s="144"/>
      <c r="H24" s="144"/>
      <c r="I24" s="143"/>
      <c r="J24" s="145"/>
      <c r="K24" s="143"/>
      <c r="L24" s="144"/>
      <c r="M24" s="144"/>
      <c r="N24" s="44"/>
    </row>
    <row r="25" spans="1:15" x14ac:dyDescent="0.25">
      <c r="A25" s="104"/>
      <c r="B25" s="99"/>
      <c r="C25" s="100"/>
      <c r="D25" s="100"/>
      <c r="F25" s="143"/>
      <c r="G25" s="102"/>
      <c r="H25" s="102"/>
      <c r="I25" s="105"/>
      <c r="J25" s="102"/>
      <c r="K25" s="103"/>
      <c r="L25" s="103"/>
      <c r="M25" s="103"/>
    </row>
    <row r="26" spans="1:15" x14ac:dyDescent="0.25">
      <c r="A26" s="107"/>
      <c r="B26" s="30"/>
      <c r="C26" s="30"/>
      <c r="D26" s="109"/>
      <c r="F26" s="148"/>
      <c r="G26" s="105"/>
      <c r="H26" s="105"/>
      <c r="I26" s="102"/>
      <c r="J26" s="103"/>
      <c r="K26" s="103"/>
      <c r="L26" s="103"/>
      <c r="M26" s="103"/>
    </row>
    <row r="27" spans="1:15" x14ac:dyDescent="0.25">
      <c r="A27" s="107"/>
      <c r="B27" s="130"/>
      <c r="C27" s="130"/>
      <c r="D27" s="109"/>
      <c r="F27" s="148"/>
      <c r="G27" s="102"/>
      <c r="H27" s="102"/>
      <c r="I27" s="102"/>
      <c r="J27" s="102"/>
      <c r="K27" s="102"/>
      <c r="L27" s="102"/>
    </row>
    <row r="28" spans="1:15" x14ac:dyDescent="0.25">
      <c r="A28" s="107"/>
      <c r="B28" s="111"/>
      <c r="C28" s="111"/>
      <c r="D28" s="109"/>
      <c r="F28" s="148"/>
      <c r="G28" s="103"/>
      <c r="H28" s="103"/>
      <c r="I28" s="103"/>
      <c r="J28" s="103"/>
      <c r="K28" s="103"/>
      <c r="L28" s="103"/>
      <c r="M28" s="103"/>
    </row>
    <row r="29" spans="1:15" x14ac:dyDescent="0.25">
      <c r="A29" s="107"/>
      <c r="B29" s="111"/>
      <c r="C29" s="111"/>
      <c r="D29" s="109"/>
      <c r="F29" s="148"/>
      <c r="G29" s="103"/>
      <c r="I29" s="112"/>
    </row>
    <row r="30" spans="1:15" x14ac:dyDescent="0.25">
      <c r="A30" s="107"/>
      <c r="B30" s="113"/>
      <c r="C30" s="113"/>
      <c r="D30" s="109"/>
      <c r="F30" s="148"/>
      <c r="G30" s="103"/>
      <c r="I30" s="102"/>
    </row>
    <row r="31" spans="1:15" x14ac:dyDescent="0.25">
      <c r="A31" s="107"/>
      <c r="B31" s="130"/>
      <c r="C31" s="130"/>
      <c r="D31" s="109"/>
      <c r="F31" s="148"/>
      <c r="G31" s="103"/>
      <c r="I31" s="102"/>
    </row>
    <row r="32" spans="1:15" x14ac:dyDescent="0.25">
      <c r="A32" s="107"/>
      <c r="B32" s="111"/>
      <c r="C32" s="111"/>
      <c r="D32" s="109"/>
      <c r="F32" s="143"/>
      <c r="G32" s="103"/>
      <c r="I32" s="102"/>
    </row>
    <row r="33" spans="1:9" x14ac:dyDescent="0.25">
      <c r="A33" s="114"/>
      <c r="B33" s="111"/>
      <c r="C33" s="111"/>
      <c r="D33" s="115"/>
      <c r="F33" s="112"/>
      <c r="G33" s="103"/>
      <c r="I33" s="102"/>
    </row>
    <row r="34" spans="1:9" ht="15.75" thickBot="1" x14ac:dyDescent="0.3">
      <c r="A34" s="108"/>
      <c r="B34" s="403"/>
      <c r="C34" s="404"/>
      <c r="D34" s="405"/>
      <c r="F34" s="102"/>
      <c r="I34" s="112"/>
    </row>
    <row r="35" spans="1:9" x14ac:dyDescent="0.25">
      <c r="F35" s="102"/>
      <c r="I35" s="102"/>
    </row>
    <row r="36" spans="1:9" x14ac:dyDescent="0.25">
      <c r="F36" s="102"/>
      <c r="I36" s="102"/>
    </row>
    <row r="37" spans="1:9" x14ac:dyDescent="0.25">
      <c r="F37" s="59"/>
      <c r="I37" s="59"/>
    </row>
    <row r="38" spans="1:9" x14ac:dyDescent="0.25">
      <c r="F38" s="102"/>
      <c r="I38" s="102"/>
    </row>
    <row r="39" spans="1:9" x14ac:dyDescent="0.25">
      <c r="F39" s="102"/>
      <c r="I39" s="102"/>
    </row>
    <row r="40" spans="1:9" x14ac:dyDescent="0.25">
      <c r="F40" s="102"/>
      <c r="I40" s="112"/>
    </row>
    <row r="41" spans="1:9" x14ac:dyDescent="0.25">
      <c r="F41" s="102"/>
      <c r="I41" s="102"/>
    </row>
    <row r="42" spans="1:9" x14ac:dyDescent="0.25">
      <c r="F42" s="59"/>
      <c r="I42" s="102"/>
    </row>
    <row r="43" spans="1:9" x14ac:dyDescent="0.25">
      <c r="F43" s="59"/>
      <c r="I43" s="102"/>
    </row>
    <row r="44" spans="1:9" x14ac:dyDescent="0.25">
      <c r="F44" s="59"/>
      <c r="I44" s="102"/>
    </row>
    <row r="45" spans="1:9" x14ac:dyDescent="0.25">
      <c r="F45" s="112"/>
    </row>
    <row r="46" spans="1:9" x14ac:dyDescent="0.25">
      <c r="F46" s="102"/>
    </row>
    <row r="47" spans="1:9" x14ac:dyDescent="0.25">
      <c r="F47" s="102"/>
    </row>
    <row r="48" spans="1:9" x14ac:dyDescent="0.25">
      <c r="F48" s="102"/>
    </row>
    <row r="49" spans="6:6" x14ac:dyDescent="0.25">
      <c r="F49" s="102"/>
    </row>
    <row r="50" spans="6:6" x14ac:dyDescent="0.25">
      <c r="F50" s="102"/>
    </row>
    <row r="51" spans="6:6" x14ac:dyDescent="0.25">
      <c r="F51" s="102"/>
    </row>
    <row r="52" spans="6:6" x14ac:dyDescent="0.25">
      <c r="F52" s="112"/>
    </row>
    <row r="53" spans="6:6" x14ac:dyDescent="0.25">
      <c r="F53" s="102"/>
    </row>
    <row r="54" spans="6:6" x14ac:dyDescent="0.25">
      <c r="F54" s="102"/>
    </row>
    <row r="55" spans="6:6" x14ac:dyDescent="0.25">
      <c r="F55" s="102"/>
    </row>
    <row r="56" spans="6:6" x14ac:dyDescent="0.25">
      <c r="F56" s="59"/>
    </row>
    <row r="57" spans="6:6" x14ac:dyDescent="0.25">
      <c r="F57" s="102"/>
    </row>
    <row r="58" spans="6:6" x14ac:dyDescent="0.25">
      <c r="F58" s="102"/>
    </row>
    <row r="59" spans="6:6" x14ac:dyDescent="0.25">
      <c r="F59" s="102"/>
    </row>
    <row r="60" spans="6:6" x14ac:dyDescent="0.25">
      <c r="F60" s="102"/>
    </row>
    <row r="61" spans="6:6" x14ac:dyDescent="0.25">
      <c r="F61" s="59"/>
    </row>
    <row r="62" spans="6:6" x14ac:dyDescent="0.25">
      <c r="F62" s="59"/>
    </row>
    <row r="63" spans="6:6" x14ac:dyDescent="0.25">
      <c r="F63" s="59"/>
    </row>
    <row r="64" spans="6:6" x14ac:dyDescent="0.25">
      <c r="F64" s="112"/>
    </row>
    <row r="65" spans="6:6" x14ac:dyDescent="0.25">
      <c r="F65" s="102"/>
    </row>
    <row r="66" spans="6:6" x14ac:dyDescent="0.25">
      <c r="F66" s="102"/>
    </row>
    <row r="67" spans="6:6" x14ac:dyDescent="0.25">
      <c r="F67" s="102"/>
    </row>
    <row r="68" spans="6:6" x14ac:dyDescent="0.25">
      <c r="F68" s="102"/>
    </row>
    <row r="69" spans="6:6" x14ac:dyDescent="0.25">
      <c r="F69" s="102"/>
    </row>
    <row r="70" spans="6:6" x14ac:dyDescent="0.25">
      <c r="F70" s="102"/>
    </row>
    <row r="71" spans="6:6" x14ac:dyDescent="0.25">
      <c r="F71" s="59"/>
    </row>
    <row r="73" spans="6:6" x14ac:dyDescent="0.25">
      <c r="F73" s="59"/>
    </row>
    <row r="74" spans="6:6" x14ac:dyDescent="0.25">
      <c r="F74" s="59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C8EB97-FA0C-43D8-A07B-26901BDD3F10}"/>
</file>

<file path=customXml/itemProps2.xml><?xml version="1.0" encoding="utf-8"?>
<ds:datastoreItem xmlns:ds="http://schemas.openxmlformats.org/officeDocument/2006/customXml" ds:itemID="{B3730B55-041F-4C9F-9CB9-ECB1DBA0B1E5}"/>
</file>

<file path=customXml/itemProps3.xml><?xml version="1.0" encoding="utf-8"?>
<ds:datastoreItem xmlns:ds="http://schemas.openxmlformats.org/officeDocument/2006/customXml" ds:itemID="{AD9084DB-8115-48C6-8AA0-918E28CAE2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2025-05-12T22:39:08Z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