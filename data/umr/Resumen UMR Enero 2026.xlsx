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7" documentId="13_ncr:1_{D2CBAEE6-7553-4C58-8751-799888D50FD1}" xr6:coauthVersionLast="47" xr6:coauthVersionMax="47" xr10:uidLastSave="{4E6C935D-2B91-43F4-9795-CD71697842DE}"/>
  <bookViews>
    <workbookView xWindow="-120" yWindow="-120" windowWidth="29040" windowHeight="15720" tabRatio="686" firstSheet="1" activeTab="1" xr2:uid="{00000000-000D-0000-FFFF-FFFF00000000}"/>
  </bookViews>
  <sheets>
    <sheet name="Odometro-Kilometraje" sheetId="1" r:id="rId1"/>
    <sheet name="KM-Servicio" sheetId="2" r:id="rId2"/>
    <sheet name="Oferta Diaria" sheetId="4" r:id="rId3"/>
    <sheet name="Data Ocupacion" sheetId="3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8" i="2" l="1"/>
  <c r="W47" i="2"/>
  <c r="W55" i="2" s="1"/>
  <c r="X55" i="2"/>
  <c r="X53" i="2"/>
  <c r="X54" i="2"/>
  <c r="M53" i="2"/>
  <c r="M54" i="2"/>
  <c r="L53" i="2"/>
  <c r="L54" i="2"/>
  <c r="L52" i="2"/>
  <c r="K52" i="2"/>
  <c r="J52" i="2"/>
  <c r="H55" i="2"/>
  <c r="G55" i="2"/>
  <c r="I55" i="2"/>
  <c r="I53" i="2"/>
  <c r="I54" i="2"/>
  <c r="I52" i="2"/>
  <c r="W52" i="2"/>
  <c r="W51" i="2"/>
  <c r="W50" i="2"/>
  <c r="W49" i="2"/>
  <c r="G53" i="2"/>
  <c r="J53" i="2" s="1"/>
  <c r="G54" i="2"/>
  <c r="J54" i="2" s="1"/>
  <c r="W54" i="2" s="1"/>
  <c r="B55" i="2"/>
  <c r="H54" i="2"/>
  <c r="C55" i="2"/>
  <c r="H53" i="2"/>
  <c r="J55" i="2" l="1"/>
  <c r="W53" i="2"/>
  <c r="B227" i="2"/>
  <c r="AF2" i="2"/>
  <c r="C167" i="2"/>
  <c r="B167" i="2"/>
  <c r="C160" i="2"/>
  <c r="B160" i="2"/>
  <c r="C153" i="2"/>
  <c r="B153" i="2"/>
  <c r="C146" i="2"/>
  <c r="B146" i="2"/>
  <c r="C139" i="2"/>
  <c r="B139" i="2"/>
  <c r="C181" i="2" l="1"/>
  <c r="B181" i="2"/>
  <c r="C174" i="2"/>
  <c r="B174" i="2"/>
  <c r="C132" i="2"/>
  <c r="B132" i="2"/>
  <c r="C125" i="2"/>
  <c r="B125" i="2"/>
  <c r="C83" i="2"/>
  <c r="B83" i="2"/>
  <c r="C76" i="2"/>
  <c r="B76" i="2"/>
  <c r="C39" i="2"/>
  <c r="B39" i="2"/>
  <c r="X25" i="4"/>
  <c r="C25" i="4"/>
  <c r="AG25" i="4"/>
  <c r="AG24" i="4"/>
  <c r="AG23" i="4"/>
  <c r="H222" i="2"/>
  <c r="X222" i="2" s="1"/>
  <c r="H221" i="2"/>
  <c r="X221" i="2" s="1"/>
  <c r="H220" i="2"/>
  <c r="X220" i="2" s="1"/>
  <c r="H219" i="2"/>
  <c r="X219" i="2" s="1"/>
  <c r="H218" i="2"/>
  <c r="X218" i="2" s="1"/>
  <c r="H217" i="2"/>
  <c r="X217" i="2" s="1"/>
  <c r="C188" i="2"/>
  <c r="B188" i="2"/>
  <c r="C90" i="2"/>
  <c r="B90" i="2"/>
  <c r="X223" i="2" l="1"/>
  <c r="H223" i="2"/>
  <c r="S24" i="3"/>
  <c r="R24" i="3"/>
  <c r="G26" i="4"/>
  <c r="C26" i="4"/>
  <c r="D26" i="4"/>
  <c r="E26" i="4"/>
  <c r="F26" i="4"/>
  <c r="C223" i="2"/>
  <c r="B223" i="2"/>
  <c r="G34" i="13" s="1"/>
  <c r="C216" i="2"/>
  <c r="B216" i="2"/>
  <c r="C209" i="2"/>
  <c r="B209" i="2"/>
  <c r="C202" i="2"/>
  <c r="B202" i="2"/>
  <c r="C195" i="2"/>
  <c r="B195" i="2"/>
  <c r="C118" i="2"/>
  <c r="B118" i="2"/>
  <c r="C111" i="2"/>
  <c r="B111" i="2"/>
  <c r="C104" i="2"/>
  <c r="B104" i="2"/>
  <c r="C97" i="2"/>
  <c r="B97" i="2"/>
  <c r="C69" i="2"/>
  <c r="B69" i="2"/>
  <c r="C62" i="2"/>
  <c r="B62" i="2"/>
  <c r="C46" i="2"/>
  <c r="B46" i="2"/>
  <c r="C18" i="2"/>
  <c r="B18" i="2"/>
  <c r="C11" i="2"/>
  <c r="B11" i="2"/>
  <c r="BM24" i="3"/>
  <c r="BL24" i="3"/>
  <c r="BK24" i="3"/>
  <c r="BJ24" i="3"/>
  <c r="BI24" i="3"/>
  <c r="BH24" i="3"/>
  <c r="BG24" i="3"/>
  <c r="BF24" i="3"/>
  <c r="BE24" i="3"/>
  <c r="BD24" i="3"/>
  <c r="BA24" i="3"/>
  <c r="AZ24" i="3"/>
  <c r="AW24" i="3"/>
  <c r="AV24" i="3"/>
  <c r="AU24" i="3"/>
  <c r="AT24" i="3"/>
  <c r="AS24" i="3"/>
  <c r="AR24" i="3"/>
  <c r="AQ24" i="3"/>
  <c r="AP24" i="3"/>
  <c r="AK24" i="3"/>
  <c r="AJ24" i="3"/>
  <c r="AI24" i="3"/>
  <c r="AH24" i="3"/>
  <c r="AG24" i="3"/>
  <c r="AF24" i="3"/>
  <c r="AE24" i="3"/>
  <c r="AD24" i="3"/>
  <c r="AC24" i="3"/>
  <c r="AB24" i="3"/>
  <c r="Q24" i="3"/>
  <c r="P24" i="3"/>
  <c r="O24" i="3"/>
  <c r="N24" i="3"/>
  <c r="BL53" i="3"/>
  <c r="AG18" i="4" s="1"/>
  <c r="BL52" i="3"/>
  <c r="BL51" i="3"/>
  <c r="AG17" i="4" s="1"/>
  <c r="BL50" i="3"/>
  <c r="AG16" i="4" s="1"/>
  <c r="BL49" i="3"/>
  <c r="AG15" i="4" s="1"/>
  <c r="BL48" i="3"/>
  <c r="AG14" i="4" s="1"/>
  <c r="BL45" i="3"/>
  <c r="AG10" i="4" s="1"/>
  <c r="BL44" i="3"/>
  <c r="AG9" i="4" s="1"/>
  <c r="BL43" i="3"/>
  <c r="AG8" i="4" s="1"/>
  <c r="BL42" i="3"/>
  <c r="AG7" i="4" s="1"/>
  <c r="BL41" i="3"/>
  <c r="AG6" i="4" s="1"/>
  <c r="BL40" i="3"/>
  <c r="AG5" i="4" s="1"/>
  <c r="BM36" i="3"/>
  <c r="E222" i="2" s="1"/>
  <c r="BL36" i="3"/>
  <c r="D222" i="2" s="1"/>
  <c r="BM35" i="3"/>
  <c r="E221" i="2" s="1"/>
  <c r="BL35" i="3"/>
  <c r="D221" i="2" s="1"/>
  <c r="BM34" i="3"/>
  <c r="E220" i="2" s="1"/>
  <c r="BL34" i="3"/>
  <c r="D220" i="2" s="1"/>
  <c r="BM33" i="3"/>
  <c r="E219" i="2" s="1"/>
  <c r="BL33" i="3"/>
  <c r="D219" i="2" s="1"/>
  <c r="BM32" i="3"/>
  <c r="E218" i="2" s="1"/>
  <c r="BL32" i="3"/>
  <c r="D218" i="2" s="1"/>
  <c r="BM31" i="3"/>
  <c r="E217" i="2" s="1"/>
  <c r="BL31" i="3"/>
  <c r="D217" i="2" s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B32" i="2"/>
  <c r="C32" i="2"/>
  <c r="BC24" i="3"/>
  <c r="BB24" i="3"/>
  <c r="AA24" i="3"/>
  <c r="Z24" i="3"/>
  <c r="M24" i="3"/>
  <c r="L24" i="3"/>
  <c r="AM24" i="3"/>
  <c r="AL24" i="3"/>
  <c r="Y24" i="3"/>
  <c r="X24" i="3"/>
  <c r="K24" i="3"/>
  <c r="J24" i="3"/>
  <c r="AG33" i="4" l="1"/>
  <c r="AG36" i="4" s="1"/>
  <c r="G222" i="2"/>
  <c r="J222" i="2" s="1"/>
  <c r="W222" i="2" s="1"/>
  <c r="I222" i="2"/>
  <c r="D223" i="2"/>
  <c r="I217" i="2"/>
  <c r="G217" i="2"/>
  <c r="J217" i="2" s="1"/>
  <c r="G218" i="2"/>
  <c r="J218" i="2" s="1"/>
  <c r="W218" i="2" s="1"/>
  <c r="I218" i="2"/>
  <c r="G219" i="2"/>
  <c r="J219" i="2" s="1"/>
  <c r="W219" i="2" s="1"/>
  <c r="I219" i="2"/>
  <c r="G221" i="2"/>
  <c r="I221" i="2"/>
  <c r="E223" i="2"/>
  <c r="I220" i="2"/>
  <c r="G220" i="2"/>
  <c r="J220" i="2" s="1"/>
  <c r="W220" i="2" s="1"/>
  <c r="AG34" i="4"/>
  <c r="AF81" i="1"/>
  <c r="N223" i="2" s="1"/>
  <c r="B34" i="13" s="1"/>
  <c r="AG32" i="4"/>
  <c r="AG37" i="4" s="1"/>
  <c r="AG31" i="4"/>
  <c r="BL37" i="3"/>
  <c r="BM37" i="3"/>
  <c r="AY24" i="3"/>
  <c r="AX24" i="3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AO24" i="3"/>
  <c r="AN24" i="3"/>
  <c r="W24" i="3"/>
  <c r="V24" i="3"/>
  <c r="U24" i="3"/>
  <c r="T24" i="3"/>
  <c r="H24" i="3"/>
  <c r="I24" i="3"/>
  <c r="H34" i="13" l="1"/>
  <c r="K221" i="2"/>
  <c r="M221" i="2"/>
  <c r="M218" i="2"/>
  <c r="K218" i="2"/>
  <c r="L222" i="2"/>
  <c r="L218" i="2"/>
  <c r="G223" i="2"/>
  <c r="J221" i="2"/>
  <c r="W221" i="2" s="1"/>
  <c r="L217" i="2"/>
  <c r="L219" i="2"/>
  <c r="K217" i="2"/>
  <c r="M217" i="2"/>
  <c r="I223" i="2"/>
  <c r="L220" i="2"/>
  <c r="K219" i="2"/>
  <c r="M219" i="2"/>
  <c r="M220" i="2"/>
  <c r="K220" i="2"/>
  <c r="M222" i="2"/>
  <c r="K222" i="2"/>
  <c r="AG38" i="4"/>
  <c r="I34" i="13" s="1"/>
  <c r="AG35" i="4"/>
  <c r="F24" i="3"/>
  <c r="G24" i="3"/>
  <c r="E24" i="3"/>
  <c r="D24" i="3"/>
  <c r="J223" i="2" l="1"/>
  <c r="K223" i="2"/>
  <c r="L221" i="2"/>
  <c r="L223" i="2" s="1"/>
  <c r="M223" i="2"/>
  <c r="C25" i="2"/>
  <c r="B25" i="2"/>
  <c r="B81" i="1"/>
  <c r="N11" i="2" s="1"/>
  <c r="C232" i="2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45" i="1"/>
  <c r="T227" i="2" l="1"/>
  <c r="AB2" i="2" l="1"/>
  <c r="AF24" i="4" l="1"/>
  <c r="AE24" i="4"/>
  <c r="AD24" i="4"/>
  <c r="AC24" i="4"/>
  <c r="C231" i="2" l="1"/>
  <c r="C230" i="2"/>
  <c r="C229" i="2"/>
  <c r="C228" i="2"/>
  <c r="B232" i="2"/>
  <c r="B231" i="2"/>
  <c r="B230" i="2"/>
  <c r="B229" i="2"/>
  <c r="B228" i="2"/>
  <c r="C227" i="2"/>
  <c r="V227" i="2" l="1"/>
  <c r="U227" i="2"/>
  <c r="S227" i="2"/>
  <c r="R227" i="2"/>
  <c r="Q227" i="2"/>
  <c r="P227" i="2"/>
  <c r="G2" i="2"/>
  <c r="W217" i="2" s="1"/>
  <c r="W223" i="2" s="1"/>
  <c r="O223" i="2" l="1"/>
  <c r="F34" i="13" s="1"/>
  <c r="D34" i="13"/>
  <c r="H61" i="2"/>
  <c r="X61" i="2" s="1"/>
  <c r="H60" i="2"/>
  <c r="X60" i="2" s="1"/>
  <c r="H59" i="2"/>
  <c r="X59" i="2" s="1"/>
  <c r="H58" i="2"/>
  <c r="X58" i="2" s="1"/>
  <c r="H57" i="2"/>
  <c r="X57" i="2" s="1"/>
  <c r="H56" i="2"/>
  <c r="X56" i="2" s="1"/>
  <c r="H82" i="2"/>
  <c r="X82" i="2" s="1"/>
  <c r="H81" i="2"/>
  <c r="X81" i="2" s="1"/>
  <c r="H80" i="2"/>
  <c r="X80" i="2" s="1"/>
  <c r="H79" i="2"/>
  <c r="H78" i="2"/>
  <c r="X78" i="2" s="1"/>
  <c r="H77" i="2"/>
  <c r="X77" i="2" s="1"/>
  <c r="H75" i="2"/>
  <c r="X75" i="2" s="1"/>
  <c r="H74" i="2"/>
  <c r="X74" i="2" s="1"/>
  <c r="H73" i="2"/>
  <c r="X73" i="2" s="1"/>
  <c r="H72" i="2"/>
  <c r="X72" i="2" s="1"/>
  <c r="H71" i="2"/>
  <c r="X71" i="2" s="1"/>
  <c r="H70" i="2"/>
  <c r="X70" i="2" s="1"/>
  <c r="H131" i="2"/>
  <c r="X131" i="2" s="1"/>
  <c r="H130" i="2"/>
  <c r="X130" i="2" s="1"/>
  <c r="H129" i="2"/>
  <c r="X129" i="2" s="1"/>
  <c r="H128" i="2"/>
  <c r="X128" i="2" s="1"/>
  <c r="H127" i="2"/>
  <c r="X127" i="2" s="1"/>
  <c r="H126" i="2"/>
  <c r="X126" i="2" s="1"/>
  <c r="H215" i="2"/>
  <c r="X215" i="2" s="1"/>
  <c r="H214" i="2"/>
  <c r="X214" i="2" s="1"/>
  <c r="H213" i="2"/>
  <c r="X213" i="2" s="1"/>
  <c r="H212" i="2"/>
  <c r="X212" i="2" s="1"/>
  <c r="H211" i="2"/>
  <c r="X211" i="2" s="1"/>
  <c r="H210" i="2"/>
  <c r="H208" i="2"/>
  <c r="H207" i="2"/>
  <c r="X207" i="2" s="1"/>
  <c r="H206" i="2"/>
  <c r="X206" i="2" s="1"/>
  <c r="H205" i="2"/>
  <c r="X205" i="2" s="1"/>
  <c r="H204" i="2"/>
  <c r="X204" i="2" s="1"/>
  <c r="H203" i="2"/>
  <c r="X203" i="2" s="1"/>
  <c r="H201" i="2"/>
  <c r="X201" i="2" s="1"/>
  <c r="H200" i="2"/>
  <c r="X200" i="2" s="1"/>
  <c r="H199" i="2"/>
  <c r="X199" i="2" s="1"/>
  <c r="H198" i="2"/>
  <c r="X198" i="2" s="1"/>
  <c r="H197" i="2"/>
  <c r="X197" i="2" s="1"/>
  <c r="H196" i="2"/>
  <c r="H194" i="2"/>
  <c r="X194" i="2" s="1"/>
  <c r="H193" i="2"/>
  <c r="X193" i="2" s="1"/>
  <c r="H192" i="2"/>
  <c r="X192" i="2" s="1"/>
  <c r="H191" i="2"/>
  <c r="X191" i="2" s="1"/>
  <c r="H190" i="2"/>
  <c r="X190" i="2" s="1"/>
  <c r="H189" i="2"/>
  <c r="X189" i="2" s="1"/>
  <c r="H187" i="2"/>
  <c r="X187" i="2" s="1"/>
  <c r="H186" i="2"/>
  <c r="X186" i="2" s="1"/>
  <c r="H185" i="2"/>
  <c r="X185" i="2" s="1"/>
  <c r="H184" i="2"/>
  <c r="X184" i="2" s="1"/>
  <c r="H183" i="2"/>
  <c r="X183" i="2" s="1"/>
  <c r="H182" i="2"/>
  <c r="X182" i="2" s="1"/>
  <c r="H180" i="2"/>
  <c r="X180" i="2" s="1"/>
  <c r="H179" i="2"/>
  <c r="X179" i="2" s="1"/>
  <c r="H178" i="2"/>
  <c r="X178" i="2" s="1"/>
  <c r="H177" i="2"/>
  <c r="X177" i="2" s="1"/>
  <c r="H176" i="2"/>
  <c r="X176" i="2" s="1"/>
  <c r="H175" i="2"/>
  <c r="X175" i="2" s="1"/>
  <c r="H173" i="2"/>
  <c r="X173" i="2" s="1"/>
  <c r="H172" i="2"/>
  <c r="X172" i="2" s="1"/>
  <c r="H171" i="2"/>
  <c r="X171" i="2" s="1"/>
  <c r="H170" i="2"/>
  <c r="X170" i="2" s="1"/>
  <c r="H169" i="2"/>
  <c r="X169" i="2" s="1"/>
  <c r="H168" i="2"/>
  <c r="H166" i="2"/>
  <c r="X166" i="2" s="1"/>
  <c r="H165" i="2"/>
  <c r="X165" i="2" s="1"/>
  <c r="H164" i="2"/>
  <c r="X164" i="2" s="1"/>
  <c r="H163" i="2"/>
  <c r="X163" i="2" s="1"/>
  <c r="H162" i="2"/>
  <c r="X162" i="2" s="1"/>
  <c r="H161" i="2"/>
  <c r="H159" i="2"/>
  <c r="X159" i="2" s="1"/>
  <c r="H158" i="2"/>
  <c r="X158" i="2" s="1"/>
  <c r="H157" i="2"/>
  <c r="X157" i="2" s="1"/>
  <c r="H156" i="2"/>
  <c r="X156" i="2" s="1"/>
  <c r="H155" i="2"/>
  <c r="X155" i="2" s="1"/>
  <c r="H154" i="2"/>
  <c r="H152" i="2"/>
  <c r="X152" i="2" s="1"/>
  <c r="H151" i="2"/>
  <c r="X151" i="2" s="1"/>
  <c r="H150" i="2"/>
  <c r="X150" i="2" s="1"/>
  <c r="H149" i="2"/>
  <c r="X149" i="2" s="1"/>
  <c r="H148" i="2"/>
  <c r="X148" i="2" s="1"/>
  <c r="H147" i="2"/>
  <c r="X147" i="2" s="1"/>
  <c r="H145" i="2"/>
  <c r="X145" i="2" s="1"/>
  <c r="H144" i="2"/>
  <c r="X144" i="2" s="1"/>
  <c r="H143" i="2"/>
  <c r="X143" i="2" s="1"/>
  <c r="H142" i="2"/>
  <c r="X142" i="2" s="1"/>
  <c r="H141" i="2"/>
  <c r="X141" i="2" s="1"/>
  <c r="H140" i="2"/>
  <c r="X140" i="2" s="1"/>
  <c r="H138" i="2"/>
  <c r="X138" i="2" s="1"/>
  <c r="H137" i="2"/>
  <c r="H136" i="2"/>
  <c r="X136" i="2" s="1"/>
  <c r="H135" i="2"/>
  <c r="X135" i="2" s="1"/>
  <c r="H134" i="2"/>
  <c r="X134" i="2" s="1"/>
  <c r="H133" i="2"/>
  <c r="X133" i="2" s="1"/>
  <c r="H124" i="2"/>
  <c r="X124" i="2" s="1"/>
  <c r="H123" i="2"/>
  <c r="X123" i="2" s="1"/>
  <c r="H122" i="2"/>
  <c r="X122" i="2" s="1"/>
  <c r="H121" i="2"/>
  <c r="X121" i="2" s="1"/>
  <c r="H120" i="2"/>
  <c r="X120" i="2" s="1"/>
  <c r="H119" i="2"/>
  <c r="X119" i="2" s="1"/>
  <c r="H117" i="2"/>
  <c r="X117" i="2" s="1"/>
  <c r="H116" i="2"/>
  <c r="X116" i="2" s="1"/>
  <c r="H115" i="2"/>
  <c r="X115" i="2" s="1"/>
  <c r="H114" i="2"/>
  <c r="X114" i="2" s="1"/>
  <c r="H113" i="2"/>
  <c r="X113" i="2" s="1"/>
  <c r="H112" i="2"/>
  <c r="X112" i="2" s="1"/>
  <c r="H110" i="2"/>
  <c r="X110" i="2" s="1"/>
  <c r="H109" i="2"/>
  <c r="X109" i="2" s="1"/>
  <c r="H108" i="2"/>
  <c r="X108" i="2" s="1"/>
  <c r="H107" i="2"/>
  <c r="X107" i="2" s="1"/>
  <c r="H106" i="2"/>
  <c r="X106" i="2" s="1"/>
  <c r="H105" i="2"/>
  <c r="H103" i="2"/>
  <c r="X103" i="2" s="1"/>
  <c r="H102" i="2"/>
  <c r="X102" i="2" s="1"/>
  <c r="H101" i="2"/>
  <c r="X101" i="2" s="1"/>
  <c r="H100" i="2"/>
  <c r="H99" i="2"/>
  <c r="X99" i="2" s="1"/>
  <c r="H98" i="2"/>
  <c r="X98" i="2" s="1"/>
  <c r="H96" i="2"/>
  <c r="X96" i="2" s="1"/>
  <c r="H95" i="2"/>
  <c r="X95" i="2" s="1"/>
  <c r="H94" i="2"/>
  <c r="X94" i="2" s="1"/>
  <c r="H93" i="2"/>
  <c r="X93" i="2" s="1"/>
  <c r="H92" i="2"/>
  <c r="X92" i="2" s="1"/>
  <c r="H91" i="2"/>
  <c r="X91" i="2" s="1"/>
  <c r="H89" i="2"/>
  <c r="X89" i="2" s="1"/>
  <c r="H88" i="2"/>
  <c r="X88" i="2" s="1"/>
  <c r="H87" i="2"/>
  <c r="H86" i="2"/>
  <c r="X86" i="2" s="1"/>
  <c r="H85" i="2"/>
  <c r="X85" i="2" s="1"/>
  <c r="H84" i="2"/>
  <c r="X84" i="2" s="1"/>
  <c r="H68" i="2"/>
  <c r="X68" i="2" s="1"/>
  <c r="H67" i="2"/>
  <c r="X67" i="2" s="1"/>
  <c r="H66" i="2"/>
  <c r="X66" i="2" s="1"/>
  <c r="H65" i="2"/>
  <c r="X65" i="2" s="1"/>
  <c r="H64" i="2"/>
  <c r="X64" i="2" s="1"/>
  <c r="H63" i="2"/>
  <c r="X63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60" i="2" l="1"/>
  <c r="H111" i="2"/>
  <c r="X5" i="2"/>
  <c r="X11" i="2" s="1"/>
  <c r="H11" i="2"/>
  <c r="H216" i="2"/>
  <c r="H167" i="2"/>
  <c r="X161" i="2"/>
  <c r="X167" i="2" s="1"/>
  <c r="X132" i="2"/>
  <c r="H90" i="2"/>
  <c r="X125" i="2"/>
  <c r="X146" i="2"/>
  <c r="H174" i="2"/>
  <c r="H104" i="2"/>
  <c r="X195" i="2"/>
  <c r="H209" i="2"/>
  <c r="H69" i="2"/>
  <c r="H76" i="2"/>
  <c r="X39" i="2"/>
  <c r="X46" i="2"/>
  <c r="X188" i="2"/>
  <c r="X18" i="2"/>
  <c r="X118" i="2"/>
  <c r="X76" i="2"/>
  <c r="X181" i="2"/>
  <c r="H18" i="2"/>
  <c r="X154" i="2"/>
  <c r="X160" i="2" s="1"/>
  <c r="H46" i="2"/>
  <c r="H139" i="2"/>
  <c r="H195" i="2"/>
  <c r="X100" i="2"/>
  <c r="X104" i="2" s="1"/>
  <c r="X168" i="2"/>
  <c r="X174" i="2" s="1"/>
  <c r="X87" i="2"/>
  <c r="X90" i="2" s="1"/>
  <c r="H181" i="2"/>
  <c r="X32" i="2"/>
  <c r="H62" i="2"/>
  <c r="H202" i="2"/>
  <c r="H39" i="2"/>
  <c r="H97" i="2"/>
  <c r="H132" i="2"/>
  <c r="X105" i="2"/>
  <c r="X111" i="2" s="1"/>
  <c r="H146" i="2"/>
  <c r="H25" i="2"/>
  <c r="H83" i="2"/>
  <c r="X79" i="2"/>
  <c r="X83" i="2" s="1"/>
  <c r="H118" i="2"/>
  <c r="H125" i="2"/>
  <c r="H188" i="2"/>
  <c r="X22" i="2"/>
  <c r="X25" i="2" s="1"/>
  <c r="X97" i="2"/>
  <c r="X69" i="2"/>
  <c r="X208" i="2"/>
  <c r="X209" i="2" s="1"/>
  <c r="H32" i="2"/>
  <c r="X137" i="2"/>
  <c r="X139" i="2" s="1"/>
  <c r="X196" i="2"/>
  <c r="X202" i="2" s="1"/>
  <c r="X210" i="2"/>
  <c r="X216" i="2" s="1"/>
  <c r="H153" i="2"/>
  <c r="X153" i="2"/>
  <c r="X62" i="2"/>
  <c r="X227" i="2" l="1"/>
  <c r="Y23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79" i="1" l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Q31" i="3"/>
  <c r="P32" i="3"/>
  <c r="Q32" i="3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G51" i="2"/>
  <c r="J51" i="2" s="1"/>
  <c r="I51" i="2"/>
  <c r="G50" i="2"/>
  <c r="J50" i="2" s="1"/>
  <c r="D55" i="2"/>
  <c r="I48" i="2"/>
  <c r="G48" i="2"/>
  <c r="I47" i="2"/>
  <c r="E55" i="2"/>
  <c r="G52" i="2"/>
  <c r="I49" i="2"/>
  <c r="G49" i="2"/>
  <c r="J49" i="2" s="1"/>
  <c r="E23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49" i="2" l="1"/>
  <c r="L51" i="2"/>
  <c r="J48" i="2"/>
  <c r="L50" i="2"/>
  <c r="H10" i="13"/>
  <c r="M50" i="2"/>
  <c r="K47" i="2"/>
  <c r="M47" i="2"/>
  <c r="K48" i="2"/>
  <c r="M48" i="2"/>
  <c r="M52" i="2"/>
  <c r="L47" i="2"/>
  <c r="K51" i="2"/>
  <c r="M51" i="2"/>
  <c r="M49" i="2"/>
  <c r="K49" i="2"/>
  <c r="L48" i="2" l="1"/>
  <c r="L55" i="2" s="1"/>
  <c r="M55" i="2"/>
  <c r="K55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8" i="2" s="1"/>
  <c r="AY31" i="3"/>
  <c r="E168" i="2" s="1"/>
  <c r="AX32" i="3"/>
  <c r="D169" i="2" s="1"/>
  <c r="AY32" i="3"/>
  <c r="E169" i="2" s="1"/>
  <c r="AX33" i="3"/>
  <c r="D170" i="2" s="1"/>
  <c r="AY33" i="3"/>
  <c r="E170" i="2" s="1"/>
  <c r="AX34" i="3"/>
  <c r="D171" i="2" s="1"/>
  <c r="AY34" i="3"/>
  <c r="E171" i="2" s="1"/>
  <c r="AX35" i="3"/>
  <c r="D172" i="2" s="1"/>
  <c r="AY35" i="3"/>
  <c r="E172" i="2" s="1"/>
  <c r="AX36" i="3"/>
  <c r="D173" i="2" s="1"/>
  <c r="AY36" i="3"/>
  <c r="E173" i="2" s="1"/>
  <c r="AV48" i="3" l="1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2" i="2" s="1"/>
  <c r="AW32" i="3"/>
  <c r="E162" i="2" s="1"/>
  <c r="AV33" i="3"/>
  <c r="AW33" i="3"/>
  <c r="E163" i="2" s="1"/>
  <c r="AV34" i="3"/>
  <c r="D164" i="2" s="1"/>
  <c r="AW34" i="3"/>
  <c r="E164" i="2" s="1"/>
  <c r="AV35" i="3"/>
  <c r="D165" i="2" s="1"/>
  <c r="AW35" i="3"/>
  <c r="E165" i="2" s="1"/>
  <c r="AV36" i="3"/>
  <c r="D166" i="2" s="1"/>
  <c r="AW36" i="3"/>
  <c r="E166" i="2" s="1"/>
  <c r="AW37" i="3" l="1"/>
  <c r="D163" i="2"/>
  <c r="AV37" i="3"/>
  <c r="E161" i="2"/>
  <c r="D161" i="2"/>
  <c r="D167" i="2" l="1"/>
  <c r="E167" i="2"/>
  <c r="H26" i="13" l="1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5" i="2" s="1"/>
  <c r="AU32" i="3"/>
  <c r="E155" i="2" s="1"/>
  <c r="AT33" i="3"/>
  <c r="D156" i="2" s="1"/>
  <c r="AU33" i="3"/>
  <c r="E156" i="2" s="1"/>
  <c r="AT34" i="3"/>
  <c r="D157" i="2" s="1"/>
  <c r="AU34" i="3"/>
  <c r="E157" i="2" s="1"/>
  <c r="AT35" i="3"/>
  <c r="D158" i="2" s="1"/>
  <c r="AU35" i="3"/>
  <c r="E158" i="2" s="1"/>
  <c r="AT36" i="3"/>
  <c r="D159" i="2" s="1"/>
  <c r="AU36" i="3"/>
  <c r="E159" i="2" s="1"/>
  <c r="E154" i="2" l="1"/>
  <c r="E160" i="2" s="1"/>
  <c r="AU37" i="3"/>
  <c r="D154" i="2"/>
  <c r="D160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7" i="2" s="1"/>
  <c r="AS31" i="3"/>
  <c r="E147" i="2" s="1"/>
  <c r="AR32" i="3"/>
  <c r="D148" i="2" s="1"/>
  <c r="AS32" i="3"/>
  <c r="E148" i="2" s="1"/>
  <c r="AR33" i="3"/>
  <c r="D149" i="2" s="1"/>
  <c r="AS33" i="3"/>
  <c r="E149" i="2" s="1"/>
  <c r="AR34" i="3"/>
  <c r="D150" i="2" s="1"/>
  <c r="AS34" i="3"/>
  <c r="E150" i="2" s="1"/>
  <c r="AR35" i="3"/>
  <c r="D151" i="2" s="1"/>
  <c r="AS35" i="3"/>
  <c r="E151" i="2" s="1"/>
  <c r="AR36" i="3"/>
  <c r="D152" i="2" s="1"/>
  <c r="AS36" i="3"/>
  <c r="E152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91" i="2" s="1"/>
  <c r="AC31" i="3"/>
  <c r="E91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7" i="2" s="1"/>
  <c r="Y31" i="3"/>
  <c r="E77" i="2" s="1"/>
  <c r="X32" i="3"/>
  <c r="Y32" i="3"/>
  <c r="X33" i="3"/>
  <c r="D79" i="2" s="1"/>
  <c r="Y33" i="3"/>
  <c r="E79" i="2" s="1"/>
  <c r="X34" i="3"/>
  <c r="D80" i="2" s="1"/>
  <c r="Y34" i="3"/>
  <c r="E80" i="2" s="1"/>
  <c r="X35" i="3"/>
  <c r="D81" i="2" s="1"/>
  <c r="Y35" i="3"/>
  <c r="E81" i="2" s="1"/>
  <c r="X36" i="3"/>
  <c r="D82" i="2" s="1"/>
  <c r="Y36" i="3"/>
  <c r="E82" i="2" s="1"/>
  <c r="E78" i="2" l="1"/>
  <c r="E83" i="2" s="1"/>
  <c r="Y37" i="3"/>
  <c r="D78" i="2"/>
  <c r="X37" i="3"/>
  <c r="I81" i="2"/>
  <c r="M81" i="2" s="1"/>
  <c r="G81" i="2"/>
  <c r="J81" i="2" s="1"/>
  <c r="G82" i="2"/>
  <c r="J82" i="2" s="1"/>
  <c r="I82" i="2"/>
  <c r="M82" i="2" s="1"/>
  <c r="I80" i="2"/>
  <c r="M80" i="2" s="1"/>
  <c r="G80" i="2"/>
  <c r="J80" i="2" s="1"/>
  <c r="W80" i="2" s="1"/>
  <c r="I79" i="2"/>
  <c r="G79" i="2"/>
  <c r="J79" i="2" s="1"/>
  <c r="W79" i="2" s="1"/>
  <c r="G77" i="2"/>
  <c r="I77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L82" i="2" l="1"/>
  <c r="W82" i="2"/>
  <c r="L81" i="2"/>
  <c r="W81" i="2"/>
  <c r="G78" i="2"/>
  <c r="J78" i="2" s="1"/>
  <c r="I78" i="2"/>
  <c r="K78" i="2" s="1"/>
  <c r="D83" i="2"/>
  <c r="H14" i="13" s="1"/>
  <c r="K77" i="2"/>
  <c r="M77" i="2"/>
  <c r="L79" i="2"/>
  <c r="L80" i="2"/>
  <c r="K82" i="2"/>
  <c r="M79" i="2"/>
  <c r="K79" i="2"/>
  <c r="K80" i="2"/>
  <c r="J77" i="2"/>
  <c r="W77" i="2" s="1"/>
  <c r="K81" i="2"/>
  <c r="L78" i="2" l="1"/>
  <c r="W78" i="2"/>
  <c r="G83" i="2"/>
  <c r="I83" i="2"/>
  <c r="M78" i="2"/>
  <c r="M83" i="2" s="1"/>
  <c r="J83" i="2"/>
  <c r="L77" i="2"/>
  <c r="L83" i="2" s="1"/>
  <c r="K83" i="2"/>
  <c r="H45" i="3" l="1"/>
  <c r="A12" i="2" l="1"/>
  <c r="BJ48" i="3" l="1"/>
  <c r="BJ49" i="3"/>
  <c r="BJ50" i="3"/>
  <c r="BJ51" i="3"/>
  <c r="BJ52" i="3"/>
  <c r="BJ53" i="3"/>
  <c r="BJ40" i="3"/>
  <c r="BJ41" i="3"/>
  <c r="BJ42" i="3"/>
  <c r="BJ43" i="3"/>
  <c r="BJ44" i="3"/>
  <c r="BJ45" i="3"/>
  <c r="BJ31" i="3"/>
  <c r="BK31" i="3"/>
  <c r="BJ32" i="3"/>
  <c r="BK32" i="3"/>
  <c r="BJ33" i="3"/>
  <c r="BK33" i="3"/>
  <c r="BJ34" i="3"/>
  <c r="BK34" i="3"/>
  <c r="BJ35" i="3"/>
  <c r="BK35" i="3"/>
  <c r="BJ36" i="3"/>
  <c r="BK36" i="3"/>
  <c r="BK37" i="3" l="1"/>
  <c r="BJ37" i="3"/>
  <c r="BH48" i="3"/>
  <c r="BH49" i="3"/>
  <c r="BH50" i="3"/>
  <c r="BH51" i="3"/>
  <c r="BH52" i="3"/>
  <c r="BH53" i="3"/>
  <c r="BH40" i="3"/>
  <c r="BH41" i="3"/>
  <c r="BH42" i="3"/>
  <c r="BH43" i="3"/>
  <c r="BH44" i="3"/>
  <c r="BH45" i="3"/>
  <c r="BH31" i="3"/>
  <c r="BI31" i="3"/>
  <c r="BH32" i="3"/>
  <c r="BI32" i="3"/>
  <c r="BH33" i="3"/>
  <c r="BI33" i="3"/>
  <c r="BH34" i="3"/>
  <c r="BI34" i="3"/>
  <c r="BH35" i="3"/>
  <c r="D207" i="2" s="1"/>
  <c r="BI35" i="3"/>
  <c r="BH36" i="3"/>
  <c r="D208" i="2" s="1"/>
  <c r="BI36" i="3"/>
  <c r="BD48" i="3" l="1"/>
  <c r="BD49" i="3"/>
  <c r="BD50" i="3"/>
  <c r="BD51" i="3"/>
  <c r="BD52" i="3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BE37" i="3" l="1"/>
  <c r="BD37" i="3"/>
  <c r="U14" i="4" l="1"/>
  <c r="U15" i="4"/>
  <c r="U16" i="4"/>
  <c r="U17" i="4"/>
  <c r="U18" i="4"/>
  <c r="AJ48" i="3" l="1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J23" i="4" l="1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S37" i="3" l="1"/>
  <c r="R37" i="3"/>
  <c r="G24" i="4" l="1"/>
  <c r="BC31" i="3" l="1"/>
  <c r="BB31" i="3"/>
  <c r="E182" i="2" l="1"/>
  <c r="D182" i="2"/>
  <c r="I182" i="2" l="1"/>
  <c r="M182" i="2" s="1"/>
  <c r="G182" i="2"/>
  <c r="J182" i="2" s="1"/>
  <c r="W182" i="2" l="1"/>
  <c r="K182" i="2"/>
  <c r="L182" i="2"/>
  <c r="AF10" i="4"/>
  <c r="D215" i="2" l="1"/>
  <c r="D214" i="2"/>
  <c r="D213" i="2"/>
  <c r="D212" i="2"/>
  <c r="D211" i="2"/>
  <c r="D210" i="2"/>
  <c r="E215" i="2"/>
  <c r="E214" i="2"/>
  <c r="E213" i="2"/>
  <c r="E212" i="2"/>
  <c r="E211" i="2"/>
  <c r="E210" i="2"/>
  <c r="E216" i="2" l="1"/>
  <c r="D216" i="2"/>
  <c r="I210" i="2"/>
  <c r="G210" i="2"/>
  <c r="G211" i="2"/>
  <c r="J211" i="2" s="1"/>
  <c r="I211" i="2"/>
  <c r="I212" i="2"/>
  <c r="G212" i="2"/>
  <c r="J212" i="2" s="1"/>
  <c r="I213" i="2"/>
  <c r="G213" i="2"/>
  <c r="J213" i="2" s="1"/>
  <c r="I214" i="2"/>
  <c r="G214" i="2"/>
  <c r="J214" i="2" s="1"/>
  <c r="I215" i="2"/>
  <c r="G215" i="2"/>
  <c r="J215" i="2" s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45" i="1"/>
  <c r="L212" i="2" l="1"/>
  <c r="W212" i="2"/>
  <c r="L211" i="2"/>
  <c r="W211" i="2"/>
  <c r="L213" i="2"/>
  <c r="W213" i="2"/>
  <c r="L215" i="2"/>
  <c r="W215" i="2"/>
  <c r="L214" i="2"/>
  <c r="W214" i="2"/>
  <c r="H33" i="13"/>
  <c r="J210" i="2"/>
  <c r="G216" i="2"/>
  <c r="I216" i="2"/>
  <c r="K215" i="2"/>
  <c r="M215" i="2"/>
  <c r="M214" i="2"/>
  <c r="K214" i="2"/>
  <c r="M213" i="2"/>
  <c r="K213" i="2"/>
  <c r="K212" i="2"/>
  <c r="M212" i="2"/>
  <c r="M211" i="2"/>
  <c r="K211" i="2"/>
  <c r="M210" i="2"/>
  <c r="K210" i="2"/>
  <c r="L210" i="2" l="1"/>
  <c r="L216" i="2" s="1"/>
  <c r="J216" i="2"/>
  <c r="W210" i="2"/>
  <c r="M216" i="2"/>
  <c r="K216" i="2"/>
  <c r="E194" i="2"/>
  <c r="D194" i="2"/>
  <c r="E193" i="2"/>
  <c r="D193" i="2"/>
  <c r="E192" i="2"/>
  <c r="D192" i="2"/>
  <c r="E191" i="2"/>
  <c r="D191" i="2"/>
  <c r="BF33" i="3"/>
  <c r="D198" i="2" s="1"/>
  <c r="E190" i="2"/>
  <c r="D190" i="2"/>
  <c r="E189" i="2"/>
  <c r="D189" i="2"/>
  <c r="E195" i="2" l="1"/>
  <c r="D195" i="2"/>
  <c r="I193" i="2"/>
  <c r="G193" i="2"/>
  <c r="J193" i="2" s="1"/>
  <c r="I190" i="2"/>
  <c r="G190" i="2"/>
  <c r="J190" i="2" s="1"/>
  <c r="W190" i="2" s="1"/>
  <c r="I194" i="2"/>
  <c r="G194" i="2"/>
  <c r="J194" i="2" s="1"/>
  <c r="G191" i="2"/>
  <c r="J191" i="2" s="1"/>
  <c r="I191" i="2"/>
  <c r="G192" i="2"/>
  <c r="J192" i="2" s="1"/>
  <c r="I192" i="2"/>
  <c r="I189" i="2"/>
  <c r="G189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6" i="2" s="1"/>
  <c r="BC36" i="3"/>
  <c r="E187" i="2" s="1"/>
  <c r="BB36" i="3"/>
  <c r="D187" i="2" s="1"/>
  <c r="BB35" i="3"/>
  <c r="D186" i="2" s="1"/>
  <c r="BC34" i="3"/>
  <c r="E185" i="2" s="1"/>
  <c r="BB34" i="3"/>
  <c r="D185" i="2" s="1"/>
  <c r="BC33" i="3"/>
  <c r="E184" i="2" s="1"/>
  <c r="BB33" i="3"/>
  <c r="D184" i="2" s="1"/>
  <c r="BC32" i="3"/>
  <c r="BB32" i="3"/>
  <c r="L194" i="2" l="1"/>
  <c r="W194" i="2"/>
  <c r="L193" i="2"/>
  <c r="W193" i="2"/>
  <c r="L192" i="2"/>
  <c r="W192" i="2"/>
  <c r="L191" i="2"/>
  <c r="W191" i="2"/>
  <c r="H30" i="13"/>
  <c r="L190" i="2"/>
  <c r="BB37" i="3"/>
  <c r="BC37" i="3"/>
  <c r="I184" i="2"/>
  <c r="M184" i="2" s="1"/>
  <c r="D183" i="2"/>
  <c r="D188" i="2" s="1"/>
  <c r="E183" i="2"/>
  <c r="E188" i="2" s="1"/>
  <c r="G185" i="2"/>
  <c r="J185" i="2" s="1"/>
  <c r="W185" i="2" s="1"/>
  <c r="I185" i="2"/>
  <c r="G184" i="2"/>
  <c r="J184" i="2" s="1"/>
  <c r="W184" i="2" s="1"/>
  <c r="I186" i="2"/>
  <c r="G186" i="2"/>
  <c r="J186" i="2" s="1"/>
  <c r="W186" i="2" s="1"/>
  <c r="I187" i="2"/>
  <c r="G187" i="2"/>
  <c r="J187" i="2" s="1"/>
  <c r="W187" i="2" s="1"/>
  <c r="I195" i="2"/>
  <c r="J189" i="2"/>
  <c r="G195" i="2"/>
  <c r="K189" i="2"/>
  <c r="M189" i="2"/>
  <c r="K192" i="2"/>
  <c r="M192" i="2"/>
  <c r="K191" i="2"/>
  <c r="M191" i="2"/>
  <c r="M194" i="2"/>
  <c r="K194" i="2"/>
  <c r="M190" i="2"/>
  <c r="K190" i="2"/>
  <c r="M193" i="2"/>
  <c r="K193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80" i="2" s="1"/>
  <c r="AZ36" i="3"/>
  <c r="D180" i="2" s="1"/>
  <c r="BA35" i="3"/>
  <c r="E179" i="2" s="1"/>
  <c r="AZ35" i="3"/>
  <c r="D179" i="2" s="1"/>
  <c r="BA34" i="3"/>
  <c r="E178" i="2" s="1"/>
  <c r="AZ34" i="3"/>
  <c r="D178" i="2" s="1"/>
  <c r="BA33" i="3"/>
  <c r="E177" i="2" s="1"/>
  <c r="AZ33" i="3"/>
  <c r="D177" i="2" s="1"/>
  <c r="BA32" i="3"/>
  <c r="E176" i="2" s="1"/>
  <c r="AZ32" i="3"/>
  <c r="D176" i="2" s="1"/>
  <c r="BA31" i="3"/>
  <c r="AZ31" i="3"/>
  <c r="W189" i="2" l="1"/>
  <c r="J195" i="2"/>
  <c r="H29" i="13"/>
  <c r="AZ37" i="3"/>
  <c r="BA37" i="3"/>
  <c r="K184" i="2"/>
  <c r="L184" i="2"/>
  <c r="L185" i="2"/>
  <c r="M187" i="2"/>
  <c r="K187" i="2"/>
  <c r="M186" i="2"/>
  <c r="K186" i="2"/>
  <c r="K185" i="2"/>
  <c r="M185" i="2"/>
  <c r="I183" i="2"/>
  <c r="I188" i="2" s="1"/>
  <c r="G183" i="2"/>
  <c r="G188" i="2" s="1"/>
  <c r="L186" i="2"/>
  <c r="L187" i="2"/>
  <c r="D175" i="2"/>
  <c r="E175" i="2"/>
  <c r="K195" i="2"/>
  <c r="M195" i="2"/>
  <c r="L189" i="2"/>
  <c r="L195" i="2" s="1"/>
  <c r="G176" i="2"/>
  <c r="J176" i="2" s="1"/>
  <c r="I176" i="2"/>
  <c r="I178" i="2"/>
  <c r="G178" i="2"/>
  <c r="J178" i="2" s="1"/>
  <c r="I177" i="2"/>
  <c r="G177" i="2"/>
  <c r="J177" i="2" s="1"/>
  <c r="I179" i="2"/>
  <c r="G179" i="2"/>
  <c r="J179" i="2" s="1"/>
  <c r="I180" i="2"/>
  <c r="G180" i="2"/>
  <c r="J180" i="2" s="1"/>
  <c r="L179" i="2" l="1"/>
  <c r="W179" i="2"/>
  <c r="L177" i="2"/>
  <c r="W177" i="2"/>
  <c r="L178" i="2"/>
  <c r="W178" i="2"/>
  <c r="L176" i="2"/>
  <c r="W176" i="2"/>
  <c r="L180" i="2"/>
  <c r="W180" i="2"/>
  <c r="D181" i="2"/>
  <c r="E181" i="2"/>
  <c r="G175" i="2"/>
  <c r="G181" i="2" s="1"/>
  <c r="I175" i="2"/>
  <c r="M175" i="2" s="1"/>
  <c r="M183" i="2"/>
  <c r="M188" i="2" s="1"/>
  <c r="K183" i="2"/>
  <c r="K188" i="2" s="1"/>
  <c r="J183" i="2"/>
  <c r="D174" i="2"/>
  <c r="AX37" i="3"/>
  <c r="E174" i="2"/>
  <c r="AY37" i="3"/>
  <c r="M178" i="2"/>
  <c r="K178" i="2"/>
  <c r="M176" i="2"/>
  <c r="K176" i="2"/>
  <c r="K179" i="2"/>
  <c r="M179" i="2"/>
  <c r="K180" i="2"/>
  <c r="M180" i="2"/>
  <c r="K177" i="2"/>
  <c r="M177" i="2"/>
  <c r="G170" i="2"/>
  <c r="J170" i="2" s="1"/>
  <c r="I170" i="2"/>
  <c r="I171" i="2"/>
  <c r="G171" i="2"/>
  <c r="J171" i="2" s="1"/>
  <c r="I169" i="2"/>
  <c r="G169" i="2"/>
  <c r="J169" i="2" s="1"/>
  <c r="I172" i="2"/>
  <c r="G172" i="2"/>
  <c r="J172" i="2" s="1"/>
  <c r="I173" i="2"/>
  <c r="G173" i="2"/>
  <c r="J173" i="2" s="1"/>
  <c r="U10" i="4"/>
  <c r="U9" i="4"/>
  <c r="L169" i="2" l="1"/>
  <c r="W169" i="2"/>
  <c r="L171" i="2"/>
  <c r="W171" i="2"/>
  <c r="L170" i="2"/>
  <c r="W170" i="2"/>
  <c r="L172" i="2"/>
  <c r="W172" i="2"/>
  <c r="L173" i="2"/>
  <c r="W173" i="2"/>
  <c r="W183" i="2"/>
  <c r="J188" i="2"/>
  <c r="H27" i="13"/>
  <c r="H28" i="13"/>
  <c r="W188" i="2"/>
  <c r="J175" i="2"/>
  <c r="W175" i="2" s="1"/>
  <c r="M181" i="2"/>
  <c r="K175" i="2"/>
  <c r="K181" i="2" s="1"/>
  <c r="I181" i="2"/>
  <c r="L183" i="2"/>
  <c r="L188" i="2" s="1"/>
  <c r="I168" i="2"/>
  <c r="M168" i="2" s="1"/>
  <c r="G168" i="2"/>
  <c r="J168" i="2" s="1"/>
  <c r="W168" i="2" s="1"/>
  <c r="M169" i="2"/>
  <c r="K169" i="2"/>
  <c r="K173" i="2"/>
  <c r="M173" i="2"/>
  <c r="M171" i="2"/>
  <c r="K171" i="2"/>
  <c r="K172" i="2"/>
  <c r="M172" i="2"/>
  <c r="K170" i="2"/>
  <c r="M170" i="2"/>
  <c r="T10" i="4"/>
  <c r="T9" i="4"/>
  <c r="J181" i="2" l="1"/>
  <c r="L175" i="2"/>
  <c r="L181" i="2" s="1"/>
  <c r="I174" i="2"/>
  <c r="K168" i="2"/>
  <c r="K174" i="2" s="1"/>
  <c r="J174" i="2"/>
  <c r="G174" i="2"/>
  <c r="L168" i="2"/>
  <c r="L174" i="2" s="1"/>
  <c r="M174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AF37" i="3" l="1"/>
  <c r="AG37" i="3"/>
  <c r="E105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3" i="2" s="1"/>
  <c r="AD36" i="3"/>
  <c r="D103" i="2" s="1"/>
  <c r="AE35" i="3"/>
  <c r="E102" i="2" s="1"/>
  <c r="AD35" i="3"/>
  <c r="D102" i="2" s="1"/>
  <c r="AE34" i="3"/>
  <c r="E101" i="2" s="1"/>
  <c r="AD34" i="3"/>
  <c r="D101" i="2" s="1"/>
  <c r="AE33" i="3"/>
  <c r="E100" i="2" s="1"/>
  <c r="AD33" i="3"/>
  <c r="D100" i="2" s="1"/>
  <c r="AE32" i="3"/>
  <c r="E99" i="2" s="1"/>
  <c r="AD32" i="3"/>
  <c r="D99" i="2" s="1"/>
  <c r="AE31" i="3"/>
  <c r="E98" i="2" s="1"/>
  <c r="AD31" i="3"/>
  <c r="D98" i="2" s="1"/>
  <c r="I99" i="2" l="1"/>
  <c r="G99" i="2"/>
  <c r="J99" i="2" s="1"/>
  <c r="W99" i="2" s="1"/>
  <c r="I98" i="2"/>
  <c r="G98" i="2"/>
  <c r="J98" i="2" s="1"/>
  <c r="G100" i="2"/>
  <c r="J100" i="2" s="1"/>
  <c r="W100" i="2" s="1"/>
  <c r="I100" i="2"/>
  <c r="I101" i="2"/>
  <c r="G101" i="2"/>
  <c r="J101" i="2" s="1"/>
  <c r="W101" i="2" s="1"/>
  <c r="G102" i="2"/>
  <c r="J102" i="2" s="1"/>
  <c r="W102" i="2" s="1"/>
  <c r="I102" i="2"/>
  <c r="I103" i="2"/>
  <c r="G103" i="2"/>
  <c r="J103" i="2" s="1"/>
  <c r="W103" i="2" s="1"/>
  <c r="J104" i="2" l="1"/>
  <c r="W98" i="2"/>
  <c r="L103" i="2"/>
  <c r="L101" i="2"/>
  <c r="L98" i="2"/>
  <c r="L99" i="2"/>
  <c r="L102" i="2"/>
  <c r="L100" i="2"/>
  <c r="M99" i="2"/>
  <c r="K99" i="2"/>
  <c r="M102" i="2"/>
  <c r="K102" i="2"/>
  <c r="M100" i="2"/>
  <c r="K100" i="2"/>
  <c r="K98" i="2"/>
  <c r="M98" i="2"/>
  <c r="M103" i="2"/>
  <c r="K103" i="2"/>
  <c r="M101" i="2"/>
  <c r="K101" i="2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C79" i="1" l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V45" i="1" l="1"/>
  <c r="AF25" i="4" l="1"/>
  <c r="F229" i="2" l="1"/>
  <c r="F230" i="2"/>
  <c r="C234" i="2" l="1"/>
  <c r="B234" i="2"/>
  <c r="AF23" i="4" l="1"/>
  <c r="AE25" i="4" l="1"/>
  <c r="AE23" i="4"/>
  <c r="Z23" i="4"/>
  <c r="Z25" i="4"/>
  <c r="Z24" i="4"/>
  <c r="AD81" i="1" l="1"/>
  <c r="N209" i="2" s="1"/>
  <c r="B32" i="13" s="1"/>
  <c r="AE81" i="1"/>
  <c r="N216" i="2" s="1"/>
  <c r="B33" i="13" l="1"/>
  <c r="G32" i="13"/>
  <c r="AF18" i="4"/>
  <c r="AE18" i="4"/>
  <c r="AF17" i="4"/>
  <c r="AE17" i="4"/>
  <c r="AF16" i="4"/>
  <c r="AE16" i="4"/>
  <c r="AF15" i="4"/>
  <c r="AE15" i="4"/>
  <c r="AF14" i="4"/>
  <c r="AF33" i="4" s="1"/>
  <c r="AE14" i="4"/>
  <c r="AE10" i="4"/>
  <c r="AF9" i="4"/>
  <c r="AF8" i="4"/>
  <c r="AF7" i="4"/>
  <c r="AE7" i="4"/>
  <c r="AF6" i="4"/>
  <c r="AE6" i="4"/>
  <c r="AF5" i="4"/>
  <c r="AF34" i="4" s="1"/>
  <c r="AE5" i="4"/>
  <c r="E208" i="2"/>
  <c r="E207" i="2"/>
  <c r="E206" i="2"/>
  <c r="D206" i="2"/>
  <c r="E205" i="2"/>
  <c r="D205" i="2"/>
  <c r="E204" i="2"/>
  <c r="D204" i="2"/>
  <c r="E203" i="2"/>
  <c r="D203" i="2"/>
  <c r="AE33" i="4" l="1"/>
  <c r="AF32" i="4"/>
  <c r="AF37" i="4" s="1"/>
  <c r="AF31" i="4"/>
  <c r="I204" i="2"/>
  <c r="G204" i="2"/>
  <c r="J204" i="2" s="1"/>
  <c r="I205" i="2"/>
  <c r="G205" i="2"/>
  <c r="J205" i="2" s="1"/>
  <c r="I203" i="2"/>
  <c r="G203" i="2"/>
  <c r="J203" i="2" s="1"/>
  <c r="G206" i="2"/>
  <c r="J206" i="2" s="1"/>
  <c r="I206" i="2"/>
  <c r="I207" i="2"/>
  <c r="G207" i="2"/>
  <c r="J207" i="2" s="1"/>
  <c r="I208" i="2"/>
  <c r="G208" i="2"/>
  <c r="J208" i="2" s="1"/>
  <c r="BH37" i="3"/>
  <c r="E209" i="2"/>
  <c r="BI37" i="3"/>
  <c r="G33" i="13"/>
  <c r="AE8" i="4"/>
  <c r="AE9" i="4"/>
  <c r="AE32" i="4"/>
  <c r="L208" i="2" l="1"/>
  <c r="W208" i="2"/>
  <c r="L205" i="2"/>
  <c r="W205" i="2"/>
  <c r="L207" i="2"/>
  <c r="W207" i="2"/>
  <c r="L204" i="2"/>
  <c r="W204" i="2"/>
  <c r="L206" i="2"/>
  <c r="W206" i="2"/>
  <c r="W203" i="2"/>
  <c r="J209" i="2"/>
  <c r="L203" i="2"/>
  <c r="M207" i="2"/>
  <c r="K207" i="2"/>
  <c r="K208" i="2"/>
  <c r="M208" i="2"/>
  <c r="M203" i="2"/>
  <c r="K203" i="2"/>
  <c r="M205" i="2"/>
  <c r="K205" i="2"/>
  <c r="M206" i="2"/>
  <c r="K206" i="2"/>
  <c r="K204" i="2"/>
  <c r="M204" i="2"/>
  <c r="AE34" i="4"/>
  <c r="AE37" i="4"/>
  <c r="D209" i="2"/>
  <c r="H32" i="13" s="1"/>
  <c r="AE31" i="4"/>
  <c r="L76" i="1" l="1"/>
  <c r="L77" i="1"/>
  <c r="L78" i="1"/>
  <c r="L79" i="1"/>
  <c r="K76" i="1" l="1"/>
  <c r="K77" i="1"/>
  <c r="K78" i="1"/>
  <c r="K79" i="1"/>
  <c r="E46" i="1" l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G4" i="13" l="1"/>
  <c r="D25" i="4"/>
  <c r="AF35" i="4" l="1"/>
  <c r="AF38" i="4"/>
  <c r="AF36" i="4"/>
  <c r="B11" i="11"/>
  <c r="I33" i="13" l="1"/>
  <c r="D24" i="4" l="1"/>
  <c r="D23" i="4" l="1"/>
  <c r="Q61" i="1" l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E45" i="1" l="1"/>
  <c r="AD25" i="4" l="1"/>
  <c r="AC25" i="4"/>
  <c r="AB25" i="4"/>
  <c r="AA25" i="4"/>
  <c r="Y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G25" i="4"/>
  <c r="F25" i="4"/>
  <c r="E25" i="4"/>
  <c r="I25" i="4"/>
  <c r="H25" i="4"/>
  <c r="AE35" i="4" l="1"/>
  <c r="AE38" i="4"/>
  <c r="AE36" i="4"/>
  <c r="T45" i="1"/>
  <c r="W45" i="1"/>
  <c r="X45" i="1"/>
  <c r="Y45" i="1"/>
  <c r="Z45" i="1"/>
  <c r="AA45" i="1"/>
  <c r="T46" i="1"/>
  <c r="V46" i="1"/>
  <c r="W46" i="1"/>
  <c r="X46" i="1"/>
  <c r="Y46" i="1"/>
  <c r="Z46" i="1"/>
  <c r="AA46" i="1"/>
  <c r="T47" i="1"/>
  <c r="V47" i="1"/>
  <c r="W47" i="1"/>
  <c r="X47" i="1"/>
  <c r="Y47" i="1"/>
  <c r="Z47" i="1"/>
  <c r="AA47" i="1"/>
  <c r="T48" i="1"/>
  <c r="V48" i="1"/>
  <c r="W48" i="1"/>
  <c r="X48" i="1"/>
  <c r="Y48" i="1"/>
  <c r="Z48" i="1"/>
  <c r="AA48" i="1"/>
  <c r="T49" i="1"/>
  <c r="V49" i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I32" i="13" l="1"/>
  <c r="AD23" i="4"/>
  <c r="G11" i="13" l="1"/>
  <c r="G12" i="13" l="1"/>
  <c r="C45" i="1" l="1"/>
  <c r="D45" i="1"/>
  <c r="F45" i="1"/>
  <c r="G45" i="1"/>
  <c r="H45" i="1"/>
  <c r="I45" i="1"/>
  <c r="J45" i="1"/>
  <c r="K45" i="1"/>
  <c r="L45" i="1"/>
  <c r="M45" i="1"/>
  <c r="N45" i="1"/>
  <c r="Q45" i="1"/>
  <c r="C46" i="1"/>
  <c r="D46" i="1"/>
  <c r="F46" i="1"/>
  <c r="G46" i="1"/>
  <c r="H46" i="1"/>
  <c r="I46" i="1"/>
  <c r="J46" i="1"/>
  <c r="K46" i="1"/>
  <c r="L46" i="1"/>
  <c r="M46" i="1"/>
  <c r="N46" i="1"/>
  <c r="Q46" i="1"/>
  <c r="C47" i="1"/>
  <c r="D47" i="1"/>
  <c r="F47" i="1"/>
  <c r="G47" i="1"/>
  <c r="H47" i="1"/>
  <c r="I47" i="1"/>
  <c r="J47" i="1"/>
  <c r="K47" i="1"/>
  <c r="L47" i="1"/>
  <c r="M47" i="1"/>
  <c r="N47" i="1"/>
  <c r="Q47" i="1"/>
  <c r="C48" i="1"/>
  <c r="D48" i="1"/>
  <c r="F48" i="1"/>
  <c r="G48" i="1"/>
  <c r="H48" i="1"/>
  <c r="I48" i="1"/>
  <c r="J48" i="1"/>
  <c r="K48" i="1"/>
  <c r="L48" i="1"/>
  <c r="M48" i="1"/>
  <c r="N48" i="1"/>
  <c r="Q48" i="1"/>
  <c r="C49" i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C62" i="1"/>
  <c r="D62" i="1"/>
  <c r="F62" i="1"/>
  <c r="G62" i="1"/>
  <c r="H62" i="1"/>
  <c r="I62" i="1"/>
  <c r="J62" i="1"/>
  <c r="K62" i="1"/>
  <c r="L62" i="1"/>
  <c r="M62" i="1"/>
  <c r="N62" i="1"/>
  <c r="C63" i="1"/>
  <c r="D63" i="1"/>
  <c r="F63" i="1"/>
  <c r="G63" i="1"/>
  <c r="H63" i="1"/>
  <c r="I63" i="1"/>
  <c r="J63" i="1"/>
  <c r="K63" i="1"/>
  <c r="L63" i="1"/>
  <c r="M63" i="1"/>
  <c r="N63" i="1"/>
  <c r="C64" i="1"/>
  <c r="D64" i="1"/>
  <c r="F64" i="1"/>
  <c r="G64" i="1"/>
  <c r="H64" i="1"/>
  <c r="I64" i="1"/>
  <c r="J64" i="1"/>
  <c r="K64" i="1"/>
  <c r="L64" i="1"/>
  <c r="M64" i="1"/>
  <c r="N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M76" i="1"/>
  <c r="N76" i="1"/>
  <c r="C77" i="1"/>
  <c r="D77" i="1"/>
  <c r="F77" i="1"/>
  <c r="G77" i="1"/>
  <c r="H77" i="1"/>
  <c r="I77" i="1"/>
  <c r="J77" i="1"/>
  <c r="M77" i="1"/>
  <c r="N77" i="1"/>
  <c r="C78" i="1"/>
  <c r="D78" i="1"/>
  <c r="F78" i="1"/>
  <c r="G78" i="1"/>
  <c r="H78" i="1"/>
  <c r="I78" i="1"/>
  <c r="J78" i="1"/>
  <c r="M78" i="1"/>
  <c r="N78" i="1"/>
  <c r="C79" i="1"/>
  <c r="D79" i="1"/>
  <c r="F79" i="1"/>
  <c r="G79" i="1"/>
  <c r="H79" i="1"/>
  <c r="I79" i="1"/>
  <c r="J79" i="1"/>
  <c r="M79" i="1"/>
  <c r="N79" i="1"/>
  <c r="AC23" i="4" l="1"/>
  <c r="AB24" i="4" l="1"/>
  <c r="AB23" i="4"/>
  <c r="AA24" i="4" l="1"/>
  <c r="AA23" i="4"/>
  <c r="Y24" i="4" l="1"/>
  <c r="X24" i="4"/>
  <c r="W24" i="4"/>
  <c r="X23" i="4"/>
  <c r="W23" i="4"/>
  <c r="V24" i="4" l="1"/>
  <c r="V23" i="4"/>
  <c r="U24" i="4"/>
  <c r="T24" i="4"/>
  <c r="U23" i="4"/>
  <c r="T23" i="4"/>
  <c r="U33" i="4" l="1"/>
  <c r="S23" i="4"/>
  <c r="S24" i="4"/>
  <c r="R24" i="4"/>
  <c r="R23" i="4"/>
  <c r="Q24" i="4" l="1"/>
  <c r="Q23" i="4"/>
  <c r="P24" i="4" l="1"/>
  <c r="P23" i="4"/>
  <c r="O24" i="4" l="1"/>
  <c r="O23" i="4"/>
  <c r="O33" i="4" l="1"/>
  <c r="N24" i="4"/>
  <c r="N23" i="4"/>
  <c r="M23" i="4" l="1"/>
  <c r="L23" i="4"/>
  <c r="M24" i="4"/>
  <c r="L24" i="4"/>
  <c r="K24" i="4"/>
  <c r="K23" i="4"/>
  <c r="J24" i="4"/>
  <c r="I24" i="4" l="1"/>
  <c r="I23" i="4"/>
  <c r="I33" i="4" l="1"/>
  <c r="H24" i="4"/>
  <c r="H23" i="4"/>
  <c r="G23" i="4"/>
  <c r="F24" i="4"/>
  <c r="F23" i="4"/>
  <c r="E24" i="4"/>
  <c r="C24" i="4"/>
  <c r="C23" i="4"/>
  <c r="C81" i="1" l="1"/>
  <c r="N18" i="2" s="1"/>
  <c r="Q81" i="1"/>
  <c r="N118" i="2" s="1"/>
  <c r="B19" i="13" s="1"/>
  <c r="AC81" i="1"/>
  <c r="N202" i="2" s="1"/>
  <c r="B31" i="13" s="1"/>
  <c r="O81" i="1"/>
  <c r="N104" i="2" s="1"/>
  <c r="K81" i="1"/>
  <c r="G81" i="1"/>
  <c r="F81" i="1"/>
  <c r="N39" i="2" s="1"/>
  <c r="N81" i="1"/>
  <c r="N97" i="2" s="1"/>
  <c r="B16" i="13" s="1"/>
  <c r="J81" i="1"/>
  <c r="N69" i="2" s="1"/>
  <c r="M81" i="1"/>
  <c r="N90" i="2" s="1"/>
  <c r="I81" i="1"/>
  <c r="N62" i="2" s="1"/>
  <c r="B11" i="13" s="1"/>
  <c r="E81" i="1"/>
  <c r="N32" i="2" s="1"/>
  <c r="P81" i="1"/>
  <c r="N111" i="2" s="1"/>
  <c r="L81" i="1"/>
  <c r="N83" i="2" s="1"/>
  <c r="H81" i="1"/>
  <c r="N55" i="2" s="1"/>
  <c r="D81" i="1"/>
  <c r="N25" i="2" s="1"/>
  <c r="AB81" i="1"/>
  <c r="N195" i="2" s="1"/>
  <c r="AA81" i="1"/>
  <c r="N188" i="2" s="1"/>
  <c r="Z81" i="1"/>
  <c r="N181" i="2" s="1"/>
  <c r="Y81" i="1"/>
  <c r="N174" i="2" s="1"/>
  <c r="X81" i="1"/>
  <c r="N167" i="2" s="1"/>
  <c r="W81" i="1"/>
  <c r="N160" i="2" s="1"/>
  <c r="R81" i="1"/>
  <c r="N125" i="2" s="1"/>
  <c r="B20" i="13" s="1"/>
  <c r="V81" i="1"/>
  <c r="N153" i="2" s="1"/>
  <c r="U81" i="1"/>
  <c r="T81" i="1"/>
  <c r="N139" i="2" s="1"/>
  <c r="S81" i="1"/>
  <c r="N132" i="2" s="1"/>
  <c r="O188" i="2" l="1"/>
  <c r="N76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9" i="2" l="1"/>
  <c r="B4" i="13" l="1"/>
  <c r="D60" i="2" l="1"/>
  <c r="T31" i="3" l="1"/>
  <c r="D63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9" i="2"/>
  <c r="D72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200" i="2" s="1"/>
  <c r="BF35" i="3"/>
  <c r="D200" i="2" s="1"/>
  <c r="E144" i="2"/>
  <c r="D144" i="2"/>
  <c r="E137" i="2"/>
  <c r="D137" i="2"/>
  <c r="E130" i="2"/>
  <c r="D130" i="2"/>
  <c r="E123" i="2"/>
  <c r="D123" i="2"/>
  <c r="AI35" i="3"/>
  <c r="E116" i="2" s="1"/>
  <c r="AH35" i="3"/>
  <c r="D116" i="2" s="1"/>
  <c r="E109" i="2"/>
  <c r="D109" i="2"/>
  <c r="E95" i="2"/>
  <c r="D95" i="2"/>
  <c r="E88" i="2"/>
  <c r="D88" i="2"/>
  <c r="E74" i="2"/>
  <c r="D74" i="2"/>
  <c r="U35" i="3"/>
  <c r="E67" i="2" s="1"/>
  <c r="T35" i="3"/>
  <c r="D67" i="2" s="1"/>
  <c r="E60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4" i="2"/>
  <c r="E134" i="2"/>
  <c r="D135" i="2"/>
  <c r="E135" i="2"/>
  <c r="D136" i="2"/>
  <c r="E136" i="2"/>
  <c r="D138" i="2"/>
  <c r="E138" i="2"/>
  <c r="L31" i="3"/>
  <c r="L32" i="3"/>
  <c r="D34" i="2" s="1"/>
  <c r="L33" i="3"/>
  <c r="D35" i="2" s="1"/>
  <c r="L34" i="3"/>
  <c r="D36" i="2" s="1"/>
  <c r="L36" i="3"/>
  <c r="D38" i="2" s="1"/>
  <c r="L40" i="3"/>
  <c r="BG32" i="3"/>
  <c r="E197" i="2" s="1"/>
  <c r="BF32" i="3"/>
  <c r="D197" i="2" s="1"/>
  <c r="A19" i="2"/>
  <c r="A26" i="2" s="1"/>
  <c r="A33" i="2" s="1"/>
  <c r="A40" i="2" s="1"/>
  <c r="O10" i="4"/>
  <c r="O8" i="4"/>
  <c r="O7" i="4"/>
  <c r="O6" i="4"/>
  <c r="N18" i="4"/>
  <c r="N17" i="4"/>
  <c r="N16" i="4"/>
  <c r="N15" i="4"/>
  <c r="N14" i="4"/>
  <c r="N10" i="4"/>
  <c r="N8" i="4"/>
  <c r="N7" i="4"/>
  <c r="N6" i="4"/>
  <c r="N5" i="4"/>
  <c r="T48" i="3"/>
  <c r="K14" i="4" s="1"/>
  <c r="O18" i="4"/>
  <c r="O17" i="4"/>
  <c r="O16" i="4"/>
  <c r="O15" i="4"/>
  <c r="O14" i="4"/>
  <c r="E96" i="2"/>
  <c r="D96" i="2"/>
  <c r="E94" i="2"/>
  <c r="D94" i="2"/>
  <c r="E93" i="2"/>
  <c r="D93" i="2"/>
  <c r="E92" i="2"/>
  <c r="D92" i="2"/>
  <c r="E89" i="2"/>
  <c r="D89" i="2"/>
  <c r="E87" i="2"/>
  <c r="D87" i="2"/>
  <c r="E86" i="2"/>
  <c r="D86" i="2"/>
  <c r="E85" i="2"/>
  <c r="D85" i="2"/>
  <c r="O5" i="4"/>
  <c r="AC18" i="4"/>
  <c r="AC17" i="4"/>
  <c r="AC16" i="4"/>
  <c r="AC15" i="4"/>
  <c r="AC14" i="4"/>
  <c r="AC10" i="4"/>
  <c r="AC8" i="4"/>
  <c r="AC7" i="4"/>
  <c r="AC6" i="4"/>
  <c r="AC5" i="4"/>
  <c r="AB18" i="4"/>
  <c r="AB17" i="4"/>
  <c r="AB16" i="4"/>
  <c r="AB15" i="4"/>
  <c r="AB14" i="4"/>
  <c r="AB8" i="4"/>
  <c r="AB7" i="4"/>
  <c r="AB6" i="4"/>
  <c r="AB5" i="4"/>
  <c r="D140" i="2"/>
  <c r="BF53" i="3"/>
  <c r="AA18" i="4"/>
  <c r="Z18" i="4"/>
  <c r="Y18" i="4"/>
  <c r="X18" i="4"/>
  <c r="W18" i="4"/>
  <c r="V18" i="4"/>
  <c r="T18" i="4"/>
  <c r="S18" i="4"/>
  <c r="AH53" i="3"/>
  <c r="R18" i="4" s="1"/>
  <c r="Q18" i="4"/>
  <c r="P18" i="4"/>
  <c r="M18" i="4"/>
  <c r="L18" i="4"/>
  <c r="T53" i="3"/>
  <c r="K18" i="4" s="1"/>
  <c r="J18" i="4"/>
  <c r="I18" i="4"/>
  <c r="H18" i="4"/>
  <c r="L53" i="3"/>
  <c r="G18" i="4" s="1"/>
  <c r="J53" i="3"/>
  <c r="F18" i="4" s="1"/>
  <c r="H53" i="3"/>
  <c r="E18" i="4" s="1"/>
  <c r="F53" i="3"/>
  <c r="D18" i="4" s="1"/>
  <c r="D53" i="3"/>
  <c r="C18" i="4" s="1"/>
  <c r="BF51" i="3"/>
  <c r="AA17" i="4"/>
  <c r="Z17" i="4"/>
  <c r="Y17" i="4"/>
  <c r="X17" i="4"/>
  <c r="W17" i="4"/>
  <c r="V17" i="4"/>
  <c r="T17" i="4"/>
  <c r="S17" i="4"/>
  <c r="AH51" i="3"/>
  <c r="R17" i="4" s="1"/>
  <c r="Q17" i="4"/>
  <c r="P17" i="4"/>
  <c r="M17" i="4"/>
  <c r="L17" i="4"/>
  <c r="T51" i="3"/>
  <c r="K17" i="4" s="1"/>
  <c r="J17" i="4"/>
  <c r="I17" i="4"/>
  <c r="H17" i="4"/>
  <c r="L51" i="3"/>
  <c r="G17" i="4" s="1"/>
  <c r="J51" i="3"/>
  <c r="F17" i="4" s="1"/>
  <c r="H51" i="3"/>
  <c r="E17" i="4" s="1"/>
  <c r="F51" i="3"/>
  <c r="D51" i="3"/>
  <c r="C17" i="4" s="1"/>
  <c r="BF50" i="3"/>
  <c r="AA16" i="4"/>
  <c r="Z16" i="4"/>
  <c r="Y16" i="4"/>
  <c r="X16" i="4"/>
  <c r="W16" i="4"/>
  <c r="V16" i="4"/>
  <c r="T16" i="4"/>
  <c r="S16" i="4"/>
  <c r="AH50" i="3"/>
  <c r="R16" i="4" s="1"/>
  <c r="Q16" i="4"/>
  <c r="P16" i="4"/>
  <c r="M16" i="4"/>
  <c r="L16" i="4"/>
  <c r="T50" i="3"/>
  <c r="K16" i="4" s="1"/>
  <c r="J16" i="4"/>
  <c r="I16" i="4"/>
  <c r="H16" i="4"/>
  <c r="L50" i="3"/>
  <c r="G16" i="4" s="1"/>
  <c r="J50" i="3"/>
  <c r="F16" i="4" s="1"/>
  <c r="H50" i="3"/>
  <c r="E16" i="4" s="1"/>
  <c r="F50" i="3"/>
  <c r="D50" i="3"/>
  <c r="C16" i="4" s="1"/>
  <c r="BF49" i="3"/>
  <c r="AD15" i="4" s="1"/>
  <c r="AA15" i="4"/>
  <c r="Z15" i="4"/>
  <c r="Y15" i="4"/>
  <c r="X15" i="4"/>
  <c r="W15" i="4"/>
  <c r="V15" i="4"/>
  <c r="T15" i="4"/>
  <c r="S15" i="4"/>
  <c r="AH49" i="3"/>
  <c r="R15" i="4" s="1"/>
  <c r="Q15" i="4"/>
  <c r="P15" i="4"/>
  <c r="M15" i="4"/>
  <c r="L15" i="4"/>
  <c r="T49" i="3"/>
  <c r="K15" i="4" s="1"/>
  <c r="J15" i="4"/>
  <c r="I15" i="4"/>
  <c r="H15" i="4"/>
  <c r="L49" i="3"/>
  <c r="G15" i="4" s="1"/>
  <c r="J49" i="3"/>
  <c r="F15" i="4" s="1"/>
  <c r="H49" i="3"/>
  <c r="E15" i="4" s="1"/>
  <c r="F49" i="3"/>
  <c r="D15" i="4" s="1"/>
  <c r="D49" i="3"/>
  <c r="C15" i="4" s="1"/>
  <c r="BF48" i="3"/>
  <c r="AA14" i="4"/>
  <c r="Z14" i="4"/>
  <c r="Y14" i="4"/>
  <c r="X14" i="4"/>
  <c r="W14" i="4"/>
  <c r="V14" i="4"/>
  <c r="T14" i="4"/>
  <c r="S14" i="4"/>
  <c r="AH48" i="3"/>
  <c r="R14" i="4" s="1"/>
  <c r="Q14" i="4"/>
  <c r="P14" i="4"/>
  <c r="M14" i="4"/>
  <c r="L14" i="4"/>
  <c r="J14" i="4"/>
  <c r="J33" i="4" s="1"/>
  <c r="L48" i="3"/>
  <c r="J48" i="3"/>
  <c r="F14" i="4" s="1"/>
  <c r="H48" i="3"/>
  <c r="E14" i="4" s="1"/>
  <c r="F48" i="3"/>
  <c r="D14" i="4" s="1"/>
  <c r="D48" i="3"/>
  <c r="C14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201" i="2" s="1"/>
  <c r="BF36" i="3"/>
  <c r="D201" i="2" s="1"/>
  <c r="E145" i="2"/>
  <c r="D145" i="2"/>
  <c r="E131" i="2"/>
  <c r="D131" i="2"/>
  <c r="E124" i="2"/>
  <c r="D124" i="2"/>
  <c r="AI36" i="3"/>
  <c r="E117" i="2" s="1"/>
  <c r="AH36" i="3"/>
  <c r="D117" i="2" s="1"/>
  <c r="E110" i="2"/>
  <c r="D110" i="2"/>
  <c r="E75" i="2"/>
  <c r="D75" i="2"/>
  <c r="U36" i="3"/>
  <c r="E68" i="2" s="1"/>
  <c r="T36" i="3"/>
  <c r="D68" i="2" s="1"/>
  <c r="E61" i="2"/>
  <c r="D61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9" i="2" s="1"/>
  <c r="BF34" i="3"/>
  <c r="D199" i="2" s="1"/>
  <c r="E143" i="2"/>
  <c r="D143" i="2"/>
  <c r="E129" i="2"/>
  <c r="D129" i="2"/>
  <c r="E122" i="2"/>
  <c r="D122" i="2"/>
  <c r="AI34" i="3"/>
  <c r="E115" i="2" s="1"/>
  <c r="AH34" i="3"/>
  <c r="D115" i="2" s="1"/>
  <c r="E108" i="2"/>
  <c r="D108" i="2"/>
  <c r="E73" i="2"/>
  <c r="D73" i="2"/>
  <c r="U34" i="3"/>
  <c r="E66" i="2" s="1"/>
  <c r="T34" i="3"/>
  <c r="D66" i="2" s="1"/>
  <c r="E59" i="2"/>
  <c r="D59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98" i="2" s="1"/>
  <c r="E142" i="2"/>
  <c r="D142" i="2"/>
  <c r="E128" i="2"/>
  <c r="D128" i="2"/>
  <c r="E121" i="2"/>
  <c r="D121" i="2"/>
  <c r="AI33" i="3"/>
  <c r="E114" i="2" s="1"/>
  <c r="AH33" i="3"/>
  <c r="D114" i="2" s="1"/>
  <c r="E107" i="2"/>
  <c r="D107" i="2"/>
  <c r="U33" i="3"/>
  <c r="E65" i="2" s="1"/>
  <c r="T33" i="3"/>
  <c r="D65" i="2" s="1"/>
  <c r="E58" i="2"/>
  <c r="D58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41" i="2"/>
  <c r="D141" i="2"/>
  <c r="E127" i="2"/>
  <c r="D127" i="2"/>
  <c r="E120" i="2"/>
  <c r="D120" i="2"/>
  <c r="AI32" i="3"/>
  <c r="E113" i="2" s="1"/>
  <c r="AH32" i="3"/>
  <c r="D113" i="2" s="1"/>
  <c r="E106" i="2"/>
  <c r="D106" i="2"/>
  <c r="E71" i="2"/>
  <c r="D71" i="2"/>
  <c r="U32" i="3"/>
  <c r="E64" i="2" s="1"/>
  <c r="T32" i="3"/>
  <c r="D64" i="2" s="1"/>
  <c r="E57" i="2"/>
  <c r="D57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6" i="2" s="1"/>
  <c r="E140" i="2"/>
  <c r="E126" i="2"/>
  <c r="D126" i="2"/>
  <c r="E119" i="2"/>
  <c r="D119" i="2"/>
  <c r="AI31" i="3"/>
  <c r="E112" i="2" s="1"/>
  <c r="AH31" i="3"/>
  <c r="D112" i="2" s="1"/>
  <c r="E70" i="2"/>
  <c r="D70" i="2"/>
  <c r="U31" i="3"/>
  <c r="D56" i="2"/>
  <c r="M31" i="3"/>
  <c r="K31" i="3"/>
  <c r="J31" i="3"/>
  <c r="D26" i="2" s="1"/>
  <c r="I31" i="3"/>
  <c r="H31" i="3"/>
  <c r="G31" i="3"/>
  <c r="F31" i="3"/>
  <c r="E31" i="3"/>
  <c r="D31" i="3"/>
  <c r="D5" i="2" s="1"/>
  <c r="AC33" i="4" l="1"/>
  <c r="Y33" i="4"/>
  <c r="X33" i="4"/>
  <c r="AA33" i="4"/>
  <c r="T33" i="4"/>
  <c r="T35" i="4" s="1"/>
  <c r="N33" i="4"/>
  <c r="N35" i="4" s="1"/>
  <c r="M33" i="4"/>
  <c r="M35" i="4" s="1"/>
  <c r="R33" i="4"/>
  <c r="R35" i="4" s="1"/>
  <c r="Q33" i="4"/>
  <c r="Q35" i="4" s="1"/>
  <c r="S33" i="4"/>
  <c r="S35" i="4" s="1"/>
  <c r="V33" i="4"/>
  <c r="W33" i="4"/>
  <c r="P33" i="4"/>
  <c r="L33" i="4"/>
  <c r="L35" i="4" s="1"/>
  <c r="K33" i="4"/>
  <c r="K35" i="4" s="1"/>
  <c r="C33" i="4"/>
  <c r="AB33" i="4"/>
  <c r="AB35" i="4" s="1"/>
  <c r="Z33" i="4"/>
  <c r="X31" i="4"/>
  <c r="X34" i="4"/>
  <c r="X32" i="4"/>
  <c r="X35" i="4"/>
  <c r="Q32" i="4"/>
  <c r="Q37" i="4" s="1"/>
  <c r="Q31" i="4"/>
  <c r="Q34" i="4"/>
  <c r="E111" i="2"/>
  <c r="E33" i="4"/>
  <c r="E35" i="4" s="1"/>
  <c r="F33" i="4"/>
  <c r="F35" i="4" s="1"/>
  <c r="C32" i="4"/>
  <c r="C31" i="4"/>
  <c r="I231" i="2"/>
  <c r="D7" i="2"/>
  <c r="I229" i="2" s="1"/>
  <c r="D37" i="3"/>
  <c r="Y34" i="4"/>
  <c r="J230" i="2"/>
  <c r="I232" i="2"/>
  <c r="I230" i="2"/>
  <c r="I228" i="2"/>
  <c r="J228" i="2"/>
  <c r="Y31" i="4"/>
  <c r="Y32" i="4"/>
  <c r="Y37" i="4" s="1"/>
  <c r="E34" i="4"/>
  <c r="D34" i="4"/>
  <c r="J34" i="4"/>
  <c r="Z34" i="4"/>
  <c r="C34" i="4"/>
  <c r="AB34" i="4"/>
  <c r="M34" i="4"/>
  <c r="AA34" i="4"/>
  <c r="AC34" i="4"/>
  <c r="AA35" i="4"/>
  <c r="J231" i="2"/>
  <c r="J232" i="2"/>
  <c r="J32" i="4"/>
  <c r="J37" i="4" s="1"/>
  <c r="J31" i="4"/>
  <c r="D62" i="2"/>
  <c r="AA32" i="4"/>
  <c r="AA37" i="4" s="1"/>
  <c r="AA31" i="4"/>
  <c r="AB31" i="4"/>
  <c r="AB32" i="4"/>
  <c r="AB37" i="4" s="1"/>
  <c r="M32" i="4"/>
  <c r="M37" i="4" s="1"/>
  <c r="M31" i="4"/>
  <c r="I24" i="2"/>
  <c r="K24" i="2" s="1"/>
  <c r="G24" i="2"/>
  <c r="J24" i="2" s="1"/>
  <c r="W24" i="2" s="1"/>
  <c r="D12" i="2"/>
  <c r="F37" i="3"/>
  <c r="E12" i="2"/>
  <c r="E18" i="2" s="1"/>
  <c r="G37" i="3"/>
  <c r="D31" i="4"/>
  <c r="E5" i="2"/>
  <c r="E11" i="2" s="1"/>
  <c r="E37" i="3"/>
  <c r="D146" i="2"/>
  <c r="D202" i="2"/>
  <c r="BF37" i="3"/>
  <c r="E196" i="2"/>
  <c r="E202" i="2" s="1"/>
  <c r="BG37" i="3"/>
  <c r="Z31" i="4"/>
  <c r="AC31" i="4"/>
  <c r="Z32" i="4"/>
  <c r="Z37" i="4" s="1"/>
  <c r="AC32" i="4"/>
  <c r="AC37" i="4" s="1"/>
  <c r="I37" i="3"/>
  <c r="E31" i="4"/>
  <c r="D19" i="2"/>
  <c r="H37" i="3"/>
  <c r="E32" i="4"/>
  <c r="E37" i="4" s="1"/>
  <c r="L34" i="4"/>
  <c r="E63" i="2"/>
  <c r="E69" i="2" s="1"/>
  <c r="U37" i="3"/>
  <c r="E72" i="2"/>
  <c r="E76" i="2" s="1"/>
  <c r="L31" i="4"/>
  <c r="L32" i="4"/>
  <c r="L37" i="4" s="1"/>
  <c r="V37" i="3"/>
  <c r="W37" i="3"/>
  <c r="D76" i="2"/>
  <c r="U34" i="4"/>
  <c r="T34" i="4"/>
  <c r="I199" i="2"/>
  <c r="G199" i="2"/>
  <c r="J199" i="2" s="1"/>
  <c r="I198" i="2"/>
  <c r="G198" i="2"/>
  <c r="J198" i="2" s="1"/>
  <c r="I197" i="2"/>
  <c r="G197" i="2"/>
  <c r="J197" i="2" s="1"/>
  <c r="G201" i="2"/>
  <c r="J201" i="2" s="1"/>
  <c r="I201" i="2"/>
  <c r="G200" i="2"/>
  <c r="J200" i="2" s="1"/>
  <c r="I200" i="2"/>
  <c r="I166" i="2"/>
  <c r="G166" i="2"/>
  <c r="J166" i="2" s="1"/>
  <c r="G144" i="2"/>
  <c r="J144" i="2" s="1"/>
  <c r="I144" i="2"/>
  <c r="I142" i="2"/>
  <c r="G142" i="2"/>
  <c r="J142" i="2" s="1"/>
  <c r="I141" i="2"/>
  <c r="G141" i="2"/>
  <c r="J141" i="2" s="1"/>
  <c r="I151" i="2"/>
  <c r="G151" i="2"/>
  <c r="J151" i="2" s="1"/>
  <c r="G149" i="2"/>
  <c r="J149" i="2" s="1"/>
  <c r="I149" i="2"/>
  <c r="I143" i="2"/>
  <c r="G143" i="2"/>
  <c r="J143" i="2" s="1"/>
  <c r="I147" i="2"/>
  <c r="G147" i="2"/>
  <c r="J147" i="2" s="1"/>
  <c r="I148" i="2"/>
  <c r="G148" i="2"/>
  <c r="J148" i="2" s="1"/>
  <c r="I150" i="2"/>
  <c r="G150" i="2"/>
  <c r="J150" i="2" s="1"/>
  <c r="G145" i="2"/>
  <c r="J145" i="2" s="1"/>
  <c r="I145" i="2"/>
  <c r="G165" i="2"/>
  <c r="J165" i="2" s="1"/>
  <c r="I165" i="2"/>
  <c r="G162" i="2"/>
  <c r="J162" i="2" s="1"/>
  <c r="I162" i="2"/>
  <c r="G163" i="2"/>
  <c r="J163" i="2" s="1"/>
  <c r="I163" i="2"/>
  <c r="G161" i="2"/>
  <c r="I161" i="2"/>
  <c r="G152" i="2"/>
  <c r="J152" i="2" s="1"/>
  <c r="I152" i="2"/>
  <c r="I164" i="2"/>
  <c r="G164" i="2"/>
  <c r="J164" i="2" s="1"/>
  <c r="I140" i="2"/>
  <c r="G140" i="2"/>
  <c r="J140" i="2" s="1"/>
  <c r="I124" i="2"/>
  <c r="G124" i="2"/>
  <c r="J124" i="2" s="1"/>
  <c r="I122" i="2"/>
  <c r="G122" i="2"/>
  <c r="J122" i="2" s="1"/>
  <c r="G123" i="2"/>
  <c r="J123" i="2" s="1"/>
  <c r="I123" i="2"/>
  <c r="G121" i="2"/>
  <c r="J121" i="2" s="1"/>
  <c r="I121" i="2"/>
  <c r="G119" i="2"/>
  <c r="J119" i="2" s="1"/>
  <c r="W119" i="2" s="1"/>
  <c r="I119" i="2"/>
  <c r="G120" i="2"/>
  <c r="J120" i="2" s="1"/>
  <c r="W120" i="2" s="1"/>
  <c r="I120" i="2"/>
  <c r="I117" i="2"/>
  <c r="G117" i="2"/>
  <c r="J117" i="2" s="1"/>
  <c r="I116" i="2"/>
  <c r="G116" i="2"/>
  <c r="J116" i="2" s="1"/>
  <c r="G112" i="2"/>
  <c r="J112" i="2" s="1"/>
  <c r="I112" i="2"/>
  <c r="G113" i="2"/>
  <c r="J113" i="2" s="1"/>
  <c r="W113" i="2" s="1"/>
  <c r="I113" i="2"/>
  <c r="I114" i="2"/>
  <c r="G114" i="2"/>
  <c r="J114" i="2" s="1"/>
  <c r="I115" i="2"/>
  <c r="G115" i="2"/>
  <c r="J115" i="2" s="1"/>
  <c r="G95" i="2"/>
  <c r="J95" i="2" s="1"/>
  <c r="I95" i="2"/>
  <c r="I91" i="2"/>
  <c r="G91" i="2"/>
  <c r="J91" i="2" s="1"/>
  <c r="I92" i="2"/>
  <c r="G92" i="2"/>
  <c r="J92" i="2" s="1"/>
  <c r="G93" i="2"/>
  <c r="J93" i="2" s="1"/>
  <c r="I93" i="2"/>
  <c r="I94" i="2"/>
  <c r="G94" i="2"/>
  <c r="J94" i="2" s="1"/>
  <c r="I96" i="2"/>
  <c r="G96" i="2"/>
  <c r="J96" i="2" s="1"/>
  <c r="P34" i="4"/>
  <c r="O34" i="4"/>
  <c r="R34" i="4"/>
  <c r="V34" i="4"/>
  <c r="S34" i="4"/>
  <c r="W34" i="4"/>
  <c r="N34" i="4"/>
  <c r="K34" i="4"/>
  <c r="F34" i="4"/>
  <c r="N32" i="4"/>
  <c r="N37" i="4" s="1"/>
  <c r="G127" i="2"/>
  <c r="J127" i="2" s="1"/>
  <c r="W127" i="2" s="1"/>
  <c r="I127" i="2"/>
  <c r="I130" i="2"/>
  <c r="G130" i="2"/>
  <c r="J130" i="2" s="1"/>
  <c r="I128" i="2"/>
  <c r="G128" i="2"/>
  <c r="J128" i="2" s="1"/>
  <c r="I126" i="2"/>
  <c r="G126" i="2"/>
  <c r="D132" i="2"/>
  <c r="I129" i="2"/>
  <c r="G129" i="2"/>
  <c r="J129" i="2" s="1"/>
  <c r="E132" i="2"/>
  <c r="I131" i="2"/>
  <c r="G131" i="2"/>
  <c r="J131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9" i="2"/>
  <c r="E33" i="2"/>
  <c r="E39" i="2" s="1"/>
  <c r="M37" i="3"/>
  <c r="Q37" i="3"/>
  <c r="D118" i="2"/>
  <c r="AH37" i="3"/>
  <c r="T37" i="3"/>
  <c r="E84" i="2"/>
  <c r="E90" i="2" s="1"/>
  <c r="AA37" i="3"/>
  <c r="D40" i="2"/>
  <c r="N37" i="3"/>
  <c r="E118" i="2"/>
  <c r="AI37" i="3"/>
  <c r="AP37" i="3"/>
  <c r="AB37" i="3"/>
  <c r="D32" i="2"/>
  <c r="J37" i="3"/>
  <c r="E40" i="2"/>
  <c r="E46" i="2" s="1"/>
  <c r="O37" i="3"/>
  <c r="E56" i="2"/>
  <c r="D105" i="2"/>
  <c r="D111" i="2" s="1"/>
  <c r="AJ37" i="3"/>
  <c r="E146" i="2"/>
  <c r="AQ37" i="3"/>
  <c r="AC37" i="3"/>
  <c r="E133" i="2"/>
  <c r="E139" i="2" s="1"/>
  <c r="AO37" i="3"/>
  <c r="D104" i="2"/>
  <c r="AD37" i="3"/>
  <c r="AL37" i="3"/>
  <c r="E153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4" i="2"/>
  <c r="D90" i="2" s="1"/>
  <c r="Z37" i="3"/>
  <c r="D133" i="2"/>
  <c r="D139" i="2" s="1"/>
  <c r="AN37" i="3"/>
  <c r="K32" i="4"/>
  <c r="K37" i="4" s="1"/>
  <c r="K31" i="4"/>
  <c r="U35" i="4"/>
  <c r="AD5" i="4"/>
  <c r="AD6" i="4"/>
  <c r="AD7" i="4"/>
  <c r="AD8" i="4"/>
  <c r="AD14" i="4"/>
  <c r="AD16" i="4"/>
  <c r="AD17" i="4"/>
  <c r="AD18" i="4"/>
  <c r="I23" i="2"/>
  <c r="M23" i="2" s="1"/>
  <c r="G23" i="2"/>
  <c r="J23" i="2" s="1"/>
  <c r="I20" i="2"/>
  <c r="M20" i="2" s="1"/>
  <c r="G20" i="2"/>
  <c r="J20" i="2" s="1"/>
  <c r="W20" i="2" s="1"/>
  <c r="G22" i="2"/>
  <c r="J22" i="2" s="1"/>
  <c r="I22" i="2"/>
  <c r="M22" i="2" s="1"/>
  <c r="I21" i="2"/>
  <c r="M21" i="2" s="1"/>
  <c r="G21" i="2"/>
  <c r="J21" i="2" s="1"/>
  <c r="I60" i="2"/>
  <c r="M60" i="2" s="1"/>
  <c r="G60" i="2"/>
  <c r="J60" i="2" s="1"/>
  <c r="I58" i="2"/>
  <c r="M58" i="2" s="1"/>
  <c r="G58" i="2"/>
  <c r="J58" i="2" s="1"/>
  <c r="I61" i="2"/>
  <c r="M61" i="2" s="1"/>
  <c r="G61" i="2"/>
  <c r="J61" i="2" s="1"/>
  <c r="I57" i="2"/>
  <c r="M57" i="2" s="1"/>
  <c r="G57" i="2"/>
  <c r="J57" i="2" s="1"/>
  <c r="W57" i="2" s="1"/>
  <c r="I59" i="2"/>
  <c r="M59" i="2" s="1"/>
  <c r="G59" i="2"/>
  <c r="J59" i="2" s="1"/>
  <c r="G41" i="2"/>
  <c r="J41" i="2" s="1"/>
  <c r="W41" i="2" s="1"/>
  <c r="I41" i="2"/>
  <c r="M41" i="2" s="1"/>
  <c r="G42" i="2"/>
  <c r="J42" i="2" s="1"/>
  <c r="I42" i="2"/>
  <c r="M42" i="2" s="1"/>
  <c r="G45" i="2"/>
  <c r="J45" i="2" s="1"/>
  <c r="I45" i="2"/>
  <c r="M45" i="2" s="1"/>
  <c r="G44" i="2"/>
  <c r="J44" i="2" s="1"/>
  <c r="I44" i="2"/>
  <c r="M44" i="2" s="1"/>
  <c r="I43" i="2"/>
  <c r="M43" i="2" s="1"/>
  <c r="G43" i="2"/>
  <c r="J43" i="2" s="1"/>
  <c r="G38" i="2"/>
  <c r="J38" i="2" s="1"/>
  <c r="I38" i="2"/>
  <c r="M38" i="2" s="1"/>
  <c r="I37" i="2"/>
  <c r="M37" i="2" s="1"/>
  <c r="G37" i="2"/>
  <c r="J37" i="2" s="1"/>
  <c r="D16" i="4"/>
  <c r="D17" i="4"/>
  <c r="G66" i="2"/>
  <c r="J66" i="2" s="1"/>
  <c r="I66" i="2"/>
  <c r="M66" i="2" s="1"/>
  <c r="G65" i="2"/>
  <c r="J65" i="2" s="1"/>
  <c r="I65" i="2"/>
  <c r="M65" i="2" s="1"/>
  <c r="G64" i="2"/>
  <c r="I64" i="2"/>
  <c r="M64" i="2" s="1"/>
  <c r="G67" i="2"/>
  <c r="J67" i="2" s="1"/>
  <c r="I67" i="2"/>
  <c r="M67" i="2" s="1"/>
  <c r="I5" i="4"/>
  <c r="I6" i="4"/>
  <c r="I7" i="4"/>
  <c r="I8" i="4"/>
  <c r="I10" i="4"/>
  <c r="I14" i="4"/>
  <c r="I68" i="2"/>
  <c r="M68" i="2" s="1"/>
  <c r="O32" i="4"/>
  <c r="U32" i="4"/>
  <c r="U37" i="4" s="1"/>
  <c r="W32" i="4"/>
  <c r="W37" i="4" s="1"/>
  <c r="S32" i="4"/>
  <c r="S37" i="4" s="1"/>
  <c r="F32" i="4"/>
  <c r="F37" i="4" s="1"/>
  <c r="T32" i="4"/>
  <c r="T37" i="4" s="1"/>
  <c r="V32" i="4"/>
  <c r="V37" i="4" s="1"/>
  <c r="P32" i="4"/>
  <c r="P37" i="4" s="1"/>
  <c r="R32" i="4"/>
  <c r="I107" i="2"/>
  <c r="M107" i="2" s="1"/>
  <c r="G107" i="2"/>
  <c r="J107" i="2" s="1"/>
  <c r="W107" i="2" s="1"/>
  <c r="I108" i="2"/>
  <c r="M108" i="2" s="1"/>
  <c r="G108" i="2"/>
  <c r="J108" i="2" s="1"/>
  <c r="W108" i="2" s="1"/>
  <c r="I110" i="2"/>
  <c r="M110" i="2" s="1"/>
  <c r="G110" i="2"/>
  <c r="J110" i="2" s="1"/>
  <c r="I106" i="2"/>
  <c r="M106" i="2" s="1"/>
  <c r="G106" i="2"/>
  <c r="J106" i="2" s="1"/>
  <c r="I109" i="2"/>
  <c r="M109" i="2" s="1"/>
  <c r="G109" i="2"/>
  <c r="J109" i="2" s="1"/>
  <c r="A47" i="2"/>
  <c r="A56" i="2" s="1"/>
  <c r="A63" i="2" s="1"/>
  <c r="A70" i="2" s="1"/>
  <c r="I29" i="2"/>
  <c r="M29" i="2" s="1"/>
  <c r="G29" i="2"/>
  <c r="J29" i="2" s="1"/>
  <c r="G28" i="2"/>
  <c r="J28" i="2" s="1"/>
  <c r="I28" i="2"/>
  <c r="M28" i="2" s="1"/>
  <c r="G31" i="2"/>
  <c r="J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H5" i="4"/>
  <c r="H6" i="4"/>
  <c r="H7" i="4"/>
  <c r="H8" i="4"/>
  <c r="H10" i="4"/>
  <c r="H14" i="4"/>
  <c r="H33" i="4" s="1"/>
  <c r="G6" i="4"/>
  <c r="G7" i="4"/>
  <c r="G8" i="4"/>
  <c r="G10" i="4"/>
  <c r="G14" i="4"/>
  <c r="G33" i="4" s="1"/>
  <c r="G5" i="4"/>
  <c r="D239" i="2"/>
  <c r="G73" i="2"/>
  <c r="J73" i="2" s="1"/>
  <c r="D232" i="2"/>
  <c r="E232" i="2" s="1"/>
  <c r="I8" i="2"/>
  <c r="G87" i="2"/>
  <c r="J87" i="2" s="1"/>
  <c r="I73" i="2"/>
  <c r="I10" i="2"/>
  <c r="G75" i="2"/>
  <c r="J75" i="2" s="1"/>
  <c r="I75" i="2"/>
  <c r="F232" i="2"/>
  <c r="G232" i="2" s="1"/>
  <c r="D228" i="2"/>
  <c r="E228" i="2" s="1"/>
  <c r="P31" i="4"/>
  <c r="G8" i="2"/>
  <c r="J8" i="2" s="1"/>
  <c r="D229" i="2"/>
  <c r="E229" i="2" s="1"/>
  <c r="N31" i="4"/>
  <c r="I85" i="2"/>
  <c r="M85" i="2" s="1"/>
  <c r="G85" i="2"/>
  <c r="J85" i="2" s="1"/>
  <c r="W85" i="2" s="1"/>
  <c r="F31" i="4"/>
  <c r="G10" i="2"/>
  <c r="J10" i="2" s="1"/>
  <c r="I71" i="2"/>
  <c r="M71" i="2" s="1"/>
  <c r="G74" i="2"/>
  <c r="J74" i="2" s="1"/>
  <c r="I157" i="2"/>
  <c r="M157" i="2" s="1"/>
  <c r="G157" i="2"/>
  <c r="J157" i="2" s="1"/>
  <c r="W157" i="2" s="1"/>
  <c r="I155" i="2"/>
  <c r="M155" i="2" s="1"/>
  <c r="G155" i="2"/>
  <c r="J155" i="2" s="1"/>
  <c r="W155" i="2" s="1"/>
  <c r="I159" i="2"/>
  <c r="M159" i="2" s="1"/>
  <c r="G159" i="2"/>
  <c r="J159" i="2" s="1"/>
  <c r="W159" i="2" s="1"/>
  <c r="I158" i="2"/>
  <c r="M158" i="2" s="1"/>
  <c r="G158" i="2"/>
  <c r="J158" i="2" s="1"/>
  <c r="W158" i="2" s="1"/>
  <c r="D227" i="2"/>
  <c r="F228" i="2"/>
  <c r="G228" i="2" s="1"/>
  <c r="G229" i="2"/>
  <c r="G9" i="2"/>
  <c r="J9" i="2" s="1"/>
  <c r="I9" i="2"/>
  <c r="I88" i="2"/>
  <c r="M88" i="2" s="1"/>
  <c r="G88" i="2"/>
  <c r="J88" i="2" s="1"/>
  <c r="G71" i="2"/>
  <c r="J71" i="2" s="1"/>
  <c r="W71" i="2" s="1"/>
  <c r="I74" i="2"/>
  <c r="M74" i="2" s="1"/>
  <c r="I86" i="2"/>
  <c r="M86" i="2" s="1"/>
  <c r="G86" i="2"/>
  <c r="J86" i="2" s="1"/>
  <c r="O31" i="4"/>
  <c r="I89" i="2"/>
  <c r="M89" i="2" s="1"/>
  <c r="G89" i="2"/>
  <c r="J89" i="2" s="1"/>
  <c r="I87" i="2"/>
  <c r="M87" i="2" s="1"/>
  <c r="B22" i="13"/>
  <c r="B29" i="13"/>
  <c r="B15" i="13"/>
  <c r="B14" i="13"/>
  <c r="W31" i="4"/>
  <c r="V31" i="4"/>
  <c r="N146" i="2"/>
  <c r="F227" i="2"/>
  <c r="F231" i="2"/>
  <c r="G230" i="2"/>
  <c r="D230" i="2"/>
  <c r="E230" i="2" s="1"/>
  <c r="D231" i="2"/>
  <c r="I136" i="2"/>
  <c r="M136" i="2" s="1"/>
  <c r="G136" i="2"/>
  <c r="U31" i="4"/>
  <c r="G134" i="2"/>
  <c r="I134" i="2"/>
  <c r="M134" i="2" s="1"/>
  <c r="G135" i="2"/>
  <c r="I135" i="2"/>
  <c r="M135" i="2" s="1"/>
  <c r="G137" i="2"/>
  <c r="J137" i="2" s="1"/>
  <c r="I137" i="2"/>
  <c r="M137" i="2" s="1"/>
  <c r="T31" i="4"/>
  <c r="S31" i="4"/>
  <c r="R31" i="4"/>
  <c r="L86" i="2" l="1"/>
  <c r="W86" i="2"/>
  <c r="L94" i="2"/>
  <c r="W94" i="2"/>
  <c r="L124" i="2"/>
  <c r="W124" i="2"/>
  <c r="L143" i="2"/>
  <c r="W143" i="2"/>
  <c r="L142" i="2"/>
  <c r="W142" i="2"/>
  <c r="L31" i="2"/>
  <c r="W31" i="2"/>
  <c r="L106" i="2"/>
  <c r="W106" i="2"/>
  <c r="L59" i="2"/>
  <c r="W59" i="2"/>
  <c r="L60" i="2"/>
  <c r="W60" i="2"/>
  <c r="L23" i="2"/>
  <c r="W23" i="2"/>
  <c r="L129" i="2"/>
  <c r="W129" i="2"/>
  <c r="L95" i="2"/>
  <c r="W95" i="2"/>
  <c r="W112" i="2"/>
  <c r="J118" i="2"/>
  <c r="L145" i="2"/>
  <c r="W145" i="2"/>
  <c r="L201" i="2"/>
  <c r="W201" i="2"/>
  <c r="L67" i="2"/>
  <c r="W67" i="2"/>
  <c r="L44" i="2"/>
  <c r="W44" i="2"/>
  <c r="L115" i="2"/>
  <c r="W115" i="2"/>
  <c r="L116" i="2"/>
  <c r="W116" i="2"/>
  <c r="J146" i="2"/>
  <c r="W140" i="2"/>
  <c r="L150" i="2"/>
  <c r="W150" i="2"/>
  <c r="L197" i="2"/>
  <c r="W197" i="2"/>
  <c r="L66" i="2"/>
  <c r="W66" i="2"/>
  <c r="L74" i="2"/>
  <c r="W74" i="2"/>
  <c r="L87" i="2"/>
  <c r="W87" i="2"/>
  <c r="L28" i="2"/>
  <c r="W28" i="2"/>
  <c r="L110" i="2"/>
  <c r="W110" i="2"/>
  <c r="L37" i="2"/>
  <c r="W37" i="2"/>
  <c r="L21" i="2"/>
  <c r="W21" i="2"/>
  <c r="L93" i="2"/>
  <c r="W93" i="2"/>
  <c r="L121" i="2"/>
  <c r="W121" i="2"/>
  <c r="L163" i="2"/>
  <c r="W163" i="2"/>
  <c r="L149" i="2"/>
  <c r="W149" i="2"/>
  <c r="L144" i="2"/>
  <c r="W144" i="2"/>
  <c r="L137" i="2"/>
  <c r="W137" i="2"/>
  <c r="L88" i="2"/>
  <c r="W88" i="2"/>
  <c r="L30" i="2"/>
  <c r="W30" i="2"/>
  <c r="L29" i="2"/>
  <c r="W29" i="2"/>
  <c r="L45" i="2"/>
  <c r="W45" i="2"/>
  <c r="L92" i="2"/>
  <c r="W92" i="2"/>
  <c r="L114" i="2"/>
  <c r="W114" i="2"/>
  <c r="L117" i="2"/>
  <c r="W117" i="2"/>
  <c r="L164" i="2"/>
  <c r="W164" i="2"/>
  <c r="L148" i="2"/>
  <c r="W148" i="2"/>
  <c r="L151" i="2"/>
  <c r="W151" i="2"/>
  <c r="L166" i="2"/>
  <c r="W166" i="2"/>
  <c r="L198" i="2"/>
  <c r="W198" i="2"/>
  <c r="B23" i="13"/>
  <c r="M237" i="2"/>
  <c r="L89" i="2"/>
  <c r="W89" i="2"/>
  <c r="L61" i="2"/>
  <c r="W61" i="2"/>
  <c r="L123" i="2"/>
  <c r="W123" i="2"/>
  <c r="L162" i="2"/>
  <c r="W162" i="2"/>
  <c r="L75" i="2"/>
  <c r="W75" i="2"/>
  <c r="L130" i="2"/>
  <c r="W130" i="2"/>
  <c r="D234" i="2"/>
  <c r="L73" i="2"/>
  <c r="W73" i="2"/>
  <c r="L65" i="2"/>
  <c r="W65" i="2"/>
  <c r="L38" i="2"/>
  <c r="W38" i="2"/>
  <c r="L42" i="2"/>
  <c r="W42" i="2"/>
  <c r="L22" i="2"/>
  <c r="W22" i="2"/>
  <c r="L131" i="2"/>
  <c r="W131" i="2"/>
  <c r="L128" i="2"/>
  <c r="W128" i="2"/>
  <c r="L96" i="2"/>
  <c r="W96" i="2"/>
  <c r="W91" i="2"/>
  <c r="J97" i="2"/>
  <c r="L122" i="2"/>
  <c r="W122" i="2"/>
  <c r="W147" i="2"/>
  <c r="J153" i="2"/>
  <c r="L141" i="2"/>
  <c r="W141" i="2"/>
  <c r="L199" i="2"/>
  <c r="W199" i="2"/>
  <c r="L109" i="2"/>
  <c r="W109" i="2"/>
  <c r="L43" i="2"/>
  <c r="W43" i="2"/>
  <c r="L58" i="2"/>
  <c r="W58" i="2"/>
  <c r="L152" i="2"/>
  <c r="W152" i="2"/>
  <c r="L165" i="2"/>
  <c r="W165" i="2"/>
  <c r="L200" i="2"/>
  <c r="W200" i="2"/>
  <c r="L107" i="2"/>
  <c r="L113" i="2"/>
  <c r="L108" i="2"/>
  <c r="G7" i="2"/>
  <c r="J7" i="2" s="1"/>
  <c r="L7" i="2" s="1"/>
  <c r="F234" i="2"/>
  <c r="D11" i="2"/>
  <c r="I7" i="2"/>
  <c r="K7" i="2" s="1"/>
  <c r="D33" i="4"/>
  <c r="D35" i="4" s="1"/>
  <c r="E227" i="2"/>
  <c r="D6" i="11"/>
  <c r="L127" i="2"/>
  <c r="H7" i="13"/>
  <c r="H12" i="13"/>
  <c r="H19" i="13"/>
  <c r="H15" i="13"/>
  <c r="I227" i="2"/>
  <c r="I234" i="2" s="1"/>
  <c r="H18" i="13"/>
  <c r="H22" i="13"/>
  <c r="H13" i="13"/>
  <c r="H31" i="13"/>
  <c r="H23" i="13"/>
  <c r="H21" i="13"/>
  <c r="J227" i="2"/>
  <c r="J229" i="2"/>
  <c r="I167" i="2"/>
  <c r="L120" i="2"/>
  <c r="K231" i="2"/>
  <c r="AD33" i="4"/>
  <c r="K230" i="2"/>
  <c r="L230" i="2" s="1"/>
  <c r="AD34" i="4"/>
  <c r="M231" i="2"/>
  <c r="M230" i="2"/>
  <c r="N230" i="2" s="1"/>
  <c r="D18" i="2"/>
  <c r="H5" i="13" s="1"/>
  <c r="K228" i="2"/>
  <c r="L228" i="2" s="1"/>
  <c r="M228" i="2"/>
  <c r="N228" i="2" s="1"/>
  <c r="M232" i="2"/>
  <c r="N232" i="2" s="1"/>
  <c r="K232" i="2"/>
  <c r="L232" i="2" s="1"/>
  <c r="L119" i="2"/>
  <c r="G56" i="2"/>
  <c r="G62" i="2" s="1"/>
  <c r="E62" i="2"/>
  <c r="H11" i="13" s="1"/>
  <c r="L147" i="2"/>
  <c r="L112" i="2"/>
  <c r="L10" i="2"/>
  <c r="M7" i="2"/>
  <c r="L8" i="2"/>
  <c r="M9" i="2"/>
  <c r="L9" i="2"/>
  <c r="A77" i="2"/>
  <c r="A84" i="2" s="1"/>
  <c r="A91" i="2" s="1"/>
  <c r="A98" i="2" s="1"/>
  <c r="A105" i="2" s="1"/>
  <c r="A112" i="2" s="1"/>
  <c r="A119" i="2" s="1"/>
  <c r="A126" i="2" s="1"/>
  <c r="A133" i="2" s="1"/>
  <c r="A140" i="2" s="1"/>
  <c r="A147" i="2" s="1"/>
  <c r="A154" i="2" s="1"/>
  <c r="A161" i="2" s="1"/>
  <c r="A168" i="2" s="1"/>
  <c r="I12" i="2"/>
  <c r="I18" i="2" s="1"/>
  <c r="G12" i="2"/>
  <c r="J12" i="2" s="1"/>
  <c r="L140" i="2"/>
  <c r="G196" i="2"/>
  <c r="G202" i="2" s="1"/>
  <c r="L24" i="2"/>
  <c r="M24" i="2"/>
  <c r="I196" i="2"/>
  <c r="I202" i="2" s="1"/>
  <c r="D32" i="4"/>
  <c r="D37" i="4" s="1"/>
  <c r="AD31" i="4"/>
  <c r="AD32" i="4"/>
  <c r="AD37" i="4" s="1"/>
  <c r="G227" i="2"/>
  <c r="G72" i="2"/>
  <c r="J72" i="2" s="1"/>
  <c r="W72" i="2" s="1"/>
  <c r="I72" i="2"/>
  <c r="K72" i="2" s="1"/>
  <c r="J161" i="2"/>
  <c r="I32" i="4"/>
  <c r="I37" i="4" s="1"/>
  <c r="L91" i="2"/>
  <c r="L20" i="2"/>
  <c r="K200" i="2"/>
  <c r="M200" i="2"/>
  <c r="M201" i="2"/>
  <c r="K201" i="2"/>
  <c r="K197" i="2"/>
  <c r="M197" i="2"/>
  <c r="M198" i="2"/>
  <c r="K198" i="2"/>
  <c r="M199" i="2"/>
  <c r="K199" i="2"/>
  <c r="K149" i="2"/>
  <c r="M149" i="2"/>
  <c r="K140" i="2"/>
  <c r="M140" i="2"/>
  <c r="M145" i="2"/>
  <c r="K145" i="2"/>
  <c r="M164" i="2"/>
  <c r="K164" i="2"/>
  <c r="M151" i="2"/>
  <c r="K151" i="2"/>
  <c r="M152" i="2"/>
  <c r="K152" i="2"/>
  <c r="M150" i="2"/>
  <c r="K150" i="2"/>
  <c r="M141" i="2"/>
  <c r="K141" i="2"/>
  <c r="M161" i="2"/>
  <c r="K161" i="2"/>
  <c r="M148" i="2"/>
  <c r="K148" i="2"/>
  <c r="M142" i="2"/>
  <c r="K142" i="2"/>
  <c r="M163" i="2"/>
  <c r="K163" i="2"/>
  <c r="M144" i="2"/>
  <c r="K144" i="2"/>
  <c r="K147" i="2"/>
  <c r="M147" i="2"/>
  <c r="K162" i="2"/>
  <c r="M162" i="2"/>
  <c r="M165" i="2"/>
  <c r="K165" i="2"/>
  <c r="M143" i="2"/>
  <c r="K143" i="2"/>
  <c r="K166" i="2"/>
  <c r="M166" i="2"/>
  <c r="K119" i="2"/>
  <c r="M119" i="2"/>
  <c r="K121" i="2"/>
  <c r="M121" i="2"/>
  <c r="M120" i="2"/>
  <c r="K120" i="2"/>
  <c r="M123" i="2"/>
  <c r="K123" i="2"/>
  <c r="M122" i="2"/>
  <c r="K122" i="2"/>
  <c r="K124" i="2"/>
  <c r="M124" i="2"/>
  <c r="K115" i="2"/>
  <c r="M115" i="2"/>
  <c r="M114" i="2"/>
  <c r="K114" i="2"/>
  <c r="K113" i="2"/>
  <c r="M113" i="2"/>
  <c r="K112" i="2"/>
  <c r="M112" i="2"/>
  <c r="M116" i="2"/>
  <c r="K116" i="2"/>
  <c r="M117" i="2"/>
  <c r="K117" i="2"/>
  <c r="M96" i="2"/>
  <c r="K96" i="2"/>
  <c r="K94" i="2"/>
  <c r="M94" i="2"/>
  <c r="K93" i="2"/>
  <c r="M93" i="2"/>
  <c r="K92" i="2"/>
  <c r="M92" i="2"/>
  <c r="M91" i="2"/>
  <c r="K91" i="2"/>
  <c r="K95" i="2"/>
  <c r="M95" i="2"/>
  <c r="L57" i="2"/>
  <c r="H34" i="4"/>
  <c r="G34" i="4"/>
  <c r="I34" i="4"/>
  <c r="O35" i="4"/>
  <c r="K129" i="2"/>
  <c r="M129" i="2"/>
  <c r="G132" i="2"/>
  <c r="J126" i="2"/>
  <c r="W126" i="2" s="1"/>
  <c r="M126" i="2"/>
  <c r="K126" i="2"/>
  <c r="I132" i="2"/>
  <c r="M128" i="2"/>
  <c r="K128" i="2"/>
  <c r="M130" i="2"/>
  <c r="K130" i="2"/>
  <c r="M131" i="2"/>
  <c r="K131" i="2"/>
  <c r="M127" i="2"/>
  <c r="K127" i="2"/>
  <c r="M17" i="2"/>
  <c r="K17" i="2"/>
  <c r="M15" i="2"/>
  <c r="K15" i="2"/>
  <c r="K16" i="2"/>
  <c r="M16" i="2"/>
  <c r="K14" i="2"/>
  <c r="M14" i="2"/>
  <c r="M13" i="2"/>
  <c r="K13" i="2"/>
  <c r="G40" i="2"/>
  <c r="J40" i="2" s="1"/>
  <c r="I133" i="2"/>
  <c r="M133" i="2" s="1"/>
  <c r="I84" i="2"/>
  <c r="J64" i="2"/>
  <c r="W64" i="2" s="1"/>
  <c r="G133" i="2"/>
  <c r="J133" i="2" s="1"/>
  <c r="I40" i="2"/>
  <c r="M40" i="2" s="1"/>
  <c r="D46" i="2"/>
  <c r="H9" i="13" s="1"/>
  <c r="I19" i="2"/>
  <c r="M19" i="2" s="1"/>
  <c r="G154" i="2"/>
  <c r="I105" i="2"/>
  <c r="G26" i="2"/>
  <c r="J26" i="2" s="1"/>
  <c r="W26" i="2" s="1"/>
  <c r="I154" i="2"/>
  <c r="I26" i="2"/>
  <c r="M26" i="2" s="1"/>
  <c r="G84" i="2"/>
  <c r="G90" i="2" s="1"/>
  <c r="I156" i="2"/>
  <c r="M156" i="2" s="1"/>
  <c r="G105" i="2"/>
  <c r="H25" i="13"/>
  <c r="D25" i="2"/>
  <c r="H6" i="13" s="1"/>
  <c r="I56" i="2"/>
  <c r="I62" i="2" s="1"/>
  <c r="G19" i="2"/>
  <c r="J19" i="2" s="1"/>
  <c r="W19" i="2" s="1"/>
  <c r="G156" i="2"/>
  <c r="J156" i="2" s="1"/>
  <c r="W156" i="2" s="1"/>
  <c r="C35" i="4"/>
  <c r="P38" i="4"/>
  <c r="I17" i="13" s="1"/>
  <c r="P35" i="4"/>
  <c r="L159" i="2"/>
  <c r="L157" i="2"/>
  <c r="K75" i="2"/>
  <c r="M75" i="2"/>
  <c r="K8" i="2"/>
  <c r="M8" i="2"/>
  <c r="Z38" i="4"/>
  <c r="I27" i="13" s="1"/>
  <c r="Z35" i="4"/>
  <c r="Y36" i="4"/>
  <c r="Y35" i="4"/>
  <c r="K73" i="2"/>
  <c r="M73" i="2"/>
  <c r="J36" i="4"/>
  <c r="J35" i="4"/>
  <c r="W36" i="4"/>
  <c r="W35" i="4"/>
  <c r="L85" i="2"/>
  <c r="L27" i="2"/>
  <c r="L71" i="2"/>
  <c r="L158" i="2"/>
  <c r="L155" i="2"/>
  <c r="K10" i="2"/>
  <c r="M10" i="2"/>
  <c r="V36" i="4"/>
  <c r="V35" i="4"/>
  <c r="L41" i="2"/>
  <c r="AC38" i="4"/>
  <c r="I30" i="13" s="1"/>
  <c r="AC35" i="4"/>
  <c r="E231" i="2"/>
  <c r="G231" i="2"/>
  <c r="X37" i="4"/>
  <c r="X38" i="4"/>
  <c r="O37" i="4"/>
  <c r="B30" i="13"/>
  <c r="K22" i="2"/>
  <c r="K20" i="2"/>
  <c r="K21" i="2"/>
  <c r="K23" i="2"/>
  <c r="J135" i="2"/>
  <c r="W135" i="2" s="1"/>
  <c r="J134" i="2"/>
  <c r="J136" i="2"/>
  <c r="K60" i="2"/>
  <c r="K61" i="2"/>
  <c r="K59" i="2"/>
  <c r="K57" i="2"/>
  <c r="K58" i="2"/>
  <c r="G32" i="4"/>
  <c r="G37" i="4" s="1"/>
  <c r="K45" i="2"/>
  <c r="K41" i="2"/>
  <c r="K43" i="2"/>
  <c r="K44" i="2"/>
  <c r="K42" i="2"/>
  <c r="K37" i="2"/>
  <c r="K38" i="2"/>
  <c r="I35" i="2"/>
  <c r="M35" i="2" s="1"/>
  <c r="G35" i="2"/>
  <c r="J35" i="2" s="1"/>
  <c r="I34" i="2"/>
  <c r="M34" i="2" s="1"/>
  <c r="G34" i="2"/>
  <c r="J34" i="2" s="1"/>
  <c r="W34" i="2" s="1"/>
  <c r="I36" i="2"/>
  <c r="M36" i="2" s="1"/>
  <c r="G36" i="2"/>
  <c r="J36" i="2" s="1"/>
  <c r="I33" i="2"/>
  <c r="M33" i="2" s="1"/>
  <c r="D39" i="2"/>
  <c r="H8" i="13" s="1"/>
  <c r="G33" i="2"/>
  <c r="I31" i="4"/>
  <c r="K64" i="2"/>
  <c r="K65" i="2"/>
  <c r="K67" i="2"/>
  <c r="K66" i="2"/>
  <c r="I63" i="2"/>
  <c r="I69" i="2" s="1"/>
  <c r="G63" i="2"/>
  <c r="J63" i="2" s="1"/>
  <c r="K68" i="2"/>
  <c r="G68" i="2"/>
  <c r="J68" i="2" s="1"/>
  <c r="H32" i="4"/>
  <c r="H37" i="4" s="1"/>
  <c r="K108" i="2"/>
  <c r="K107" i="2"/>
  <c r="K110" i="2"/>
  <c r="K109" i="2"/>
  <c r="K106" i="2"/>
  <c r="B17" i="13"/>
  <c r="C236" i="2"/>
  <c r="D5" i="11" s="1"/>
  <c r="W16" i="2"/>
  <c r="W14" i="2"/>
  <c r="W17" i="2"/>
  <c r="W15" i="2"/>
  <c r="W9" i="2"/>
  <c r="W8" i="2"/>
  <c r="W10" i="2"/>
  <c r="W7" i="2"/>
  <c r="H31" i="4"/>
  <c r="K27" i="2"/>
  <c r="K28" i="2"/>
  <c r="K29" i="2"/>
  <c r="K30" i="2"/>
  <c r="K31" i="2"/>
  <c r="G31" i="4"/>
  <c r="C37" i="4"/>
  <c r="C36" i="4"/>
  <c r="D125" i="2"/>
  <c r="C38" i="4"/>
  <c r="D97" i="2"/>
  <c r="P36" i="4"/>
  <c r="G6" i="2"/>
  <c r="J6" i="2" s="1"/>
  <c r="R38" i="4"/>
  <c r="I19" i="13" s="1"/>
  <c r="R36" i="4"/>
  <c r="Q36" i="4"/>
  <c r="Q38" i="4"/>
  <c r="I18" i="13" s="1"/>
  <c r="N36" i="4"/>
  <c r="N38" i="4"/>
  <c r="I15" i="13" s="1"/>
  <c r="M38" i="4"/>
  <c r="I14" i="13" s="1"/>
  <c r="M36" i="4"/>
  <c r="E125" i="2"/>
  <c r="K71" i="2"/>
  <c r="K36" i="4"/>
  <c r="K38" i="4"/>
  <c r="I12" i="13" s="1"/>
  <c r="J38" i="4"/>
  <c r="I11" i="13" s="1"/>
  <c r="Z36" i="4"/>
  <c r="K85" i="2"/>
  <c r="I138" i="2"/>
  <c r="I70" i="2"/>
  <c r="M70" i="2" s="1"/>
  <c r="E38" i="4"/>
  <c r="I6" i="13" s="1"/>
  <c r="E36" i="4"/>
  <c r="K159" i="2"/>
  <c r="K155" i="2"/>
  <c r="X36" i="4"/>
  <c r="K158" i="2"/>
  <c r="K157" i="2"/>
  <c r="L38" i="4"/>
  <c r="I13" i="13" s="1"/>
  <c r="L36" i="4"/>
  <c r="K74" i="2"/>
  <c r="K89" i="2"/>
  <c r="I6" i="2"/>
  <c r="Y38" i="4"/>
  <c r="I26" i="13" s="1"/>
  <c r="E97" i="2"/>
  <c r="F38" i="4"/>
  <c r="I7" i="13" s="1"/>
  <c r="F36" i="4"/>
  <c r="K9" i="2"/>
  <c r="E104" i="2"/>
  <c r="H17" i="13" s="1"/>
  <c r="O38" i="4"/>
  <c r="O36" i="4"/>
  <c r="G5" i="2"/>
  <c r="I5" i="2"/>
  <c r="G138" i="2"/>
  <c r="K87" i="2"/>
  <c r="K86" i="2"/>
  <c r="G70" i="2"/>
  <c r="K88" i="2"/>
  <c r="W38" i="4"/>
  <c r="I24" i="13" s="1"/>
  <c r="V38" i="4"/>
  <c r="I23" i="13" s="1"/>
  <c r="AC36" i="4"/>
  <c r="AB38" i="4"/>
  <c r="I29" i="13" s="1"/>
  <c r="AB36" i="4"/>
  <c r="D153" i="2"/>
  <c r="H24" i="13" s="1"/>
  <c r="AA38" i="4"/>
  <c r="I28" i="13" s="1"/>
  <c r="AA36" i="4"/>
  <c r="C4" i="13"/>
  <c r="U38" i="4"/>
  <c r="I22" i="13" s="1"/>
  <c r="U36" i="4"/>
  <c r="K135" i="2"/>
  <c r="K134" i="2"/>
  <c r="K137" i="2"/>
  <c r="K136" i="2"/>
  <c r="T38" i="4"/>
  <c r="I21" i="13" s="1"/>
  <c r="T36" i="4"/>
  <c r="S38" i="4"/>
  <c r="I20" i="13" s="1"/>
  <c r="S36" i="4"/>
  <c r="R37" i="4"/>
  <c r="B36" i="13" l="1"/>
  <c r="L36" i="2"/>
  <c r="W36" i="2"/>
  <c r="L136" i="2"/>
  <c r="W136" i="2"/>
  <c r="J46" i="2"/>
  <c r="W40" i="2"/>
  <c r="W46" i="2" s="1"/>
  <c r="W12" i="2"/>
  <c r="J18" i="2"/>
  <c r="L68" i="2"/>
  <c r="W68" i="2"/>
  <c r="L35" i="2"/>
  <c r="W35" i="2"/>
  <c r="L134" i="2"/>
  <c r="W134" i="2"/>
  <c r="J69" i="2"/>
  <c r="W63" i="2"/>
  <c r="W133" i="2"/>
  <c r="W161" i="2"/>
  <c r="J167" i="2"/>
  <c r="B34" i="4"/>
  <c r="B31" i="4"/>
  <c r="B37" i="4"/>
  <c r="B32" i="4"/>
  <c r="B33" i="4"/>
  <c r="W25" i="2"/>
  <c r="G234" i="2"/>
  <c r="I239" i="2" s="1"/>
  <c r="E234" i="2"/>
  <c r="F239" i="2" s="1"/>
  <c r="J234" i="2"/>
  <c r="M154" i="2"/>
  <c r="M160" i="2" s="1"/>
  <c r="I160" i="2"/>
  <c r="J154" i="2"/>
  <c r="G160" i="2"/>
  <c r="M105" i="2"/>
  <c r="M111" i="2" s="1"/>
  <c r="I111" i="2"/>
  <c r="J105" i="2"/>
  <c r="G111" i="2"/>
  <c r="L34" i="2"/>
  <c r="L231" i="2"/>
  <c r="N231" i="2"/>
  <c r="I11" i="2"/>
  <c r="H16" i="13"/>
  <c r="H20" i="13"/>
  <c r="J56" i="2"/>
  <c r="K229" i="2"/>
  <c r="L229" i="2" s="1"/>
  <c r="G167" i="2"/>
  <c r="K167" i="2"/>
  <c r="M167" i="2"/>
  <c r="M229" i="2"/>
  <c r="N229" i="2" s="1"/>
  <c r="M227" i="2"/>
  <c r="K227" i="2"/>
  <c r="M56" i="2"/>
  <c r="M62" i="2" s="1"/>
  <c r="M12" i="2"/>
  <c r="M18" i="2" s="1"/>
  <c r="L12" i="2"/>
  <c r="L18" i="2" s="1"/>
  <c r="K12" i="2"/>
  <c r="K18" i="2" s="1"/>
  <c r="M6" i="2"/>
  <c r="J196" i="2"/>
  <c r="G18" i="2"/>
  <c r="M196" i="2"/>
  <c r="M202" i="2" s="1"/>
  <c r="K196" i="2"/>
  <c r="K202" i="2" s="1"/>
  <c r="G11" i="2"/>
  <c r="G76" i="2"/>
  <c r="M72" i="2"/>
  <c r="M76" i="2" s="1"/>
  <c r="L161" i="2"/>
  <c r="L167" i="2" s="1"/>
  <c r="L19" i="2"/>
  <c r="L25" i="2" s="1"/>
  <c r="I76" i="2"/>
  <c r="L72" i="2"/>
  <c r="M5" i="2"/>
  <c r="L133" i="2"/>
  <c r="M84" i="2"/>
  <c r="M90" i="2" s="1"/>
  <c r="I90" i="2"/>
  <c r="W104" i="2"/>
  <c r="L125" i="2"/>
  <c r="L126" i="2"/>
  <c r="L132" i="2" s="1"/>
  <c r="J132" i="2"/>
  <c r="K132" i="2"/>
  <c r="I46" i="2"/>
  <c r="M132" i="2"/>
  <c r="K118" i="2"/>
  <c r="G46" i="2"/>
  <c r="J84" i="2"/>
  <c r="K56" i="2"/>
  <c r="K62" i="2" s="1"/>
  <c r="J125" i="2"/>
  <c r="K84" i="2"/>
  <c r="K90" i="2" s="1"/>
  <c r="K133" i="2"/>
  <c r="G118" i="2"/>
  <c r="G125" i="2"/>
  <c r="G146" i="2"/>
  <c r="K40" i="2"/>
  <c r="K46" i="2" s="1"/>
  <c r="G32" i="2"/>
  <c r="K19" i="2"/>
  <c r="K25" i="2" s="1"/>
  <c r="L64" i="2"/>
  <c r="I32" i="2"/>
  <c r="G69" i="2"/>
  <c r="I118" i="2"/>
  <c r="K154" i="2"/>
  <c r="L104" i="2"/>
  <c r="K105" i="2"/>
  <c r="K111" i="2" s="1"/>
  <c r="L156" i="2"/>
  <c r="K146" i="2"/>
  <c r="I146" i="2"/>
  <c r="K26" i="2"/>
  <c r="K32" i="2" s="1"/>
  <c r="K156" i="2"/>
  <c r="W195" i="2"/>
  <c r="M63" i="2"/>
  <c r="M69" i="2" s="1"/>
  <c r="G38" i="4"/>
  <c r="I8" i="13" s="1"/>
  <c r="G35" i="4"/>
  <c r="W6" i="2"/>
  <c r="L6" i="2"/>
  <c r="W146" i="2"/>
  <c r="L146" i="2"/>
  <c r="I36" i="4"/>
  <c r="I35" i="4"/>
  <c r="L40" i="2"/>
  <c r="L46" i="2" s="1"/>
  <c r="L135" i="2"/>
  <c r="AD36" i="4"/>
  <c r="AD35" i="4"/>
  <c r="W13" i="2"/>
  <c r="W97" i="2"/>
  <c r="I139" i="2"/>
  <c r="M138" i="2"/>
  <c r="M139" i="2" s="1"/>
  <c r="W32" i="2"/>
  <c r="L26" i="2"/>
  <c r="L32" i="2" s="1"/>
  <c r="H38" i="4"/>
  <c r="I9" i="13" s="1"/>
  <c r="H35" i="4"/>
  <c r="W118" i="2"/>
  <c r="L118" i="2"/>
  <c r="I25" i="13"/>
  <c r="I16" i="13"/>
  <c r="G209" i="2"/>
  <c r="AD38" i="4"/>
  <c r="I31" i="13" s="1"/>
  <c r="I209" i="2"/>
  <c r="W216" i="2"/>
  <c r="C5" i="13"/>
  <c r="A175" i="2"/>
  <c r="A182" i="2" s="1"/>
  <c r="J138" i="2"/>
  <c r="W138" i="2" s="1"/>
  <c r="D38" i="4"/>
  <c r="D36" i="4"/>
  <c r="M118" i="2"/>
  <c r="M46" i="2"/>
  <c r="I39" i="2"/>
  <c r="K33" i="2"/>
  <c r="K34" i="2"/>
  <c r="G39" i="2"/>
  <c r="J33" i="2"/>
  <c r="K36" i="2"/>
  <c r="K35" i="2"/>
  <c r="I38" i="4"/>
  <c r="I10" i="13" s="1"/>
  <c r="K63" i="2"/>
  <c r="K69" i="2" s="1"/>
  <c r="H36" i="4"/>
  <c r="G36" i="4"/>
  <c r="J32" i="2"/>
  <c r="M32" i="2"/>
  <c r="B240" i="2"/>
  <c r="C240" i="2"/>
  <c r="H4" i="13"/>
  <c r="I4" i="13"/>
  <c r="I125" i="2"/>
  <c r="M125" i="2"/>
  <c r="G104" i="2"/>
  <c r="J25" i="2"/>
  <c r="I25" i="2"/>
  <c r="M25" i="2"/>
  <c r="K138" i="2"/>
  <c r="G25" i="2"/>
  <c r="K70" i="2"/>
  <c r="K76" i="2" s="1"/>
  <c r="G139" i="2"/>
  <c r="K6" i="2"/>
  <c r="J70" i="2"/>
  <c r="J5" i="2"/>
  <c r="W5" i="2" s="1"/>
  <c r="I104" i="2"/>
  <c r="M146" i="2" s="1"/>
  <c r="I97" i="2"/>
  <c r="K5" i="2"/>
  <c r="G97" i="2"/>
  <c r="G153" i="2"/>
  <c r="I153" i="2"/>
  <c r="M153" i="2"/>
  <c r="D7" i="11"/>
  <c r="G239" i="2"/>
  <c r="K160" i="2" l="1"/>
  <c r="L154" i="2"/>
  <c r="J160" i="2"/>
  <c r="W154" i="2"/>
  <c r="J62" i="2"/>
  <c r="W56" i="2"/>
  <c r="L105" i="2"/>
  <c r="L111" i="2" s="1"/>
  <c r="W105" i="2"/>
  <c r="J111" i="2"/>
  <c r="J139" i="2"/>
  <c r="W70" i="2"/>
  <c r="J76" i="2"/>
  <c r="W33" i="2"/>
  <c r="J39" i="2"/>
  <c r="J90" i="2"/>
  <c r="W84" i="2"/>
  <c r="J202" i="2"/>
  <c r="W196" i="2"/>
  <c r="D23" i="13"/>
  <c r="D19" i="13"/>
  <c r="D17" i="13"/>
  <c r="D16" i="13"/>
  <c r="D7" i="13"/>
  <c r="H36" i="13"/>
  <c r="K234" i="2"/>
  <c r="B35" i="4"/>
  <c r="B38" i="4"/>
  <c r="B36" i="4"/>
  <c r="M234" i="2"/>
  <c r="L160" i="2"/>
  <c r="W160" i="2"/>
  <c r="W111" i="2"/>
  <c r="W11" i="2"/>
  <c r="L56" i="2"/>
  <c r="L62" i="2" s="1"/>
  <c r="N227" i="2"/>
  <c r="N234" i="2" s="1"/>
  <c r="L227" i="2"/>
  <c r="L234" i="2" s="1"/>
  <c r="W167" i="2"/>
  <c r="I5" i="13"/>
  <c r="I36" i="13" s="1"/>
  <c r="M11" i="2"/>
  <c r="J11" i="2"/>
  <c r="W18" i="2"/>
  <c r="L196" i="2"/>
  <c r="L202" i="2" s="1"/>
  <c r="A189" i="2"/>
  <c r="A196" i="2" s="1"/>
  <c r="A203" i="2" s="1"/>
  <c r="A210" i="2" s="1"/>
  <c r="A217" i="2" s="1"/>
  <c r="W202" i="2"/>
  <c r="W181" i="2"/>
  <c r="K11" i="2"/>
  <c r="D30" i="13"/>
  <c r="D9" i="11"/>
  <c r="D8" i="11"/>
  <c r="W174" i="2"/>
  <c r="W83" i="2"/>
  <c r="L84" i="2"/>
  <c r="L90" i="2" s="1"/>
  <c r="K139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C36" i="13" s="1"/>
  <c r="K153" i="2"/>
  <c r="L63" i="2"/>
  <c r="L69" i="2" s="1"/>
  <c r="O195" i="2"/>
  <c r="F30" i="13" s="1"/>
  <c r="K97" i="2"/>
  <c r="W132" i="2"/>
  <c r="L70" i="2"/>
  <c r="L76" i="2" s="1"/>
  <c r="L138" i="2"/>
  <c r="L139" i="2" s="1"/>
  <c r="L5" i="2"/>
  <c r="L11" i="2" s="1"/>
  <c r="W39" i="2"/>
  <c r="L33" i="2"/>
  <c r="L39" i="2" s="1"/>
  <c r="L209" i="2"/>
  <c r="L153" i="2"/>
  <c r="M209" i="2"/>
  <c r="K209" i="2"/>
  <c r="D6" i="13"/>
  <c r="W139" i="2"/>
  <c r="W125" i="2"/>
  <c r="O104" i="2"/>
  <c r="F17" i="13" s="1"/>
  <c r="M39" i="2"/>
  <c r="K39" i="2"/>
  <c r="O118" i="2"/>
  <c r="F19" i="13" s="1"/>
  <c r="O32" i="2"/>
  <c r="F7" i="13" s="1"/>
  <c r="O146" i="2"/>
  <c r="F23" i="13" s="1"/>
  <c r="O55" i="2"/>
  <c r="D9" i="13"/>
  <c r="O25" i="2"/>
  <c r="F6" i="13" s="1"/>
  <c r="M97" i="2"/>
  <c r="K125" i="2"/>
  <c r="K104" i="2"/>
  <c r="M104" i="2"/>
  <c r="D240" i="2"/>
  <c r="D31" i="13" l="1"/>
  <c r="D28" i="13"/>
  <c r="O174" i="2"/>
  <c r="F27" i="13" s="1"/>
  <c r="O167" i="2"/>
  <c r="F26" i="13" s="1"/>
  <c r="O160" i="2"/>
  <c r="F25" i="13" s="1"/>
  <c r="D22" i="13"/>
  <c r="D18" i="13"/>
  <c r="D8" i="13"/>
  <c r="D25" i="13"/>
  <c r="W62" i="2"/>
  <c r="O18" i="2"/>
  <c r="F5" i="13" s="1"/>
  <c r="D10" i="13"/>
  <c r="D14" i="13"/>
  <c r="O83" i="2"/>
  <c r="F14" i="13" s="1"/>
  <c r="D29" i="13"/>
  <c r="W76" i="2"/>
  <c r="W90" i="2"/>
  <c r="D21" i="13"/>
  <c r="O132" i="2"/>
  <c r="F21" i="13" s="1"/>
  <c r="W69" i="2"/>
  <c r="D5" i="13"/>
  <c r="O202" i="2"/>
  <c r="F31" i="13" s="1"/>
  <c r="D26" i="13"/>
  <c r="D27" i="13"/>
  <c r="O181" i="2"/>
  <c r="F28" i="13" s="1"/>
  <c r="O216" i="2"/>
  <c r="F33" i="13" s="1"/>
  <c r="D33" i="13"/>
  <c r="D4" i="13"/>
  <c r="W209" i="2"/>
  <c r="D20" i="13"/>
  <c r="O125" i="2"/>
  <c r="F20" i="13" s="1"/>
  <c r="O39" i="2"/>
  <c r="F8" i="13" s="1"/>
  <c r="O139" i="2"/>
  <c r="F22" i="13" s="1"/>
  <c r="O46" i="2"/>
  <c r="F9" i="13" s="1"/>
  <c r="O111" i="2"/>
  <c r="F18" i="13" s="1"/>
  <c r="W153" i="2"/>
  <c r="O11" i="2"/>
  <c r="F4" i="13" s="1"/>
  <c r="F10" i="13"/>
  <c r="G240" i="2"/>
  <c r="F240" i="2"/>
  <c r="I240" i="2"/>
  <c r="D15" i="13" l="1"/>
  <c r="D13" i="13"/>
  <c r="O69" i="2"/>
  <c r="F12" i="13" s="1"/>
  <c r="D11" i="13"/>
  <c r="W227" i="2"/>
  <c r="F29" i="13"/>
  <c r="O76" i="2"/>
  <c r="F13" i="13" s="1"/>
  <c r="O90" i="2"/>
  <c r="F15" i="13" s="1"/>
  <c r="D12" i="13"/>
  <c r="O209" i="2"/>
  <c r="F32" i="13" s="1"/>
  <c r="D32" i="13"/>
  <c r="D24" i="13"/>
  <c r="O153" i="2"/>
  <c r="F24" i="13" s="1"/>
  <c r="O62" i="2"/>
  <c r="F11" i="13" s="1"/>
  <c r="E4" i="13"/>
  <c r="L97" i="2"/>
  <c r="O97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6" i="13" s="1"/>
  <c r="J241" i="2" l="1"/>
  <c r="C5" i="11" s="1"/>
  <c r="B5" i="11" s="1"/>
  <c r="G236" i="2"/>
  <c r="C6" i="11" l="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2" authorId="0" shapeId="0" xr:uid="{FD140A47-3AF4-4521-93B8-A81F25EC72D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</t>
        </r>
      </text>
    </comment>
    <comment ref="Q33" authorId="0" shapeId="0" xr:uid="{6A1D09D8-240D-4377-98AD-940D0E28AE8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25738</t>
        </r>
      </text>
    </comment>
    <comment ref="T34" authorId="0" shapeId="0" xr:uid="{87E375AB-F211-464C-848B-1CE283FCA7B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25761</t>
        </r>
      </text>
    </comment>
    <comment ref="Q40" authorId="0" shapeId="0" xr:uid="{5001F2E3-AC3D-42F6-B929-B12EC4C6442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25811</t>
        </r>
      </text>
    </comment>
    <comment ref="T41" authorId="0" shapeId="0" xr:uid="{5045AA0C-309B-465B-8391-7974B385018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25829</t>
        </r>
      </text>
    </comment>
    <comment ref="Q47" authorId="0" shapeId="0" xr:uid="{13ADD9B3-C3FC-4918-BFAA-5F80EB3A84C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25881
Estación El Belloto, anden 1. Servicio 657 XT-06-24 (viaje 36) es desacoplado.</t>
        </r>
      </text>
    </comment>
    <comment ref="T48" authorId="0" shapeId="0" xr:uid="{39789BC6-DCDA-436B-A17B-17949E22159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25909 EB, vía 2. Servicio 662 XT-23-05 (viaje 131) es acoplado para cumplir con oferta de equipos en unidad múltiple.</t>
        </r>
      </text>
    </comment>
    <comment ref="Q56" authorId="0" shapeId="0" xr:uid="{4ABE1B90-F1B3-429B-9ACF-8B3682D01C7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25946</t>
        </r>
      </text>
    </comment>
    <comment ref="T57" authorId="0" shapeId="0" xr:uid="{E8BACB03-72DE-4084-B3D6-A75C366C7AC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25961</t>
        </r>
      </text>
    </comment>
    <comment ref="I62" authorId="0" shapeId="0" xr:uid="{F05AE194-8A67-4AB5-BCD6-6FD01FB94B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Servicios extras 4xx multiples para mover equipos a PU por anden 1 ocupado por tren SFE410</t>
        </r>
      </text>
    </comment>
    <comment ref="Q63" authorId="0" shapeId="0" xr:uid="{3E806F45-6BB1-4F98-B8C9-3E56F6CD819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24979</t>
        </r>
      </text>
    </comment>
    <comment ref="T64" authorId="0" shapeId="0" xr:uid="{17020C15-BF5D-434A-810B-A967B1948AB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26022</t>
        </r>
      </text>
    </comment>
    <comment ref="Q65" authorId="0" shapeId="0" xr:uid="{4CB6295D-A92E-4079-AB65-8D823B8C024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24979</t>
        </r>
      </text>
    </comment>
    <comment ref="Q84" authorId="0" shapeId="0" xr:uid="{BB8BAD2A-EF4C-4AA0-BC4E-E6371631AA1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26143</t>
        </r>
      </text>
    </comment>
    <comment ref="T85" authorId="0" shapeId="0" xr:uid="{7C78CE6B-E42E-4B6B-972D-C7510E64ED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26206</t>
        </r>
      </text>
    </comment>
    <comment ref="Q91" authorId="0" shapeId="0" xr:uid="{3AB5CAB7-E719-405E-A2A9-AFF12F4F723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26227</t>
        </r>
      </text>
    </comment>
    <comment ref="T92" authorId="0" shapeId="0" xr:uid="{7B88571E-F6E4-4146-B21A-E69F369BEB7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26253</t>
        </r>
      </text>
    </comment>
    <comment ref="Q98" authorId="0" shapeId="0" xr:uid="{A0BE43C4-D1D0-46FF-BC8D-CC2808FC1ED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26289</t>
        </r>
      </text>
    </comment>
    <comment ref="T99" authorId="0" shapeId="0" xr:uid="{3A12F018-CC04-444B-96FE-E8E2928CEE8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26373
Incidente 26349</t>
        </r>
      </text>
    </comment>
    <comment ref="Q105" authorId="0" shapeId="0" xr:uid="{9E2DF37F-A0A8-4754-8BDE-C0EFE9945D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26366</t>
        </r>
      </text>
    </comment>
    <comment ref="T106" authorId="0" shapeId="0" xr:uid="{F3A5EC58-6A40-413C-B978-6BD3A4AD68E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26407</t>
        </r>
      </text>
    </comment>
    <comment ref="I111" authorId="0" shapeId="0" xr:uid="{87EEB093-EBEA-4359-8909-BF6EC601F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servicio PU-LI extra por falla de otro servicio(viaje 9 serv 402)</t>
        </r>
      </text>
    </comment>
    <comment ref="Q112" authorId="0" shapeId="0" xr:uid="{3EC5F229-A0F1-41E5-9A78-C55F217D2FE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26425</t>
        </r>
      </text>
    </comment>
    <comment ref="T113" authorId="0" shapeId="0" xr:uid="{FA6BE212-A026-4DE7-8D52-5E807049518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26448</t>
        </r>
      </text>
    </comment>
    <comment ref="Q133" authorId="0" shapeId="0" xr:uid="{299AF4F0-F05C-465A-B3D3-89C2EB17F12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26547 Estación El Belloto, anden 1. Servicio 652 XT-15-26 (viaje 16), 655 XT-18-12 (viaje 28), 656 XT-14-22 (viaje 32) y 660 XT-21-11 (viaje 48) son desacoplados.</t>
        </r>
      </text>
    </comment>
    <comment ref="T134" authorId="0" shapeId="0" xr:uid="{7AC90D8E-3A89-4BC1-9729-3436F5C8307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26624</t>
        </r>
      </text>
    </comment>
    <comment ref="Q140" authorId="0" shapeId="0" xr:uid="{C53BA6C6-093B-4E94-A759-F451FA8D2B2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26664</t>
        </r>
      </text>
    </comment>
    <comment ref="T141" authorId="0" shapeId="0" xr:uid="{61911464-1815-4581-ACE5-BD60D8BCF9B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26692
Incidente 26715</t>
        </r>
      </text>
    </comment>
    <comment ref="Q147" authorId="0" shapeId="0" xr:uid="{EFAB37AB-2A6E-4F1A-9AB3-837820C7420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26773</t>
        </r>
      </text>
    </comment>
    <comment ref="T148" authorId="0" shapeId="0" xr:uid="{F48373A7-78A2-46C6-B1A0-39D76F35871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26787</t>
        </r>
      </text>
    </comment>
    <comment ref="Q154" authorId="0" shapeId="0" xr:uid="{D04059FE-4963-4FCA-B4F1-9C40F0051EB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26808</t>
        </r>
      </text>
    </comment>
    <comment ref="T155" authorId="0" shapeId="0" xr:uid="{18C2F17B-D541-4BEA-A4B0-345EE228C16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26816
Incidente 26830</t>
        </r>
      </text>
    </comment>
    <comment ref="Q161" authorId="0" shapeId="0" xr:uid="{88721ED5-DEEE-4FED-8CC0-A91A3E708B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26847
Estación El Belloto, anden 1. Servicio 659 XT-04-26 (viaje 44) es desacoplado.</t>
        </r>
      </text>
    </comment>
    <comment ref="T162" authorId="0" shapeId="0" xr:uid="{D8153080-C080-46F8-96B1-9B5042D3D3D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26890
EB, vía 2. Servicio 651 XT-16-06 (viaje 135) y 654 XT-18-04 (viaje 147) son acoplados para cumplir con oferta de equipos en unidad múltiple.</t>
        </r>
      </text>
    </comment>
    <comment ref="I167" authorId="0" shapeId="0" xr:uid="{2437EA97-CB0A-45FE-995F-0BD9000D73B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 servicios suprimidos por falla energía</t>
        </r>
      </text>
    </comment>
    <comment ref="Q182" authorId="0" shapeId="0" xr:uid="{5045A8B5-097D-4579-9CFE-BEC771292D5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27050 
EB, vía 1. Servicio 657 XT-24-18 (viaje 36) y 658 XT-19-27 (viaje 40) es desacoplado.</t>
        </r>
      </text>
    </comment>
    <comment ref="T183" authorId="0" shapeId="0" xr:uid="{9785650D-979F-4AB4-8E81-0E3D007DD16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27118
Estación El Belloto, vía 2. Servicio 651 XT-05-23 (viaje 135), 652 XT-11-19 (viaje 139) y 653 XT-16-24 (viaje 143) son acoplados para cumplir con oferta de equipos en unidad múltiple.</t>
        </r>
      </text>
    </comment>
    <comment ref="Q189" authorId="0" shapeId="0" xr:uid="{3F4D2375-4DB6-4FC3-BBA6-B5A10D3177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27175</t>
        </r>
      </text>
    </comment>
    <comment ref="T190" authorId="0" shapeId="0" xr:uid="{200B5F62-C26D-4884-940C-1A2AEBD8D5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27252</t>
        </r>
      </text>
    </comment>
    <comment ref="Q196" authorId="0" shapeId="0" xr:uid="{0B11FDD1-965E-47AA-B188-C7D5A9A9211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27280 
EB, vía 1. Servicio 658 XT-28-30 (viaje 40) es desacoplado.</t>
        </r>
      </text>
    </comment>
    <comment ref="T197" authorId="0" shapeId="0" xr:uid="{569728B9-9DFD-4264-9D07-ACC7162804D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27319 
Estación El Belloto, vía 2. Servicio 651 XT-02-01 (viaje 135), 652 XT-11-26 (viaje 139), 653 XT-12-15 (viaje 143) y 654 XT-18-10 (viaje 147) son acoplados para cumplir con oferta de equipos en unidad múltiple.</t>
        </r>
      </text>
    </comment>
    <comment ref="Q203" authorId="0" shapeId="0" xr:uid="{6190E753-9FBA-4390-8E72-B3E0C649D44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27338</t>
        </r>
      </text>
    </comment>
    <comment ref="T204" authorId="0" shapeId="0" xr:uid="{CB51475D-B6DD-40AB-BE85-212D4CCC1CD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27396</t>
        </r>
      </text>
    </comment>
    <comment ref="Q210" authorId="0" shapeId="0" xr:uid="{3AFFAEE8-50B6-4530-B8F1-C69F2054385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27409</t>
        </r>
      </text>
    </comment>
  </commentList>
</comments>
</file>

<file path=xl/sharedStrings.xml><?xml version="1.0" encoding="utf-8"?>
<sst xmlns="http://schemas.openxmlformats.org/spreadsheetml/2006/main" count="738" uniqueCount="188">
  <si>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</si>
  <si>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</si>
  <si>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</si>
  <si>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</si>
  <si>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</si>
  <si>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</si>
  <si>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</si>
  <si>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</si>
  <si>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</si>
  <si>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</si>
  <si>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</si>
  <si>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</si>
  <si>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</si>
  <si>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</si>
  <si>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</si>
  <si>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</si>
  <si>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</si>
  <si>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</si>
  <si>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</si>
  <si>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</si>
  <si>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</si>
  <si>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</si>
  <si>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</si>
  <si>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</si>
  <si>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</si>
  <si>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</si>
  <si>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</si>
  <si>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</si>
  <si>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</si>
  <si>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</si>
  <si>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</si>
  <si>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</si>
  <si>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</si>
  <si>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</si>
  <si>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</si>
  <si>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</si>
  <si>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</si>
  <si>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</si>
  <si>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</si>
  <si>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</si>
  <si>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</si>
  <si>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</si>
  <si>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</si>
  <si>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</si>
  <si>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</si>
  <si>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</si>
  <si>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</si>
  <si>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</si>
  <si>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</si>
  <si>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</si>
  <si>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</si>
  <si>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</si>
  <si>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</si>
  <si>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</si>
  <si>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</si>
  <si>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</si>
  <si>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</si>
  <si>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</si>
  <si>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</si>
  <si>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</si>
  <si>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</si>
  <si>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</si>
  <si>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</si>
  <si>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</si>
  <si>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</si>
  <si>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</si>
  <si>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</si>
  <si>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</si>
  <si>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</si>
  <si>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</si>
  <si>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</si>
  <si>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</si>
  <si>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</si>
  <si>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</si>
  <si>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</si>
  <si>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</si>
  <si>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</si>
  <si>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</si>
  <si>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</si>
  <si>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</si>
  <si>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</si>
  <si>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</si>
  <si>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</si>
  <si>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</si>
  <si>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</si>
  <si>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</si>
  <si>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</si>
  <si>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</si>
  <si>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</si>
  <si>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</si>
  <si>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</si>
  <si>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</si>
  <si>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</si>
  <si>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</si>
  <si>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</si>
  <si>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</si>
  <si>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</si>
  <si>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</si>
  <si>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</si>
  <si>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</si>
  <si>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</si>
  <si>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</si>
  <si>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</si>
  <si>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</si>
  <si>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</si>
  <si>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</si>
  <si>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</si>
  <si>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</si>
  <si>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</si>
  <si>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</si>
  <si>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</si>
  <si>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</si>
  <si>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</si>
  <si>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</si>
  <si>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</si>
  <si>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</si>
  <si>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</si>
  <si>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</si>
  <si>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</si>
  <si>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</si>
  <si>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</si>
  <si>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</si>
  <si>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</si>
  <si>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</si>
  <si>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</si>
  <si>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</si>
  <si>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</si>
  <si>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</si>
  <si>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</si>
  <si>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</si>
  <si>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</si>
  <si>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</si>
  <si>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</si>
  <si>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</si>
  <si>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</si>
  <si>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</si>
  <si>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</si>
  <si>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</si>
  <si>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</si>
  <si>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</si>
  <si>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</si>
  <si>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</si>
  <si>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</si>
  <si>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</si>
  <si>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</si>
  <si>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</si>
  <si>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</si>
  <si>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</si>
  <si>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</si>
  <si>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</si>
  <si>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</si>
  <si>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</si>
  <si>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</si>
  <si>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</si>
  <si>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</si>
  <si>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</si>
  <si>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</si>
  <si>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</si>
  <si>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</si>
  <si>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</si>
  <si>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</si>
  <si>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</si>
  <si>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</si>
  <si>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</si>
  <si>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</si>
  <si>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</si>
  <si>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</si>
  <si>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</si>
  <si>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</si>
  <si>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</si>
  <si>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</si>
  <si>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</si>
  <si>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</si>
  <si>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</si>
  <si>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</si>
  <si>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</si>
  <si>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Oferta Enero 2026</t>
  </si>
  <si>
    <t>Enero 2026</t>
  </si>
  <si>
    <t xml:space="preserve"> Incidente N° 25879 (atropello de persona) </t>
  </si>
  <si>
    <t>PLANILLA LABORAL V14</t>
  </si>
  <si>
    <t xml:space="preserve">Corte Energia 44KV </t>
  </si>
  <si>
    <t>EB-SA</t>
  </si>
  <si>
    <t>2 Servicios extras 4xx multiples para mover equipos a PU por anden 1 ocupado por tren SFE410</t>
  </si>
  <si>
    <t>Planilla Nueva 025.10- Averia sistema electrico genera mayor TDV y aumento en la frecuencia y cancelacion de viajes 4xx</t>
  </si>
  <si>
    <t>6 servicios suprimidos por falla energía</t>
  </si>
  <si>
    <t>Odometro</t>
  </si>
  <si>
    <t>QU-LI</t>
  </si>
  <si>
    <t>LI-QU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</si>
</sst>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  <numFmt numFmtId="170" formatCode="#,##0.000"/>
  </numFmts>
  <fonts count="5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3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5" fillId="0" borderId="0" xfId="2" applyFont="1" applyFill="1" applyAlignment="1">
      <alignment vertical="center" wrapText="1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5" fillId="9" borderId="66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5" fillId="37" borderId="17" xfId="0" applyFont="1" applyFill="1" applyBorder="1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38" borderId="1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53" borderId="2" xfId="0" applyFill="1" applyBorder="1" applyAlignment="1">
      <alignment horizontal="center" vertical="center" wrapText="1"/>
    </xf>
    <xf numFmtId="3" fontId="55" fillId="0" borderId="2" xfId="0" applyNumberFormat="1" applyFont="1" applyBorder="1" applyAlignment="1">
      <alignment horizontal="center" vertical="center" wrapText="1"/>
    </xf>
    <xf numFmtId="0" fontId="51" fillId="38" borderId="2" xfId="0" applyFont="1" applyFill="1" applyBorder="1" applyAlignment="1">
      <alignment horizontal="center"/>
    </xf>
    <xf numFmtId="0" fontId="0" fillId="38" borderId="2" xfId="0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49" fillId="0" borderId="64" xfId="2" applyFont="1" applyFill="1" applyBorder="1" applyAlignment="1">
      <alignment vertical="center" wrapText="1"/>
    </xf>
    <xf numFmtId="0" fontId="5" fillId="12" borderId="8" xfId="2" applyFont="1" applyFill="1" applyBorder="1" applyAlignment="1">
      <alignment horizontal="center"/>
    </xf>
    <xf numFmtId="4" fontId="0" fillId="0" borderId="0" xfId="0" applyNumberFormat="1"/>
    <xf numFmtId="0" fontId="0" fillId="59" borderId="85" xfId="0" applyFill="1" applyBorder="1" applyAlignment="1">
      <alignment vertical="center" wrapText="1"/>
    </xf>
    <xf numFmtId="0" fontId="0" fillId="60" borderId="85" xfId="0" applyFill="1" applyBorder="1" applyAlignment="1">
      <alignment vertical="center" wrapText="1"/>
    </xf>
    <xf numFmtId="4" fontId="0" fillId="0" borderId="2" xfId="0" applyNumberFormat="1" applyBorder="1" applyAlignment="1">
      <alignment horizontal="center"/>
    </xf>
    <xf numFmtId="4" fontId="0" fillId="53" borderId="2" xfId="0" applyNumberFormat="1" applyFill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0" fontId="0" fillId="53" borderId="2" xfId="0" applyNumberForma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14" fillId="38" borderId="0" xfId="2" applyFont="1" applyFill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49" fillId="0" borderId="0" xfId="2" applyFont="1" applyAlignment="1">
      <alignment horizontal="center" vertical="center" wrapText="1"/>
    </xf>
    <xf numFmtId="0" fontId="49" fillId="0" borderId="64" xfId="2" applyFont="1" applyBorder="1" applyAlignment="1">
      <alignment horizontal="center" vertical="center" wrapText="1"/>
    </xf>
    <xf numFmtId="0" fontId="49" fillId="0" borderId="0" xfId="2" applyFont="1" applyFill="1" applyAlignment="1">
      <alignment horizontal="center" vertical="center" wrapText="1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5" fillId="43" borderId="0" xfId="0" applyFont="1" applyFill="1" applyBorder="1" applyAlignment="1">
      <alignment horizontal="center"/>
    </xf>
    <xf numFmtId="0" fontId="0" fillId="0" borderId="0" xfId="0" applyAlignment="1">
      <alignment horizontal="center" vertic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F82"/>
  <sheetViews>
    <sheetView zoomScaleNormal="100" workbookViewId="0">
      <selection activeCell="M40" sqref="M40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  <col min="30" max="30" width="11.28515625" customWidth="1"/>
    <col min="31" max="31" width="11" customWidth="1"/>
  </cols>
  <sheetData>
    <row r="1" spans="1:32" ht="18" x14ac:dyDescent="0.25">
      <c r="A1" s="349" t="s">
        <v>0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</row>
    <row r="2" spans="1:32" x14ac:dyDescent="0.25">
      <c r="A2" s="1"/>
      <c r="B2" s="61">
        <v>46023</v>
      </c>
      <c r="C2" s="61">
        <v>46024</v>
      </c>
      <c r="D2" s="61">
        <v>46025</v>
      </c>
      <c r="E2" s="61">
        <v>46026</v>
      </c>
      <c r="F2" s="61">
        <v>46027</v>
      </c>
      <c r="G2" s="61">
        <v>46028</v>
      </c>
      <c r="H2" s="61">
        <v>46029</v>
      </c>
      <c r="I2" s="61">
        <v>46030</v>
      </c>
      <c r="J2" s="61">
        <v>46031</v>
      </c>
      <c r="K2" s="61">
        <v>46032</v>
      </c>
      <c r="L2" s="61">
        <v>46033</v>
      </c>
      <c r="M2" s="61">
        <v>46034</v>
      </c>
      <c r="N2" s="61">
        <v>46035</v>
      </c>
      <c r="O2" s="61">
        <v>46036</v>
      </c>
      <c r="P2" s="61">
        <v>46037</v>
      </c>
      <c r="Q2" s="61">
        <v>46038</v>
      </c>
      <c r="R2" s="61">
        <v>46039</v>
      </c>
      <c r="S2" s="61">
        <v>46040</v>
      </c>
      <c r="T2" s="61">
        <v>46041</v>
      </c>
      <c r="U2" s="61">
        <v>46042</v>
      </c>
      <c r="V2" s="61">
        <v>46043</v>
      </c>
      <c r="W2" s="61">
        <v>46044</v>
      </c>
      <c r="X2" s="61">
        <v>46045</v>
      </c>
      <c r="Y2" s="61">
        <v>46046</v>
      </c>
      <c r="Z2" s="61">
        <v>46047</v>
      </c>
      <c r="AA2" s="61">
        <v>46048</v>
      </c>
      <c r="AB2" s="61">
        <v>46049</v>
      </c>
      <c r="AC2" s="61">
        <v>46050</v>
      </c>
      <c r="AD2" s="61">
        <v>46051</v>
      </c>
      <c r="AE2" s="61">
        <v>46052</v>
      </c>
      <c r="AF2" s="61">
        <v>46053</v>
      </c>
    </row>
    <row r="3" spans="1:32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2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2" x14ac:dyDescent="0.25">
      <c r="A5" s="5" t="s">
        <v>4</v>
      </c>
      <c r="B5" s="329">
        <v>2082084</v>
      </c>
      <c r="C5" s="329">
        <v>2082473</v>
      </c>
      <c r="D5" s="329">
        <v>2083038</v>
      </c>
      <c r="E5" s="329">
        <v>2083079</v>
      </c>
      <c r="F5" s="329">
        <v>2083511</v>
      </c>
      <c r="G5" s="329">
        <v>2084031</v>
      </c>
      <c r="H5" s="329">
        <v>2084206</v>
      </c>
      <c r="I5" s="329">
        <v>2084768</v>
      </c>
      <c r="J5" s="329">
        <v>2085328</v>
      </c>
      <c r="K5" s="329">
        <v>2085847</v>
      </c>
      <c r="L5" s="329">
        <v>2086366</v>
      </c>
      <c r="M5" s="329">
        <v>2086817</v>
      </c>
      <c r="N5" s="329">
        <v>2087104</v>
      </c>
      <c r="O5" s="329">
        <v>2087579</v>
      </c>
      <c r="P5" s="329">
        <v>2088116</v>
      </c>
      <c r="Q5" s="329">
        <v>2088586</v>
      </c>
      <c r="R5" s="329">
        <v>2088586</v>
      </c>
      <c r="S5" s="329">
        <v>2088586</v>
      </c>
      <c r="T5" s="329">
        <v>2088812</v>
      </c>
      <c r="U5" s="329">
        <v>2089317</v>
      </c>
      <c r="V5" s="329">
        <v>2089767</v>
      </c>
      <c r="W5" s="329">
        <v>2089866</v>
      </c>
      <c r="X5" s="329">
        <v>2090067</v>
      </c>
      <c r="Y5" s="329">
        <v>2090067</v>
      </c>
      <c r="Z5" s="329">
        <v>2090262</v>
      </c>
      <c r="AA5" s="329">
        <v>2090592</v>
      </c>
      <c r="AB5" s="329">
        <v>2091112</v>
      </c>
      <c r="AC5" s="329">
        <v>2091355</v>
      </c>
      <c r="AD5" s="329">
        <v>2091879</v>
      </c>
      <c r="AE5" s="329">
        <v>2092399</v>
      </c>
      <c r="AF5" s="329">
        <v>2092919</v>
      </c>
    </row>
    <row r="6" spans="1:32" x14ac:dyDescent="0.25">
      <c r="A6" s="5" t="s">
        <v>5</v>
      </c>
      <c r="B6" s="329">
        <v>2046687</v>
      </c>
      <c r="C6" s="329">
        <v>2046820</v>
      </c>
      <c r="D6" s="329">
        <v>2046820</v>
      </c>
      <c r="E6" s="329">
        <v>2046820</v>
      </c>
      <c r="F6" s="329">
        <v>2047071</v>
      </c>
      <c r="G6" s="329">
        <v>2047273</v>
      </c>
      <c r="H6" s="329">
        <v>2047799</v>
      </c>
      <c r="I6" s="329">
        <v>2048319</v>
      </c>
      <c r="J6" s="329">
        <v>2048627</v>
      </c>
      <c r="K6" s="329">
        <v>2048670</v>
      </c>
      <c r="L6" s="329">
        <v>2049102</v>
      </c>
      <c r="M6" s="329">
        <v>2049537</v>
      </c>
      <c r="N6" s="329">
        <v>2049726</v>
      </c>
      <c r="O6" s="329">
        <v>2050211</v>
      </c>
      <c r="P6" s="329">
        <v>2050817</v>
      </c>
      <c r="Q6" s="329">
        <v>2051130</v>
      </c>
      <c r="R6" s="329">
        <v>2051648</v>
      </c>
      <c r="S6" s="329">
        <v>2052080</v>
      </c>
      <c r="T6" s="329">
        <v>2052641</v>
      </c>
      <c r="U6" s="329">
        <v>2052774</v>
      </c>
      <c r="V6" s="329">
        <v>2053126</v>
      </c>
      <c r="W6" s="329">
        <v>2053394</v>
      </c>
      <c r="X6" s="329">
        <v>2053957</v>
      </c>
      <c r="Y6" s="329">
        <v>2054479</v>
      </c>
      <c r="Z6" s="329">
        <v>2054913</v>
      </c>
      <c r="AA6" s="329">
        <v>2054984</v>
      </c>
      <c r="AB6" s="329">
        <v>2055003</v>
      </c>
      <c r="AC6" s="329">
        <v>2055524</v>
      </c>
      <c r="AD6" s="329">
        <v>2055699</v>
      </c>
      <c r="AE6" s="329">
        <v>2055987</v>
      </c>
      <c r="AF6" s="329">
        <v>2056549</v>
      </c>
    </row>
    <row r="7" spans="1:32" x14ac:dyDescent="0.25">
      <c r="A7" s="5" t="s">
        <v>6</v>
      </c>
      <c r="B7" s="329">
        <v>2132828</v>
      </c>
      <c r="C7" s="329">
        <v>2133227</v>
      </c>
      <c r="D7" s="329">
        <v>2133748</v>
      </c>
      <c r="E7" s="329">
        <v>2134223</v>
      </c>
      <c r="F7" s="329">
        <v>2134699</v>
      </c>
      <c r="G7" s="329">
        <v>2134788</v>
      </c>
      <c r="H7" s="329">
        <v>2134788</v>
      </c>
      <c r="I7" s="329">
        <v>2135062</v>
      </c>
      <c r="J7" s="329">
        <v>2135062</v>
      </c>
      <c r="K7" s="329">
        <v>2135062</v>
      </c>
      <c r="L7" s="329">
        <v>2135062</v>
      </c>
      <c r="M7" s="329">
        <v>2135062</v>
      </c>
      <c r="N7" s="329">
        <v>2135062</v>
      </c>
      <c r="O7" s="329">
        <v>2135062</v>
      </c>
      <c r="P7" s="329">
        <v>2135062</v>
      </c>
      <c r="Q7" s="329">
        <v>2135062</v>
      </c>
      <c r="R7" s="329">
        <v>2135062</v>
      </c>
      <c r="S7" s="329">
        <v>2135062</v>
      </c>
      <c r="T7" s="329">
        <v>2135062</v>
      </c>
      <c r="U7" s="329">
        <v>2135062</v>
      </c>
      <c r="V7" s="329">
        <v>2135062</v>
      </c>
      <c r="W7" s="329">
        <v>2135062</v>
      </c>
      <c r="X7" s="329">
        <v>2135080</v>
      </c>
      <c r="Y7" s="329">
        <v>2135080</v>
      </c>
      <c r="Z7" s="329">
        <v>2135082</v>
      </c>
      <c r="AA7" s="329">
        <v>2135084</v>
      </c>
      <c r="AB7" s="329">
        <v>2135087</v>
      </c>
      <c r="AC7" s="329">
        <v>2135111</v>
      </c>
      <c r="AD7" s="329">
        <v>2135111</v>
      </c>
      <c r="AE7" s="329">
        <v>2135111</v>
      </c>
      <c r="AF7" s="329">
        <v>2135111</v>
      </c>
    </row>
    <row r="8" spans="1:32" x14ac:dyDescent="0.25">
      <c r="A8" s="6" t="s">
        <v>7</v>
      </c>
      <c r="B8" s="329">
        <v>2130421</v>
      </c>
      <c r="C8" s="329">
        <v>2130577</v>
      </c>
      <c r="D8" s="329">
        <v>2130577</v>
      </c>
      <c r="E8" s="329">
        <v>2130597</v>
      </c>
      <c r="F8" s="329">
        <v>2131159</v>
      </c>
      <c r="G8" s="329">
        <v>2131515</v>
      </c>
      <c r="H8" s="329">
        <v>2131861</v>
      </c>
      <c r="I8" s="329">
        <v>2132212</v>
      </c>
      <c r="J8" s="329">
        <v>2132650</v>
      </c>
      <c r="K8" s="329">
        <v>2133172</v>
      </c>
      <c r="L8" s="329">
        <v>2133263</v>
      </c>
      <c r="M8" s="329">
        <v>2133440</v>
      </c>
      <c r="N8" s="329">
        <v>2133877</v>
      </c>
      <c r="O8" s="329">
        <v>2134311</v>
      </c>
      <c r="P8" s="329">
        <v>2134626</v>
      </c>
      <c r="Q8" s="329">
        <v>2134808</v>
      </c>
      <c r="R8" s="329">
        <v>2135328</v>
      </c>
      <c r="S8" s="329">
        <v>2135807</v>
      </c>
      <c r="T8" s="329">
        <v>2136283</v>
      </c>
      <c r="U8" s="329">
        <v>2136735</v>
      </c>
      <c r="V8" s="329">
        <v>2136945</v>
      </c>
      <c r="W8" s="329">
        <v>2137422</v>
      </c>
      <c r="X8" s="329">
        <v>2137649</v>
      </c>
      <c r="Y8" s="329">
        <v>2138210</v>
      </c>
      <c r="Z8" s="329">
        <v>2138685</v>
      </c>
      <c r="AA8" s="329">
        <v>2138947</v>
      </c>
      <c r="AB8" s="329">
        <v>2139456</v>
      </c>
      <c r="AC8" s="329">
        <v>2139854</v>
      </c>
      <c r="AD8" s="329">
        <v>2140203</v>
      </c>
      <c r="AE8" s="329">
        <v>2140763</v>
      </c>
      <c r="AF8" s="329">
        <v>2141023</v>
      </c>
    </row>
    <row r="9" spans="1:32" x14ac:dyDescent="0.25">
      <c r="A9" s="6" t="s">
        <v>8</v>
      </c>
      <c r="B9" s="329">
        <v>2048385</v>
      </c>
      <c r="C9" s="329">
        <v>2048589</v>
      </c>
      <c r="D9" s="329">
        <v>2048589</v>
      </c>
      <c r="E9" s="329">
        <v>2048589</v>
      </c>
      <c r="F9" s="329">
        <v>2048964</v>
      </c>
      <c r="G9" s="329">
        <v>2049569</v>
      </c>
      <c r="H9" s="329">
        <v>2049934</v>
      </c>
      <c r="I9" s="329">
        <v>2050037</v>
      </c>
      <c r="J9" s="329">
        <v>2050204</v>
      </c>
      <c r="K9" s="329">
        <v>2050204</v>
      </c>
      <c r="L9" s="329">
        <v>2050224</v>
      </c>
      <c r="M9" s="329">
        <v>2050468</v>
      </c>
      <c r="N9" s="329">
        <v>2050686</v>
      </c>
      <c r="O9" s="329">
        <v>2051171</v>
      </c>
      <c r="P9" s="329">
        <v>2051443</v>
      </c>
      <c r="Q9" s="329">
        <v>2051695</v>
      </c>
      <c r="R9" s="329">
        <v>2051695</v>
      </c>
      <c r="S9" s="329">
        <v>2051695</v>
      </c>
      <c r="T9" s="329">
        <v>2051947</v>
      </c>
      <c r="U9" s="329">
        <v>2052199</v>
      </c>
      <c r="V9" s="329">
        <v>2052443</v>
      </c>
      <c r="W9" s="329">
        <v>2053049</v>
      </c>
      <c r="X9" s="329">
        <v>2053484</v>
      </c>
      <c r="Y9" s="329">
        <v>2053916</v>
      </c>
      <c r="Z9" s="329">
        <v>2054438</v>
      </c>
      <c r="AA9" s="329">
        <v>2054889</v>
      </c>
      <c r="AB9" s="329">
        <v>2055089</v>
      </c>
      <c r="AC9" s="329">
        <v>2055653</v>
      </c>
      <c r="AD9" s="329">
        <v>2056258</v>
      </c>
      <c r="AE9" s="329">
        <v>2056779</v>
      </c>
      <c r="AF9" s="329">
        <v>2056779</v>
      </c>
    </row>
    <row r="10" spans="1:32" x14ac:dyDescent="0.25">
      <c r="A10" s="6" t="s">
        <v>9</v>
      </c>
      <c r="B10" s="329">
        <v>2156374</v>
      </c>
      <c r="C10" s="329">
        <v>2156446</v>
      </c>
      <c r="D10" s="329">
        <v>2156446</v>
      </c>
      <c r="E10" s="329">
        <v>2156466</v>
      </c>
      <c r="F10" s="329">
        <v>2156987</v>
      </c>
      <c r="G10" s="329">
        <v>2157422</v>
      </c>
      <c r="H10" s="329">
        <v>2157940</v>
      </c>
      <c r="I10" s="329">
        <v>2158378</v>
      </c>
      <c r="J10" s="329">
        <v>2158681</v>
      </c>
      <c r="K10" s="329">
        <v>2159242</v>
      </c>
      <c r="L10" s="329">
        <v>2159760</v>
      </c>
      <c r="M10" s="329">
        <v>2160362</v>
      </c>
      <c r="N10" s="329">
        <v>2160813</v>
      </c>
      <c r="O10" s="329">
        <v>2160945</v>
      </c>
      <c r="P10" s="329">
        <v>2161196</v>
      </c>
      <c r="Q10" s="329">
        <v>2161386</v>
      </c>
      <c r="R10" s="329">
        <v>2161386</v>
      </c>
      <c r="S10" s="329">
        <v>2161386</v>
      </c>
      <c r="T10" s="329">
        <v>2161487</v>
      </c>
      <c r="U10" s="329">
        <v>2161586</v>
      </c>
      <c r="V10" s="329">
        <v>2161848</v>
      </c>
      <c r="W10" s="329">
        <v>2162099</v>
      </c>
      <c r="X10" s="329">
        <v>2162415</v>
      </c>
      <c r="Y10" s="329">
        <v>2162977</v>
      </c>
      <c r="Z10" s="329">
        <v>2163452</v>
      </c>
      <c r="AA10" s="329">
        <v>2163454</v>
      </c>
      <c r="AB10" s="329">
        <v>2163761</v>
      </c>
      <c r="AC10" s="329">
        <v>2164238</v>
      </c>
      <c r="AD10" s="329">
        <v>2164379</v>
      </c>
      <c r="AE10" s="329">
        <v>2164668</v>
      </c>
      <c r="AF10" s="329">
        <v>2165272</v>
      </c>
    </row>
    <row r="11" spans="1:32" x14ac:dyDescent="0.25">
      <c r="A11" s="6" t="s">
        <v>10</v>
      </c>
      <c r="B11" s="329">
        <v>2189428</v>
      </c>
      <c r="C11" s="329">
        <v>2189879</v>
      </c>
      <c r="D11" s="329">
        <v>2189879</v>
      </c>
      <c r="E11" s="329">
        <v>2189879</v>
      </c>
      <c r="F11" s="329">
        <v>2190011</v>
      </c>
      <c r="G11" s="329">
        <v>2190597</v>
      </c>
      <c r="H11" s="329">
        <v>2191071</v>
      </c>
      <c r="I11" s="329">
        <v>2191460</v>
      </c>
      <c r="J11" s="329">
        <v>2192243</v>
      </c>
      <c r="K11" s="329">
        <v>2192761</v>
      </c>
      <c r="L11" s="329">
        <v>2193235</v>
      </c>
      <c r="M11" s="329">
        <v>2193795</v>
      </c>
      <c r="N11" s="329">
        <v>2194230</v>
      </c>
      <c r="O11" s="329">
        <v>2194534</v>
      </c>
      <c r="P11" s="329">
        <v>2194891</v>
      </c>
      <c r="Q11" s="329">
        <v>2195496</v>
      </c>
      <c r="R11" s="329">
        <v>2196058</v>
      </c>
      <c r="S11" s="329">
        <v>2196101</v>
      </c>
      <c r="T11" s="329">
        <v>2196704</v>
      </c>
      <c r="U11" s="329">
        <v>2197220</v>
      </c>
      <c r="V11" s="329">
        <v>2197423</v>
      </c>
      <c r="W11" s="329">
        <v>2197683</v>
      </c>
      <c r="X11" s="329">
        <v>2198242</v>
      </c>
      <c r="Y11" s="329">
        <v>2198390</v>
      </c>
      <c r="Z11" s="329">
        <v>2198390</v>
      </c>
      <c r="AA11" s="329">
        <v>2198890</v>
      </c>
      <c r="AB11" s="329">
        <v>2199032</v>
      </c>
      <c r="AC11" s="329">
        <v>2199294</v>
      </c>
      <c r="AD11" s="329">
        <v>2199751</v>
      </c>
      <c r="AE11" s="329">
        <v>2200061</v>
      </c>
      <c r="AF11" s="329">
        <v>2200578</v>
      </c>
    </row>
    <row r="12" spans="1:32" x14ac:dyDescent="0.25">
      <c r="A12" s="5" t="s">
        <v>11</v>
      </c>
      <c r="B12" s="329">
        <v>2093984</v>
      </c>
      <c r="C12" s="329">
        <v>2094221</v>
      </c>
      <c r="D12" s="329">
        <v>2094221</v>
      </c>
      <c r="E12" s="329">
        <v>2094221</v>
      </c>
      <c r="F12" s="329">
        <v>2094302</v>
      </c>
      <c r="G12" s="329">
        <v>2094478</v>
      </c>
      <c r="H12" s="329">
        <v>2095059</v>
      </c>
      <c r="I12" s="329">
        <v>2095578</v>
      </c>
      <c r="J12" s="329">
        <v>2095971</v>
      </c>
      <c r="K12" s="329">
        <v>2096014</v>
      </c>
      <c r="L12" s="329">
        <v>2096446</v>
      </c>
      <c r="M12" s="329">
        <v>2096967</v>
      </c>
      <c r="N12" s="329">
        <v>2097485</v>
      </c>
      <c r="O12" s="329">
        <v>2098004</v>
      </c>
      <c r="P12" s="329">
        <v>2098544</v>
      </c>
      <c r="Q12" s="329">
        <v>2099015</v>
      </c>
      <c r="R12" s="329">
        <v>2099015</v>
      </c>
      <c r="S12" s="329">
        <v>2099015</v>
      </c>
      <c r="T12" s="329">
        <v>2099171</v>
      </c>
      <c r="U12" s="329">
        <v>2099478</v>
      </c>
      <c r="V12" s="329">
        <v>2099783</v>
      </c>
      <c r="W12" s="329">
        <v>2100234</v>
      </c>
      <c r="X12" s="329">
        <v>2100486</v>
      </c>
      <c r="Y12" s="329">
        <v>2100486</v>
      </c>
      <c r="Z12" s="329">
        <v>2100486</v>
      </c>
      <c r="AA12" s="329">
        <v>2100738</v>
      </c>
      <c r="AB12" s="329">
        <v>2100930</v>
      </c>
      <c r="AC12" s="329">
        <v>2101122</v>
      </c>
      <c r="AD12" s="329">
        <v>2101255</v>
      </c>
      <c r="AE12" s="329">
        <v>2101541</v>
      </c>
      <c r="AF12" s="329">
        <v>2102065</v>
      </c>
    </row>
    <row r="13" spans="1:32" x14ac:dyDescent="0.25">
      <c r="A13" s="5" t="s">
        <v>12</v>
      </c>
      <c r="B13" s="329">
        <v>2073664</v>
      </c>
      <c r="C13" s="329">
        <v>2074018</v>
      </c>
      <c r="D13" s="329">
        <v>2074576</v>
      </c>
      <c r="E13" s="329">
        <v>2074620</v>
      </c>
      <c r="F13" s="329">
        <v>2074926</v>
      </c>
      <c r="G13" s="329">
        <v>2075418</v>
      </c>
      <c r="H13" s="329">
        <v>2075552</v>
      </c>
      <c r="I13" s="329">
        <v>2075795</v>
      </c>
      <c r="J13" s="329">
        <v>2076059</v>
      </c>
      <c r="K13" s="329">
        <v>2076061</v>
      </c>
      <c r="L13" s="329">
        <v>2076133</v>
      </c>
      <c r="M13" s="329">
        <v>2076676</v>
      </c>
      <c r="N13" s="329">
        <v>2076998</v>
      </c>
      <c r="O13" s="329">
        <v>2077174</v>
      </c>
      <c r="P13" s="329">
        <v>2077761</v>
      </c>
      <c r="Q13" s="329">
        <v>2077962</v>
      </c>
      <c r="R13" s="329">
        <v>2077962</v>
      </c>
      <c r="S13" s="329">
        <v>2077962</v>
      </c>
      <c r="T13" s="329">
        <v>2078212</v>
      </c>
      <c r="U13" s="329">
        <v>2078464</v>
      </c>
      <c r="V13" s="329">
        <v>2078831</v>
      </c>
      <c r="W13" s="329">
        <v>2079230</v>
      </c>
      <c r="X13" s="329">
        <v>2079679</v>
      </c>
      <c r="Y13" s="329">
        <v>2079679</v>
      </c>
      <c r="Z13" s="329">
        <v>2079679</v>
      </c>
      <c r="AA13" s="329">
        <v>2079933</v>
      </c>
      <c r="AB13" s="329">
        <v>2080366</v>
      </c>
      <c r="AC13" s="329">
        <v>2080544</v>
      </c>
      <c r="AD13" s="329">
        <v>2080814</v>
      </c>
      <c r="AE13" s="329">
        <v>2081197</v>
      </c>
      <c r="AF13" s="329">
        <v>2081197</v>
      </c>
    </row>
    <row r="14" spans="1:32" x14ac:dyDescent="0.25">
      <c r="A14" s="5" t="s">
        <v>13</v>
      </c>
      <c r="B14" s="329">
        <v>2145595</v>
      </c>
      <c r="C14" s="329">
        <v>2145782</v>
      </c>
      <c r="D14" s="329">
        <v>2145782</v>
      </c>
      <c r="E14" s="329">
        <v>2145782</v>
      </c>
      <c r="F14" s="329">
        <v>2145883</v>
      </c>
      <c r="G14" s="329">
        <v>2146071</v>
      </c>
      <c r="H14" s="329">
        <v>2146232</v>
      </c>
      <c r="I14" s="329">
        <v>2146572</v>
      </c>
      <c r="J14" s="329">
        <v>2147008</v>
      </c>
      <c r="K14" s="329">
        <v>2147569</v>
      </c>
      <c r="L14" s="329">
        <v>2148045</v>
      </c>
      <c r="M14" s="329">
        <v>2148479</v>
      </c>
      <c r="N14" s="329">
        <v>2148502</v>
      </c>
      <c r="O14" s="329">
        <v>2148703</v>
      </c>
      <c r="P14" s="329">
        <v>2149155</v>
      </c>
      <c r="Q14" s="329">
        <v>2149426</v>
      </c>
      <c r="R14" s="329">
        <v>2149902</v>
      </c>
      <c r="S14" s="329">
        <v>2150334</v>
      </c>
      <c r="T14" s="329">
        <v>2150783</v>
      </c>
      <c r="U14" s="329">
        <v>2151037</v>
      </c>
      <c r="V14" s="329">
        <v>2151471</v>
      </c>
      <c r="W14" s="329">
        <v>2151783</v>
      </c>
      <c r="X14" s="329">
        <v>2151975</v>
      </c>
      <c r="Y14" s="329">
        <v>2152083</v>
      </c>
      <c r="Z14" s="329">
        <v>2152087</v>
      </c>
      <c r="AA14" s="329">
        <v>2152604</v>
      </c>
      <c r="AB14" s="329">
        <v>2153209</v>
      </c>
      <c r="AC14" s="329">
        <v>2153390</v>
      </c>
      <c r="AD14" s="329">
        <v>2153607</v>
      </c>
      <c r="AE14" s="329">
        <v>2154100</v>
      </c>
      <c r="AF14" s="329">
        <v>2154100</v>
      </c>
    </row>
    <row r="15" spans="1:32" x14ac:dyDescent="0.25">
      <c r="A15" s="6" t="s">
        <v>14</v>
      </c>
      <c r="B15" s="329">
        <v>2169285</v>
      </c>
      <c r="C15" s="329">
        <v>2169489</v>
      </c>
      <c r="D15" s="329">
        <v>2169489</v>
      </c>
      <c r="E15" s="329">
        <v>2169489</v>
      </c>
      <c r="F15" s="329">
        <v>2169570</v>
      </c>
      <c r="G15" s="329">
        <v>2169835</v>
      </c>
      <c r="H15" s="329">
        <v>2170011</v>
      </c>
      <c r="I15" s="329">
        <v>2170488</v>
      </c>
      <c r="J15" s="329">
        <v>2171049</v>
      </c>
      <c r="K15" s="329">
        <v>2171568</v>
      </c>
      <c r="L15" s="329">
        <v>2171657</v>
      </c>
      <c r="M15" s="329">
        <v>2171971</v>
      </c>
      <c r="N15" s="329">
        <v>2172165</v>
      </c>
      <c r="O15" s="329">
        <v>2172419</v>
      </c>
      <c r="P15" s="329">
        <v>2172679</v>
      </c>
      <c r="Q15" s="329">
        <v>2172827</v>
      </c>
      <c r="R15" s="329">
        <v>2172827</v>
      </c>
      <c r="S15" s="329">
        <v>2172827</v>
      </c>
      <c r="T15" s="329">
        <v>2173141</v>
      </c>
      <c r="U15" s="329">
        <v>2173576</v>
      </c>
      <c r="V15" s="329">
        <v>2174053</v>
      </c>
      <c r="W15" s="329">
        <v>2174401</v>
      </c>
      <c r="X15" s="329">
        <v>2174594</v>
      </c>
      <c r="Y15" s="329">
        <v>2174594</v>
      </c>
      <c r="Z15" s="329">
        <v>2174616</v>
      </c>
      <c r="AA15" s="329">
        <v>2175220</v>
      </c>
      <c r="AB15" s="329">
        <v>2175482</v>
      </c>
      <c r="AC15" s="329">
        <v>2176086</v>
      </c>
      <c r="AD15" s="329">
        <v>2176402</v>
      </c>
      <c r="AE15" s="329">
        <v>2176963</v>
      </c>
      <c r="AF15" s="329">
        <v>2176963</v>
      </c>
    </row>
    <row r="16" spans="1:32" x14ac:dyDescent="0.25">
      <c r="A16" s="6" t="s">
        <v>15</v>
      </c>
      <c r="B16" s="329">
        <v>2016878</v>
      </c>
      <c r="C16" s="329">
        <v>2017285</v>
      </c>
      <c r="D16" s="329">
        <v>2017847</v>
      </c>
      <c r="E16" s="329">
        <v>2018323</v>
      </c>
      <c r="F16" s="329">
        <v>2018517</v>
      </c>
      <c r="G16" s="329">
        <v>2018769</v>
      </c>
      <c r="H16" s="329">
        <v>2019020</v>
      </c>
      <c r="I16" s="329">
        <v>2019455</v>
      </c>
      <c r="J16" s="329">
        <v>2019697</v>
      </c>
      <c r="K16" s="329">
        <v>2020263</v>
      </c>
      <c r="L16" s="329">
        <v>2020306</v>
      </c>
      <c r="M16" s="329">
        <v>2020578</v>
      </c>
      <c r="N16" s="329">
        <v>2020995</v>
      </c>
      <c r="O16" s="329">
        <v>2021429</v>
      </c>
      <c r="P16" s="329">
        <v>2021882</v>
      </c>
      <c r="Q16" s="329">
        <v>2021958</v>
      </c>
      <c r="R16" s="329">
        <v>2021958</v>
      </c>
      <c r="S16" s="329">
        <v>2021965</v>
      </c>
      <c r="T16" s="329">
        <v>2022168</v>
      </c>
      <c r="U16" s="329">
        <v>2022708</v>
      </c>
      <c r="V16" s="329">
        <v>2022885</v>
      </c>
      <c r="W16" s="329">
        <v>2023336</v>
      </c>
      <c r="X16" s="329">
        <v>2023590</v>
      </c>
      <c r="Y16" s="329">
        <v>2023590</v>
      </c>
      <c r="Z16" s="329">
        <v>2023609</v>
      </c>
      <c r="AA16" s="329">
        <v>2024045</v>
      </c>
      <c r="AB16" s="329">
        <v>2024607</v>
      </c>
      <c r="AC16" s="329">
        <v>2025018</v>
      </c>
      <c r="AD16" s="329">
        <v>2025151</v>
      </c>
      <c r="AE16" s="329">
        <v>2025230</v>
      </c>
      <c r="AF16" s="329">
        <v>2025230</v>
      </c>
    </row>
    <row r="17" spans="1:32" x14ac:dyDescent="0.25">
      <c r="A17" s="6" t="s">
        <v>16</v>
      </c>
      <c r="B17" s="329">
        <v>2124338</v>
      </c>
      <c r="C17" s="329">
        <v>2124568</v>
      </c>
      <c r="D17" s="329">
        <v>2124596</v>
      </c>
      <c r="E17" s="329">
        <v>2124598</v>
      </c>
      <c r="F17" s="329">
        <v>2125076</v>
      </c>
      <c r="G17" s="329">
        <v>2125667</v>
      </c>
      <c r="H17" s="329">
        <v>2125950</v>
      </c>
      <c r="I17" s="329">
        <v>2126189</v>
      </c>
      <c r="J17" s="329">
        <v>2126486</v>
      </c>
      <c r="K17" s="329">
        <v>2126962</v>
      </c>
      <c r="L17" s="329">
        <v>2127264</v>
      </c>
      <c r="M17" s="329">
        <v>2127869</v>
      </c>
      <c r="N17" s="329">
        <v>2128104</v>
      </c>
      <c r="O17" s="329">
        <v>2128356</v>
      </c>
      <c r="P17" s="329">
        <v>2128515</v>
      </c>
      <c r="Q17" s="329">
        <v>2128767</v>
      </c>
      <c r="R17" s="329">
        <v>2128767</v>
      </c>
      <c r="S17" s="329">
        <v>2128767</v>
      </c>
      <c r="T17" s="329">
        <v>2129355</v>
      </c>
      <c r="U17" s="329">
        <v>2129917</v>
      </c>
      <c r="V17" s="329">
        <v>2130070</v>
      </c>
      <c r="W17" s="329">
        <v>2130154</v>
      </c>
      <c r="X17" s="329">
        <v>2130415</v>
      </c>
      <c r="Y17" s="329">
        <v>2130453</v>
      </c>
      <c r="Z17" s="329">
        <v>2130453</v>
      </c>
      <c r="AA17" s="329">
        <v>2130903</v>
      </c>
      <c r="AB17" s="329">
        <v>2131037</v>
      </c>
      <c r="AC17" s="329">
        <v>2131289</v>
      </c>
      <c r="AD17" s="329">
        <v>2131541</v>
      </c>
      <c r="AE17" s="329">
        <v>2131854</v>
      </c>
      <c r="AF17" s="329">
        <v>2132376</v>
      </c>
    </row>
    <row r="18" spans="1:32" x14ac:dyDescent="0.25">
      <c r="A18" s="6" t="s">
        <v>17</v>
      </c>
      <c r="B18" s="329">
        <v>2097947</v>
      </c>
      <c r="C18" s="329">
        <v>2098254</v>
      </c>
      <c r="D18" s="329">
        <v>2098730</v>
      </c>
      <c r="E18" s="329">
        <v>2099162</v>
      </c>
      <c r="F18" s="329">
        <v>2099512</v>
      </c>
      <c r="G18" s="329">
        <v>2100075</v>
      </c>
      <c r="H18" s="329">
        <v>2100679</v>
      </c>
      <c r="I18" s="329">
        <v>2101234</v>
      </c>
      <c r="J18" s="329">
        <v>2101497</v>
      </c>
      <c r="K18" s="329">
        <v>2101497</v>
      </c>
      <c r="L18" s="329">
        <v>2101497</v>
      </c>
      <c r="M18" s="329">
        <v>2101629</v>
      </c>
      <c r="N18" s="329">
        <v>2101824</v>
      </c>
      <c r="O18" s="329">
        <v>2102084</v>
      </c>
      <c r="P18" s="329">
        <v>2102214</v>
      </c>
      <c r="Q18" s="329">
        <v>2102214</v>
      </c>
      <c r="R18" s="329">
        <v>2102214</v>
      </c>
      <c r="S18" s="329">
        <v>2102348</v>
      </c>
      <c r="T18" s="329">
        <v>2102865</v>
      </c>
      <c r="U18" s="329">
        <v>2103425</v>
      </c>
      <c r="V18" s="329">
        <v>2103693</v>
      </c>
      <c r="W18" s="329">
        <v>2104257</v>
      </c>
      <c r="X18" s="329">
        <v>2104709</v>
      </c>
      <c r="Y18" s="329">
        <v>2104728</v>
      </c>
      <c r="Z18" s="329">
        <v>2104728</v>
      </c>
      <c r="AA18" s="329">
        <v>2105177</v>
      </c>
      <c r="AB18" s="329">
        <v>2105373</v>
      </c>
      <c r="AC18" s="329">
        <v>2105633</v>
      </c>
      <c r="AD18" s="329">
        <v>2106152</v>
      </c>
      <c r="AE18" s="329">
        <v>2106156</v>
      </c>
      <c r="AF18" s="329">
        <v>2106156</v>
      </c>
    </row>
    <row r="19" spans="1:32" x14ac:dyDescent="0.25">
      <c r="A19" s="6" t="s">
        <v>18</v>
      </c>
      <c r="B19" s="329">
        <v>2179318</v>
      </c>
      <c r="C19" s="329">
        <v>2179922</v>
      </c>
      <c r="D19" s="329">
        <v>2180443</v>
      </c>
      <c r="E19" s="329">
        <v>2180918</v>
      </c>
      <c r="F19" s="329">
        <v>2181412</v>
      </c>
      <c r="G19" s="329">
        <v>2181580</v>
      </c>
      <c r="H19" s="329">
        <v>2181842</v>
      </c>
      <c r="I19" s="329">
        <v>2182362</v>
      </c>
      <c r="J19" s="329">
        <v>2182504</v>
      </c>
      <c r="K19" s="329">
        <v>2182504</v>
      </c>
      <c r="L19" s="329">
        <v>2182504</v>
      </c>
      <c r="M19" s="329">
        <v>2183023</v>
      </c>
      <c r="N19" s="329">
        <v>2183369</v>
      </c>
      <c r="O19" s="329">
        <v>2183974</v>
      </c>
      <c r="P19" s="329">
        <v>2184252</v>
      </c>
      <c r="Q19" s="329">
        <v>2184495</v>
      </c>
      <c r="R19" s="329">
        <v>2185057</v>
      </c>
      <c r="S19" s="329">
        <v>2185532</v>
      </c>
      <c r="T19" s="329">
        <v>2186136</v>
      </c>
      <c r="U19" s="329">
        <v>2186700</v>
      </c>
      <c r="V19" s="329">
        <v>2187261</v>
      </c>
      <c r="W19" s="329">
        <v>2187419</v>
      </c>
      <c r="X19" s="329">
        <v>2187498</v>
      </c>
      <c r="Y19" s="329">
        <v>2187498</v>
      </c>
      <c r="Z19" s="329">
        <v>2187518</v>
      </c>
      <c r="AA19" s="329">
        <v>2187727</v>
      </c>
      <c r="AB19" s="329">
        <v>2188220</v>
      </c>
      <c r="AC19" s="329">
        <v>2188310</v>
      </c>
      <c r="AD19" s="329">
        <v>2188501</v>
      </c>
      <c r="AE19" s="329">
        <v>2189089</v>
      </c>
      <c r="AF19" s="329">
        <v>2189350</v>
      </c>
    </row>
    <row r="20" spans="1:32" x14ac:dyDescent="0.25">
      <c r="A20" s="6" t="s">
        <v>19</v>
      </c>
      <c r="B20" s="329">
        <v>2151666</v>
      </c>
      <c r="C20" s="329">
        <v>2152269</v>
      </c>
      <c r="D20" s="329">
        <v>2152340</v>
      </c>
      <c r="E20" s="329">
        <v>2152860</v>
      </c>
      <c r="F20" s="329">
        <v>2153267</v>
      </c>
      <c r="G20" s="329">
        <v>2153785</v>
      </c>
      <c r="H20" s="329">
        <v>2154177</v>
      </c>
      <c r="I20" s="329">
        <v>2154379</v>
      </c>
      <c r="J20" s="329">
        <v>2155149</v>
      </c>
      <c r="K20" s="329">
        <v>2155669</v>
      </c>
      <c r="L20" s="329">
        <v>2155845</v>
      </c>
      <c r="M20" s="329">
        <v>2156022</v>
      </c>
      <c r="N20" s="329">
        <v>2156582</v>
      </c>
      <c r="O20" s="329">
        <v>2156730</v>
      </c>
      <c r="P20" s="329">
        <v>2156930</v>
      </c>
      <c r="Q20" s="329">
        <v>2157276</v>
      </c>
      <c r="R20" s="329">
        <v>2157319</v>
      </c>
      <c r="S20" s="329">
        <v>2157838</v>
      </c>
      <c r="T20" s="329">
        <v>2158096</v>
      </c>
      <c r="U20" s="329">
        <v>2158515</v>
      </c>
      <c r="V20" s="329">
        <v>2158828</v>
      </c>
      <c r="W20" s="329">
        <v>2159184</v>
      </c>
      <c r="X20" s="329">
        <v>2159704</v>
      </c>
      <c r="Y20" s="329">
        <v>2160266</v>
      </c>
      <c r="Z20" s="329">
        <v>2160309</v>
      </c>
      <c r="AA20" s="329">
        <v>2160914</v>
      </c>
      <c r="AB20" s="329">
        <v>2161176</v>
      </c>
      <c r="AC20" s="329">
        <v>2161692</v>
      </c>
      <c r="AD20" s="329">
        <v>2161784</v>
      </c>
      <c r="AE20" s="329">
        <v>2162347</v>
      </c>
      <c r="AF20" s="329">
        <v>2162736</v>
      </c>
    </row>
    <row r="21" spans="1:32" x14ac:dyDescent="0.25">
      <c r="A21" s="6" t="s">
        <v>20</v>
      </c>
      <c r="B21" s="329">
        <v>2156339</v>
      </c>
      <c r="C21" s="329">
        <v>2156590</v>
      </c>
      <c r="D21" s="329">
        <v>2156590</v>
      </c>
      <c r="E21" s="329">
        <v>2156590</v>
      </c>
      <c r="F21" s="329">
        <v>2156723</v>
      </c>
      <c r="G21" s="329">
        <v>2156924</v>
      </c>
      <c r="H21" s="329">
        <v>2157272</v>
      </c>
      <c r="I21" s="329">
        <v>2157363</v>
      </c>
      <c r="J21" s="329">
        <v>2157815</v>
      </c>
      <c r="K21" s="329">
        <v>2157815</v>
      </c>
      <c r="L21" s="329">
        <v>2157815</v>
      </c>
      <c r="M21" s="329">
        <v>2157948</v>
      </c>
      <c r="N21" s="329">
        <v>2158128</v>
      </c>
      <c r="O21" s="329">
        <v>2158259</v>
      </c>
      <c r="P21" s="329">
        <v>2158511</v>
      </c>
      <c r="Q21" s="329">
        <v>2158762</v>
      </c>
      <c r="R21" s="329">
        <v>2158762</v>
      </c>
      <c r="S21" s="329">
        <v>2158762</v>
      </c>
      <c r="T21" s="329">
        <v>2159136</v>
      </c>
      <c r="U21" s="329">
        <v>2159699</v>
      </c>
      <c r="V21" s="329">
        <v>2160175</v>
      </c>
      <c r="W21" s="329">
        <v>2160651</v>
      </c>
      <c r="X21" s="329">
        <v>2160866</v>
      </c>
      <c r="Y21" s="329">
        <v>2160866</v>
      </c>
      <c r="Z21" s="329">
        <v>2160866</v>
      </c>
      <c r="AA21" s="329">
        <v>2160999</v>
      </c>
      <c r="AB21" s="329">
        <v>2161191</v>
      </c>
      <c r="AC21" s="329">
        <v>2161427</v>
      </c>
      <c r="AD21" s="329">
        <v>2162031</v>
      </c>
      <c r="AE21" s="329">
        <v>2162144</v>
      </c>
      <c r="AF21" s="329">
        <v>2162144</v>
      </c>
    </row>
    <row r="22" spans="1:32" x14ac:dyDescent="0.25">
      <c r="A22" s="6" t="s">
        <v>21</v>
      </c>
      <c r="B22" s="329">
        <v>2075820</v>
      </c>
      <c r="C22" s="329">
        <v>2076337</v>
      </c>
      <c r="D22" s="329">
        <v>2076898</v>
      </c>
      <c r="E22" s="329">
        <v>2076941</v>
      </c>
      <c r="F22" s="329">
        <v>2077504</v>
      </c>
      <c r="G22" s="329">
        <v>2078010</v>
      </c>
      <c r="H22" s="329">
        <v>2078141</v>
      </c>
      <c r="I22" s="329">
        <v>2078728</v>
      </c>
      <c r="J22" s="329">
        <v>2079245</v>
      </c>
      <c r="K22" s="329">
        <v>2079806</v>
      </c>
      <c r="L22" s="329">
        <v>2079849</v>
      </c>
      <c r="M22" s="329">
        <v>2080455</v>
      </c>
      <c r="N22" s="329">
        <v>2080888</v>
      </c>
      <c r="O22" s="329">
        <v>2081237</v>
      </c>
      <c r="P22" s="329">
        <v>2081754</v>
      </c>
      <c r="Q22" s="329">
        <v>2081973</v>
      </c>
      <c r="R22" s="329">
        <v>2082516</v>
      </c>
      <c r="S22" s="329">
        <v>2082516</v>
      </c>
      <c r="T22" s="329">
        <v>2082969</v>
      </c>
      <c r="U22" s="329">
        <v>2083239</v>
      </c>
      <c r="V22" s="329">
        <v>2083828</v>
      </c>
      <c r="W22" s="329">
        <v>2084092</v>
      </c>
      <c r="X22" s="329">
        <v>2084611</v>
      </c>
      <c r="Y22" s="329">
        <v>2085215</v>
      </c>
      <c r="Z22" s="329">
        <v>2085690</v>
      </c>
      <c r="AA22" s="329">
        <v>2085970</v>
      </c>
      <c r="AB22" s="329">
        <v>2086507</v>
      </c>
      <c r="AC22" s="329">
        <v>2087028</v>
      </c>
      <c r="AD22" s="329">
        <v>2087552</v>
      </c>
      <c r="AE22" s="329">
        <v>2088071</v>
      </c>
      <c r="AF22" s="329">
        <v>2088633</v>
      </c>
    </row>
    <row r="23" spans="1:32" x14ac:dyDescent="0.25">
      <c r="A23" s="6" t="s">
        <v>22</v>
      </c>
      <c r="B23" s="329">
        <v>2118071</v>
      </c>
      <c r="C23" s="329">
        <v>2118205</v>
      </c>
      <c r="D23" s="329">
        <v>2118205</v>
      </c>
      <c r="E23" s="329">
        <v>2118205</v>
      </c>
      <c r="F23" s="329">
        <v>2118456</v>
      </c>
      <c r="G23" s="329">
        <v>2118811</v>
      </c>
      <c r="H23" s="329">
        <v>2119424</v>
      </c>
      <c r="I23" s="329">
        <v>2120028</v>
      </c>
      <c r="J23" s="329">
        <v>2120479</v>
      </c>
      <c r="K23" s="329">
        <v>2120479</v>
      </c>
      <c r="L23" s="329">
        <v>2120479</v>
      </c>
      <c r="M23" s="329">
        <v>2120646</v>
      </c>
      <c r="N23" s="329">
        <v>2120957</v>
      </c>
      <c r="O23" s="329">
        <v>2121111</v>
      </c>
      <c r="P23" s="329">
        <v>2121150</v>
      </c>
      <c r="Q23" s="329">
        <v>2121343</v>
      </c>
      <c r="R23" s="329">
        <v>2121343</v>
      </c>
      <c r="S23" s="329">
        <v>2121343</v>
      </c>
      <c r="T23" s="329">
        <v>2121547</v>
      </c>
      <c r="U23" s="329">
        <v>2121913</v>
      </c>
      <c r="V23" s="329">
        <v>2122435</v>
      </c>
      <c r="W23" s="329">
        <v>2123039</v>
      </c>
      <c r="X23" s="329">
        <v>2123126</v>
      </c>
      <c r="Y23" s="329">
        <v>2123127</v>
      </c>
      <c r="Z23" s="329">
        <v>2123128</v>
      </c>
      <c r="AA23" s="329">
        <v>2123443</v>
      </c>
      <c r="AB23" s="329">
        <v>2124007</v>
      </c>
      <c r="AC23" s="329">
        <v>2124612</v>
      </c>
      <c r="AD23" s="329">
        <v>2125173</v>
      </c>
      <c r="AE23" s="329">
        <v>2125313</v>
      </c>
      <c r="AF23" s="329">
        <v>2125313</v>
      </c>
    </row>
    <row r="24" spans="1:32" x14ac:dyDescent="0.25">
      <c r="A24" s="5" t="s">
        <v>23</v>
      </c>
      <c r="B24" s="329">
        <v>2149072</v>
      </c>
      <c r="C24" s="329">
        <v>2149266</v>
      </c>
      <c r="D24" s="329">
        <v>2149266</v>
      </c>
      <c r="E24" s="329">
        <v>2149266</v>
      </c>
      <c r="F24" s="329">
        <v>2149399</v>
      </c>
      <c r="G24" s="329">
        <v>2149601</v>
      </c>
      <c r="H24" s="329">
        <v>2150061</v>
      </c>
      <c r="I24" s="329">
        <v>2150451</v>
      </c>
      <c r="J24" s="329">
        <v>2150710</v>
      </c>
      <c r="K24" s="329">
        <v>2150710</v>
      </c>
      <c r="L24" s="329">
        <v>2150710</v>
      </c>
      <c r="M24" s="329">
        <v>2150841</v>
      </c>
      <c r="N24" s="329">
        <v>2151325</v>
      </c>
      <c r="O24" s="329">
        <v>2151633</v>
      </c>
      <c r="P24" s="329">
        <v>2152108</v>
      </c>
      <c r="Q24" s="329">
        <v>2152712</v>
      </c>
      <c r="R24" s="329">
        <v>2152799</v>
      </c>
      <c r="S24" s="329">
        <v>2152800</v>
      </c>
      <c r="T24" s="329">
        <v>2153149</v>
      </c>
      <c r="U24" s="329">
        <v>2153548</v>
      </c>
      <c r="V24" s="329">
        <v>2154154</v>
      </c>
      <c r="W24" s="329">
        <v>2154605</v>
      </c>
      <c r="X24" s="329">
        <v>2154852</v>
      </c>
      <c r="Y24" s="329">
        <v>2154852</v>
      </c>
      <c r="Z24" s="329">
        <v>2154852</v>
      </c>
      <c r="AA24" s="329">
        <v>2154985</v>
      </c>
      <c r="AB24" s="329">
        <v>2155522</v>
      </c>
      <c r="AC24" s="329">
        <v>2155955</v>
      </c>
      <c r="AD24" s="329">
        <v>2156132</v>
      </c>
      <c r="AE24" s="329">
        <v>2156693</v>
      </c>
      <c r="AF24" s="329">
        <v>2157038</v>
      </c>
    </row>
    <row r="25" spans="1:32" x14ac:dyDescent="0.25">
      <c r="A25" s="6" t="s">
        <v>24</v>
      </c>
      <c r="B25" s="329">
        <v>2166183</v>
      </c>
      <c r="C25" s="329">
        <v>2166616</v>
      </c>
      <c r="D25" s="329">
        <v>2166643</v>
      </c>
      <c r="E25" s="329">
        <v>2167122</v>
      </c>
      <c r="F25" s="329">
        <v>2167366</v>
      </c>
      <c r="G25" s="329">
        <v>2167617</v>
      </c>
      <c r="H25" s="329">
        <v>2167869</v>
      </c>
      <c r="I25" s="329">
        <v>2168125</v>
      </c>
      <c r="J25" s="329">
        <v>2168540</v>
      </c>
      <c r="K25" s="329">
        <v>2168540</v>
      </c>
      <c r="L25" s="329">
        <v>2168540</v>
      </c>
      <c r="M25" s="329">
        <v>2168848</v>
      </c>
      <c r="N25" s="329">
        <v>2169151</v>
      </c>
      <c r="O25" s="329">
        <v>2169603</v>
      </c>
      <c r="P25" s="329">
        <v>2169868</v>
      </c>
      <c r="Q25" s="329">
        <v>2170456</v>
      </c>
      <c r="R25" s="329">
        <v>2170888</v>
      </c>
      <c r="S25" s="329">
        <v>2170890</v>
      </c>
      <c r="T25" s="329">
        <v>2171307</v>
      </c>
      <c r="U25" s="329">
        <v>2171895</v>
      </c>
      <c r="V25" s="329">
        <v>2172166</v>
      </c>
      <c r="W25" s="329">
        <v>2172358</v>
      </c>
      <c r="X25" s="329">
        <v>2172550</v>
      </c>
      <c r="Y25" s="329">
        <v>2172917</v>
      </c>
      <c r="Z25" s="329">
        <v>2173393</v>
      </c>
      <c r="AA25" s="329">
        <v>2173955</v>
      </c>
      <c r="AB25" s="329">
        <v>2173962</v>
      </c>
      <c r="AC25" s="329">
        <v>2173966</v>
      </c>
      <c r="AD25" s="329">
        <v>2174126</v>
      </c>
      <c r="AE25" s="329">
        <v>2174407</v>
      </c>
      <c r="AF25" s="329">
        <v>2174407</v>
      </c>
    </row>
    <row r="26" spans="1:32" x14ac:dyDescent="0.25">
      <c r="A26" s="6" t="s">
        <v>25</v>
      </c>
      <c r="B26" s="329">
        <v>2172243</v>
      </c>
      <c r="C26" s="329">
        <v>2172466</v>
      </c>
      <c r="D26" s="329">
        <v>2172466</v>
      </c>
      <c r="E26" s="329">
        <v>2172466</v>
      </c>
      <c r="F26" s="329">
        <v>2172830</v>
      </c>
      <c r="G26" s="329">
        <v>2173349</v>
      </c>
      <c r="H26" s="329">
        <v>2173937</v>
      </c>
      <c r="I26" s="329">
        <v>2174016</v>
      </c>
      <c r="J26" s="329">
        <v>2174254</v>
      </c>
      <c r="K26" s="329">
        <v>2174254</v>
      </c>
      <c r="L26" s="329">
        <v>2174254</v>
      </c>
      <c r="M26" s="329">
        <v>2175013</v>
      </c>
      <c r="N26" s="329">
        <v>2175616</v>
      </c>
      <c r="O26" s="329">
        <v>2175968</v>
      </c>
      <c r="P26" s="329">
        <v>2176574</v>
      </c>
      <c r="Q26" s="329">
        <v>2177092</v>
      </c>
      <c r="R26" s="329">
        <v>2177609</v>
      </c>
      <c r="S26" s="329">
        <v>2177612</v>
      </c>
      <c r="T26" s="329">
        <v>2177814</v>
      </c>
      <c r="U26" s="329">
        <v>2178078</v>
      </c>
      <c r="V26" s="329">
        <v>2178328</v>
      </c>
      <c r="W26" s="329">
        <v>2178588</v>
      </c>
      <c r="X26" s="329">
        <v>2179036</v>
      </c>
      <c r="Y26" s="329">
        <v>2179036</v>
      </c>
      <c r="Z26" s="329">
        <v>2179036</v>
      </c>
      <c r="AA26" s="329">
        <v>2179169</v>
      </c>
      <c r="AB26" s="329">
        <v>2179755</v>
      </c>
      <c r="AC26" s="329">
        <v>2180187</v>
      </c>
      <c r="AD26" s="329">
        <v>2180705</v>
      </c>
      <c r="AE26" s="329">
        <v>2180778</v>
      </c>
      <c r="AF26" s="329">
        <v>2180778</v>
      </c>
    </row>
    <row r="27" spans="1:32" x14ac:dyDescent="0.25">
      <c r="A27" s="6" t="s">
        <v>26</v>
      </c>
      <c r="B27" s="329">
        <v>2137757</v>
      </c>
      <c r="C27" s="329">
        <v>2138274</v>
      </c>
      <c r="D27" s="329">
        <v>2138792</v>
      </c>
      <c r="E27" s="329">
        <v>2139309</v>
      </c>
      <c r="F27" s="329">
        <v>2139913</v>
      </c>
      <c r="G27" s="329">
        <v>2140116</v>
      </c>
      <c r="H27" s="329">
        <v>2140427</v>
      </c>
      <c r="I27" s="329">
        <v>2140690</v>
      </c>
      <c r="J27" s="329">
        <v>2140941</v>
      </c>
      <c r="K27" s="329">
        <v>2140941</v>
      </c>
      <c r="L27" s="329">
        <v>2140941</v>
      </c>
      <c r="M27" s="329">
        <v>2141569</v>
      </c>
      <c r="N27" s="329">
        <v>2141655</v>
      </c>
      <c r="O27" s="329">
        <v>2141861</v>
      </c>
      <c r="P27" s="329">
        <v>2142112</v>
      </c>
      <c r="Q27" s="329">
        <v>2142409</v>
      </c>
      <c r="R27" s="329">
        <v>2142452</v>
      </c>
      <c r="S27" s="329">
        <v>2142973</v>
      </c>
      <c r="T27" s="329">
        <v>2143405</v>
      </c>
      <c r="U27" s="329">
        <v>2143555</v>
      </c>
      <c r="V27" s="329">
        <v>2143806</v>
      </c>
      <c r="W27" s="329">
        <v>2144048</v>
      </c>
      <c r="X27" s="329">
        <v>2144550</v>
      </c>
      <c r="Y27" s="329">
        <v>2144550</v>
      </c>
      <c r="Z27" s="329">
        <v>2144550</v>
      </c>
      <c r="AA27" s="329">
        <v>2144771</v>
      </c>
      <c r="AB27" s="329">
        <v>2144963</v>
      </c>
      <c r="AC27" s="329">
        <v>2145465</v>
      </c>
      <c r="AD27" s="329">
        <v>2146026</v>
      </c>
      <c r="AE27" s="329">
        <v>2146544</v>
      </c>
      <c r="AF27" s="329">
        <v>2147104</v>
      </c>
    </row>
    <row r="28" spans="1:32" x14ac:dyDescent="0.25">
      <c r="A28" s="6" t="s">
        <v>27</v>
      </c>
      <c r="B28" s="329">
        <v>2102224</v>
      </c>
      <c r="C28" s="329">
        <v>2102531</v>
      </c>
      <c r="D28" s="329">
        <v>2102559</v>
      </c>
      <c r="E28" s="329">
        <v>2102906</v>
      </c>
      <c r="F28" s="329">
        <v>2103426</v>
      </c>
      <c r="G28" s="329">
        <v>2103863</v>
      </c>
      <c r="H28" s="329">
        <v>2104176</v>
      </c>
      <c r="I28" s="329">
        <v>2104612</v>
      </c>
      <c r="J28" s="329">
        <v>2104874</v>
      </c>
      <c r="K28" s="329">
        <v>2104874</v>
      </c>
      <c r="L28" s="329">
        <v>2104874</v>
      </c>
      <c r="M28" s="329">
        <v>2105392</v>
      </c>
      <c r="N28" s="329">
        <v>2105868</v>
      </c>
      <c r="O28" s="329">
        <v>2106149</v>
      </c>
      <c r="P28" s="329">
        <v>2106401</v>
      </c>
      <c r="Q28" s="329">
        <v>2106918</v>
      </c>
      <c r="R28" s="329">
        <v>2107353</v>
      </c>
      <c r="S28" s="329">
        <v>2107699</v>
      </c>
      <c r="T28" s="329">
        <v>2108136</v>
      </c>
      <c r="U28" s="329">
        <v>2108449</v>
      </c>
      <c r="V28" s="329">
        <v>2108970</v>
      </c>
      <c r="W28" s="329">
        <v>2109361</v>
      </c>
      <c r="X28" s="329">
        <v>2109835</v>
      </c>
      <c r="Y28" s="329">
        <v>2110352</v>
      </c>
      <c r="Z28" s="329">
        <v>2110826</v>
      </c>
      <c r="AA28" s="329">
        <v>2111139</v>
      </c>
      <c r="AB28" s="329">
        <v>2111700</v>
      </c>
      <c r="AC28" s="329">
        <v>2112217</v>
      </c>
      <c r="AD28" s="329">
        <v>2112666</v>
      </c>
      <c r="AE28" s="329">
        <v>2112668</v>
      </c>
      <c r="AF28" s="329">
        <v>2112668</v>
      </c>
    </row>
    <row r="29" spans="1:32" x14ac:dyDescent="0.25">
      <c r="A29" s="5" t="s">
        <v>28</v>
      </c>
      <c r="B29" s="329">
        <v>2053598</v>
      </c>
      <c r="C29" s="329">
        <v>2054188</v>
      </c>
      <c r="D29" s="329">
        <v>2054708</v>
      </c>
      <c r="E29" s="329">
        <v>2055228</v>
      </c>
      <c r="F29" s="329">
        <v>2055662</v>
      </c>
      <c r="G29" s="329">
        <v>2056141</v>
      </c>
      <c r="H29" s="329">
        <v>2056710</v>
      </c>
      <c r="I29" s="329">
        <v>2056851</v>
      </c>
      <c r="J29" s="329">
        <v>2057285</v>
      </c>
      <c r="K29" s="329">
        <v>2057285</v>
      </c>
      <c r="L29" s="329">
        <v>2057285</v>
      </c>
      <c r="M29" s="329">
        <v>2057875</v>
      </c>
      <c r="N29" s="329">
        <v>2058206</v>
      </c>
      <c r="O29" s="329">
        <v>2058348</v>
      </c>
      <c r="P29" s="329">
        <v>2058868</v>
      </c>
      <c r="Q29" s="329">
        <v>2059303</v>
      </c>
      <c r="R29" s="329">
        <v>2059826</v>
      </c>
      <c r="S29" s="329">
        <v>2060306</v>
      </c>
      <c r="T29" s="329">
        <v>2060715</v>
      </c>
      <c r="U29" s="329">
        <v>2060848</v>
      </c>
      <c r="V29" s="329">
        <v>2061040</v>
      </c>
      <c r="W29" s="329">
        <v>2061631</v>
      </c>
      <c r="X29" s="329">
        <v>2061849</v>
      </c>
      <c r="Y29" s="329">
        <v>2061849</v>
      </c>
      <c r="Z29" s="329">
        <v>2061875</v>
      </c>
      <c r="AA29" s="329">
        <v>2062140</v>
      </c>
      <c r="AB29" s="329">
        <v>2062367</v>
      </c>
      <c r="AC29" s="329">
        <v>2062367</v>
      </c>
      <c r="AD29" s="329">
        <v>2062450</v>
      </c>
      <c r="AE29" s="329">
        <v>2062559</v>
      </c>
      <c r="AF29" s="329">
        <v>2062559</v>
      </c>
    </row>
    <row r="30" spans="1:32" x14ac:dyDescent="0.25">
      <c r="A30" s="6" t="s">
        <v>29</v>
      </c>
      <c r="B30" s="329">
        <v>1795592</v>
      </c>
      <c r="C30" s="329">
        <v>1796112</v>
      </c>
      <c r="D30" s="329">
        <v>1796635</v>
      </c>
      <c r="E30" s="329">
        <v>1796655</v>
      </c>
      <c r="F30" s="329">
        <v>1797157</v>
      </c>
      <c r="G30" s="329">
        <v>1797443</v>
      </c>
      <c r="H30" s="329">
        <v>1797696</v>
      </c>
      <c r="I30" s="329">
        <v>1797959</v>
      </c>
      <c r="J30" s="329">
        <v>1798477</v>
      </c>
      <c r="K30" s="329">
        <v>1799037</v>
      </c>
      <c r="L30" s="329">
        <v>1799510</v>
      </c>
      <c r="M30" s="329">
        <v>1799959</v>
      </c>
      <c r="N30" s="329">
        <v>1800272</v>
      </c>
      <c r="O30" s="329">
        <v>1800851</v>
      </c>
      <c r="P30" s="329">
        <v>1801241</v>
      </c>
      <c r="Q30" s="329">
        <v>1801800</v>
      </c>
      <c r="R30" s="329">
        <v>1802318</v>
      </c>
      <c r="S30" s="329">
        <v>1802837</v>
      </c>
      <c r="T30" s="329">
        <v>1803037</v>
      </c>
      <c r="U30" s="329">
        <v>1803291</v>
      </c>
      <c r="V30" s="329">
        <v>1803852</v>
      </c>
      <c r="W30" s="329">
        <v>1804412</v>
      </c>
      <c r="X30" s="329">
        <v>1804499</v>
      </c>
      <c r="Y30" s="329">
        <v>1804499</v>
      </c>
      <c r="Z30" s="329">
        <v>1804678</v>
      </c>
      <c r="AA30" s="329">
        <v>1805195</v>
      </c>
      <c r="AB30" s="329">
        <v>1805644</v>
      </c>
      <c r="AC30" s="329">
        <v>1805974</v>
      </c>
      <c r="AD30" s="329">
        <v>1806534</v>
      </c>
      <c r="AE30" s="329">
        <v>1806604</v>
      </c>
      <c r="AF30" s="329">
        <v>1806604</v>
      </c>
    </row>
    <row r="31" spans="1:32" x14ac:dyDescent="0.25">
      <c r="A31" s="7" t="s">
        <v>30</v>
      </c>
      <c r="B31" s="329">
        <v>2104853</v>
      </c>
      <c r="C31" s="329">
        <v>2105417</v>
      </c>
      <c r="D31" s="329">
        <v>2105633</v>
      </c>
      <c r="E31" s="329">
        <v>2106108</v>
      </c>
      <c r="F31" s="329">
        <v>2106330</v>
      </c>
      <c r="G31" s="329">
        <v>2106593</v>
      </c>
      <c r="H31" s="329">
        <v>2106942</v>
      </c>
      <c r="I31" s="329">
        <v>2107310</v>
      </c>
      <c r="J31" s="329">
        <v>2107614</v>
      </c>
      <c r="K31" s="329">
        <v>2108132</v>
      </c>
      <c r="L31" s="329">
        <v>2108607</v>
      </c>
      <c r="M31" s="329">
        <v>2108866</v>
      </c>
      <c r="N31" s="329">
        <v>2109381</v>
      </c>
      <c r="O31" s="329">
        <v>2109832</v>
      </c>
      <c r="P31" s="329">
        <v>2109931</v>
      </c>
      <c r="Q31" s="329">
        <v>2110064</v>
      </c>
      <c r="R31" s="329">
        <v>2110064</v>
      </c>
      <c r="S31" s="329">
        <v>2110064</v>
      </c>
      <c r="T31" s="329">
        <v>2110315</v>
      </c>
      <c r="U31" s="329">
        <v>2110566</v>
      </c>
      <c r="V31" s="329">
        <v>2110739</v>
      </c>
      <c r="W31" s="329">
        <v>2110881</v>
      </c>
      <c r="X31" s="329">
        <v>2111090</v>
      </c>
      <c r="Y31" s="329">
        <v>2111525</v>
      </c>
      <c r="Z31" s="329">
        <v>2111743</v>
      </c>
      <c r="AA31" s="329">
        <v>2112304</v>
      </c>
      <c r="AB31" s="329">
        <v>2112685</v>
      </c>
      <c r="AC31" s="329">
        <v>2112944</v>
      </c>
      <c r="AD31" s="329">
        <v>2113531</v>
      </c>
      <c r="AE31" s="329">
        <v>2113963</v>
      </c>
      <c r="AF31" s="329">
        <v>2113965</v>
      </c>
    </row>
    <row r="32" spans="1:32" s="124" customFormat="1" x14ac:dyDescent="0.25">
      <c r="A32" s="6" t="s">
        <v>111</v>
      </c>
      <c r="B32" s="329">
        <v>710292</v>
      </c>
      <c r="C32" s="329">
        <v>710725</v>
      </c>
      <c r="D32" s="329">
        <v>711074</v>
      </c>
      <c r="E32" s="329">
        <v>711078</v>
      </c>
      <c r="F32" s="329">
        <v>711426</v>
      </c>
      <c r="G32" s="329">
        <v>711621</v>
      </c>
      <c r="H32" s="329">
        <v>711754</v>
      </c>
      <c r="I32" s="329">
        <v>712066</v>
      </c>
      <c r="J32" s="329">
        <v>712317</v>
      </c>
      <c r="K32" s="329">
        <v>712317</v>
      </c>
      <c r="L32" s="329">
        <v>712317</v>
      </c>
      <c r="M32" s="329">
        <v>712568</v>
      </c>
      <c r="N32" s="329">
        <v>712626</v>
      </c>
      <c r="O32" s="329">
        <v>712789</v>
      </c>
      <c r="P32" s="329">
        <v>713136</v>
      </c>
      <c r="Q32" s="329">
        <v>713654</v>
      </c>
      <c r="R32" s="329">
        <v>714375</v>
      </c>
      <c r="S32" s="329">
        <v>714375</v>
      </c>
      <c r="T32" s="329">
        <v>714910</v>
      </c>
      <c r="U32" s="329">
        <v>715104</v>
      </c>
      <c r="V32" s="329">
        <v>715236</v>
      </c>
      <c r="W32" s="329">
        <v>715487</v>
      </c>
      <c r="X32" s="329">
        <v>716057</v>
      </c>
      <c r="Y32" s="329">
        <v>716222</v>
      </c>
      <c r="Z32" s="329">
        <v>716483</v>
      </c>
      <c r="AA32" s="329">
        <v>716743</v>
      </c>
      <c r="AB32" s="329">
        <v>716832</v>
      </c>
      <c r="AC32" s="329">
        <v>717036</v>
      </c>
      <c r="AD32" s="329">
        <v>717287</v>
      </c>
      <c r="AE32" s="329">
        <v>717572</v>
      </c>
      <c r="AF32" s="329">
        <v>718007</v>
      </c>
    </row>
    <row r="33" spans="1:32" s="124" customFormat="1" x14ac:dyDescent="0.25">
      <c r="A33" s="5" t="s">
        <v>112</v>
      </c>
      <c r="B33" s="329">
        <v>653580</v>
      </c>
      <c r="C33" s="329">
        <v>654014</v>
      </c>
      <c r="D33" s="329">
        <v>654275</v>
      </c>
      <c r="E33" s="329">
        <v>654276</v>
      </c>
      <c r="F33" s="329">
        <v>654542</v>
      </c>
      <c r="G33" s="329">
        <v>654801</v>
      </c>
      <c r="H33" s="329">
        <v>655053</v>
      </c>
      <c r="I33" s="329">
        <v>655185</v>
      </c>
      <c r="J33" s="329">
        <v>655527</v>
      </c>
      <c r="K33" s="329">
        <v>655529</v>
      </c>
      <c r="L33" s="329">
        <v>655874</v>
      </c>
      <c r="M33" s="329">
        <v>656134</v>
      </c>
      <c r="N33" s="329">
        <v>656455</v>
      </c>
      <c r="O33" s="329">
        <v>656694</v>
      </c>
      <c r="P33" s="329">
        <v>656997</v>
      </c>
      <c r="Q33" s="329">
        <v>657536</v>
      </c>
      <c r="R33" s="329">
        <v>657627</v>
      </c>
      <c r="S33" s="329">
        <v>658101</v>
      </c>
      <c r="T33" s="329">
        <v>658662</v>
      </c>
      <c r="U33" s="329">
        <v>658855</v>
      </c>
      <c r="V33" s="329">
        <v>659097</v>
      </c>
      <c r="W33" s="329">
        <v>659356</v>
      </c>
      <c r="X33" s="329">
        <v>659620</v>
      </c>
      <c r="Y33" s="329">
        <v>659620</v>
      </c>
      <c r="Z33" s="329">
        <v>659620</v>
      </c>
      <c r="AA33" s="329">
        <v>659871</v>
      </c>
      <c r="AB33" s="329">
        <v>660118</v>
      </c>
      <c r="AC33" s="329">
        <v>660256</v>
      </c>
      <c r="AD33" s="329">
        <v>660482</v>
      </c>
      <c r="AE33" s="329">
        <v>660588</v>
      </c>
      <c r="AF33" s="329">
        <v>660588</v>
      </c>
    </row>
    <row r="34" spans="1:32" s="124" customFormat="1" x14ac:dyDescent="0.25">
      <c r="A34" s="6" t="s">
        <v>113</v>
      </c>
      <c r="B34" s="329">
        <v>696276</v>
      </c>
      <c r="C34" s="329">
        <v>696839</v>
      </c>
      <c r="D34" s="329">
        <v>696883</v>
      </c>
      <c r="E34" s="329">
        <v>696973</v>
      </c>
      <c r="F34" s="329">
        <v>697496</v>
      </c>
      <c r="G34" s="329">
        <v>697707</v>
      </c>
      <c r="H34" s="329">
        <v>697961</v>
      </c>
      <c r="I34" s="329">
        <v>698274</v>
      </c>
      <c r="J34" s="329">
        <v>698527</v>
      </c>
      <c r="K34" s="329">
        <v>698527</v>
      </c>
      <c r="L34" s="329">
        <v>698527</v>
      </c>
      <c r="M34" s="329">
        <v>698779</v>
      </c>
      <c r="N34" s="329">
        <v>698914</v>
      </c>
      <c r="O34" s="329">
        <v>699386</v>
      </c>
      <c r="P34" s="329">
        <v>699859</v>
      </c>
      <c r="Q34" s="329">
        <v>700242</v>
      </c>
      <c r="R34" s="329">
        <v>700242</v>
      </c>
      <c r="S34" s="329">
        <v>700242</v>
      </c>
      <c r="T34" s="329">
        <v>700495</v>
      </c>
      <c r="U34" s="329">
        <v>700627</v>
      </c>
      <c r="V34" s="329">
        <v>700879</v>
      </c>
      <c r="W34" s="329">
        <v>701132</v>
      </c>
      <c r="X34" s="329">
        <v>701722</v>
      </c>
      <c r="Y34" s="329">
        <v>702242</v>
      </c>
      <c r="Z34" s="329">
        <v>702505</v>
      </c>
      <c r="AA34" s="329">
        <v>702680</v>
      </c>
      <c r="AB34" s="329">
        <v>702769</v>
      </c>
      <c r="AC34" s="329">
        <v>703009</v>
      </c>
      <c r="AD34" s="329">
        <v>703273</v>
      </c>
      <c r="AE34" s="329">
        <v>703352</v>
      </c>
      <c r="AF34" s="329">
        <v>703356</v>
      </c>
    </row>
    <row r="35" spans="1:32" s="124" customFormat="1" x14ac:dyDescent="0.25">
      <c r="A35" s="7" t="s">
        <v>114</v>
      </c>
      <c r="B35" s="329">
        <v>707867</v>
      </c>
      <c r="C35" s="329">
        <v>708385</v>
      </c>
      <c r="D35" s="329">
        <v>708649</v>
      </c>
      <c r="E35" s="329">
        <v>708649</v>
      </c>
      <c r="F35" s="329">
        <v>708854</v>
      </c>
      <c r="G35" s="329">
        <v>709045</v>
      </c>
      <c r="H35" s="329">
        <v>709386</v>
      </c>
      <c r="I35" s="329">
        <v>709907</v>
      </c>
      <c r="J35" s="329">
        <v>710356</v>
      </c>
      <c r="K35" s="329">
        <v>710356</v>
      </c>
      <c r="L35" s="329">
        <v>710356</v>
      </c>
      <c r="M35" s="329">
        <v>710454</v>
      </c>
      <c r="N35" s="329">
        <v>710655</v>
      </c>
      <c r="O35" s="329">
        <v>711259</v>
      </c>
      <c r="P35" s="329">
        <v>711742</v>
      </c>
      <c r="Q35" s="329">
        <v>712177</v>
      </c>
      <c r="R35" s="329">
        <v>712384</v>
      </c>
      <c r="S35" s="329">
        <v>712385</v>
      </c>
      <c r="T35" s="329">
        <v>712479</v>
      </c>
      <c r="U35" s="329">
        <v>712619</v>
      </c>
      <c r="V35" s="329">
        <v>712882</v>
      </c>
      <c r="W35" s="329">
        <v>713229</v>
      </c>
      <c r="X35" s="329">
        <v>713575</v>
      </c>
      <c r="Y35" s="329">
        <v>714096</v>
      </c>
      <c r="Z35" s="329">
        <v>714441</v>
      </c>
      <c r="AA35" s="329">
        <v>714700</v>
      </c>
      <c r="AB35" s="329">
        <v>714958</v>
      </c>
      <c r="AC35" s="329">
        <v>715213</v>
      </c>
      <c r="AD35" s="329">
        <v>715463</v>
      </c>
      <c r="AE35" s="329">
        <v>715748</v>
      </c>
      <c r="AF35" s="329">
        <v>716181</v>
      </c>
    </row>
    <row r="36" spans="1:32" s="124" customFormat="1" x14ac:dyDescent="0.25">
      <c r="A36" s="5" t="s">
        <v>115</v>
      </c>
      <c r="B36" s="329">
        <v>689147</v>
      </c>
      <c r="C36" s="329">
        <v>689399</v>
      </c>
      <c r="D36" s="329">
        <v>689399</v>
      </c>
      <c r="E36" s="329">
        <v>689399</v>
      </c>
      <c r="F36" s="329">
        <v>689650</v>
      </c>
      <c r="G36" s="329">
        <v>689893</v>
      </c>
      <c r="H36" s="329">
        <v>690475</v>
      </c>
      <c r="I36" s="329">
        <v>690927</v>
      </c>
      <c r="J36" s="329">
        <v>691130</v>
      </c>
      <c r="K36" s="329">
        <v>691130</v>
      </c>
      <c r="L36" s="329">
        <v>691130</v>
      </c>
      <c r="M36" s="329">
        <v>691382</v>
      </c>
      <c r="N36" s="329">
        <v>691564</v>
      </c>
      <c r="O36" s="329">
        <v>691755</v>
      </c>
      <c r="P36" s="329">
        <v>691755</v>
      </c>
      <c r="Q36" s="329">
        <v>692039</v>
      </c>
      <c r="R36" s="329">
        <v>692039</v>
      </c>
      <c r="S36" s="329">
        <v>692039</v>
      </c>
      <c r="T36" s="329">
        <v>692208</v>
      </c>
      <c r="U36" s="329">
        <v>692555</v>
      </c>
      <c r="V36" s="329">
        <v>692817</v>
      </c>
      <c r="W36" s="329">
        <v>693047</v>
      </c>
      <c r="X36" s="329">
        <v>693395</v>
      </c>
      <c r="Y36" s="329">
        <v>693915</v>
      </c>
      <c r="Z36" s="329">
        <v>694019</v>
      </c>
      <c r="AA36" s="329">
        <v>694204</v>
      </c>
      <c r="AB36" s="329">
        <v>694456</v>
      </c>
      <c r="AC36" s="329">
        <v>694708</v>
      </c>
      <c r="AD36" s="329">
        <v>694779</v>
      </c>
      <c r="AE36" s="329">
        <v>694885</v>
      </c>
      <c r="AF36" s="329">
        <v>694885</v>
      </c>
    </row>
    <row r="37" spans="1:32" s="124" customFormat="1" x14ac:dyDescent="0.25">
      <c r="A37" s="6" t="s">
        <v>116</v>
      </c>
      <c r="B37" s="329">
        <v>725312</v>
      </c>
      <c r="C37" s="329">
        <v>725565</v>
      </c>
      <c r="D37" s="329">
        <v>725565</v>
      </c>
      <c r="E37" s="329">
        <v>725565</v>
      </c>
      <c r="F37" s="329">
        <v>725815</v>
      </c>
      <c r="G37" s="329">
        <v>725946</v>
      </c>
      <c r="H37" s="329">
        <v>726199</v>
      </c>
      <c r="I37" s="329">
        <v>726288</v>
      </c>
      <c r="J37" s="329">
        <v>726491</v>
      </c>
      <c r="K37" s="329">
        <v>726491</v>
      </c>
      <c r="L37" s="329">
        <v>726510</v>
      </c>
      <c r="M37" s="329">
        <v>726770</v>
      </c>
      <c r="N37" s="329">
        <v>727091</v>
      </c>
      <c r="O37" s="329">
        <v>727610</v>
      </c>
      <c r="P37" s="329">
        <v>727868</v>
      </c>
      <c r="Q37" s="329">
        <v>728245</v>
      </c>
      <c r="R37" s="329">
        <v>728245</v>
      </c>
      <c r="S37" s="329">
        <v>728245</v>
      </c>
      <c r="T37" s="329">
        <v>728334</v>
      </c>
      <c r="U37" s="329">
        <v>728768</v>
      </c>
      <c r="V37" s="329">
        <v>729136</v>
      </c>
      <c r="W37" s="329">
        <v>729267</v>
      </c>
      <c r="X37" s="329">
        <v>729532</v>
      </c>
      <c r="Y37" s="329">
        <v>729532</v>
      </c>
      <c r="Z37" s="329">
        <v>729532</v>
      </c>
      <c r="AA37" s="329">
        <v>729781</v>
      </c>
      <c r="AB37" s="329">
        <v>730033</v>
      </c>
      <c r="AC37" s="329">
        <v>730285</v>
      </c>
      <c r="AD37" s="329">
        <v>730382</v>
      </c>
      <c r="AE37" s="329">
        <v>730384</v>
      </c>
      <c r="AF37" s="329">
        <v>730384</v>
      </c>
    </row>
    <row r="38" spans="1:32" x14ac:dyDescent="0.25">
      <c r="A38" s="7" t="s">
        <v>117</v>
      </c>
      <c r="B38" s="329">
        <v>375690</v>
      </c>
      <c r="C38" s="329">
        <v>375954</v>
      </c>
      <c r="D38" s="329">
        <v>375954</v>
      </c>
      <c r="E38" s="329">
        <v>375954</v>
      </c>
      <c r="F38" s="329">
        <v>376304</v>
      </c>
      <c r="G38" s="329">
        <v>376910</v>
      </c>
      <c r="H38" s="329">
        <v>377389</v>
      </c>
      <c r="I38" s="329">
        <v>377659</v>
      </c>
      <c r="J38" s="329">
        <v>377911</v>
      </c>
      <c r="K38" s="329">
        <v>377911</v>
      </c>
      <c r="L38" s="329">
        <v>377911</v>
      </c>
      <c r="M38" s="329">
        <v>378161</v>
      </c>
      <c r="N38" s="329">
        <v>378473</v>
      </c>
      <c r="O38" s="329">
        <v>378820</v>
      </c>
      <c r="P38" s="329">
        <v>379030</v>
      </c>
      <c r="Q38" s="329">
        <v>379377</v>
      </c>
      <c r="R38" s="329">
        <v>379377</v>
      </c>
      <c r="S38" s="329">
        <v>379377</v>
      </c>
      <c r="T38" s="329">
        <v>379400</v>
      </c>
      <c r="U38" s="329">
        <v>379651</v>
      </c>
      <c r="V38" s="329">
        <v>379902</v>
      </c>
      <c r="W38" s="329">
        <v>380035</v>
      </c>
      <c r="X38" s="329">
        <v>380288</v>
      </c>
      <c r="Y38" s="329">
        <v>380288</v>
      </c>
      <c r="Z38" s="329">
        <v>380288</v>
      </c>
      <c r="AA38" s="329">
        <v>380539</v>
      </c>
      <c r="AB38" s="329">
        <v>380790</v>
      </c>
      <c r="AC38" s="329">
        <v>380888</v>
      </c>
      <c r="AD38" s="329">
        <v>381073</v>
      </c>
      <c r="AE38" s="329">
        <v>381146</v>
      </c>
      <c r="AF38" s="329">
        <v>381146</v>
      </c>
    </row>
    <row r="39" spans="1:32" x14ac:dyDescent="0.25">
      <c r="A39" s="5" t="s">
        <v>118</v>
      </c>
      <c r="B39" s="329">
        <v>709239</v>
      </c>
      <c r="C39" s="329">
        <v>709239</v>
      </c>
      <c r="D39" s="329">
        <v>709239</v>
      </c>
      <c r="E39" s="329">
        <v>709239</v>
      </c>
      <c r="F39" s="329">
        <v>709757</v>
      </c>
      <c r="G39" s="329">
        <v>710188</v>
      </c>
      <c r="H39" s="329">
        <v>710358</v>
      </c>
      <c r="I39" s="329">
        <v>710945</v>
      </c>
      <c r="J39" s="329">
        <v>711395</v>
      </c>
      <c r="K39" s="329">
        <v>711395</v>
      </c>
      <c r="L39" s="329">
        <v>711395</v>
      </c>
      <c r="M39" s="329">
        <v>711453</v>
      </c>
      <c r="N39" s="329">
        <v>711453</v>
      </c>
      <c r="O39" s="329">
        <v>711453</v>
      </c>
      <c r="P39" s="329">
        <v>711453</v>
      </c>
      <c r="Q39" s="329">
        <v>711453</v>
      </c>
      <c r="R39" s="329">
        <v>711453</v>
      </c>
      <c r="S39" s="329">
        <v>711453</v>
      </c>
      <c r="T39" s="329">
        <v>711453</v>
      </c>
      <c r="U39" s="329">
        <v>711453</v>
      </c>
      <c r="V39" s="329">
        <v>711453</v>
      </c>
      <c r="W39" s="329">
        <v>711453</v>
      </c>
      <c r="X39" s="329">
        <v>711453</v>
      </c>
      <c r="Y39" s="329">
        <v>711453</v>
      </c>
      <c r="Z39" s="329">
        <v>711453</v>
      </c>
      <c r="AA39" s="329">
        <v>711453</v>
      </c>
      <c r="AB39" s="329">
        <v>711453</v>
      </c>
      <c r="AC39" s="329">
        <v>711453</v>
      </c>
      <c r="AD39" s="329">
        <v>711453</v>
      </c>
      <c r="AE39" s="329">
        <v>711453</v>
      </c>
      <c r="AF39" s="329">
        <v>711453</v>
      </c>
    </row>
    <row r="40" spans="1:32" s="124" customFormat="1" ht="18" x14ac:dyDescent="0.25">
      <c r="A40" s="213"/>
      <c r="B40" s="213"/>
      <c r="C40" s="213"/>
      <c r="D40" s="213"/>
      <c r="E40" s="213"/>
      <c r="F40" s="213"/>
      <c r="G40" s="213"/>
      <c r="H40" s="213"/>
      <c r="I40" s="213"/>
      <c r="J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</row>
    <row r="41" spans="1:32" ht="18" x14ac:dyDescent="0.25">
      <c r="A41" s="349" t="s">
        <v>31</v>
      </c>
      <c r="B41" s="349"/>
      <c r="C41" s="349"/>
      <c r="D41" s="349"/>
      <c r="E41" s="349"/>
      <c r="F41" s="349"/>
      <c r="G41" s="349"/>
      <c r="H41" s="349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49"/>
      <c r="AC41" s="349"/>
      <c r="AF41" s="124"/>
    </row>
    <row r="42" spans="1:32" x14ac:dyDescent="0.25">
      <c r="A42" s="9"/>
      <c r="B42" s="62">
        <v>46023</v>
      </c>
      <c r="C42" s="62">
        <v>46024</v>
      </c>
      <c r="D42" s="62">
        <v>46025</v>
      </c>
      <c r="E42" s="62">
        <v>46026</v>
      </c>
      <c r="F42" s="62">
        <v>46027</v>
      </c>
      <c r="G42" s="62">
        <v>46028</v>
      </c>
      <c r="H42" s="62">
        <v>46029</v>
      </c>
      <c r="I42" s="62">
        <v>46030</v>
      </c>
      <c r="J42" s="62">
        <v>46031</v>
      </c>
      <c r="K42" s="62">
        <v>46032</v>
      </c>
      <c r="L42" s="62">
        <v>46033</v>
      </c>
      <c r="M42" s="62">
        <v>46034</v>
      </c>
      <c r="N42" s="62">
        <v>46035</v>
      </c>
      <c r="O42" s="62">
        <v>46036</v>
      </c>
      <c r="P42" s="62">
        <v>46037</v>
      </c>
      <c r="Q42" s="62">
        <v>46038</v>
      </c>
      <c r="R42" s="62">
        <v>46039</v>
      </c>
      <c r="S42" s="62">
        <v>46040</v>
      </c>
      <c r="T42" s="62">
        <v>46041</v>
      </c>
      <c r="U42" s="62">
        <v>46042</v>
      </c>
      <c r="V42" s="62">
        <v>46043</v>
      </c>
      <c r="W42" s="62">
        <v>46044</v>
      </c>
      <c r="X42" s="62">
        <v>46045</v>
      </c>
      <c r="Y42" s="62">
        <v>46046</v>
      </c>
      <c r="Z42" s="62">
        <v>46047</v>
      </c>
      <c r="AA42" s="62">
        <v>46048</v>
      </c>
      <c r="AB42" s="62">
        <v>46049</v>
      </c>
      <c r="AC42" s="62">
        <v>46050</v>
      </c>
      <c r="AD42" s="62">
        <v>46051</v>
      </c>
      <c r="AE42" s="62">
        <v>46052</v>
      </c>
      <c r="AF42" s="62">
        <v>46053</v>
      </c>
    </row>
    <row r="43" spans="1:32" x14ac:dyDescent="0.25">
      <c r="A43" s="9"/>
      <c r="B43" s="10" t="s">
        <v>32</v>
      </c>
      <c r="C43" s="10" t="s">
        <v>32</v>
      </c>
      <c r="D43" s="10" t="s">
        <v>32</v>
      </c>
      <c r="E43" s="10" t="s">
        <v>32</v>
      </c>
      <c r="F43" s="10" t="s">
        <v>32</v>
      </c>
      <c r="G43" s="10" t="s">
        <v>32</v>
      </c>
      <c r="H43" s="10" t="s">
        <v>32</v>
      </c>
      <c r="I43" s="10" t="s">
        <v>32</v>
      </c>
      <c r="J43" s="10" t="s">
        <v>32</v>
      </c>
      <c r="K43" s="10" t="s">
        <v>32</v>
      </c>
      <c r="L43" s="10" t="s">
        <v>32</v>
      </c>
      <c r="M43" s="10" t="s">
        <v>32</v>
      </c>
      <c r="N43" s="10" t="s">
        <v>32</v>
      </c>
      <c r="O43" s="10" t="s">
        <v>32</v>
      </c>
      <c r="P43" s="10" t="s">
        <v>32</v>
      </c>
      <c r="Q43" s="10" t="s">
        <v>32</v>
      </c>
      <c r="R43" s="10" t="s">
        <v>32</v>
      </c>
      <c r="S43" s="10" t="s">
        <v>32</v>
      </c>
      <c r="T43" s="10" t="s">
        <v>32</v>
      </c>
      <c r="U43" s="10" t="s">
        <v>32</v>
      </c>
      <c r="V43" s="10" t="s">
        <v>32</v>
      </c>
      <c r="W43" s="10" t="s">
        <v>32</v>
      </c>
      <c r="X43" s="10" t="s">
        <v>32</v>
      </c>
      <c r="Y43" s="10" t="s">
        <v>32</v>
      </c>
      <c r="Z43" s="10" t="s">
        <v>32</v>
      </c>
      <c r="AA43" s="10" t="s">
        <v>32</v>
      </c>
      <c r="AB43" s="10" t="s">
        <v>32</v>
      </c>
      <c r="AC43" s="10" t="s">
        <v>32</v>
      </c>
      <c r="AD43" s="10" t="s">
        <v>32</v>
      </c>
      <c r="AE43" s="10" t="s">
        <v>32</v>
      </c>
      <c r="AF43" s="10" t="s">
        <v>32</v>
      </c>
    </row>
    <row r="44" spans="1:32" x14ac:dyDescent="0.25">
      <c r="A44" s="9" t="s">
        <v>2</v>
      </c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  <c r="N44" s="10" t="s">
        <v>33</v>
      </c>
      <c r="O44" s="10" t="s">
        <v>33</v>
      </c>
      <c r="P44" s="10" t="s">
        <v>33</v>
      </c>
      <c r="Q44" s="10" t="s">
        <v>33</v>
      </c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10" t="s">
        <v>33</v>
      </c>
      <c r="Y44" s="10" t="s">
        <v>33</v>
      </c>
      <c r="Z44" s="10" t="s">
        <v>33</v>
      </c>
      <c r="AA44" s="10" t="s">
        <v>33</v>
      </c>
      <c r="AB44" s="10" t="s">
        <v>33</v>
      </c>
      <c r="AC44" s="10" t="s">
        <v>33</v>
      </c>
      <c r="AD44" s="10" t="s">
        <v>33</v>
      </c>
      <c r="AE44" s="10" t="s">
        <v>33</v>
      </c>
      <c r="AF44" s="10" t="s">
        <v>33</v>
      </c>
    </row>
    <row r="45" spans="1:32" x14ac:dyDescent="0.25">
      <c r="A45" s="11" t="s">
        <v>4</v>
      </c>
      <c r="B45" s="227">
        <v>217</v>
      </c>
      <c r="C45" s="12">
        <f t="shared" ref="C45:D64" si="0">C5-B5</f>
        <v>389</v>
      </c>
      <c r="D45" s="12">
        <f t="shared" si="0"/>
        <v>565</v>
      </c>
      <c r="E45" s="12">
        <f t="shared" ref="E45:F64" si="1">E5-D5</f>
        <v>41</v>
      </c>
      <c r="F45" s="12">
        <f t="shared" si="1"/>
        <v>432</v>
      </c>
      <c r="G45" s="12">
        <f t="shared" ref="G45:P54" si="2">G5-F5</f>
        <v>520</v>
      </c>
      <c r="H45" s="12">
        <f t="shared" si="2"/>
        <v>175</v>
      </c>
      <c r="I45" s="12">
        <f t="shared" si="2"/>
        <v>562</v>
      </c>
      <c r="J45" s="12">
        <f t="shared" si="2"/>
        <v>560</v>
      </c>
      <c r="K45" s="12">
        <f t="shared" si="2"/>
        <v>519</v>
      </c>
      <c r="L45" s="12">
        <f t="shared" si="2"/>
        <v>519</v>
      </c>
      <c r="M45" s="12">
        <f t="shared" si="2"/>
        <v>451</v>
      </c>
      <c r="N45" s="12">
        <f t="shared" si="2"/>
        <v>287</v>
      </c>
      <c r="O45" s="12">
        <f>O5-N5</f>
        <v>475</v>
      </c>
      <c r="P45" s="12">
        <f>P5-O5</f>
        <v>537</v>
      </c>
      <c r="Q45" s="12">
        <f>Q5-P5</f>
        <v>470</v>
      </c>
      <c r="R45" s="12">
        <f>R5-Q5</f>
        <v>0</v>
      </c>
      <c r="S45" s="12">
        <f>S5-R5</f>
        <v>0</v>
      </c>
      <c r="T45" s="12">
        <f t="shared" ref="T45:AD45" si="3">T5-S5</f>
        <v>226</v>
      </c>
      <c r="U45" s="12">
        <f t="shared" si="3"/>
        <v>505</v>
      </c>
      <c r="V45" s="12">
        <f>V5-U5</f>
        <v>450</v>
      </c>
      <c r="W45" s="12">
        <f t="shared" si="3"/>
        <v>99</v>
      </c>
      <c r="X45" s="12">
        <f t="shared" si="3"/>
        <v>201</v>
      </c>
      <c r="Y45" s="12">
        <f t="shared" si="3"/>
        <v>0</v>
      </c>
      <c r="Z45" s="12">
        <f t="shared" si="3"/>
        <v>195</v>
      </c>
      <c r="AA45" s="12">
        <f t="shared" si="3"/>
        <v>330</v>
      </c>
      <c r="AB45" s="12">
        <f t="shared" si="3"/>
        <v>520</v>
      </c>
      <c r="AC45" s="12">
        <f t="shared" si="3"/>
        <v>243</v>
      </c>
      <c r="AD45" s="12">
        <f t="shared" si="3"/>
        <v>524</v>
      </c>
      <c r="AE45" s="12">
        <f>AE5-AD5</f>
        <v>520</v>
      </c>
      <c r="AF45" s="12">
        <f>AF5-AE5</f>
        <v>520</v>
      </c>
    </row>
    <row r="46" spans="1:32" x14ac:dyDescent="0.25">
      <c r="A46" s="11" t="s">
        <v>5</v>
      </c>
      <c r="B46" s="227">
        <v>20</v>
      </c>
      <c r="C46" s="12">
        <f t="shared" si="0"/>
        <v>133</v>
      </c>
      <c r="D46" s="12">
        <f t="shared" si="0"/>
        <v>0</v>
      </c>
      <c r="E46" s="12">
        <f t="shared" si="1"/>
        <v>0</v>
      </c>
      <c r="F46" s="12">
        <f t="shared" si="1"/>
        <v>251</v>
      </c>
      <c r="G46" s="12">
        <f t="shared" si="2"/>
        <v>202</v>
      </c>
      <c r="H46" s="12">
        <f t="shared" si="2"/>
        <v>526</v>
      </c>
      <c r="I46" s="12">
        <f t="shared" si="2"/>
        <v>520</v>
      </c>
      <c r="J46" s="12">
        <f t="shared" si="2"/>
        <v>308</v>
      </c>
      <c r="K46" s="12">
        <f t="shared" si="2"/>
        <v>43</v>
      </c>
      <c r="L46" s="12">
        <f t="shared" si="2"/>
        <v>432</v>
      </c>
      <c r="M46" s="12">
        <f t="shared" si="2"/>
        <v>435</v>
      </c>
      <c r="N46" s="12">
        <f t="shared" si="2"/>
        <v>189</v>
      </c>
      <c r="O46" s="12">
        <f t="shared" si="2"/>
        <v>485</v>
      </c>
      <c r="P46" s="12">
        <f t="shared" si="2"/>
        <v>606</v>
      </c>
      <c r="Q46" s="12">
        <f t="shared" ref="Q46:R79" si="4">Q6-P6</f>
        <v>313</v>
      </c>
      <c r="R46" s="12">
        <f t="shared" si="4"/>
        <v>518</v>
      </c>
      <c r="S46" s="12">
        <f t="shared" ref="S46:S79" si="5">S6-R6</f>
        <v>432</v>
      </c>
      <c r="T46" s="12">
        <f t="shared" ref="T46:AF46" si="6">T6-S6</f>
        <v>561</v>
      </c>
      <c r="U46" s="12">
        <f t="shared" si="6"/>
        <v>133</v>
      </c>
      <c r="V46" s="12">
        <f t="shared" si="6"/>
        <v>352</v>
      </c>
      <c r="W46" s="12">
        <f t="shared" si="6"/>
        <v>268</v>
      </c>
      <c r="X46" s="12">
        <f t="shared" si="6"/>
        <v>563</v>
      </c>
      <c r="Y46" s="12">
        <f t="shared" si="6"/>
        <v>522</v>
      </c>
      <c r="Z46" s="12">
        <f t="shared" si="6"/>
        <v>434</v>
      </c>
      <c r="AA46" s="12">
        <f t="shared" si="6"/>
        <v>71</v>
      </c>
      <c r="AB46" s="12">
        <f t="shared" si="6"/>
        <v>19</v>
      </c>
      <c r="AC46" s="12">
        <f t="shared" si="6"/>
        <v>521</v>
      </c>
      <c r="AD46" s="12">
        <f t="shared" si="6"/>
        <v>175</v>
      </c>
      <c r="AE46" s="12">
        <f t="shared" si="6"/>
        <v>288</v>
      </c>
      <c r="AF46" s="12">
        <f t="shared" si="6"/>
        <v>562</v>
      </c>
    </row>
    <row r="47" spans="1:32" x14ac:dyDescent="0.25">
      <c r="A47" s="11" t="s">
        <v>6</v>
      </c>
      <c r="B47" s="227">
        <v>0</v>
      </c>
      <c r="C47" s="12">
        <f t="shared" si="0"/>
        <v>399</v>
      </c>
      <c r="D47" s="12">
        <f t="shared" si="0"/>
        <v>521</v>
      </c>
      <c r="E47" s="12">
        <f t="shared" si="1"/>
        <v>475</v>
      </c>
      <c r="F47" s="12">
        <f t="shared" si="1"/>
        <v>476</v>
      </c>
      <c r="G47" s="12">
        <f t="shared" si="2"/>
        <v>89</v>
      </c>
      <c r="H47" s="12">
        <f t="shared" si="2"/>
        <v>0</v>
      </c>
      <c r="I47" s="12">
        <f t="shared" si="2"/>
        <v>274</v>
      </c>
      <c r="J47" s="12">
        <f t="shared" si="2"/>
        <v>0</v>
      </c>
      <c r="K47" s="12">
        <f t="shared" si="2"/>
        <v>0</v>
      </c>
      <c r="L47" s="12">
        <f t="shared" si="2"/>
        <v>0</v>
      </c>
      <c r="M47" s="12">
        <f t="shared" si="2"/>
        <v>0</v>
      </c>
      <c r="N47" s="12">
        <f t="shared" si="2"/>
        <v>0</v>
      </c>
      <c r="O47" s="12">
        <f t="shared" si="2"/>
        <v>0</v>
      </c>
      <c r="P47" s="12">
        <f t="shared" si="2"/>
        <v>0</v>
      </c>
      <c r="Q47" s="12">
        <f t="shared" si="4"/>
        <v>0</v>
      </c>
      <c r="R47" s="12">
        <f t="shared" si="4"/>
        <v>0</v>
      </c>
      <c r="S47" s="12">
        <f t="shared" si="5"/>
        <v>0</v>
      </c>
      <c r="T47" s="12">
        <f t="shared" ref="T47:AF47" si="7">T7-S7</f>
        <v>0</v>
      </c>
      <c r="U47" s="12">
        <f t="shared" si="7"/>
        <v>0</v>
      </c>
      <c r="V47" s="12">
        <f t="shared" si="7"/>
        <v>0</v>
      </c>
      <c r="W47" s="12">
        <f t="shared" si="7"/>
        <v>0</v>
      </c>
      <c r="X47" s="12">
        <f t="shared" si="7"/>
        <v>18</v>
      </c>
      <c r="Y47" s="12">
        <f t="shared" si="7"/>
        <v>0</v>
      </c>
      <c r="Z47" s="12">
        <f t="shared" si="7"/>
        <v>2</v>
      </c>
      <c r="AA47" s="12">
        <f t="shared" si="7"/>
        <v>2</v>
      </c>
      <c r="AB47" s="12">
        <f t="shared" si="7"/>
        <v>3</v>
      </c>
      <c r="AC47" s="12">
        <f t="shared" si="7"/>
        <v>24</v>
      </c>
      <c r="AD47" s="12">
        <f t="shared" si="7"/>
        <v>0</v>
      </c>
      <c r="AE47" s="12">
        <f t="shared" si="7"/>
        <v>0</v>
      </c>
      <c r="AF47" s="12">
        <f t="shared" si="7"/>
        <v>0</v>
      </c>
    </row>
    <row r="48" spans="1:32" x14ac:dyDescent="0.25">
      <c r="A48" s="13" t="s">
        <v>7</v>
      </c>
      <c r="B48" s="227">
        <v>0</v>
      </c>
      <c r="C48" s="12">
        <f t="shared" si="0"/>
        <v>156</v>
      </c>
      <c r="D48" s="12">
        <f t="shared" si="0"/>
        <v>0</v>
      </c>
      <c r="E48" s="12">
        <f t="shared" si="1"/>
        <v>20</v>
      </c>
      <c r="F48" s="12">
        <f t="shared" si="1"/>
        <v>562</v>
      </c>
      <c r="G48" s="12">
        <f t="shared" si="2"/>
        <v>356</v>
      </c>
      <c r="H48" s="12">
        <f t="shared" si="2"/>
        <v>346</v>
      </c>
      <c r="I48" s="12">
        <f t="shared" si="2"/>
        <v>351</v>
      </c>
      <c r="J48" s="12">
        <f t="shared" si="2"/>
        <v>438</v>
      </c>
      <c r="K48" s="12">
        <f t="shared" si="2"/>
        <v>522</v>
      </c>
      <c r="L48" s="12">
        <f t="shared" si="2"/>
        <v>91</v>
      </c>
      <c r="M48" s="12">
        <f t="shared" si="2"/>
        <v>177</v>
      </c>
      <c r="N48" s="12">
        <f t="shared" si="2"/>
        <v>437</v>
      </c>
      <c r="O48" s="12">
        <f t="shared" si="2"/>
        <v>434</v>
      </c>
      <c r="P48" s="12">
        <f t="shared" si="2"/>
        <v>315</v>
      </c>
      <c r="Q48" s="12">
        <f t="shared" si="4"/>
        <v>182</v>
      </c>
      <c r="R48" s="12">
        <f t="shared" si="4"/>
        <v>520</v>
      </c>
      <c r="S48" s="12">
        <f t="shared" si="5"/>
        <v>479</v>
      </c>
      <c r="T48" s="12">
        <f t="shared" ref="T48:AF48" si="8">T8-S8</f>
        <v>476</v>
      </c>
      <c r="U48" s="12">
        <f t="shared" si="8"/>
        <v>452</v>
      </c>
      <c r="V48" s="12">
        <f t="shared" si="8"/>
        <v>210</v>
      </c>
      <c r="W48" s="12">
        <f t="shared" si="8"/>
        <v>477</v>
      </c>
      <c r="X48" s="12">
        <f t="shared" si="8"/>
        <v>227</v>
      </c>
      <c r="Y48" s="12">
        <f t="shared" si="8"/>
        <v>561</v>
      </c>
      <c r="Z48" s="12">
        <f t="shared" si="8"/>
        <v>475</v>
      </c>
      <c r="AA48" s="12">
        <f t="shared" si="8"/>
        <v>262</v>
      </c>
      <c r="AB48" s="12">
        <f t="shared" si="8"/>
        <v>509</v>
      </c>
      <c r="AC48" s="12">
        <f t="shared" si="8"/>
        <v>398</v>
      </c>
      <c r="AD48" s="12">
        <f t="shared" si="8"/>
        <v>349</v>
      </c>
      <c r="AE48" s="12">
        <f t="shared" si="8"/>
        <v>560</v>
      </c>
      <c r="AF48" s="12">
        <f t="shared" si="8"/>
        <v>260</v>
      </c>
    </row>
    <row r="49" spans="1:32" x14ac:dyDescent="0.25">
      <c r="A49" s="13" t="s">
        <v>8</v>
      </c>
      <c r="B49" s="227">
        <v>0</v>
      </c>
      <c r="C49" s="12">
        <f t="shared" si="0"/>
        <v>204</v>
      </c>
      <c r="D49" s="12">
        <f t="shared" si="0"/>
        <v>0</v>
      </c>
      <c r="E49" s="12">
        <f t="shared" si="1"/>
        <v>0</v>
      </c>
      <c r="F49" s="12">
        <f t="shared" si="1"/>
        <v>375</v>
      </c>
      <c r="G49" s="12">
        <f t="shared" si="2"/>
        <v>605</v>
      </c>
      <c r="H49" s="12">
        <f t="shared" si="2"/>
        <v>365</v>
      </c>
      <c r="I49" s="12">
        <f t="shared" si="2"/>
        <v>103</v>
      </c>
      <c r="J49" s="12">
        <f t="shared" si="2"/>
        <v>167</v>
      </c>
      <c r="K49" s="12">
        <f t="shared" si="2"/>
        <v>0</v>
      </c>
      <c r="L49" s="12">
        <f t="shared" si="2"/>
        <v>20</v>
      </c>
      <c r="M49" s="12">
        <f t="shared" si="2"/>
        <v>244</v>
      </c>
      <c r="N49" s="12">
        <f t="shared" si="2"/>
        <v>218</v>
      </c>
      <c r="O49" s="12">
        <f t="shared" si="2"/>
        <v>485</v>
      </c>
      <c r="P49" s="12">
        <f t="shared" si="2"/>
        <v>272</v>
      </c>
      <c r="Q49" s="12">
        <f t="shared" si="4"/>
        <v>252</v>
      </c>
      <c r="R49" s="12">
        <f t="shared" si="4"/>
        <v>0</v>
      </c>
      <c r="S49" s="12">
        <f t="shared" si="5"/>
        <v>0</v>
      </c>
      <c r="T49" s="12">
        <f t="shared" ref="T49:AF49" si="9">T9-S9</f>
        <v>252</v>
      </c>
      <c r="U49" s="12">
        <f t="shared" si="9"/>
        <v>252</v>
      </c>
      <c r="V49" s="12">
        <f t="shared" si="9"/>
        <v>244</v>
      </c>
      <c r="W49" s="12">
        <f t="shared" si="9"/>
        <v>606</v>
      </c>
      <c r="X49" s="12">
        <f t="shared" si="9"/>
        <v>435</v>
      </c>
      <c r="Y49" s="12">
        <f t="shared" si="9"/>
        <v>432</v>
      </c>
      <c r="Z49" s="12">
        <f t="shared" si="9"/>
        <v>522</v>
      </c>
      <c r="AA49" s="12">
        <f t="shared" si="9"/>
        <v>451</v>
      </c>
      <c r="AB49" s="12">
        <f t="shared" si="9"/>
        <v>200</v>
      </c>
      <c r="AC49" s="12">
        <f t="shared" si="9"/>
        <v>564</v>
      </c>
      <c r="AD49" s="12">
        <f t="shared" si="9"/>
        <v>605</v>
      </c>
      <c r="AE49" s="12">
        <f t="shared" si="9"/>
        <v>521</v>
      </c>
      <c r="AF49" s="12">
        <f t="shared" si="9"/>
        <v>0</v>
      </c>
    </row>
    <row r="50" spans="1:32" x14ac:dyDescent="0.25">
      <c r="A50" s="13" t="s">
        <v>9</v>
      </c>
      <c r="B50" s="227">
        <v>433</v>
      </c>
      <c r="C50" s="12">
        <f t="shared" si="0"/>
        <v>72</v>
      </c>
      <c r="D50" s="12">
        <f t="shared" si="0"/>
        <v>0</v>
      </c>
      <c r="E50" s="12">
        <f t="shared" si="1"/>
        <v>20</v>
      </c>
      <c r="F50" s="12">
        <f t="shared" si="1"/>
        <v>521</v>
      </c>
      <c r="G50" s="12">
        <f t="shared" si="2"/>
        <v>435</v>
      </c>
      <c r="H50" s="12">
        <f t="shared" si="2"/>
        <v>518</v>
      </c>
      <c r="I50" s="12">
        <f t="shared" si="2"/>
        <v>438</v>
      </c>
      <c r="J50" s="12">
        <f t="shared" si="2"/>
        <v>303</v>
      </c>
      <c r="K50" s="12">
        <f t="shared" si="2"/>
        <v>561</v>
      </c>
      <c r="L50" s="12">
        <f t="shared" si="2"/>
        <v>518</v>
      </c>
      <c r="M50" s="12">
        <f t="shared" si="2"/>
        <v>602</v>
      </c>
      <c r="N50" s="12">
        <f t="shared" si="2"/>
        <v>451</v>
      </c>
      <c r="O50" s="12">
        <f t="shared" si="2"/>
        <v>132</v>
      </c>
      <c r="P50" s="12">
        <f t="shared" si="2"/>
        <v>251</v>
      </c>
      <c r="Q50" s="12">
        <f t="shared" si="4"/>
        <v>190</v>
      </c>
      <c r="R50" s="12">
        <f t="shared" si="4"/>
        <v>0</v>
      </c>
      <c r="S50" s="12">
        <f t="shared" si="5"/>
        <v>0</v>
      </c>
      <c r="T50" s="12">
        <f t="shared" ref="T50:AF50" si="10">T10-S10</f>
        <v>101</v>
      </c>
      <c r="U50" s="12">
        <f t="shared" si="10"/>
        <v>99</v>
      </c>
      <c r="V50" s="12">
        <f t="shared" si="10"/>
        <v>262</v>
      </c>
      <c r="W50" s="12">
        <f t="shared" si="10"/>
        <v>251</v>
      </c>
      <c r="X50" s="12">
        <f t="shared" si="10"/>
        <v>316</v>
      </c>
      <c r="Y50" s="12">
        <f t="shared" si="10"/>
        <v>562</v>
      </c>
      <c r="Z50" s="12">
        <f t="shared" si="10"/>
        <v>475</v>
      </c>
      <c r="AA50" s="12">
        <f t="shared" si="10"/>
        <v>2</v>
      </c>
      <c r="AB50" s="12">
        <f t="shared" si="10"/>
        <v>307</v>
      </c>
      <c r="AC50" s="12">
        <f t="shared" si="10"/>
        <v>477</v>
      </c>
      <c r="AD50" s="12">
        <f t="shared" si="10"/>
        <v>141</v>
      </c>
      <c r="AE50" s="12">
        <f t="shared" si="10"/>
        <v>289</v>
      </c>
      <c r="AF50" s="12">
        <f t="shared" si="10"/>
        <v>604</v>
      </c>
    </row>
    <row r="51" spans="1:32" x14ac:dyDescent="0.25">
      <c r="A51" s="13" t="s">
        <v>10</v>
      </c>
      <c r="B51" s="227">
        <v>1</v>
      </c>
      <c r="C51" s="12">
        <f t="shared" si="0"/>
        <v>451</v>
      </c>
      <c r="D51" s="12">
        <f t="shared" si="0"/>
        <v>0</v>
      </c>
      <c r="E51" s="12">
        <f t="shared" si="1"/>
        <v>0</v>
      </c>
      <c r="F51" s="12">
        <f t="shared" si="1"/>
        <v>132</v>
      </c>
      <c r="G51" s="12">
        <f t="shared" si="2"/>
        <v>586</v>
      </c>
      <c r="H51" s="12">
        <f t="shared" si="2"/>
        <v>474</v>
      </c>
      <c r="I51" s="12">
        <f t="shared" si="2"/>
        <v>389</v>
      </c>
      <c r="J51" s="12">
        <f t="shared" si="2"/>
        <v>783</v>
      </c>
      <c r="K51" s="12">
        <f t="shared" si="2"/>
        <v>518</v>
      </c>
      <c r="L51" s="12">
        <f t="shared" si="2"/>
        <v>474</v>
      </c>
      <c r="M51" s="12">
        <f t="shared" si="2"/>
        <v>560</v>
      </c>
      <c r="N51" s="12">
        <f t="shared" si="2"/>
        <v>435</v>
      </c>
      <c r="O51" s="12">
        <f t="shared" si="2"/>
        <v>304</v>
      </c>
      <c r="P51" s="12">
        <f t="shared" si="2"/>
        <v>357</v>
      </c>
      <c r="Q51" s="12">
        <f t="shared" si="4"/>
        <v>605</v>
      </c>
      <c r="R51" s="12">
        <f t="shared" si="4"/>
        <v>562</v>
      </c>
      <c r="S51" s="12">
        <f t="shared" si="5"/>
        <v>43</v>
      </c>
      <c r="T51" s="12">
        <f t="shared" ref="T51:AF51" si="11">T11-S11</f>
        <v>603</v>
      </c>
      <c r="U51" s="12">
        <f t="shared" si="11"/>
        <v>516</v>
      </c>
      <c r="V51" s="12">
        <f t="shared" si="11"/>
        <v>203</v>
      </c>
      <c r="W51" s="12">
        <f t="shared" si="11"/>
        <v>260</v>
      </c>
      <c r="X51" s="12">
        <f t="shared" si="11"/>
        <v>559</v>
      </c>
      <c r="Y51" s="12">
        <f t="shared" si="11"/>
        <v>148</v>
      </c>
      <c r="Z51" s="12">
        <f t="shared" si="11"/>
        <v>0</v>
      </c>
      <c r="AA51" s="12">
        <f t="shared" si="11"/>
        <v>500</v>
      </c>
      <c r="AB51" s="12">
        <f t="shared" si="11"/>
        <v>142</v>
      </c>
      <c r="AC51" s="12">
        <f t="shared" si="11"/>
        <v>262</v>
      </c>
      <c r="AD51" s="12">
        <f t="shared" si="11"/>
        <v>457</v>
      </c>
      <c r="AE51" s="12">
        <f t="shared" si="11"/>
        <v>310</v>
      </c>
      <c r="AF51" s="12">
        <f t="shared" si="11"/>
        <v>517</v>
      </c>
    </row>
    <row r="52" spans="1:32" x14ac:dyDescent="0.25">
      <c r="A52" s="11" t="s">
        <v>11</v>
      </c>
      <c r="B52" s="227">
        <v>219</v>
      </c>
      <c r="C52" s="12">
        <f t="shared" si="0"/>
        <v>237</v>
      </c>
      <c r="D52" s="12">
        <f t="shared" si="0"/>
        <v>0</v>
      </c>
      <c r="E52" s="12">
        <f t="shared" si="1"/>
        <v>0</v>
      </c>
      <c r="F52" s="12">
        <f t="shared" si="1"/>
        <v>81</v>
      </c>
      <c r="G52" s="12">
        <f t="shared" si="2"/>
        <v>176</v>
      </c>
      <c r="H52" s="12">
        <f t="shared" si="2"/>
        <v>581</v>
      </c>
      <c r="I52" s="12">
        <f t="shared" si="2"/>
        <v>519</v>
      </c>
      <c r="J52" s="12">
        <f t="shared" si="2"/>
        <v>393</v>
      </c>
      <c r="K52" s="12">
        <f t="shared" si="2"/>
        <v>43</v>
      </c>
      <c r="L52" s="12">
        <f t="shared" si="2"/>
        <v>432</v>
      </c>
      <c r="M52" s="12">
        <f t="shared" si="2"/>
        <v>521</v>
      </c>
      <c r="N52" s="12">
        <f t="shared" si="2"/>
        <v>518</v>
      </c>
      <c r="O52" s="12">
        <f t="shared" si="2"/>
        <v>519</v>
      </c>
      <c r="P52" s="12">
        <f t="shared" si="2"/>
        <v>540</v>
      </c>
      <c r="Q52" s="12">
        <f t="shared" si="4"/>
        <v>471</v>
      </c>
      <c r="R52" s="12">
        <f t="shared" si="4"/>
        <v>0</v>
      </c>
      <c r="S52" s="12">
        <f t="shared" si="5"/>
        <v>0</v>
      </c>
      <c r="T52" s="12">
        <f t="shared" ref="T52:AF52" si="12">T12-S12</f>
        <v>156</v>
      </c>
      <c r="U52" s="12">
        <f t="shared" si="12"/>
        <v>307</v>
      </c>
      <c r="V52" s="12">
        <f t="shared" si="12"/>
        <v>305</v>
      </c>
      <c r="W52" s="12">
        <f t="shared" si="12"/>
        <v>451</v>
      </c>
      <c r="X52" s="12">
        <f t="shared" si="12"/>
        <v>252</v>
      </c>
      <c r="Y52" s="12">
        <f t="shared" si="12"/>
        <v>0</v>
      </c>
      <c r="Z52" s="12">
        <f t="shared" si="12"/>
        <v>0</v>
      </c>
      <c r="AA52" s="12">
        <f t="shared" si="12"/>
        <v>252</v>
      </c>
      <c r="AB52" s="12">
        <f t="shared" si="12"/>
        <v>192</v>
      </c>
      <c r="AC52" s="12">
        <f t="shared" si="12"/>
        <v>192</v>
      </c>
      <c r="AD52" s="12">
        <f t="shared" si="12"/>
        <v>133</v>
      </c>
      <c r="AE52" s="12">
        <f t="shared" si="12"/>
        <v>286</v>
      </c>
      <c r="AF52" s="12">
        <f t="shared" si="12"/>
        <v>524</v>
      </c>
    </row>
    <row r="53" spans="1:32" x14ac:dyDescent="0.25">
      <c r="A53" s="11" t="s">
        <v>12</v>
      </c>
      <c r="B53" s="227">
        <v>76</v>
      </c>
      <c r="C53" s="12">
        <f t="shared" si="0"/>
        <v>354</v>
      </c>
      <c r="D53" s="12">
        <f t="shared" si="0"/>
        <v>558</v>
      </c>
      <c r="E53" s="12">
        <f t="shared" si="1"/>
        <v>44</v>
      </c>
      <c r="F53" s="12">
        <f t="shared" si="1"/>
        <v>306</v>
      </c>
      <c r="G53" s="12">
        <f t="shared" si="2"/>
        <v>492</v>
      </c>
      <c r="H53" s="12">
        <f t="shared" si="2"/>
        <v>134</v>
      </c>
      <c r="I53" s="12">
        <f t="shared" si="2"/>
        <v>243</v>
      </c>
      <c r="J53" s="12">
        <f t="shared" si="2"/>
        <v>264</v>
      </c>
      <c r="K53" s="12">
        <f t="shared" si="2"/>
        <v>2</v>
      </c>
      <c r="L53" s="12">
        <f t="shared" si="2"/>
        <v>72</v>
      </c>
      <c r="M53" s="12">
        <f t="shared" si="2"/>
        <v>543</v>
      </c>
      <c r="N53" s="12">
        <f t="shared" si="2"/>
        <v>322</v>
      </c>
      <c r="O53" s="12">
        <f t="shared" si="2"/>
        <v>176</v>
      </c>
      <c r="P53" s="12">
        <f t="shared" si="2"/>
        <v>587</v>
      </c>
      <c r="Q53" s="12">
        <f t="shared" si="4"/>
        <v>201</v>
      </c>
      <c r="R53" s="12">
        <f t="shared" si="4"/>
        <v>0</v>
      </c>
      <c r="S53" s="12">
        <f t="shared" si="5"/>
        <v>0</v>
      </c>
      <c r="T53" s="12">
        <f t="shared" ref="T53:AF53" si="13">T13-S13</f>
        <v>250</v>
      </c>
      <c r="U53" s="12">
        <f t="shared" si="13"/>
        <v>252</v>
      </c>
      <c r="V53" s="12">
        <f t="shared" si="13"/>
        <v>367</v>
      </c>
      <c r="W53" s="12">
        <f t="shared" si="13"/>
        <v>399</v>
      </c>
      <c r="X53" s="12">
        <f t="shared" si="13"/>
        <v>449</v>
      </c>
      <c r="Y53" s="12">
        <f t="shared" si="13"/>
        <v>0</v>
      </c>
      <c r="Z53" s="12">
        <f t="shared" si="13"/>
        <v>0</v>
      </c>
      <c r="AA53" s="12">
        <f t="shared" si="13"/>
        <v>254</v>
      </c>
      <c r="AB53" s="12">
        <f t="shared" si="13"/>
        <v>433</v>
      </c>
      <c r="AC53" s="12">
        <f t="shared" si="13"/>
        <v>178</v>
      </c>
      <c r="AD53" s="12">
        <f t="shared" si="13"/>
        <v>270</v>
      </c>
      <c r="AE53" s="12">
        <f t="shared" si="13"/>
        <v>383</v>
      </c>
      <c r="AF53" s="12">
        <f t="shared" si="13"/>
        <v>0</v>
      </c>
    </row>
    <row r="54" spans="1:32" x14ac:dyDescent="0.25">
      <c r="A54" s="11" t="s">
        <v>13</v>
      </c>
      <c r="B54" s="227">
        <v>0</v>
      </c>
      <c r="C54" s="12">
        <f t="shared" si="0"/>
        <v>187</v>
      </c>
      <c r="D54" s="12">
        <f t="shared" si="0"/>
        <v>0</v>
      </c>
      <c r="E54" s="12">
        <f t="shared" si="1"/>
        <v>0</v>
      </c>
      <c r="F54" s="12">
        <f t="shared" si="1"/>
        <v>101</v>
      </c>
      <c r="G54" s="12">
        <f t="shared" si="2"/>
        <v>188</v>
      </c>
      <c r="H54" s="12">
        <f t="shared" si="2"/>
        <v>161</v>
      </c>
      <c r="I54" s="12">
        <f t="shared" si="2"/>
        <v>340</v>
      </c>
      <c r="J54" s="12">
        <f t="shared" si="2"/>
        <v>436</v>
      </c>
      <c r="K54" s="12">
        <f t="shared" si="2"/>
        <v>561</v>
      </c>
      <c r="L54" s="12">
        <f t="shared" si="2"/>
        <v>476</v>
      </c>
      <c r="M54" s="12">
        <f t="shared" si="2"/>
        <v>434</v>
      </c>
      <c r="N54" s="12">
        <f t="shared" si="2"/>
        <v>23</v>
      </c>
      <c r="O54" s="12">
        <f t="shared" si="2"/>
        <v>201</v>
      </c>
      <c r="P54" s="12">
        <f t="shared" si="2"/>
        <v>452</v>
      </c>
      <c r="Q54" s="12">
        <f t="shared" si="4"/>
        <v>271</v>
      </c>
      <c r="R54" s="12">
        <f t="shared" si="4"/>
        <v>476</v>
      </c>
      <c r="S54" s="12">
        <f t="shared" si="5"/>
        <v>432</v>
      </c>
      <c r="T54" s="12">
        <f t="shared" ref="T54:AF54" si="14">T14-S14</f>
        <v>449</v>
      </c>
      <c r="U54" s="12">
        <f t="shared" si="14"/>
        <v>254</v>
      </c>
      <c r="V54" s="12">
        <f t="shared" si="14"/>
        <v>434</v>
      </c>
      <c r="W54" s="12">
        <f t="shared" si="14"/>
        <v>312</v>
      </c>
      <c r="X54" s="12">
        <f t="shared" si="14"/>
        <v>192</v>
      </c>
      <c r="Y54" s="12">
        <f t="shared" si="14"/>
        <v>108</v>
      </c>
      <c r="Z54" s="12">
        <f t="shared" si="14"/>
        <v>4</v>
      </c>
      <c r="AA54" s="12">
        <f t="shared" si="14"/>
        <v>517</v>
      </c>
      <c r="AB54" s="12">
        <f t="shared" si="14"/>
        <v>605</v>
      </c>
      <c r="AC54" s="12">
        <f t="shared" si="14"/>
        <v>181</v>
      </c>
      <c r="AD54" s="12">
        <f t="shared" si="14"/>
        <v>217</v>
      </c>
      <c r="AE54" s="12">
        <f t="shared" si="14"/>
        <v>493</v>
      </c>
      <c r="AF54" s="12">
        <f t="shared" si="14"/>
        <v>0</v>
      </c>
    </row>
    <row r="55" spans="1:32" x14ac:dyDescent="0.25">
      <c r="A55" s="13" t="s">
        <v>14</v>
      </c>
      <c r="B55" s="227">
        <v>11</v>
      </c>
      <c r="C55" s="12">
        <f t="shared" si="0"/>
        <v>204</v>
      </c>
      <c r="D55" s="12">
        <f t="shared" si="0"/>
        <v>0</v>
      </c>
      <c r="E55" s="12">
        <f t="shared" si="1"/>
        <v>0</v>
      </c>
      <c r="F55" s="12">
        <f t="shared" si="1"/>
        <v>81</v>
      </c>
      <c r="G55" s="12">
        <f t="shared" ref="G55:P64" si="15">G15-F15</f>
        <v>265</v>
      </c>
      <c r="H55" s="12">
        <f t="shared" si="15"/>
        <v>176</v>
      </c>
      <c r="I55" s="12">
        <f t="shared" si="15"/>
        <v>477</v>
      </c>
      <c r="J55" s="12">
        <f t="shared" si="15"/>
        <v>561</v>
      </c>
      <c r="K55" s="12">
        <f t="shared" si="15"/>
        <v>519</v>
      </c>
      <c r="L55" s="12">
        <f t="shared" si="15"/>
        <v>89</v>
      </c>
      <c r="M55" s="12">
        <f t="shared" si="15"/>
        <v>314</v>
      </c>
      <c r="N55" s="12">
        <f t="shared" si="15"/>
        <v>194</v>
      </c>
      <c r="O55" s="12">
        <f t="shared" si="15"/>
        <v>254</v>
      </c>
      <c r="P55" s="12">
        <f t="shared" si="15"/>
        <v>260</v>
      </c>
      <c r="Q55" s="12">
        <f t="shared" si="4"/>
        <v>148</v>
      </c>
      <c r="R55" s="12">
        <f t="shared" si="4"/>
        <v>0</v>
      </c>
      <c r="S55" s="12">
        <f t="shared" si="5"/>
        <v>0</v>
      </c>
      <c r="T55" s="12">
        <f t="shared" ref="T55:AF55" si="16">T15-S15</f>
        <v>314</v>
      </c>
      <c r="U55" s="12">
        <f t="shared" si="16"/>
        <v>435</v>
      </c>
      <c r="V55" s="12">
        <f t="shared" si="16"/>
        <v>477</v>
      </c>
      <c r="W55" s="12">
        <f t="shared" si="16"/>
        <v>348</v>
      </c>
      <c r="X55" s="12">
        <f t="shared" si="16"/>
        <v>193</v>
      </c>
      <c r="Y55" s="12">
        <f t="shared" si="16"/>
        <v>0</v>
      </c>
      <c r="Z55" s="12">
        <f t="shared" si="16"/>
        <v>22</v>
      </c>
      <c r="AA55" s="12">
        <f t="shared" si="16"/>
        <v>604</v>
      </c>
      <c r="AB55" s="12">
        <f t="shared" si="16"/>
        <v>262</v>
      </c>
      <c r="AC55" s="12">
        <f t="shared" si="16"/>
        <v>604</v>
      </c>
      <c r="AD55" s="12">
        <f t="shared" si="16"/>
        <v>316</v>
      </c>
      <c r="AE55" s="12">
        <f t="shared" si="16"/>
        <v>561</v>
      </c>
      <c r="AF55" s="12">
        <f t="shared" si="16"/>
        <v>0</v>
      </c>
    </row>
    <row r="56" spans="1:32" x14ac:dyDescent="0.25">
      <c r="A56" s="13" t="s">
        <v>15</v>
      </c>
      <c r="B56" s="227">
        <v>547</v>
      </c>
      <c r="C56" s="12">
        <f t="shared" si="0"/>
        <v>407</v>
      </c>
      <c r="D56" s="12">
        <f t="shared" si="0"/>
        <v>562</v>
      </c>
      <c r="E56" s="12">
        <f t="shared" si="1"/>
        <v>476</v>
      </c>
      <c r="F56" s="12">
        <f t="shared" si="1"/>
        <v>194</v>
      </c>
      <c r="G56" s="12">
        <f t="shared" si="15"/>
        <v>252</v>
      </c>
      <c r="H56" s="12">
        <f t="shared" si="15"/>
        <v>251</v>
      </c>
      <c r="I56" s="12">
        <f t="shared" si="15"/>
        <v>435</v>
      </c>
      <c r="J56" s="12">
        <f t="shared" si="15"/>
        <v>242</v>
      </c>
      <c r="K56" s="12">
        <f t="shared" si="15"/>
        <v>566</v>
      </c>
      <c r="L56" s="12">
        <f t="shared" si="15"/>
        <v>43</v>
      </c>
      <c r="M56" s="12">
        <f t="shared" si="15"/>
        <v>272</v>
      </c>
      <c r="N56" s="12">
        <f t="shared" si="15"/>
        <v>417</v>
      </c>
      <c r="O56" s="12">
        <f t="shared" si="15"/>
        <v>434</v>
      </c>
      <c r="P56" s="12">
        <f t="shared" si="15"/>
        <v>453</v>
      </c>
      <c r="Q56" s="12">
        <f t="shared" si="4"/>
        <v>76</v>
      </c>
      <c r="R56" s="12">
        <f t="shared" si="4"/>
        <v>0</v>
      </c>
      <c r="S56" s="12">
        <f t="shared" si="5"/>
        <v>7</v>
      </c>
      <c r="T56" s="12">
        <f t="shared" ref="T56:AF56" si="17">T16-S16</f>
        <v>203</v>
      </c>
      <c r="U56" s="12">
        <f t="shared" si="17"/>
        <v>540</v>
      </c>
      <c r="V56" s="12">
        <f t="shared" si="17"/>
        <v>177</v>
      </c>
      <c r="W56" s="12">
        <f t="shared" si="17"/>
        <v>451</v>
      </c>
      <c r="X56" s="12">
        <f t="shared" si="17"/>
        <v>254</v>
      </c>
      <c r="Y56" s="12">
        <f t="shared" si="17"/>
        <v>0</v>
      </c>
      <c r="Z56" s="12">
        <f t="shared" si="17"/>
        <v>19</v>
      </c>
      <c r="AA56" s="12">
        <f t="shared" si="17"/>
        <v>436</v>
      </c>
      <c r="AB56" s="12">
        <f t="shared" si="17"/>
        <v>562</v>
      </c>
      <c r="AC56" s="12">
        <f t="shared" si="17"/>
        <v>411</v>
      </c>
      <c r="AD56" s="12">
        <f t="shared" si="17"/>
        <v>133</v>
      </c>
      <c r="AE56" s="12">
        <f t="shared" si="17"/>
        <v>79</v>
      </c>
      <c r="AF56" s="12">
        <f t="shared" si="17"/>
        <v>0</v>
      </c>
    </row>
    <row r="57" spans="1:32" x14ac:dyDescent="0.25">
      <c r="A57" s="13" t="s">
        <v>16</v>
      </c>
      <c r="B57" s="227">
        <v>0</v>
      </c>
      <c r="C57" s="12">
        <f t="shared" si="0"/>
        <v>230</v>
      </c>
      <c r="D57" s="12">
        <f t="shared" si="0"/>
        <v>28</v>
      </c>
      <c r="E57" s="12">
        <f t="shared" si="1"/>
        <v>2</v>
      </c>
      <c r="F57" s="12">
        <f t="shared" si="1"/>
        <v>478</v>
      </c>
      <c r="G57" s="12">
        <f t="shared" si="15"/>
        <v>591</v>
      </c>
      <c r="H57" s="12">
        <f t="shared" si="15"/>
        <v>283</v>
      </c>
      <c r="I57" s="12">
        <f t="shared" si="15"/>
        <v>239</v>
      </c>
      <c r="J57" s="12">
        <f t="shared" si="15"/>
        <v>297</v>
      </c>
      <c r="K57" s="12">
        <f t="shared" si="15"/>
        <v>476</v>
      </c>
      <c r="L57" s="12">
        <f t="shared" si="15"/>
        <v>302</v>
      </c>
      <c r="M57" s="12">
        <f t="shared" si="15"/>
        <v>605</v>
      </c>
      <c r="N57" s="12">
        <f t="shared" si="15"/>
        <v>235</v>
      </c>
      <c r="O57" s="12">
        <f t="shared" si="15"/>
        <v>252</v>
      </c>
      <c r="P57" s="12">
        <f t="shared" si="15"/>
        <v>159</v>
      </c>
      <c r="Q57" s="12">
        <f t="shared" si="4"/>
        <v>252</v>
      </c>
      <c r="R57" s="12">
        <f t="shared" si="4"/>
        <v>0</v>
      </c>
      <c r="S57" s="12">
        <f t="shared" si="5"/>
        <v>0</v>
      </c>
      <c r="T57" s="12">
        <f t="shared" ref="T57:AF57" si="18">T17-S17</f>
        <v>588</v>
      </c>
      <c r="U57" s="12">
        <f t="shared" si="18"/>
        <v>562</v>
      </c>
      <c r="V57" s="12">
        <f t="shared" si="18"/>
        <v>153</v>
      </c>
      <c r="W57" s="12">
        <f t="shared" si="18"/>
        <v>84</v>
      </c>
      <c r="X57" s="12">
        <f t="shared" si="18"/>
        <v>261</v>
      </c>
      <c r="Y57" s="12">
        <f t="shared" si="18"/>
        <v>38</v>
      </c>
      <c r="Z57" s="12">
        <f t="shared" si="18"/>
        <v>0</v>
      </c>
      <c r="AA57" s="12">
        <f t="shared" si="18"/>
        <v>450</v>
      </c>
      <c r="AB57" s="12">
        <f t="shared" si="18"/>
        <v>134</v>
      </c>
      <c r="AC57" s="12">
        <f t="shared" si="18"/>
        <v>252</v>
      </c>
      <c r="AD57" s="12">
        <f t="shared" si="18"/>
        <v>252</v>
      </c>
      <c r="AE57" s="12">
        <f t="shared" si="18"/>
        <v>313</v>
      </c>
      <c r="AF57" s="12">
        <f t="shared" si="18"/>
        <v>522</v>
      </c>
    </row>
    <row r="58" spans="1:32" x14ac:dyDescent="0.25">
      <c r="A58" s="13" t="s">
        <v>17</v>
      </c>
      <c r="B58" s="227">
        <v>521</v>
      </c>
      <c r="C58" s="12">
        <f t="shared" si="0"/>
        <v>307</v>
      </c>
      <c r="D58" s="12">
        <f t="shared" si="0"/>
        <v>476</v>
      </c>
      <c r="E58" s="12">
        <f t="shared" si="1"/>
        <v>432</v>
      </c>
      <c r="F58" s="12">
        <f t="shared" si="1"/>
        <v>350</v>
      </c>
      <c r="G58" s="12">
        <f t="shared" si="15"/>
        <v>563</v>
      </c>
      <c r="H58" s="12">
        <f t="shared" si="15"/>
        <v>604</v>
      </c>
      <c r="I58" s="12">
        <f t="shared" si="15"/>
        <v>555</v>
      </c>
      <c r="J58" s="12">
        <f t="shared" si="15"/>
        <v>263</v>
      </c>
      <c r="K58" s="12">
        <f t="shared" si="15"/>
        <v>0</v>
      </c>
      <c r="L58" s="12">
        <f t="shared" si="15"/>
        <v>0</v>
      </c>
      <c r="M58" s="12">
        <f t="shared" si="15"/>
        <v>132</v>
      </c>
      <c r="N58" s="12">
        <f t="shared" si="15"/>
        <v>195</v>
      </c>
      <c r="O58" s="12">
        <f t="shared" si="15"/>
        <v>260</v>
      </c>
      <c r="P58" s="12">
        <f t="shared" si="15"/>
        <v>130</v>
      </c>
      <c r="Q58" s="12">
        <f t="shared" si="4"/>
        <v>0</v>
      </c>
      <c r="R58" s="12">
        <f t="shared" si="4"/>
        <v>0</v>
      </c>
      <c r="S58" s="12">
        <f t="shared" si="5"/>
        <v>134</v>
      </c>
      <c r="T58" s="12">
        <f t="shared" ref="T58:AF58" si="19">T18-S18</f>
        <v>517</v>
      </c>
      <c r="U58" s="12">
        <f t="shared" si="19"/>
        <v>560</v>
      </c>
      <c r="V58" s="12">
        <f t="shared" si="19"/>
        <v>268</v>
      </c>
      <c r="W58" s="12">
        <f t="shared" si="19"/>
        <v>564</v>
      </c>
      <c r="X58" s="12">
        <f t="shared" si="19"/>
        <v>452</v>
      </c>
      <c r="Y58" s="12">
        <f t="shared" si="19"/>
        <v>19</v>
      </c>
      <c r="Z58" s="12">
        <f t="shared" si="19"/>
        <v>0</v>
      </c>
      <c r="AA58" s="12">
        <f t="shared" si="19"/>
        <v>449</v>
      </c>
      <c r="AB58" s="12">
        <f t="shared" si="19"/>
        <v>196</v>
      </c>
      <c r="AC58" s="12">
        <f t="shared" si="19"/>
        <v>260</v>
      </c>
      <c r="AD58" s="12">
        <f t="shared" si="19"/>
        <v>519</v>
      </c>
      <c r="AE58" s="12">
        <f t="shared" si="19"/>
        <v>4</v>
      </c>
      <c r="AF58" s="12">
        <f t="shared" si="19"/>
        <v>0</v>
      </c>
    </row>
    <row r="59" spans="1:32" x14ac:dyDescent="0.25">
      <c r="A59" s="13" t="s">
        <v>18</v>
      </c>
      <c r="B59" s="227">
        <v>21</v>
      </c>
      <c r="C59" s="12">
        <f t="shared" si="0"/>
        <v>604</v>
      </c>
      <c r="D59" s="12">
        <f t="shared" si="0"/>
        <v>521</v>
      </c>
      <c r="E59" s="12">
        <f t="shared" si="1"/>
        <v>475</v>
      </c>
      <c r="F59" s="12">
        <f t="shared" si="1"/>
        <v>494</v>
      </c>
      <c r="G59" s="12">
        <f t="shared" si="15"/>
        <v>168</v>
      </c>
      <c r="H59" s="12">
        <f t="shared" si="15"/>
        <v>262</v>
      </c>
      <c r="I59" s="12">
        <f t="shared" si="15"/>
        <v>520</v>
      </c>
      <c r="J59" s="12">
        <f t="shared" si="15"/>
        <v>142</v>
      </c>
      <c r="K59" s="12">
        <f t="shared" si="15"/>
        <v>0</v>
      </c>
      <c r="L59" s="12">
        <f t="shared" si="15"/>
        <v>0</v>
      </c>
      <c r="M59" s="12">
        <f t="shared" si="15"/>
        <v>519</v>
      </c>
      <c r="N59" s="12">
        <f t="shared" si="15"/>
        <v>346</v>
      </c>
      <c r="O59" s="12">
        <f t="shared" si="15"/>
        <v>605</v>
      </c>
      <c r="P59" s="12">
        <f t="shared" si="15"/>
        <v>278</v>
      </c>
      <c r="Q59" s="12">
        <f t="shared" si="4"/>
        <v>243</v>
      </c>
      <c r="R59" s="12">
        <f t="shared" si="4"/>
        <v>562</v>
      </c>
      <c r="S59" s="12">
        <f t="shared" si="5"/>
        <v>475</v>
      </c>
      <c r="T59" s="12">
        <f t="shared" ref="T59:AF59" si="20">T19-S19</f>
        <v>604</v>
      </c>
      <c r="U59" s="12">
        <f t="shared" si="20"/>
        <v>564</v>
      </c>
      <c r="V59" s="12">
        <f t="shared" si="20"/>
        <v>561</v>
      </c>
      <c r="W59" s="12">
        <f t="shared" si="20"/>
        <v>158</v>
      </c>
      <c r="X59" s="12">
        <f t="shared" si="20"/>
        <v>79</v>
      </c>
      <c r="Y59" s="12">
        <f t="shared" si="20"/>
        <v>0</v>
      </c>
      <c r="Z59" s="12">
        <f t="shared" si="20"/>
        <v>20</v>
      </c>
      <c r="AA59" s="12">
        <f t="shared" si="20"/>
        <v>209</v>
      </c>
      <c r="AB59" s="12">
        <f t="shared" si="20"/>
        <v>493</v>
      </c>
      <c r="AC59" s="12">
        <f t="shared" si="20"/>
        <v>90</v>
      </c>
      <c r="AD59" s="12">
        <f t="shared" si="20"/>
        <v>191</v>
      </c>
      <c r="AE59" s="12">
        <f t="shared" si="20"/>
        <v>588</v>
      </c>
      <c r="AF59" s="12">
        <f t="shared" si="20"/>
        <v>261</v>
      </c>
    </row>
    <row r="60" spans="1:32" x14ac:dyDescent="0.25">
      <c r="A60" s="13" t="s">
        <v>19</v>
      </c>
      <c r="B60" s="227">
        <v>474</v>
      </c>
      <c r="C60" s="12">
        <f t="shared" si="0"/>
        <v>603</v>
      </c>
      <c r="D60" s="12">
        <f t="shared" si="0"/>
        <v>71</v>
      </c>
      <c r="E60" s="12">
        <f t="shared" si="1"/>
        <v>520</v>
      </c>
      <c r="F60" s="12">
        <f t="shared" si="1"/>
        <v>407</v>
      </c>
      <c r="G60" s="12">
        <f t="shared" si="15"/>
        <v>518</v>
      </c>
      <c r="H60" s="12">
        <f t="shared" si="15"/>
        <v>392</v>
      </c>
      <c r="I60" s="12">
        <f t="shared" si="15"/>
        <v>202</v>
      </c>
      <c r="J60" s="12">
        <f t="shared" si="15"/>
        <v>770</v>
      </c>
      <c r="K60" s="12">
        <f t="shared" si="15"/>
        <v>520</v>
      </c>
      <c r="L60" s="12">
        <f t="shared" si="15"/>
        <v>176</v>
      </c>
      <c r="M60" s="12">
        <f t="shared" si="15"/>
        <v>177</v>
      </c>
      <c r="N60" s="12">
        <f t="shared" si="15"/>
        <v>560</v>
      </c>
      <c r="O60" s="12">
        <f t="shared" si="15"/>
        <v>148</v>
      </c>
      <c r="P60" s="12">
        <f t="shared" si="15"/>
        <v>200</v>
      </c>
      <c r="Q60" s="12">
        <f t="shared" si="4"/>
        <v>346</v>
      </c>
      <c r="R60" s="12">
        <f t="shared" si="4"/>
        <v>43</v>
      </c>
      <c r="S60" s="12">
        <f t="shared" si="5"/>
        <v>519</v>
      </c>
      <c r="T60" s="12">
        <f t="shared" ref="T60:AF60" si="21">T20-S20</f>
        <v>258</v>
      </c>
      <c r="U60" s="12">
        <f t="shared" si="21"/>
        <v>419</v>
      </c>
      <c r="V60" s="12">
        <f t="shared" si="21"/>
        <v>313</v>
      </c>
      <c r="W60" s="12">
        <f t="shared" si="21"/>
        <v>356</v>
      </c>
      <c r="X60" s="12">
        <f t="shared" si="21"/>
        <v>520</v>
      </c>
      <c r="Y60" s="12">
        <f t="shared" si="21"/>
        <v>562</v>
      </c>
      <c r="Z60" s="12">
        <f t="shared" si="21"/>
        <v>43</v>
      </c>
      <c r="AA60" s="12">
        <f t="shared" si="21"/>
        <v>605</v>
      </c>
      <c r="AB60" s="12">
        <f t="shared" si="21"/>
        <v>262</v>
      </c>
      <c r="AC60" s="12">
        <f t="shared" si="21"/>
        <v>516</v>
      </c>
      <c r="AD60" s="12">
        <f t="shared" si="21"/>
        <v>92</v>
      </c>
      <c r="AE60" s="12">
        <f t="shared" si="21"/>
        <v>563</v>
      </c>
      <c r="AF60" s="12">
        <f t="shared" si="21"/>
        <v>389</v>
      </c>
    </row>
    <row r="61" spans="1:32" x14ac:dyDescent="0.25">
      <c r="A61" s="13" t="s">
        <v>20</v>
      </c>
      <c r="B61" s="227">
        <v>0</v>
      </c>
      <c r="C61" s="12">
        <f t="shared" si="0"/>
        <v>251</v>
      </c>
      <c r="D61" s="12">
        <f t="shared" si="0"/>
        <v>0</v>
      </c>
      <c r="E61" s="12">
        <f t="shared" si="1"/>
        <v>0</v>
      </c>
      <c r="F61" s="12">
        <f t="shared" si="1"/>
        <v>133</v>
      </c>
      <c r="G61" s="12">
        <f t="shared" si="15"/>
        <v>201</v>
      </c>
      <c r="H61" s="12">
        <f t="shared" si="15"/>
        <v>348</v>
      </c>
      <c r="I61" s="12">
        <f t="shared" si="15"/>
        <v>91</v>
      </c>
      <c r="J61" s="12">
        <f t="shared" si="15"/>
        <v>452</v>
      </c>
      <c r="K61" s="12">
        <f t="shared" si="15"/>
        <v>0</v>
      </c>
      <c r="L61" s="12">
        <f t="shared" si="15"/>
        <v>0</v>
      </c>
      <c r="M61" s="12">
        <f t="shared" si="15"/>
        <v>133</v>
      </c>
      <c r="N61" s="12">
        <f t="shared" si="15"/>
        <v>180</v>
      </c>
      <c r="O61" s="12">
        <f t="shared" si="15"/>
        <v>131</v>
      </c>
      <c r="P61" s="12">
        <f t="shared" si="15"/>
        <v>252</v>
      </c>
      <c r="Q61" s="12">
        <f t="shared" si="4"/>
        <v>251</v>
      </c>
      <c r="R61" s="12">
        <f t="shared" si="4"/>
        <v>0</v>
      </c>
      <c r="S61" s="12">
        <f t="shared" si="5"/>
        <v>0</v>
      </c>
      <c r="T61" s="12">
        <f t="shared" ref="T61:AF61" si="22">T21-S21</f>
        <v>374</v>
      </c>
      <c r="U61" s="12">
        <f t="shared" si="22"/>
        <v>563</v>
      </c>
      <c r="V61" s="12">
        <f t="shared" si="22"/>
        <v>476</v>
      </c>
      <c r="W61" s="12">
        <f t="shared" si="22"/>
        <v>476</v>
      </c>
      <c r="X61" s="12">
        <f t="shared" si="22"/>
        <v>215</v>
      </c>
      <c r="Y61" s="12">
        <f t="shared" si="22"/>
        <v>0</v>
      </c>
      <c r="Z61" s="12">
        <f t="shared" si="22"/>
        <v>0</v>
      </c>
      <c r="AA61" s="12">
        <f t="shared" si="22"/>
        <v>133</v>
      </c>
      <c r="AB61" s="12">
        <f t="shared" si="22"/>
        <v>192</v>
      </c>
      <c r="AC61" s="12">
        <f t="shared" si="22"/>
        <v>236</v>
      </c>
      <c r="AD61" s="12">
        <f t="shared" si="22"/>
        <v>604</v>
      </c>
      <c r="AE61" s="12">
        <f t="shared" si="22"/>
        <v>113</v>
      </c>
      <c r="AF61" s="12">
        <f t="shared" si="22"/>
        <v>0</v>
      </c>
    </row>
    <row r="62" spans="1:32" x14ac:dyDescent="0.25">
      <c r="A62" s="13" t="s">
        <v>21</v>
      </c>
      <c r="B62" s="227">
        <v>431</v>
      </c>
      <c r="C62" s="12">
        <f t="shared" si="0"/>
        <v>517</v>
      </c>
      <c r="D62" s="12">
        <f t="shared" si="0"/>
        <v>561</v>
      </c>
      <c r="E62" s="12">
        <f t="shared" si="1"/>
        <v>43</v>
      </c>
      <c r="F62" s="12">
        <f t="shared" si="1"/>
        <v>563</v>
      </c>
      <c r="G62" s="12">
        <f t="shared" si="15"/>
        <v>506</v>
      </c>
      <c r="H62" s="12">
        <f t="shared" si="15"/>
        <v>131</v>
      </c>
      <c r="I62" s="12">
        <f t="shared" si="15"/>
        <v>587</v>
      </c>
      <c r="J62" s="12">
        <f t="shared" si="15"/>
        <v>517</v>
      </c>
      <c r="K62" s="12">
        <f t="shared" si="15"/>
        <v>561</v>
      </c>
      <c r="L62" s="12">
        <f t="shared" si="15"/>
        <v>43</v>
      </c>
      <c r="M62" s="12">
        <f t="shared" si="15"/>
        <v>606</v>
      </c>
      <c r="N62" s="12">
        <f t="shared" si="15"/>
        <v>433</v>
      </c>
      <c r="O62" s="12">
        <f t="shared" si="15"/>
        <v>349</v>
      </c>
      <c r="P62" s="12">
        <f t="shared" si="15"/>
        <v>517</v>
      </c>
      <c r="Q62" s="12">
        <f t="shared" si="4"/>
        <v>219</v>
      </c>
      <c r="R62" s="12">
        <f t="shared" si="4"/>
        <v>543</v>
      </c>
      <c r="S62" s="12">
        <f t="shared" si="5"/>
        <v>0</v>
      </c>
      <c r="T62" s="12">
        <f t="shared" ref="T62:AF62" si="23">T22-S22</f>
        <v>453</v>
      </c>
      <c r="U62" s="12">
        <f t="shared" si="23"/>
        <v>270</v>
      </c>
      <c r="V62" s="12">
        <f t="shared" si="23"/>
        <v>589</v>
      </c>
      <c r="W62" s="12">
        <f t="shared" si="23"/>
        <v>264</v>
      </c>
      <c r="X62" s="12">
        <f t="shared" si="23"/>
        <v>519</v>
      </c>
      <c r="Y62" s="12">
        <f t="shared" si="23"/>
        <v>604</v>
      </c>
      <c r="Z62" s="12">
        <f t="shared" si="23"/>
        <v>475</v>
      </c>
      <c r="AA62" s="12">
        <f t="shared" si="23"/>
        <v>280</v>
      </c>
      <c r="AB62" s="12">
        <f t="shared" si="23"/>
        <v>537</v>
      </c>
      <c r="AC62" s="12">
        <f t="shared" si="23"/>
        <v>521</v>
      </c>
      <c r="AD62" s="12">
        <f t="shared" si="23"/>
        <v>524</v>
      </c>
      <c r="AE62" s="12">
        <f t="shared" si="23"/>
        <v>519</v>
      </c>
      <c r="AF62" s="12">
        <f t="shared" si="23"/>
        <v>562</v>
      </c>
    </row>
    <row r="63" spans="1:32" x14ac:dyDescent="0.25">
      <c r="A63" s="13" t="s">
        <v>22</v>
      </c>
      <c r="B63" s="227">
        <v>0</v>
      </c>
      <c r="C63" s="12">
        <f t="shared" si="0"/>
        <v>134</v>
      </c>
      <c r="D63" s="12">
        <f t="shared" si="0"/>
        <v>0</v>
      </c>
      <c r="E63" s="12">
        <f t="shared" si="1"/>
        <v>0</v>
      </c>
      <c r="F63" s="12">
        <f t="shared" si="1"/>
        <v>251</v>
      </c>
      <c r="G63" s="12">
        <f t="shared" si="15"/>
        <v>355</v>
      </c>
      <c r="H63" s="12">
        <f t="shared" si="15"/>
        <v>613</v>
      </c>
      <c r="I63" s="12">
        <f t="shared" si="15"/>
        <v>604</v>
      </c>
      <c r="J63" s="12">
        <f t="shared" si="15"/>
        <v>451</v>
      </c>
      <c r="K63" s="12">
        <f t="shared" si="15"/>
        <v>0</v>
      </c>
      <c r="L63" s="12">
        <f t="shared" si="15"/>
        <v>0</v>
      </c>
      <c r="M63" s="12">
        <f t="shared" si="15"/>
        <v>167</v>
      </c>
      <c r="N63" s="12">
        <f t="shared" si="15"/>
        <v>311</v>
      </c>
      <c r="O63" s="12">
        <f t="shared" si="15"/>
        <v>154</v>
      </c>
      <c r="P63" s="12">
        <f t="shared" si="15"/>
        <v>39</v>
      </c>
      <c r="Q63" s="12">
        <f t="shared" si="4"/>
        <v>193</v>
      </c>
      <c r="R63" s="12">
        <f t="shared" si="4"/>
        <v>0</v>
      </c>
      <c r="S63" s="12">
        <f t="shared" si="5"/>
        <v>0</v>
      </c>
      <c r="T63" s="12">
        <f t="shared" ref="T63:AF63" si="24">T23-S23</f>
        <v>204</v>
      </c>
      <c r="U63" s="12">
        <f t="shared" si="24"/>
        <v>366</v>
      </c>
      <c r="V63" s="12">
        <f t="shared" si="24"/>
        <v>522</v>
      </c>
      <c r="W63" s="12">
        <f t="shared" si="24"/>
        <v>604</v>
      </c>
      <c r="X63" s="12">
        <f t="shared" si="24"/>
        <v>87</v>
      </c>
      <c r="Y63" s="12">
        <f t="shared" si="24"/>
        <v>1</v>
      </c>
      <c r="Z63" s="12">
        <f t="shared" si="24"/>
        <v>1</v>
      </c>
      <c r="AA63" s="12">
        <f t="shared" si="24"/>
        <v>315</v>
      </c>
      <c r="AB63" s="12">
        <f t="shared" si="24"/>
        <v>564</v>
      </c>
      <c r="AC63" s="12">
        <f t="shared" si="24"/>
        <v>605</v>
      </c>
      <c r="AD63" s="12">
        <f t="shared" si="24"/>
        <v>561</v>
      </c>
      <c r="AE63" s="12">
        <f t="shared" si="24"/>
        <v>140</v>
      </c>
      <c r="AF63" s="12">
        <f t="shared" si="24"/>
        <v>0</v>
      </c>
    </row>
    <row r="64" spans="1:32" x14ac:dyDescent="0.25">
      <c r="A64" s="11" t="s">
        <v>23</v>
      </c>
      <c r="B64" s="227">
        <v>0</v>
      </c>
      <c r="C64" s="12">
        <f t="shared" si="0"/>
        <v>194</v>
      </c>
      <c r="D64" s="12">
        <f t="shared" si="0"/>
        <v>0</v>
      </c>
      <c r="E64" s="12">
        <f t="shared" si="1"/>
        <v>0</v>
      </c>
      <c r="F64" s="12">
        <f t="shared" si="1"/>
        <v>133</v>
      </c>
      <c r="G64" s="12">
        <f t="shared" si="15"/>
        <v>202</v>
      </c>
      <c r="H64" s="12">
        <f t="shared" si="15"/>
        <v>460</v>
      </c>
      <c r="I64" s="12">
        <f t="shared" si="15"/>
        <v>390</v>
      </c>
      <c r="J64" s="12">
        <f t="shared" si="15"/>
        <v>259</v>
      </c>
      <c r="K64" s="12">
        <f t="shared" si="15"/>
        <v>0</v>
      </c>
      <c r="L64" s="12">
        <f t="shared" si="15"/>
        <v>0</v>
      </c>
      <c r="M64" s="12">
        <f t="shared" si="15"/>
        <v>131</v>
      </c>
      <c r="N64" s="12">
        <f t="shared" si="15"/>
        <v>484</v>
      </c>
      <c r="O64" s="12">
        <f t="shared" si="15"/>
        <v>308</v>
      </c>
      <c r="P64" s="12">
        <f t="shared" si="15"/>
        <v>475</v>
      </c>
      <c r="Q64" s="12">
        <f t="shared" si="4"/>
        <v>604</v>
      </c>
      <c r="R64" s="12">
        <f t="shared" si="4"/>
        <v>87</v>
      </c>
      <c r="S64" s="12">
        <f t="shared" si="5"/>
        <v>1</v>
      </c>
      <c r="T64" s="12">
        <f t="shared" ref="T64:AF64" si="25">T24-S24</f>
        <v>349</v>
      </c>
      <c r="U64" s="12">
        <f t="shared" si="25"/>
        <v>399</v>
      </c>
      <c r="V64" s="12">
        <f t="shared" si="25"/>
        <v>606</v>
      </c>
      <c r="W64" s="12">
        <f t="shared" si="25"/>
        <v>451</v>
      </c>
      <c r="X64" s="12">
        <f t="shared" si="25"/>
        <v>247</v>
      </c>
      <c r="Y64" s="12">
        <f t="shared" si="25"/>
        <v>0</v>
      </c>
      <c r="Z64" s="12">
        <f t="shared" si="25"/>
        <v>0</v>
      </c>
      <c r="AA64" s="12">
        <f t="shared" si="25"/>
        <v>133</v>
      </c>
      <c r="AB64" s="12">
        <f t="shared" si="25"/>
        <v>537</v>
      </c>
      <c r="AC64" s="12">
        <f t="shared" si="25"/>
        <v>433</v>
      </c>
      <c r="AD64" s="12">
        <f t="shared" si="25"/>
        <v>177</v>
      </c>
      <c r="AE64" s="12">
        <f t="shared" si="25"/>
        <v>561</v>
      </c>
      <c r="AF64" s="12">
        <f t="shared" si="25"/>
        <v>345</v>
      </c>
    </row>
    <row r="65" spans="1:32" x14ac:dyDescent="0.25">
      <c r="A65" s="13" t="s">
        <v>24</v>
      </c>
      <c r="B65" s="227">
        <v>593</v>
      </c>
      <c r="C65" s="12">
        <f t="shared" ref="C65:D79" si="26">C25-B25</f>
        <v>433</v>
      </c>
      <c r="D65" s="12">
        <f t="shared" si="26"/>
        <v>27</v>
      </c>
      <c r="E65" s="12">
        <f t="shared" ref="E65:F79" si="27">E25-D25</f>
        <v>479</v>
      </c>
      <c r="F65" s="12">
        <f t="shared" si="27"/>
        <v>244</v>
      </c>
      <c r="G65" s="12">
        <f t="shared" ref="G65:P74" si="28">G25-F25</f>
        <v>251</v>
      </c>
      <c r="H65" s="12">
        <f t="shared" si="28"/>
        <v>252</v>
      </c>
      <c r="I65" s="12">
        <f t="shared" si="28"/>
        <v>256</v>
      </c>
      <c r="J65" s="12">
        <f t="shared" si="28"/>
        <v>415</v>
      </c>
      <c r="K65" s="12">
        <f t="shared" si="28"/>
        <v>0</v>
      </c>
      <c r="L65" s="12">
        <f t="shared" si="28"/>
        <v>0</v>
      </c>
      <c r="M65" s="12">
        <f t="shared" si="28"/>
        <v>308</v>
      </c>
      <c r="N65" s="12">
        <f t="shared" si="28"/>
        <v>303</v>
      </c>
      <c r="O65" s="12">
        <f t="shared" si="28"/>
        <v>452</v>
      </c>
      <c r="P65" s="12">
        <f t="shared" si="28"/>
        <v>265</v>
      </c>
      <c r="Q65" s="12">
        <f t="shared" si="4"/>
        <v>588</v>
      </c>
      <c r="R65" s="12">
        <f t="shared" si="4"/>
        <v>432</v>
      </c>
      <c r="S65" s="12">
        <f t="shared" si="5"/>
        <v>2</v>
      </c>
      <c r="T65" s="12">
        <f t="shared" ref="T65:AF65" si="29">T25-S25</f>
        <v>417</v>
      </c>
      <c r="U65" s="12">
        <f t="shared" si="29"/>
        <v>588</v>
      </c>
      <c r="V65" s="12">
        <f t="shared" si="29"/>
        <v>271</v>
      </c>
      <c r="W65" s="12">
        <f t="shared" si="29"/>
        <v>192</v>
      </c>
      <c r="X65" s="12">
        <f t="shared" si="29"/>
        <v>192</v>
      </c>
      <c r="Y65" s="12">
        <f t="shared" si="29"/>
        <v>367</v>
      </c>
      <c r="Z65" s="12">
        <f t="shared" si="29"/>
        <v>476</v>
      </c>
      <c r="AA65" s="12">
        <f t="shared" si="29"/>
        <v>562</v>
      </c>
      <c r="AB65" s="12">
        <f t="shared" si="29"/>
        <v>7</v>
      </c>
      <c r="AC65" s="12">
        <f t="shared" si="29"/>
        <v>4</v>
      </c>
      <c r="AD65" s="12">
        <f t="shared" si="29"/>
        <v>160</v>
      </c>
      <c r="AE65" s="12">
        <f t="shared" si="29"/>
        <v>281</v>
      </c>
      <c r="AF65" s="12">
        <f t="shared" si="29"/>
        <v>0</v>
      </c>
    </row>
    <row r="66" spans="1:32" x14ac:dyDescent="0.25">
      <c r="A66" s="13" t="s">
        <v>25</v>
      </c>
      <c r="B66" s="227">
        <v>0</v>
      </c>
      <c r="C66" s="12">
        <f t="shared" si="26"/>
        <v>223</v>
      </c>
      <c r="D66" s="12">
        <f t="shared" si="26"/>
        <v>0</v>
      </c>
      <c r="E66" s="12">
        <f t="shared" si="27"/>
        <v>0</v>
      </c>
      <c r="F66" s="12">
        <f t="shared" si="27"/>
        <v>364</v>
      </c>
      <c r="G66" s="12">
        <f t="shared" si="28"/>
        <v>519</v>
      </c>
      <c r="H66" s="12">
        <f t="shared" si="28"/>
        <v>588</v>
      </c>
      <c r="I66" s="12">
        <f t="shared" si="28"/>
        <v>79</v>
      </c>
      <c r="J66" s="12">
        <f t="shared" si="28"/>
        <v>238</v>
      </c>
      <c r="K66" s="12">
        <f t="shared" si="28"/>
        <v>0</v>
      </c>
      <c r="L66" s="12">
        <f t="shared" si="28"/>
        <v>0</v>
      </c>
      <c r="M66" s="12">
        <f t="shared" si="28"/>
        <v>759</v>
      </c>
      <c r="N66" s="12">
        <f t="shared" si="28"/>
        <v>603</v>
      </c>
      <c r="O66" s="12">
        <f t="shared" si="28"/>
        <v>352</v>
      </c>
      <c r="P66" s="12">
        <f t="shared" si="28"/>
        <v>606</v>
      </c>
      <c r="Q66" s="12">
        <f t="shared" si="4"/>
        <v>518</v>
      </c>
      <c r="R66" s="12">
        <f t="shared" si="4"/>
        <v>517</v>
      </c>
      <c r="S66" s="12">
        <f t="shared" si="5"/>
        <v>3</v>
      </c>
      <c r="T66" s="12">
        <f t="shared" ref="T66:AF66" si="30">T26-S26</f>
        <v>202</v>
      </c>
      <c r="U66" s="12">
        <f t="shared" si="30"/>
        <v>264</v>
      </c>
      <c r="V66" s="12">
        <f t="shared" si="30"/>
        <v>250</v>
      </c>
      <c r="W66" s="12">
        <f t="shared" si="30"/>
        <v>260</v>
      </c>
      <c r="X66" s="12">
        <f t="shared" si="30"/>
        <v>448</v>
      </c>
      <c r="Y66" s="12">
        <f t="shared" si="30"/>
        <v>0</v>
      </c>
      <c r="Z66" s="12">
        <f t="shared" si="30"/>
        <v>0</v>
      </c>
      <c r="AA66" s="12">
        <f t="shared" si="30"/>
        <v>133</v>
      </c>
      <c r="AB66" s="12">
        <f t="shared" si="30"/>
        <v>586</v>
      </c>
      <c r="AC66" s="12">
        <f t="shared" si="30"/>
        <v>432</v>
      </c>
      <c r="AD66" s="12">
        <f t="shared" si="30"/>
        <v>518</v>
      </c>
      <c r="AE66" s="12">
        <f t="shared" si="30"/>
        <v>73</v>
      </c>
      <c r="AF66" s="12">
        <f t="shared" si="30"/>
        <v>0</v>
      </c>
    </row>
    <row r="67" spans="1:32" x14ac:dyDescent="0.25">
      <c r="A67" s="13" t="s">
        <v>26</v>
      </c>
      <c r="B67" s="227">
        <v>431</v>
      </c>
      <c r="C67" s="12">
        <f t="shared" si="26"/>
        <v>517</v>
      </c>
      <c r="D67" s="12">
        <f t="shared" si="26"/>
        <v>518</v>
      </c>
      <c r="E67" s="12">
        <f t="shared" si="27"/>
        <v>517</v>
      </c>
      <c r="F67" s="12">
        <f t="shared" si="27"/>
        <v>604</v>
      </c>
      <c r="G67" s="12">
        <f t="shared" si="28"/>
        <v>203</v>
      </c>
      <c r="H67" s="12">
        <f t="shared" si="28"/>
        <v>311</v>
      </c>
      <c r="I67" s="12">
        <f t="shared" si="28"/>
        <v>263</v>
      </c>
      <c r="J67" s="12">
        <f t="shared" si="28"/>
        <v>251</v>
      </c>
      <c r="K67" s="12">
        <f t="shared" si="28"/>
        <v>0</v>
      </c>
      <c r="L67" s="12">
        <f t="shared" si="28"/>
        <v>0</v>
      </c>
      <c r="M67" s="12">
        <f t="shared" si="28"/>
        <v>628</v>
      </c>
      <c r="N67" s="12">
        <f t="shared" si="28"/>
        <v>86</v>
      </c>
      <c r="O67" s="12">
        <f t="shared" si="28"/>
        <v>206</v>
      </c>
      <c r="P67" s="12">
        <f t="shared" si="28"/>
        <v>251</v>
      </c>
      <c r="Q67" s="12">
        <f t="shared" si="4"/>
        <v>297</v>
      </c>
      <c r="R67" s="12">
        <f t="shared" si="4"/>
        <v>43</v>
      </c>
      <c r="S67" s="12">
        <f t="shared" si="5"/>
        <v>521</v>
      </c>
      <c r="T67" s="12">
        <f t="shared" ref="T67:AF67" si="31">T27-S27</f>
        <v>432</v>
      </c>
      <c r="U67" s="12">
        <f t="shared" si="31"/>
        <v>150</v>
      </c>
      <c r="V67" s="12">
        <f t="shared" si="31"/>
        <v>251</v>
      </c>
      <c r="W67" s="12">
        <f t="shared" si="31"/>
        <v>242</v>
      </c>
      <c r="X67" s="12">
        <f t="shared" si="31"/>
        <v>502</v>
      </c>
      <c r="Y67" s="12">
        <f t="shared" si="31"/>
        <v>0</v>
      </c>
      <c r="Z67" s="12">
        <f t="shared" si="31"/>
        <v>0</v>
      </c>
      <c r="AA67" s="12">
        <f t="shared" si="31"/>
        <v>221</v>
      </c>
      <c r="AB67" s="12">
        <f t="shared" si="31"/>
        <v>192</v>
      </c>
      <c r="AC67" s="12">
        <f t="shared" si="31"/>
        <v>502</v>
      </c>
      <c r="AD67" s="12">
        <f t="shared" si="31"/>
        <v>561</v>
      </c>
      <c r="AE67" s="12">
        <f t="shared" si="31"/>
        <v>518</v>
      </c>
      <c r="AF67" s="12">
        <f t="shared" si="31"/>
        <v>560</v>
      </c>
    </row>
    <row r="68" spans="1:32" x14ac:dyDescent="0.25">
      <c r="A68" s="13" t="s">
        <v>27</v>
      </c>
      <c r="B68" s="227">
        <v>502</v>
      </c>
      <c r="C68" s="12">
        <f t="shared" si="26"/>
        <v>307</v>
      </c>
      <c r="D68" s="12">
        <f t="shared" si="26"/>
        <v>28</v>
      </c>
      <c r="E68" s="12">
        <f t="shared" si="27"/>
        <v>347</v>
      </c>
      <c r="F68" s="12">
        <f t="shared" si="27"/>
        <v>520</v>
      </c>
      <c r="G68" s="12">
        <f t="shared" si="28"/>
        <v>437</v>
      </c>
      <c r="H68" s="12">
        <f t="shared" si="28"/>
        <v>313</v>
      </c>
      <c r="I68" s="12">
        <f t="shared" si="28"/>
        <v>436</v>
      </c>
      <c r="J68" s="12">
        <f t="shared" si="28"/>
        <v>262</v>
      </c>
      <c r="K68" s="12">
        <f t="shared" si="28"/>
        <v>0</v>
      </c>
      <c r="L68" s="12">
        <f t="shared" si="28"/>
        <v>0</v>
      </c>
      <c r="M68" s="12">
        <f t="shared" si="28"/>
        <v>518</v>
      </c>
      <c r="N68" s="12">
        <f t="shared" si="28"/>
        <v>476</v>
      </c>
      <c r="O68" s="12">
        <f t="shared" si="28"/>
        <v>281</v>
      </c>
      <c r="P68" s="12">
        <f t="shared" si="28"/>
        <v>252</v>
      </c>
      <c r="Q68" s="12">
        <f t="shared" si="4"/>
        <v>517</v>
      </c>
      <c r="R68" s="12">
        <f t="shared" si="4"/>
        <v>435</v>
      </c>
      <c r="S68" s="12">
        <f t="shared" si="5"/>
        <v>346</v>
      </c>
      <c r="T68" s="12">
        <f t="shared" ref="T68:AF68" si="32">T28-S28</f>
        <v>437</v>
      </c>
      <c r="U68" s="12">
        <f t="shared" si="32"/>
        <v>313</v>
      </c>
      <c r="V68" s="12">
        <f t="shared" si="32"/>
        <v>521</v>
      </c>
      <c r="W68" s="12">
        <f t="shared" si="32"/>
        <v>391</v>
      </c>
      <c r="X68" s="12">
        <f t="shared" si="32"/>
        <v>474</v>
      </c>
      <c r="Y68" s="12">
        <f t="shared" si="32"/>
        <v>517</v>
      </c>
      <c r="Z68" s="12">
        <f t="shared" si="32"/>
        <v>474</v>
      </c>
      <c r="AA68" s="12">
        <f t="shared" si="32"/>
        <v>313</v>
      </c>
      <c r="AB68" s="12">
        <f t="shared" si="32"/>
        <v>561</v>
      </c>
      <c r="AC68" s="12">
        <f t="shared" si="32"/>
        <v>517</v>
      </c>
      <c r="AD68" s="12">
        <f t="shared" si="32"/>
        <v>449</v>
      </c>
      <c r="AE68" s="12">
        <f t="shared" si="32"/>
        <v>2</v>
      </c>
      <c r="AF68" s="12">
        <f t="shared" si="32"/>
        <v>0</v>
      </c>
    </row>
    <row r="69" spans="1:32" x14ac:dyDescent="0.25">
      <c r="A69" s="11" t="s">
        <v>28</v>
      </c>
      <c r="B69" s="227">
        <v>0</v>
      </c>
      <c r="C69" s="12">
        <f t="shared" si="26"/>
        <v>590</v>
      </c>
      <c r="D69" s="12">
        <f t="shared" si="26"/>
        <v>520</v>
      </c>
      <c r="E69" s="12">
        <f t="shared" si="27"/>
        <v>520</v>
      </c>
      <c r="F69" s="12">
        <f t="shared" si="27"/>
        <v>434</v>
      </c>
      <c r="G69" s="12">
        <f t="shared" si="28"/>
        <v>479</v>
      </c>
      <c r="H69" s="12">
        <f t="shared" si="28"/>
        <v>569</v>
      </c>
      <c r="I69" s="12">
        <f t="shared" si="28"/>
        <v>141</v>
      </c>
      <c r="J69" s="12">
        <f t="shared" si="28"/>
        <v>434</v>
      </c>
      <c r="K69" s="12">
        <f t="shared" si="28"/>
        <v>0</v>
      </c>
      <c r="L69" s="12">
        <f t="shared" si="28"/>
        <v>0</v>
      </c>
      <c r="M69" s="12">
        <f t="shared" si="28"/>
        <v>590</v>
      </c>
      <c r="N69" s="12">
        <f t="shared" si="28"/>
        <v>331</v>
      </c>
      <c r="O69" s="12">
        <f t="shared" si="28"/>
        <v>142</v>
      </c>
      <c r="P69" s="12">
        <f t="shared" si="28"/>
        <v>520</v>
      </c>
      <c r="Q69" s="12">
        <f t="shared" si="4"/>
        <v>435</v>
      </c>
      <c r="R69" s="12">
        <f t="shared" si="4"/>
        <v>523</v>
      </c>
      <c r="S69" s="12">
        <f t="shared" si="5"/>
        <v>480</v>
      </c>
      <c r="T69" s="12">
        <f t="shared" ref="T69:AF69" si="33">T29-S29</f>
        <v>409</v>
      </c>
      <c r="U69" s="12">
        <f t="shared" si="33"/>
        <v>133</v>
      </c>
      <c r="V69" s="12">
        <f t="shared" si="33"/>
        <v>192</v>
      </c>
      <c r="W69" s="12">
        <f t="shared" si="33"/>
        <v>591</v>
      </c>
      <c r="X69" s="12">
        <f t="shared" si="33"/>
        <v>218</v>
      </c>
      <c r="Y69" s="12">
        <f t="shared" si="33"/>
        <v>0</v>
      </c>
      <c r="Z69" s="12">
        <f t="shared" si="33"/>
        <v>26</v>
      </c>
      <c r="AA69" s="12">
        <f t="shared" si="33"/>
        <v>265</v>
      </c>
      <c r="AB69" s="12">
        <f t="shared" si="33"/>
        <v>227</v>
      </c>
      <c r="AC69" s="12">
        <f t="shared" si="33"/>
        <v>0</v>
      </c>
      <c r="AD69" s="12">
        <f t="shared" si="33"/>
        <v>83</v>
      </c>
      <c r="AE69" s="12">
        <f t="shared" si="33"/>
        <v>109</v>
      </c>
      <c r="AF69" s="12">
        <f t="shared" si="33"/>
        <v>0</v>
      </c>
    </row>
    <row r="70" spans="1:32" x14ac:dyDescent="0.25">
      <c r="A70" s="13" t="s">
        <v>29</v>
      </c>
      <c r="B70" s="227">
        <v>1</v>
      </c>
      <c r="C70" s="12">
        <f t="shared" si="26"/>
        <v>520</v>
      </c>
      <c r="D70" s="12">
        <f t="shared" si="26"/>
        <v>523</v>
      </c>
      <c r="E70" s="12">
        <f t="shared" si="27"/>
        <v>20</v>
      </c>
      <c r="F70" s="12">
        <f t="shared" si="27"/>
        <v>502</v>
      </c>
      <c r="G70" s="12">
        <f t="shared" si="28"/>
        <v>286</v>
      </c>
      <c r="H70" s="12">
        <f t="shared" si="28"/>
        <v>253</v>
      </c>
      <c r="I70" s="12">
        <f t="shared" si="28"/>
        <v>263</v>
      </c>
      <c r="J70" s="12">
        <f t="shared" si="28"/>
        <v>518</v>
      </c>
      <c r="K70" s="12">
        <f t="shared" si="28"/>
        <v>560</v>
      </c>
      <c r="L70" s="12">
        <f t="shared" si="28"/>
        <v>473</v>
      </c>
      <c r="M70" s="12">
        <f t="shared" si="28"/>
        <v>449</v>
      </c>
      <c r="N70" s="12">
        <f t="shared" si="28"/>
        <v>313</v>
      </c>
      <c r="O70" s="12">
        <f t="shared" si="28"/>
        <v>579</v>
      </c>
      <c r="P70" s="12">
        <f t="shared" si="28"/>
        <v>390</v>
      </c>
      <c r="Q70" s="12">
        <f t="shared" si="4"/>
        <v>559</v>
      </c>
      <c r="R70" s="12">
        <f t="shared" si="4"/>
        <v>518</v>
      </c>
      <c r="S70" s="12">
        <f t="shared" si="5"/>
        <v>519</v>
      </c>
      <c r="T70" s="12">
        <f t="shared" ref="T70:AF70" si="34">T30-S30</f>
        <v>200</v>
      </c>
      <c r="U70" s="12">
        <f t="shared" si="34"/>
        <v>254</v>
      </c>
      <c r="V70" s="12">
        <f t="shared" si="34"/>
        <v>561</v>
      </c>
      <c r="W70" s="12">
        <f t="shared" si="34"/>
        <v>560</v>
      </c>
      <c r="X70" s="12">
        <f t="shared" si="34"/>
        <v>87</v>
      </c>
      <c r="Y70" s="12">
        <f t="shared" si="34"/>
        <v>0</v>
      </c>
      <c r="Z70" s="12">
        <f t="shared" si="34"/>
        <v>179</v>
      </c>
      <c r="AA70" s="12">
        <f t="shared" si="34"/>
        <v>517</v>
      </c>
      <c r="AB70" s="12">
        <f t="shared" si="34"/>
        <v>449</v>
      </c>
      <c r="AC70" s="12">
        <f t="shared" si="34"/>
        <v>330</v>
      </c>
      <c r="AD70" s="12">
        <f t="shared" si="34"/>
        <v>560</v>
      </c>
      <c r="AE70" s="12">
        <f t="shared" si="34"/>
        <v>70</v>
      </c>
      <c r="AF70" s="12">
        <f t="shared" si="34"/>
        <v>0</v>
      </c>
    </row>
    <row r="71" spans="1:32" x14ac:dyDescent="0.25">
      <c r="A71" s="11" t="s">
        <v>30</v>
      </c>
      <c r="B71" s="227">
        <v>19</v>
      </c>
      <c r="C71" s="12">
        <f t="shared" si="26"/>
        <v>564</v>
      </c>
      <c r="D71" s="12">
        <f t="shared" si="26"/>
        <v>216</v>
      </c>
      <c r="E71" s="12">
        <f t="shared" si="27"/>
        <v>475</v>
      </c>
      <c r="F71" s="12">
        <f t="shared" si="27"/>
        <v>222</v>
      </c>
      <c r="G71" s="12">
        <f t="shared" si="28"/>
        <v>263</v>
      </c>
      <c r="H71" s="12">
        <f t="shared" si="28"/>
        <v>349</v>
      </c>
      <c r="I71" s="12">
        <f t="shared" si="28"/>
        <v>368</v>
      </c>
      <c r="J71" s="12">
        <f t="shared" si="28"/>
        <v>304</v>
      </c>
      <c r="K71" s="12">
        <f t="shared" si="28"/>
        <v>518</v>
      </c>
      <c r="L71" s="12">
        <f t="shared" si="28"/>
        <v>475</v>
      </c>
      <c r="M71" s="12">
        <f t="shared" si="28"/>
        <v>259</v>
      </c>
      <c r="N71" s="12">
        <f t="shared" si="28"/>
        <v>515</v>
      </c>
      <c r="O71" s="12">
        <f t="shared" si="28"/>
        <v>451</v>
      </c>
      <c r="P71" s="12">
        <f t="shared" si="28"/>
        <v>99</v>
      </c>
      <c r="Q71" s="12">
        <f t="shared" si="4"/>
        <v>133</v>
      </c>
      <c r="R71" s="12">
        <f t="shared" si="4"/>
        <v>0</v>
      </c>
      <c r="S71" s="12">
        <f t="shared" si="5"/>
        <v>0</v>
      </c>
      <c r="T71" s="12">
        <f t="shared" ref="T71:AF71" si="35">T31-S31</f>
        <v>251</v>
      </c>
      <c r="U71" s="12">
        <f t="shared" si="35"/>
        <v>251</v>
      </c>
      <c r="V71" s="12">
        <f t="shared" si="35"/>
        <v>173</v>
      </c>
      <c r="W71" s="12">
        <f t="shared" si="35"/>
        <v>142</v>
      </c>
      <c r="X71" s="12">
        <f t="shared" si="35"/>
        <v>209</v>
      </c>
      <c r="Y71" s="12">
        <f t="shared" si="35"/>
        <v>435</v>
      </c>
      <c r="Z71" s="12">
        <f t="shared" si="35"/>
        <v>218</v>
      </c>
      <c r="AA71" s="12">
        <f t="shared" si="35"/>
        <v>561</v>
      </c>
      <c r="AB71" s="12">
        <f t="shared" si="35"/>
        <v>381</v>
      </c>
      <c r="AC71" s="12">
        <f t="shared" si="35"/>
        <v>259</v>
      </c>
      <c r="AD71" s="12">
        <f t="shared" si="35"/>
        <v>587</v>
      </c>
      <c r="AE71" s="12">
        <f t="shared" si="35"/>
        <v>432</v>
      </c>
      <c r="AF71" s="12">
        <f t="shared" si="35"/>
        <v>2</v>
      </c>
    </row>
    <row r="72" spans="1:32" s="124" customFormat="1" x14ac:dyDescent="0.25">
      <c r="A72" s="13" t="s">
        <v>111</v>
      </c>
      <c r="B72" s="227">
        <v>263</v>
      </c>
      <c r="C72" s="12">
        <f t="shared" si="26"/>
        <v>433</v>
      </c>
      <c r="D72" s="12">
        <f t="shared" si="26"/>
        <v>349</v>
      </c>
      <c r="E72" s="12">
        <f t="shared" si="27"/>
        <v>4</v>
      </c>
      <c r="F72" s="12">
        <f t="shared" si="27"/>
        <v>348</v>
      </c>
      <c r="G72" s="12">
        <f t="shared" si="28"/>
        <v>195</v>
      </c>
      <c r="H72" s="12">
        <f t="shared" si="28"/>
        <v>133</v>
      </c>
      <c r="I72" s="12">
        <f t="shared" si="28"/>
        <v>312</v>
      </c>
      <c r="J72" s="12">
        <f t="shared" si="28"/>
        <v>251</v>
      </c>
      <c r="K72" s="12">
        <f t="shared" si="28"/>
        <v>0</v>
      </c>
      <c r="L72" s="12">
        <f t="shared" si="28"/>
        <v>0</v>
      </c>
      <c r="M72" s="12">
        <f t="shared" si="28"/>
        <v>251</v>
      </c>
      <c r="N72" s="12">
        <f t="shared" si="28"/>
        <v>58</v>
      </c>
      <c r="O72" s="12">
        <f t="shared" si="28"/>
        <v>163</v>
      </c>
      <c r="P72" s="12">
        <f t="shared" si="28"/>
        <v>347</v>
      </c>
      <c r="Q72" s="12">
        <f t="shared" si="4"/>
        <v>518</v>
      </c>
      <c r="R72" s="12">
        <f t="shared" si="4"/>
        <v>721</v>
      </c>
      <c r="S72" s="12">
        <f t="shared" si="5"/>
        <v>0</v>
      </c>
      <c r="T72" s="12">
        <f t="shared" ref="T72:AF72" si="36">T32-S32</f>
        <v>535</v>
      </c>
      <c r="U72" s="12">
        <f t="shared" si="36"/>
        <v>194</v>
      </c>
      <c r="V72" s="12">
        <f t="shared" si="36"/>
        <v>132</v>
      </c>
      <c r="W72" s="12">
        <f t="shared" si="36"/>
        <v>251</v>
      </c>
      <c r="X72" s="12">
        <f t="shared" si="36"/>
        <v>570</v>
      </c>
      <c r="Y72" s="12">
        <f t="shared" si="36"/>
        <v>165</v>
      </c>
      <c r="Z72" s="12">
        <f t="shared" si="36"/>
        <v>261</v>
      </c>
      <c r="AA72" s="12">
        <f t="shared" si="36"/>
        <v>260</v>
      </c>
      <c r="AB72" s="12">
        <f t="shared" si="36"/>
        <v>89</v>
      </c>
      <c r="AC72" s="12">
        <f t="shared" si="36"/>
        <v>204</v>
      </c>
      <c r="AD72" s="12">
        <f t="shared" si="36"/>
        <v>251</v>
      </c>
      <c r="AE72" s="12">
        <f t="shared" si="36"/>
        <v>285</v>
      </c>
      <c r="AF72" s="12">
        <f t="shared" si="36"/>
        <v>435</v>
      </c>
    </row>
    <row r="73" spans="1:32" s="124" customFormat="1" x14ac:dyDescent="0.25">
      <c r="A73" s="11" t="s">
        <v>112</v>
      </c>
      <c r="B73" s="227">
        <v>262</v>
      </c>
      <c r="C73" s="12">
        <f t="shared" si="26"/>
        <v>434</v>
      </c>
      <c r="D73" s="12">
        <f t="shared" si="26"/>
        <v>261</v>
      </c>
      <c r="E73" s="12">
        <f t="shared" si="27"/>
        <v>1</v>
      </c>
      <c r="F73" s="12">
        <f t="shared" si="27"/>
        <v>266</v>
      </c>
      <c r="G73" s="12">
        <f t="shared" si="28"/>
        <v>259</v>
      </c>
      <c r="H73" s="12">
        <f t="shared" si="28"/>
        <v>252</v>
      </c>
      <c r="I73" s="12">
        <f t="shared" si="28"/>
        <v>132</v>
      </c>
      <c r="J73" s="12">
        <f t="shared" si="28"/>
        <v>342</v>
      </c>
      <c r="K73" s="12">
        <f t="shared" si="28"/>
        <v>2</v>
      </c>
      <c r="L73" s="12">
        <f t="shared" si="28"/>
        <v>345</v>
      </c>
      <c r="M73" s="12">
        <f t="shared" si="28"/>
        <v>260</v>
      </c>
      <c r="N73" s="12">
        <f t="shared" si="28"/>
        <v>321</v>
      </c>
      <c r="O73" s="12">
        <f t="shared" si="28"/>
        <v>239</v>
      </c>
      <c r="P73" s="12">
        <f t="shared" si="28"/>
        <v>303</v>
      </c>
      <c r="Q73" s="12">
        <f t="shared" si="4"/>
        <v>539</v>
      </c>
      <c r="R73" s="12">
        <f t="shared" si="4"/>
        <v>91</v>
      </c>
      <c r="S73" s="12">
        <f t="shared" si="5"/>
        <v>474</v>
      </c>
      <c r="T73" s="12">
        <f t="shared" ref="T73:AF73" si="37">T33-S33</f>
        <v>561</v>
      </c>
      <c r="U73" s="12">
        <f t="shared" si="37"/>
        <v>193</v>
      </c>
      <c r="V73" s="12">
        <f t="shared" si="37"/>
        <v>242</v>
      </c>
      <c r="W73" s="12">
        <f t="shared" si="37"/>
        <v>259</v>
      </c>
      <c r="X73" s="12">
        <f t="shared" si="37"/>
        <v>264</v>
      </c>
      <c r="Y73" s="12">
        <f t="shared" si="37"/>
        <v>0</v>
      </c>
      <c r="Z73" s="12">
        <f t="shared" si="37"/>
        <v>0</v>
      </c>
      <c r="AA73" s="12">
        <f t="shared" si="37"/>
        <v>251</v>
      </c>
      <c r="AB73" s="12">
        <f t="shared" si="37"/>
        <v>247</v>
      </c>
      <c r="AC73" s="12">
        <f t="shared" si="37"/>
        <v>138</v>
      </c>
      <c r="AD73" s="12">
        <f t="shared" si="37"/>
        <v>226</v>
      </c>
      <c r="AE73" s="12">
        <f t="shared" si="37"/>
        <v>106</v>
      </c>
      <c r="AF73" s="12">
        <f t="shared" si="37"/>
        <v>0</v>
      </c>
    </row>
    <row r="74" spans="1:32" s="124" customFormat="1" x14ac:dyDescent="0.25">
      <c r="A74" s="13" t="s">
        <v>113</v>
      </c>
      <c r="B74" s="328">
        <v>156</v>
      </c>
      <c r="C74" s="12">
        <f t="shared" si="26"/>
        <v>563</v>
      </c>
      <c r="D74" s="12">
        <f t="shared" si="26"/>
        <v>44</v>
      </c>
      <c r="E74" s="12">
        <f t="shared" si="27"/>
        <v>90</v>
      </c>
      <c r="F74" s="12">
        <f t="shared" si="27"/>
        <v>523</v>
      </c>
      <c r="G74" s="12">
        <f t="shared" si="28"/>
        <v>211</v>
      </c>
      <c r="H74" s="12">
        <f t="shared" si="28"/>
        <v>254</v>
      </c>
      <c r="I74" s="12">
        <f t="shared" si="28"/>
        <v>313</v>
      </c>
      <c r="J74" s="12">
        <f t="shared" si="28"/>
        <v>253</v>
      </c>
      <c r="K74" s="12">
        <f t="shared" si="28"/>
        <v>0</v>
      </c>
      <c r="L74" s="12">
        <f t="shared" si="28"/>
        <v>0</v>
      </c>
      <c r="M74" s="12">
        <f t="shared" si="28"/>
        <v>252</v>
      </c>
      <c r="N74" s="12">
        <f t="shared" si="28"/>
        <v>135</v>
      </c>
      <c r="O74" s="12">
        <f t="shared" si="28"/>
        <v>472</v>
      </c>
      <c r="P74" s="12">
        <f t="shared" si="28"/>
        <v>473</v>
      </c>
      <c r="Q74" s="12">
        <f t="shared" si="4"/>
        <v>383</v>
      </c>
      <c r="R74" s="12">
        <f t="shared" si="4"/>
        <v>0</v>
      </c>
      <c r="S74" s="12">
        <f t="shared" si="5"/>
        <v>0</v>
      </c>
      <c r="T74" s="12">
        <f t="shared" ref="T74:AF74" si="38">T34-S34</f>
        <v>253</v>
      </c>
      <c r="U74" s="12">
        <f t="shared" si="38"/>
        <v>132</v>
      </c>
      <c r="V74" s="12">
        <f t="shared" si="38"/>
        <v>252</v>
      </c>
      <c r="W74" s="12">
        <f t="shared" si="38"/>
        <v>253</v>
      </c>
      <c r="X74" s="12">
        <f t="shared" si="38"/>
        <v>590</v>
      </c>
      <c r="Y74" s="12">
        <f t="shared" si="38"/>
        <v>520</v>
      </c>
      <c r="Z74" s="12">
        <f t="shared" si="38"/>
        <v>263</v>
      </c>
      <c r="AA74" s="12">
        <f t="shared" si="38"/>
        <v>175</v>
      </c>
      <c r="AB74" s="12">
        <f t="shared" si="38"/>
        <v>89</v>
      </c>
      <c r="AC74" s="12">
        <f t="shared" si="38"/>
        <v>240</v>
      </c>
      <c r="AD74" s="12">
        <f t="shared" si="38"/>
        <v>264</v>
      </c>
      <c r="AE74" s="12">
        <f t="shared" si="38"/>
        <v>79</v>
      </c>
      <c r="AF74" s="12">
        <f t="shared" si="38"/>
        <v>4</v>
      </c>
    </row>
    <row r="75" spans="1:32" s="124" customFormat="1" x14ac:dyDescent="0.25">
      <c r="A75" s="11" t="s">
        <v>114</v>
      </c>
      <c r="B75" s="227">
        <v>155</v>
      </c>
      <c r="C75" s="12">
        <f t="shared" si="26"/>
        <v>518</v>
      </c>
      <c r="D75" s="12">
        <f t="shared" si="26"/>
        <v>264</v>
      </c>
      <c r="E75" s="12">
        <f t="shared" si="27"/>
        <v>0</v>
      </c>
      <c r="F75" s="12">
        <f t="shared" si="27"/>
        <v>205</v>
      </c>
      <c r="G75" s="12">
        <f t="shared" ref="G75:P79" si="39">G35-F35</f>
        <v>191</v>
      </c>
      <c r="H75" s="12">
        <f t="shared" si="39"/>
        <v>341</v>
      </c>
      <c r="I75" s="12">
        <f t="shared" si="39"/>
        <v>521</v>
      </c>
      <c r="J75" s="12">
        <f t="shared" si="39"/>
        <v>449</v>
      </c>
      <c r="K75" s="12">
        <f t="shared" si="39"/>
        <v>0</v>
      </c>
      <c r="L75" s="12">
        <f t="shared" si="39"/>
        <v>0</v>
      </c>
      <c r="M75" s="12">
        <f t="shared" si="39"/>
        <v>98</v>
      </c>
      <c r="N75" s="12">
        <f t="shared" si="39"/>
        <v>201</v>
      </c>
      <c r="O75" s="12">
        <f t="shared" si="39"/>
        <v>604</v>
      </c>
      <c r="P75" s="12">
        <f t="shared" si="39"/>
        <v>483</v>
      </c>
      <c r="Q75" s="12">
        <f t="shared" si="4"/>
        <v>435</v>
      </c>
      <c r="R75" s="12">
        <f t="shared" si="4"/>
        <v>207</v>
      </c>
      <c r="S75" s="12">
        <f t="shared" si="5"/>
        <v>1</v>
      </c>
      <c r="T75" s="12">
        <f t="shared" ref="T75:AF75" si="40">T35-S35</f>
        <v>94</v>
      </c>
      <c r="U75" s="12">
        <f t="shared" si="40"/>
        <v>140</v>
      </c>
      <c r="V75" s="12">
        <f t="shared" si="40"/>
        <v>263</v>
      </c>
      <c r="W75" s="12">
        <f t="shared" si="40"/>
        <v>347</v>
      </c>
      <c r="X75" s="12">
        <f t="shared" si="40"/>
        <v>346</v>
      </c>
      <c r="Y75" s="12">
        <f t="shared" si="40"/>
        <v>521</v>
      </c>
      <c r="Z75" s="12">
        <f t="shared" si="40"/>
        <v>345</v>
      </c>
      <c r="AA75" s="12">
        <f t="shared" si="40"/>
        <v>259</v>
      </c>
      <c r="AB75" s="12">
        <f t="shared" si="40"/>
        <v>258</v>
      </c>
      <c r="AC75" s="12">
        <f t="shared" si="40"/>
        <v>255</v>
      </c>
      <c r="AD75" s="12">
        <f t="shared" si="40"/>
        <v>250</v>
      </c>
      <c r="AE75" s="12">
        <f t="shared" si="40"/>
        <v>285</v>
      </c>
      <c r="AF75" s="12">
        <f t="shared" si="40"/>
        <v>433</v>
      </c>
    </row>
    <row r="76" spans="1:32" s="124" customFormat="1" x14ac:dyDescent="0.25">
      <c r="A76" s="13" t="s">
        <v>115</v>
      </c>
      <c r="B76" s="227">
        <v>0</v>
      </c>
      <c r="C76" s="12">
        <f t="shared" si="26"/>
        <v>252</v>
      </c>
      <c r="D76" s="12">
        <f t="shared" si="26"/>
        <v>0</v>
      </c>
      <c r="E76" s="12">
        <f t="shared" si="27"/>
        <v>0</v>
      </c>
      <c r="F76" s="12">
        <f t="shared" si="27"/>
        <v>251</v>
      </c>
      <c r="G76" s="12">
        <f t="shared" si="39"/>
        <v>243</v>
      </c>
      <c r="H76" s="12">
        <f t="shared" si="39"/>
        <v>582</v>
      </c>
      <c r="I76" s="12">
        <f t="shared" si="39"/>
        <v>452</v>
      </c>
      <c r="J76" s="12">
        <f t="shared" si="39"/>
        <v>203</v>
      </c>
      <c r="K76" s="12">
        <f t="shared" si="39"/>
        <v>0</v>
      </c>
      <c r="L76" s="12">
        <f t="shared" si="39"/>
        <v>0</v>
      </c>
      <c r="M76" s="12">
        <f t="shared" si="39"/>
        <v>252</v>
      </c>
      <c r="N76" s="12">
        <f t="shared" si="39"/>
        <v>182</v>
      </c>
      <c r="O76" s="12">
        <f t="shared" si="39"/>
        <v>191</v>
      </c>
      <c r="P76" s="12">
        <f t="shared" si="39"/>
        <v>0</v>
      </c>
      <c r="Q76" s="12">
        <f t="shared" si="4"/>
        <v>284</v>
      </c>
      <c r="R76" s="12">
        <f t="shared" si="4"/>
        <v>0</v>
      </c>
      <c r="S76" s="12">
        <f t="shared" si="5"/>
        <v>0</v>
      </c>
      <c r="T76" s="12">
        <f t="shared" ref="T76:AF76" si="41">T36-S36</f>
        <v>169</v>
      </c>
      <c r="U76" s="12">
        <f t="shared" si="41"/>
        <v>347</v>
      </c>
      <c r="V76" s="12">
        <f t="shared" si="41"/>
        <v>262</v>
      </c>
      <c r="W76" s="12">
        <f t="shared" si="41"/>
        <v>230</v>
      </c>
      <c r="X76" s="12">
        <f t="shared" si="41"/>
        <v>348</v>
      </c>
      <c r="Y76" s="12">
        <f t="shared" si="41"/>
        <v>520</v>
      </c>
      <c r="Z76" s="12">
        <f t="shared" si="41"/>
        <v>104</v>
      </c>
      <c r="AA76" s="12">
        <f t="shared" si="41"/>
        <v>185</v>
      </c>
      <c r="AB76" s="12">
        <f t="shared" si="41"/>
        <v>252</v>
      </c>
      <c r="AC76" s="12">
        <f t="shared" si="41"/>
        <v>252</v>
      </c>
      <c r="AD76" s="12">
        <f t="shared" si="41"/>
        <v>71</v>
      </c>
      <c r="AE76" s="12">
        <f t="shared" si="41"/>
        <v>106</v>
      </c>
      <c r="AF76" s="12">
        <f t="shared" si="41"/>
        <v>0</v>
      </c>
    </row>
    <row r="77" spans="1:32" s="124" customFormat="1" x14ac:dyDescent="0.25">
      <c r="A77" s="11" t="s">
        <v>116</v>
      </c>
      <c r="B77" s="227">
        <v>0</v>
      </c>
      <c r="C77" s="12">
        <f t="shared" si="26"/>
        <v>253</v>
      </c>
      <c r="D77" s="12">
        <f t="shared" si="26"/>
        <v>0</v>
      </c>
      <c r="E77" s="12">
        <f t="shared" si="27"/>
        <v>0</v>
      </c>
      <c r="F77" s="12">
        <f t="shared" si="27"/>
        <v>250</v>
      </c>
      <c r="G77" s="12">
        <f t="shared" si="39"/>
        <v>131</v>
      </c>
      <c r="H77" s="12">
        <f t="shared" si="39"/>
        <v>253</v>
      </c>
      <c r="I77" s="12">
        <f t="shared" si="39"/>
        <v>89</v>
      </c>
      <c r="J77" s="12">
        <f t="shared" si="39"/>
        <v>203</v>
      </c>
      <c r="K77" s="12">
        <f t="shared" si="39"/>
        <v>0</v>
      </c>
      <c r="L77" s="12">
        <f t="shared" si="39"/>
        <v>19</v>
      </c>
      <c r="M77" s="12">
        <f t="shared" si="39"/>
        <v>260</v>
      </c>
      <c r="N77" s="12">
        <f t="shared" si="39"/>
        <v>321</v>
      </c>
      <c r="O77" s="12">
        <f t="shared" si="39"/>
        <v>519</v>
      </c>
      <c r="P77" s="12">
        <f t="shared" si="39"/>
        <v>258</v>
      </c>
      <c r="Q77" s="12">
        <f t="shared" si="4"/>
        <v>377</v>
      </c>
      <c r="R77" s="12">
        <f t="shared" si="4"/>
        <v>0</v>
      </c>
      <c r="S77" s="12">
        <f t="shared" si="5"/>
        <v>0</v>
      </c>
      <c r="T77" s="12">
        <f t="shared" ref="T77:AF77" si="42">T37-S37</f>
        <v>89</v>
      </c>
      <c r="U77" s="12">
        <f t="shared" si="42"/>
        <v>434</v>
      </c>
      <c r="V77" s="12">
        <f t="shared" si="42"/>
        <v>368</v>
      </c>
      <c r="W77" s="12">
        <f t="shared" si="42"/>
        <v>131</v>
      </c>
      <c r="X77" s="12">
        <f t="shared" si="42"/>
        <v>265</v>
      </c>
      <c r="Y77" s="12">
        <f t="shared" si="42"/>
        <v>0</v>
      </c>
      <c r="Z77" s="12">
        <f t="shared" si="42"/>
        <v>0</v>
      </c>
      <c r="AA77" s="12">
        <f t="shared" si="42"/>
        <v>249</v>
      </c>
      <c r="AB77" s="12">
        <f t="shared" si="42"/>
        <v>252</v>
      </c>
      <c r="AC77" s="12">
        <f t="shared" si="42"/>
        <v>252</v>
      </c>
      <c r="AD77" s="12">
        <f t="shared" si="42"/>
        <v>97</v>
      </c>
      <c r="AE77" s="12">
        <f t="shared" si="42"/>
        <v>2</v>
      </c>
      <c r="AF77" s="12">
        <f t="shared" si="42"/>
        <v>0</v>
      </c>
    </row>
    <row r="78" spans="1:32" s="124" customFormat="1" x14ac:dyDescent="0.25">
      <c r="A78" s="13" t="s">
        <v>117</v>
      </c>
      <c r="B78" s="227">
        <v>19</v>
      </c>
      <c r="C78" s="12">
        <f t="shared" si="26"/>
        <v>264</v>
      </c>
      <c r="D78" s="12">
        <f t="shared" si="26"/>
        <v>0</v>
      </c>
      <c r="E78" s="12">
        <f t="shared" si="27"/>
        <v>0</v>
      </c>
      <c r="F78" s="12">
        <f t="shared" si="27"/>
        <v>350</v>
      </c>
      <c r="G78" s="12">
        <f t="shared" si="39"/>
        <v>606</v>
      </c>
      <c r="H78" s="12">
        <f t="shared" si="39"/>
        <v>479</v>
      </c>
      <c r="I78" s="12">
        <f t="shared" si="39"/>
        <v>270</v>
      </c>
      <c r="J78" s="12">
        <f t="shared" si="39"/>
        <v>252</v>
      </c>
      <c r="K78" s="12">
        <f t="shared" si="39"/>
        <v>0</v>
      </c>
      <c r="L78" s="12">
        <f t="shared" si="39"/>
        <v>0</v>
      </c>
      <c r="M78" s="12">
        <f t="shared" si="39"/>
        <v>250</v>
      </c>
      <c r="N78" s="12">
        <f t="shared" si="39"/>
        <v>312</v>
      </c>
      <c r="O78" s="12">
        <f t="shared" si="39"/>
        <v>347</v>
      </c>
      <c r="P78" s="12">
        <f t="shared" si="39"/>
        <v>210</v>
      </c>
      <c r="Q78" s="12">
        <f t="shared" si="4"/>
        <v>347</v>
      </c>
      <c r="R78" s="12">
        <f t="shared" si="4"/>
        <v>0</v>
      </c>
      <c r="S78" s="12">
        <f t="shared" si="5"/>
        <v>0</v>
      </c>
      <c r="T78" s="12">
        <f t="shared" ref="T78:AF78" si="43">T38-S38</f>
        <v>23</v>
      </c>
      <c r="U78" s="12">
        <f t="shared" si="43"/>
        <v>251</v>
      </c>
      <c r="V78" s="12">
        <f t="shared" si="43"/>
        <v>251</v>
      </c>
      <c r="W78" s="12">
        <f t="shared" si="43"/>
        <v>133</v>
      </c>
      <c r="X78" s="12">
        <f t="shared" si="43"/>
        <v>253</v>
      </c>
      <c r="Y78" s="12">
        <f t="shared" si="43"/>
        <v>0</v>
      </c>
      <c r="Z78" s="12">
        <f t="shared" si="43"/>
        <v>0</v>
      </c>
      <c r="AA78" s="12">
        <f t="shared" si="43"/>
        <v>251</v>
      </c>
      <c r="AB78" s="12">
        <f t="shared" si="43"/>
        <v>251</v>
      </c>
      <c r="AC78" s="12">
        <f t="shared" si="43"/>
        <v>98</v>
      </c>
      <c r="AD78" s="12">
        <f t="shared" si="43"/>
        <v>185</v>
      </c>
      <c r="AE78" s="12">
        <f t="shared" si="43"/>
        <v>73</v>
      </c>
      <c r="AF78" s="12">
        <f t="shared" si="43"/>
        <v>0</v>
      </c>
    </row>
    <row r="79" spans="1:32" s="124" customFormat="1" x14ac:dyDescent="0.25">
      <c r="A79" s="11" t="s">
        <v>118</v>
      </c>
      <c r="B79" s="227">
        <v>0</v>
      </c>
      <c r="C79" s="12">
        <f t="shared" si="26"/>
        <v>0</v>
      </c>
      <c r="D79" s="12">
        <f t="shared" si="26"/>
        <v>0</v>
      </c>
      <c r="E79" s="12">
        <f t="shared" si="27"/>
        <v>0</v>
      </c>
      <c r="F79" s="12">
        <f t="shared" si="27"/>
        <v>518</v>
      </c>
      <c r="G79" s="12">
        <f t="shared" si="39"/>
        <v>431</v>
      </c>
      <c r="H79" s="12">
        <f t="shared" si="39"/>
        <v>170</v>
      </c>
      <c r="I79" s="12">
        <f t="shared" si="39"/>
        <v>587</v>
      </c>
      <c r="J79" s="12">
        <f t="shared" si="39"/>
        <v>450</v>
      </c>
      <c r="K79" s="12">
        <f t="shared" si="39"/>
        <v>0</v>
      </c>
      <c r="L79" s="12">
        <f t="shared" si="39"/>
        <v>0</v>
      </c>
      <c r="M79" s="12">
        <f t="shared" si="39"/>
        <v>58</v>
      </c>
      <c r="N79" s="12">
        <f t="shared" si="39"/>
        <v>0</v>
      </c>
      <c r="O79" s="12">
        <f t="shared" si="39"/>
        <v>0</v>
      </c>
      <c r="P79" s="12">
        <f t="shared" si="39"/>
        <v>0</v>
      </c>
      <c r="Q79" s="12">
        <f t="shared" si="4"/>
        <v>0</v>
      </c>
      <c r="R79" s="12">
        <f t="shared" si="4"/>
        <v>0</v>
      </c>
      <c r="S79" s="12">
        <f t="shared" si="5"/>
        <v>0</v>
      </c>
      <c r="T79" s="12">
        <f t="shared" ref="T79:AF79" si="44">T39-S39</f>
        <v>0</v>
      </c>
      <c r="U79" s="12">
        <f t="shared" si="44"/>
        <v>0</v>
      </c>
      <c r="V79" s="12">
        <f t="shared" si="44"/>
        <v>0</v>
      </c>
      <c r="W79" s="12">
        <f t="shared" si="44"/>
        <v>0</v>
      </c>
      <c r="X79" s="12">
        <f t="shared" si="44"/>
        <v>0</v>
      </c>
      <c r="Y79" s="12">
        <f t="shared" si="44"/>
        <v>0</v>
      </c>
      <c r="Z79" s="12">
        <f t="shared" si="44"/>
        <v>0</v>
      </c>
      <c r="AA79" s="12">
        <f t="shared" si="44"/>
        <v>0</v>
      </c>
      <c r="AB79" s="12">
        <f t="shared" si="44"/>
        <v>0</v>
      </c>
      <c r="AC79" s="12">
        <f t="shared" si="44"/>
        <v>0</v>
      </c>
      <c r="AD79" s="12">
        <f t="shared" si="44"/>
        <v>0</v>
      </c>
      <c r="AE79" s="12">
        <f t="shared" si="44"/>
        <v>0</v>
      </c>
      <c r="AF79" s="12">
        <f t="shared" si="44"/>
        <v>0</v>
      </c>
    </row>
    <row r="80" spans="1:32" ht="15.75" thickBot="1" x14ac:dyDescent="0.3">
      <c r="A80" s="14"/>
      <c r="B80" s="172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  <c r="AF80" s="124"/>
    </row>
    <row r="81" spans="1:32" ht="15.75" thickBot="1" x14ac:dyDescent="0.3">
      <c r="A81" s="15" t="s">
        <v>34</v>
      </c>
      <c r="B81" s="16">
        <f>SUM(B45:B79)</f>
        <v>5372</v>
      </c>
      <c r="C81" s="16">
        <f t="shared" ref="C81:P81" si="45">SUM(C45:C79)</f>
        <v>11904</v>
      </c>
      <c r="D81" s="16">
        <f t="shared" si="45"/>
        <v>6613</v>
      </c>
      <c r="E81" s="16">
        <f t="shared" si="45"/>
        <v>5001</v>
      </c>
      <c r="F81" s="16">
        <f t="shared" si="45"/>
        <v>11922</v>
      </c>
      <c r="G81" s="16">
        <f t="shared" si="45"/>
        <v>11975</v>
      </c>
      <c r="H81" s="16">
        <f t="shared" si="45"/>
        <v>11899</v>
      </c>
      <c r="I81" s="16">
        <f t="shared" si="45"/>
        <v>12321</v>
      </c>
      <c r="J81" s="16">
        <f t="shared" si="45"/>
        <v>12431</v>
      </c>
      <c r="K81" s="16">
        <f t="shared" si="45"/>
        <v>6491</v>
      </c>
      <c r="L81" s="16">
        <f t="shared" si="45"/>
        <v>4999</v>
      </c>
      <c r="M81" s="16">
        <f t="shared" si="45"/>
        <v>12215</v>
      </c>
      <c r="N81" s="16">
        <f t="shared" si="45"/>
        <v>10392</v>
      </c>
      <c r="O81" s="16">
        <f t="shared" si="45"/>
        <v>11104</v>
      </c>
      <c r="P81" s="16">
        <f t="shared" si="45"/>
        <v>11137</v>
      </c>
      <c r="Q81" s="16">
        <f>SUM(Q45:Q79)</f>
        <v>11217</v>
      </c>
      <c r="R81" s="16">
        <f t="shared" ref="R81:AE81" si="46">SUM(R45:R79)</f>
        <v>6798</v>
      </c>
      <c r="S81" s="16">
        <f t="shared" si="46"/>
        <v>4868</v>
      </c>
      <c r="T81" s="16">
        <f t="shared" si="46"/>
        <v>11010</v>
      </c>
      <c r="U81" s="16">
        <f t="shared" si="46"/>
        <v>11092</v>
      </c>
      <c r="V81" s="16">
        <f t="shared" si="46"/>
        <v>10958</v>
      </c>
      <c r="W81" s="16">
        <f t="shared" si="46"/>
        <v>10861</v>
      </c>
      <c r="X81" s="16">
        <f t="shared" si="46"/>
        <v>10805</v>
      </c>
      <c r="Y81" s="16">
        <f t="shared" si="46"/>
        <v>6602</v>
      </c>
      <c r="Z81" s="16">
        <f t="shared" si="46"/>
        <v>5033</v>
      </c>
      <c r="AA81" s="16">
        <f t="shared" si="46"/>
        <v>10457</v>
      </c>
      <c r="AB81" s="16">
        <f t="shared" si="46"/>
        <v>10510</v>
      </c>
      <c r="AC81" s="16">
        <f t="shared" si="46"/>
        <v>10451</v>
      </c>
      <c r="AD81" s="16">
        <f t="shared" si="46"/>
        <v>10502</v>
      </c>
      <c r="AE81" s="16">
        <f t="shared" si="46"/>
        <v>9512</v>
      </c>
      <c r="AF81" s="16">
        <f t="shared" ref="AF81" si="47">SUM(AF45:AF79)</f>
        <v>6500</v>
      </c>
    </row>
    <row r="82" spans="1:32" s="124" customFormat="1" x14ac:dyDescent="0.25">
      <c r="A82" s="242"/>
      <c r="B82" s="243"/>
      <c r="C82" s="243"/>
      <c r="D82" s="243"/>
      <c r="E82" s="243"/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1:AC41"/>
  </mergeCell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topLeftCell="F1" zoomScale="115" zoomScaleNormal="115" workbookViewId="0">
      <pane ySplit="4" topLeftCell="A37" activePane="bottomLeft" state="frozen"/>
      <selection pane="bottomLeft" activeCell="W49" sqref="W49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92" t="s">
        <v>160</v>
      </c>
      <c r="F1" s="292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4" t="s">
        <v>151</v>
      </c>
      <c r="Q1" s="248">
        <v>8.3000000000000007</v>
      </c>
      <c r="R1" s="234" t="s">
        <v>152</v>
      </c>
      <c r="S1" s="248">
        <v>34.83</v>
      </c>
      <c r="T1" s="234" t="s">
        <v>157</v>
      </c>
      <c r="U1" s="284">
        <v>39.19</v>
      </c>
      <c r="W1" s="234" t="s">
        <v>155</v>
      </c>
      <c r="X1" s="261">
        <v>11.71</v>
      </c>
      <c r="Y1" s="234" t="s">
        <v>164</v>
      </c>
      <c r="Z1" s="298">
        <v>6</v>
      </c>
      <c r="AA1" s="234" t="s">
        <v>166</v>
      </c>
      <c r="AB1" s="298">
        <v>2.2000000000000002</v>
      </c>
      <c r="AC1" s="234" t="s">
        <v>169</v>
      </c>
      <c r="AD1" s="302">
        <v>20.81</v>
      </c>
      <c r="AE1" s="234" t="s">
        <v>175</v>
      </c>
      <c r="AF1" s="321">
        <v>21.43</v>
      </c>
    </row>
    <row r="2" spans="1:32" ht="15.75" thickBot="1" x14ac:dyDescent="0.3">
      <c r="A2" s="17"/>
      <c r="B2" s="368" t="s">
        <v>37</v>
      </c>
      <c r="C2" s="368"/>
      <c r="D2" s="369" t="s">
        <v>37</v>
      </c>
      <c r="E2" s="369"/>
      <c r="F2" s="234" t="s">
        <v>163</v>
      </c>
      <c r="G2" s="296">
        <f>M2-K1</f>
        <v>17.730000000000004</v>
      </c>
      <c r="H2" s="206" t="s">
        <v>147</v>
      </c>
      <c r="I2" s="206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4" t="s">
        <v>150</v>
      </c>
      <c r="Q2" s="232">
        <v>33.97</v>
      </c>
      <c r="R2" s="234" t="s">
        <v>153</v>
      </c>
      <c r="S2" s="258">
        <v>7.4</v>
      </c>
      <c r="T2" s="234" t="s">
        <v>158</v>
      </c>
      <c r="U2" s="285">
        <v>12.72</v>
      </c>
      <c r="W2" s="234" t="s">
        <v>156</v>
      </c>
      <c r="X2" s="286">
        <v>21.7</v>
      </c>
      <c r="Y2" s="234" t="s">
        <v>165</v>
      </c>
      <c r="Z2" s="298">
        <v>3.9</v>
      </c>
      <c r="AA2" s="234" t="s">
        <v>168</v>
      </c>
      <c r="AB2" s="301">
        <f>(26.4-21.43)</f>
        <v>4.9699999999999989</v>
      </c>
      <c r="AC2" s="234" t="s">
        <v>170</v>
      </c>
      <c r="AD2" s="308">
        <v>10.55</v>
      </c>
      <c r="AE2" s="234" t="s">
        <v>181</v>
      </c>
      <c r="AF2" s="333">
        <f>M1-K1</f>
        <v>3.7100000000000009</v>
      </c>
    </row>
    <row r="3" spans="1:32" ht="14.1" customHeight="1" x14ac:dyDescent="0.25">
      <c r="A3" s="17"/>
      <c r="B3" s="368" t="s">
        <v>39</v>
      </c>
      <c r="C3" s="368"/>
      <c r="D3" s="369" t="s">
        <v>40</v>
      </c>
      <c r="E3" s="369"/>
      <c r="F3" s="362" t="s">
        <v>41</v>
      </c>
      <c r="G3" s="362" t="s">
        <v>42</v>
      </c>
      <c r="H3" s="362" t="s">
        <v>161</v>
      </c>
      <c r="I3" s="362" t="s">
        <v>43</v>
      </c>
      <c r="J3" s="362" t="s">
        <v>44</v>
      </c>
      <c r="K3" s="362" t="s">
        <v>45</v>
      </c>
      <c r="L3" s="362" t="s">
        <v>46</v>
      </c>
      <c r="M3" s="362" t="s">
        <v>47</v>
      </c>
      <c r="N3" s="355" t="s">
        <v>48</v>
      </c>
      <c r="O3" s="355" t="s">
        <v>49</v>
      </c>
      <c r="P3" s="354"/>
      <c r="Q3" s="356" t="s">
        <v>139</v>
      </c>
      <c r="R3" s="357"/>
      <c r="S3" s="358"/>
      <c r="T3" s="359" t="s">
        <v>142</v>
      </c>
      <c r="U3" s="360"/>
      <c r="V3" s="361"/>
      <c r="W3" s="352" t="s">
        <v>143</v>
      </c>
      <c r="X3" s="352" t="s">
        <v>162</v>
      </c>
    </row>
    <row r="4" spans="1:32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62"/>
      <c r="G4" s="370"/>
      <c r="H4" s="370"/>
      <c r="I4" s="362"/>
      <c r="J4" s="362"/>
      <c r="K4" s="362"/>
      <c r="L4" s="362"/>
      <c r="M4" s="362"/>
      <c r="N4" s="355"/>
      <c r="O4" s="355"/>
      <c r="P4" s="354"/>
      <c r="Q4" s="195" t="s">
        <v>140</v>
      </c>
      <c r="R4" s="196" t="s">
        <v>141</v>
      </c>
      <c r="S4" s="196" t="s">
        <v>146</v>
      </c>
      <c r="T4" s="197" t="s">
        <v>140</v>
      </c>
      <c r="U4" s="237" t="s">
        <v>141</v>
      </c>
      <c r="V4" s="238" t="s">
        <v>146</v>
      </c>
      <c r="W4" s="353"/>
      <c r="X4" s="353"/>
    </row>
    <row r="5" spans="1:32" x14ac:dyDescent="0.25">
      <c r="A5" s="60">
        <v>46023</v>
      </c>
      <c r="B5" s="220">
        <v>51</v>
      </c>
      <c r="C5" s="220">
        <v>3</v>
      </c>
      <c r="D5" s="138">
        <f>'Data Ocupacion'!D31</f>
        <v>51</v>
      </c>
      <c r="E5" s="138">
        <f>'Data Ocupacion'!E31</f>
        <v>3</v>
      </c>
      <c r="F5" s="220" t="s">
        <v>38</v>
      </c>
      <c r="G5" s="220">
        <f t="shared" ref="G5:G10" si="0">D5+E5*2</f>
        <v>57</v>
      </c>
      <c r="H5" s="220">
        <f>B5+C5*2</f>
        <v>57</v>
      </c>
      <c r="I5" s="220">
        <f t="shared" ref="I5:I10" si="1">D5+E5</f>
        <v>54</v>
      </c>
      <c r="J5" s="220">
        <f>G5*M$2</f>
        <v>2458.4100000000003</v>
      </c>
      <c r="K5" s="153">
        <f>I5*M$2</f>
        <v>2329.02</v>
      </c>
      <c r="L5" s="220">
        <f t="shared" ref="L5:L10" si="2">J5*104</f>
        <v>255674.64000000004</v>
      </c>
      <c r="M5" s="220">
        <f t="shared" ref="M5:M10" si="3">I5*104</f>
        <v>5616</v>
      </c>
      <c r="N5" s="19"/>
      <c r="O5" s="19"/>
      <c r="P5" s="146"/>
      <c r="Q5" s="184"/>
      <c r="R5" s="184"/>
      <c r="S5" s="207"/>
      <c r="T5" s="288"/>
      <c r="U5" s="192"/>
      <c r="V5" s="230"/>
      <c r="W5" s="183">
        <f>J5-(Q5*($M$2-$K$1))-(R5*($M$2-$M$1))- (S5*($M$2-$I$2))+ (T5*($G$2))</f>
        <v>2458.4100000000003</v>
      </c>
      <c r="X5" s="183">
        <f>H5*$M$2</f>
        <v>2458.4100000000003</v>
      </c>
    </row>
    <row r="6" spans="1:32" ht="15" customHeight="1" x14ac:dyDescent="0.25">
      <c r="A6" s="203"/>
      <c r="B6" s="220">
        <v>57</v>
      </c>
      <c r="C6" s="220">
        <v>0</v>
      </c>
      <c r="D6" s="126">
        <f>'Data Ocupacion'!D32</f>
        <v>55</v>
      </c>
      <c r="E6" s="126">
        <f>'Data Ocupacion'!E32</f>
        <v>2</v>
      </c>
      <c r="F6" s="220" t="s">
        <v>52</v>
      </c>
      <c r="G6" s="220">
        <f t="shared" si="0"/>
        <v>59</v>
      </c>
      <c r="H6" s="220">
        <f t="shared" ref="H6:H10" si="4">B6+C6*2</f>
        <v>57</v>
      </c>
      <c r="I6" s="220">
        <f t="shared" si="1"/>
        <v>57</v>
      </c>
      <c r="J6" s="220">
        <f>G6*M$2</f>
        <v>2544.67</v>
      </c>
      <c r="K6" s="153">
        <f>I6*M$2</f>
        <v>2458.4100000000003</v>
      </c>
      <c r="L6" s="220">
        <f t="shared" si="2"/>
        <v>264645.68</v>
      </c>
      <c r="M6" s="220">
        <f t="shared" si="3"/>
        <v>5928</v>
      </c>
      <c r="N6" s="19"/>
      <c r="O6" s="19"/>
      <c r="P6" s="146"/>
      <c r="Q6" s="187"/>
      <c r="R6" s="187"/>
      <c r="S6" s="219"/>
      <c r="T6" s="184"/>
      <c r="U6" s="219"/>
      <c r="V6" s="231"/>
      <c r="W6" s="186">
        <f>J6-(T6*($M$2-$K$1)+(U6*($M$2-$M$1)))</f>
        <v>2544.67</v>
      </c>
      <c r="X6" s="183">
        <f>H6*$M$2</f>
        <v>2458.4100000000003</v>
      </c>
    </row>
    <row r="7" spans="1:32" ht="15" customHeight="1" x14ac:dyDescent="0.25">
      <c r="A7" s="203"/>
      <c r="B7" s="220">
        <v>0</v>
      </c>
      <c r="C7" s="220">
        <v>0</v>
      </c>
      <c r="D7" s="138">
        <f>'Data Ocupacion'!D33</f>
        <v>0</v>
      </c>
      <c r="E7" s="138">
        <f>'Data Ocupacion'!E33</f>
        <v>0</v>
      </c>
      <c r="F7" s="220" t="s">
        <v>36</v>
      </c>
      <c r="G7" s="220">
        <f t="shared" si="0"/>
        <v>0</v>
      </c>
      <c r="H7" s="220">
        <f t="shared" si="4"/>
        <v>0</v>
      </c>
      <c r="I7" s="220">
        <f t="shared" si="1"/>
        <v>0</v>
      </c>
      <c r="J7" s="220">
        <f>G7*M$1</f>
        <v>0</v>
      </c>
      <c r="K7" s="153">
        <f>I7*M$1</f>
        <v>0</v>
      </c>
      <c r="L7" s="220">
        <f t="shared" si="2"/>
        <v>0</v>
      </c>
      <c r="M7" s="220">
        <f t="shared" si="3"/>
        <v>0</v>
      </c>
      <c r="N7" s="19"/>
      <c r="O7" s="19"/>
      <c r="P7" s="146"/>
      <c r="Q7" s="184"/>
      <c r="R7" s="191"/>
      <c r="S7" s="230"/>
      <c r="T7" s="187"/>
      <c r="U7" s="190"/>
      <c r="V7" s="190"/>
      <c r="W7" s="183">
        <f>J7-(Q7*($M$1-$K$1))</f>
        <v>0</v>
      </c>
      <c r="X7" s="183">
        <f>H7*$M$1</f>
        <v>0</v>
      </c>
    </row>
    <row r="8" spans="1:32" ht="15" customHeight="1" x14ac:dyDescent="0.25">
      <c r="A8" s="203"/>
      <c r="B8" s="220">
        <v>0</v>
      </c>
      <c r="C8" s="220">
        <v>0</v>
      </c>
      <c r="D8" s="138">
        <f>'Data Ocupacion'!D34</f>
        <v>0</v>
      </c>
      <c r="E8" s="138">
        <f>'Data Ocupacion'!E34</f>
        <v>0</v>
      </c>
      <c r="F8" s="220" t="s">
        <v>53</v>
      </c>
      <c r="G8" s="220">
        <f t="shared" si="0"/>
        <v>0</v>
      </c>
      <c r="H8" s="220">
        <f t="shared" si="4"/>
        <v>0</v>
      </c>
      <c r="I8" s="220">
        <f t="shared" si="1"/>
        <v>0</v>
      </c>
      <c r="J8" s="220">
        <f>G8*M$1</f>
        <v>0</v>
      </c>
      <c r="K8" s="153">
        <f>I8*M$1</f>
        <v>0</v>
      </c>
      <c r="L8" s="220">
        <f t="shared" si="2"/>
        <v>0</v>
      </c>
      <c r="M8" s="220">
        <f t="shared" si="3"/>
        <v>0</v>
      </c>
      <c r="N8" s="19"/>
      <c r="O8" s="19"/>
      <c r="P8" s="146"/>
      <c r="Q8" s="190"/>
      <c r="R8" s="190"/>
      <c r="S8" s="190"/>
      <c r="T8" s="190"/>
      <c r="U8" s="190"/>
      <c r="V8" s="190"/>
      <c r="W8" s="183">
        <f>J8</f>
        <v>0</v>
      </c>
      <c r="X8" s="183">
        <f>H8*$M$1</f>
        <v>0</v>
      </c>
    </row>
    <row r="9" spans="1:32" s="124" customFormat="1" ht="15" customHeight="1" x14ac:dyDescent="0.25">
      <c r="A9" s="203"/>
      <c r="B9" s="220">
        <v>0</v>
      </c>
      <c r="C9" s="220">
        <v>0</v>
      </c>
      <c r="D9" s="138">
        <f>'Data Ocupacion'!D35</f>
        <v>0</v>
      </c>
      <c r="E9" s="138">
        <f>'Data Ocupacion'!E35</f>
        <v>0</v>
      </c>
      <c r="F9" s="220" t="s">
        <v>122</v>
      </c>
      <c r="G9" s="220">
        <f t="shared" si="0"/>
        <v>0</v>
      </c>
      <c r="H9" s="220">
        <f t="shared" si="4"/>
        <v>0</v>
      </c>
      <c r="I9" s="220">
        <f t="shared" si="1"/>
        <v>0</v>
      </c>
      <c r="J9" s="220">
        <f>G9*K$1</f>
        <v>0</v>
      </c>
      <c r="K9" s="153">
        <f>I9*K$1</f>
        <v>0</v>
      </c>
      <c r="L9" s="220">
        <f t="shared" si="2"/>
        <v>0</v>
      </c>
      <c r="M9" s="220">
        <f t="shared" si="3"/>
        <v>0</v>
      </c>
      <c r="N9" s="19"/>
      <c r="O9" s="19"/>
      <c r="P9" s="146"/>
      <c r="Q9" s="190"/>
      <c r="R9" s="190"/>
      <c r="S9" s="190"/>
      <c r="T9" s="190"/>
      <c r="U9" s="190"/>
      <c r="V9" s="190"/>
      <c r="W9" s="183">
        <f>J9</f>
        <v>0</v>
      </c>
      <c r="X9" s="183">
        <f>H9*$K$1</f>
        <v>0</v>
      </c>
    </row>
    <row r="10" spans="1:32" ht="15.95" customHeight="1" thickBot="1" x14ac:dyDescent="0.3">
      <c r="A10" s="203"/>
      <c r="B10" s="220">
        <v>0</v>
      </c>
      <c r="C10" s="220">
        <v>0</v>
      </c>
      <c r="D10" s="138">
        <f>'Data Ocupacion'!D36</f>
        <v>0</v>
      </c>
      <c r="E10" s="138">
        <f>'Data Ocupacion'!E36</f>
        <v>0</v>
      </c>
      <c r="F10" s="220" t="s">
        <v>35</v>
      </c>
      <c r="G10" s="220">
        <f t="shared" si="0"/>
        <v>0</v>
      </c>
      <c r="H10" s="220">
        <f t="shared" si="4"/>
        <v>0</v>
      </c>
      <c r="I10" s="220">
        <f t="shared" si="1"/>
        <v>0</v>
      </c>
      <c r="J10" s="220">
        <f>G10*K$1</f>
        <v>0</v>
      </c>
      <c r="K10" s="153">
        <f>I10*K$1</f>
        <v>0</v>
      </c>
      <c r="L10" s="220">
        <f t="shared" si="2"/>
        <v>0</v>
      </c>
      <c r="M10" s="220">
        <f t="shared" si="3"/>
        <v>0</v>
      </c>
      <c r="N10" s="19"/>
      <c r="O10" s="19"/>
      <c r="P10" s="146"/>
      <c r="Q10" s="190"/>
      <c r="R10" s="190"/>
      <c r="S10" s="190"/>
      <c r="T10" s="190"/>
      <c r="U10" s="190"/>
      <c r="V10" s="190"/>
      <c r="W10" s="183">
        <f>J10</f>
        <v>0</v>
      </c>
      <c r="X10" s="183">
        <f>H10*$K$1</f>
        <v>0</v>
      </c>
    </row>
    <row r="11" spans="1:32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106</v>
      </c>
      <c r="E11" s="148">
        <f>SUM(E5:E10)</f>
        <v>5</v>
      </c>
      <c r="F11" s="119"/>
      <c r="G11" s="119">
        <f t="shared" ref="G11:M11" si="5">SUM(G5:G10)</f>
        <v>116</v>
      </c>
      <c r="H11" s="119">
        <f t="shared" si="5"/>
        <v>114</v>
      </c>
      <c r="I11" s="119">
        <f t="shared" si="5"/>
        <v>111</v>
      </c>
      <c r="J11" s="119">
        <f t="shared" si="5"/>
        <v>5003.08</v>
      </c>
      <c r="K11" s="119">
        <f t="shared" si="5"/>
        <v>4787.43</v>
      </c>
      <c r="L11" s="119">
        <f t="shared" si="5"/>
        <v>520320.32000000007</v>
      </c>
      <c r="M11" s="119">
        <f t="shared" si="5"/>
        <v>11544</v>
      </c>
      <c r="N11" s="123">
        <f>'Odometro-Kilometraje'!B81</f>
        <v>5372</v>
      </c>
      <c r="O11" s="21">
        <f>(W11/N11)*100</f>
        <v>93.132539091585997</v>
      </c>
      <c r="P11" s="193"/>
      <c r="Q11" s="182"/>
      <c r="R11" s="182"/>
      <c r="S11" s="182"/>
      <c r="T11" s="182"/>
      <c r="U11" s="182"/>
      <c r="V11" s="182"/>
      <c r="W11" s="194">
        <f>SUM(W5:W10)</f>
        <v>5003.08</v>
      </c>
      <c r="X11" s="194">
        <f>SUM(X5:X10)</f>
        <v>4916.8200000000006</v>
      </c>
      <c r="AA11" s="172"/>
    </row>
    <row r="12" spans="1:32" x14ac:dyDescent="0.25">
      <c r="A12" s="60">
        <f>A5+1</f>
        <v>46024</v>
      </c>
      <c r="B12" s="299">
        <v>47</v>
      </c>
      <c r="C12" s="299">
        <v>32</v>
      </c>
      <c r="D12" s="126">
        <f>'Data Ocupacion'!F31</f>
        <v>47</v>
      </c>
      <c r="E12" s="126">
        <f>'Data Ocupacion'!G31</f>
        <v>32</v>
      </c>
      <c r="F12" s="125" t="s">
        <v>38</v>
      </c>
      <c r="G12" s="125">
        <f t="shared" ref="G12:G17" si="6">D12+E12*2</f>
        <v>111</v>
      </c>
      <c r="H12" s="125">
        <f>B12+C12*2</f>
        <v>111</v>
      </c>
      <c r="I12" s="125">
        <f t="shared" ref="I12:I17" si="7">D12+E12</f>
        <v>79</v>
      </c>
      <c r="J12" s="125">
        <f>G12*M$2</f>
        <v>4787.43</v>
      </c>
      <c r="K12" s="153">
        <f>I12*M$2</f>
        <v>3407.27</v>
      </c>
      <c r="L12" s="125">
        <f t="shared" ref="L12:L17" si="8">J12*104</f>
        <v>497892.72000000003</v>
      </c>
      <c r="M12" s="125">
        <f t="shared" ref="M12:M17" si="9">I12*104</f>
        <v>8216</v>
      </c>
      <c r="N12" s="19"/>
      <c r="O12" s="19"/>
      <c r="P12" s="146"/>
      <c r="Q12" s="184">
        <v>3</v>
      </c>
      <c r="R12" s="184"/>
      <c r="S12" s="207"/>
      <c r="T12" s="184"/>
      <c r="U12" s="192"/>
      <c r="V12" s="230"/>
      <c r="W12" s="183">
        <f>J12-(Q12*($M$2-$K$1))-(R12*($M$2-$M$1))- (S12*($M$2-$I$2))+ (T12*($G$2))</f>
        <v>4734.2400000000007</v>
      </c>
      <c r="X12" s="183">
        <f>H12*$M$2</f>
        <v>4787.43</v>
      </c>
      <c r="Z12" s="124"/>
    </row>
    <row r="13" spans="1:32" ht="15" customHeight="1" x14ac:dyDescent="0.25">
      <c r="A13" s="203"/>
      <c r="B13" s="299">
        <v>45</v>
      </c>
      <c r="C13" s="299">
        <v>33</v>
      </c>
      <c r="D13" s="126">
        <f>'Data Ocupacion'!F32</f>
        <v>45</v>
      </c>
      <c r="E13" s="126">
        <f>'Data Ocupacion'!G32</f>
        <v>33</v>
      </c>
      <c r="F13" s="125" t="s">
        <v>52</v>
      </c>
      <c r="G13" s="125">
        <f t="shared" si="6"/>
        <v>111</v>
      </c>
      <c r="H13" s="125">
        <f t="shared" ref="H13:H17" si="10">B13+C13*2</f>
        <v>111</v>
      </c>
      <c r="I13" s="125">
        <f t="shared" si="7"/>
        <v>78</v>
      </c>
      <c r="J13" s="125">
        <f>G13*M$2</f>
        <v>4787.43</v>
      </c>
      <c r="K13" s="153">
        <f>I13*M$2</f>
        <v>3364.1400000000003</v>
      </c>
      <c r="L13" s="125">
        <f t="shared" si="8"/>
        <v>497892.72000000003</v>
      </c>
      <c r="M13" s="125">
        <f t="shared" si="9"/>
        <v>8112</v>
      </c>
      <c r="N13" s="19"/>
      <c r="O13" s="19"/>
      <c r="P13" s="146"/>
      <c r="Q13" s="187"/>
      <c r="R13" s="187"/>
      <c r="S13" s="187"/>
      <c r="T13" s="184"/>
      <c r="U13" s="184"/>
      <c r="V13" s="207"/>
      <c r="W13" s="186">
        <f>J13-(T13*($M$2-$K$1)+(U13*($M$2-$M$1)))</f>
        <v>4787.43</v>
      </c>
      <c r="X13" s="183">
        <f>H13*$M$2</f>
        <v>4787.43</v>
      </c>
      <c r="Z13" s="124"/>
    </row>
    <row r="14" spans="1:32" ht="15.95" customHeight="1" x14ac:dyDescent="0.25">
      <c r="A14" s="203"/>
      <c r="B14" s="299">
        <v>33</v>
      </c>
      <c r="C14" s="299">
        <v>0</v>
      </c>
      <c r="D14" s="126">
        <f>'Data Ocupacion'!F33</f>
        <v>33</v>
      </c>
      <c r="E14" s="126">
        <f>'Data Ocupacion'!G33</f>
        <v>0</v>
      </c>
      <c r="F14" s="125" t="s">
        <v>36</v>
      </c>
      <c r="G14" s="125">
        <f t="shared" si="6"/>
        <v>33</v>
      </c>
      <c r="H14" s="125">
        <f t="shared" si="10"/>
        <v>33</v>
      </c>
      <c r="I14" s="125">
        <f t="shared" si="7"/>
        <v>33</v>
      </c>
      <c r="J14" s="125">
        <f>G14*M$1</f>
        <v>960.63</v>
      </c>
      <c r="K14" s="153">
        <f>I14*M$1</f>
        <v>960.63</v>
      </c>
      <c r="L14" s="125">
        <f t="shared" si="8"/>
        <v>99905.52</v>
      </c>
      <c r="M14" s="125">
        <f t="shared" si="9"/>
        <v>3432</v>
      </c>
      <c r="N14" s="19"/>
      <c r="O14" s="19"/>
      <c r="P14" s="146"/>
      <c r="Q14" s="184"/>
      <c r="R14" s="188"/>
      <c r="S14" s="208"/>
      <c r="T14" s="189"/>
      <c r="U14" s="190"/>
      <c r="V14" s="190"/>
      <c r="W14" s="183">
        <f>J14-(Q14*($M$1-$K$1))</f>
        <v>960.63</v>
      </c>
      <c r="X14" s="183">
        <f>H14*$M$1</f>
        <v>960.63</v>
      </c>
      <c r="Z14" s="124"/>
    </row>
    <row r="15" spans="1:32" ht="15" customHeight="1" x14ac:dyDescent="0.25">
      <c r="A15" s="203"/>
      <c r="B15" s="299">
        <v>32</v>
      </c>
      <c r="C15" s="299">
        <v>0</v>
      </c>
      <c r="D15" s="126">
        <f>'Data Ocupacion'!F34</f>
        <v>32</v>
      </c>
      <c r="E15" s="126">
        <f>'Data Ocupacion'!G34</f>
        <v>0</v>
      </c>
      <c r="F15" s="125" t="s">
        <v>53</v>
      </c>
      <c r="G15" s="125">
        <f t="shared" si="6"/>
        <v>32</v>
      </c>
      <c r="H15" s="125">
        <f t="shared" si="10"/>
        <v>32</v>
      </c>
      <c r="I15" s="125">
        <f t="shared" si="7"/>
        <v>32</v>
      </c>
      <c r="J15" s="125">
        <f>G15*M$1</f>
        <v>931.52</v>
      </c>
      <c r="K15" s="153">
        <f>I15*M$1</f>
        <v>931.52</v>
      </c>
      <c r="L15" s="125">
        <f t="shared" si="8"/>
        <v>96878.080000000002</v>
      </c>
      <c r="M15" s="125">
        <f t="shared" si="9"/>
        <v>3328</v>
      </c>
      <c r="N15" s="165"/>
      <c r="O15" s="19"/>
      <c r="P15" s="146"/>
      <c r="Q15" s="190"/>
      <c r="R15" s="190"/>
      <c r="S15" s="190"/>
      <c r="T15" s="190"/>
      <c r="U15" s="190"/>
      <c r="V15" s="190"/>
      <c r="W15" s="183">
        <f>J15</f>
        <v>931.52</v>
      </c>
      <c r="X15" s="183">
        <f>H15*$M$1</f>
        <v>931.52</v>
      </c>
    </row>
    <row r="16" spans="1:32" s="124" customFormat="1" ht="15" customHeight="1" x14ac:dyDescent="0.25">
      <c r="A16" s="203"/>
      <c r="B16" s="299">
        <v>0</v>
      </c>
      <c r="C16" s="299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90"/>
      <c r="R16" s="190"/>
      <c r="S16" s="190"/>
      <c r="T16" s="190"/>
      <c r="U16" s="190"/>
      <c r="V16" s="190"/>
      <c r="W16" s="183">
        <f>J16</f>
        <v>0</v>
      </c>
      <c r="X16" s="183">
        <f>H16*$K$1</f>
        <v>0</v>
      </c>
    </row>
    <row r="17" spans="1:26" s="124" customFormat="1" ht="15" customHeight="1" thickBot="1" x14ac:dyDescent="0.3">
      <c r="A17" s="203"/>
      <c r="B17" s="299">
        <v>1</v>
      </c>
      <c r="C17" s="299">
        <v>0</v>
      </c>
      <c r="D17" s="126">
        <f>'Data Ocupacion'!F36</f>
        <v>1</v>
      </c>
      <c r="E17" s="126">
        <f>'Data Ocupacion'!G36</f>
        <v>0</v>
      </c>
      <c r="F17" s="125" t="s">
        <v>35</v>
      </c>
      <c r="G17" s="125">
        <f t="shared" si="6"/>
        <v>1</v>
      </c>
      <c r="H17" s="125">
        <f t="shared" si="10"/>
        <v>1</v>
      </c>
      <c r="I17" s="125">
        <f t="shared" si="7"/>
        <v>1</v>
      </c>
      <c r="J17" s="125">
        <f>G17*K$1</f>
        <v>25.4</v>
      </c>
      <c r="K17" s="153">
        <f>I17*K$1</f>
        <v>25.4</v>
      </c>
      <c r="L17" s="125">
        <f t="shared" si="8"/>
        <v>2641.6</v>
      </c>
      <c r="M17" s="125">
        <f t="shared" si="9"/>
        <v>104</v>
      </c>
      <c r="N17" s="19"/>
      <c r="O17" s="19"/>
      <c r="P17" s="146"/>
      <c r="Q17" s="190"/>
      <c r="R17" s="190"/>
      <c r="S17" s="190"/>
      <c r="T17" s="190"/>
      <c r="U17" s="190"/>
      <c r="V17" s="190"/>
      <c r="W17" s="183">
        <f>J17</f>
        <v>25.4</v>
      </c>
      <c r="X17" s="183">
        <f>H17*$K$1</f>
        <v>25.4</v>
      </c>
    </row>
    <row r="18" spans="1:26" ht="15.75" thickBot="1" x14ac:dyDescent="0.3">
      <c r="A18" s="20"/>
      <c r="B18" s="119">
        <f>SUM(B12:B17)</f>
        <v>158</v>
      </c>
      <c r="C18" s="119">
        <f>SUM(C12:C17)</f>
        <v>65</v>
      </c>
      <c r="D18" s="148">
        <f>SUM(D12:D17)</f>
        <v>158</v>
      </c>
      <c r="E18" s="148">
        <f>SUM(E12:E17)</f>
        <v>65</v>
      </c>
      <c r="F18" s="119"/>
      <c r="G18" s="119">
        <f t="shared" ref="G18:M18" si="11">SUM(G12:G17)</f>
        <v>288</v>
      </c>
      <c r="H18" s="119">
        <f t="shared" si="11"/>
        <v>288</v>
      </c>
      <c r="I18" s="119">
        <f t="shared" si="11"/>
        <v>223</v>
      </c>
      <c r="J18" s="120">
        <f>SUM(J12:J17)</f>
        <v>11492.41</v>
      </c>
      <c r="K18" s="119">
        <f t="shared" si="11"/>
        <v>8688.9599999999991</v>
      </c>
      <c r="L18" s="119">
        <f t="shared" si="11"/>
        <v>1195210.6400000001</v>
      </c>
      <c r="M18" s="119">
        <f t="shared" si="11"/>
        <v>23192</v>
      </c>
      <c r="N18" s="123">
        <f>'Odometro-Kilometraje'!C81</f>
        <v>11904</v>
      </c>
      <c r="O18" s="21">
        <f>(W18/N18)*100</f>
        <v>96.095598118279582</v>
      </c>
      <c r="P18" s="193"/>
      <c r="Q18" s="182"/>
      <c r="R18" s="182"/>
      <c r="S18" s="182"/>
      <c r="T18" s="182"/>
      <c r="U18" s="182"/>
      <c r="V18" s="182"/>
      <c r="W18" s="194">
        <f>SUM(W12:W17)</f>
        <v>11439.220000000001</v>
      </c>
      <c r="X18" s="194">
        <f>SUM(X12:X17)</f>
        <v>11492.41</v>
      </c>
      <c r="Z18" s="342"/>
    </row>
    <row r="19" spans="1:26" x14ac:dyDescent="0.25">
      <c r="A19" s="60">
        <f>A12+1</f>
        <v>46025</v>
      </c>
      <c r="B19" s="116">
        <v>69</v>
      </c>
      <c r="C19" s="116">
        <v>3</v>
      </c>
      <c r="D19" s="147">
        <f>'Data Ocupacion'!H31</f>
        <v>69</v>
      </c>
      <c r="E19" s="147">
        <f>'Data Ocupacion'!I31</f>
        <v>3</v>
      </c>
      <c r="F19" s="116" t="s">
        <v>38</v>
      </c>
      <c r="G19" s="116">
        <f t="shared" ref="G19:G24" si="12">D19+E19*2</f>
        <v>75</v>
      </c>
      <c r="H19" s="116">
        <f>B19+C19*2</f>
        <v>75</v>
      </c>
      <c r="I19" s="116">
        <f t="shared" ref="I19:I24" si="13">D19+E19</f>
        <v>72</v>
      </c>
      <c r="J19" s="116">
        <f>G19*M$2</f>
        <v>3234.75</v>
      </c>
      <c r="K19" s="153">
        <f>I19*M$2</f>
        <v>3105.36</v>
      </c>
      <c r="L19" s="116">
        <f t="shared" ref="L19:L24" si="14">J19*104</f>
        <v>336414</v>
      </c>
      <c r="M19" s="116">
        <f t="shared" ref="M19:M24" si="15">I19*104</f>
        <v>7488</v>
      </c>
      <c r="N19" s="19"/>
      <c r="O19" s="19"/>
      <c r="P19" s="146"/>
      <c r="Q19" s="184"/>
      <c r="R19" s="184"/>
      <c r="S19" s="207"/>
      <c r="T19" s="288"/>
      <c r="U19" s="192"/>
      <c r="V19" s="230"/>
      <c r="W19" s="183">
        <f>J19-(Q19*($M$2-$K$1))-(R19*($M$2-$M$1))- (S19*($M$2-$I$2))+ (T19*($G$2))</f>
        <v>3234.75</v>
      </c>
      <c r="X19" s="183">
        <f>H19*$M$2</f>
        <v>3234.75</v>
      </c>
    </row>
    <row r="20" spans="1:26" ht="15.95" customHeight="1" x14ac:dyDescent="0.25">
      <c r="A20" s="218"/>
      <c r="B20" s="116">
        <v>75</v>
      </c>
      <c r="C20" s="116">
        <v>0</v>
      </c>
      <c r="D20" s="147">
        <f>'Data Ocupacion'!H32</f>
        <v>75</v>
      </c>
      <c r="E20" s="147">
        <f>'Data Ocupacion'!I32</f>
        <v>0</v>
      </c>
      <c r="F20" s="116" t="s">
        <v>52</v>
      </c>
      <c r="G20" s="116">
        <f t="shared" si="12"/>
        <v>75</v>
      </c>
      <c r="H20" s="116">
        <f t="shared" ref="H20:H24" si="16">B20+C20*2</f>
        <v>75</v>
      </c>
      <c r="I20" s="116">
        <f t="shared" si="13"/>
        <v>75</v>
      </c>
      <c r="J20" s="116">
        <f>G20*M$2</f>
        <v>3234.75</v>
      </c>
      <c r="K20" s="153">
        <f>I20*M$2</f>
        <v>3234.75</v>
      </c>
      <c r="L20" s="116">
        <f t="shared" si="14"/>
        <v>336414</v>
      </c>
      <c r="M20" s="116">
        <f t="shared" si="15"/>
        <v>7800</v>
      </c>
      <c r="N20" s="19"/>
      <c r="O20" s="19"/>
      <c r="P20" s="146"/>
      <c r="Q20" s="187"/>
      <c r="R20" s="187"/>
      <c r="S20" s="219"/>
      <c r="T20" s="184"/>
      <c r="U20" s="219"/>
      <c r="V20" s="231"/>
      <c r="W20" s="186">
        <f>J20-(T20*($M$2-$K$1)+(U20*($M$2-$M$1)))</f>
        <v>3234.75</v>
      </c>
      <c r="X20" s="183">
        <f>H20*$M$2</f>
        <v>3234.75</v>
      </c>
    </row>
    <row r="21" spans="1:26" ht="15" customHeight="1" x14ac:dyDescent="0.25">
      <c r="A21" s="218"/>
      <c r="B21" s="116">
        <v>0</v>
      </c>
      <c r="C21" s="116">
        <v>0</v>
      </c>
      <c r="D21" s="147">
        <f>'Data Ocupacion'!H33</f>
        <v>0</v>
      </c>
      <c r="E21" s="147">
        <f>'Data Ocupacion'!I33</f>
        <v>0</v>
      </c>
      <c r="F21" s="116" t="s">
        <v>36</v>
      </c>
      <c r="G21" s="116">
        <f t="shared" si="12"/>
        <v>0</v>
      </c>
      <c r="H21" s="116">
        <f t="shared" si="16"/>
        <v>0</v>
      </c>
      <c r="I21" s="116">
        <f t="shared" si="13"/>
        <v>0</v>
      </c>
      <c r="J21" s="116">
        <f>G21*M$1</f>
        <v>0</v>
      </c>
      <c r="K21" s="153">
        <f>I21*M$1</f>
        <v>0</v>
      </c>
      <c r="L21" s="116">
        <f t="shared" si="14"/>
        <v>0</v>
      </c>
      <c r="M21" s="116">
        <f t="shared" si="15"/>
        <v>0</v>
      </c>
      <c r="N21" s="19"/>
      <c r="O21" s="19"/>
      <c r="P21" s="146"/>
      <c r="Q21" s="246"/>
      <c r="R21" s="191"/>
      <c r="S21" s="230"/>
      <c r="T21" s="187"/>
      <c r="U21" s="190"/>
      <c r="V21" s="190"/>
      <c r="W21" s="183">
        <f>J21-(Q21*($M$1-$K$1))</f>
        <v>0</v>
      </c>
      <c r="X21" s="183">
        <f>H21*$M$1</f>
        <v>0</v>
      </c>
    </row>
    <row r="22" spans="1:26" ht="15" customHeight="1" x14ac:dyDescent="0.25">
      <c r="A22" s="218"/>
      <c r="B22" s="116">
        <v>0</v>
      </c>
      <c r="C22" s="116">
        <v>0</v>
      </c>
      <c r="D22" s="147">
        <f>'Data Ocupacion'!H34</f>
        <v>0</v>
      </c>
      <c r="E22" s="147">
        <f>'Data Ocupacion'!I34</f>
        <v>0</v>
      </c>
      <c r="F22" s="116" t="s">
        <v>53</v>
      </c>
      <c r="G22" s="116">
        <f t="shared" si="12"/>
        <v>0</v>
      </c>
      <c r="H22" s="116">
        <f t="shared" si="16"/>
        <v>0</v>
      </c>
      <c r="I22" s="116">
        <f t="shared" si="13"/>
        <v>0</v>
      </c>
      <c r="J22" s="116">
        <f>G22*M$1</f>
        <v>0</v>
      </c>
      <c r="K22" s="153">
        <f>I22*M$1</f>
        <v>0</v>
      </c>
      <c r="L22" s="116">
        <f t="shared" si="14"/>
        <v>0</v>
      </c>
      <c r="M22" s="116">
        <f t="shared" si="15"/>
        <v>0</v>
      </c>
      <c r="N22" s="19"/>
      <c r="O22" s="19"/>
      <c r="P22" s="146"/>
      <c r="Q22" s="190"/>
      <c r="R22" s="190"/>
      <c r="S22" s="190"/>
      <c r="T22" s="190"/>
      <c r="U22" s="190"/>
      <c r="V22" s="190"/>
      <c r="W22" s="183">
        <f>J22</f>
        <v>0</v>
      </c>
      <c r="X22" s="183">
        <f>H22*$M$1</f>
        <v>0</v>
      </c>
    </row>
    <row r="23" spans="1:26" s="124" customFormat="1" ht="15" customHeight="1" x14ac:dyDescent="0.25">
      <c r="A23" s="218"/>
      <c r="B23" s="116">
        <v>0</v>
      </c>
      <c r="C23" s="116">
        <v>0</v>
      </c>
      <c r="D23" s="147">
        <f>'Data Ocupacion'!H35</f>
        <v>0</v>
      </c>
      <c r="E23" s="147">
        <f>'Data Ocupacion'!I35</f>
        <v>0</v>
      </c>
      <c r="F23" s="116" t="s">
        <v>122</v>
      </c>
      <c r="G23" s="116">
        <f t="shared" si="12"/>
        <v>0</v>
      </c>
      <c r="H23" s="116">
        <f t="shared" si="16"/>
        <v>0</v>
      </c>
      <c r="I23" s="116">
        <f t="shared" si="13"/>
        <v>0</v>
      </c>
      <c r="J23" s="116">
        <f>G23*K$1</f>
        <v>0</v>
      </c>
      <c r="K23" s="153">
        <f>I23*K$1</f>
        <v>0</v>
      </c>
      <c r="L23" s="116">
        <f t="shared" si="14"/>
        <v>0</v>
      </c>
      <c r="M23" s="116">
        <f t="shared" si="15"/>
        <v>0</v>
      </c>
      <c r="N23" s="19"/>
      <c r="O23" s="19"/>
      <c r="P23" s="146"/>
      <c r="Q23" s="190"/>
      <c r="R23" s="190"/>
      <c r="S23" s="190"/>
      <c r="T23" s="190"/>
      <c r="U23" s="190"/>
      <c r="V23" s="190"/>
      <c r="W23" s="183">
        <f>J23</f>
        <v>0</v>
      </c>
      <c r="X23" s="183">
        <f>H23*$K$1</f>
        <v>0</v>
      </c>
    </row>
    <row r="24" spans="1:26" s="124" customFormat="1" ht="15" customHeight="1" thickBot="1" x14ac:dyDescent="0.3">
      <c r="A24" s="218"/>
      <c r="B24" s="116">
        <v>0</v>
      </c>
      <c r="C24" s="116">
        <v>0</v>
      </c>
      <c r="D24" s="147">
        <f>'Data Ocupacion'!H36</f>
        <v>0</v>
      </c>
      <c r="E24" s="147">
        <f>'Data Ocupacion'!I36</f>
        <v>0</v>
      </c>
      <c r="F24" s="116" t="s">
        <v>35</v>
      </c>
      <c r="G24" s="116">
        <f t="shared" si="12"/>
        <v>0</v>
      </c>
      <c r="H24" s="116">
        <f t="shared" si="16"/>
        <v>0</v>
      </c>
      <c r="I24" s="116">
        <f t="shared" si="13"/>
        <v>0</v>
      </c>
      <c r="J24" s="116">
        <f>G24*K$1</f>
        <v>0</v>
      </c>
      <c r="K24" s="153">
        <f>I24*K$1</f>
        <v>0</v>
      </c>
      <c r="L24" s="116">
        <f t="shared" si="14"/>
        <v>0</v>
      </c>
      <c r="M24" s="116">
        <f t="shared" si="15"/>
        <v>0</v>
      </c>
      <c r="N24" s="19"/>
      <c r="O24" s="19"/>
      <c r="P24" s="146"/>
      <c r="Q24" s="190"/>
      <c r="R24" s="190"/>
      <c r="S24" s="190"/>
      <c r="T24" s="190"/>
      <c r="U24" s="190"/>
      <c r="V24" s="190"/>
      <c r="W24" s="183">
        <f>J24</f>
        <v>0</v>
      </c>
      <c r="X24" s="183">
        <f>H24*$K$1</f>
        <v>0</v>
      </c>
    </row>
    <row r="25" spans="1:26" ht="15.95" customHeight="1" thickBot="1" x14ac:dyDescent="0.3">
      <c r="A25" s="20"/>
      <c r="B25" s="119">
        <f>SUM(B19:B24)</f>
        <v>144</v>
      </c>
      <c r="C25" s="119">
        <f>SUM(C19:C24)</f>
        <v>3</v>
      </c>
      <c r="D25" s="148">
        <f>SUM(D19:D24)</f>
        <v>144</v>
      </c>
      <c r="E25" s="148">
        <f>SUM(E19:E24)</f>
        <v>3</v>
      </c>
      <c r="F25" s="119"/>
      <c r="G25" s="119">
        <f t="shared" ref="G25:M25" si="17">SUM(G19:G24)</f>
        <v>150</v>
      </c>
      <c r="H25" s="119">
        <f t="shared" si="17"/>
        <v>150</v>
      </c>
      <c r="I25" s="119">
        <f t="shared" si="17"/>
        <v>147</v>
      </c>
      <c r="J25" s="119">
        <f t="shared" si="17"/>
        <v>6469.5</v>
      </c>
      <c r="K25" s="119">
        <f t="shared" si="17"/>
        <v>6340.1100000000006</v>
      </c>
      <c r="L25" s="119">
        <f t="shared" si="17"/>
        <v>672828</v>
      </c>
      <c r="M25" s="119">
        <f t="shared" si="17"/>
        <v>15288</v>
      </c>
      <c r="N25" s="181">
        <f>'Odometro-Kilometraje'!D81</f>
        <v>6613</v>
      </c>
      <c r="O25" s="21">
        <f>(W25/N25)*100</f>
        <v>97.830031755632845</v>
      </c>
      <c r="P25" s="193"/>
      <c r="Q25" s="182"/>
      <c r="R25" s="182"/>
      <c r="S25" s="182"/>
      <c r="T25" s="182"/>
      <c r="U25" s="182"/>
      <c r="V25" s="182"/>
      <c r="W25" s="194">
        <f>SUM(W19:W24)</f>
        <v>6469.5</v>
      </c>
      <c r="X25" s="194">
        <f>SUM(X19:X24)</f>
        <v>6469.5</v>
      </c>
      <c r="Z25" s="342"/>
    </row>
    <row r="26" spans="1:26" x14ac:dyDescent="0.25">
      <c r="A26" s="60">
        <f>A19+1</f>
        <v>46026</v>
      </c>
      <c r="B26" s="220">
        <v>51</v>
      </c>
      <c r="C26" s="220">
        <v>3</v>
      </c>
      <c r="D26" s="138">
        <f>'Data Ocupacion'!J31</f>
        <v>51</v>
      </c>
      <c r="E26" s="138">
        <f>'Data Ocupacion'!K31</f>
        <v>3</v>
      </c>
      <c r="F26" s="220" t="s">
        <v>38</v>
      </c>
      <c r="G26" s="220">
        <f t="shared" ref="G26:G31" si="18">D26+E26*2</f>
        <v>57</v>
      </c>
      <c r="H26" s="220">
        <f>B26+C26*2</f>
        <v>57</v>
      </c>
      <c r="I26" s="220">
        <f t="shared" ref="I26:I31" si="19">D26+E26</f>
        <v>54</v>
      </c>
      <c r="J26" s="220">
        <f>G26*M$2</f>
        <v>2458.4100000000003</v>
      </c>
      <c r="K26" s="153">
        <f>I26*M$2</f>
        <v>2329.02</v>
      </c>
      <c r="L26" s="220">
        <f t="shared" ref="L26:L31" si="20">J26*104</f>
        <v>255674.64000000004</v>
      </c>
      <c r="M26" s="220">
        <f t="shared" ref="M26:M31" si="21">I26*104</f>
        <v>5616</v>
      </c>
      <c r="N26" s="19"/>
      <c r="O26" s="19"/>
      <c r="P26" s="146"/>
      <c r="Q26" s="184"/>
      <c r="R26" s="184"/>
      <c r="S26" s="207"/>
      <c r="T26" s="288"/>
      <c r="U26" s="192"/>
      <c r="V26" s="230"/>
      <c r="W26" s="183">
        <f>J26-(Q26*($M$2-$K$1))-(R26*($M$2-$M$1))- (S26*($M$2-$I$2))+ (T26*($G$2))</f>
        <v>2458.4100000000003</v>
      </c>
      <c r="X26" s="183">
        <f>H26*$M$2</f>
        <v>2458.4100000000003</v>
      </c>
    </row>
    <row r="27" spans="1:26" ht="17.25" customHeight="1" x14ac:dyDescent="0.25">
      <c r="A27" s="218"/>
      <c r="B27" s="220">
        <v>57</v>
      </c>
      <c r="C27" s="220">
        <v>0</v>
      </c>
      <c r="D27" s="138">
        <f>'Data Ocupacion'!J32</f>
        <v>57</v>
      </c>
      <c r="E27" s="138">
        <f>'Data Ocupacion'!K32</f>
        <v>0</v>
      </c>
      <c r="F27" s="220" t="s">
        <v>52</v>
      </c>
      <c r="G27" s="220">
        <f t="shared" si="18"/>
        <v>57</v>
      </c>
      <c r="H27" s="220">
        <f t="shared" ref="H27:H31" si="22">B27+C27*2</f>
        <v>57</v>
      </c>
      <c r="I27" s="220">
        <f t="shared" si="19"/>
        <v>57</v>
      </c>
      <c r="J27" s="220">
        <f>G27*M$2</f>
        <v>2458.4100000000003</v>
      </c>
      <c r="K27" s="153">
        <f>I27*M$2</f>
        <v>2458.4100000000003</v>
      </c>
      <c r="L27" s="220">
        <f t="shared" si="20"/>
        <v>255674.64000000004</v>
      </c>
      <c r="M27" s="220">
        <f t="shared" si="21"/>
        <v>5928</v>
      </c>
      <c r="N27" s="19"/>
      <c r="O27" s="19"/>
      <c r="P27" s="146"/>
      <c r="Q27" s="187"/>
      <c r="R27" s="187"/>
      <c r="S27" s="219"/>
      <c r="T27" s="184"/>
      <c r="U27" s="219"/>
      <c r="V27" s="231"/>
      <c r="W27" s="186">
        <f>J27-(T27*($M$2-$K$1)+(U27*($M$2-$M$1)))</f>
        <v>2458.4100000000003</v>
      </c>
      <c r="X27" s="183">
        <f>H27*$M$2</f>
        <v>2458.4100000000003</v>
      </c>
    </row>
    <row r="28" spans="1:26" ht="15" customHeight="1" x14ac:dyDescent="0.25">
      <c r="A28" s="218"/>
      <c r="B28" s="220">
        <v>0</v>
      </c>
      <c r="C28" s="220">
        <v>0</v>
      </c>
      <c r="D28" s="138">
        <f>'Data Ocupacion'!J33</f>
        <v>0</v>
      </c>
      <c r="E28" s="138">
        <f>'Data Ocupacion'!K33</f>
        <v>0</v>
      </c>
      <c r="F28" s="220" t="s">
        <v>36</v>
      </c>
      <c r="G28" s="220">
        <f t="shared" si="18"/>
        <v>0</v>
      </c>
      <c r="H28" s="220">
        <f t="shared" si="22"/>
        <v>0</v>
      </c>
      <c r="I28" s="220">
        <f t="shared" si="19"/>
        <v>0</v>
      </c>
      <c r="J28" s="220">
        <f>G28*M$1</f>
        <v>0</v>
      </c>
      <c r="K28" s="153">
        <f>I28*M$1</f>
        <v>0</v>
      </c>
      <c r="L28" s="220">
        <f t="shared" si="20"/>
        <v>0</v>
      </c>
      <c r="M28" s="220">
        <f t="shared" si="21"/>
        <v>0</v>
      </c>
      <c r="N28" s="19"/>
      <c r="O28" s="19"/>
      <c r="P28" s="146"/>
      <c r="Q28" s="246"/>
      <c r="R28" s="191"/>
      <c r="S28" s="230"/>
      <c r="T28" s="187"/>
      <c r="U28" s="190"/>
      <c r="V28" s="190"/>
      <c r="W28" s="183">
        <f>J28-(Q28*($M$1-$K$1))</f>
        <v>0</v>
      </c>
      <c r="X28" s="183">
        <f>H28*$M$1</f>
        <v>0</v>
      </c>
    </row>
    <row r="29" spans="1:26" ht="15" customHeight="1" x14ac:dyDescent="0.25">
      <c r="A29" s="218"/>
      <c r="B29" s="220">
        <v>0</v>
      </c>
      <c r="C29" s="220">
        <v>0</v>
      </c>
      <c r="D29" s="138">
        <f>'Data Ocupacion'!J34</f>
        <v>0</v>
      </c>
      <c r="E29" s="138">
        <f>'Data Ocupacion'!K34</f>
        <v>0</v>
      </c>
      <c r="F29" s="220" t="s">
        <v>53</v>
      </c>
      <c r="G29" s="220">
        <f t="shared" si="18"/>
        <v>0</v>
      </c>
      <c r="H29" s="220">
        <f t="shared" si="22"/>
        <v>0</v>
      </c>
      <c r="I29" s="220">
        <f t="shared" si="19"/>
        <v>0</v>
      </c>
      <c r="J29" s="220">
        <f>G29*M$1</f>
        <v>0</v>
      </c>
      <c r="K29" s="153">
        <f>I29*M$1</f>
        <v>0</v>
      </c>
      <c r="L29" s="220">
        <f t="shared" si="20"/>
        <v>0</v>
      </c>
      <c r="M29" s="220">
        <f t="shared" si="21"/>
        <v>0</v>
      </c>
      <c r="N29" s="19"/>
      <c r="O29" s="19"/>
      <c r="P29" s="146"/>
      <c r="Q29" s="190"/>
      <c r="R29" s="190"/>
      <c r="S29" s="190"/>
      <c r="T29" s="190"/>
      <c r="U29" s="190"/>
      <c r="V29" s="190"/>
      <c r="W29" s="183">
        <f>J29</f>
        <v>0</v>
      </c>
      <c r="X29" s="183">
        <f>H29*$M$1</f>
        <v>0</v>
      </c>
    </row>
    <row r="30" spans="1:26" s="124" customFormat="1" ht="15" customHeight="1" x14ac:dyDescent="0.25">
      <c r="A30" s="218"/>
      <c r="B30" s="220">
        <v>0</v>
      </c>
      <c r="C30" s="220">
        <v>0</v>
      </c>
      <c r="D30" s="138">
        <f>'Data Ocupacion'!J35</f>
        <v>0</v>
      </c>
      <c r="E30" s="138">
        <f>'Data Ocupacion'!K35</f>
        <v>0</v>
      </c>
      <c r="F30" s="220" t="s">
        <v>122</v>
      </c>
      <c r="G30" s="220">
        <f t="shared" si="18"/>
        <v>0</v>
      </c>
      <c r="H30" s="220">
        <f t="shared" si="22"/>
        <v>0</v>
      </c>
      <c r="I30" s="220">
        <f t="shared" si="19"/>
        <v>0</v>
      </c>
      <c r="J30" s="220">
        <f>G30*K$1</f>
        <v>0</v>
      </c>
      <c r="K30" s="153">
        <f>I30*K$1</f>
        <v>0</v>
      </c>
      <c r="L30" s="220">
        <f t="shared" si="20"/>
        <v>0</v>
      </c>
      <c r="M30" s="220">
        <f t="shared" si="21"/>
        <v>0</v>
      </c>
      <c r="N30" s="19"/>
      <c r="P30" s="146"/>
      <c r="Q30" s="190"/>
      <c r="R30" s="190"/>
      <c r="S30" s="190"/>
      <c r="T30" s="190"/>
      <c r="U30" s="190"/>
      <c r="V30" s="190"/>
      <c r="W30" s="183">
        <f>J30</f>
        <v>0</v>
      </c>
      <c r="X30" s="183">
        <f>H30*$K$1</f>
        <v>0</v>
      </c>
    </row>
    <row r="31" spans="1:26" ht="15.95" customHeight="1" thickBot="1" x14ac:dyDescent="0.3">
      <c r="A31" s="218"/>
      <c r="B31" s="220">
        <v>0</v>
      </c>
      <c r="C31" s="220">
        <v>0</v>
      </c>
      <c r="D31" s="138">
        <f>'Data Ocupacion'!J36</f>
        <v>0</v>
      </c>
      <c r="E31" s="138">
        <f>'Data Ocupacion'!K36</f>
        <v>0</v>
      </c>
      <c r="F31" s="220" t="s">
        <v>35</v>
      </c>
      <c r="G31" s="220">
        <f t="shared" si="18"/>
        <v>0</v>
      </c>
      <c r="H31" s="220">
        <f t="shared" si="22"/>
        <v>0</v>
      </c>
      <c r="I31" s="220">
        <f t="shared" si="19"/>
        <v>0</v>
      </c>
      <c r="J31" s="220">
        <f>G31*K$1</f>
        <v>0</v>
      </c>
      <c r="K31" s="153">
        <f>I31*K$1</f>
        <v>0</v>
      </c>
      <c r="L31" s="220">
        <f t="shared" si="20"/>
        <v>0</v>
      </c>
      <c r="M31" s="220">
        <f t="shared" si="21"/>
        <v>0</v>
      </c>
      <c r="N31" s="19"/>
      <c r="P31" s="146"/>
      <c r="Q31" s="190"/>
      <c r="R31" s="190"/>
      <c r="S31" s="190"/>
      <c r="T31" s="190"/>
      <c r="U31" s="190"/>
      <c r="V31" s="190"/>
      <c r="W31" s="183">
        <f>J31</f>
        <v>0</v>
      </c>
      <c r="X31" s="183">
        <f>H31*$K$1</f>
        <v>0</v>
      </c>
    </row>
    <row r="32" spans="1:26" ht="15.75" thickBot="1" x14ac:dyDescent="0.3">
      <c r="A32" s="20"/>
      <c r="B32" s="119">
        <f>SUM(B26:B31)</f>
        <v>108</v>
      </c>
      <c r="C32" s="119">
        <f>SUM(C26:C31)</f>
        <v>3</v>
      </c>
      <c r="D32" s="152">
        <f>SUM(D26:D31)</f>
        <v>108</v>
      </c>
      <c r="E32" s="152">
        <f>SUM(E26:E31)</f>
        <v>3</v>
      </c>
      <c r="F32" s="119"/>
      <c r="G32" s="119">
        <f t="shared" ref="G32:M32" si="23">SUM(G26:G31)</f>
        <v>114</v>
      </c>
      <c r="H32" s="119">
        <f t="shared" si="23"/>
        <v>114</v>
      </c>
      <c r="I32" s="119">
        <f t="shared" si="23"/>
        <v>111</v>
      </c>
      <c r="J32" s="120">
        <f t="shared" si="23"/>
        <v>4916.8200000000006</v>
      </c>
      <c r="K32" s="119">
        <f t="shared" si="23"/>
        <v>4787.43</v>
      </c>
      <c r="L32" s="118">
        <f t="shared" si="23"/>
        <v>511349.28000000009</v>
      </c>
      <c r="M32" s="151">
        <f t="shared" si="23"/>
        <v>11544</v>
      </c>
      <c r="N32" s="123">
        <f>'Odometro-Kilometraje'!E81</f>
        <v>5001</v>
      </c>
      <c r="O32" s="21">
        <f>(W32/N32)*100</f>
        <v>98.316736652669476</v>
      </c>
      <c r="P32" s="193"/>
      <c r="Q32" s="182"/>
      <c r="R32" s="182"/>
      <c r="S32" s="182"/>
      <c r="T32" s="182"/>
      <c r="U32" s="182"/>
      <c r="V32" s="182"/>
      <c r="W32" s="194">
        <f>SUM(W26:W31)</f>
        <v>4916.8200000000006</v>
      </c>
      <c r="X32" s="194">
        <f>SUM(X26:X31)</f>
        <v>4916.8200000000006</v>
      </c>
      <c r="Z32" s="342"/>
    </row>
    <row r="33" spans="1:32" x14ac:dyDescent="0.25">
      <c r="A33" s="60">
        <f>A26+1</f>
        <v>46027</v>
      </c>
      <c r="B33" s="299">
        <v>47</v>
      </c>
      <c r="C33" s="299">
        <v>32</v>
      </c>
      <c r="D33" s="126">
        <f>'Data Ocupacion'!L31</f>
        <v>47</v>
      </c>
      <c r="E33" s="126">
        <f>'Data Ocupacion'!M31</f>
        <v>32</v>
      </c>
      <c r="F33" s="125" t="s">
        <v>38</v>
      </c>
      <c r="G33" s="125">
        <f t="shared" ref="G33:G38" si="24">D33+E33*2</f>
        <v>111</v>
      </c>
      <c r="H33" s="125">
        <f>B33+C33*2</f>
        <v>111</v>
      </c>
      <c r="I33" s="125">
        <f t="shared" ref="I33:I38" si="25">D33+E33</f>
        <v>79</v>
      </c>
      <c r="J33" s="125">
        <f>G33*M$2</f>
        <v>4787.43</v>
      </c>
      <c r="K33" s="153">
        <f>I33*M$2</f>
        <v>3407.27</v>
      </c>
      <c r="L33" s="125">
        <f t="shared" ref="L33:L38" si="26">J33*104</f>
        <v>497892.72000000003</v>
      </c>
      <c r="M33" s="125">
        <f t="shared" ref="M33:M38" si="27">I33*104</f>
        <v>8216</v>
      </c>
      <c r="N33" s="19"/>
      <c r="O33" s="19"/>
      <c r="P33" s="146"/>
      <c r="Q33" s="184">
        <v>2</v>
      </c>
      <c r="R33" s="184"/>
      <c r="S33" s="207"/>
      <c r="T33" s="288"/>
      <c r="U33" s="192"/>
      <c r="V33" s="230"/>
      <c r="W33" s="183">
        <f>J33-(Q33*($M$2-$K$1))-(R33*($M$2-$M$1))- (S33*($M$2-$I$2))+ (T33*($G$2))</f>
        <v>4751.97</v>
      </c>
      <c r="X33" s="183">
        <f>H33*$M$2</f>
        <v>4787.43</v>
      </c>
    </row>
    <row r="34" spans="1:32" ht="15" customHeight="1" x14ac:dyDescent="0.25">
      <c r="A34" s="255"/>
      <c r="B34" s="299">
        <v>45</v>
      </c>
      <c r="C34" s="299">
        <v>33</v>
      </c>
      <c r="D34" s="126">
        <f>'Data Ocupacion'!L32</f>
        <v>45</v>
      </c>
      <c r="E34" s="126">
        <f>'Data Ocupacion'!M32</f>
        <v>33</v>
      </c>
      <c r="F34" s="125" t="s">
        <v>52</v>
      </c>
      <c r="G34" s="125">
        <f t="shared" si="24"/>
        <v>111</v>
      </c>
      <c r="H34" s="125">
        <f t="shared" ref="H34:H38" si="28">B34+C34*2</f>
        <v>111</v>
      </c>
      <c r="I34" s="125">
        <f t="shared" si="25"/>
        <v>78</v>
      </c>
      <c r="J34" s="125">
        <f>G34*M$2</f>
        <v>4787.43</v>
      </c>
      <c r="K34" s="153">
        <f>I34*M$2</f>
        <v>3364.1400000000003</v>
      </c>
      <c r="L34" s="125">
        <f t="shared" si="26"/>
        <v>497892.72000000003</v>
      </c>
      <c r="M34" s="125">
        <f t="shared" si="27"/>
        <v>8112</v>
      </c>
      <c r="N34" s="19"/>
      <c r="O34" s="19"/>
      <c r="P34" s="146"/>
      <c r="Q34" s="187"/>
      <c r="R34" s="187"/>
      <c r="S34" s="219"/>
      <c r="T34" s="184">
        <v>1</v>
      </c>
      <c r="U34" s="219"/>
      <c r="V34" s="231"/>
      <c r="W34" s="186">
        <f>J34-(T34*($M$2-$K$1)+(U34*($M$2-$M$1)))</f>
        <v>4769.7000000000007</v>
      </c>
      <c r="X34" s="183">
        <f>H34*$M$2</f>
        <v>4787.43</v>
      </c>
    </row>
    <row r="35" spans="1:32" ht="15" customHeight="1" x14ac:dyDescent="0.25">
      <c r="A35" s="255"/>
      <c r="B35" s="299">
        <v>33</v>
      </c>
      <c r="C35" s="299">
        <v>0</v>
      </c>
      <c r="D35" s="126">
        <f>'Data Ocupacion'!L33</f>
        <v>33</v>
      </c>
      <c r="E35" s="126">
        <f>'Data Ocupacion'!M33</f>
        <v>0</v>
      </c>
      <c r="F35" s="125" t="s">
        <v>36</v>
      </c>
      <c r="G35" s="125">
        <f t="shared" si="24"/>
        <v>33</v>
      </c>
      <c r="H35" s="125">
        <f t="shared" si="28"/>
        <v>33</v>
      </c>
      <c r="I35" s="125">
        <f t="shared" si="25"/>
        <v>33</v>
      </c>
      <c r="J35" s="125">
        <f>G35*M$1</f>
        <v>960.63</v>
      </c>
      <c r="K35" s="153">
        <f>I35*M$1</f>
        <v>960.63</v>
      </c>
      <c r="L35" s="125">
        <f t="shared" si="26"/>
        <v>99905.52</v>
      </c>
      <c r="M35" s="125">
        <f t="shared" si="27"/>
        <v>3432</v>
      </c>
      <c r="N35" s="19"/>
      <c r="O35" s="19"/>
      <c r="P35" s="146"/>
      <c r="Q35" s="246"/>
      <c r="R35" s="191"/>
      <c r="S35" s="230"/>
      <c r="T35" s="187"/>
      <c r="U35" s="190"/>
      <c r="V35" s="190"/>
      <c r="W35" s="183">
        <f>J35-(Q35*($M$1-$K$1))</f>
        <v>960.63</v>
      </c>
      <c r="X35" s="183">
        <f>H35*$M$1</f>
        <v>960.63</v>
      </c>
    </row>
    <row r="36" spans="1:32" ht="15" customHeight="1" x14ac:dyDescent="0.25">
      <c r="A36" s="255"/>
      <c r="B36" s="299">
        <v>32</v>
      </c>
      <c r="C36" s="299">
        <v>0</v>
      </c>
      <c r="D36" s="126">
        <f>'Data Ocupacion'!L34</f>
        <v>32</v>
      </c>
      <c r="E36" s="126">
        <f>'Data Ocupacion'!M34</f>
        <v>0</v>
      </c>
      <c r="F36" s="125" t="s">
        <v>53</v>
      </c>
      <c r="G36" s="125">
        <f t="shared" si="24"/>
        <v>32</v>
      </c>
      <c r="H36" s="125">
        <f t="shared" si="28"/>
        <v>32</v>
      </c>
      <c r="I36" s="125">
        <f t="shared" si="25"/>
        <v>32</v>
      </c>
      <c r="J36" s="125">
        <f>G36*M$1</f>
        <v>931.52</v>
      </c>
      <c r="K36" s="153">
        <f>I36*M$1</f>
        <v>931.52</v>
      </c>
      <c r="L36" s="125">
        <f t="shared" si="26"/>
        <v>96878.080000000002</v>
      </c>
      <c r="M36" s="125">
        <f t="shared" si="27"/>
        <v>3328</v>
      </c>
      <c r="N36" s="19"/>
      <c r="O36" s="19"/>
      <c r="P36" s="146"/>
      <c r="Q36" s="190"/>
      <c r="R36" s="190"/>
      <c r="S36" s="190"/>
      <c r="T36" s="190"/>
      <c r="U36" s="190"/>
      <c r="V36" s="190"/>
      <c r="W36" s="183">
        <f>J36</f>
        <v>931.52</v>
      </c>
      <c r="X36" s="183">
        <f>H36*$M$1</f>
        <v>931.52</v>
      </c>
    </row>
    <row r="37" spans="1:32" s="124" customFormat="1" ht="15" customHeight="1" x14ac:dyDescent="0.25">
      <c r="A37" s="255"/>
      <c r="B37" s="299">
        <v>0</v>
      </c>
      <c r="C37" s="299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90"/>
      <c r="R37" s="190"/>
      <c r="S37" s="190"/>
      <c r="T37" s="190"/>
      <c r="U37" s="190"/>
      <c r="V37" s="190"/>
      <c r="W37" s="183">
        <f>J37</f>
        <v>0</v>
      </c>
      <c r="X37" s="183">
        <f>H37*$K$1</f>
        <v>0</v>
      </c>
    </row>
    <row r="38" spans="1:32" ht="15.95" customHeight="1" thickBot="1" x14ac:dyDescent="0.3">
      <c r="A38" s="255"/>
      <c r="B38" s="299">
        <v>1</v>
      </c>
      <c r="C38" s="299">
        <v>0</v>
      </c>
      <c r="D38" s="126">
        <f>'Data Ocupacion'!L36</f>
        <v>1</v>
      </c>
      <c r="E38" s="126">
        <f>'Data Ocupacion'!M36</f>
        <v>0</v>
      </c>
      <c r="F38" s="125" t="s">
        <v>35</v>
      </c>
      <c r="G38" s="125">
        <f t="shared" si="24"/>
        <v>1</v>
      </c>
      <c r="H38" s="125">
        <f t="shared" si="28"/>
        <v>1</v>
      </c>
      <c r="I38" s="125">
        <f t="shared" si="25"/>
        <v>1</v>
      </c>
      <c r="J38" s="125">
        <f>G38*K$1</f>
        <v>25.4</v>
      </c>
      <c r="K38" s="153">
        <f>I38*K$1</f>
        <v>25.4</v>
      </c>
      <c r="L38" s="125">
        <f t="shared" si="26"/>
        <v>2641.6</v>
      </c>
      <c r="M38" s="125">
        <f t="shared" si="27"/>
        <v>104</v>
      </c>
      <c r="N38" s="19"/>
      <c r="O38" s="19"/>
      <c r="P38" s="146"/>
      <c r="Q38" s="190"/>
      <c r="R38" s="190"/>
      <c r="S38" s="190"/>
      <c r="T38" s="190"/>
      <c r="U38" s="190"/>
      <c r="V38" s="190"/>
      <c r="W38" s="183">
        <f>J38</f>
        <v>25.4</v>
      </c>
      <c r="X38" s="183">
        <f>H38*$K$1</f>
        <v>25.4</v>
      </c>
    </row>
    <row r="39" spans="1:32" ht="15.75" thickBot="1" x14ac:dyDescent="0.3">
      <c r="A39" s="20"/>
      <c r="B39" s="119">
        <f>SUM(B33:B38)</f>
        <v>158</v>
      </c>
      <c r="C39" s="119">
        <f>SUM(C33:C38)</f>
        <v>65</v>
      </c>
      <c r="D39" s="152">
        <f>SUM(D33:D38)</f>
        <v>158</v>
      </c>
      <c r="E39" s="152">
        <f>SUM(E33:E38)</f>
        <v>65</v>
      </c>
      <c r="F39" s="119"/>
      <c r="G39" s="119">
        <f t="shared" ref="G39:M39" si="29">SUM(G33:G38)</f>
        <v>288</v>
      </c>
      <c r="H39" s="119">
        <f t="shared" si="29"/>
        <v>288</v>
      </c>
      <c r="I39" s="119">
        <f t="shared" si="29"/>
        <v>223</v>
      </c>
      <c r="J39" s="120">
        <f>SUM(J33:J38)</f>
        <v>11492.41</v>
      </c>
      <c r="K39" s="119">
        <f t="shared" si="29"/>
        <v>8688.9599999999991</v>
      </c>
      <c r="L39" s="118">
        <f t="shared" si="29"/>
        <v>1195210.6400000001</v>
      </c>
      <c r="M39" s="151">
        <f t="shared" si="29"/>
        <v>23192</v>
      </c>
      <c r="N39" s="123">
        <f>'Odometro-Kilometraje'!F81</f>
        <v>11922</v>
      </c>
      <c r="O39" s="21">
        <f>(W39/N39)*100</f>
        <v>95.950511659117609</v>
      </c>
      <c r="P39" s="193"/>
      <c r="Q39" s="182"/>
      <c r="R39" s="182"/>
      <c r="S39" s="182"/>
      <c r="T39" s="182"/>
      <c r="U39" s="182"/>
      <c r="V39" s="182"/>
      <c r="W39" s="194">
        <f>SUM(W33:W38)</f>
        <v>11439.220000000001</v>
      </c>
      <c r="X39" s="194">
        <f>SUM(X33:X38)</f>
        <v>11492.41</v>
      </c>
      <c r="Z39" s="342"/>
    </row>
    <row r="40" spans="1:32" x14ac:dyDescent="0.25">
      <c r="A40" s="60">
        <f>A33+1</f>
        <v>46028</v>
      </c>
      <c r="B40" s="299">
        <v>47</v>
      </c>
      <c r="C40" s="299">
        <v>32</v>
      </c>
      <c r="D40" s="126">
        <f>'Data Ocupacion'!N31</f>
        <v>47</v>
      </c>
      <c r="E40" s="126">
        <f>'Data Ocupacion'!O31</f>
        <v>32</v>
      </c>
      <c r="F40" s="125" t="s">
        <v>38</v>
      </c>
      <c r="G40" s="125">
        <f t="shared" ref="G40:G45" si="30">D40+E40*2</f>
        <v>111</v>
      </c>
      <c r="H40" s="125">
        <f>B40+C40*2</f>
        <v>111</v>
      </c>
      <c r="I40" s="125">
        <f t="shared" ref="I40:I45" si="31">D40+E40</f>
        <v>79</v>
      </c>
      <c r="J40" s="125">
        <f>G40*M$2</f>
        <v>4787.43</v>
      </c>
      <c r="K40" s="153">
        <f>I40*M$2</f>
        <v>3407.27</v>
      </c>
      <c r="L40" s="125">
        <f t="shared" ref="L40:L45" si="32">J40*104</f>
        <v>497892.72000000003</v>
      </c>
      <c r="M40" s="125">
        <f t="shared" ref="M40:M45" si="33">I40*104</f>
        <v>8216</v>
      </c>
      <c r="N40" s="19"/>
      <c r="O40" s="19"/>
      <c r="P40" s="146"/>
      <c r="Q40" s="184">
        <v>3</v>
      </c>
      <c r="R40" s="184"/>
      <c r="S40" s="207"/>
      <c r="T40" s="288"/>
      <c r="U40" s="192"/>
      <c r="V40" s="230"/>
      <c r="W40" s="183">
        <f>J40-(Q40*($M$2-$K$1))-(R40*($M$2-$M$1))- (S40*($M$2-$I$2))+ (T40*($G$2))</f>
        <v>4734.2400000000007</v>
      </c>
      <c r="X40" s="183">
        <f>H40*$M$2</f>
        <v>4787.43</v>
      </c>
    </row>
    <row r="41" spans="1:32" ht="15" customHeight="1" x14ac:dyDescent="0.25">
      <c r="A41" s="255"/>
      <c r="B41" s="299">
        <v>45</v>
      </c>
      <c r="C41" s="299">
        <v>33</v>
      </c>
      <c r="D41" s="126">
        <f>'Data Ocupacion'!N32</f>
        <v>45</v>
      </c>
      <c r="E41" s="126">
        <f>'Data Ocupacion'!O32</f>
        <v>33</v>
      </c>
      <c r="F41" s="125" t="s">
        <v>52</v>
      </c>
      <c r="G41" s="125">
        <f t="shared" si="30"/>
        <v>111</v>
      </c>
      <c r="H41" s="125">
        <f t="shared" ref="H41:H45" si="34">B41+C41*2</f>
        <v>111</v>
      </c>
      <c r="I41" s="125">
        <f t="shared" si="31"/>
        <v>78</v>
      </c>
      <c r="J41" s="125">
        <f>G41*M$2</f>
        <v>4787.43</v>
      </c>
      <c r="K41" s="153">
        <f>I41*M$2</f>
        <v>3364.1400000000003</v>
      </c>
      <c r="L41" s="125">
        <f t="shared" si="32"/>
        <v>497892.72000000003</v>
      </c>
      <c r="M41" s="125">
        <f t="shared" si="33"/>
        <v>8112</v>
      </c>
      <c r="N41" s="19"/>
      <c r="O41" s="19"/>
      <c r="P41" s="146"/>
      <c r="Q41" s="187"/>
      <c r="R41" s="187"/>
      <c r="S41" s="219"/>
      <c r="T41" s="184">
        <v>5</v>
      </c>
      <c r="U41" s="219"/>
      <c r="V41" s="231"/>
      <c r="W41" s="186">
        <f>J41-(T41*($M$2-$K$1)+(U41*($M$2-$M$1)))</f>
        <v>4698.7800000000007</v>
      </c>
      <c r="X41" s="183">
        <f>H41*$M$2</f>
        <v>4787.43</v>
      </c>
    </row>
    <row r="42" spans="1:32" ht="15" customHeight="1" x14ac:dyDescent="0.25">
      <c r="A42" s="255"/>
      <c r="B42" s="299">
        <v>33</v>
      </c>
      <c r="C42" s="299">
        <v>0</v>
      </c>
      <c r="D42" s="126">
        <f>'Data Ocupacion'!N33</f>
        <v>33</v>
      </c>
      <c r="E42" s="126">
        <f>'Data Ocupacion'!O33</f>
        <v>0</v>
      </c>
      <c r="F42" s="125" t="s">
        <v>36</v>
      </c>
      <c r="G42" s="125">
        <f t="shared" si="30"/>
        <v>33</v>
      </c>
      <c r="H42" s="125">
        <f t="shared" si="34"/>
        <v>33</v>
      </c>
      <c r="I42" s="125">
        <f t="shared" si="31"/>
        <v>33</v>
      </c>
      <c r="J42" s="125">
        <f>G42*M$1</f>
        <v>960.63</v>
      </c>
      <c r="K42" s="153">
        <f>I42*M$1</f>
        <v>960.63</v>
      </c>
      <c r="L42" s="125">
        <f t="shared" si="32"/>
        <v>99905.52</v>
      </c>
      <c r="M42" s="125">
        <f t="shared" si="33"/>
        <v>3432</v>
      </c>
      <c r="N42" s="19"/>
      <c r="O42" s="19"/>
      <c r="P42" s="146"/>
      <c r="Q42" s="246"/>
      <c r="R42" s="191"/>
      <c r="S42" s="230"/>
      <c r="T42" s="187"/>
      <c r="U42" s="190"/>
      <c r="V42" s="190"/>
      <c r="W42" s="183">
        <f>J42-(Q42*($M$1-$K$1))</f>
        <v>960.63</v>
      </c>
      <c r="X42" s="183">
        <f>H42*$M$1</f>
        <v>960.63</v>
      </c>
      <c r="Z42" s="257"/>
      <c r="AA42" s="257"/>
      <c r="AB42" s="257"/>
      <c r="AC42" s="257"/>
      <c r="AD42" s="257"/>
      <c r="AE42" s="257"/>
      <c r="AF42" s="257"/>
    </row>
    <row r="43" spans="1:32" x14ac:dyDescent="0.25">
      <c r="A43" s="255"/>
      <c r="B43" s="299">
        <v>32</v>
      </c>
      <c r="C43" s="299">
        <v>0</v>
      </c>
      <c r="D43" s="126">
        <f>'Data Ocupacion'!N34</f>
        <v>32</v>
      </c>
      <c r="E43" s="126">
        <f>'Data Ocupacion'!O34</f>
        <v>0</v>
      </c>
      <c r="F43" s="125" t="s">
        <v>53</v>
      </c>
      <c r="G43" s="125">
        <f t="shared" si="30"/>
        <v>32</v>
      </c>
      <c r="H43" s="125">
        <f t="shared" si="34"/>
        <v>32</v>
      </c>
      <c r="I43" s="125">
        <f t="shared" si="31"/>
        <v>32</v>
      </c>
      <c r="J43" s="125">
        <f>G43*M$1</f>
        <v>931.52</v>
      </c>
      <c r="K43" s="153">
        <f>I43*M$1</f>
        <v>931.52</v>
      </c>
      <c r="L43" s="125">
        <f t="shared" si="32"/>
        <v>96878.080000000002</v>
      </c>
      <c r="M43" s="125">
        <f t="shared" si="33"/>
        <v>3328</v>
      </c>
      <c r="N43" s="19"/>
      <c r="O43" s="19"/>
      <c r="P43" s="146"/>
      <c r="Q43" s="190"/>
      <c r="R43" s="190"/>
      <c r="S43" s="190"/>
      <c r="T43" s="190"/>
      <c r="U43" s="190"/>
      <c r="V43" s="190"/>
      <c r="W43" s="183">
        <f>J43</f>
        <v>931.52</v>
      </c>
      <c r="X43" s="183">
        <f>H43*$M$1</f>
        <v>931.52</v>
      </c>
      <c r="Z43" s="257"/>
      <c r="AA43" s="257"/>
      <c r="AB43" s="257"/>
      <c r="AC43" s="257"/>
      <c r="AD43" s="257"/>
      <c r="AE43" s="257"/>
      <c r="AF43" s="257"/>
    </row>
    <row r="44" spans="1:32" s="124" customFormat="1" x14ac:dyDescent="0.25">
      <c r="A44" s="255"/>
      <c r="B44" s="299">
        <v>0</v>
      </c>
      <c r="C44" s="299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90"/>
      <c r="R44" s="190"/>
      <c r="S44" s="190"/>
      <c r="T44" s="190"/>
      <c r="U44" s="190"/>
      <c r="V44" s="190"/>
      <c r="W44" s="183">
        <f>J44</f>
        <v>0</v>
      </c>
      <c r="X44" s="183">
        <f>H44*$K$1</f>
        <v>0</v>
      </c>
      <c r="Z44" s="257"/>
      <c r="AA44" s="257"/>
      <c r="AB44" s="257"/>
      <c r="AC44" s="257"/>
      <c r="AD44" s="257"/>
      <c r="AE44" s="257"/>
      <c r="AF44" s="257"/>
    </row>
    <row r="45" spans="1:32" ht="15.75" thickBot="1" x14ac:dyDescent="0.3">
      <c r="A45" s="255"/>
      <c r="B45" s="299">
        <v>1</v>
      </c>
      <c r="C45" s="299">
        <v>0</v>
      </c>
      <c r="D45" s="256">
        <f>'Data Ocupacion'!N36</f>
        <v>1</v>
      </c>
      <c r="E45" s="126">
        <f>'Data Ocupacion'!O36</f>
        <v>0</v>
      </c>
      <c r="F45" s="125" t="s">
        <v>35</v>
      </c>
      <c r="G45" s="125">
        <f t="shared" si="30"/>
        <v>1</v>
      </c>
      <c r="H45" s="125">
        <f t="shared" si="34"/>
        <v>1</v>
      </c>
      <c r="I45" s="125">
        <f t="shared" si="31"/>
        <v>1</v>
      </c>
      <c r="J45" s="125">
        <f>G45*K$1</f>
        <v>25.4</v>
      </c>
      <c r="K45" s="153">
        <f>I45*K$1</f>
        <v>25.4</v>
      </c>
      <c r="L45" s="125">
        <f t="shared" si="32"/>
        <v>2641.6</v>
      </c>
      <c r="M45" s="125">
        <f t="shared" si="33"/>
        <v>104</v>
      </c>
      <c r="N45" s="19"/>
      <c r="O45" s="19"/>
      <c r="P45" s="146"/>
      <c r="Q45" s="190"/>
      <c r="R45" s="190"/>
      <c r="S45" s="190"/>
      <c r="T45" s="190"/>
      <c r="U45" s="190"/>
      <c r="V45" s="190"/>
      <c r="W45" s="183">
        <f>J45</f>
        <v>25.4</v>
      </c>
      <c r="X45" s="183">
        <f>H45*$K$1</f>
        <v>25.4</v>
      </c>
      <c r="Z45" s="257"/>
      <c r="AA45" s="257"/>
      <c r="AB45" s="257"/>
      <c r="AC45" s="257"/>
      <c r="AD45" s="257"/>
      <c r="AE45" s="257"/>
      <c r="AF45" s="257"/>
    </row>
    <row r="46" spans="1:32" ht="15.75" thickBot="1" x14ac:dyDescent="0.3">
      <c r="A46" s="201"/>
      <c r="B46" s="119">
        <f>SUM(B40:B45)</f>
        <v>158</v>
      </c>
      <c r="C46" s="119">
        <f>SUM(C40:C45)</f>
        <v>65</v>
      </c>
      <c r="D46" s="152">
        <f>SUM(D40:D45)</f>
        <v>158</v>
      </c>
      <c r="E46" s="152">
        <f>SUM(E40:E45)</f>
        <v>65</v>
      </c>
      <c r="F46" s="119"/>
      <c r="G46" s="119">
        <f t="shared" ref="G46:M46" si="35">SUM(G40:G45)</f>
        <v>288</v>
      </c>
      <c r="H46" s="119">
        <f t="shared" si="35"/>
        <v>288</v>
      </c>
      <c r="I46" s="119">
        <f t="shared" si="35"/>
        <v>223</v>
      </c>
      <c r="J46" s="120">
        <f>SUM(J40:J45)</f>
        <v>11492.41</v>
      </c>
      <c r="K46" s="119">
        <f t="shared" si="35"/>
        <v>8688.9599999999991</v>
      </c>
      <c r="L46" s="118">
        <f t="shared" si="35"/>
        <v>1195210.6400000001</v>
      </c>
      <c r="M46" s="151">
        <f t="shared" si="35"/>
        <v>23192</v>
      </c>
      <c r="N46" s="123">
        <f>'Odometro-Kilometraje'!G81</f>
        <v>11975</v>
      </c>
      <c r="O46" s="21">
        <f>(W46/N46)*100</f>
        <v>94.785553235908139</v>
      </c>
      <c r="P46" s="193"/>
      <c r="Q46" s="182"/>
      <c r="R46" s="182"/>
      <c r="S46" s="182"/>
      <c r="T46" s="182"/>
      <c r="U46" s="182"/>
      <c r="V46" s="182"/>
      <c r="W46" s="194">
        <f>SUM(W40:W45)</f>
        <v>11350.57</v>
      </c>
      <c r="X46" s="194">
        <f>SUM(X40:X45)</f>
        <v>11492.41</v>
      </c>
      <c r="Z46" s="342"/>
      <c r="AA46" s="257"/>
      <c r="AB46" s="257"/>
      <c r="AC46" s="257"/>
      <c r="AD46" s="257"/>
      <c r="AE46" s="257"/>
      <c r="AF46" s="257"/>
    </row>
    <row r="47" spans="1:32" x14ac:dyDescent="0.25">
      <c r="A47" s="60">
        <f>A40+1</f>
        <v>46029</v>
      </c>
      <c r="B47" s="299">
        <v>47</v>
      </c>
      <c r="C47" s="299">
        <v>32</v>
      </c>
      <c r="D47" s="126">
        <v>39</v>
      </c>
      <c r="E47" s="126">
        <v>33</v>
      </c>
      <c r="F47" s="125" t="s">
        <v>38</v>
      </c>
      <c r="G47" s="125">
        <f t="shared" ref="G47:G54" si="36">D47+E47*2</f>
        <v>105</v>
      </c>
      <c r="H47" s="125">
        <f>B47+C47*2</f>
        <v>111</v>
      </c>
      <c r="I47" s="125">
        <f t="shared" ref="I47:I52" si="37">D47+E47</f>
        <v>72</v>
      </c>
      <c r="J47" s="125">
        <f>G47*M$2</f>
        <v>4528.6500000000005</v>
      </c>
      <c r="K47" s="153">
        <f>I47*M$2</f>
        <v>3105.36</v>
      </c>
      <c r="L47" s="125">
        <f t="shared" ref="L47:L52" si="38">J47*104</f>
        <v>470979.60000000003</v>
      </c>
      <c r="M47" s="125">
        <f t="shared" ref="M47:M54" si="39">I47*104</f>
        <v>7488</v>
      </c>
      <c r="N47" s="19"/>
      <c r="O47" s="19"/>
      <c r="P47" s="146"/>
      <c r="Q47" s="184">
        <v>1</v>
      </c>
      <c r="R47" s="184"/>
      <c r="S47" s="207"/>
      <c r="T47" s="288"/>
      <c r="U47" s="192"/>
      <c r="V47" s="230"/>
      <c r="W47" s="183">
        <f>J47-(Q47*($M$2-$K$1))-(R47*($M$2-$M$1))- (S47*($M$2-$I$2))+ (T47*($G$2))</f>
        <v>4510.920000000001</v>
      </c>
      <c r="X47" s="183">
        <f>H47*$M$2</f>
        <v>4787.43</v>
      </c>
      <c r="Z47" s="257"/>
      <c r="AD47" s="257"/>
      <c r="AE47" s="257"/>
      <c r="AF47" s="257"/>
    </row>
    <row r="48" spans="1:32" ht="15" customHeight="1" x14ac:dyDescent="0.25">
      <c r="A48" s="180"/>
      <c r="B48" s="299">
        <v>45</v>
      </c>
      <c r="C48" s="299">
        <v>33</v>
      </c>
      <c r="D48" s="392">
        <v>38</v>
      </c>
      <c r="E48" s="392">
        <v>31</v>
      </c>
      <c r="F48" s="125" t="s">
        <v>52</v>
      </c>
      <c r="G48" s="125">
        <f t="shared" si="36"/>
        <v>100</v>
      </c>
      <c r="H48" s="125">
        <f t="shared" ref="H48:H54" si="40">B48+C48*2</f>
        <v>111</v>
      </c>
      <c r="I48" s="125">
        <f t="shared" si="37"/>
        <v>69</v>
      </c>
      <c r="J48" s="125">
        <f>G48*M$2</f>
        <v>4313</v>
      </c>
      <c r="K48" s="153">
        <f>I48*M$2</f>
        <v>2975.9700000000003</v>
      </c>
      <c r="L48" s="125">
        <f t="shared" si="38"/>
        <v>448552</v>
      </c>
      <c r="M48" s="125">
        <f t="shared" si="39"/>
        <v>7176</v>
      </c>
      <c r="N48" s="19"/>
      <c r="O48" s="19"/>
      <c r="P48" s="146"/>
      <c r="Q48" s="187"/>
      <c r="R48" s="187"/>
      <c r="S48" s="219"/>
      <c r="T48" s="184">
        <v>1</v>
      </c>
      <c r="U48" s="219"/>
      <c r="V48" s="231"/>
      <c r="W48" s="186">
        <f>J48-(T48*($M$2-$K$1)+(U48*($M$2-$M$1)))</f>
        <v>4295.2700000000004</v>
      </c>
      <c r="X48" s="183">
        <f>H48*$M$2</f>
        <v>4787.43</v>
      </c>
      <c r="AA48" s="124"/>
      <c r="AC48" s="124"/>
    </row>
    <row r="49" spans="1:65" ht="16.5" customHeight="1" x14ac:dyDescent="0.25">
      <c r="A49" s="371" t="s">
        <v>178</v>
      </c>
      <c r="B49" s="299">
        <v>33</v>
      </c>
      <c r="C49" s="299">
        <v>0</v>
      </c>
      <c r="D49" s="126">
        <f>'Data Ocupacion'!P33</f>
        <v>33</v>
      </c>
      <c r="E49" s="126">
        <f>'Data Ocupacion'!Q33</f>
        <v>0</v>
      </c>
      <c r="F49" s="125" t="s">
        <v>36</v>
      </c>
      <c r="G49" s="125">
        <f t="shared" si="36"/>
        <v>33</v>
      </c>
      <c r="H49" s="125">
        <f t="shared" si="40"/>
        <v>33</v>
      </c>
      <c r="I49" s="125">
        <f t="shared" si="37"/>
        <v>33</v>
      </c>
      <c r="J49" s="125">
        <f>G49*M$1</f>
        <v>960.63</v>
      </c>
      <c r="K49" s="153">
        <f>I49*M$1</f>
        <v>960.63</v>
      </c>
      <c r="L49" s="125">
        <f t="shared" si="38"/>
        <v>99905.52</v>
      </c>
      <c r="M49" s="125">
        <f t="shared" si="39"/>
        <v>3432</v>
      </c>
      <c r="N49" s="19"/>
      <c r="O49" s="19"/>
      <c r="P49" s="146"/>
      <c r="Q49" s="246"/>
      <c r="R49" s="191"/>
      <c r="S49" s="230"/>
      <c r="T49" s="187"/>
      <c r="U49" s="190"/>
      <c r="V49" s="190"/>
      <c r="W49" s="183">
        <f>J49-(Q49*($M$1-$K$1))</f>
        <v>960.63</v>
      </c>
      <c r="X49" s="183">
        <f>H49*$M$1</f>
        <v>960.63</v>
      </c>
    </row>
    <row r="50" spans="1:65" x14ac:dyDescent="0.25">
      <c r="A50" s="371"/>
      <c r="B50" s="299">
        <v>32</v>
      </c>
      <c r="C50" s="299">
        <v>0</v>
      </c>
      <c r="D50" s="126">
        <f>'Data Ocupacion'!P34</f>
        <v>34</v>
      </c>
      <c r="E50" s="126">
        <f>'Data Ocupacion'!Q34</f>
        <v>0</v>
      </c>
      <c r="F50" s="125" t="s">
        <v>53</v>
      </c>
      <c r="G50" s="125">
        <f t="shared" si="36"/>
        <v>34</v>
      </c>
      <c r="H50" s="125">
        <f t="shared" si="40"/>
        <v>32</v>
      </c>
      <c r="I50" s="125">
        <f t="shared" si="37"/>
        <v>34</v>
      </c>
      <c r="J50" s="125">
        <f>G50*M$1</f>
        <v>989.74</v>
      </c>
      <c r="K50" s="153">
        <f>I50*M$1</f>
        <v>989.74</v>
      </c>
      <c r="L50" s="125">
        <f t="shared" si="38"/>
        <v>102932.96</v>
      </c>
      <c r="M50" s="125">
        <f t="shared" si="39"/>
        <v>3536</v>
      </c>
      <c r="N50" s="19"/>
      <c r="O50" s="19"/>
      <c r="P50" s="146"/>
      <c r="Q50" s="190"/>
      <c r="R50" s="190"/>
      <c r="S50" s="190"/>
      <c r="T50" s="190"/>
      <c r="U50" s="190"/>
      <c r="V50" s="190"/>
      <c r="W50" s="183">
        <f>J50</f>
        <v>989.74</v>
      </c>
      <c r="X50" s="183">
        <f>H50*$M$1</f>
        <v>931.52</v>
      </c>
    </row>
    <row r="51" spans="1:65" s="124" customFormat="1" x14ac:dyDescent="0.25">
      <c r="A51" s="371"/>
      <c r="B51" s="299">
        <v>0</v>
      </c>
      <c r="C51" s="299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90"/>
      <c r="R51" s="190"/>
      <c r="S51" s="190"/>
      <c r="T51" s="190"/>
      <c r="U51" s="190"/>
      <c r="V51" s="190"/>
      <c r="W51" s="183">
        <f>J51</f>
        <v>0</v>
      </c>
      <c r="X51" s="183">
        <f>H51*$K$1</f>
        <v>0</v>
      </c>
    </row>
    <row r="52" spans="1:65" x14ac:dyDescent="0.25">
      <c r="A52" s="180"/>
      <c r="B52" s="299">
        <v>1</v>
      </c>
      <c r="C52" s="299">
        <v>0</v>
      </c>
      <c r="D52" s="256">
        <f>'Data Ocupacion'!P36</f>
        <v>1</v>
      </c>
      <c r="E52" s="126">
        <f>'Data Ocupacion'!Q36</f>
        <v>0</v>
      </c>
      <c r="F52" s="125" t="s">
        <v>35</v>
      </c>
      <c r="G52" s="125">
        <f t="shared" si="36"/>
        <v>1</v>
      </c>
      <c r="H52" s="125">
        <f t="shared" si="40"/>
        <v>1</v>
      </c>
      <c r="I52" s="125">
        <f>D52+E52</f>
        <v>1</v>
      </c>
      <c r="J52" s="125">
        <f>G52*K$1</f>
        <v>25.4</v>
      </c>
      <c r="K52" s="153">
        <f>I52*K$1</f>
        <v>25.4</v>
      </c>
      <c r="L52" s="125">
        <f>J52*104</f>
        <v>2641.6</v>
      </c>
      <c r="M52" s="125">
        <f t="shared" si="39"/>
        <v>104</v>
      </c>
      <c r="N52" s="19"/>
      <c r="O52" s="19"/>
      <c r="P52" s="146"/>
      <c r="Q52" s="190"/>
      <c r="R52" s="190"/>
      <c r="S52" s="190"/>
      <c r="T52" s="190"/>
      <c r="U52" s="190"/>
      <c r="V52" s="190"/>
      <c r="W52" s="183">
        <f>J52</f>
        <v>25.4</v>
      </c>
      <c r="X52" s="183">
        <f>H52*$K$1</f>
        <v>25.4</v>
      </c>
    </row>
    <row r="53" spans="1:65" s="124" customFormat="1" x14ac:dyDescent="0.25">
      <c r="A53" s="180"/>
      <c r="B53" s="299">
        <v>0</v>
      </c>
      <c r="C53" s="299">
        <v>0</v>
      </c>
      <c r="D53" s="391">
        <v>4</v>
      </c>
      <c r="E53" s="125">
        <v>1</v>
      </c>
      <c r="F53" s="125" t="s">
        <v>186</v>
      </c>
      <c r="G53" s="125">
        <f t="shared" si="36"/>
        <v>6</v>
      </c>
      <c r="H53" s="125">
        <f t="shared" si="40"/>
        <v>0</v>
      </c>
      <c r="I53" s="125">
        <f t="shared" ref="I53:I54" si="41">D53+E53</f>
        <v>5</v>
      </c>
      <c r="J53" s="125">
        <f>G53*O1</f>
        <v>130.19999999999999</v>
      </c>
      <c r="K53" s="153"/>
      <c r="L53" s="125">
        <f t="shared" ref="L53:L54" si="42">J53*104</f>
        <v>13540.8</v>
      </c>
      <c r="M53" s="125">
        <f>I53*104</f>
        <v>520</v>
      </c>
      <c r="N53" s="19"/>
      <c r="O53" s="19"/>
      <c r="P53" s="146"/>
      <c r="Q53" s="190"/>
      <c r="R53" s="190"/>
      <c r="S53" s="190"/>
      <c r="T53" s="190"/>
      <c r="U53" s="190"/>
      <c r="V53" s="190"/>
      <c r="W53" s="183">
        <f t="shared" ref="W53:W54" si="43">J53</f>
        <v>130.19999999999999</v>
      </c>
      <c r="X53" s="183">
        <f t="shared" ref="X53:X54" si="44">H53*$K$1</f>
        <v>0</v>
      </c>
    </row>
    <row r="54" spans="1:65" s="124" customFormat="1" ht="15.75" thickBot="1" x14ac:dyDescent="0.3">
      <c r="A54" s="180"/>
      <c r="B54" s="299">
        <v>0</v>
      </c>
      <c r="C54" s="299">
        <v>0</v>
      </c>
      <c r="D54" s="391">
        <v>7</v>
      </c>
      <c r="E54" s="125">
        <v>0</v>
      </c>
      <c r="F54" s="125" t="s">
        <v>187</v>
      </c>
      <c r="G54" s="125">
        <f t="shared" si="36"/>
        <v>7</v>
      </c>
      <c r="H54" s="125">
        <f t="shared" si="40"/>
        <v>0</v>
      </c>
      <c r="I54" s="125">
        <f t="shared" si="41"/>
        <v>7</v>
      </c>
      <c r="J54" s="125">
        <f>G54*O1</f>
        <v>151.9</v>
      </c>
      <c r="K54" s="153"/>
      <c r="L54" s="125">
        <f t="shared" si="42"/>
        <v>15797.6</v>
      </c>
      <c r="M54" s="125">
        <f t="shared" si="39"/>
        <v>728</v>
      </c>
      <c r="N54" s="19"/>
      <c r="O54" s="19"/>
      <c r="P54" s="146"/>
      <c r="Q54" s="190"/>
      <c r="R54" s="190"/>
      <c r="S54" s="190"/>
      <c r="T54" s="190"/>
      <c r="U54" s="190"/>
      <c r="V54" s="190"/>
      <c r="W54" s="183">
        <f t="shared" si="43"/>
        <v>151.9</v>
      </c>
      <c r="X54" s="183">
        <f t="shared" si="44"/>
        <v>0</v>
      </c>
    </row>
    <row r="55" spans="1:65" ht="18" customHeight="1" thickBot="1" x14ac:dyDescent="0.3">
      <c r="A55" s="20"/>
      <c r="B55" s="119">
        <f>SUM(B47:B54)</f>
        <v>158</v>
      </c>
      <c r="C55" s="119">
        <f>SUM(C47:C54)</f>
        <v>65</v>
      </c>
      <c r="D55" s="152">
        <f>SUM(D47:D52)</f>
        <v>145</v>
      </c>
      <c r="E55" s="152">
        <f>SUM(E47:E52)</f>
        <v>64</v>
      </c>
      <c r="F55" s="119"/>
      <c r="G55" s="119">
        <f>SUM(G47:G54)</f>
        <v>286</v>
      </c>
      <c r="H55" s="119">
        <f>SUM(H47:H54)</f>
        <v>288</v>
      </c>
      <c r="I55" s="119">
        <f>SUM(I47:I54)</f>
        <v>221</v>
      </c>
      <c r="J55" s="120">
        <f>SUM(J47:J54)</f>
        <v>11099.52</v>
      </c>
      <c r="K55" s="119">
        <f t="shared" ref="G55:M55" si="45">SUM(K47:K52)</f>
        <v>8057.0999999999995</v>
      </c>
      <c r="L55" s="118">
        <f t="shared" si="45"/>
        <v>1125011.6800000002</v>
      </c>
      <c r="M55" s="151">
        <f t="shared" si="45"/>
        <v>21736</v>
      </c>
      <c r="N55" s="123">
        <f>'Odometro-Kilometraje'!H81</f>
        <v>11899</v>
      </c>
      <c r="O55" s="21">
        <f>(W55/N55)*100</f>
        <v>92.983107824186916</v>
      </c>
      <c r="P55" s="193"/>
      <c r="Q55" s="182"/>
      <c r="R55" s="182"/>
      <c r="S55" s="182"/>
      <c r="T55" s="182"/>
      <c r="U55" s="182"/>
      <c r="V55" s="182"/>
      <c r="W55" s="194">
        <f>SUM(W47:W54)</f>
        <v>11064.060000000001</v>
      </c>
      <c r="X55" s="194">
        <f>SUM(X47:X54)</f>
        <v>11492.41</v>
      </c>
      <c r="Z55" s="342"/>
    </row>
    <row r="56" spans="1:65" x14ac:dyDescent="0.25">
      <c r="A56" s="60">
        <f>A47+1</f>
        <v>46030</v>
      </c>
      <c r="B56" s="299">
        <v>47</v>
      </c>
      <c r="C56" s="299">
        <v>32</v>
      </c>
      <c r="D56" s="138">
        <f>'Data Ocupacion'!R31</f>
        <v>48</v>
      </c>
      <c r="E56" s="138">
        <f>'Data Ocupacion'!S31</f>
        <v>31</v>
      </c>
      <c r="F56" s="125" t="s">
        <v>38</v>
      </c>
      <c r="G56" s="125">
        <f t="shared" ref="G56:G61" si="46">D56+E56*2</f>
        <v>110</v>
      </c>
      <c r="H56" s="125">
        <f>B56+C56*2</f>
        <v>111</v>
      </c>
      <c r="I56" s="125">
        <f t="shared" ref="I56:I61" si="47">D56+E56</f>
        <v>79</v>
      </c>
      <c r="J56" s="125">
        <f>G56*M$2</f>
        <v>4744.3</v>
      </c>
      <c r="K56" s="153">
        <f>I56*M$2</f>
        <v>3407.27</v>
      </c>
      <c r="L56" s="125">
        <f t="shared" ref="L56:L61" si="48">J56*104</f>
        <v>493407.2</v>
      </c>
      <c r="M56" s="125">
        <f t="shared" ref="M56:M61" si="49">I56*104</f>
        <v>8216</v>
      </c>
      <c r="N56" s="19"/>
      <c r="O56" s="19"/>
      <c r="P56" s="146"/>
      <c r="Q56" s="184">
        <v>2</v>
      </c>
      <c r="R56" s="184"/>
      <c r="S56" s="207"/>
      <c r="T56" s="184"/>
      <c r="U56" s="192"/>
      <c r="V56" s="230"/>
      <c r="W56" s="183">
        <f>J56-(Q56*($M$2-$K$1))-(R56*($M$2-$M$1))- (S56*($M$2-$I$2))+ (T56*($G$2))</f>
        <v>4708.84</v>
      </c>
      <c r="X56" s="183">
        <f>H56*$M$2</f>
        <v>4787.43</v>
      </c>
    </row>
    <row r="57" spans="1:65" ht="15" customHeight="1" x14ac:dyDescent="0.25">
      <c r="A57" s="371" t="s">
        <v>182</v>
      </c>
      <c r="B57" s="299">
        <v>45</v>
      </c>
      <c r="C57" s="299">
        <v>33</v>
      </c>
      <c r="D57" s="138">
        <f>'Data Ocupacion'!R32</f>
        <v>43</v>
      </c>
      <c r="E57" s="138">
        <f>'Data Ocupacion'!S32</f>
        <v>35</v>
      </c>
      <c r="F57" s="125" t="s">
        <v>52</v>
      </c>
      <c r="G57" s="125">
        <f t="shared" si="46"/>
        <v>113</v>
      </c>
      <c r="H57" s="125">
        <f t="shared" ref="H57:H61" si="50">B57+C57*2</f>
        <v>111</v>
      </c>
      <c r="I57" s="125">
        <f t="shared" si="47"/>
        <v>78</v>
      </c>
      <c r="J57" s="125">
        <f>G57*M$2</f>
        <v>4873.6900000000005</v>
      </c>
      <c r="K57" s="153">
        <f>I57*M$2</f>
        <v>3364.1400000000003</v>
      </c>
      <c r="L57" s="125">
        <f t="shared" si="48"/>
        <v>506863.76000000007</v>
      </c>
      <c r="M57" s="125">
        <f t="shared" si="49"/>
        <v>8112</v>
      </c>
      <c r="N57" s="19"/>
      <c r="O57" s="19"/>
      <c r="P57" s="146"/>
      <c r="Q57" s="187"/>
      <c r="R57" s="187"/>
      <c r="S57" s="187"/>
      <c r="T57" s="204">
        <v>3</v>
      </c>
      <c r="U57" s="185"/>
      <c r="V57" s="231"/>
      <c r="W57" s="186">
        <f>J57-(T57*($M$2-$K$1)+(U57*($M$2-$M$1)))</f>
        <v>4820.5000000000009</v>
      </c>
      <c r="X57" s="183">
        <f>H57*$M$2</f>
        <v>4787.43</v>
      </c>
    </row>
    <row r="58" spans="1:65" ht="15" customHeight="1" x14ac:dyDescent="0.25">
      <c r="A58" s="371"/>
      <c r="B58" s="299">
        <v>33</v>
      </c>
      <c r="C58" s="299">
        <v>0</v>
      </c>
      <c r="D58" s="138">
        <f>'Data Ocupacion'!R33</f>
        <v>30</v>
      </c>
      <c r="E58" s="138">
        <f>'Data Ocupacion'!S33</f>
        <v>3</v>
      </c>
      <c r="F58" s="125" t="s">
        <v>36</v>
      </c>
      <c r="G58" s="125">
        <f t="shared" si="46"/>
        <v>36</v>
      </c>
      <c r="H58" s="125">
        <f t="shared" si="50"/>
        <v>33</v>
      </c>
      <c r="I58" s="125">
        <f t="shared" si="47"/>
        <v>33</v>
      </c>
      <c r="J58" s="125">
        <f>G58*M$1</f>
        <v>1047.96</v>
      </c>
      <c r="K58" s="153">
        <f>I58*M$1</f>
        <v>960.63</v>
      </c>
      <c r="L58" s="125">
        <f t="shared" si="48"/>
        <v>108987.84</v>
      </c>
      <c r="M58" s="125">
        <f t="shared" si="49"/>
        <v>3432</v>
      </c>
      <c r="N58" s="19"/>
      <c r="O58" s="19"/>
      <c r="P58" s="146"/>
      <c r="Q58" s="246"/>
      <c r="R58" s="188"/>
      <c r="S58" s="208"/>
      <c r="T58" s="189"/>
      <c r="U58" s="190"/>
      <c r="V58" s="190"/>
      <c r="W58" s="183">
        <f>J58-(Q58*($M$1-$K$1))</f>
        <v>1047.96</v>
      </c>
      <c r="X58" s="183">
        <f>H58*$M$1</f>
        <v>960.63</v>
      </c>
    </row>
    <row r="59" spans="1:65" ht="15" customHeight="1" x14ac:dyDescent="0.25">
      <c r="A59" s="371"/>
      <c r="B59" s="299">
        <v>32</v>
      </c>
      <c r="C59" s="299">
        <v>0</v>
      </c>
      <c r="D59" s="138">
        <f>'Data Ocupacion'!R34</f>
        <v>34</v>
      </c>
      <c r="E59" s="126">
        <f>'Data Ocupacion'!S34</f>
        <v>0</v>
      </c>
      <c r="F59" s="125" t="s">
        <v>53</v>
      </c>
      <c r="G59" s="125">
        <f t="shared" si="46"/>
        <v>34</v>
      </c>
      <c r="H59" s="125">
        <f t="shared" si="50"/>
        <v>32</v>
      </c>
      <c r="I59" s="125">
        <f t="shared" si="47"/>
        <v>34</v>
      </c>
      <c r="J59" s="125">
        <f>G59*M$1</f>
        <v>989.74</v>
      </c>
      <c r="K59" s="153">
        <f>I59*M$1</f>
        <v>989.74</v>
      </c>
      <c r="L59" s="125">
        <f t="shared" si="48"/>
        <v>102932.96</v>
      </c>
      <c r="M59" s="125">
        <f t="shared" si="49"/>
        <v>3536</v>
      </c>
      <c r="N59" s="19"/>
      <c r="O59" s="19"/>
      <c r="P59" s="146"/>
      <c r="Q59" s="190"/>
      <c r="R59" s="190"/>
      <c r="S59" s="190"/>
      <c r="T59" s="190"/>
      <c r="U59" s="190"/>
      <c r="V59" s="190"/>
      <c r="W59" s="183">
        <f>J59</f>
        <v>989.74</v>
      </c>
      <c r="X59" s="183">
        <f>H59*$M$1</f>
        <v>931.52</v>
      </c>
      <c r="BM59" t="s">
        <v>120</v>
      </c>
    </row>
    <row r="60" spans="1:65" s="124" customFormat="1" ht="15" customHeight="1" x14ac:dyDescent="0.25">
      <c r="A60" s="371"/>
      <c r="B60" s="299">
        <v>0</v>
      </c>
      <c r="C60" s="299">
        <v>0</v>
      </c>
      <c r="D60" s="126">
        <f>'Data Ocupacion'!R35</f>
        <v>0</v>
      </c>
      <c r="E60" s="126">
        <f>'Data Ocupacion'!S35</f>
        <v>0</v>
      </c>
      <c r="F60" s="125" t="s">
        <v>122</v>
      </c>
      <c r="G60" s="125">
        <f t="shared" si="46"/>
        <v>0</v>
      </c>
      <c r="H60" s="125">
        <f t="shared" si="50"/>
        <v>0</v>
      </c>
      <c r="I60" s="125">
        <f t="shared" si="47"/>
        <v>0</v>
      </c>
      <c r="J60" s="125">
        <f>G60*K$1</f>
        <v>0</v>
      </c>
      <c r="K60" s="153">
        <f>I60*K$1</f>
        <v>0</v>
      </c>
      <c r="L60" s="125">
        <f t="shared" si="48"/>
        <v>0</v>
      </c>
      <c r="M60" s="125">
        <f t="shared" si="49"/>
        <v>0</v>
      </c>
      <c r="N60" s="19"/>
      <c r="O60" s="19"/>
      <c r="P60" s="146"/>
      <c r="Q60" s="190"/>
      <c r="R60" s="190"/>
      <c r="S60" s="190"/>
      <c r="T60" s="190"/>
      <c r="U60" s="190"/>
      <c r="V60" s="190"/>
      <c r="W60" s="183">
        <f>J60</f>
        <v>0</v>
      </c>
      <c r="X60" s="183">
        <f>H60*$K$1</f>
        <v>0</v>
      </c>
    </row>
    <row r="61" spans="1:65" ht="15.75" customHeight="1" thickBot="1" x14ac:dyDescent="0.3">
      <c r="A61" s="371"/>
      <c r="B61" s="299">
        <v>1</v>
      </c>
      <c r="C61" s="299">
        <v>0</v>
      </c>
      <c r="D61" s="256">
        <f>'Data Ocupacion'!R36</f>
        <v>1</v>
      </c>
      <c r="E61" s="126">
        <f>'Data Ocupacion'!S36</f>
        <v>0</v>
      </c>
      <c r="F61" s="125" t="s">
        <v>35</v>
      </c>
      <c r="G61" s="125">
        <f t="shared" si="46"/>
        <v>1</v>
      </c>
      <c r="H61" s="125">
        <f t="shared" si="50"/>
        <v>1</v>
      </c>
      <c r="I61" s="125">
        <f t="shared" si="47"/>
        <v>1</v>
      </c>
      <c r="J61" s="125">
        <f>G61*K$1</f>
        <v>25.4</v>
      </c>
      <c r="K61" s="153">
        <f>I61*K$1</f>
        <v>25.4</v>
      </c>
      <c r="L61" s="125">
        <f t="shared" si="48"/>
        <v>2641.6</v>
      </c>
      <c r="M61" s="125">
        <f t="shared" si="49"/>
        <v>104</v>
      </c>
      <c r="N61" s="19"/>
      <c r="O61" s="19"/>
      <c r="P61" s="146"/>
      <c r="Q61" s="190"/>
      <c r="R61" s="190"/>
      <c r="S61" s="190"/>
      <c r="T61" s="190"/>
      <c r="U61" s="190"/>
      <c r="V61" s="190"/>
      <c r="W61" s="183">
        <f>J61</f>
        <v>25.4</v>
      </c>
      <c r="X61" s="183">
        <f>H61*$K$1</f>
        <v>25.4</v>
      </c>
    </row>
    <row r="62" spans="1:65" ht="15.75" thickBot="1" x14ac:dyDescent="0.3">
      <c r="A62" s="20"/>
      <c r="B62" s="119">
        <f>SUM(B56:B61)</f>
        <v>158</v>
      </c>
      <c r="C62" s="119">
        <f>SUM(C56:C61)</f>
        <v>65</v>
      </c>
      <c r="D62" s="152">
        <f>SUM(D56:D61)</f>
        <v>156</v>
      </c>
      <c r="E62" s="152">
        <f>SUM(E56:E61)</f>
        <v>69</v>
      </c>
      <c r="F62" s="119"/>
      <c r="G62" s="119">
        <f t="shared" ref="G62:M62" si="51">SUM(G56:G61)</f>
        <v>294</v>
      </c>
      <c r="H62" s="119">
        <f t="shared" si="51"/>
        <v>288</v>
      </c>
      <c r="I62" s="119">
        <f t="shared" si="51"/>
        <v>225</v>
      </c>
      <c r="J62" s="120">
        <f>SUM(J56:J61)</f>
        <v>11681.09</v>
      </c>
      <c r="K62" s="119">
        <f t="shared" si="51"/>
        <v>8747.18</v>
      </c>
      <c r="L62" s="118">
        <f t="shared" si="51"/>
        <v>1214833.3600000001</v>
      </c>
      <c r="M62" s="151">
        <f t="shared" si="51"/>
        <v>23400</v>
      </c>
      <c r="N62" s="123">
        <f>'Odometro-Kilometraje'!I81</f>
        <v>12321</v>
      </c>
      <c r="O62" s="21">
        <f>(W62/N62)*100</f>
        <v>94.086843600357099</v>
      </c>
      <c r="P62" s="193"/>
      <c r="Q62" s="182"/>
      <c r="R62" s="182"/>
      <c r="S62" s="182"/>
      <c r="T62" s="182"/>
      <c r="U62" s="182"/>
      <c r="V62" s="182"/>
      <c r="W62" s="194">
        <f>SUM(W56:W61)</f>
        <v>11592.439999999999</v>
      </c>
      <c r="X62" s="194">
        <f>SUM(X56:X61)</f>
        <v>11492.41</v>
      </c>
      <c r="Z62" s="342"/>
    </row>
    <row r="63" spans="1:65" x14ac:dyDescent="0.25">
      <c r="A63" s="60">
        <f>A56+1</f>
        <v>46031</v>
      </c>
      <c r="B63" s="299">
        <v>47</v>
      </c>
      <c r="C63" s="299">
        <v>32</v>
      </c>
      <c r="D63" s="126">
        <f>'Data Ocupacion'!T31</f>
        <v>47</v>
      </c>
      <c r="E63" s="126">
        <f>'Data Ocupacion'!U31</f>
        <v>32</v>
      </c>
      <c r="F63" s="125" t="s">
        <v>38</v>
      </c>
      <c r="G63" s="125">
        <f t="shared" ref="G63:G68" si="52">D63+E63*2</f>
        <v>111</v>
      </c>
      <c r="H63" s="125">
        <f>B63+C63*2</f>
        <v>111</v>
      </c>
      <c r="I63" s="125">
        <f t="shared" ref="I63:I68" si="53">D63+E63</f>
        <v>79</v>
      </c>
      <c r="J63" s="125">
        <f>G63*M$2</f>
        <v>4787.43</v>
      </c>
      <c r="K63" s="153">
        <f>I63*M$2</f>
        <v>3407.27</v>
      </c>
      <c r="L63" s="125">
        <f t="shared" ref="L63:L68" si="54">J63*104</f>
        <v>497892.72000000003</v>
      </c>
      <c r="M63" s="125">
        <f t="shared" ref="M63:M68" si="55">I63*104</f>
        <v>8216</v>
      </c>
      <c r="N63" s="19"/>
      <c r="O63" s="19"/>
      <c r="P63" s="146"/>
      <c r="Q63" s="184">
        <v>1</v>
      </c>
      <c r="R63" s="184"/>
      <c r="S63" s="207"/>
      <c r="T63" s="204"/>
      <c r="U63" s="192"/>
      <c r="V63" s="230"/>
      <c r="W63" s="183">
        <f>J63-(Q63*($M$2-$K$1))-(R63*($M$2-$M$1))- (S63*($M$2-$I$2))+ (T63*($G$2))</f>
        <v>4769.7000000000007</v>
      </c>
      <c r="X63" s="183">
        <f>H63*$M$2</f>
        <v>4787.43</v>
      </c>
    </row>
    <row r="64" spans="1:65" ht="15" customHeight="1" x14ac:dyDescent="0.25">
      <c r="A64" s="279"/>
      <c r="B64" s="299">
        <v>45</v>
      </c>
      <c r="C64" s="299">
        <v>33</v>
      </c>
      <c r="D64" s="126">
        <f>'Data Ocupacion'!T32</f>
        <v>45</v>
      </c>
      <c r="E64" s="126">
        <f>'Data Ocupacion'!U32</f>
        <v>33</v>
      </c>
      <c r="F64" s="125" t="s">
        <v>52</v>
      </c>
      <c r="G64" s="125">
        <f t="shared" si="52"/>
        <v>111</v>
      </c>
      <c r="H64" s="125">
        <f t="shared" ref="H64:H68" si="56">B64+C64*2</f>
        <v>111</v>
      </c>
      <c r="I64" s="125">
        <f t="shared" si="53"/>
        <v>78</v>
      </c>
      <c r="J64" s="125">
        <f>G64*M$2</f>
        <v>4787.43</v>
      </c>
      <c r="K64" s="153">
        <f>I64*M$2</f>
        <v>3364.1400000000003</v>
      </c>
      <c r="L64" s="125">
        <f t="shared" si="54"/>
        <v>497892.72000000003</v>
      </c>
      <c r="M64" s="125">
        <f t="shared" si="55"/>
        <v>8112</v>
      </c>
      <c r="N64" s="19"/>
      <c r="O64" s="19"/>
      <c r="P64" s="146"/>
      <c r="Q64" s="187"/>
      <c r="R64" s="187"/>
      <c r="S64" s="187"/>
      <c r="T64" s="204">
        <v>4</v>
      </c>
      <c r="U64" s="184"/>
      <c r="V64" s="231"/>
      <c r="W64" s="186">
        <f>J64-(T64*($M$2-$K$1)+(U64*($M$2-$M$1)))</f>
        <v>4716.51</v>
      </c>
      <c r="X64" s="183">
        <f>H64*$M$2</f>
        <v>4787.43</v>
      </c>
      <c r="Y64" s="239"/>
      <c r="AA64" s="124"/>
      <c r="AB64" s="124"/>
    </row>
    <row r="65" spans="1:27" x14ac:dyDescent="0.25">
      <c r="A65" s="255"/>
      <c r="B65" s="299">
        <v>33</v>
      </c>
      <c r="C65" s="299">
        <v>0</v>
      </c>
      <c r="D65" s="126">
        <f>'Data Ocupacion'!T33</f>
        <v>30</v>
      </c>
      <c r="E65" s="126">
        <f>'Data Ocupacion'!U33</f>
        <v>3</v>
      </c>
      <c r="F65" s="125" t="s">
        <v>36</v>
      </c>
      <c r="G65" s="125">
        <f t="shared" si="52"/>
        <v>36</v>
      </c>
      <c r="H65" s="125">
        <f t="shared" si="56"/>
        <v>33</v>
      </c>
      <c r="I65" s="125">
        <f t="shared" si="53"/>
        <v>33</v>
      </c>
      <c r="J65" s="125">
        <f>G65*M$1</f>
        <v>1047.96</v>
      </c>
      <c r="K65" s="153">
        <f>I65*M$1</f>
        <v>960.63</v>
      </c>
      <c r="L65" s="125">
        <f t="shared" si="54"/>
        <v>108987.84</v>
      </c>
      <c r="M65" s="125">
        <f t="shared" si="55"/>
        <v>3432</v>
      </c>
      <c r="N65" s="19"/>
      <c r="O65" s="19"/>
      <c r="P65" s="146"/>
      <c r="Q65" s="246">
        <v>1</v>
      </c>
      <c r="R65" s="188"/>
      <c r="S65" s="208"/>
      <c r="T65" s="189"/>
      <c r="U65" s="190"/>
      <c r="V65" s="190"/>
      <c r="W65" s="183">
        <f>J65-(Q65*($M$1-$K$1))</f>
        <v>1044.25</v>
      </c>
      <c r="X65" s="183">
        <f>H65*$M$1</f>
        <v>960.63</v>
      </c>
      <c r="Y65" s="239"/>
    </row>
    <row r="66" spans="1:27" x14ac:dyDescent="0.25">
      <c r="A66" s="255"/>
      <c r="B66" s="299">
        <v>32</v>
      </c>
      <c r="C66" s="299">
        <v>0</v>
      </c>
      <c r="D66" s="126">
        <f>'Data Ocupacion'!T34</f>
        <v>29</v>
      </c>
      <c r="E66" s="126">
        <f>'Data Ocupacion'!U34</f>
        <v>3</v>
      </c>
      <c r="F66" s="125" t="s">
        <v>53</v>
      </c>
      <c r="G66" s="125">
        <f t="shared" si="52"/>
        <v>35</v>
      </c>
      <c r="H66" s="125">
        <f t="shared" si="56"/>
        <v>32</v>
      </c>
      <c r="I66" s="125">
        <f t="shared" si="53"/>
        <v>32</v>
      </c>
      <c r="J66" s="125">
        <f>G66*M$1</f>
        <v>1018.85</v>
      </c>
      <c r="K66" s="153">
        <f>I66*M$1</f>
        <v>931.52</v>
      </c>
      <c r="L66" s="125">
        <f t="shared" si="54"/>
        <v>105960.40000000001</v>
      </c>
      <c r="M66" s="125">
        <f t="shared" si="55"/>
        <v>3328</v>
      </c>
      <c r="N66" s="19"/>
      <c r="O66" s="19"/>
      <c r="P66" s="146"/>
      <c r="Q66" s="190"/>
      <c r="R66" s="190"/>
      <c r="S66" s="190"/>
      <c r="T66" s="190"/>
      <c r="U66" s="190"/>
      <c r="V66" s="190"/>
      <c r="W66" s="183">
        <f>J66</f>
        <v>1018.85</v>
      </c>
      <c r="X66" s="183">
        <f>H66*$M$1</f>
        <v>931.52</v>
      </c>
    </row>
    <row r="67" spans="1:27" s="124" customFormat="1" x14ac:dyDescent="0.25">
      <c r="A67" s="255"/>
      <c r="B67" s="299">
        <v>0</v>
      </c>
      <c r="C67" s="299">
        <v>0</v>
      </c>
      <c r="D67" s="126">
        <f>'Data Ocupacion'!T35</f>
        <v>0</v>
      </c>
      <c r="E67" s="126">
        <f>'Data Ocupacion'!U35</f>
        <v>0</v>
      </c>
      <c r="F67" s="125" t="s">
        <v>122</v>
      </c>
      <c r="G67" s="125">
        <f t="shared" si="52"/>
        <v>0</v>
      </c>
      <c r="H67" s="125">
        <f t="shared" si="56"/>
        <v>0</v>
      </c>
      <c r="I67" s="125">
        <f t="shared" si="53"/>
        <v>0</v>
      </c>
      <c r="J67" s="125">
        <f>G67*K$1</f>
        <v>0</v>
      </c>
      <c r="K67" s="153">
        <f>I67*K$1</f>
        <v>0</v>
      </c>
      <c r="L67" s="125">
        <f t="shared" si="54"/>
        <v>0</v>
      </c>
      <c r="M67" s="125">
        <f t="shared" si="55"/>
        <v>0</v>
      </c>
      <c r="N67" s="19"/>
      <c r="O67" s="19"/>
      <c r="P67" s="146"/>
      <c r="Q67" s="190"/>
      <c r="R67" s="190"/>
      <c r="S67" s="190"/>
      <c r="T67" s="190"/>
      <c r="U67" s="190"/>
      <c r="V67" s="190"/>
      <c r="W67" s="183">
        <f>J67</f>
        <v>0</v>
      </c>
      <c r="X67" s="183">
        <f>H67*$K$1</f>
        <v>0</v>
      </c>
    </row>
    <row r="68" spans="1:27" ht="15.75" thickBot="1" x14ac:dyDescent="0.3">
      <c r="A68" s="255"/>
      <c r="B68" s="299">
        <v>1</v>
      </c>
      <c r="C68" s="299">
        <v>0</v>
      </c>
      <c r="D68" s="256">
        <f>'Data Ocupacion'!T36</f>
        <v>1</v>
      </c>
      <c r="E68" s="126">
        <f>'Data Ocupacion'!U36</f>
        <v>0</v>
      </c>
      <c r="F68" s="125" t="s">
        <v>35</v>
      </c>
      <c r="G68" s="125">
        <f t="shared" si="52"/>
        <v>1</v>
      </c>
      <c r="H68" s="125">
        <f t="shared" si="56"/>
        <v>1</v>
      </c>
      <c r="I68" s="125">
        <f t="shared" si="53"/>
        <v>1</v>
      </c>
      <c r="J68" s="125">
        <f>G68*K$1</f>
        <v>25.4</v>
      </c>
      <c r="K68" s="153">
        <f>I68*K$1</f>
        <v>25.4</v>
      </c>
      <c r="L68" s="125">
        <f t="shared" si="54"/>
        <v>2641.6</v>
      </c>
      <c r="M68" s="125">
        <f t="shared" si="55"/>
        <v>104</v>
      </c>
      <c r="N68" s="19"/>
      <c r="O68" s="19"/>
      <c r="P68" s="146"/>
      <c r="Q68" s="190"/>
      <c r="R68" s="190"/>
      <c r="S68" s="190"/>
      <c r="T68" s="190"/>
      <c r="U68" s="190"/>
      <c r="V68" s="190"/>
      <c r="W68" s="183">
        <f>J68</f>
        <v>25.4</v>
      </c>
      <c r="X68" s="183">
        <f>H68*$K$1</f>
        <v>25.4</v>
      </c>
    </row>
    <row r="69" spans="1:27" s="124" customFormat="1" ht="18.75" customHeight="1" thickBot="1" x14ac:dyDescent="0.3">
      <c r="A69" s="20"/>
      <c r="B69" s="119">
        <f>SUM(B63:B68)</f>
        <v>158</v>
      </c>
      <c r="C69" s="119">
        <f>SUM(C63:C68)</f>
        <v>65</v>
      </c>
      <c r="D69" s="152">
        <f>SUM(D63:D68)</f>
        <v>152</v>
      </c>
      <c r="E69" s="152">
        <f>SUM(E63:E68)</f>
        <v>71</v>
      </c>
      <c r="F69" s="119"/>
      <c r="G69" s="119">
        <f t="shared" ref="G69:M69" si="57">SUM(G63:G68)</f>
        <v>294</v>
      </c>
      <c r="H69" s="119">
        <f t="shared" si="57"/>
        <v>288</v>
      </c>
      <c r="I69" s="119">
        <f t="shared" si="57"/>
        <v>223</v>
      </c>
      <c r="J69" s="120">
        <f>SUM(J63:J68)</f>
        <v>11667.07</v>
      </c>
      <c r="K69" s="119">
        <f t="shared" si="57"/>
        <v>8688.9599999999991</v>
      </c>
      <c r="L69" s="118">
        <f t="shared" si="57"/>
        <v>1213375.28</v>
      </c>
      <c r="M69" s="151">
        <f t="shared" si="57"/>
        <v>23192</v>
      </c>
      <c r="N69" s="123">
        <f>'Odometro-Kilometraje'!J81</f>
        <v>12431</v>
      </c>
      <c r="O69" s="21">
        <f>(W69/N69)*100</f>
        <v>93.111656343013436</v>
      </c>
      <c r="P69" s="193"/>
      <c r="Q69" s="182"/>
      <c r="R69" s="182"/>
      <c r="S69" s="182"/>
      <c r="T69" s="182"/>
      <c r="U69" s="182"/>
      <c r="V69" s="182"/>
      <c r="W69" s="194">
        <f>SUM(W63:W68)</f>
        <v>11574.710000000001</v>
      </c>
      <c r="X69" s="194">
        <f>SUM(X63:X68)</f>
        <v>11492.41</v>
      </c>
      <c r="Y69" s="240"/>
      <c r="Z69" s="342"/>
    </row>
    <row r="70" spans="1:27" s="124" customFormat="1" x14ac:dyDescent="0.25">
      <c r="A70" s="60">
        <f>A63+1</f>
        <v>46032</v>
      </c>
      <c r="B70" s="116">
        <v>69</v>
      </c>
      <c r="C70" s="116">
        <v>3</v>
      </c>
      <c r="D70" s="147">
        <f>'Data Ocupacion'!V31</f>
        <v>69</v>
      </c>
      <c r="E70" s="147">
        <f>'Data Ocupacion'!W31</f>
        <v>3</v>
      </c>
      <c r="F70" s="116" t="s">
        <v>38</v>
      </c>
      <c r="G70" s="116">
        <f t="shared" ref="G70:G77" si="58">D70+E70*2</f>
        <v>75</v>
      </c>
      <c r="H70" s="116">
        <f>B70+C70*2</f>
        <v>75</v>
      </c>
      <c r="I70" s="116">
        <f t="shared" ref="I70:I75" si="59">D70+E70</f>
        <v>72</v>
      </c>
      <c r="J70" s="116">
        <f>G70*M$2</f>
        <v>3234.75</v>
      </c>
      <c r="K70" s="153">
        <f>I70*M$2</f>
        <v>3105.36</v>
      </c>
      <c r="L70" s="116">
        <f t="shared" ref="L70:L75" si="60">J70*104</f>
        <v>336414</v>
      </c>
      <c r="M70" s="116">
        <f t="shared" ref="M70:M75" si="61">I70*104</f>
        <v>7488</v>
      </c>
      <c r="N70" s="19"/>
      <c r="O70" s="19"/>
      <c r="P70" s="146"/>
      <c r="Q70" s="184"/>
      <c r="R70" s="184"/>
      <c r="S70" s="207"/>
      <c r="T70" s="288"/>
      <c r="U70" s="192"/>
      <c r="V70" s="230"/>
      <c r="W70" s="183">
        <f>J70-(Q70*($M$2-$K$1))-(R70*($M$2-$M$1))- (S70*($M$2-$I$2))+ (T70*($G$2))</f>
        <v>3234.75</v>
      </c>
      <c r="X70" s="183">
        <f>H70*$M$2</f>
        <v>3234.75</v>
      </c>
    </row>
    <row r="71" spans="1:27" ht="14.45" customHeight="1" x14ac:dyDescent="0.25">
      <c r="A71" s="279"/>
      <c r="B71" s="116">
        <v>75</v>
      </c>
      <c r="C71" s="116">
        <v>0</v>
      </c>
      <c r="D71" s="147">
        <f>'Data Ocupacion'!V32</f>
        <v>75</v>
      </c>
      <c r="E71" s="147">
        <f>'Data Ocupacion'!W32</f>
        <v>0</v>
      </c>
      <c r="F71" s="116" t="s">
        <v>52</v>
      </c>
      <c r="G71" s="116">
        <f t="shared" si="58"/>
        <v>75</v>
      </c>
      <c r="H71" s="116">
        <f t="shared" ref="H71:H75" si="62">B71+C71*2</f>
        <v>75</v>
      </c>
      <c r="I71" s="116">
        <f t="shared" si="59"/>
        <v>75</v>
      </c>
      <c r="J71" s="116">
        <f>G71*M$2</f>
        <v>3234.75</v>
      </c>
      <c r="K71" s="153">
        <f>I71*M$2</f>
        <v>3234.75</v>
      </c>
      <c r="L71" s="116">
        <f t="shared" si="60"/>
        <v>336414</v>
      </c>
      <c r="M71" s="116">
        <f t="shared" si="61"/>
        <v>7800</v>
      </c>
      <c r="N71" s="19"/>
      <c r="O71" s="19"/>
      <c r="P71" s="146"/>
      <c r="Q71" s="187"/>
      <c r="R71" s="187"/>
      <c r="S71" s="219"/>
      <c r="T71" s="184"/>
      <c r="U71" s="219"/>
      <c r="V71" s="231"/>
      <c r="W71" s="186">
        <f>J71-(T71*($M$2-$K$1)+(U71*($M$2-$M$1)))</f>
        <v>3234.75</v>
      </c>
      <c r="X71" s="183">
        <f>H71*$M$2</f>
        <v>3234.75</v>
      </c>
    </row>
    <row r="72" spans="1:27" ht="15" customHeight="1" x14ac:dyDescent="0.25">
      <c r="A72" s="255"/>
      <c r="B72" s="116">
        <v>0</v>
      </c>
      <c r="C72" s="116">
        <v>0</v>
      </c>
      <c r="D72" s="147">
        <f>'Data Ocupacion'!V33</f>
        <v>0</v>
      </c>
      <c r="E72" s="147">
        <f>'Data Ocupacion'!W33</f>
        <v>0</v>
      </c>
      <c r="F72" s="116" t="s">
        <v>36</v>
      </c>
      <c r="G72" s="116">
        <f t="shared" si="58"/>
        <v>0</v>
      </c>
      <c r="H72" s="116">
        <f t="shared" si="62"/>
        <v>0</v>
      </c>
      <c r="I72" s="116">
        <f t="shared" si="59"/>
        <v>0</v>
      </c>
      <c r="J72" s="116">
        <f>G72*M$1</f>
        <v>0</v>
      </c>
      <c r="K72" s="153">
        <f>I72*M$1</f>
        <v>0</v>
      </c>
      <c r="L72" s="116">
        <f t="shared" si="60"/>
        <v>0</v>
      </c>
      <c r="M72" s="116">
        <f t="shared" si="61"/>
        <v>0</v>
      </c>
      <c r="N72" s="19"/>
      <c r="O72" s="19"/>
      <c r="P72" s="146"/>
      <c r="Q72" s="246"/>
      <c r="R72" s="191"/>
      <c r="S72" s="230"/>
      <c r="T72" s="187"/>
      <c r="U72" s="190"/>
      <c r="V72" s="190"/>
      <c r="W72" s="183">
        <f>J72-(Q72*($M$1-$K$1))</f>
        <v>0</v>
      </c>
      <c r="X72" s="183">
        <f>H72*$M$1</f>
        <v>0</v>
      </c>
    </row>
    <row r="73" spans="1:27" ht="15" customHeight="1" x14ac:dyDescent="0.25">
      <c r="A73" s="255"/>
      <c r="B73" s="116">
        <v>0</v>
      </c>
      <c r="C73" s="116">
        <v>0</v>
      </c>
      <c r="D73" s="147">
        <f>'Data Ocupacion'!V34</f>
        <v>0</v>
      </c>
      <c r="E73" s="147">
        <f>'Data Ocupacion'!W34</f>
        <v>0</v>
      </c>
      <c r="F73" s="116" t="s">
        <v>53</v>
      </c>
      <c r="G73" s="116">
        <f t="shared" si="58"/>
        <v>0</v>
      </c>
      <c r="H73" s="116">
        <f t="shared" si="62"/>
        <v>0</v>
      </c>
      <c r="I73" s="116">
        <f t="shared" si="59"/>
        <v>0</v>
      </c>
      <c r="J73" s="116">
        <f>G73*M$1</f>
        <v>0</v>
      </c>
      <c r="K73" s="153">
        <f>I73*M$1</f>
        <v>0</v>
      </c>
      <c r="L73" s="116">
        <f t="shared" si="60"/>
        <v>0</v>
      </c>
      <c r="M73" s="116">
        <f t="shared" si="61"/>
        <v>0</v>
      </c>
      <c r="N73" s="19"/>
      <c r="O73" s="19"/>
      <c r="P73" s="146"/>
      <c r="Q73" s="190"/>
      <c r="R73" s="190"/>
      <c r="S73" s="190"/>
      <c r="T73" s="190"/>
      <c r="U73" s="190"/>
      <c r="V73" s="190"/>
      <c r="W73" s="183">
        <f>J73</f>
        <v>0</v>
      </c>
      <c r="X73" s="183">
        <f>H73*$M$1</f>
        <v>0</v>
      </c>
    </row>
    <row r="74" spans="1:27" ht="15" customHeight="1" x14ac:dyDescent="0.25">
      <c r="A74" s="255"/>
      <c r="B74" s="116">
        <v>0</v>
      </c>
      <c r="C74" s="116">
        <v>0</v>
      </c>
      <c r="D74" s="147">
        <f>'Data Ocupacion'!V35</f>
        <v>0</v>
      </c>
      <c r="E74" s="147">
        <f>'Data Ocupacion'!W35</f>
        <v>0</v>
      </c>
      <c r="F74" s="116" t="s">
        <v>122</v>
      </c>
      <c r="G74" s="116">
        <f t="shared" si="58"/>
        <v>0</v>
      </c>
      <c r="H74" s="116">
        <f t="shared" si="62"/>
        <v>0</v>
      </c>
      <c r="I74" s="116">
        <f t="shared" si="59"/>
        <v>0</v>
      </c>
      <c r="J74" s="116">
        <f>G74*K$1</f>
        <v>0</v>
      </c>
      <c r="K74" s="153">
        <f>I74*K$1</f>
        <v>0</v>
      </c>
      <c r="L74" s="116">
        <f t="shared" si="60"/>
        <v>0</v>
      </c>
      <c r="M74" s="116">
        <f t="shared" si="61"/>
        <v>0</v>
      </c>
      <c r="N74" s="19"/>
      <c r="O74" s="19"/>
      <c r="P74" s="146"/>
      <c r="Q74" s="190"/>
      <c r="R74" s="190"/>
      <c r="S74" s="190"/>
      <c r="T74" s="190"/>
      <c r="U74" s="190"/>
      <c r="V74" s="190"/>
      <c r="W74" s="183">
        <f>J74</f>
        <v>0</v>
      </c>
      <c r="X74" s="183">
        <f>H74*$K$1</f>
        <v>0</v>
      </c>
    </row>
    <row r="75" spans="1:27" ht="14.25" customHeight="1" thickBot="1" x14ac:dyDescent="0.3">
      <c r="A75" s="255"/>
      <c r="B75" s="116">
        <v>0</v>
      </c>
      <c r="C75" s="116">
        <v>0</v>
      </c>
      <c r="D75" s="322">
        <f>'Data Ocupacion'!V36</f>
        <v>0</v>
      </c>
      <c r="E75" s="147">
        <f>'Data Ocupacion'!W36</f>
        <v>0</v>
      </c>
      <c r="F75" s="116" t="s">
        <v>35</v>
      </c>
      <c r="G75" s="116">
        <f t="shared" si="58"/>
        <v>0</v>
      </c>
      <c r="H75" s="116">
        <f t="shared" si="62"/>
        <v>0</v>
      </c>
      <c r="I75" s="116">
        <f t="shared" si="59"/>
        <v>0</v>
      </c>
      <c r="J75" s="116">
        <f>G75*K$1</f>
        <v>0</v>
      </c>
      <c r="K75" s="153">
        <f>I75*K$1</f>
        <v>0</v>
      </c>
      <c r="L75" s="116">
        <f t="shared" si="60"/>
        <v>0</v>
      </c>
      <c r="M75" s="116">
        <f t="shared" si="61"/>
        <v>0</v>
      </c>
      <c r="N75" s="19"/>
      <c r="O75" s="19"/>
      <c r="P75" s="146"/>
      <c r="Q75" s="190"/>
      <c r="R75" s="190"/>
      <c r="S75" s="190"/>
      <c r="T75" s="190"/>
      <c r="U75" s="190"/>
      <c r="V75" s="190"/>
      <c r="W75" s="183">
        <f>J75</f>
        <v>0</v>
      </c>
      <c r="X75" s="183">
        <f>H75*$K$1</f>
        <v>0</v>
      </c>
      <c r="Y75" s="257"/>
      <c r="Z75" s="257"/>
      <c r="AA75" s="257"/>
    </row>
    <row r="76" spans="1:27" s="124" customFormat="1" ht="15.75" thickBot="1" x14ac:dyDescent="0.3">
      <c r="A76" s="20"/>
      <c r="B76" s="119">
        <f>SUM(B70:B75)</f>
        <v>144</v>
      </c>
      <c r="C76" s="119">
        <f>SUM(C70:C75)</f>
        <v>3</v>
      </c>
      <c r="D76" s="152">
        <f>SUM(D70:D75)</f>
        <v>144</v>
      </c>
      <c r="E76" s="152">
        <f>SUM(E70:E75)</f>
        <v>3</v>
      </c>
      <c r="F76" s="119"/>
      <c r="G76" s="119">
        <f t="shared" ref="G76:M76" si="63">SUM(G70:G75)</f>
        <v>150</v>
      </c>
      <c r="H76" s="119">
        <f t="shared" si="63"/>
        <v>150</v>
      </c>
      <c r="I76" s="119">
        <f t="shared" si="63"/>
        <v>147</v>
      </c>
      <c r="J76" s="120">
        <f t="shared" si="63"/>
        <v>6469.5</v>
      </c>
      <c r="K76" s="119">
        <f t="shared" si="63"/>
        <v>6340.1100000000006</v>
      </c>
      <c r="L76" s="118">
        <f t="shared" si="63"/>
        <v>672828</v>
      </c>
      <c r="M76" s="151">
        <f t="shared" si="63"/>
        <v>15288</v>
      </c>
      <c r="N76" s="123">
        <f>'Odometro-Kilometraje'!K81</f>
        <v>6491</v>
      </c>
      <c r="O76" s="21">
        <f>(W76/N76)*100</f>
        <v>99.668772146048383</v>
      </c>
      <c r="P76" s="193"/>
      <c r="Q76" s="182"/>
      <c r="R76" s="182"/>
      <c r="S76" s="182"/>
      <c r="T76" s="182"/>
      <c r="U76" s="182"/>
      <c r="V76" s="182"/>
      <c r="W76" s="194">
        <f>SUM(W70:W75)</f>
        <v>6469.5</v>
      </c>
      <c r="X76" s="194">
        <f>SUM(X70:X75)</f>
        <v>6469.5</v>
      </c>
      <c r="Y76" s="257"/>
      <c r="Z76" s="342"/>
      <c r="AA76" s="257"/>
    </row>
    <row r="77" spans="1:27" x14ac:dyDescent="0.25">
      <c r="A77" s="60">
        <f>A70+1</f>
        <v>46033</v>
      </c>
      <c r="B77" s="220">
        <v>51</v>
      </c>
      <c r="C77" s="220">
        <v>3</v>
      </c>
      <c r="D77" s="138">
        <f>'Data Ocupacion'!X31</f>
        <v>51</v>
      </c>
      <c r="E77" s="138">
        <f>'Data Ocupacion'!Y31</f>
        <v>3</v>
      </c>
      <c r="F77" s="220" t="s">
        <v>38</v>
      </c>
      <c r="G77" s="300">
        <f t="shared" si="58"/>
        <v>57</v>
      </c>
      <c r="H77" s="220">
        <f>B77+C77*2</f>
        <v>57</v>
      </c>
      <c r="I77" s="220">
        <f t="shared" ref="I77:I82" si="64">D77+E77</f>
        <v>54</v>
      </c>
      <c r="J77" s="220">
        <f>G77*M$2</f>
        <v>2458.4100000000003</v>
      </c>
      <c r="K77" s="153">
        <f>I77*M$2</f>
        <v>2329.02</v>
      </c>
      <c r="L77" s="220">
        <f t="shared" ref="L77:L82" si="65">J77*104</f>
        <v>255674.64000000004</v>
      </c>
      <c r="M77" s="220">
        <f t="shared" ref="M77:M82" si="66">I77*104</f>
        <v>5616</v>
      </c>
      <c r="N77" s="19"/>
      <c r="O77" s="19"/>
      <c r="P77" s="146"/>
      <c r="Q77" s="184"/>
      <c r="R77" s="184"/>
      <c r="S77" s="207"/>
      <c r="T77" s="288"/>
      <c r="U77" s="192"/>
      <c r="V77" s="230"/>
      <c r="W77" s="183">
        <f>J77-(Q77*($M$2-$K$1))-(R77*($M$2-$M$1))- (S77*($M$2-$I$2))+ (T77*($G$2))</f>
        <v>2458.4100000000003</v>
      </c>
      <c r="X77" s="183">
        <f>H77*$M$2</f>
        <v>2458.4100000000003</v>
      </c>
      <c r="Y77" s="257"/>
      <c r="Z77" s="257"/>
      <c r="AA77" s="257"/>
    </row>
    <row r="78" spans="1:27" ht="15" customHeight="1" x14ac:dyDescent="0.25">
      <c r="A78" s="279"/>
      <c r="B78" s="220">
        <v>57</v>
      </c>
      <c r="C78" s="220">
        <v>0</v>
      </c>
      <c r="D78" s="138">
        <f>'Data Ocupacion'!X32</f>
        <v>57</v>
      </c>
      <c r="E78" s="138">
        <f>'Data Ocupacion'!Y32</f>
        <v>0</v>
      </c>
      <c r="F78" s="220" t="s">
        <v>52</v>
      </c>
      <c r="G78" s="220">
        <f t="shared" ref="G78:G82" si="67">D78+E78*2</f>
        <v>57</v>
      </c>
      <c r="H78" s="220">
        <f t="shared" ref="H78:H82" si="68">B78+C78*2</f>
        <v>57</v>
      </c>
      <c r="I78" s="220">
        <f t="shared" si="64"/>
        <v>57</v>
      </c>
      <c r="J78" s="220">
        <f>G78*M$2</f>
        <v>2458.4100000000003</v>
      </c>
      <c r="K78" s="153">
        <f>I78*M$2</f>
        <v>2458.4100000000003</v>
      </c>
      <c r="L78" s="220">
        <f t="shared" si="65"/>
        <v>255674.64000000004</v>
      </c>
      <c r="M78" s="220">
        <f t="shared" si="66"/>
        <v>5928</v>
      </c>
      <c r="N78" s="19"/>
      <c r="O78" s="19"/>
      <c r="P78" s="146"/>
      <c r="Q78" s="187"/>
      <c r="R78" s="187"/>
      <c r="S78" s="219"/>
      <c r="T78" s="184"/>
      <c r="U78" s="219"/>
      <c r="V78" s="231"/>
      <c r="W78" s="186">
        <f>J78-(T78*($M$2-$K$1)+(U78*($M$2-$M$1)))</f>
        <v>2458.4100000000003</v>
      </c>
      <c r="X78" s="183">
        <f>H78*$M$2</f>
        <v>2458.4100000000003</v>
      </c>
      <c r="Y78" s="257"/>
      <c r="Z78" s="257"/>
      <c r="AA78" s="257"/>
    </row>
    <row r="79" spans="1:27" ht="15" customHeight="1" x14ac:dyDescent="0.25">
      <c r="A79" s="255"/>
      <c r="B79" s="220">
        <v>0</v>
      </c>
      <c r="C79" s="220">
        <v>0</v>
      </c>
      <c r="D79" s="138">
        <f>'Data Ocupacion'!X33</f>
        <v>0</v>
      </c>
      <c r="E79" s="138">
        <f>'Data Ocupacion'!Y33</f>
        <v>0</v>
      </c>
      <c r="F79" s="220" t="s">
        <v>36</v>
      </c>
      <c r="G79" s="220">
        <f t="shared" si="67"/>
        <v>0</v>
      </c>
      <c r="H79" s="220">
        <f t="shared" si="68"/>
        <v>0</v>
      </c>
      <c r="I79" s="220">
        <f t="shared" si="64"/>
        <v>0</v>
      </c>
      <c r="J79" s="220">
        <f>G79*M$1</f>
        <v>0</v>
      </c>
      <c r="K79" s="153">
        <f>I79*M$1</f>
        <v>0</v>
      </c>
      <c r="L79" s="220">
        <f t="shared" si="65"/>
        <v>0</v>
      </c>
      <c r="M79" s="220">
        <f t="shared" si="66"/>
        <v>0</v>
      </c>
      <c r="N79" s="19"/>
      <c r="O79" s="19" t="s">
        <v>144</v>
      </c>
      <c r="P79" s="146"/>
      <c r="Q79" s="184"/>
      <c r="R79" s="191"/>
      <c r="S79" s="230"/>
      <c r="T79" s="187"/>
      <c r="U79" s="190"/>
      <c r="V79" s="190"/>
      <c r="W79" s="183">
        <f>J79-(Q79*($M$1-$K$1))</f>
        <v>0</v>
      </c>
      <c r="X79" s="183">
        <f>H79*$M$1</f>
        <v>0</v>
      </c>
      <c r="Y79" s="257"/>
      <c r="Z79" s="257"/>
      <c r="AA79" s="257"/>
    </row>
    <row r="80" spans="1:27" ht="13.5" customHeight="1" x14ac:dyDescent="0.25">
      <c r="A80" s="255"/>
      <c r="B80" s="220">
        <v>0</v>
      </c>
      <c r="C80" s="220">
        <v>0</v>
      </c>
      <c r="D80" s="138">
        <f>'Data Ocupacion'!X34</f>
        <v>0</v>
      </c>
      <c r="E80" s="138">
        <f>'Data Ocupacion'!Y34</f>
        <v>0</v>
      </c>
      <c r="F80" s="220" t="s">
        <v>53</v>
      </c>
      <c r="G80" s="220">
        <f t="shared" si="67"/>
        <v>0</v>
      </c>
      <c r="H80" s="220">
        <f t="shared" si="68"/>
        <v>0</v>
      </c>
      <c r="I80" s="220">
        <f t="shared" si="64"/>
        <v>0</v>
      </c>
      <c r="J80" s="220">
        <f>G80*M$1</f>
        <v>0</v>
      </c>
      <c r="K80" s="153">
        <f>I80*M$1</f>
        <v>0</v>
      </c>
      <c r="L80" s="220">
        <f t="shared" si="65"/>
        <v>0</v>
      </c>
      <c r="M80" s="220">
        <f t="shared" si="66"/>
        <v>0</v>
      </c>
      <c r="N80" s="19"/>
      <c r="O80" s="19" t="s">
        <v>144</v>
      </c>
      <c r="P80" s="146"/>
      <c r="Q80" s="190"/>
      <c r="R80" s="190"/>
      <c r="S80" s="190"/>
      <c r="T80" s="190"/>
      <c r="U80" s="190"/>
      <c r="V80" s="190"/>
      <c r="W80" s="183">
        <f>J80</f>
        <v>0</v>
      </c>
      <c r="X80" s="183">
        <f>H80*$M$1</f>
        <v>0</v>
      </c>
      <c r="Y80" s="257"/>
      <c r="Z80" s="257"/>
      <c r="AA80" s="257"/>
    </row>
    <row r="81" spans="1:30" s="124" customFormat="1" ht="13.5" customHeight="1" x14ac:dyDescent="0.25">
      <c r="A81" s="255"/>
      <c r="B81" s="220">
        <v>0</v>
      </c>
      <c r="C81" s="220">
        <v>0</v>
      </c>
      <c r="D81" s="138">
        <f>'Data Ocupacion'!X35</f>
        <v>0</v>
      </c>
      <c r="E81" s="138">
        <f>'Data Ocupacion'!Y35</f>
        <v>0</v>
      </c>
      <c r="F81" s="220" t="s">
        <v>122</v>
      </c>
      <c r="G81" s="220">
        <f t="shared" si="67"/>
        <v>0</v>
      </c>
      <c r="H81" s="220">
        <f t="shared" si="68"/>
        <v>0</v>
      </c>
      <c r="I81" s="220">
        <f t="shared" si="64"/>
        <v>0</v>
      </c>
      <c r="J81" s="220">
        <f>G81*K$1</f>
        <v>0</v>
      </c>
      <c r="K81" s="153">
        <f>I81*K$1</f>
        <v>0</v>
      </c>
      <c r="L81" s="220">
        <f t="shared" si="65"/>
        <v>0</v>
      </c>
      <c r="M81" s="220">
        <f t="shared" si="66"/>
        <v>0</v>
      </c>
      <c r="N81" s="19"/>
      <c r="O81" s="19"/>
      <c r="P81" s="146"/>
      <c r="Q81" s="190"/>
      <c r="R81" s="190"/>
      <c r="S81" s="190"/>
      <c r="T81" s="190"/>
      <c r="U81" s="190"/>
      <c r="V81" s="190"/>
      <c r="W81" s="183">
        <f>J81</f>
        <v>0</v>
      </c>
      <c r="X81" s="183">
        <f>H81*$K$1</f>
        <v>0</v>
      </c>
      <c r="Y81" s="257"/>
      <c r="Z81" s="257"/>
      <c r="AA81" s="257"/>
    </row>
    <row r="82" spans="1:30" s="124" customFormat="1" ht="15" customHeight="1" thickBot="1" x14ac:dyDescent="0.3">
      <c r="A82" s="255"/>
      <c r="B82" s="220">
        <v>0</v>
      </c>
      <c r="C82" s="220">
        <v>0</v>
      </c>
      <c r="D82" s="138">
        <f>'Data Ocupacion'!X36</f>
        <v>0</v>
      </c>
      <c r="E82" s="138">
        <f>'Data Ocupacion'!Y36</f>
        <v>0</v>
      </c>
      <c r="F82" s="220" t="s">
        <v>35</v>
      </c>
      <c r="G82" s="220">
        <f t="shared" si="67"/>
        <v>0</v>
      </c>
      <c r="H82" s="220">
        <f t="shared" si="68"/>
        <v>0</v>
      </c>
      <c r="I82" s="220">
        <f t="shared" si="64"/>
        <v>0</v>
      </c>
      <c r="J82" s="220">
        <f>G82*K$1</f>
        <v>0</v>
      </c>
      <c r="K82" s="153">
        <f>I82*K$1</f>
        <v>0</v>
      </c>
      <c r="L82" s="220">
        <f t="shared" si="65"/>
        <v>0</v>
      </c>
      <c r="M82" s="220">
        <f t="shared" si="66"/>
        <v>0</v>
      </c>
      <c r="N82" s="19"/>
      <c r="O82" s="19"/>
      <c r="P82" s="146"/>
      <c r="Q82" s="190"/>
      <c r="R82" s="190"/>
      <c r="S82" s="190"/>
      <c r="T82" s="190"/>
      <c r="U82" s="190"/>
      <c r="V82" s="190"/>
      <c r="W82" s="183">
        <f>J82</f>
        <v>0</v>
      </c>
      <c r="X82" s="183">
        <f>H82*$K$1</f>
        <v>0</v>
      </c>
      <c r="Y82" s="257"/>
      <c r="Z82" s="257"/>
      <c r="AA82" s="257"/>
    </row>
    <row r="83" spans="1:30" ht="15" customHeight="1" thickBot="1" x14ac:dyDescent="0.3">
      <c r="A83" s="20"/>
      <c r="B83" s="119">
        <f>SUM(B77:B82)</f>
        <v>108</v>
      </c>
      <c r="C83" s="119">
        <f>SUM(C77:C82)</f>
        <v>3</v>
      </c>
      <c r="D83" s="148">
        <f>SUM(D77:D82)</f>
        <v>108</v>
      </c>
      <c r="E83" s="148">
        <f>SUM(E77:E82)</f>
        <v>3</v>
      </c>
      <c r="F83" s="119"/>
      <c r="G83" s="119">
        <f t="shared" ref="G83:M83" si="69">SUM(G77:G82)</f>
        <v>114</v>
      </c>
      <c r="H83" s="119">
        <f t="shared" si="69"/>
        <v>114</v>
      </c>
      <c r="I83" s="119">
        <f t="shared" si="69"/>
        <v>111</v>
      </c>
      <c r="J83" s="119">
        <f t="shared" si="69"/>
        <v>4916.8200000000006</v>
      </c>
      <c r="K83" s="119">
        <f t="shared" si="69"/>
        <v>4787.43</v>
      </c>
      <c r="L83" s="119">
        <f t="shared" si="69"/>
        <v>511349.28000000009</v>
      </c>
      <c r="M83" s="119">
        <f t="shared" si="69"/>
        <v>11544</v>
      </c>
      <c r="N83" s="123">
        <f>'Odometro-Kilometraje'!L81</f>
        <v>4999</v>
      </c>
      <c r="O83" s="21">
        <f>(W83/N83)*100</f>
        <v>98.35607121424286</v>
      </c>
      <c r="P83" s="193"/>
      <c r="Q83" s="182"/>
      <c r="R83" s="182"/>
      <c r="S83" s="182"/>
      <c r="T83" s="182"/>
      <c r="U83" s="182"/>
      <c r="V83" s="182"/>
      <c r="W83" s="194">
        <f>SUM(W77:W82)</f>
        <v>4916.8200000000006</v>
      </c>
      <c r="X83" s="194">
        <f>SUM(X77:X82)</f>
        <v>4916.8200000000006</v>
      </c>
      <c r="Y83" s="257"/>
      <c r="Z83" s="342"/>
      <c r="AA83" s="257"/>
      <c r="AD83" s="172"/>
    </row>
    <row r="84" spans="1:30" ht="15.95" customHeight="1" x14ac:dyDescent="0.25">
      <c r="A84" s="60">
        <f>A77+1</f>
        <v>46034</v>
      </c>
      <c r="B84" s="299">
        <v>47</v>
      </c>
      <c r="C84" s="299">
        <v>32</v>
      </c>
      <c r="D84" s="126">
        <f>'Data Ocupacion'!Z31</f>
        <v>47</v>
      </c>
      <c r="E84" s="126">
        <f>'Data Ocupacion'!AA31</f>
        <v>32</v>
      </c>
      <c r="F84" s="125" t="s">
        <v>38</v>
      </c>
      <c r="G84" s="125">
        <f t="shared" ref="G84:G89" si="70">D84+E84*2</f>
        <v>111</v>
      </c>
      <c r="H84" s="125">
        <f>B84+C84*2</f>
        <v>111</v>
      </c>
      <c r="I84" s="125">
        <f t="shared" ref="I84:I89" si="71">D84+E84</f>
        <v>79</v>
      </c>
      <c r="J84" s="125">
        <f>G84*M$2</f>
        <v>4787.43</v>
      </c>
      <c r="K84" s="153">
        <f>I84*M$2</f>
        <v>3407.27</v>
      </c>
      <c r="L84" s="125">
        <f t="shared" ref="L84:L89" si="72">J84*104</f>
        <v>497892.72000000003</v>
      </c>
      <c r="M84" s="125">
        <f t="shared" ref="M84:M89" si="73">I84*104</f>
        <v>8216</v>
      </c>
      <c r="N84" s="19"/>
      <c r="O84" s="19"/>
      <c r="P84" s="146"/>
      <c r="Q84" s="184">
        <v>2</v>
      </c>
      <c r="R84" s="184"/>
      <c r="S84" s="207"/>
      <c r="T84" s="288"/>
      <c r="U84" s="192"/>
      <c r="V84" s="230"/>
      <c r="W84" s="183">
        <f>J84-(Q84*($M$2-$K$1))-(R84*($M$2-$M$1))- (S84*($M$2-$I$2))+ (T84*($G$2))</f>
        <v>4751.97</v>
      </c>
      <c r="X84" s="183">
        <f>H84*$M$2</f>
        <v>4787.43</v>
      </c>
      <c r="Y84" s="257"/>
      <c r="Z84" s="257"/>
      <c r="AA84" s="257"/>
    </row>
    <row r="85" spans="1:30" ht="15" customHeight="1" x14ac:dyDescent="0.25">
      <c r="A85" s="255"/>
      <c r="B85" s="299">
        <v>45</v>
      </c>
      <c r="C85" s="299">
        <v>33</v>
      </c>
      <c r="D85" s="126">
        <f>'Data Ocupacion'!Z32</f>
        <v>45</v>
      </c>
      <c r="E85" s="126">
        <f>'Data Ocupacion'!AA32</f>
        <v>33</v>
      </c>
      <c r="F85" s="125" t="s">
        <v>52</v>
      </c>
      <c r="G85" s="125">
        <f t="shared" si="70"/>
        <v>111</v>
      </c>
      <c r="H85" s="125">
        <f t="shared" ref="H85:H89" si="74">B85+C85*2</f>
        <v>111</v>
      </c>
      <c r="I85" s="125">
        <f t="shared" si="71"/>
        <v>78</v>
      </c>
      <c r="J85" s="125">
        <f>G85*M$2</f>
        <v>4787.43</v>
      </c>
      <c r="K85" s="153">
        <f>I85*M$2</f>
        <v>3364.1400000000003</v>
      </c>
      <c r="L85" s="125">
        <f t="shared" si="72"/>
        <v>497892.72000000003</v>
      </c>
      <c r="M85" s="125">
        <f t="shared" si="73"/>
        <v>8112</v>
      </c>
      <c r="N85" s="19"/>
      <c r="O85" s="19"/>
      <c r="P85" s="146"/>
      <c r="Q85" s="187"/>
      <c r="R85" s="187"/>
      <c r="S85" s="219"/>
      <c r="T85" s="184">
        <v>2</v>
      </c>
      <c r="U85" s="219"/>
      <c r="V85" s="207"/>
      <c r="W85" s="186">
        <f>J85-(T85*($M$2-$K$1)+(U85*($M$2-$M$1)))</f>
        <v>4751.97</v>
      </c>
      <c r="X85" s="183">
        <f>H85*$M$2</f>
        <v>4787.43</v>
      </c>
      <c r="Y85" s="257"/>
      <c r="Z85" s="257"/>
      <c r="AA85" s="257"/>
    </row>
    <row r="86" spans="1:30" ht="15" customHeight="1" x14ac:dyDescent="0.25">
      <c r="A86" s="255"/>
      <c r="B86" s="299">
        <v>33</v>
      </c>
      <c r="C86" s="299">
        <v>0</v>
      </c>
      <c r="D86" s="126">
        <f>'Data Ocupacion'!Z33</f>
        <v>33</v>
      </c>
      <c r="E86" s="126">
        <f>'Data Ocupacion'!AA33</f>
        <v>0</v>
      </c>
      <c r="F86" s="125" t="s">
        <v>36</v>
      </c>
      <c r="G86" s="125">
        <f t="shared" si="70"/>
        <v>33</v>
      </c>
      <c r="H86" s="125">
        <f t="shared" si="74"/>
        <v>33</v>
      </c>
      <c r="I86" s="125">
        <f t="shared" si="71"/>
        <v>33</v>
      </c>
      <c r="J86" s="125">
        <f>G86*M$1</f>
        <v>960.63</v>
      </c>
      <c r="K86" s="153">
        <f>I86*M$1</f>
        <v>960.63</v>
      </c>
      <c r="L86" s="125">
        <f t="shared" si="72"/>
        <v>99905.52</v>
      </c>
      <c r="M86" s="125">
        <f t="shared" si="73"/>
        <v>3432</v>
      </c>
      <c r="N86" s="19"/>
      <c r="O86" s="19"/>
      <c r="P86" s="146"/>
      <c r="Q86" s="246"/>
      <c r="R86" s="191"/>
      <c r="S86" s="230"/>
      <c r="T86" s="187"/>
      <c r="U86" s="190"/>
      <c r="V86" s="190"/>
      <c r="W86" s="183">
        <f>J86-(Q86*($M$1-$K$1))</f>
        <v>960.63</v>
      </c>
      <c r="X86" s="183">
        <f>H86*$M$1</f>
        <v>960.63</v>
      </c>
      <c r="Y86" s="257"/>
      <c r="Z86" s="257"/>
      <c r="AA86" s="257"/>
    </row>
    <row r="87" spans="1:30" ht="15" customHeight="1" x14ac:dyDescent="0.25">
      <c r="A87" s="255"/>
      <c r="B87" s="299">
        <v>32</v>
      </c>
      <c r="C87" s="299">
        <v>0</v>
      </c>
      <c r="D87" s="126">
        <f>'Data Ocupacion'!Z34</f>
        <v>32</v>
      </c>
      <c r="E87" s="126">
        <f>'Data Ocupacion'!AA34</f>
        <v>0</v>
      </c>
      <c r="F87" s="125" t="s">
        <v>53</v>
      </c>
      <c r="G87" s="125">
        <f t="shared" si="70"/>
        <v>32</v>
      </c>
      <c r="H87" s="125">
        <f t="shared" si="74"/>
        <v>32</v>
      </c>
      <c r="I87" s="125">
        <f t="shared" si="71"/>
        <v>32</v>
      </c>
      <c r="J87" s="125">
        <f>G87*M$1</f>
        <v>931.52</v>
      </c>
      <c r="K87" s="153">
        <f>I87*M$1</f>
        <v>931.52</v>
      </c>
      <c r="L87" s="125">
        <f t="shared" si="72"/>
        <v>96878.080000000002</v>
      </c>
      <c r="M87" s="125">
        <f t="shared" si="73"/>
        <v>3328</v>
      </c>
      <c r="N87" s="19"/>
      <c r="O87" s="19"/>
      <c r="P87" s="146"/>
      <c r="Q87" s="190"/>
      <c r="R87" s="190"/>
      <c r="S87" s="190"/>
      <c r="T87" s="190"/>
      <c r="U87" s="190"/>
      <c r="V87" s="190"/>
      <c r="W87" s="183">
        <f>J87</f>
        <v>931.52</v>
      </c>
      <c r="X87" s="183">
        <f>H87*$M$1</f>
        <v>931.52</v>
      </c>
      <c r="Y87" s="257"/>
      <c r="Z87" s="257"/>
      <c r="AA87" s="257"/>
    </row>
    <row r="88" spans="1:30" ht="15" customHeight="1" x14ac:dyDescent="0.25">
      <c r="A88" s="255"/>
      <c r="B88" s="299">
        <v>0</v>
      </c>
      <c r="C88" s="299">
        <v>0</v>
      </c>
      <c r="D88" s="126">
        <f>'Data Ocupacion'!Z35</f>
        <v>0</v>
      </c>
      <c r="E88" s="126">
        <f>'Data Ocupacion'!AA35</f>
        <v>0</v>
      </c>
      <c r="F88" s="125" t="s">
        <v>122</v>
      </c>
      <c r="G88" s="125">
        <f t="shared" si="70"/>
        <v>0</v>
      </c>
      <c r="H88" s="125">
        <f t="shared" si="74"/>
        <v>0</v>
      </c>
      <c r="I88" s="125">
        <f t="shared" si="71"/>
        <v>0</v>
      </c>
      <c r="J88" s="125">
        <f>G88*K$1</f>
        <v>0</v>
      </c>
      <c r="K88" s="153">
        <f>I88*K$1</f>
        <v>0</v>
      </c>
      <c r="L88" s="125">
        <f t="shared" si="72"/>
        <v>0</v>
      </c>
      <c r="M88" s="125">
        <f t="shared" si="73"/>
        <v>0</v>
      </c>
      <c r="N88" s="19"/>
      <c r="O88" s="19"/>
      <c r="P88" s="146"/>
      <c r="Q88" s="190"/>
      <c r="R88" s="190"/>
      <c r="S88" s="190"/>
      <c r="T88" s="190"/>
      <c r="U88" s="190"/>
      <c r="V88" s="190"/>
      <c r="W88" s="183">
        <f>J88</f>
        <v>0</v>
      </c>
      <c r="X88" s="183">
        <f>H88*$K$1</f>
        <v>0</v>
      </c>
      <c r="Y88" s="257"/>
      <c r="Z88" s="257"/>
      <c r="AA88" s="257"/>
    </row>
    <row r="89" spans="1:30" ht="15.75" thickBot="1" x14ac:dyDescent="0.3">
      <c r="A89" s="340"/>
      <c r="B89" s="299">
        <v>1</v>
      </c>
      <c r="C89" s="299">
        <v>0</v>
      </c>
      <c r="D89" s="126">
        <f>'Data Ocupacion'!Z36</f>
        <v>1</v>
      </c>
      <c r="E89" s="126">
        <f>'Data Ocupacion'!AA36</f>
        <v>0</v>
      </c>
      <c r="F89" s="125" t="s">
        <v>35</v>
      </c>
      <c r="G89" s="125">
        <f t="shared" si="70"/>
        <v>1</v>
      </c>
      <c r="H89" s="125">
        <f t="shared" si="74"/>
        <v>1</v>
      </c>
      <c r="I89" s="125">
        <f t="shared" si="71"/>
        <v>1</v>
      </c>
      <c r="J89" s="125">
        <f>G89*K$1</f>
        <v>25.4</v>
      </c>
      <c r="K89" s="153">
        <f>I89*K$1</f>
        <v>25.4</v>
      </c>
      <c r="L89" s="125">
        <f t="shared" si="72"/>
        <v>2641.6</v>
      </c>
      <c r="M89" s="125">
        <f t="shared" si="73"/>
        <v>104</v>
      </c>
      <c r="N89" s="19"/>
      <c r="O89" s="19"/>
      <c r="P89" s="146"/>
      <c r="Q89" s="190"/>
      <c r="R89" s="190"/>
      <c r="S89" s="190"/>
      <c r="T89" s="190"/>
      <c r="U89" s="190"/>
      <c r="V89" s="190"/>
      <c r="W89" s="183">
        <f>J89</f>
        <v>25.4</v>
      </c>
      <c r="X89" s="183">
        <f>H89*$K$1</f>
        <v>25.4</v>
      </c>
    </row>
    <row r="90" spans="1:30" s="124" customFormat="1" ht="15.75" thickBot="1" x14ac:dyDescent="0.3">
      <c r="A90" s="122"/>
      <c r="B90" s="119">
        <f>SUM(B84:B89)</f>
        <v>158</v>
      </c>
      <c r="C90" s="119">
        <f>SUM(C84:C89)</f>
        <v>65</v>
      </c>
      <c r="D90" s="152">
        <f>SUM(D84:D89)</f>
        <v>158</v>
      </c>
      <c r="E90" s="152">
        <f>SUM(E84:E89)</f>
        <v>65</v>
      </c>
      <c r="F90" s="119"/>
      <c r="G90" s="119">
        <f t="shared" ref="G90:M90" si="75">SUM(G84:G89)</f>
        <v>288</v>
      </c>
      <c r="H90" s="119">
        <f t="shared" si="75"/>
        <v>288</v>
      </c>
      <c r="I90" s="119">
        <f t="shared" si="75"/>
        <v>223</v>
      </c>
      <c r="J90" s="120">
        <f>SUM(J84:J89)</f>
        <v>11492.41</v>
      </c>
      <c r="K90" s="119">
        <f t="shared" si="75"/>
        <v>8688.9599999999991</v>
      </c>
      <c r="L90" s="118">
        <f t="shared" si="75"/>
        <v>1195210.6400000001</v>
      </c>
      <c r="M90" s="151">
        <f t="shared" si="75"/>
        <v>23192</v>
      </c>
      <c r="N90" s="123">
        <f>'Odometro-Kilometraje'!M81</f>
        <v>12215</v>
      </c>
      <c r="O90" s="21">
        <f>(W90/N90)*100</f>
        <v>93.503806794924273</v>
      </c>
      <c r="P90" s="193"/>
      <c r="Q90" s="182"/>
      <c r="R90" s="182"/>
      <c r="S90" s="182"/>
      <c r="T90" s="182"/>
      <c r="U90" s="182"/>
      <c r="V90" s="182"/>
      <c r="W90" s="194">
        <f>SUM(W84:W89)</f>
        <v>11421.49</v>
      </c>
      <c r="X90" s="194">
        <f>SUM(X84:X89)</f>
        <v>11492.41</v>
      </c>
      <c r="Z90" s="342"/>
      <c r="AA90" s="172"/>
    </row>
    <row r="91" spans="1:30" x14ac:dyDescent="0.25">
      <c r="A91" s="121">
        <f>A84+1</f>
        <v>46035</v>
      </c>
      <c r="B91" s="299">
        <v>56</v>
      </c>
      <c r="C91" s="299">
        <v>23</v>
      </c>
      <c r="D91" s="147">
        <f>'Data Ocupacion'!AB31</f>
        <v>61</v>
      </c>
      <c r="E91" s="147">
        <f>'Data Ocupacion'!AC31</f>
        <v>20</v>
      </c>
      <c r="F91" s="125" t="s">
        <v>38</v>
      </c>
      <c r="G91" s="125">
        <f t="shared" ref="G91:G96" si="76">D91+E91*2</f>
        <v>101</v>
      </c>
      <c r="H91" s="125">
        <f>B91+C91*2</f>
        <v>102</v>
      </c>
      <c r="I91" s="125">
        <f t="shared" ref="I91:I96" si="77">D91+E91</f>
        <v>81</v>
      </c>
      <c r="J91" s="125">
        <f>G91*M$2</f>
        <v>4356.13</v>
      </c>
      <c r="K91" s="153">
        <f>I91*M$2</f>
        <v>3493.53</v>
      </c>
      <c r="L91" s="125">
        <f t="shared" ref="L91:L96" si="78">J91*104</f>
        <v>453037.52</v>
      </c>
      <c r="M91" s="125">
        <f t="shared" ref="M91:M96" si="79">I91*104</f>
        <v>8424</v>
      </c>
      <c r="N91" s="19"/>
      <c r="O91" s="19"/>
      <c r="P91" s="146"/>
      <c r="Q91" s="184">
        <v>2</v>
      </c>
      <c r="R91" s="184"/>
      <c r="S91" s="207"/>
      <c r="T91" s="288"/>
      <c r="U91" s="192"/>
      <c r="V91" s="230"/>
      <c r="W91" s="183">
        <f>J91-(Q91*($M$2-$K$1))-(R91*($M$2-$M$1))- (S91*($M$2-$I$2))+ (T91*($G$2))</f>
        <v>4320.67</v>
      </c>
      <c r="X91" s="183">
        <f>H91*$M$2</f>
        <v>4399.26</v>
      </c>
    </row>
    <row r="92" spans="1:30" ht="17.25" customHeight="1" x14ac:dyDescent="0.25">
      <c r="A92" s="374" t="s">
        <v>183</v>
      </c>
      <c r="B92" s="299">
        <v>54</v>
      </c>
      <c r="C92" s="299">
        <v>24</v>
      </c>
      <c r="D92" s="147">
        <f>'Data Ocupacion'!AB32</f>
        <v>57</v>
      </c>
      <c r="E92" s="147">
        <f>'Data Ocupacion'!AC32</f>
        <v>21</v>
      </c>
      <c r="F92" s="125" t="s">
        <v>52</v>
      </c>
      <c r="G92" s="125">
        <f t="shared" si="76"/>
        <v>99</v>
      </c>
      <c r="H92" s="125">
        <f t="shared" ref="H92:H96" si="80">B92+C92*2</f>
        <v>102</v>
      </c>
      <c r="I92" s="125">
        <f t="shared" si="77"/>
        <v>78</v>
      </c>
      <c r="J92" s="125">
        <f>G92*M$2</f>
        <v>4269.87</v>
      </c>
      <c r="K92" s="153">
        <f>I92*M$2</f>
        <v>3364.1400000000003</v>
      </c>
      <c r="L92" s="125">
        <f t="shared" si="78"/>
        <v>444066.48</v>
      </c>
      <c r="M92" s="125">
        <f t="shared" si="79"/>
        <v>8112</v>
      </c>
      <c r="N92" s="19"/>
      <c r="O92" s="19"/>
      <c r="P92" s="146"/>
      <c r="Q92" s="187"/>
      <c r="R92" s="187"/>
      <c r="S92" s="219"/>
      <c r="T92" s="184">
        <v>1</v>
      </c>
      <c r="U92" s="219"/>
      <c r="V92" s="231"/>
      <c r="W92" s="186">
        <f>J92-(T92*($M$2-$K$1)+(U92*($M$2-$M$1)))</f>
        <v>4252.1400000000003</v>
      </c>
      <c r="X92" s="183">
        <f>H92*$M$2</f>
        <v>4399.26</v>
      </c>
    </row>
    <row r="93" spans="1:30" ht="14.45" customHeight="1" x14ac:dyDescent="0.25">
      <c r="A93" s="374"/>
      <c r="B93" s="299">
        <v>33</v>
      </c>
      <c r="C93" s="299">
        <v>0</v>
      </c>
      <c r="D93" s="147">
        <f>'Data Ocupacion'!AB33</f>
        <v>21</v>
      </c>
      <c r="E93" s="147">
        <f>'Data Ocupacion'!AC33</f>
        <v>0</v>
      </c>
      <c r="F93" s="125" t="s">
        <v>36</v>
      </c>
      <c r="G93" s="125">
        <f t="shared" si="76"/>
        <v>21</v>
      </c>
      <c r="H93" s="125">
        <f t="shared" si="80"/>
        <v>33</v>
      </c>
      <c r="I93" s="125">
        <f t="shared" si="77"/>
        <v>21</v>
      </c>
      <c r="J93" s="125">
        <f>G93*M$1</f>
        <v>611.30999999999995</v>
      </c>
      <c r="K93" s="153">
        <f>I93*M$1</f>
        <v>611.30999999999995</v>
      </c>
      <c r="L93" s="125">
        <f t="shared" si="78"/>
        <v>63576.239999999991</v>
      </c>
      <c r="M93" s="125">
        <f t="shared" si="79"/>
        <v>2184</v>
      </c>
      <c r="N93" s="19"/>
      <c r="O93" s="19"/>
      <c r="P93" s="146"/>
      <c r="Q93" s="246"/>
      <c r="R93" s="191"/>
      <c r="S93" s="230"/>
      <c r="T93" s="187"/>
      <c r="U93" s="190"/>
      <c r="V93" s="190"/>
      <c r="W93" s="183">
        <f>J93-(Q93*($M$1-$K$1))</f>
        <v>611.30999999999995</v>
      </c>
      <c r="X93" s="183">
        <f>H93*$M$1</f>
        <v>960.63</v>
      </c>
    </row>
    <row r="94" spans="1:30" ht="15" customHeight="1" x14ac:dyDescent="0.25">
      <c r="A94" s="374"/>
      <c r="B94" s="299">
        <v>32</v>
      </c>
      <c r="C94" s="299">
        <v>0</v>
      </c>
      <c r="D94" s="147">
        <f>'Data Ocupacion'!AB34</f>
        <v>22</v>
      </c>
      <c r="E94" s="147">
        <f>'Data Ocupacion'!AC34</f>
        <v>0</v>
      </c>
      <c r="F94" s="125" t="s">
        <v>53</v>
      </c>
      <c r="G94" s="125">
        <f t="shared" si="76"/>
        <v>22</v>
      </c>
      <c r="H94" s="125">
        <f t="shared" si="80"/>
        <v>32</v>
      </c>
      <c r="I94" s="125">
        <f t="shared" si="77"/>
        <v>22</v>
      </c>
      <c r="J94" s="125">
        <f>G94*M$1</f>
        <v>640.41999999999996</v>
      </c>
      <c r="K94" s="153">
        <f>I94*M$1</f>
        <v>640.41999999999996</v>
      </c>
      <c r="L94" s="125">
        <f t="shared" si="78"/>
        <v>66603.679999999993</v>
      </c>
      <c r="M94" s="125">
        <f t="shared" si="79"/>
        <v>2288</v>
      </c>
      <c r="N94" s="19"/>
      <c r="O94" s="19"/>
      <c r="P94" s="146"/>
      <c r="Q94" s="190"/>
      <c r="R94" s="190"/>
      <c r="S94" s="190"/>
      <c r="T94" s="190"/>
      <c r="U94" s="190"/>
      <c r="V94" s="190"/>
      <c r="W94" s="183">
        <f>J94</f>
        <v>640.41999999999996</v>
      </c>
      <c r="X94" s="183">
        <f>H94*$M$1</f>
        <v>931.52</v>
      </c>
    </row>
    <row r="95" spans="1:30" ht="15" customHeight="1" x14ac:dyDescent="0.25">
      <c r="A95" s="374"/>
      <c r="B95" s="299">
        <v>0</v>
      </c>
      <c r="C95" s="299">
        <v>0</v>
      </c>
      <c r="D95" s="126">
        <f>'Data Ocupacion'!AB35</f>
        <v>0</v>
      </c>
      <c r="E95" s="126">
        <f>'Data Ocupacion'!AC35</f>
        <v>0</v>
      </c>
      <c r="F95" s="125" t="s">
        <v>122</v>
      </c>
      <c r="G95" s="125">
        <f t="shared" si="76"/>
        <v>0</v>
      </c>
      <c r="H95" s="125">
        <f t="shared" si="80"/>
        <v>0</v>
      </c>
      <c r="I95" s="125">
        <f t="shared" si="77"/>
        <v>0</v>
      </c>
      <c r="J95" s="125">
        <f>G95*K$1</f>
        <v>0</v>
      </c>
      <c r="K95" s="153">
        <f>I95*K$1</f>
        <v>0</v>
      </c>
      <c r="L95" s="125">
        <f t="shared" si="78"/>
        <v>0</v>
      </c>
      <c r="M95" s="125">
        <f t="shared" si="79"/>
        <v>0</v>
      </c>
      <c r="N95" s="19"/>
      <c r="O95" s="19"/>
      <c r="P95" s="146"/>
      <c r="Q95" s="190"/>
      <c r="R95" s="190"/>
      <c r="S95" s="190"/>
      <c r="T95" s="190"/>
      <c r="U95" s="190"/>
      <c r="V95" s="190"/>
      <c r="W95" s="183">
        <f>J95</f>
        <v>0</v>
      </c>
      <c r="X95" s="183">
        <f>H95*$K$1</f>
        <v>0</v>
      </c>
      <c r="AB95" s="124"/>
    </row>
    <row r="96" spans="1:30" ht="15.75" thickBot="1" x14ac:dyDescent="0.3">
      <c r="A96" s="375"/>
      <c r="B96" s="299">
        <v>1</v>
      </c>
      <c r="C96" s="299">
        <v>0</v>
      </c>
      <c r="D96" s="126">
        <f>'Data Ocupacion'!AB36</f>
        <v>1</v>
      </c>
      <c r="E96" s="126">
        <f>'Data Ocupacion'!AC36</f>
        <v>0</v>
      </c>
      <c r="F96" s="125" t="s">
        <v>35</v>
      </c>
      <c r="G96" s="125">
        <f t="shared" si="76"/>
        <v>1</v>
      </c>
      <c r="H96" s="125">
        <f t="shared" si="80"/>
        <v>1</v>
      </c>
      <c r="I96" s="125">
        <f t="shared" si="77"/>
        <v>1</v>
      </c>
      <c r="J96" s="125">
        <f>G96*K$1</f>
        <v>25.4</v>
      </c>
      <c r="K96" s="153">
        <f>I96*K$1</f>
        <v>25.4</v>
      </c>
      <c r="L96" s="125">
        <f t="shared" si="78"/>
        <v>2641.6</v>
      </c>
      <c r="M96" s="125">
        <f t="shared" si="79"/>
        <v>104</v>
      </c>
      <c r="N96" s="19"/>
      <c r="O96" s="19"/>
      <c r="P96" s="146"/>
      <c r="Q96" s="190"/>
      <c r="R96" s="190"/>
      <c r="S96" s="190"/>
      <c r="T96" s="190"/>
      <c r="U96" s="190"/>
      <c r="V96" s="190"/>
      <c r="W96" s="183">
        <f>J96</f>
        <v>25.4</v>
      </c>
      <c r="X96" s="183">
        <f>H96*$K$1</f>
        <v>25.4</v>
      </c>
    </row>
    <row r="97" spans="1:30" s="124" customFormat="1" ht="15.75" thickBot="1" x14ac:dyDescent="0.3">
      <c r="A97" s="20"/>
      <c r="B97" s="119">
        <f>SUM(B91:B96)</f>
        <v>176</v>
      </c>
      <c r="C97" s="119">
        <f>SUM(C91:C96)</f>
        <v>47</v>
      </c>
      <c r="D97" s="152">
        <f>SUM(D91:D96)</f>
        <v>162</v>
      </c>
      <c r="E97" s="152">
        <f>SUM(E91:E96)</f>
        <v>41</v>
      </c>
      <c r="F97" s="119"/>
      <c r="G97" s="119">
        <f t="shared" ref="G97:M97" si="81">SUM(G91:G96)</f>
        <v>244</v>
      </c>
      <c r="H97" s="119">
        <f t="shared" si="81"/>
        <v>270</v>
      </c>
      <c r="I97" s="119">
        <f t="shared" si="81"/>
        <v>203</v>
      </c>
      <c r="J97" s="120">
        <f>SUM(J91:J96)</f>
        <v>9903.1299999999992</v>
      </c>
      <c r="K97" s="119">
        <f t="shared" si="81"/>
        <v>8134.7999999999993</v>
      </c>
      <c r="L97" s="118">
        <f t="shared" si="81"/>
        <v>1029925.5199999999</v>
      </c>
      <c r="M97" s="151">
        <f t="shared" si="81"/>
        <v>21112</v>
      </c>
      <c r="N97" s="123">
        <f>'Odometro-Kilometraje'!N81</f>
        <v>10392</v>
      </c>
      <c r="O97" s="21">
        <f>(W97/N97)*100</f>
        <v>94.783872209391845</v>
      </c>
      <c r="P97" s="193"/>
      <c r="Q97" s="251"/>
      <c r="R97" s="251"/>
      <c r="S97" s="251"/>
      <c r="T97" s="251"/>
      <c r="U97" s="182"/>
      <c r="V97" s="182"/>
      <c r="W97" s="194">
        <f>SUM(W91:W96)</f>
        <v>9849.94</v>
      </c>
      <c r="X97" s="194">
        <f>SUM(X91:X96)</f>
        <v>10716.07</v>
      </c>
      <c r="Z97" s="342"/>
    </row>
    <row r="98" spans="1:30" ht="17.25" customHeight="1" x14ac:dyDescent="0.25">
      <c r="A98" s="60">
        <f>A91+1</f>
        <v>46036</v>
      </c>
      <c r="B98" s="299">
        <v>56</v>
      </c>
      <c r="C98" s="299">
        <v>23</v>
      </c>
      <c r="D98" s="126">
        <f>'Data Ocupacion'!AD31</f>
        <v>56</v>
      </c>
      <c r="E98" s="126">
        <f>'Data Ocupacion'!AE31</f>
        <v>23</v>
      </c>
      <c r="F98" s="125" t="s">
        <v>38</v>
      </c>
      <c r="G98" s="125">
        <f t="shared" ref="G98:G103" si="82">D98+E98*2</f>
        <v>102</v>
      </c>
      <c r="H98" s="125">
        <f>B98+C98*2</f>
        <v>102</v>
      </c>
      <c r="I98" s="125">
        <f t="shared" ref="I98:I103" si="83">D98+E98</f>
        <v>79</v>
      </c>
      <c r="J98" s="125">
        <f>G98*M$2</f>
        <v>4399.26</v>
      </c>
      <c r="K98" s="153">
        <f>I98*M$2</f>
        <v>3407.27</v>
      </c>
      <c r="L98" s="125">
        <f t="shared" ref="L98:L103" si="84">J98*104</f>
        <v>457523.04000000004</v>
      </c>
      <c r="M98" s="125">
        <f t="shared" ref="M98:M103" si="85">I98*104</f>
        <v>8216</v>
      </c>
      <c r="N98" s="19"/>
      <c r="O98" s="19"/>
      <c r="P98" s="146"/>
      <c r="Q98" s="184">
        <v>3</v>
      </c>
      <c r="R98" s="184"/>
      <c r="S98" s="207"/>
      <c r="T98" s="288"/>
      <c r="U98" s="192"/>
      <c r="V98" s="230"/>
      <c r="W98" s="183">
        <f>J98-(Q98*($M$2-$K$1))-(R98*($M$2-$M$1))- (S98*($M$2-$I$2))+ (T98*($G$2))</f>
        <v>4346.0700000000006</v>
      </c>
      <c r="X98" s="183">
        <f>H98*$M$2</f>
        <v>4399.26</v>
      </c>
    </row>
    <row r="99" spans="1:30" ht="15" customHeight="1" x14ac:dyDescent="0.25">
      <c r="A99" s="279"/>
      <c r="B99" s="299">
        <v>54</v>
      </c>
      <c r="C99" s="299">
        <v>24</v>
      </c>
      <c r="D99" s="126">
        <f>'Data Ocupacion'!AD32</f>
        <v>54</v>
      </c>
      <c r="E99" s="126">
        <f>'Data Ocupacion'!AE32</f>
        <v>24</v>
      </c>
      <c r="F99" s="125" t="s">
        <v>52</v>
      </c>
      <c r="G99" s="125">
        <f t="shared" si="82"/>
        <v>102</v>
      </c>
      <c r="H99" s="125">
        <f t="shared" ref="H99:H103" si="86">B99+C99*2</f>
        <v>102</v>
      </c>
      <c r="I99" s="125">
        <f t="shared" si="83"/>
        <v>78</v>
      </c>
      <c r="J99" s="125">
        <f>G99*M$2</f>
        <v>4399.26</v>
      </c>
      <c r="K99" s="153">
        <f>I99*M$2</f>
        <v>3364.1400000000003</v>
      </c>
      <c r="L99" s="125">
        <f t="shared" si="84"/>
        <v>457523.04000000004</v>
      </c>
      <c r="M99" s="125">
        <f t="shared" si="85"/>
        <v>8112</v>
      </c>
      <c r="N99" s="19"/>
      <c r="O99" s="19"/>
      <c r="P99" s="146"/>
      <c r="Q99" s="187"/>
      <c r="R99" s="187"/>
      <c r="S99" s="219"/>
      <c r="T99" s="184">
        <v>6</v>
      </c>
      <c r="U99" s="219"/>
      <c r="V99" s="207"/>
      <c r="W99" s="186">
        <f>J99-(T99*($M$2-$K$1)+(U99*($M$2-$M$1)))</f>
        <v>4292.88</v>
      </c>
      <c r="X99" s="183">
        <f>H99*$M$2</f>
        <v>4399.26</v>
      </c>
    </row>
    <row r="100" spans="1:30" ht="15" customHeight="1" x14ac:dyDescent="0.25">
      <c r="A100" s="255"/>
      <c r="B100" s="299">
        <v>33</v>
      </c>
      <c r="C100" s="299">
        <v>0</v>
      </c>
      <c r="D100" s="126">
        <f>'Data Ocupacion'!AD33</f>
        <v>33</v>
      </c>
      <c r="E100" s="126">
        <f>'Data Ocupacion'!AE33</f>
        <v>0</v>
      </c>
      <c r="F100" s="125" t="s">
        <v>36</v>
      </c>
      <c r="G100" s="125">
        <f t="shared" si="82"/>
        <v>33</v>
      </c>
      <c r="H100" s="125">
        <f t="shared" si="86"/>
        <v>33</v>
      </c>
      <c r="I100" s="125">
        <f t="shared" si="83"/>
        <v>33</v>
      </c>
      <c r="J100" s="125">
        <f>G100*M$1</f>
        <v>960.63</v>
      </c>
      <c r="K100" s="153">
        <f>I100*M$1</f>
        <v>960.63</v>
      </c>
      <c r="L100" s="125">
        <f t="shared" si="84"/>
        <v>99905.52</v>
      </c>
      <c r="M100" s="125">
        <f t="shared" si="85"/>
        <v>3432</v>
      </c>
      <c r="N100" s="19"/>
      <c r="O100" s="19"/>
      <c r="P100" s="146"/>
      <c r="Q100" s="246"/>
      <c r="R100" s="191"/>
      <c r="S100" s="230"/>
      <c r="T100" s="187"/>
      <c r="U100" s="190"/>
      <c r="V100" s="190"/>
      <c r="W100" s="183">
        <f>J100-(Q100*($M$1-$K$1))</f>
        <v>960.63</v>
      </c>
      <c r="X100" s="183">
        <f>H100*$M$1</f>
        <v>960.63</v>
      </c>
    </row>
    <row r="101" spans="1:30" ht="15" customHeight="1" x14ac:dyDescent="0.25">
      <c r="A101" s="255"/>
      <c r="B101" s="299">
        <v>32</v>
      </c>
      <c r="C101" s="299">
        <v>0</v>
      </c>
      <c r="D101" s="126">
        <f>'Data Ocupacion'!AD34</f>
        <v>32</v>
      </c>
      <c r="E101" s="126">
        <f>'Data Ocupacion'!AE34</f>
        <v>0</v>
      </c>
      <c r="F101" s="125" t="s">
        <v>53</v>
      </c>
      <c r="G101" s="125">
        <f t="shared" si="82"/>
        <v>32</v>
      </c>
      <c r="H101" s="125">
        <f t="shared" si="86"/>
        <v>32</v>
      </c>
      <c r="I101" s="125">
        <f t="shared" si="83"/>
        <v>32</v>
      </c>
      <c r="J101" s="125">
        <f>G101*M$1</f>
        <v>931.52</v>
      </c>
      <c r="K101" s="153">
        <f>I101*M$1</f>
        <v>931.52</v>
      </c>
      <c r="L101" s="125">
        <f t="shared" si="84"/>
        <v>96878.080000000002</v>
      </c>
      <c r="M101" s="125">
        <f t="shared" si="85"/>
        <v>3328</v>
      </c>
      <c r="N101" s="19"/>
      <c r="O101" s="19"/>
      <c r="P101" s="146"/>
      <c r="Q101" s="190"/>
      <c r="R101" s="190"/>
      <c r="S101" s="190"/>
      <c r="T101" s="190"/>
      <c r="U101" s="190"/>
      <c r="V101" s="190"/>
      <c r="W101" s="183">
        <f>J101</f>
        <v>931.52</v>
      </c>
      <c r="X101" s="183">
        <f>H101*$M$1</f>
        <v>931.52</v>
      </c>
    </row>
    <row r="102" spans="1:30" ht="15" customHeight="1" x14ac:dyDescent="0.25">
      <c r="A102" s="255"/>
      <c r="B102" s="299">
        <v>0</v>
      </c>
      <c r="C102" s="299">
        <v>0</v>
      </c>
      <c r="D102" s="126">
        <f>'Data Ocupacion'!AD35</f>
        <v>0</v>
      </c>
      <c r="E102" s="126">
        <f>'Data Ocupacion'!AE35</f>
        <v>0</v>
      </c>
      <c r="F102" s="125" t="s">
        <v>122</v>
      </c>
      <c r="G102" s="125">
        <f t="shared" si="82"/>
        <v>0</v>
      </c>
      <c r="H102" s="125">
        <f t="shared" si="86"/>
        <v>0</v>
      </c>
      <c r="I102" s="125">
        <f t="shared" si="83"/>
        <v>0</v>
      </c>
      <c r="J102" s="125">
        <f>G102*K$1</f>
        <v>0</v>
      </c>
      <c r="K102" s="153">
        <f>I102*K$1</f>
        <v>0</v>
      </c>
      <c r="L102" s="125">
        <f t="shared" si="84"/>
        <v>0</v>
      </c>
      <c r="M102" s="125">
        <f t="shared" si="85"/>
        <v>0</v>
      </c>
      <c r="N102" s="19"/>
      <c r="O102" s="19"/>
      <c r="P102" s="146"/>
      <c r="Q102" s="190"/>
      <c r="R102" s="190"/>
      <c r="S102" s="190"/>
      <c r="T102" s="190"/>
      <c r="U102" s="190"/>
      <c r="V102" s="190"/>
      <c r="W102" s="183">
        <f>J102</f>
        <v>0</v>
      </c>
      <c r="X102" s="183">
        <f>H102*$K$1</f>
        <v>0</v>
      </c>
    </row>
    <row r="103" spans="1:30" ht="15" customHeight="1" thickBot="1" x14ac:dyDescent="0.3">
      <c r="A103" s="255"/>
      <c r="B103" s="299">
        <v>1</v>
      </c>
      <c r="C103" s="299">
        <v>0</v>
      </c>
      <c r="D103" s="126">
        <f>'Data Ocupacion'!AD36</f>
        <v>1</v>
      </c>
      <c r="E103" s="126">
        <f>'Data Ocupacion'!AE36</f>
        <v>0</v>
      </c>
      <c r="F103" s="125" t="s">
        <v>35</v>
      </c>
      <c r="G103" s="125">
        <f t="shared" si="82"/>
        <v>1</v>
      </c>
      <c r="H103" s="125">
        <f t="shared" si="86"/>
        <v>1</v>
      </c>
      <c r="I103" s="125">
        <f t="shared" si="83"/>
        <v>1</v>
      </c>
      <c r="J103" s="125">
        <f>G103*K$1</f>
        <v>25.4</v>
      </c>
      <c r="K103" s="153">
        <f>I103*K$1</f>
        <v>25.4</v>
      </c>
      <c r="L103" s="125">
        <f t="shared" si="84"/>
        <v>2641.6</v>
      </c>
      <c r="M103" s="125">
        <f t="shared" si="85"/>
        <v>104</v>
      </c>
      <c r="N103" s="19"/>
      <c r="O103" s="19"/>
      <c r="P103" s="146"/>
      <c r="Q103" s="190"/>
      <c r="R103" s="190"/>
      <c r="S103" s="190"/>
      <c r="T103" s="190"/>
      <c r="U103" s="190"/>
      <c r="V103" s="190"/>
      <c r="W103" s="183">
        <f>J103</f>
        <v>25.4</v>
      </c>
      <c r="X103" s="183">
        <f>H103*$K$1</f>
        <v>25.4</v>
      </c>
    </row>
    <row r="104" spans="1:30" s="124" customFormat="1" ht="15" customHeight="1" thickBot="1" x14ac:dyDescent="0.3">
      <c r="A104" s="20"/>
      <c r="B104" s="119">
        <f>SUM(B98:B103)</f>
        <v>176</v>
      </c>
      <c r="C104" s="119">
        <f>SUM(C98:C103)</f>
        <v>47</v>
      </c>
      <c r="D104" s="152">
        <f>SUM(D98:D103)</f>
        <v>176</v>
      </c>
      <c r="E104" s="152">
        <f>SUM(E98:E103)</f>
        <v>47</v>
      </c>
      <c r="F104" s="119"/>
      <c r="G104" s="119">
        <f t="shared" ref="G104:M104" si="87">SUM(G98:G103)</f>
        <v>270</v>
      </c>
      <c r="H104" s="119">
        <f t="shared" si="87"/>
        <v>270</v>
      </c>
      <c r="I104" s="119">
        <f t="shared" si="87"/>
        <v>223</v>
      </c>
      <c r="J104" s="120">
        <f>SUM(J98:J103)</f>
        <v>10716.07</v>
      </c>
      <c r="K104" s="119">
        <f t="shared" si="87"/>
        <v>8688.9599999999991</v>
      </c>
      <c r="L104" s="118">
        <f t="shared" si="87"/>
        <v>1114471.2800000003</v>
      </c>
      <c r="M104" s="151">
        <f t="shared" si="87"/>
        <v>23192</v>
      </c>
      <c r="N104" s="123">
        <f>'Odometro-Kilometraje'!O81</f>
        <v>11104</v>
      </c>
      <c r="O104" s="21">
        <f>(W104/N104)*100</f>
        <v>95.06934438040345</v>
      </c>
      <c r="P104" s="193"/>
      <c r="Q104" s="182"/>
      <c r="R104" s="182"/>
      <c r="S104" s="182"/>
      <c r="T104" s="182"/>
      <c r="U104" s="182"/>
      <c r="V104" s="182"/>
      <c r="W104" s="194">
        <f>SUM(W98:W103)</f>
        <v>10556.5</v>
      </c>
      <c r="X104" s="194">
        <f>SUM(X98:X103)</f>
        <v>10716.07</v>
      </c>
      <c r="Z104" s="342"/>
      <c r="AA104" s="172"/>
      <c r="AD104"/>
    </row>
    <row r="105" spans="1:30" ht="15.95" customHeight="1" x14ac:dyDescent="0.25">
      <c r="A105" s="60">
        <f>A98+1</f>
        <v>46037</v>
      </c>
      <c r="B105" s="299">
        <v>56</v>
      </c>
      <c r="C105" s="299">
        <v>23</v>
      </c>
      <c r="D105" s="126">
        <f>'Data Ocupacion'!AF31</f>
        <v>56</v>
      </c>
      <c r="E105" s="126">
        <f>'Data Ocupacion'!AG31</f>
        <v>23</v>
      </c>
      <c r="F105" s="125" t="s">
        <v>38</v>
      </c>
      <c r="G105" s="125">
        <f t="shared" ref="G105:G110" si="88">D105+E105*2</f>
        <v>102</v>
      </c>
      <c r="H105" s="125">
        <f>B105+C105*2</f>
        <v>102</v>
      </c>
      <c r="I105" s="125">
        <f t="shared" ref="I105:I110" si="89">D105+E105</f>
        <v>79</v>
      </c>
      <c r="J105" s="125">
        <f>G105*M$2</f>
        <v>4399.26</v>
      </c>
      <c r="K105" s="153">
        <f>I105*M$2</f>
        <v>3407.27</v>
      </c>
      <c r="L105" s="125">
        <f t="shared" ref="L105:L110" si="90">J105*104</f>
        <v>457523.04000000004</v>
      </c>
      <c r="M105" s="125">
        <f t="shared" ref="M105:M110" si="91">I105*104</f>
        <v>8216</v>
      </c>
      <c r="N105" s="19"/>
      <c r="O105" s="19"/>
      <c r="P105" s="146"/>
      <c r="Q105" s="246">
        <v>4</v>
      </c>
      <c r="R105" s="184"/>
      <c r="S105" s="207"/>
      <c r="T105" s="191"/>
      <c r="U105" s="192"/>
      <c r="V105" s="230"/>
      <c r="W105" s="183">
        <f>J105-(Q105*($M$2-$K$1))-(R105*($M$2-$M$1))- (S105*($M$2-$I$2))+ (T105*($G$2))</f>
        <v>4328.34</v>
      </c>
      <c r="X105" s="183">
        <f>H105*$M$2</f>
        <v>4399.26</v>
      </c>
    </row>
    <row r="106" spans="1:30" ht="15" customHeight="1" x14ac:dyDescent="0.25">
      <c r="A106" s="279"/>
      <c r="B106" s="299">
        <v>54</v>
      </c>
      <c r="C106" s="299">
        <v>24</v>
      </c>
      <c r="D106" s="126">
        <f>'Data Ocupacion'!AF32</f>
        <v>54</v>
      </c>
      <c r="E106" s="126">
        <f>'Data Ocupacion'!AG32</f>
        <v>24</v>
      </c>
      <c r="F106" s="125" t="s">
        <v>52</v>
      </c>
      <c r="G106" s="125">
        <f t="shared" si="88"/>
        <v>102</v>
      </c>
      <c r="H106" s="125">
        <f t="shared" ref="H106:H110" si="92">B106+C106*2</f>
        <v>102</v>
      </c>
      <c r="I106" s="125">
        <f t="shared" si="89"/>
        <v>78</v>
      </c>
      <c r="J106" s="125">
        <f>G106*M$2</f>
        <v>4399.26</v>
      </c>
      <c r="K106" s="153">
        <f>I106*M$2</f>
        <v>3364.1400000000003</v>
      </c>
      <c r="L106" s="125">
        <f t="shared" si="90"/>
        <v>457523.04000000004</v>
      </c>
      <c r="M106" s="125">
        <f t="shared" si="91"/>
        <v>8112</v>
      </c>
      <c r="N106" s="19"/>
      <c r="O106" s="19"/>
      <c r="P106" s="146"/>
      <c r="Q106" s="187"/>
      <c r="R106" s="187"/>
      <c r="S106" s="187"/>
      <c r="T106" s="241">
        <v>3</v>
      </c>
      <c r="U106" s="185"/>
      <c r="V106" s="231"/>
      <c r="W106" s="186">
        <f>J106-(T106*($M$2-$K$1)+(U106*($M$2-$M$1)))</f>
        <v>4346.0700000000006</v>
      </c>
      <c r="X106" s="183">
        <f>H106*$M$2</f>
        <v>4399.26</v>
      </c>
    </row>
    <row r="107" spans="1:30" ht="14.25" customHeight="1" x14ac:dyDescent="0.25">
      <c r="A107" s="279"/>
      <c r="B107" s="299">
        <v>33</v>
      </c>
      <c r="C107" s="299">
        <v>0</v>
      </c>
      <c r="D107" s="126">
        <f>'Data Ocupacion'!AF33</f>
        <v>33</v>
      </c>
      <c r="E107" s="126">
        <f>'Data Ocupacion'!AG33</f>
        <v>0</v>
      </c>
      <c r="F107" s="125" t="s">
        <v>36</v>
      </c>
      <c r="G107" s="125">
        <f t="shared" si="88"/>
        <v>33</v>
      </c>
      <c r="H107" s="125">
        <f t="shared" si="92"/>
        <v>33</v>
      </c>
      <c r="I107" s="125">
        <f t="shared" si="89"/>
        <v>33</v>
      </c>
      <c r="J107" s="125">
        <f>G107*M$1</f>
        <v>960.63</v>
      </c>
      <c r="K107" s="153">
        <f>I107*M$1</f>
        <v>960.63</v>
      </c>
      <c r="L107" s="125">
        <f t="shared" si="90"/>
        <v>99905.52</v>
      </c>
      <c r="M107" s="125">
        <f t="shared" si="91"/>
        <v>3432</v>
      </c>
      <c r="N107" s="19"/>
      <c r="O107" s="19"/>
      <c r="P107" s="146"/>
      <c r="Q107" s="246"/>
      <c r="R107" s="188"/>
      <c r="S107" s="208"/>
      <c r="T107" s="189"/>
      <c r="U107" s="190"/>
      <c r="V107" s="190"/>
      <c r="W107" s="183">
        <f>J107-(Q107*($M$1-$K$1))</f>
        <v>960.63</v>
      </c>
      <c r="X107" s="183">
        <f>H107*$M$1</f>
        <v>960.63</v>
      </c>
    </row>
    <row r="108" spans="1:30" ht="15" customHeight="1" x14ac:dyDescent="0.25">
      <c r="A108" s="279"/>
      <c r="B108" s="299">
        <v>32</v>
      </c>
      <c r="C108" s="299">
        <v>0</v>
      </c>
      <c r="D108" s="126">
        <f>'Data Ocupacion'!AF34</f>
        <v>32</v>
      </c>
      <c r="E108" s="126">
        <f>'Data Ocupacion'!AG34</f>
        <v>0</v>
      </c>
      <c r="F108" s="125" t="s">
        <v>53</v>
      </c>
      <c r="G108" s="125">
        <f t="shared" si="88"/>
        <v>32</v>
      </c>
      <c r="H108" s="125">
        <f t="shared" si="92"/>
        <v>32</v>
      </c>
      <c r="I108" s="125">
        <f t="shared" si="89"/>
        <v>32</v>
      </c>
      <c r="J108" s="125">
        <f>G108*M$1</f>
        <v>931.52</v>
      </c>
      <c r="K108" s="153">
        <f>I108*M$1</f>
        <v>931.52</v>
      </c>
      <c r="L108" s="125">
        <f t="shared" si="90"/>
        <v>96878.080000000002</v>
      </c>
      <c r="M108" s="125">
        <f t="shared" si="91"/>
        <v>3328</v>
      </c>
      <c r="N108" s="19"/>
      <c r="O108" s="19"/>
      <c r="P108" s="146"/>
      <c r="Q108" s="190"/>
      <c r="R108" s="190"/>
      <c r="S108" s="190"/>
      <c r="T108" s="190"/>
      <c r="U108" s="190"/>
      <c r="V108" s="190"/>
      <c r="W108" s="183">
        <f>J108</f>
        <v>931.52</v>
      </c>
      <c r="X108" s="183">
        <f>H108*$M$1</f>
        <v>931.52</v>
      </c>
    </row>
    <row r="109" spans="1:30" ht="15" customHeight="1" x14ac:dyDescent="0.25">
      <c r="A109" s="279"/>
      <c r="B109" s="299">
        <v>0</v>
      </c>
      <c r="C109" s="299">
        <v>0</v>
      </c>
      <c r="D109" s="126">
        <f>'Data Ocupacion'!AF35</f>
        <v>0</v>
      </c>
      <c r="E109" s="126">
        <f>'Data Ocupacion'!AG35</f>
        <v>0</v>
      </c>
      <c r="F109" s="125" t="s">
        <v>122</v>
      </c>
      <c r="G109" s="125">
        <f t="shared" si="88"/>
        <v>0</v>
      </c>
      <c r="H109" s="125">
        <f t="shared" si="92"/>
        <v>0</v>
      </c>
      <c r="I109" s="125">
        <f t="shared" si="89"/>
        <v>0</v>
      </c>
      <c r="J109" s="125">
        <f>G109*K$1</f>
        <v>0</v>
      </c>
      <c r="K109" s="153">
        <f>I109*K$1</f>
        <v>0</v>
      </c>
      <c r="L109" s="125">
        <f t="shared" si="90"/>
        <v>0</v>
      </c>
      <c r="M109" s="125">
        <f t="shared" si="91"/>
        <v>0</v>
      </c>
      <c r="N109" s="19"/>
      <c r="O109" s="19"/>
      <c r="P109" s="146"/>
      <c r="Q109" s="190"/>
      <c r="R109" s="190"/>
      <c r="S109" s="190"/>
      <c r="T109" s="190"/>
      <c r="U109" s="190"/>
      <c r="V109" s="190"/>
      <c r="W109" s="183">
        <f>J109</f>
        <v>0</v>
      </c>
      <c r="X109" s="183">
        <f>H109*$K$1</f>
        <v>0</v>
      </c>
    </row>
    <row r="110" spans="1:30" ht="15" customHeight="1" thickBot="1" x14ac:dyDescent="0.3">
      <c r="A110" s="279"/>
      <c r="B110" s="299">
        <v>1</v>
      </c>
      <c r="C110" s="299">
        <v>0</v>
      </c>
      <c r="D110" s="126">
        <f>'Data Ocupacion'!AF36</f>
        <v>1</v>
      </c>
      <c r="E110" s="126">
        <f>'Data Ocupacion'!AG36</f>
        <v>0</v>
      </c>
      <c r="F110" s="125" t="s">
        <v>35</v>
      </c>
      <c r="G110" s="125">
        <f t="shared" si="88"/>
        <v>1</v>
      </c>
      <c r="H110" s="125">
        <f t="shared" si="92"/>
        <v>1</v>
      </c>
      <c r="I110" s="125">
        <f t="shared" si="89"/>
        <v>1</v>
      </c>
      <c r="J110" s="125">
        <f>G110*K$1</f>
        <v>25.4</v>
      </c>
      <c r="K110" s="153">
        <f>I110*K$1</f>
        <v>25.4</v>
      </c>
      <c r="L110" s="125">
        <f t="shared" si="90"/>
        <v>2641.6</v>
      </c>
      <c r="M110" s="125">
        <f t="shared" si="91"/>
        <v>104</v>
      </c>
      <c r="N110" s="19"/>
      <c r="O110" s="19"/>
      <c r="P110" s="146"/>
      <c r="Q110" s="190"/>
      <c r="R110" s="190"/>
      <c r="S110" s="190"/>
      <c r="T110" s="190"/>
      <c r="U110" s="190"/>
      <c r="V110" s="190"/>
      <c r="W110" s="183">
        <f>J110</f>
        <v>25.4</v>
      </c>
      <c r="X110" s="183">
        <f>H110*$K$1</f>
        <v>25.4</v>
      </c>
    </row>
    <row r="111" spans="1:30" s="124" customFormat="1" ht="15" customHeight="1" thickBot="1" x14ac:dyDescent="0.3">
      <c r="A111" s="20"/>
      <c r="B111" s="119">
        <f>SUM(B105:B110)</f>
        <v>176</v>
      </c>
      <c r="C111" s="119">
        <f>SUM(C105:C110)</f>
        <v>47</v>
      </c>
      <c r="D111" s="152">
        <f>SUM(D105:D110)</f>
        <v>176</v>
      </c>
      <c r="E111" s="152">
        <f>SUM(E105:E110)</f>
        <v>47</v>
      </c>
      <c r="F111" s="119"/>
      <c r="G111" s="119">
        <f t="shared" ref="G111:M111" si="93">SUM(G105:G110)</f>
        <v>270</v>
      </c>
      <c r="H111" s="119">
        <f t="shared" si="93"/>
        <v>270</v>
      </c>
      <c r="I111" s="119">
        <f t="shared" si="93"/>
        <v>223</v>
      </c>
      <c r="J111" s="120">
        <f>SUM(J105:J110)</f>
        <v>10716.07</v>
      </c>
      <c r="K111" s="119">
        <f t="shared" si="93"/>
        <v>8688.9599999999991</v>
      </c>
      <c r="L111" s="118">
        <f t="shared" si="93"/>
        <v>1114471.2800000003</v>
      </c>
      <c r="M111" s="151">
        <f t="shared" si="93"/>
        <v>23192</v>
      </c>
      <c r="N111" s="123">
        <f>'Odometro-Kilometraje'!P81</f>
        <v>11137</v>
      </c>
      <c r="O111" s="21">
        <f>(W111/N111)*100</f>
        <v>95.106042919996398</v>
      </c>
      <c r="P111" s="193"/>
      <c r="Q111" s="182"/>
      <c r="R111" s="182"/>
      <c r="S111" s="182"/>
      <c r="T111" s="182"/>
      <c r="U111" s="182"/>
      <c r="V111" s="182"/>
      <c r="W111" s="194">
        <f>SUM(W105:W110)</f>
        <v>10591.96</v>
      </c>
      <c r="X111" s="194">
        <f>SUM(X105:X110)</f>
        <v>10716.07</v>
      </c>
      <c r="Z111" s="342"/>
    </row>
    <row r="112" spans="1:30" ht="15.95" customHeight="1" x14ac:dyDescent="0.25">
      <c r="A112" s="60">
        <f>A105+1</f>
        <v>46038</v>
      </c>
      <c r="B112" s="299">
        <v>56</v>
      </c>
      <c r="C112" s="299">
        <v>23</v>
      </c>
      <c r="D112" s="126">
        <f>'Data Ocupacion'!AH31</f>
        <v>57</v>
      </c>
      <c r="E112" s="126">
        <f>'Data Ocupacion'!AI31</f>
        <v>22</v>
      </c>
      <c r="F112" s="222" t="s">
        <v>38</v>
      </c>
      <c r="G112" s="223">
        <f t="shared" ref="G112:G117" si="94">D112+E112*2</f>
        <v>101</v>
      </c>
      <c r="H112" s="125">
        <f>B112+C112*2</f>
        <v>102</v>
      </c>
      <c r="I112" s="224">
        <f t="shared" ref="I112:I117" si="95">D112+E112</f>
        <v>79</v>
      </c>
      <c r="J112" s="224">
        <f>G112*M$2</f>
        <v>4356.13</v>
      </c>
      <c r="K112" s="153">
        <f>I112*M$2</f>
        <v>3407.27</v>
      </c>
      <c r="L112" s="125">
        <f t="shared" ref="L112:L117" si="96">J112*104</f>
        <v>453037.52</v>
      </c>
      <c r="M112" s="125">
        <f t="shared" ref="M112:M117" si="97">I112*104</f>
        <v>8216</v>
      </c>
      <c r="N112" s="19"/>
      <c r="O112" s="19"/>
      <c r="P112" s="146"/>
      <c r="Q112" s="184">
        <v>3</v>
      </c>
      <c r="R112" s="184"/>
      <c r="S112" s="207"/>
      <c r="T112" s="246"/>
      <c r="U112" s="192"/>
      <c r="V112" s="230"/>
      <c r="W112" s="183">
        <f>J112-(Q112*($M$2-$K$1))-(R112*($M$2-$M$1))- (S112*($M$2-$I$2))+ (T112*($G$2))</f>
        <v>4302.9400000000005</v>
      </c>
      <c r="X112" s="183">
        <f>H112*$M$2</f>
        <v>4399.26</v>
      </c>
    </row>
    <row r="113" spans="1:26" ht="15" customHeight="1" x14ac:dyDescent="0.25">
      <c r="A113" s="203"/>
      <c r="B113" s="299">
        <v>54</v>
      </c>
      <c r="C113" s="299">
        <v>24</v>
      </c>
      <c r="D113" s="126">
        <f>'Data Ocupacion'!AH32</f>
        <v>55</v>
      </c>
      <c r="E113" s="126">
        <f>'Data Ocupacion'!AI32</f>
        <v>23</v>
      </c>
      <c r="F113" s="222" t="s">
        <v>52</v>
      </c>
      <c r="G113" s="223">
        <f t="shared" si="94"/>
        <v>101</v>
      </c>
      <c r="H113" s="125">
        <f t="shared" ref="H113:H117" si="98">B113+C113*2</f>
        <v>102</v>
      </c>
      <c r="I113" s="125">
        <f t="shared" si="95"/>
        <v>78</v>
      </c>
      <c r="J113" s="125">
        <f>G113*M$2</f>
        <v>4356.13</v>
      </c>
      <c r="K113" s="153">
        <f>I113*M$2</f>
        <v>3364.1400000000003</v>
      </c>
      <c r="L113" s="125">
        <f t="shared" si="96"/>
        <v>453037.52</v>
      </c>
      <c r="M113" s="125">
        <f t="shared" si="97"/>
        <v>8112</v>
      </c>
      <c r="N113" s="19"/>
      <c r="O113" s="19"/>
      <c r="P113" s="146"/>
      <c r="Q113" s="187"/>
      <c r="R113" s="187"/>
      <c r="S113" s="187"/>
      <c r="T113" s="184">
        <v>3</v>
      </c>
      <c r="U113" s="205"/>
      <c r="V113" s="231"/>
      <c r="W113" s="186">
        <f>J113-(T113*($M$2-$K$1)+(U113*($M$2-$M$1)))</f>
        <v>4302.9400000000005</v>
      </c>
      <c r="X113" s="183">
        <f>H113*$M$2</f>
        <v>4399.26</v>
      </c>
      <c r="Y113" s="172"/>
    </row>
    <row r="114" spans="1:26" ht="18" customHeight="1" x14ac:dyDescent="0.25">
      <c r="A114" s="203"/>
      <c r="B114" s="299">
        <v>33</v>
      </c>
      <c r="C114" s="299">
        <v>0</v>
      </c>
      <c r="D114" s="126">
        <f>'Data Ocupacion'!AH33</f>
        <v>33</v>
      </c>
      <c r="E114" s="126">
        <f>'Data Ocupacion'!AI33</f>
        <v>0</v>
      </c>
      <c r="F114" s="222" t="s">
        <v>36</v>
      </c>
      <c r="G114" s="223">
        <f t="shared" si="94"/>
        <v>33</v>
      </c>
      <c r="H114" s="125">
        <f t="shared" si="98"/>
        <v>33</v>
      </c>
      <c r="I114" s="125">
        <f t="shared" si="95"/>
        <v>33</v>
      </c>
      <c r="J114" s="125">
        <f>G114*M$1</f>
        <v>960.63</v>
      </c>
      <c r="K114" s="153">
        <f>I114*M$1</f>
        <v>960.63</v>
      </c>
      <c r="L114" s="125">
        <f t="shared" si="96"/>
        <v>99905.52</v>
      </c>
      <c r="M114" s="125">
        <f t="shared" si="97"/>
        <v>3432</v>
      </c>
      <c r="N114" s="19"/>
      <c r="O114" s="19"/>
      <c r="P114" s="146"/>
      <c r="Q114" s="246"/>
      <c r="R114" s="188"/>
      <c r="S114" s="208"/>
      <c r="T114" s="189"/>
      <c r="U114" s="190"/>
      <c r="V114" s="190"/>
      <c r="W114" s="183">
        <f>J114-(Q114*($M$1-$K$1))</f>
        <v>960.63</v>
      </c>
      <c r="X114" s="183">
        <f>H114*$M$1</f>
        <v>960.63</v>
      </c>
    </row>
    <row r="115" spans="1:26" ht="15.95" customHeight="1" x14ac:dyDescent="0.25">
      <c r="A115" s="203"/>
      <c r="B115" s="299">
        <v>32</v>
      </c>
      <c r="C115" s="299">
        <v>0</v>
      </c>
      <c r="D115" s="126">
        <f>'Data Ocupacion'!AH34</f>
        <v>32</v>
      </c>
      <c r="E115" s="126">
        <f>'Data Ocupacion'!AI34</f>
        <v>0</v>
      </c>
      <c r="F115" s="222" t="s">
        <v>53</v>
      </c>
      <c r="G115" s="223">
        <f t="shared" si="94"/>
        <v>32</v>
      </c>
      <c r="H115" s="125">
        <f t="shared" si="98"/>
        <v>32</v>
      </c>
      <c r="I115" s="125">
        <f t="shared" si="95"/>
        <v>32</v>
      </c>
      <c r="J115" s="125">
        <f>G115*M$1</f>
        <v>931.52</v>
      </c>
      <c r="K115" s="153">
        <f>I115*M$1</f>
        <v>931.52</v>
      </c>
      <c r="L115" s="125">
        <f t="shared" si="96"/>
        <v>96878.080000000002</v>
      </c>
      <c r="M115" s="125">
        <f t="shared" si="97"/>
        <v>3328</v>
      </c>
      <c r="N115" s="19"/>
      <c r="O115" s="19"/>
      <c r="P115" s="146"/>
      <c r="Q115" s="190"/>
      <c r="R115" s="190"/>
      <c r="S115" s="190"/>
      <c r="T115" s="190"/>
      <c r="U115" s="190"/>
      <c r="V115" s="190"/>
      <c r="W115" s="183">
        <f>J115</f>
        <v>931.52</v>
      </c>
      <c r="X115" s="183">
        <f>H115*$M$1</f>
        <v>931.52</v>
      </c>
    </row>
    <row r="116" spans="1:26" ht="15" customHeight="1" x14ac:dyDescent="0.25">
      <c r="A116" s="203"/>
      <c r="B116" s="299">
        <v>0</v>
      </c>
      <c r="C116" s="299">
        <v>0</v>
      </c>
      <c r="D116" s="126">
        <f>'Data Ocupacion'!AH35</f>
        <v>0</v>
      </c>
      <c r="E116" s="126">
        <f>'Data Ocupacion'!AI35</f>
        <v>0</v>
      </c>
      <c r="F116" s="222" t="s">
        <v>122</v>
      </c>
      <c r="G116" s="223">
        <f t="shared" si="94"/>
        <v>0</v>
      </c>
      <c r="H116" s="125">
        <f t="shared" si="98"/>
        <v>0</v>
      </c>
      <c r="I116" s="125">
        <f t="shared" si="95"/>
        <v>0</v>
      </c>
      <c r="J116" s="225">
        <f>G116*K$1</f>
        <v>0</v>
      </c>
      <c r="K116" s="153">
        <f>I116*K$1</f>
        <v>0</v>
      </c>
      <c r="L116" s="125">
        <f t="shared" si="96"/>
        <v>0</v>
      </c>
      <c r="M116" s="125">
        <f t="shared" si="97"/>
        <v>0</v>
      </c>
      <c r="N116" s="19"/>
      <c r="O116" s="19"/>
      <c r="P116" s="146"/>
      <c r="Q116" s="190"/>
      <c r="R116" s="190"/>
      <c r="S116" s="190"/>
      <c r="T116" s="190"/>
      <c r="U116" s="190"/>
      <c r="V116" s="190"/>
      <c r="W116" s="183">
        <f>J116</f>
        <v>0</v>
      </c>
      <c r="X116" s="183">
        <f>H116*$K$1</f>
        <v>0</v>
      </c>
    </row>
    <row r="117" spans="1:26" ht="15" customHeight="1" thickBot="1" x14ac:dyDescent="0.3">
      <c r="A117" s="203"/>
      <c r="B117" s="299">
        <v>1</v>
      </c>
      <c r="C117" s="299">
        <v>0</v>
      </c>
      <c r="D117" s="126">
        <f>'Data Ocupacion'!AH36</f>
        <v>1</v>
      </c>
      <c r="E117" s="126">
        <f>'Data Ocupacion'!AI36</f>
        <v>0</v>
      </c>
      <c r="F117" s="222" t="s">
        <v>35</v>
      </c>
      <c r="G117" s="223">
        <f t="shared" si="94"/>
        <v>1</v>
      </c>
      <c r="H117" s="125">
        <f t="shared" si="98"/>
        <v>1</v>
      </c>
      <c r="I117" s="226">
        <f t="shared" si="95"/>
        <v>1</v>
      </c>
      <c r="J117" s="226">
        <f>G117*K$1</f>
        <v>25.4</v>
      </c>
      <c r="K117" s="153">
        <f>I117*K$1</f>
        <v>25.4</v>
      </c>
      <c r="L117" s="125">
        <f t="shared" si="96"/>
        <v>2641.6</v>
      </c>
      <c r="M117" s="125">
        <f t="shared" si="97"/>
        <v>104</v>
      </c>
      <c r="N117" s="19"/>
      <c r="O117" s="19"/>
      <c r="P117" s="146"/>
      <c r="Q117" s="190"/>
      <c r="R117" s="190"/>
      <c r="S117" s="190"/>
      <c r="T117" s="190"/>
      <c r="U117" s="190"/>
      <c r="V117" s="190"/>
      <c r="W117" s="183">
        <f>J117</f>
        <v>25.4</v>
      </c>
      <c r="X117" s="183">
        <f>H117*$K$1</f>
        <v>25.4</v>
      </c>
    </row>
    <row r="118" spans="1:26" s="124" customFormat="1" ht="15" customHeight="1" thickBot="1" x14ac:dyDescent="0.3">
      <c r="A118" s="20"/>
      <c r="B118" s="119">
        <f>SUM(B112:B117)</f>
        <v>176</v>
      </c>
      <c r="C118" s="119">
        <f>SUM(C112:C117)</f>
        <v>47</v>
      </c>
      <c r="D118" s="148">
        <f>SUM(D112:D117)</f>
        <v>178</v>
      </c>
      <c r="E118" s="148">
        <f>SUM(E112:E117)</f>
        <v>45</v>
      </c>
      <c r="F118" s="119"/>
      <c r="G118" s="119">
        <f t="shared" ref="G118:M118" si="99">SUM(G112:G117)</f>
        <v>268</v>
      </c>
      <c r="H118" s="119">
        <f t="shared" si="99"/>
        <v>270</v>
      </c>
      <c r="I118" s="119">
        <f t="shared" si="99"/>
        <v>223</v>
      </c>
      <c r="J118" s="120">
        <f>SUM(J112:J117)</f>
        <v>10629.81</v>
      </c>
      <c r="K118" s="119">
        <f t="shared" si="99"/>
        <v>8688.9599999999991</v>
      </c>
      <c r="L118" s="119">
        <f t="shared" si="99"/>
        <v>1105500.2400000002</v>
      </c>
      <c r="M118" s="119">
        <f t="shared" si="99"/>
        <v>23192</v>
      </c>
      <c r="N118" s="123">
        <f>'Odometro-Kilometraje'!Q81</f>
        <v>11217</v>
      </c>
      <c r="O118" s="21">
        <f>(W118/N118)*100</f>
        <v>93.816795934741918</v>
      </c>
      <c r="P118" s="193"/>
      <c r="Q118" s="182"/>
      <c r="R118" s="182"/>
      <c r="S118" s="182"/>
      <c r="T118" s="182"/>
      <c r="U118" s="182"/>
      <c r="V118" s="182"/>
      <c r="W118" s="194">
        <f>SUM(W112:W117)</f>
        <v>10523.43</v>
      </c>
      <c r="X118" s="194">
        <f>SUM(X112:X117)</f>
        <v>10716.07</v>
      </c>
      <c r="Z118" s="342"/>
    </row>
    <row r="119" spans="1:26" ht="15.95" customHeight="1" x14ac:dyDescent="0.25">
      <c r="A119" s="60">
        <f>A112+1</f>
        <v>46039</v>
      </c>
      <c r="B119" s="116">
        <v>69</v>
      </c>
      <c r="C119" s="116">
        <v>3</v>
      </c>
      <c r="D119" s="147">
        <f>'Data Ocupacion'!AJ31</f>
        <v>69</v>
      </c>
      <c r="E119" s="147">
        <f>'Data Ocupacion'!AK31</f>
        <v>3</v>
      </c>
      <c r="F119" s="116" t="s">
        <v>38</v>
      </c>
      <c r="G119" s="116">
        <f t="shared" ref="G119:G124" si="100">D119+E119*2</f>
        <v>75</v>
      </c>
      <c r="H119" s="116">
        <f>B119+C119*2</f>
        <v>75</v>
      </c>
      <c r="I119" s="116">
        <f t="shared" ref="I119:I124" si="101">D119+E119</f>
        <v>72</v>
      </c>
      <c r="J119" s="116">
        <f>G119*M$2</f>
        <v>3234.75</v>
      </c>
      <c r="K119" s="153">
        <f>I119*M$2</f>
        <v>3105.36</v>
      </c>
      <c r="L119" s="116">
        <f t="shared" ref="L119:L124" si="102">J119*104</f>
        <v>336414</v>
      </c>
      <c r="M119" s="116">
        <f t="shared" ref="M119:M124" si="103">I119*104</f>
        <v>7488</v>
      </c>
      <c r="N119" s="19"/>
      <c r="O119" s="19"/>
      <c r="P119" s="146"/>
      <c r="Q119" s="184"/>
      <c r="R119" s="184"/>
      <c r="S119" s="207"/>
      <c r="T119" s="288"/>
      <c r="U119" s="192"/>
      <c r="V119" s="230"/>
      <c r="W119" s="183">
        <f>J119-(Q119*($M$2-$K$1))-(R119*($M$2-$M$1))- (S119*($M$2-$I$2))+ (T119*($G$2))</f>
        <v>3234.75</v>
      </c>
      <c r="X119" s="183">
        <f>H119*$M$2</f>
        <v>3234.75</v>
      </c>
    </row>
    <row r="120" spans="1:26" ht="15" customHeight="1" x14ac:dyDescent="0.25">
      <c r="A120" s="203"/>
      <c r="B120" s="116">
        <v>75</v>
      </c>
      <c r="C120" s="116">
        <v>0</v>
      </c>
      <c r="D120" s="147">
        <f>'Data Ocupacion'!AJ32</f>
        <v>75</v>
      </c>
      <c r="E120" s="147">
        <f>'Data Ocupacion'!AK32</f>
        <v>0</v>
      </c>
      <c r="F120" s="116" t="s">
        <v>52</v>
      </c>
      <c r="G120" s="116">
        <f t="shared" si="100"/>
        <v>75</v>
      </c>
      <c r="H120" s="116">
        <f t="shared" ref="H120:H124" si="104">B120+C120*2</f>
        <v>75</v>
      </c>
      <c r="I120" s="116">
        <f t="shared" si="101"/>
        <v>75</v>
      </c>
      <c r="J120" s="116">
        <f>G120*M$2</f>
        <v>3234.75</v>
      </c>
      <c r="K120" s="153">
        <f>I120*M$2</f>
        <v>3234.75</v>
      </c>
      <c r="L120" s="116">
        <f t="shared" si="102"/>
        <v>336414</v>
      </c>
      <c r="M120" s="116">
        <f t="shared" si="103"/>
        <v>7800</v>
      </c>
      <c r="N120" s="19"/>
      <c r="O120" s="19"/>
      <c r="P120" s="146"/>
      <c r="Q120" s="187"/>
      <c r="R120" s="187"/>
      <c r="S120" s="219"/>
      <c r="T120" s="184"/>
      <c r="U120" s="219"/>
      <c r="V120" s="231"/>
      <c r="W120" s="186">
        <f>J120-(T120*($M$2-$K$1)+(U120*($M$2-$M$1)))</f>
        <v>3234.75</v>
      </c>
      <c r="X120" s="183">
        <f>H120*$M$2</f>
        <v>3234.75</v>
      </c>
      <c r="Y120" s="172"/>
    </row>
    <row r="121" spans="1:26" ht="15" customHeight="1" x14ac:dyDescent="0.25">
      <c r="A121" s="203"/>
      <c r="B121" s="116">
        <v>0</v>
      </c>
      <c r="C121" s="116">
        <v>0</v>
      </c>
      <c r="D121" s="147">
        <f>'Data Ocupacion'!AJ33</f>
        <v>0</v>
      </c>
      <c r="E121" s="147">
        <f>'Data Ocupacion'!AK33</f>
        <v>0</v>
      </c>
      <c r="F121" s="116" t="s">
        <v>36</v>
      </c>
      <c r="G121" s="116">
        <f t="shared" si="100"/>
        <v>0</v>
      </c>
      <c r="H121" s="116">
        <f t="shared" si="104"/>
        <v>0</v>
      </c>
      <c r="I121" s="116">
        <f t="shared" si="101"/>
        <v>0</v>
      </c>
      <c r="J121" s="116">
        <f>G121*M$1</f>
        <v>0</v>
      </c>
      <c r="K121" s="153">
        <f>I121*M$1</f>
        <v>0</v>
      </c>
      <c r="L121" s="116">
        <f t="shared" si="102"/>
        <v>0</v>
      </c>
      <c r="M121" s="116">
        <f t="shared" si="103"/>
        <v>0</v>
      </c>
      <c r="N121" s="19"/>
      <c r="O121" s="19"/>
      <c r="P121" s="146"/>
      <c r="Q121" s="246"/>
      <c r="R121" s="191"/>
      <c r="S121" s="230"/>
      <c r="T121" s="187"/>
      <c r="U121" s="190"/>
      <c r="V121" s="190"/>
      <c r="W121" s="183">
        <f>J121-(Q121*($M$1-$K$1))</f>
        <v>0</v>
      </c>
      <c r="X121" s="183">
        <f>H121*$M$1</f>
        <v>0</v>
      </c>
    </row>
    <row r="122" spans="1:26" ht="15" customHeight="1" x14ac:dyDescent="0.25">
      <c r="A122" s="203"/>
      <c r="B122" s="116">
        <v>0</v>
      </c>
      <c r="C122" s="116">
        <v>0</v>
      </c>
      <c r="D122" s="147">
        <f>'Data Ocupacion'!AJ34</f>
        <v>0</v>
      </c>
      <c r="E122" s="147">
        <f>'Data Ocupacion'!AK34</f>
        <v>0</v>
      </c>
      <c r="F122" s="116" t="s">
        <v>53</v>
      </c>
      <c r="G122" s="116">
        <f t="shared" si="100"/>
        <v>0</v>
      </c>
      <c r="H122" s="116">
        <f t="shared" si="104"/>
        <v>0</v>
      </c>
      <c r="I122" s="116">
        <f t="shared" si="101"/>
        <v>0</v>
      </c>
      <c r="J122" s="116">
        <f>G122*M$1</f>
        <v>0</v>
      </c>
      <c r="K122" s="153">
        <f>I122*M$1</f>
        <v>0</v>
      </c>
      <c r="L122" s="116">
        <f t="shared" si="102"/>
        <v>0</v>
      </c>
      <c r="M122" s="116">
        <f t="shared" si="103"/>
        <v>0</v>
      </c>
      <c r="N122" s="19"/>
      <c r="O122" s="19"/>
      <c r="P122" s="146"/>
      <c r="Q122" s="190"/>
      <c r="R122" s="190"/>
      <c r="S122" s="190"/>
      <c r="T122" s="190"/>
      <c r="U122" s="190"/>
      <c r="V122" s="190"/>
      <c r="W122" s="183">
        <f>J122</f>
        <v>0</v>
      </c>
      <c r="X122" s="183">
        <f>H122*$M$1</f>
        <v>0</v>
      </c>
      <c r="Z122" s="199"/>
    </row>
    <row r="123" spans="1:26" ht="15" customHeight="1" x14ac:dyDescent="0.25">
      <c r="A123" s="203"/>
      <c r="B123" s="116">
        <v>0</v>
      </c>
      <c r="C123" s="116">
        <v>0</v>
      </c>
      <c r="D123" s="147">
        <f>'Data Ocupacion'!AJ35</f>
        <v>0</v>
      </c>
      <c r="E123" s="147">
        <f>'Data Ocupacion'!AK35</f>
        <v>0</v>
      </c>
      <c r="F123" s="116" t="s">
        <v>122</v>
      </c>
      <c r="G123" s="116">
        <f t="shared" si="100"/>
        <v>0</v>
      </c>
      <c r="H123" s="116">
        <f t="shared" si="104"/>
        <v>0</v>
      </c>
      <c r="I123" s="116">
        <f t="shared" si="101"/>
        <v>0</v>
      </c>
      <c r="J123" s="116">
        <f>G123*K$1</f>
        <v>0</v>
      </c>
      <c r="K123" s="153">
        <f>I123*K$1</f>
        <v>0</v>
      </c>
      <c r="L123" s="116">
        <f t="shared" si="102"/>
        <v>0</v>
      </c>
      <c r="M123" s="116">
        <f t="shared" si="103"/>
        <v>0</v>
      </c>
      <c r="N123" s="19"/>
      <c r="O123" s="19"/>
      <c r="P123" s="146"/>
      <c r="Q123" s="190"/>
      <c r="R123" s="190"/>
      <c r="S123" s="190"/>
      <c r="T123" s="190"/>
      <c r="U123" s="190"/>
      <c r="V123" s="190"/>
      <c r="W123" s="183">
        <f>J123</f>
        <v>0</v>
      </c>
      <c r="X123" s="183">
        <f>H123*$K$1</f>
        <v>0</v>
      </c>
    </row>
    <row r="124" spans="1:26" ht="14.25" customHeight="1" thickBot="1" x14ac:dyDescent="0.3">
      <c r="A124" s="203"/>
      <c r="B124" s="116">
        <v>0</v>
      </c>
      <c r="C124" s="116">
        <v>0</v>
      </c>
      <c r="D124" s="147">
        <f>'Data Ocupacion'!AJ36</f>
        <v>0</v>
      </c>
      <c r="E124" s="147">
        <f>'Data Ocupacion'!AK36</f>
        <v>0</v>
      </c>
      <c r="F124" s="116" t="s">
        <v>35</v>
      </c>
      <c r="G124" s="116">
        <f t="shared" si="100"/>
        <v>0</v>
      </c>
      <c r="H124" s="116">
        <f t="shared" si="104"/>
        <v>0</v>
      </c>
      <c r="I124" s="116">
        <f t="shared" si="101"/>
        <v>0</v>
      </c>
      <c r="J124" s="116">
        <f>G124*K$1</f>
        <v>0</v>
      </c>
      <c r="K124" s="153">
        <f>I124*K$1</f>
        <v>0</v>
      </c>
      <c r="L124" s="116">
        <f t="shared" si="102"/>
        <v>0</v>
      </c>
      <c r="M124" s="116">
        <f t="shared" si="103"/>
        <v>0</v>
      </c>
      <c r="N124" s="19"/>
      <c r="O124" s="19"/>
      <c r="P124" s="146"/>
      <c r="Q124" s="190"/>
      <c r="R124" s="190"/>
      <c r="S124" s="190"/>
      <c r="T124" s="190"/>
      <c r="U124" s="190"/>
      <c r="V124" s="190"/>
      <c r="W124" s="183">
        <f>J124</f>
        <v>0</v>
      </c>
      <c r="X124" s="183">
        <f>H124*$K$1</f>
        <v>0</v>
      </c>
    </row>
    <row r="125" spans="1:26" s="124" customFormat="1" ht="15" customHeight="1" thickBot="1" x14ac:dyDescent="0.3">
      <c r="A125" s="20"/>
      <c r="B125" s="119">
        <f>SUM(B119:B124)</f>
        <v>144</v>
      </c>
      <c r="C125" s="119">
        <f>SUM(C119:C124)</f>
        <v>3</v>
      </c>
      <c r="D125" s="152">
        <f>SUM(D119:D124)</f>
        <v>144</v>
      </c>
      <c r="E125" s="152">
        <f>SUM(E119:E124)</f>
        <v>3</v>
      </c>
      <c r="F125" s="119"/>
      <c r="G125" s="119">
        <f t="shared" ref="G125:M125" si="105">SUM(G119:G124)</f>
        <v>150</v>
      </c>
      <c r="H125" s="119">
        <f t="shared" si="105"/>
        <v>150</v>
      </c>
      <c r="I125" s="119">
        <f t="shared" si="105"/>
        <v>147</v>
      </c>
      <c r="J125" s="120">
        <f>SUM(J119:J124)</f>
        <v>6469.5</v>
      </c>
      <c r="K125" s="119">
        <f t="shared" si="105"/>
        <v>6340.1100000000006</v>
      </c>
      <c r="L125" s="118">
        <f t="shared" si="105"/>
        <v>672828</v>
      </c>
      <c r="M125" s="151">
        <f t="shared" si="105"/>
        <v>15288</v>
      </c>
      <c r="N125" s="123">
        <f>'Odometro-Kilometraje'!R81</f>
        <v>6798</v>
      </c>
      <c r="O125" s="21">
        <f>(W125/N125)*100</f>
        <v>95.167696381288607</v>
      </c>
      <c r="P125" s="193"/>
      <c r="Q125" s="182"/>
      <c r="R125" s="182"/>
      <c r="S125" s="182"/>
      <c r="T125" s="182"/>
      <c r="U125" s="182"/>
      <c r="V125" s="182"/>
      <c r="W125" s="194">
        <f>SUM(W119:W124)</f>
        <v>6469.5</v>
      </c>
      <c r="X125" s="194">
        <f>SUM(X119:X124)</f>
        <v>6469.5</v>
      </c>
      <c r="Z125" s="342"/>
    </row>
    <row r="126" spans="1:26" ht="15.95" customHeight="1" x14ac:dyDescent="0.25">
      <c r="A126" s="60">
        <f>A119+1</f>
        <v>46040</v>
      </c>
      <c r="B126" s="220">
        <v>53</v>
      </c>
      <c r="C126" s="220">
        <v>1</v>
      </c>
      <c r="D126" s="138">
        <f>'Data Ocupacion'!AL31</f>
        <v>53</v>
      </c>
      <c r="E126" s="138">
        <f>'Data Ocupacion'!AM31</f>
        <v>1</v>
      </c>
      <c r="F126" s="304" t="s">
        <v>38</v>
      </c>
      <c r="G126" s="300">
        <f t="shared" ref="G126:G131" si="106">D126+E126*2</f>
        <v>55</v>
      </c>
      <c r="H126" s="220">
        <f>B126+C126*2</f>
        <v>55</v>
      </c>
      <c r="I126" s="305">
        <f t="shared" ref="I126:I131" si="107">D126+E126</f>
        <v>54</v>
      </c>
      <c r="J126" s="305">
        <f>G126*M$2</f>
        <v>2372.15</v>
      </c>
      <c r="K126" s="153">
        <f>I126*M$2</f>
        <v>2329.02</v>
      </c>
      <c r="L126" s="220">
        <f t="shared" ref="L126:L131" si="108">J126*104</f>
        <v>246703.6</v>
      </c>
      <c r="M126" s="220">
        <f t="shared" ref="M126:M131" si="109">I126*104</f>
        <v>5616</v>
      </c>
      <c r="N126" s="19"/>
      <c r="O126" s="19"/>
      <c r="P126" s="146"/>
      <c r="Q126" s="184"/>
      <c r="R126" s="184"/>
      <c r="S126" s="207"/>
      <c r="T126" s="288"/>
      <c r="U126" s="192"/>
      <c r="V126" s="230"/>
      <c r="W126" s="183">
        <f>J126-(Q126*($M$2-$K$1))-(R126*($M$2-$M$1))- (S126*($M$2-$I$2))+ (T126*($G$2))</f>
        <v>2372.15</v>
      </c>
      <c r="X126" s="183">
        <f>H126*$M$2</f>
        <v>2372.15</v>
      </c>
    </row>
    <row r="127" spans="1:26" ht="15" customHeight="1" x14ac:dyDescent="0.25">
      <c r="A127" s="255"/>
      <c r="B127" s="220">
        <v>57</v>
      </c>
      <c r="C127" s="220">
        <v>0</v>
      </c>
      <c r="D127" s="138">
        <f>'Data Ocupacion'!AL32</f>
        <v>57</v>
      </c>
      <c r="E127" s="138">
        <f>'Data Ocupacion'!AM32</f>
        <v>0</v>
      </c>
      <c r="F127" s="304" t="s">
        <v>52</v>
      </c>
      <c r="G127" s="300">
        <f t="shared" si="106"/>
        <v>57</v>
      </c>
      <c r="H127" s="220">
        <f t="shared" ref="H127:H131" si="110">B127+C127*2</f>
        <v>57</v>
      </c>
      <c r="I127" s="220">
        <f t="shared" si="107"/>
        <v>57</v>
      </c>
      <c r="J127" s="220">
        <f>G127*M$2</f>
        <v>2458.4100000000003</v>
      </c>
      <c r="K127" s="153">
        <f>I127*M$2</f>
        <v>2458.4100000000003</v>
      </c>
      <c r="L127" s="220">
        <f t="shared" si="108"/>
        <v>255674.64000000004</v>
      </c>
      <c r="M127" s="220">
        <f t="shared" si="109"/>
        <v>5928</v>
      </c>
      <c r="N127" s="19"/>
      <c r="O127" s="19"/>
      <c r="P127" s="146"/>
      <c r="Q127" s="187"/>
      <c r="R127" s="187"/>
      <c r="S127" s="219"/>
      <c r="T127" s="184"/>
      <c r="U127" s="219"/>
      <c r="V127" s="231"/>
      <c r="W127" s="186">
        <f>J127-(T127*($M$2-$K$1)+(U127*($M$2-$M$1)))</f>
        <v>2458.4100000000003</v>
      </c>
      <c r="X127" s="183">
        <f>H127*$M$2</f>
        <v>2458.4100000000003</v>
      </c>
    </row>
    <row r="128" spans="1:26" ht="15" customHeight="1" x14ac:dyDescent="0.25">
      <c r="A128" s="255"/>
      <c r="B128" s="220">
        <v>0</v>
      </c>
      <c r="C128" s="220">
        <v>0</v>
      </c>
      <c r="D128" s="138">
        <f>'Data Ocupacion'!AL33</f>
        <v>0</v>
      </c>
      <c r="E128" s="138">
        <f>'Data Ocupacion'!AM33</f>
        <v>0</v>
      </c>
      <c r="F128" s="304" t="s">
        <v>36</v>
      </c>
      <c r="G128" s="300">
        <f t="shared" si="106"/>
        <v>0</v>
      </c>
      <c r="H128" s="220">
        <f t="shared" si="110"/>
        <v>0</v>
      </c>
      <c r="I128" s="220">
        <f t="shared" si="107"/>
        <v>0</v>
      </c>
      <c r="J128" s="220">
        <f>G128*M$1</f>
        <v>0</v>
      </c>
      <c r="K128" s="153">
        <f>I128*M$1</f>
        <v>0</v>
      </c>
      <c r="L128" s="220">
        <f t="shared" si="108"/>
        <v>0</v>
      </c>
      <c r="M128" s="220">
        <f t="shared" si="109"/>
        <v>0</v>
      </c>
      <c r="N128" s="19"/>
      <c r="O128" s="19"/>
      <c r="P128" s="146"/>
      <c r="Q128" s="246"/>
      <c r="R128" s="191"/>
      <c r="S128" s="230"/>
      <c r="T128" s="187"/>
      <c r="U128" s="190"/>
      <c r="V128" s="190"/>
      <c r="W128" s="183">
        <f>J128-(Q128*($M$1-$K$1))</f>
        <v>0</v>
      </c>
      <c r="X128" s="183">
        <f>H128*$M$1</f>
        <v>0</v>
      </c>
    </row>
    <row r="129" spans="1:26" ht="15" customHeight="1" x14ac:dyDescent="0.25">
      <c r="A129" s="255"/>
      <c r="B129" s="220">
        <v>0</v>
      </c>
      <c r="C129" s="220">
        <v>0</v>
      </c>
      <c r="D129" s="138">
        <f>'Data Ocupacion'!AL34</f>
        <v>0</v>
      </c>
      <c r="E129" s="138">
        <f>'Data Ocupacion'!AM34</f>
        <v>0</v>
      </c>
      <c r="F129" s="304" t="s">
        <v>53</v>
      </c>
      <c r="G129" s="300">
        <f t="shared" si="106"/>
        <v>0</v>
      </c>
      <c r="H129" s="220">
        <f t="shared" si="110"/>
        <v>0</v>
      </c>
      <c r="I129" s="220">
        <f t="shared" si="107"/>
        <v>0</v>
      </c>
      <c r="J129" s="220">
        <f>G129*M$1</f>
        <v>0</v>
      </c>
      <c r="K129" s="153">
        <f>I129*M$1</f>
        <v>0</v>
      </c>
      <c r="L129" s="220">
        <f t="shared" si="108"/>
        <v>0</v>
      </c>
      <c r="M129" s="220">
        <f t="shared" si="109"/>
        <v>0</v>
      </c>
      <c r="N129" s="19"/>
      <c r="O129" s="19"/>
      <c r="P129" s="146"/>
      <c r="Q129" s="190"/>
      <c r="R129" s="190"/>
      <c r="S129" s="190"/>
      <c r="T129" s="190"/>
      <c r="U129" s="190"/>
      <c r="V129" s="190"/>
      <c r="W129" s="183">
        <f>J129</f>
        <v>0</v>
      </c>
      <c r="X129" s="183">
        <f>H129*$M$1</f>
        <v>0</v>
      </c>
    </row>
    <row r="130" spans="1:26" s="124" customFormat="1" ht="15" customHeight="1" x14ac:dyDescent="0.25">
      <c r="A130" s="255"/>
      <c r="B130" s="220">
        <v>0</v>
      </c>
      <c r="C130" s="220">
        <v>0</v>
      </c>
      <c r="D130" s="138">
        <f>'Data Ocupacion'!AL35</f>
        <v>0</v>
      </c>
      <c r="E130" s="138">
        <f>'Data Ocupacion'!AM35</f>
        <v>0</v>
      </c>
      <c r="F130" s="304" t="s">
        <v>122</v>
      </c>
      <c r="G130" s="300">
        <f t="shared" si="106"/>
        <v>0</v>
      </c>
      <c r="H130" s="220">
        <f t="shared" si="110"/>
        <v>0</v>
      </c>
      <c r="I130" s="220">
        <f t="shared" si="107"/>
        <v>0</v>
      </c>
      <c r="J130" s="306">
        <f>G130*K$1</f>
        <v>0</v>
      </c>
      <c r="K130" s="153">
        <f>I130*K$1</f>
        <v>0</v>
      </c>
      <c r="L130" s="220">
        <f t="shared" si="108"/>
        <v>0</v>
      </c>
      <c r="M130" s="220">
        <f t="shared" si="109"/>
        <v>0</v>
      </c>
      <c r="N130" s="19"/>
      <c r="O130" s="19"/>
      <c r="P130" s="146"/>
      <c r="Q130" s="190"/>
      <c r="R130" s="190"/>
      <c r="S130" s="190"/>
      <c r="T130" s="190"/>
      <c r="U130" s="190"/>
      <c r="V130" s="190"/>
      <c r="W130" s="183">
        <f>J130</f>
        <v>0</v>
      </c>
      <c r="X130" s="183">
        <f>H130*$K$1</f>
        <v>0</v>
      </c>
    </row>
    <row r="131" spans="1:26" s="124" customFormat="1" ht="15" customHeight="1" thickBot="1" x14ac:dyDescent="0.3">
      <c r="A131" s="255"/>
      <c r="B131" s="220">
        <v>0</v>
      </c>
      <c r="C131" s="220">
        <v>0</v>
      </c>
      <c r="D131" s="138">
        <f>'Data Ocupacion'!AL36</f>
        <v>0</v>
      </c>
      <c r="E131" s="138">
        <f>'Data Ocupacion'!AM36</f>
        <v>0</v>
      </c>
      <c r="F131" s="304" t="s">
        <v>35</v>
      </c>
      <c r="G131" s="300">
        <f t="shared" si="106"/>
        <v>0</v>
      </c>
      <c r="H131" s="220">
        <f t="shared" si="110"/>
        <v>0</v>
      </c>
      <c r="I131" s="307">
        <f t="shared" si="107"/>
        <v>0</v>
      </c>
      <c r="J131" s="307">
        <f>G131*K$1</f>
        <v>0</v>
      </c>
      <c r="K131" s="153">
        <f>I131*K$1</f>
        <v>0</v>
      </c>
      <c r="L131" s="220">
        <f t="shared" si="108"/>
        <v>0</v>
      </c>
      <c r="M131" s="220">
        <f t="shared" si="109"/>
        <v>0</v>
      </c>
      <c r="N131" s="19"/>
      <c r="O131" s="19"/>
      <c r="P131" s="146"/>
      <c r="Q131" s="190"/>
      <c r="R131" s="190"/>
      <c r="S131" s="190"/>
      <c r="T131" s="190"/>
      <c r="U131" s="190"/>
      <c r="V131" s="190"/>
      <c r="W131" s="183">
        <f>J131</f>
        <v>0</v>
      </c>
      <c r="X131" s="183">
        <f>H131*$K$1</f>
        <v>0</v>
      </c>
    </row>
    <row r="132" spans="1:26" s="124" customFormat="1" ht="15" customHeight="1" thickBot="1" x14ac:dyDescent="0.3">
      <c r="A132" s="20"/>
      <c r="B132" s="119">
        <f>SUM(B126:B131)</f>
        <v>110</v>
      </c>
      <c r="C132" s="119">
        <f>SUM(C126:C131)</f>
        <v>1</v>
      </c>
      <c r="D132" s="148">
        <f>SUM(D126:D131)</f>
        <v>110</v>
      </c>
      <c r="E132" s="148">
        <f>SUM(E126:E131)</f>
        <v>1</v>
      </c>
      <c r="F132" s="119"/>
      <c r="G132" s="119">
        <f t="shared" ref="G132:M132" si="111">SUM(G126:G131)</f>
        <v>112</v>
      </c>
      <c r="H132" s="119">
        <f t="shared" si="111"/>
        <v>112</v>
      </c>
      <c r="I132" s="119">
        <f t="shared" si="111"/>
        <v>111</v>
      </c>
      <c r="J132" s="120">
        <f t="shared" si="111"/>
        <v>4830.5600000000004</v>
      </c>
      <c r="K132" s="119">
        <f t="shared" si="111"/>
        <v>4787.43</v>
      </c>
      <c r="L132" s="119">
        <f t="shared" si="111"/>
        <v>502378.24000000005</v>
      </c>
      <c r="M132" s="119">
        <f t="shared" si="111"/>
        <v>11544</v>
      </c>
      <c r="N132" s="123">
        <f>'Odometro-Kilometraje'!S81</f>
        <v>4868</v>
      </c>
      <c r="O132" s="21">
        <f>(W132/N132)*100</f>
        <v>99.230895645028767</v>
      </c>
      <c r="P132" s="193"/>
      <c r="Q132" s="182"/>
      <c r="R132" s="182"/>
      <c r="S132" s="182"/>
      <c r="T132" s="182"/>
      <c r="U132" s="182"/>
      <c r="V132" s="182"/>
      <c r="W132" s="194">
        <f>SUM(W126:W131)</f>
        <v>4830.5600000000004</v>
      </c>
      <c r="X132" s="194">
        <f>SUM(X126:X131)</f>
        <v>4830.5600000000004</v>
      </c>
      <c r="Z132" s="342"/>
    </row>
    <row r="133" spans="1:26" ht="15" customHeight="1" x14ac:dyDescent="0.25">
      <c r="A133" s="60">
        <f>A126+1</f>
        <v>46041</v>
      </c>
      <c r="B133" s="299">
        <v>56</v>
      </c>
      <c r="C133" s="299">
        <v>23</v>
      </c>
      <c r="D133" s="126">
        <f>'Data Ocupacion'!AN31</f>
        <v>56</v>
      </c>
      <c r="E133" s="126">
        <f>'Data Ocupacion'!AO31</f>
        <v>23</v>
      </c>
      <c r="F133" s="222" t="s">
        <v>38</v>
      </c>
      <c r="G133" s="223">
        <f t="shared" ref="G133:G138" si="112">D133+E133*2</f>
        <v>102</v>
      </c>
      <c r="H133" s="125">
        <f>B133+C133*2</f>
        <v>102</v>
      </c>
      <c r="I133" s="224">
        <f t="shared" ref="I133:I138" si="113">D133+E133</f>
        <v>79</v>
      </c>
      <c r="J133" s="224">
        <f>G133*M$2</f>
        <v>4399.26</v>
      </c>
      <c r="K133" s="153">
        <f>I133*M$2</f>
        <v>3407.27</v>
      </c>
      <c r="L133" s="125">
        <f t="shared" ref="L133:L138" si="114">J133*104</f>
        <v>457523.04000000004</v>
      </c>
      <c r="M133" s="125">
        <f t="shared" ref="M133:M138" si="115">I133*104</f>
        <v>8216</v>
      </c>
      <c r="N133" s="19"/>
      <c r="O133" s="19"/>
      <c r="P133" s="146"/>
      <c r="Q133" s="184">
        <v>4</v>
      </c>
      <c r="R133" s="184"/>
      <c r="S133" s="207"/>
      <c r="T133" s="288"/>
      <c r="U133" s="192"/>
      <c r="V133" s="230"/>
      <c r="W133" s="183">
        <f>J133-(Q133*($M$2-$K$1))-(R133*($M$2-$M$1))- (S133*($M$2-$I$2))+ (T133*($G$2))</f>
        <v>4328.34</v>
      </c>
      <c r="X133" s="183">
        <f>H133*$M$2</f>
        <v>4399.26</v>
      </c>
    </row>
    <row r="134" spans="1:26" ht="15" customHeight="1" x14ac:dyDescent="0.25">
      <c r="A134" s="255"/>
      <c r="B134" s="299">
        <v>54</v>
      </c>
      <c r="C134" s="299">
        <v>24</v>
      </c>
      <c r="D134" s="126">
        <f>'Data Ocupacion'!AN32</f>
        <v>54</v>
      </c>
      <c r="E134" s="126">
        <f>'Data Ocupacion'!AO32</f>
        <v>24</v>
      </c>
      <c r="F134" s="222" t="s">
        <v>52</v>
      </c>
      <c r="G134" s="223">
        <f t="shared" si="112"/>
        <v>102</v>
      </c>
      <c r="H134" s="125">
        <f t="shared" ref="H134:H138" si="116">B134+C134*2</f>
        <v>102</v>
      </c>
      <c r="I134" s="125">
        <f t="shared" si="113"/>
        <v>78</v>
      </c>
      <c r="J134" s="125">
        <f>G134*M$2</f>
        <v>4399.26</v>
      </c>
      <c r="K134" s="153">
        <f>I134*M$2</f>
        <v>3364.1400000000003</v>
      </c>
      <c r="L134" s="125">
        <f t="shared" si="114"/>
        <v>457523.04000000004</v>
      </c>
      <c r="M134" s="125">
        <f t="shared" si="115"/>
        <v>8112</v>
      </c>
      <c r="N134" s="19"/>
      <c r="O134" s="19"/>
      <c r="P134" s="146"/>
      <c r="Q134" s="187"/>
      <c r="R134" s="187"/>
      <c r="S134" s="219"/>
      <c r="T134" s="184">
        <v>4</v>
      </c>
      <c r="U134" s="219"/>
      <c r="V134" s="231"/>
      <c r="W134" s="186">
        <f>J134-(T134*($M$2-$K$1)+(U134*($M$2-$M$1)))</f>
        <v>4328.34</v>
      </c>
      <c r="X134" s="183">
        <f>H134*$M$2</f>
        <v>4399.26</v>
      </c>
    </row>
    <row r="135" spans="1:26" ht="15" customHeight="1" x14ac:dyDescent="0.25">
      <c r="A135" s="255"/>
      <c r="B135" s="299">
        <v>33</v>
      </c>
      <c r="C135" s="299">
        <v>0</v>
      </c>
      <c r="D135" s="126">
        <f>'Data Ocupacion'!AN33</f>
        <v>33</v>
      </c>
      <c r="E135" s="126">
        <f>'Data Ocupacion'!AO33</f>
        <v>0</v>
      </c>
      <c r="F135" s="222" t="s">
        <v>36</v>
      </c>
      <c r="G135" s="223">
        <f t="shared" si="112"/>
        <v>33</v>
      </c>
      <c r="H135" s="125">
        <f t="shared" si="116"/>
        <v>33</v>
      </c>
      <c r="I135" s="125">
        <f t="shared" si="113"/>
        <v>33</v>
      </c>
      <c r="J135" s="125">
        <f>G135*M$1</f>
        <v>960.63</v>
      </c>
      <c r="K135" s="153">
        <f>I135*M$1</f>
        <v>960.63</v>
      </c>
      <c r="L135" s="125">
        <f t="shared" si="114"/>
        <v>99905.52</v>
      </c>
      <c r="M135" s="125">
        <f t="shared" si="115"/>
        <v>3432</v>
      </c>
      <c r="N135" s="19"/>
      <c r="O135" s="19"/>
      <c r="P135" s="146"/>
      <c r="Q135" s="246"/>
      <c r="R135" s="191"/>
      <c r="S135" s="230"/>
      <c r="T135" s="187"/>
      <c r="U135" s="190"/>
      <c r="V135" s="190"/>
      <c r="W135" s="183">
        <f>J135-(Q135*($M$1-$K$1))</f>
        <v>960.63</v>
      </c>
      <c r="X135" s="183">
        <f>H135*$M$1</f>
        <v>960.63</v>
      </c>
    </row>
    <row r="136" spans="1:26" ht="15" customHeight="1" x14ac:dyDescent="0.25">
      <c r="A136" s="255"/>
      <c r="B136" s="299">
        <v>32</v>
      </c>
      <c r="C136" s="299">
        <v>0</v>
      </c>
      <c r="D136" s="126">
        <f>'Data Ocupacion'!AN34</f>
        <v>32</v>
      </c>
      <c r="E136" s="126">
        <f>'Data Ocupacion'!AO34</f>
        <v>0</v>
      </c>
      <c r="F136" s="222" t="s">
        <v>53</v>
      </c>
      <c r="G136" s="223">
        <f t="shared" si="112"/>
        <v>32</v>
      </c>
      <c r="H136" s="125">
        <f t="shared" si="116"/>
        <v>32</v>
      </c>
      <c r="I136" s="125">
        <f t="shared" si="113"/>
        <v>32</v>
      </c>
      <c r="J136" s="125">
        <f>G136*M$1</f>
        <v>931.52</v>
      </c>
      <c r="K136" s="153">
        <f>I136*M$1</f>
        <v>931.52</v>
      </c>
      <c r="L136" s="125">
        <f t="shared" si="114"/>
        <v>96878.080000000002</v>
      </c>
      <c r="M136" s="125">
        <f t="shared" si="115"/>
        <v>3328</v>
      </c>
      <c r="N136" s="19"/>
      <c r="O136" s="19"/>
      <c r="P136" s="146"/>
      <c r="Q136" s="190"/>
      <c r="R136" s="190"/>
      <c r="S136" s="190"/>
      <c r="T136" s="190"/>
      <c r="U136" s="190"/>
      <c r="V136" s="190"/>
      <c r="W136" s="183">
        <f>J136</f>
        <v>931.52</v>
      </c>
      <c r="X136" s="183">
        <f>H136*$M$1</f>
        <v>931.52</v>
      </c>
    </row>
    <row r="137" spans="1:26" ht="15" customHeight="1" x14ac:dyDescent="0.25">
      <c r="A137" s="255"/>
      <c r="B137" s="299">
        <v>0</v>
      </c>
      <c r="C137" s="299">
        <v>0</v>
      </c>
      <c r="D137" s="126">
        <f>'Data Ocupacion'!AN35</f>
        <v>0</v>
      </c>
      <c r="E137" s="126">
        <f>'Data Ocupacion'!AO35</f>
        <v>0</v>
      </c>
      <c r="F137" s="222" t="s">
        <v>122</v>
      </c>
      <c r="G137" s="223">
        <f t="shared" si="112"/>
        <v>0</v>
      </c>
      <c r="H137" s="125">
        <f t="shared" si="116"/>
        <v>0</v>
      </c>
      <c r="I137" s="125">
        <f t="shared" si="113"/>
        <v>0</v>
      </c>
      <c r="J137" s="225">
        <f>G137*K$1</f>
        <v>0</v>
      </c>
      <c r="K137" s="153">
        <f>I137*K$1</f>
        <v>0</v>
      </c>
      <c r="L137" s="125">
        <f t="shared" si="114"/>
        <v>0</v>
      </c>
      <c r="M137" s="125">
        <f t="shared" si="115"/>
        <v>0</v>
      </c>
      <c r="N137" s="19"/>
      <c r="O137" s="19"/>
      <c r="P137" s="146"/>
      <c r="Q137" s="190"/>
      <c r="R137" s="190"/>
      <c r="S137" s="190"/>
      <c r="T137" s="190"/>
      <c r="U137" s="190"/>
      <c r="V137" s="190"/>
      <c r="W137" s="183">
        <f>J137</f>
        <v>0</v>
      </c>
      <c r="X137" s="183">
        <f>H137*$K$1</f>
        <v>0</v>
      </c>
    </row>
    <row r="138" spans="1:26" ht="15" customHeight="1" thickBot="1" x14ac:dyDescent="0.3">
      <c r="A138" s="255"/>
      <c r="B138" s="299">
        <v>1</v>
      </c>
      <c r="C138" s="299">
        <v>0</v>
      </c>
      <c r="D138" s="126">
        <f>'Data Ocupacion'!AN36</f>
        <v>1</v>
      </c>
      <c r="E138" s="126">
        <f>'Data Ocupacion'!AO36</f>
        <v>0</v>
      </c>
      <c r="F138" s="222" t="s">
        <v>35</v>
      </c>
      <c r="G138" s="223">
        <f t="shared" si="112"/>
        <v>1</v>
      </c>
      <c r="H138" s="125">
        <f t="shared" si="116"/>
        <v>1</v>
      </c>
      <c r="I138" s="226">
        <f t="shared" si="113"/>
        <v>1</v>
      </c>
      <c r="J138" s="226">
        <f>G138*K$1</f>
        <v>25.4</v>
      </c>
      <c r="K138" s="153">
        <f>I138*K$1</f>
        <v>25.4</v>
      </c>
      <c r="L138" s="125">
        <f t="shared" si="114"/>
        <v>2641.6</v>
      </c>
      <c r="M138" s="125">
        <f t="shared" si="115"/>
        <v>104</v>
      </c>
      <c r="N138" s="19"/>
      <c r="O138" s="19"/>
      <c r="P138" s="146"/>
      <c r="Q138" s="190"/>
      <c r="R138" s="190"/>
      <c r="S138" s="190"/>
      <c r="T138" s="190"/>
      <c r="U138" s="190"/>
      <c r="V138" s="190"/>
      <c r="W138" s="183">
        <f>J138</f>
        <v>25.4</v>
      </c>
      <c r="X138" s="183">
        <f>H138*$K$1</f>
        <v>25.4</v>
      </c>
    </row>
    <row r="139" spans="1:26" s="124" customFormat="1" ht="15" customHeight="1" thickBot="1" x14ac:dyDescent="0.3">
      <c r="A139" s="20"/>
      <c r="B139" s="119">
        <f>SUM(B133:B138)</f>
        <v>176</v>
      </c>
      <c r="C139" s="119">
        <f>SUM(C133:C138)</f>
        <v>47</v>
      </c>
      <c r="D139" s="148">
        <f>SUM(D133:D138)</f>
        <v>176</v>
      </c>
      <c r="E139" s="148">
        <f>SUM(E133:E138)</f>
        <v>47</v>
      </c>
      <c r="F139" s="119"/>
      <c r="G139" s="119">
        <f t="shared" ref="G139:M139" si="117">SUM(G133:G138)</f>
        <v>270</v>
      </c>
      <c r="H139" s="119">
        <f t="shared" si="117"/>
        <v>270</v>
      </c>
      <c r="I139" s="119">
        <f t="shared" si="117"/>
        <v>223</v>
      </c>
      <c r="J139" s="120">
        <f>SUM(J133:J138)</f>
        <v>10716.07</v>
      </c>
      <c r="K139" s="119">
        <f t="shared" si="117"/>
        <v>8688.9599999999991</v>
      </c>
      <c r="L139" s="119">
        <f t="shared" si="117"/>
        <v>1114471.2800000003</v>
      </c>
      <c r="M139" s="119">
        <f t="shared" si="117"/>
        <v>23192</v>
      </c>
      <c r="N139" s="123">
        <f>'Odometro-Kilometraje'!T81</f>
        <v>11010</v>
      </c>
      <c r="O139" s="21">
        <f>(W139/N139)*100</f>
        <v>96.04205267938238</v>
      </c>
      <c r="P139" s="193"/>
      <c r="Q139" s="182"/>
      <c r="R139" s="182"/>
      <c r="S139" s="182"/>
      <c r="T139" s="182"/>
      <c r="U139" s="182"/>
      <c r="V139" s="182"/>
      <c r="W139" s="194">
        <f>SUM(W133:W138)</f>
        <v>10574.23</v>
      </c>
      <c r="X139" s="194">
        <f>SUM(X133:X138)</f>
        <v>10716.07</v>
      </c>
      <c r="Z139" s="342"/>
    </row>
    <row r="140" spans="1:26" ht="15.95" customHeight="1" x14ac:dyDescent="0.25">
      <c r="A140" s="60">
        <f>A133+1</f>
        <v>46042</v>
      </c>
      <c r="B140" s="299">
        <v>56</v>
      </c>
      <c r="C140" s="299">
        <v>23</v>
      </c>
      <c r="D140" s="126">
        <f>'Data Ocupacion'!AP31</f>
        <v>56</v>
      </c>
      <c r="E140" s="126">
        <f>'Data Ocupacion'!AQ31</f>
        <v>23</v>
      </c>
      <c r="F140" s="222" t="s">
        <v>38</v>
      </c>
      <c r="G140" s="223">
        <f t="shared" ref="G140:G145" si="118">D140+E140*2</f>
        <v>102</v>
      </c>
      <c r="H140" s="125">
        <f>B140+C140*2</f>
        <v>102</v>
      </c>
      <c r="I140" s="224">
        <f t="shared" ref="I140:I145" si="119">D140+E140</f>
        <v>79</v>
      </c>
      <c r="J140" s="224">
        <f>G140*M$2</f>
        <v>4399.26</v>
      </c>
      <c r="K140" s="153">
        <f>I140*M$2</f>
        <v>3407.27</v>
      </c>
      <c r="L140" s="125">
        <f t="shared" ref="L140:L145" si="120">J140*104</f>
        <v>457523.04000000004</v>
      </c>
      <c r="M140" s="125">
        <f t="shared" ref="M140:M145" si="121">I140*104</f>
        <v>8216</v>
      </c>
      <c r="N140" s="19"/>
      <c r="O140" s="19"/>
      <c r="P140" s="146"/>
      <c r="Q140" s="184">
        <v>3</v>
      </c>
      <c r="R140" s="184"/>
      <c r="S140" s="207"/>
      <c r="T140" s="288"/>
      <c r="U140" s="192"/>
      <c r="V140" s="230"/>
      <c r="W140" s="183">
        <f>J140-(Q140*($M$2-$K$1))-(R140*($M$2-$M$1))- (S140*($M$2-$I$2))+ (T140*($G$2))</f>
        <v>4346.0700000000006</v>
      </c>
      <c r="X140" s="183">
        <f>H140*$M$2</f>
        <v>4399.26</v>
      </c>
    </row>
    <row r="141" spans="1:26" ht="15" customHeight="1" x14ac:dyDescent="0.25">
      <c r="A141" s="255"/>
      <c r="B141" s="299">
        <v>54</v>
      </c>
      <c r="C141" s="299">
        <v>24</v>
      </c>
      <c r="D141" s="126">
        <f>'Data Ocupacion'!AP32</f>
        <v>54</v>
      </c>
      <c r="E141" s="126">
        <f>'Data Ocupacion'!AQ32</f>
        <v>24</v>
      </c>
      <c r="F141" s="222" t="s">
        <v>52</v>
      </c>
      <c r="G141" s="223">
        <f t="shared" si="118"/>
        <v>102</v>
      </c>
      <c r="H141" s="125">
        <f t="shared" ref="H141:H145" si="122">B141+C141*2</f>
        <v>102</v>
      </c>
      <c r="I141" s="125">
        <f t="shared" si="119"/>
        <v>78</v>
      </c>
      <c r="J141" s="125">
        <f>G141*M$2</f>
        <v>4399.26</v>
      </c>
      <c r="K141" s="153">
        <f>I141*M$2</f>
        <v>3364.1400000000003</v>
      </c>
      <c r="L141" s="125">
        <f t="shared" si="120"/>
        <v>457523.04000000004</v>
      </c>
      <c r="M141" s="125">
        <f t="shared" si="121"/>
        <v>8112</v>
      </c>
      <c r="N141" s="19"/>
      <c r="O141" s="19"/>
      <c r="P141" s="146"/>
      <c r="Q141" s="187"/>
      <c r="R141" s="187"/>
      <c r="S141" s="219"/>
      <c r="T141" s="184">
        <v>3</v>
      </c>
      <c r="U141" s="219"/>
      <c r="V141" s="231"/>
      <c r="W141" s="186">
        <f>J141-(T141*($M$2-$K$1)+(U141*($M$2-$M$1)))</f>
        <v>4346.0700000000006</v>
      </c>
      <c r="X141" s="183">
        <f>H141*$M$2</f>
        <v>4399.26</v>
      </c>
    </row>
    <row r="142" spans="1:26" ht="15" customHeight="1" x14ac:dyDescent="0.25">
      <c r="A142" s="255"/>
      <c r="B142" s="299">
        <v>33</v>
      </c>
      <c r="C142" s="299">
        <v>0</v>
      </c>
      <c r="D142" s="126">
        <f>'Data Ocupacion'!AP33</f>
        <v>33</v>
      </c>
      <c r="E142" s="126">
        <f>'Data Ocupacion'!AQ33</f>
        <v>0</v>
      </c>
      <c r="F142" s="222" t="s">
        <v>36</v>
      </c>
      <c r="G142" s="223">
        <f t="shared" si="118"/>
        <v>33</v>
      </c>
      <c r="H142" s="125">
        <f t="shared" si="122"/>
        <v>33</v>
      </c>
      <c r="I142" s="125">
        <f t="shared" si="119"/>
        <v>33</v>
      </c>
      <c r="J142" s="125">
        <f>G142*M$1</f>
        <v>960.63</v>
      </c>
      <c r="K142" s="153">
        <f>I142*M$1</f>
        <v>960.63</v>
      </c>
      <c r="L142" s="125">
        <f t="shared" si="120"/>
        <v>99905.52</v>
      </c>
      <c r="M142" s="125">
        <f t="shared" si="121"/>
        <v>3432</v>
      </c>
      <c r="N142" s="19"/>
      <c r="O142" s="19"/>
      <c r="P142" s="146"/>
      <c r="Q142" s="246"/>
      <c r="R142" s="191"/>
      <c r="S142" s="230"/>
      <c r="T142" s="187"/>
      <c r="U142" s="190"/>
      <c r="V142" s="190"/>
      <c r="W142" s="183">
        <f>J142-(Q142*($M$1-$K$1))</f>
        <v>960.63</v>
      </c>
      <c r="X142" s="183">
        <f>H142*$M$1</f>
        <v>960.63</v>
      </c>
    </row>
    <row r="143" spans="1:26" ht="15" customHeight="1" x14ac:dyDescent="0.25">
      <c r="A143" s="255"/>
      <c r="B143" s="299">
        <v>32</v>
      </c>
      <c r="C143" s="299">
        <v>0</v>
      </c>
      <c r="D143" s="126">
        <f>'Data Ocupacion'!AP34</f>
        <v>32</v>
      </c>
      <c r="E143" s="126">
        <f>'Data Ocupacion'!AQ34</f>
        <v>0</v>
      </c>
      <c r="F143" s="222" t="s">
        <v>53</v>
      </c>
      <c r="G143" s="223">
        <f t="shared" si="118"/>
        <v>32</v>
      </c>
      <c r="H143" s="125">
        <f t="shared" si="122"/>
        <v>32</v>
      </c>
      <c r="I143" s="125">
        <f t="shared" si="119"/>
        <v>32</v>
      </c>
      <c r="J143" s="125">
        <f>G143*M$1</f>
        <v>931.52</v>
      </c>
      <c r="K143" s="153">
        <f>I143*M$1</f>
        <v>931.52</v>
      </c>
      <c r="L143" s="125">
        <f t="shared" si="120"/>
        <v>96878.080000000002</v>
      </c>
      <c r="M143" s="125">
        <f t="shared" si="121"/>
        <v>3328</v>
      </c>
      <c r="N143" s="19"/>
      <c r="O143" s="19"/>
      <c r="P143" s="146"/>
      <c r="Q143" s="190"/>
      <c r="R143" s="190"/>
      <c r="S143" s="190"/>
      <c r="T143" s="190"/>
      <c r="U143" s="190"/>
      <c r="V143" s="190"/>
      <c r="W143" s="183">
        <f>J143</f>
        <v>931.52</v>
      </c>
      <c r="X143" s="183">
        <f>H143*$M$1</f>
        <v>931.52</v>
      </c>
    </row>
    <row r="144" spans="1:26" ht="15" customHeight="1" x14ac:dyDescent="0.25">
      <c r="A144" s="255"/>
      <c r="B144" s="299">
        <v>0</v>
      </c>
      <c r="C144" s="299">
        <v>0</v>
      </c>
      <c r="D144" s="126">
        <f>'Data Ocupacion'!AP35</f>
        <v>0</v>
      </c>
      <c r="E144" s="126">
        <f>'Data Ocupacion'!AQ35</f>
        <v>0</v>
      </c>
      <c r="F144" s="222" t="s">
        <v>122</v>
      </c>
      <c r="G144" s="223">
        <f t="shared" si="118"/>
        <v>0</v>
      </c>
      <c r="H144" s="125">
        <f t="shared" si="122"/>
        <v>0</v>
      </c>
      <c r="I144" s="125">
        <f t="shared" si="119"/>
        <v>0</v>
      </c>
      <c r="J144" s="225">
        <f>G144*K$1</f>
        <v>0</v>
      </c>
      <c r="K144" s="153">
        <f>I144*K$1</f>
        <v>0</v>
      </c>
      <c r="L144" s="125">
        <f t="shared" si="120"/>
        <v>0</v>
      </c>
      <c r="M144" s="125">
        <f t="shared" si="121"/>
        <v>0</v>
      </c>
      <c r="N144" s="19"/>
      <c r="O144" s="19"/>
      <c r="P144" s="146"/>
      <c r="Q144" s="190"/>
      <c r="R144" s="190"/>
      <c r="S144" s="190"/>
      <c r="T144" s="190"/>
      <c r="U144" s="190"/>
      <c r="V144" s="190"/>
      <c r="W144" s="183">
        <f>J144</f>
        <v>0</v>
      </c>
      <c r="X144" s="183">
        <f>H144*$K$1</f>
        <v>0</v>
      </c>
    </row>
    <row r="145" spans="1:26" ht="15" customHeight="1" thickBot="1" x14ac:dyDescent="0.3">
      <c r="A145" s="255"/>
      <c r="B145" s="299">
        <v>1</v>
      </c>
      <c r="C145" s="299">
        <v>0</v>
      </c>
      <c r="D145" s="126">
        <f>'Data Ocupacion'!AP36</f>
        <v>1</v>
      </c>
      <c r="E145" s="126">
        <f>'Data Ocupacion'!AQ36</f>
        <v>0</v>
      </c>
      <c r="F145" s="222" t="s">
        <v>35</v>
      </c>
      <c r="G145" s="223">
        <f t="shared" si="118"/>
        <v>1</v>
      </c>
      <c r="H145" s="125">
        <f t="shared" si="122"/>
        <v>1</v>
      </c>
      <c r="I145" s="226">
        <f t="shared" si="119"/>
        <v>1</v>
      </c>
      <c r="J145" s="226">
        <f>G145*K$1</f>
        <v>25.4</v>
      </c>
      <c r="K145" s="153">
        <f>I145*K$1</f>
        <v>25.4</v>
      </c>
      <c r="L145" s="125">
        <f t="shared" si="120"/>
        <v>2641.6</v>
      </c>
      <c r="M145" s="125">
        <f t="shared" si="121"/>
        <v>104</v>
      </c>
      <c r="N145" s="19"/>
      <c r="O145" s="19"/>
      <c r="P145" s="146"/>
      <c r="Q145" s="190"/>
      <c r="R145" s="190"/>
      <c r="S145" s="190"/>
      <c r="T145" s="190"/>
      <c r="U145" s="190"/>
      <c r="V145" s="190"/>
      <c r="W145" s="183">
        <f>J145</f>
        <v>25.4</v>
      </c>
      <c r="X145" s="183">
        <f>H145*$K$1</f>
        <v>25.4</v>
      </c>
    </row>
    <row r="146" spans="1:26" s="124" customFormat="1" ht="15" customHeight="1" thickBot="1" x14ac:dyDescent="0.3">
      <c r="A146" s="20"/>
      <c r="B146" s="119">
        <f>SUM(B140:B145)</f>
        <v>176</v>
      </c>
      <c r="C146" s="119">
        <f>SUM(C140:C145)</f>
        <v>47</v>
      </c>
      <c r="D146" s="148">
        <f>SUM(D140:D145)</f>
        <v>176</v>
      </c>
      <c r="E146" s="148">
        <f>SUM(E140:E145)</f>
        <v>47</v>
      </c>
      <c r="F146" s="119"/>
      <c r="G146" s="119">
        <f t="shared" ref="G146:M146" si="123">SUM(G140:G145)</f>
        <v>270</v>
      </c>
      <c r="H146" s="119">
        <f t="shared" si="123"/>
        <v>270</v>
      </c>
      <c r="I146" s="119">
        <f t="shared" si="123"/>
        <v>223</v>
      </c>
      <c r="J146" s="120">
        <f>SUM(J140:J145)</f>
        <v>10716.07</v>
      </c>
      <c r="K146" s="119">
        <f t="shared" si="123"/>
        <v>8688.9599999999991</v>
      </c>
      <c r="L146" s="119">
        <f t="shared" si="123"/>
        <v>1114471.2800000003</v>
      </c>
      <c r="M146" s="119">
        <f t="shared" si="123"/>
        <v>23192</v>
      </c>
      <c r="N146" s="123">
        <f>'Odometro-Kilometraje'!U81</f>
        <v>11092</v>
      </c>
      <c r="O146" s="21">
        <f>(W146/N146)*100</f>
        <v>95.65173097728092</v>
      </c>
      <c r="P146" s="193"/>
      <c r="Q146" s="182"/>
      <c r="R146" s="182"/>
      <c r="S146" s="182"/>
      <c r="T146" s="182"/>
      <c r="U146" s="182"/>
      <c r="V146" s="182"/>
      <c r="W146" s="194">
        <f>SUM(W140:W145)</f>
        <v>10609.69</v>
      </c>
      <c r="X146" s="194">
        <f>SUM(X140:X145)</f>
        <v>10716.07</v>
      </c>
      <c r="Z146" s="342"/>
    </row>
    <row r="147" spans="1:26" x14ac:dyDescent="0.25">
      <c r="A147" s="60">
        <f>A140+1</f>
        <v>46043</v>
      </c>
      <c r="B147" s="299">
        <v>56</v>
      </c>
      <c r="C147" s="299">
        <v>23</v>
      </c>
      <c r="D147" s="126">
        <f>'Data Ocupacion'!AR31</f>
        <v>56</v>
      </c>
      <c r="E147" s="126">
        <f>'Data Ocupacion'!AS31</f>
        <v>23</v>
      </c>
      <c r="F147" s="222" t="s">
        <v>38</v>
      </c>
      <c r="G147" s="223">
        <f t="shared" ref="G147:G152" si="124">D147+E147*2</f>
        <v>102</v>
      </c>
      <c r="H147" s="125">
        <f>B147+C147*2</f>
        <v>102</v>
      </c>
      <c r="I147" s="224">
        <f t="shared" ref="I147:I152" si="125">D147+E147</f>
        <v>79</v>
      </c>
      <c r="J147" s="224">
        <f>G147*M$2</f>
        <v>4399.26</v>
      </c>
      <c r="K147" s="153">
        <f>I147*M$2</f>
        <v>3407.27</v>
      </c>
      <c r="L147" s="125">
        <f t="shared" ref="L147:L152" si="126">J147*104</f>
        <v>457523.04000000004</v>
      </c>
      <c r="M147" s="125">
        <f t="shared" ref="M147:M152" si="127">I147*104</f>
        <v>8216</v>
      </c>
      <c r="N147" s="19"/>
      <c r="O147" s="19"/>
      <c r="P147" s="146"/>
      <c r="Q147" s="184">
        <v>4</v>
      </c>
      <c r="R147" s="184"/>
      <c r="S147" s="207"/>
      <c r="T147" s="288"/>
      <c r="U147" s="192"/>
      <c r="V147" s="230"/>
      <c r="W147" s="183">
        <f>J147-(Q147*($M$2-$K$1))-(R147*($M$2-$M$1))- (S147*($M$2-$I$2))+ (T147*($G$2))</f>
        <v>4328.34</v>
      </c>
      <c r="X147" s="183">
        <f>H147*$M$2</f>
        <v>4399.26</v>
      </c>
    </row>
    <row r="148" spans="1:26" ht="15" customHeight="1" x14ac:dyDescent="0.25">
      <c r="A148" s="255"/>
      <c r="B148" s="299">
        <v>54</v>
      </c>
      <c r="C148" s="299">
        <v>24</v>
      </c>
      <c r="D148" s="126">
        <f>'Data Ocupacion'!AR32</f>
        <v>54</v>
      </c>
      <c r="E148" s="126">
        <f>'Data Ocupacion'!AS32</f>
        <v>24</v>
      </c>
      <c r="F148" s="222" t="s">
        <v>52</v>
      </c>
      <c r="G148" s="223">
        <f t="shared" si="124"/>
        <v>102</v>
      </c>
      <c r="H148" s="125">
        <f t="shared" ref="H148:H152" si="128">B148+C148*2</f>
        <v>102</v>
      </c>
      <c r="I148" s="125">
        <f t="shared" si="125"/>
        <v>78</v>
      </c>
      <c r="J148" s="125">
        <f>G148*M$2</f>
        <v>4399.26</v>
      </c>
      <c r="K148" s="153">
        <f>I148*M$2</f>
        <v>3364.1400000000003</v>
      </c>
      <c r="L148" s="125">
        <f t="shared" si="126"/>
        <v>457523.04000000004</v>
      </c>
      <c r="M148" s="125">
        <f t="shared" si="127"/>
        <v>8112</v>
      </c>
      <c r="N148" s="19"/>
      <c r="O148" s="19"/>
      <c r="P148" s="146"/>
      <c r="Q148" s="187"/>
      <c r="R148" s="187"/>
      <c r="S148" s="219"/>
      <c r="T148" s="184">
        <v>4</v>
      </c>
      <c r="U148" s="219"/>
      <c r="V148" s="231"/>
      <c r="W148" s="186">
        <f>J148-(T148*($M$2-$K$1)+(U148*($M$2-$M$1)))</f>
        <v>4328.34</v>
      </c>
      <c r="X148" s="183">
        <f>H148*$M$2</f>
        <v>4399.26</v>
      </c>
    </row>
    <row r="149" spans="1:26" x14ac:dyDescent="0.25">
      <c r="A149" s="255"/>
      <c r="B149" s="299">
        <v>33</v>
      </c>
      <c r="C149" s="299">
        <v>0</v>
      </c>
      <c r="D149" s="126">
        <f>'Data Ocupacion'!AR33</f>
        <v>33</v>
      </c>
      <c r="E149" s="126">
        <f>'Data Ocupacion'!AS33</f>
        <v>0</v>
      </c>
      <c r="F149" s="222" t="s">
        <v>36</v>
      </c>
      <c r="G149" s="223">
        <f t="shared" si="124"/>
        <v>33</v>
      </c>
      <c r="H149" s="125">
        <f t="shared" si="128"/>
        <v>33</v>
      </c>
      <c r="I149" s="125">
        <f t="shared" si="125"/>
        <v>33</v>
      </c>
      <c r="J149" s="125">
        <f>G149*M$1</f>
        <v>960.63</v>
      </c>
      <c r="K149" s="153">
        <f>I149*M$1</f>
        <v>960.63</v>
      </c>
      <c r="L149" s="125">
        <f t="shared" si="126"/>
        <v>99905.52</v>
      </c>
      <c r="M149" s="125">
        <f t="shared" si="127"/>
        <v>3432</v>
      </c>
      <c r="N149" s="19"/>
      <c r="O149" s="19"/>
      <c r="P149" s="146"/>
      <c r="Q149" s="246"/>
      <c r="R149" s="191"/>
      <c r="S149" s="230"/>
      <c r="T149" s="187"/>
      <c r="U149" s="190"/>
      <c r="V149" s="190"/>
      <c r="W149" s="183">
        <f>J149-(Q149*($M$1-$K$1))</f>
        <v>960.63</v>
      </c>
      <c r="X149" s="183">
        <f>H149*$M$1</f>
        <v>960.63</v>
      </c>
    </row>
    <row r="150" spans="1:26" x14ac:dyDescent="0.25">
      <c r="A150" s="255"/>
      <c r="B150" s="299">
        <v>32</v>
      </c>
      <c r="C150" s="299">
        <v>0</v>
      </c>
      <c r="D150" s="126">
        <f>'Data Ocupacion'!AR34</f>
        <v>32</v>
      </c>
      <c r="E150" s="126">
        <f>'Data Ocupacion'!AS34</f>
        <v>0</v>
      </c>
      <c r="F150" s="222" t="s">
        <v>53</v>
      </c>
      <c r="G150" s="223">
        <f t="shared" si="124"/>
        <v>32</v>
      </c>
      <c r="H150" s="125">
        <f t="shared" si="128"/>
        <v>32</v>
      </c>
      <c r="I150" s="125">
        <f t="shared" si="125"/>
        <v>32</v>
      </c>
      <c r="J150" s="125">
        <f>G150*M$1</f>
        <v>931.52</v>
      </c>
      <c r="K150" s="153">
        <f>I150*M$1</f>
        <v>931.52</v>
      </c>
      <c r="L150" s="125">
        <f t="shared" si="126"/>
        <v>96878.080000000002</v>
      </c>
      <c r="M150" s="125">
        <f t="shared" si="127"/>
        <v>3328</v>
      </c>
      <c r="N150" s="19"/>
      <c r="O150" s="19"/>
      <c r="P150" s="244"/>
      <c r="Q150" s="190"/>
      <c r="R150" s="190"/>
      <c r="S150" s="190"/>
      <c r="T150" s="190"/>
      <c r="U150" s="190"/>
      <c r="V150" s="190"/>
      <c r="W150" s="183">
        <f>J150</f>
        <v>931.52</v>
      </c>
      <c r="X150" s="183">
        <f>H150*$M$1</f>
        <v>931.52</v>
      </c>
    </row>
    <row r="151" spans="1:26" ht="15" customHeight="1" x14ac:dyDescent="0.25">
      <c r="A151" s="255"/>
      <c r="B151" s="299">
        <v>0</v>
      </c>
      <c r="C151" s="299">
        <v>0</v>
      </c>
      <c r="D151" s="126">
        <f>'Data Ocupacion'!AR35</f>
        <v>0</v>
      </c>
      <c r="E151" s="126">
        <f>'Data Ocupacion'!AS35</f>
        <v>0</v>
      </c>
      <c r="F151" s="222" t="s">
        <v>122</v>
      </c>
      <c r="G151" s="223">
        <f t="shared" si="124"/>
        <v>0</v>
      </c>
      <c r="H151" s="125">
        <f t="shared" si="128"/>
        <v>0</v>
      </c>
      <c r="I151" s="125">
        <f t="shared" si="125"/>
        <v>0</v>
      </c>
      <c r="J151" s="225">
        <f>G151*K$1</f>
        <v>0</v>
      </c>
      <c r="K151" s="153">
        <f>I151*K$1</f>
        <v>0</v>
      </c>
      <c r="L151" s="125">
        <f t="shared" si="126"/>
        <v>0</v>
      </c>
      <c r="M151" s="125">
        <f t="shared" si="127"/>
        <v>0</v>
      </c>
      <c r="N151" s="19"/>
      <c r="O151" s="19"/>
      <c r="P151" s="146"/>
      <c r="Q151" s="190"/>
      <c r="R151" s="190"/>
      <c r="S151" s="190"/>
      <c r="T151" s="190"/>
      <c r="U151" s="190"/>
      <c r="V151" s="190"/>
      <c r="W151" s="183">
        <f>J151</f>
        <v>0</v>
      </c>
      <c r="X151" s="183">
        <f>H151*$K$1</f>
        <v>0</v>
      </c>
    </row>
    <row r="152" spans="1:26" ht="15.75" thickBot="1" x14ac:dyDescent="0.3">
      <c r="A152" s="255"/>
      <c r="B152" s="299">
        <v>1</v>
      </c>
      <c r="C152" s="299">
        <v>0</v>
      </c>
      <c r="D152" s="126">
        <f>'Data Ocupacion'!AR36</f>
        <v>1</v>
      </c>
      <c r="E152" s="126">
        <f>'Data Ocupacion'!AS36</f>
        <v>0</v>
      </c>
      <c r="F152" s="222" t="s">
        <v>35</v>
      </c>
      <c r="G152" s="223">
        <f t="shared" si="124"/>
        <v>1</v>
      </c>
      <c r="H152" s="125">
        <f t="shared" si="128"/>
        <v>1</v>
      </c>
      <c r="I152" s="226">
        <f t="shared" si="125"/>
        <v>1</v>
      </c>
      <c r="J152" s="226">
        <f>G152*K$1</f>
        <v>25.4</v>
      </c>
      <c r="K152" s="153">
        <f>I152*K$1</f>
        <v>25.4</v>
      </c>
      <c r="L152" s="125">
        <f t="shared" si="126"/>
        <v>2641.6</v>
      </c>
      <c r="M152" s="125">
        <f t="shared" si="127"/>
        <v>104</v>
      </c>
      <c r="N152" s="19"/>
      <c r="O152" s="19"/>
      <c r="P152" s="146"/>
      <c r="Q152" s="190"/>
      <c r="R152" s="190"/>
      <c r="S152" s="190"/>
      <c r="T152" s="190"/>
      <c r="U152" s="190"/>
      <c r="V152" s="190"/>
      <c r="W152" s="183">
        <f>J152</f>
        <v>25.4</v>
      </c>
      <c r="X152" s="183">
        <f>H152*$K$1</f>
        <v>25.4</v>
      </c>
    </row>
    <row r="153" spans="1:26" s="124" customFormat="1" ht="15.75" thickBot="1" x14ac:dyDescent="0.3">
      <c r="A153" s="20"/>
      <c r="B153" s="119">
        <f>SUM(B147:B152)</f>
        <v>176</v>
      </c>
      <c r="C153" s="119">
        <f>SUM(C147:C152)</f>
        <v>47</v>
      </c>
      <c r="D153" s="148">
        <f>SUM(D147:D152)</f>
        <v>176</v>
      </c>
      <c r="E153" s="148">
        <f>SUM(E147:E152)</f>
        <v>47</v>
      </c>
      <c r="F153" s="119"/>
      <c r="G153" s="119">
        <f t="shared" ref="G153:M153" si="129">SUM(G147:G152)</f>
        <v>270</v>
      </c>
      <c r="H153" s="119">
        <f t="shared" si="129"/>
        <v>270</v>
      </c>
      <c r="I153" s="119">
        <f t="shared" si="129"/>
        <v>223</v>
      </c>
      <c r="J153" s="120">
        <f>SUM(J147:J152)</f>
        <v>10716.07</v>
      </c>
      <c r="K153" s="119">
        <f t="shared" si="129"/>
        <v>8688.9599999999991</v>
      </c>
      <c r="L153" s="119">
        <f t="shared" si="129"/>
        <v>1114471.2800000003</v>
      </c>
      <c r="M153" s="119">
        <f t="shared" si="129"/>
        <v>23192</v>
      </c>
      <c r="N153" s="123">
        <f>'Odometro-Kilometraje'!V81</f>
        <v>10958</v>
      </c>
      <c r="O153" s="21">
        <f>(W153/N153)*100</f>
        <v>96.497809819310092</v>
      </c>
      <c r="P153" s="193"/>
      <c r="Q153" s="182"/>
      <c r="R153" s="182"/>
      <c r="S153" s="182"/>
      <c r="T153" s="182"/>
      <c r="U153" s="182"/>
      <c r="V153" s="182"/>
      <c r="W153" s="194">
        <f>SUM(W147:W152)</f>
        <v>10574.23</v>
      </c>
      <c r="X153" s="194">
        <f>SUM(X147:X152)</f>
        <v>10716.07</v>
      </c>
      <c r="Z153" s="342"/>
    </row>
    <row r="154" spans="1:26" x14ac:dyDescent="0.25">
      <c r="A154" s="60">
        <f>A147+1</f>
        <v>46044</v>
      </c>
      <c r="B154" s="299">
        <v>56</v>
      </c>
      <c r="C154" s="299">
        <v>23</v>
      </c>
      <c r="D154" s="126">
        <f>'Data Ocupacion'!AT31</f>
        <v>56</v>
      </c>
      <c r="E154" s="126">
        <f>'Data Ocupacion'!AU31</f>
        <v>23</v>
      </c>
      <c r="F154" s="222" t="s">
        <v>38</v>
      </c>
      <c r="G154" s="223">
        <f t="shared" ref="G154:G159" si="130">D154+E154*2</f>
        <v>102</v>
      </c>
      <c r="H154" s="125">
        <f>B154+C154*2</f>
        <v>102</v>
      </c>
      <c r="I154" s="224">
        <f t="shared" ref="I154:I159" si="131">D154+E154</f>
        <v>79</v>
      </c>
      <c r="J154" s="224">
        <f>G154*M$2</f>
        <v>4399.26</v>
      </c>
      <c r="K154" s="153">
        <f>I154*M$2</f>
        <v>3407.27</v>
      </c>
      <c r="L154" s="125">
        <f t="shared" ref="L154:L159" si="132">J154*104</f>
        <v>457523.04000000004</v>
      </c>
      <c r="M154" s="125">
        <f t="shared" ref="M154:M159" si="133">I154*104</f>
        <v>8216</v>
      </c>
      <c r="N154" s="19"/>
      <c r="O154" s="19"/>
      <c r="P154" s="146"/>
      <c r="Q154" s="184">
        <v>6</v>
      </c>
      <c r="R154" s="184"/>
      <c r="S154" s="207"/>
      <c r="T154" s="246"/>
      <c r="U154" s="192"/>
      <c r="V154" s="230"/>
      <c r="W154" s="183">
        <f>J154-(Q154*($M$2-$K$1))-(R154*($M$2-$M$1))- (S154*($M$2-$I$2))+ (T154*($G$2))</f>
        <v>4292.88</v>
      </c>
      <c r="X154" s="183">
        <f>H154*$M$2</f>
        <v>4399.26</v>
      </c>
    </row>
    <row r="155" spans="1:26" ht="15" customHeight="1" x14ac:dyDescent="0.25">
      <c r="A155" s="255"/>
      <c r="B155" s="299">
        <v>54</v>
      </c>
      <c r="C155" s="299">
        <v>24</v>
      </c>
      <c r="D155" s="126">
        <f>'Data Ocupacion'!AT32</f>
        <v>54</v>
      </c>
      <c r="E155" s="126">
        <f>'Data Ocupacion'!AU32</f>
        <v>24</v>
      </c>
      <c r="F155" s="222" t="s">
        <v>52</v>
      </c>
      <c r="G155" s="223">
        <f t="shared" si="130"/>
        <v>102</v>
      </c>
      <c r="H155" s="125">
        <f t="shared" ref="H155:H159" si="134">B155+C155*2</f>
        <v>102</v>
      </c>
      <c r="I155" s="125">
        <f t="shared" si="131"/>
        <v>78</v>
      </c>
      <c r="J155" s="125">
        <f>G155*M$2</f>
        <v>4399.26</v>
      </c>
      <c r="K155" s="153">
        <f>I155*M$2</f>
        <v>3364.1400000000003</v>
      </c>
      <c r="L155" s="125">
        <f t="shared" si="132"/>
        <v>457523.04000000004</v>
      </c>
      <c r="M155" s="125">
        <f t="shared" si="133"/>
        <v>8112</v>
      </c>
      <c r="N155" s="19"/>
      <c r="O155" s="19"/>
      <c r="P155" s="146"/>
      <c r="Q155" s="187"/>
      <c r="R155" s="187"/>
      <c r="S155" s="187"/>
      <c r="T155" s="184">
        <v>7</v>
      </c>
      <c r="U155" s="205"/>
      <c r="V155" s="231"/>
      <c r="W155" s="186">
        <f>J155-(T155*($M$2-$K$1)+(U155*($M$2-$M$1)))</f>
        <v>4275.1500000000005</v>
      </c>
      <c r="X155" s="183">
        <f>H155*$M$2</f>
        <v>4399.26</v>
      </c>
      <c r="Y155" s="124"/>
      <c r="Z155" s="124"/>
    </row>
    <row r="156" spans="1:26" ht="14.45" customHeight="1" x14ac:dyDescent="0.25">
      <c r="A156" s="255"/>
      <c r="B156" s="299">
        <v>33</v>
      </c>
      <c r="C156" s="299">
        <v>0</v>
      </c>
      <c r="D156" s="126">
        <f>'Data Ocupacion'!AT33</f>
        <v>33</v>
      </c>
      <c r="E156" s="126">
        <f>'Data Ocupacion'!AU33</f>
        <v>0</v>
      </c>
      <c r="F156" s="222" t="s">
        <v>36</v>
      </c>
      <c r="G156" s="223">
        <f t="shared" si="130"/>
        <v>33</v>
      </c>
      <c r="H156" s="125">
        <f t="shared" si="134"/>
        <v>33</v>
      </c>
      <c r="I156" s="125">
        <f t="shared" si="131"/>
        <v>33</v>
      </c>
      <c r="J156" s="125">
        <f>G156*M$1</f>
        <v>960.63</v>
      </c>
      <c r="K156" s="153">
        <f>I156*M$1</f>
        <v>960.63</v>
      </c>
      <c r="L156" s="125">
        <f t="shared" si="132"/>
        <v>99905.52</v>
      </c>
      <c r="M156" s="125">
        <f t="shared" si="133"/>
        <v>3432</v>
      </c>
      <c r="N156" s="19"/>
      <c r="O156" s="19"/>
      <c r="P156" s="146"/>
      <c r="Q156" s="246"/>
      <c r="R156" s="188"/>
      <c r="S156" s="208"/>
      <c r="T156" s="189"/>
      <c r="U156" s="190"/>
      <c r="V156" s="190"/>
      <c r="W156" s="183">
        <f>J156-(Q156*($M$1-$K$1))</f>
        <v>960.63</v>
      </c>
      <c r="X156" s="183">
        <f>H156*$M$1</f>
        <v>960.63</v>
      </c>
      <c r="Y156" s="124"/>
      <c r="Z156" s="124"/>
    </row>
    <row r="157" spans="1:26" ht="15" customHeight="1" x14ac:dyDescent="0.25">
      <c r="A157" s="255"/>
      <c r="B157" s="299">
        <v>32</v>
      </c>
      <c r="C157" s="299">
        <v>0</v>
      </c>
      <c r="D157" s="126">
        <f>'Data Ocupacion'!AT34</f>
        <v>32</v>
      </c>
      <c r="E157" s="126">
        <f>'Data Ocupacion'!AU34</f>
        <v>0</v>
      </c>
      <c r="F157" s="222" t="s">
        <v>53</v>
      </c>
      <c r="G157" s="223">
        <f t="shared" si="130"/>
        <v>32</v>
      </c>
      <c r="H157" s="125">
        <f t="shared" si="134"/>
        <v>32</v>
      </c>
      <c r="I157" s="125">
        <f t="shared" si="131"/>
        <v>32</v>
      </c>
      <c r="J157" s="125">
        <f>G157*M$1</f>
        <v>931.52</v>
      </c>
      <c r="K157" s="153">
        <f>I157*M$1</f>
        <v>931.52</v>
      </c>
      <c r="L157" s="125">
        <f t="shared" si="132"/>
        <v>96878.080000000002</v>
      </c>
      <c r="M157" s="125">
        <f t="shared" si="133"/>
        <v>3328</v>
      </c>
      <c r="N157" s="19"/>
      <c r="O157" s="19"/>
      <c r="P157" s="146"/>
      <c r="Q157" s="190"/>
      <c r="R157" s="190"/>
      <c r="S157" s="190"/>
      <c r="T157" s="190"/>
      <c r="U157" s="190"/>
      <c r="V157" s="190"/>
      <c r="W157" s="183">
        <f>J157</f>
        <v>931.52</v>
      </c>
      <c r="X157" s="183">
        <f>H157*$M$1</f>
        <v>931.52</v>
      </c>
      <c r="Y157" s="124"/>
      <c r="Z157" s="124"/>
    </row>
    <row r="158" spans="1:26" ht="13.5" customHeight="1" x14ac:dyDescent="0.25">
      <c r="A158" s="255"/>
      <c r="B158" s="299">
        <v>0</v>
      </c>
      <c r="C158" s="299">
        <v>0</v>
      </c>
      <c r="D158" s="126">
        <f>'Data Ocupacion'!AT35</f>
        <v>0</v>
      </c>
      <c r="E158" s="126">
        <f>'Data Ocupacion'!AU35</f>
        <v>0</v>
      </c>
      <c r="F158" s="222" t="s">
        <v>122</v>
      </c>
      <c r="G158" s="223">
        <f t="shared" si="130"/>
        <v>0</v>
      </c>
      <c r="H158" s="125">
        <f t="shared" si="134"/>
        <v>0</v>
      </c>
      <c r="I158" s="125">
        <f t="shared" si="131"/>
        <v>0</v>
      </c>
      <c r="J158" s="225">
        <f>G158*K$1</f>
        <v>0</v>
      </c>
      <c r="K158" s="153">
        <f>I158*M$1</f>
        <v>0</v>
      </c>
      <c r="L158" s="125">
        <f t="shared" si="132"/>
        <v>0</v>
      </c>
      <c r="M158" s="125">
        <f t="shared" si="133"/>
        <v>0</v>
      </c>
      <c r="N158" s="19"/>
      <c r="O158" s="19"/>
      <c r="P158" s="146"/>
      <c r="Q158" s="190"/>
      <c r="R158" s="190"/>
      <c r="S158" s="190"/>
      <c r="T158" s="190"/>
      <c r="U158" s="190"/>
      <c r="V158" s="190"/>
      <c r="W158" s="183">
        <f>J158</f>
        <v>0</v>
      </c>
      <c r="X158" s="183">
        <f>H158*$K$1</f>
        <v>0</v>
      </c>
      <c r="Y158" s="124"/>
      <c r="Z158" s="124"/>
    </row>
    <row r="159" spans="1:26" ht="15.75" thickBot="1" x14ac:dyDescent="0.3">
      <c r="A159" s="255"/>
      <c r="B159" s="299">
        <v>1</v>
      </c>
      <c r="C159" s="299">
        <v>0</v>
      </c>
      <c r="D159" s="126">
        <f>'Data Ocupacion'!AT36</f>
        <v>1</v>
      </c>
      <c r="E159" s="126">
        <f>'Data Ocupacion'!AU36</f>
        <v>0</v>
      </c>
      <c r="F159" s="222" t="s">
        <v>35</v>
      </c>
      <c r="G159" s="223">
        <f t="shared" si="130"/>
        <v>1</v>
      </c>
      <c r="H159" s="125">
        <f t="shared" si="134"/>
        <v>1</v>
      </c>
      <c r="I159" s="226">
        <f t="shared" si="131"/>
        <v>1</v>
      </c>
      <c r="J159" s="226">
        <f>G159*K$1</f>
        <v>25.4</v>
      </c>
      <c r="K159" s="153">
        <f>I159*K$1</f>
        <v>25.4</v>
      </c>
      <c r="L159" s="125">
        <f t="shared" si="132"/>
        <v>2641.6</v>
      </c>
      <c r="M159" s="125">
        <f t="shared" si="133"/>
        <v>104</v>
      </c>
      <c r="N159" s="19"/>
      <c r="O159" s="19"/>
      <c r="P159" s="146"/>
      <c r="Q159" s="190"/>
      <c r="R159" s="190"/>
      <c r="S159" s="190"/>
      <c r="T159" s="190"/>
      <c r="U159" s="190"/>
      <c r="V159" s="190"/>
      <c r="W159" s="183">
        <f>J159</f>
        <v>25.4</v>
      </c>
      <c r="X159" s="183">
        <f>H159*$K$1</f>
        <v>25.4</v>
      </c>
    </row>
    <row r="160" spans="1:26" s="124" customFormat="1" ht="15.75" thickBot="1" x14ac:dyDescent="0.3">
      <c r="A160" s="20"/>
      <c r="B160" s="119">
        <f>SUM(B154:B159)</f>
        <v>176</v>
      </c>
      <c r="C160" s="119">
        <f>SUM(C154:C159)</f>
        <v>47</v>
      </c>
      <c r="D160" s="148">
        <f>SUM(D154:D159)</f>
        <v>176</v>
      </c>
      <c r="E160" s="148">
        <f>SUM(E154:E159)</f>
        <v>47</v>
      </c>
      <c r="F160" s="119"/>
      <c r="G160" s="119">
        <f t="shared" ref="G160:M160" si="135">SUM(G154:G159)</f>
        <v>270</v>
      </c>
      <c r="H160" s="119">
        <f t="shared" si="135"/>
        <v>270</v>
      </c>
      <c r="I160" s="119">
        <f t="shared" si="135"/>
        <v>223</v>
      </c>
      <c r="J160" s="120">
        <f>SUM(J154:J159)</f>
        <v>10716.07</v>
      </c>
      <c r="K160" s="119">
        <f t="shared" si="135"/>
        <v>8688.9599999999991</v>
      </c>
      <c r="L160" s="119">
        <f t="shared" si="135"/>
        <v>1114471.2800000003</v>
      </c>
      <c r="M160" s="119">
        <f t="shared" si="135"/>
        <v>23192</v>
      </c>
      <c r="N160" s="123">
        <f>'Odometro-Kilometraje'!W81</f>
        <v>10861</v>
      </c>
      <c r="O160" s="21">
        <f>(W160/N160)*100</f>
        <v>96.543412208820541</v>
      </c>
      <c r="P160" s="193"/>
      <c r="Q160" s="182"/>
      <c r="R160" s="182"/>
      <c r="S160" s="182"/>
      <c r="T160" s="182"/>
      <c r="U160" s="182"/>
      <c r="V160" s="182"/>
      <c r="W160" s="194">
        <f>SUM(W154:W159)</f>
        <v>10485.58</v>
      </c>
      <c r="X160" s="194">
        <f>SUM(X154:X159)</f>
        <v>10716.07</v>
      </c>
      <c r="Z160" s="342"/>
    </row>
    <row r="161" spans="1:26" s="124" customFormat="1" x14ac:dyDescent="0.25">
      <c r="A161" s="60">
        <f>A154+1</f>
        <v>46045</v>
      </c>
      <c r="B161" s="299">
        <v>56</v>
      </c>
      <c r="C161" s="299">
        <v>23</v>
      </c>
      <c r="D161" s="126">
        <f>'Data Ocupacion'!AV31</f>
        <v>53</v>
      </c>
      <c r="E161" s="126">
        <f>'Data Ocupacion'!AW31</f>
        <v>23</v>
      </c>
      <c r="F161" s="222" t="s">
        <v>38</v>
      </c>
      <c r="G161" s="223">
        <f t="shared" ref="G161:G166" si="136">D161+E161*2</f>
        <v>99</v>
      </c>
      <c r="H161" s="125">
        <f>B161+C161*2</f>
        <v>102</v>
      </c>
      <c r="I161" s="224">
        <f t="shared" ref="I161:I166" si="137">D161+E161</f>
        <v>76</v>
      </c>
      <c r="J161" s="224">
        <f>G161*M$2</f>
        <v>4269.87</v>
      </c>
      <c r="K161" s="153">
        <f>I161*M$2</f>
        <v>3277.88</v>
      </c>
      <c r="L161" s="125">
        <f t="shared" ref="L161:L166" si="138">J161*104</f>
        <v>444066.48</v>
      </c>
      <c r="M161" s="125">
        <f t="shared" ref="M161:M166" si="139">I161*104</f>
        <v>7904</v>
      </c>
      <c r="N161" s="19"/>
      <c r="O161" s="19"/>
      <c r="P161" s="146"/>
      <c r="Q161" s="184">
        <v>1</v>
      </c>
      <c r="R161" s="184"/>
      <c r="S161" s="207"/>
      <c r="T161" s="246"/>
      <c r="U161" s="192"/>
      <c r="V161" s="230"/>
      <c r="W161" s="183">
        <f>J161-(Q161*($M$2-$K$1))-(R161*($M$2-$M$1))- (S161*($M$2-$I$2))+ (T161*($G$2))</f>
        <v>4252.1400000000003</v>
      </c>
      <c r="X161" s="183">
        <f>H161*$M$2</f>
        <v>4399.26</v>
      </c>
    </row>
    <row r="162" spans="1:26" ht="15" customHeight="1" x14ac:dyDescent="0.25">
      <c r="A162" s="371" t="s">
        <v>184</v>
      </c>
      <c r="B162" s="299">
        <v>54</v>
      </c>
      <c r="C162" s="299">
        <v>24</v>
      </c>
      <c r="D162" s="126">
        <f>'Data Ocupacion'!AV32</f>
        <v>52</v>
      </c>
      <c r="E162" s="126">
        <f>'Data Ocupacion'!AW32</f>
        <v>22</v>
      </c>
      <c r="F162" s="222" t="s">
        <v>52</v>
      </c>
      <c r="G162" s="223">
        <f t="shared" si="136"/>
        <v>96</v>
      </c>
      <c r="H162" s="125">
        <f t="shared" ref="H162:H166" si="140">B162+C162*2</f>
        <v>102</v>
      </c>
      <c r="I162" s="125">
        <f t="shared" si="137"/>
        <v>74</v>
      </c>
      <c r="J162" s="125">
        <f>G162*M$2</f>
        <v>4140.4800000000005</v>
      </c>
      <c r="K162" s="153">
        <f>I162*M$2</f>
        <v>3191.6200000000003</v>
      </c>
      <c r="L162" s="125">
        <f t="shared" si="138"/>
        <v>430609.92000000004</v>
      </c>
      <c r="M162" s="125">
        <f t="shared" si="139"/>
        <v>7696</v>
      </c>
      <c r="N162" s="19"/>
      <c r="O162" s="19"/>
      <c r="P162" s="146"/>
      <c r="Q162" s="187"/>
      <c r="R162" s="187"/>
      <c r="S162" s="219"/>
      <c r="T162" s="184">
        <v>2</v>
      </c>
      <c r="U162" s="219"/>
      <c r="V162" s="231"/>
      <c r="W162" s="186">
        <f>J162-(T162*($M$2-$K$1)+(U162*($M$2-$M$1)))</f>
        <v>4105.0200000000004</v>
      </c>
      <c r="X162" s="183">
        <f>H162*$M$2</f>
        <v>4399.26</v>
      </c>
      <c r="Y162" s="172"/>
    </row>
    <row r="163" spans="1:26" ht="15" customHeight="1" x14ac:dyDescent="0.25">
      <c r="A163" s="371"/>
      <c r="B163" s="299">
        <v>33</v>
      </c>
      <c r="C163" s="299">
        <v>0</v>
      </c>
      <c r="D163" s="126">
        <f>'Data Ocupacion'!AV33</f>
        <v>33</v>
      </c>
      <c r="E163" s="126">
        <f>'Data Ocupacion'!AW33</f>
        <v>0</v>
      </c>
      <c r="F163" s="222" t="s">
        <v>36</v>
      </c>
      <c r="G163" s="223">
        <f t="shared" si="136"/>
        <v>33</v>
      </c>
      <c r="H163" s="125">
        <f t="shared" si="140"/>
        <v>33</v>
      </c>
      <c r="I163" s="125">
        <f t="shared" si="137"/>
        <v>33</v>
      </c>
      <c r="J163" s="125">
        <f>G163*M$1</f>
        <v>960.63</v>
      </c>
      <c r="K163" s="153">
        <f>I163*M$1</f>
        <v>960.63</v>
      </c>
      <c r="L163" s="125">
        <f t="shared" si="138"/>
        <v>99905.52</v>
      </c>
      <c r="M163" s="125">
        <f t="shared" si="139"/>
        <v>3432</v>
      </c>
      <c r="N163" s="19"/>
      <c r="O163" s="19"/>
      <c r="P163" s="146"/>
      <c r="Q163" s="184"/>
      <c r="R163" s="188"/>
      <c r="S163" s="208"/>
      <c r="T163" s="189"/>
      <c r="U163" s="190"/>
      <c r="V163" s="190"/>
      <c r="W163" s="183">
        <f>J163-(Q163*($M$1-$K$1))</f>
        <v>960.63</v>
      </c>
      <c r="X163" s="183">
        <f>H163*$M$1</f>
        <v>960.63</v>
      </c>
    </row>
    <row r="164" spans="1:26" ht="15" customHeight="1" x14ac:dyDescent="0.25">
      <c r="A164" s="371"/>
      <c r="B164" s="299">
        <v>32</v>
      </c>
      <c r="C164" s="299">
        <v>0</v>
      </c>
      <c r="D164" s="126">
        <f>'Data Ocupacion'!AV34</f>
        <v>29</v>
      </c>
      <c r="E164" s="126">
        <f>'Data Ocupacion'!AW34</f>
        <v>0</v>
      </c>
      <c r="F164" s="222" t="s">
        <v>53</v>
      </c>
      <c r="G164" s="223">
        <f t="shared" si="136"/>
        <v>29</v>
      </c>
      <c r="H164" s="125">
        <f t="shared" si="140"/>
        <v>32</v>
      </c>
      <c r="I164" s="125">
        <f t="shared" si="137"/>
        <v>29</v>
      </c>
      <c r="J164" s="125">
        <f>G164*M$1</f>
        <v>844.18999999999994</v>
      </c>
      <c r="K164" s="153">
        <f>I164*M$1</f>
        <v>844.18999999999994</v>
      </c>
      <c r="L164" s="125">
        <f t="shared" si="138"/>
        <v>87795.76</v>
      </c>
      <c r="M164" s="125">
        <f t="shared" si="139"/>
        <v>3016</v>
      </c>
      <c r="N164" s="19"/>
      <c r="O164" s="19"/>
      <c r="P164" s="146"/>
      <c r="Q164" s="190"/>
      <c r="R164" s="190"/>
      <c r="S164" s="190"/>
      <c r="T164" s="190"/>
      <c r="U164" s="190"/>
      <c r="V164" s="190"/>
      <c r="W164" s="183">
        <f>J164</f>
        <v>844.18999999999994</v>
      </c>
      <c r="X164" s="183">
        <f>H164*$M$1</f>
        <v>931.52</v>
      </c>
    </row>
    <row r="165" spans="1:26" ht="13.5" customHeight="1" x14ac:dyDescent="0.25">
      <c r="A165" s="371"/>
      <c r="B165" s="299">
        <v>0</v>
      </c>
      <c r="C165" s="299">
        <v>0</v>
      </c>
      <c r="D165" s="126">
        <f>'Data Ocupacion'!AV35</f>
        <v>0</v>
      </c>
      <c r="E165" s="126">
        <f>'Data Ocupacion'!AW35</f>
        <v>0</v>
      </c>
      <c r="F165" s="222" t="s">
        <v>122</v>
      </c>
      <c r="G165" s="223">
        <f t="shared" si="136"/>
        <v>0</v>
      </c>
      <c r="H165" s="125">
        <f t="shared" si="140"/>
        <v>0</v>
      </c>
      <c r="I165" s="125">
        <f t="shared" si="137"/>
        <v>0</v>
      </c>
      <c r="J165" s="225">
        <f>G165*K$1</f>
        <v>0</v>
      </c>
      <c r="K165" s="153">
        <f>I165*K$1</f>
        <v>0</v>
      </c>
      <c r="L165" s="125">
        <f t="shared" si="138"/>
        <v>0</v>
      </c>
      <c r="M165" s="125">
        <f t="shared" si="139"/>
        <v>0</v>
      </c>
      <c r="N165" s="19"/>
      <c r="O165" s="19"/>
      <c r="P165" s="146"/>
      <c r="Q165" s="190"/>
      <c r="R165" s="190"/>
      <c r="S165" s="190"/>
      <c r="T165" s="190"/>
      <c r="U165" s="190"/>
      <c r="V165" s="190"/>
      <c r="W165" s="183">
        <f>J165</f>
        <v>0</v>
      </c>
      <c r="X165" s="183">
        <f>H165*$K$1</f>
        <v>0</v>
      </c>
    </row>
    <row r="166" spans="1:26" ht="12.6" customHeight="1" thickBot="1" x14ac:dyDescent="0.3">
      <c r="A166" s="371"/>
      <c r="B166" s="299">
        <v>1</v>
      </c>
      <c r="C166" s="299">
        <v>0</v>
      </c>
      <c r="D166" s="126">
        <f>'Data Ocupacion'!AV36</f>
        <v>3</v>
      </c>
      <c r="E166" s="126">
        <f>'Data Ocupacion'!AW36</f>
        <v>2</v>
      </c>
      <c r="F166" s="222" t="s">
        <v>35</v>
      </c>
      <c r="G166" s="223">
        <f t="shared" si="136"/>
        <v>7</v>
      </c>
      <c r="H166" s="125">
        <f t="shared" si="140"/>
        <v>1</v>
      </c>
      <c r="I166" s="226">
        <f t="shared" si="137"/>
        <v>5</v>
      </c>
      <c r="J166" s="226">
        <f>G166*K$1</f>
        <v>177.79999999999998</v>
      </c>
      <c r="K166" s="153">
        <f>I166*K$1</f>
        <v>127</v>
      </c>
      <c r="L166" s="125">
        <f t="shared" si="138"/>
        <v>18491.199999999997</v>
      </c>
      <c r="M166" s="125">
        <f t="shared" si="139"/>
        <v>520</v>
      </c>
      <c r="N166" s="19"/>
      <c r="O166" s="19"/>
      <c r="P166" s="146"/>
      <c r="Q166" s="190"/>
      <c r="R166" s="190"/>
      <c r="S166" s="190"/>
      <c r="T166" s="190"/>
      <c r="U166" s="190"/>
      <c r="V166" s="190"/>
      <c r="W166" s="183">
        <f>J166</f>
        <v>177.79999999999998</v>
      </c>
      <c r="X166" s="183">
        <f>H166*$K$1</f>
        <v>25.4</v>
      </c>
    </row>
    <row r="167" spans="1:26" s="124" customFormat="1" ht="15" customHeight="1" thickBot="1" x14ac:dyDescent="0.3">
      <c r="A167" s="341"/>
      <c r="B167" s="119">
        <f>SUM(B161:B166)</f>
        <v>176</v>
      </c>
      <c r="C167" s="119">
        <f>SUM(C161:C166)</f>
        <v>47</v>
      </c>
      <c r="D167" s="148">
        <f>SUM(D161:D166)</f>
        <v>170</v>
      </c>
      <c r="E167" s="148">
        <f>SUM(E161:E166)</f>
        <v>47</v>
      </c>
      <c r="F167" s="119"/>
      <c r="G167" s="119">
        <f t="shared" ref="G167:M167" si="141">SUM(G161:G166)</f>
        <v>264</v>
      </c>
      <c r="H167" s="119">
        <f t="shared" si="141"/>
        <v>270</v>
      </c>
      <c r="I167" s="119">
        <f t="shared" si="141"/>
        <v>217</v>
      </c>
      <c r="J167" s="120">
        <f>SUM(J161:J166)</f>
        <v>10392.969999999999</v>
      </c>
      <c r="K167" s="119">
        <f t="shared" si="141"/>
        <v>8401.32</v>
      </c>
      <c r="L167" s="119">
        <f t="shared" si="141"/>
        <v>1080868.8799999999</v>
      </c>
      <c r="M167" s="119">
        <f t="shared" si="141"/>
        <v>22568</v>
      </c>
      <c r="N167" s="123">
        <f>'Odometro-Kilometraje'!X81</f>
        <v>10805</v>
      </c>
      <c r="O167" s="21">
        <f>(W167/N167)*100</f>
        <v>95.694400740397953</v>
      </c>
      <c r="P167" s="193"/>
      <c r="Q167" s="182"/>
      <c r="R167" s="182"/>
      <c r="S167" s="182"/>
      <c r="T167" s="182"/>
      <c r="U167" s="182"/>
      <c r="V167" s="182"/>
      <c r="W167" s="194">
        <f>SUM(W161:W166)</f>
        <v>10339.779999999999</v>
      </c>
      <c r="X167" s="194">
        <f>SUM(X161:X166)</f>
        <v>10716.07</v>
      </c>
      <c r="Z167" s="342"/>
    </row>
    <row r="168" spans="1:26" x14ac:dyDescent="0.25">
      <c r="A168" s="60">
        <f>A161+1</f>
        <v>46046</v>
      </c>
      <c r="B168" s="116">
        <v>69</v>
      </c>
      <c r="C168" s="116">
        <v>3</v>
      </c>
      <c r="D168" s="126">
        <f>'Data Ocupacion'!AX31</f>
        <v>70</v>
      </c>
      <c r="E168" s="126">
        <f>'Data Ocupacion'!AY31</f>
        <v>2</v>
      </c>
      <c r="F168" s="317" t="s">
        <v>38</v>
      </c>
      <c r="G168" s="316">
        <f t="shared" ref="G168:G173" si="142">D168+E168*2</f>
        <v>74</v>
      </c>
      <c r="H168" s="116">
        <f>B168+C168*2</f>
        <v>75</v>
      </c>
      <c r="I168" s="318">
        <f t="shared" ref="I168:I173" si="143">D168+E168</f>
        <v>72</v>
      </c>
      <c r="J168" s="318">
        <f>G168*M$2</f>
        <v>3191.6200000000003</v>
      </c>
      <c r="K168" s="153">
        <f>I168*M$2</f>
        <v>3105.36</v>
      </c>
      <c r="L168" s="116">
        <f t="shared" ref="L168:L173" si="144">J168*104</f>
        <v>331928.48000000004</v>
      </c>
      <c r="M168" s="116">
        <f t="shared" ref="M168:M173" si="145">I168*104</f>
        <v>7488</v>
      </c>
      <c r="N168" s="19"/>
      <c r="O168" s="19"/>
      <c r="P168" s="146"/>
      <c r="Q168" s="184"/>
      <c r="R168" s="184"/>
      <c r="S168" s="207"/>
      <c r="T168" s="288"/>
      <c r="U168" s="192"/>
      <c r="V168" s="230"/>
      <c r="W168" s="183">
        <f>J168-(Q168*($M$2-$K$1))-(R168*($M$2-$M$1))- (S168*($M$2-$I$2))+ (T168*($G$2))</f>
        <v>3191.6200000000003</v>
      </c>
      <c r="X168" s="183">
        <f>H168*$M$2</f>
        <v>3234.75</v>
      </c>
    </row>
    <row r="169" spans="1:26" ht="15" customHeight="1" x14ac:dyDescent="0.25">
      <c r="A169" s="255"/>
      <c r="B169" s="116">
        <v>75</v>
      </c>
      <c r="C169" s="116">
        <v>0</v>
      </c>
      <c r="D169" s="126">
        <f>'Data Ocupacion'!AX32</f>
        <v>74</v>
      </c>
      <c r="E169" s="126">
        <f>'Data Ocupacion'!AY32</f>
        <v>1</v>
      </c>
      <c r="F169" s="317" t="s">
        <v>52</v>
      </c>
      <c r="G169" s="316">
        <f t="shared" si="142"/>
        <v>76</v>
      </c>
      <c r="H169" s="116">
        <f t="shared" ref="H169:H173" si="146">B169+C169*2</f>
        <v>75</v>
      </c>
      <c r="I169" s="116">
        <f t="shared" si="143"/>
        <v>75</v>
      </c>
      <c r="J169" s="116">
        <f>G169*M$2</f>
        <v>3277.88</v>
      </c>
      <c r="K169" s="153">
        <f>I169*M$2</f>
        <v>3234.75</v>
      </c>
      <c r="L169" s="116">
        <f t="shared" si="144"/>
        <v>340899.52</v>
      </c>
      <c r="M169" s="116">
        <f t="shared" si="145"/>
        <v>7800</v>
      </c>
      <c r="N169" s="19"/>
      <c r="O169" s="19"/>
      <c r="P169" s="146"/>
      <c r="Q169" s="187"/>
      <c r="R169" s="187"/>
      <c r="S169" s="219"/>
      <c r="T169" s="288"/>
      <c r="U169" s="219"/>
      <c r="V169" s="231"/>
      <c r="W169" s="186">
        <f>J169-(T169*($M$2-$K$1)+(U169*($M$2-$M$1)))</f>
        <v>3277.88</v>
      </c>
      <c r="X169" s="183">
        <f>H169*$M$2</f>
        <v>3234.75</v>
      </c>
      <c r="Y169" s="172"/>
    </row>
    <row r="170" spans="1:26" ht="15" customHeight="1" x14ac:dyDescent="0.25">
      <c r="A170" s="255"/>
      <c r="B170" s="116">
        <v>0</v>
      </c>
      <c r="C170" s="116">
        <v>0</v>
      </c>
      <c r="D170" s="147">
        <f>'Data Ocupacion'!AX33</f>
        <v>0</v>
      </c>
      <c r="E170" s="147">
        <f>'Data Ocupacion'!AY33</f>
        <v>0</v>
      </c>
      <c r="F170" s="317" t="s">
        <v>36</v>
      </c>
      <c r="G170" s="316">
        <f t="shared" si="142"/>
        <v>0</v>
      </c>
      <c r="H170" s="116">
        <f t="shared" si="146"/>
        <v>0</v>
      </c>
      <c r="I170" s="116">
        <f t="shared" si="143"/>
        <v>0</v>
      </c>
      <c r="J170" s="116">
        <f>G170*M$1</f>
        <v>0</v>
      </c>
      <c r="K170" s="153">
        <f>I170*M$1</f>
        <v>0</v>
      </c>
      <c r="L170" s="116">
        <f t="shared" si="144"/>
        <v>0</v>
      </c>
      <c r="M170" s="116">
        <f t="shared" si="145"/>
        <v>0</v>
      </c>
      <c r="N170" s="19"/>
      <c r="O170" s="19"/>
      <c r="P170" s="146"/>
      <c r="Q170" s="184"/>
      <c r="R170" s="191"/>
      <c r="S170" s="230"/>
      <c r="T170" s="187"/>
      <c r="U170" s="190"/>
      <c r="V170" s="190"/>
      <c r="W170" s="183">
        <f>J170-(Q170*($M$1-$K$1))</f>
        <v>0</v>
      </c>
      <c r="X170" s="183">
        <f>H170*$M$1</f>
        <v>0</v>
      </c>
    </row>
    <row r="171" spans="1:26" ht="15" customHeight="1" x14ac:dyDescent="0.25">
      <c r="A171" s="255"/>
      <c r="B171" s="116">
        <v>0</v>
      </c>
      <c r="C171" s="116">
        <v>0</v>
      </c>
      <c r="D171" s="147">
        <f>'Data Ocupacion'!AX34</f>
        <v>0</v>
      </c>
      <c r="E171" s="147">
        <f>'Data Ocupacion'!AY34</f>
        <v>0</v>
      </c>
      <c r="F171" s="317" t="s">
        <v>53</v>
      </c>
      <c r="G171" s="316">
        <f t="shared" si="142"/>
        <v>0</v>
      </c>
      <c r="H171" s="116">
        <f t="shared" si="146"/>
        <v>0</v>
      </c>
      <c r="I171" s="116">
        <f t="shared" si="143"/>
        <v>0</v>
      </c>
      <c r="J171" s="116">
        <f>G171*M$1</f>
        <v>0</v>
      </c>
      <c r="K171" s="153">
        <f>I171*M$1</f>
        <v>0</v>
      </c>
      <c r="L171" s="116">
        <f t="shared" si="144"/>
        <v>0</v>
      </c>
      <c r="M171" s="116">
        <f t="shared" si="145"/>
        <v>0</v>
      </c>
      <c r="N171" s="19"/>
      <c r="O171" s="19"/>
      <c r="P171" s="146"/>
      <c r="Q171" s="190"/>
      <c r="R171" s="190"/>
      <c r="S171" s="190"/>
      <c r="T171" s="190"/>
      <c r="U171" s="190"/>
      <c r="V171" s="190"/>
      <c r="W171" s="183">
        <f>J171</f>
        <v>0</v>
      </c>
      <c r="X171" s="183">
        <f>H171*$M$1</f>
        <v>0</v>
      </c>
    </row>
    <row r="172" spans="1:26" ht="15" customHeight="1" x14ac:dyDescent="0.25">
      <c r="A172" s="255"/>
      <c r="B172" s="116">
        <v>0</v>
      </c>
      <c r="C172" s="116">
        <v>0</v>
      </c>
      <c r="D172" s="147">
        <f>'Data Ocupacion'!AX35</f>
        <v>0</v>
      </c>
      <c r="E172" s="147">
        <f>'Data Ocupacion'!AY35</f>
        <v>0</v>
      </c>
      <c r="F172" s="317" t="s">
        <v>122</v>
      </c>
      <c r="G172" s="316">
        <f t="shared" si="142"/>
        <v>0</v>
      </c>
      <c r="H172" s="116">
        <f t="shared" si="146"/>
        <v>0</v>
      </c>
      <c r="I172" s="116">
        <f t="shared" si="143"/>
        <v>0</v>
      </c>
      <c r="J172" s="319">
        <f>G172*K$1</f>
        <v>0</v>
      </c>
      <c r="K172" s="153">
        <f>I172*K$1</f>
        <v>0</v>
      </c>
      <c r="L172" s="116">
        <f t="shared" si="144"/>
        <v>0</v>
      </c>
      <c r="M172" s="116">
        <f t="shared" si="145"/>
        <v>0</v>
      </c>
      <c r="N172" s="19"/>
      <c r="O172" s="19"/>
      <c r="P172" s="146"/>
      <c r="Q172" s="190"/>
      <c r="R172" s="190"/>
      <c r="S172" s="190"/>
      <c r="T172" s="190"/>
      <c r="U172" s="190"/>
      <c r="V172" s="190"/>
      <c r="W172" s="183">
        <f>J172</f>
        <v>0</v>
      </c>
      <c r="X172" s="183">
        <f>H172*$K$1</f>
        <v>0</v>
      </c>
    </row>
    <row r="173" spans="1:26" ht="15.75" thickBot="1" x14ac:dyDescent="0.3">
      <c r="A173" s="255"/>
      <c r="B173" s="116">
        <v>0</v>
      </c>
      <c r="C173" s="116">
        <v>0</v>
      </c>
      <c r="D173" s="147">
        <f>'Data Ocupacion'!AX36</f>
        <v>0</v>
      </c>
      <c r="E173" s="147">
        <f>'Data Ocupacion'!AY36</f>
        <v>0</v>
      </c>
      <c r="F173" s="317" t="s">
        <v>35</v>
      </c>
      <c r="G173" s="316">
        <f t="shared" si="142"/>
        <v>0</v>
      </c>
      <c r="H173" s="116">
        <f t="shared" si="146"/>
        <v>0</v>
      </c>
      <c r="I173" s="320">
        <f t="shared" si="143"/>
        <v>0</v>
      </c>
      <c r="J173" s="320">
        <f>G173*K$1</f>
        <v>0</v>
      </c>
      <c r="K173" s="153">
        <f>I173*K$1</f>
        <v>0</v>
      </c>
      <c r="L173" s="116">
        <f t="shared" si="144"/>
        <v>0</v>
      </c>
      <c r="M173" s="116">
        <f t="shared" si="145"/>
        <v>0</v>
      </c>
      <c r="N173" s="19"/>
      <c r="O173" s="19"/>
      <c r="P173" s="146"/>
      <c r="Q173" s="190"/>
      <c r="R173" s="190"/>
      <c r="S173" s="190"/>
      <c r="T173" s="190"/>
      <c r="U173" s="190"/>
      <c r="V173" s="190"/>
      <c r="W173" s="183">
        <f>J173</f>
        <v>0</v>
      </c>
      <c r="X173" s="183">
        <f>H173*$K$1</f>
        <v>0</v>
      </c>
    </row>
    <row r="174" spans="1:26" s="124" customFormat="1" ht="15.75" thickBot="1" x14ac:dyDescent="0.3">
      <c r="A174" s="20"/>
      <c r="B174" s="119">
        <f>SUM(B168:B173)</f>
        <v>144</v>
      </c>
      <c r="C174" s="119">
        <f>SUM(C168:C173)</f>
        <v>3</v>
      </c>
      <c r="D174" s="148">
        <f>SUM(D168:D173)</f>
        <v>144</v>
      </c>
      <c r="E174" s="148">
        <f>SUM(E168:E173)</f>
        <v>3</v>
      </c>
      <c r="F174" s="119"/>
      <c r="G174" s="119">
        <f t="shared" ref="G174:M174" si="147">SUM(G168:G173)</f>
        <v>150</v>
      </c>
      <c r="H174" s="119">
        <f t="shared" si="147"/>
        <v>150</v>
      </c>
      <c r="I174" s="119">
        <f t="shared" si="147"/>
        <v>147</v>
      </c>
      <c r="J174" s="120">
        <f t="shared" si="147"/>
        <v>6469.5</v>
      </c>
      <c r="K174" s="119">
        <f t="shared" si="147"/>
        <v>6340.1100000000006</v>
      </c>
      <c r="L174" s="119">
        <f t="shared" si="147"/>
        <v>672828</v>
      </c>
      <c r="M174" s="119">
        <f t="shared" si="147"/>
        <v>15288</v>
      </c>
      <c r="N174" s="123">
        <f>'Odometro-Kilometraje'!Y81</f>
        <v>6602</v>
      </c>
      <c r="O174" s="21">
        <f>(W174/N174)*100</f>
        <v>97.993032414419872</v>
      </c>
      <c r="P174" s="193"/>
      <c r="Q174" s="182"/>
      <c r="R174" s="182"/>
      <c r="S174" s="182"/>
      <c r="T174" s="182"/>
      <c r="U174" s="182"/>
      <c r="V174" s="182"/>
      <c r="W174" s="194">
        <f>SUM(W168:W173)</f>
        <v>6469.5</v>
      </c>
      <c r="X174" s="194">
        <f>SUM(X168:X173)</f>
        <v>6469.5</v>
      </c>
      <c r="Z174" s="342"/>
    </row>
    <row r="175" spans="1:26" x14ac:dyDescent="0.25">
      <c r="A175" s="60">
        <f>A168+1</f>
        <v>46047</v>
      </c>
      <c r="B175" s="220">
        <v>51</v>
      </c>
      <c r="C175" s="220">
        <v>3</v>
      </c>
      <c r="D175" s="138">
        <f>'Data Ocupacion'!AZ31</f>
        <v>51</v>
      </c>
      <c r="E175" s="138">
        <f>'Data Ocupacion'!BA31</f>
        <v>3</v>
      </c>
      <c r="F175" s="304" t="s">
        <v>38</v>
      </c>
      <c r="G175" s="300">
        <f t="shared" ref="G175:G180" si="148">D175+E175*2</f>
        <v>57</v>
      </c>
      <c r="H175" s="220">
        <f>B175+C175*2</f>
        <v>57</v>
      </c>
      <c r="I175" s="305">
        <f t="shared" ref="I175:I180" si="149">D175+E175</f>
        <v>54</v>
      </c>
      <c r="J175" s="305">
        <f>G175*M$2</f>
        <v>2458.4100000000003</v>
      </c>
      <c r="K175" s="153">
        <f>I175*M$2</f>
        <v>2329.02</v>
      </c>
      <c r="L175" s="220">
        <f t="shared" ref="L175:L180" si="150">J175*104</f>
        <v>255674.64000000004</v>
      </c>
      <c r="M175" s="220">
        <f t="shared" ref="M175:M180" si="151">I175*104</f>
        <v>5616</v>
      </c>
      <c r="N175" s="19"/>
      <c r="O175" s="19"/>
      <c r="P175" s="146"/>
      <c r="Q175" s="184"/>
      <c r="R175" s="184"/>
      <c r="S175" s="207"/>
      <c r="T175" s="288"/>
      <c r="U175" s="192"/>
      <c r="V175" s="230"/>
      <c r="W175" s="183">
        <f>J175-(Q175*($M$2-$K$1))-(R175*($M$2-$M$1))- (S175*($M$2-$I$2))+ (T175*($G$2))</f>
        <v>2458.4100000000003</v>
      </c>
      <c r="X175" s="183">
        <f>H175*$M$2</f>
        <v>2458.4100000000003</v>
      </c>
    </row>
    <row r="176" spans="1:26" ht="18" customHeight="1" x14ac:dyDescent="0.25">
      <c r="A176" s="203"/>
      <c r="B176" s="220">
        <v>57</v>
      </c>
      <c r="C176" s="220">
        <v>0</v>
      </c>
      <c r="D176" s="138">
        <f>'Data Ocupacion'!AZ32</f>
        <v>57</v>
      </c>
      <c r="E176" s="138">
        <f>'Data Ocupacion'!BA32</f>
        <v>0</v>
      </c>
      <c r="F176" s="304" t="s">
        <v>52</v>
      </c>
      <c r="G176" s="300">
        <f t="shared" si="148"/>
        <v>57</v>
      </c>
      <c r="H176" s="220">
        <f t="shared" ref="H176:H180" si="152">B176+C176*2</f>
        <v>57</v>
      </c>
      <c r="I176" s="220">
        <f t="shared" si="149"/>
        <v>57</v>
      </c>
      <c r="J176" s="220">
        <f>G176*M$2</f>
        <v>2458.4100000000003</v>
      </c>
      <c r="K176" s="153">
        <f>I176*M$2</f>
        <v>2458.4100000000003</v>
      </c>
      <c r="L176" s="220">
        <f t="shared" si="150"/>
        <v>255674.64000000004</v>
      </c>
      <c r="M176" s="220">
        <f t="shared" si="151"/>
        <v>5928</v>
      </c>
      <c r="N176" s="19"/>
      <c r="O176" s="19"/>
      <c r="P176" s="146"/>
      <c r="Q176" s="187"/>
      <c r="R176" s="187"/>
      <c r="S176" s="219"/>
      <c r="T176" s="184"/>
      <c r="U176" s="219"/>
      <c r="V176" s="231"/>
      <c r="W176" s="186">
        <f>J176-(T176*($M$2-$K$1)+(U176*($M$2-$M$1)))</f>
        <v>2458.4100000000003</v>
      </c>
      <c r="X176" s="183">
        <f>H176*$M$2</f>
        <v>2458.4100000000003</v>
      </c>
      <c r="Y176" s="172"/>
    </row>
    <row r="177" spans="1:30" x14ac:dyDescent="0.25">
      <c r="A177" s="203"/>
      <c r="B177" s="220">
        <v>0</v>
      </c>
      <c r="C177" s="220">
        <v>0</v>
      </c>
      <c r="D177" s="138">
        <f>'Data Ocupacion'!AZ33</f>
        <v>0</v>
      </c>
      <c r="E177" s="138">
        <f>'Data Ocupacion'!BA33</f>
        <v>0</v>
      </c>
      <c r="F177" s="304" t="s">
        <v>36</v>
      </c>
      <c r="G177" s="300">
        <f t="shared" si="148"/>
        <v>0</v>
      </c>
      <c r="H177" s="220">
        <f t="shared" si="152"/>
        <v>0</v>
      </c>
      <c r="I177" s="220">
        <f t="shared" si="149"/>
        <v>0</v>
      </c>
      <c r="J177" s="220">
        <f>G177*M$1</f>
        <v>0</v>
      </c>
      <c r="K177" s="153">
        <f>I177*M$1</f>
        <v>0</v>
      </c>
      <c r="L177" s="220">
        <f t="shared" si="150"/>
        <v>0</v>
      </c>
      <c r="M177" s="220">
        <f t="shared" si="151"/>
        <v>0</v>
      </c>
      <c r="N177" s="19"/>
      <c r="O177" s="19"/>
      <c r="P177" s="146"/>
      <c r="Q177" s="246"/>
      <c r="R177" s="191"/>
      <c r="S177" s="230"/>
      <c r="T177" s="187"/>
      <c r="U177" s="190"/>
      <c r="V177" s="190"/>
      <c r="W177" s="183">
        <f>J177-(Q177*($M$1-$K$1))</f>
        <v>0</v>
      </c>
      <c r="X177" s="183">
        <f>H177*$M$1</f>
        <v>0</v>
      </c>
    </row>
    <row r="178" spans="1:30" ht="15" customHeight="1" x14ac:dyDescent="0.25">
      <c r="A178" s="203"/>
      <c r="B178" s="220">
        <v>0</v>
      </c>
      <c r="C178" s="220">
        <v>0</v>
      </c>
      <c r="D178" s="138">
        <f>'Data Ocupacion'!AZ34</f>
        <v>0</v>
      </c>
      <c r="E178" s="138">
        <f>'Data Ocupacion'!BA34</f>
        <v>0</v>
      </c>
      <c r="F178" s="304" t="s">
        <v>53</v>
      </c>
      <c r="G178" s="300">
        <f t="shared" si="148"/>
        <v>0</v>
      </c>
      <c r="H178" s="220">
        <f t="shared" si="152"/>
        <v>0</v>
      </c>
      <c r="I178" s="220">
        <f t="shared" si="149"/>
        <v>0</v>
      </c>
      <c r="J178" s="220">
        <f>G178*M$1</f>
        <v>0</v>
      </c>
      <c r="K178" s="153">
        <f>I178*M$1</f>
        <v>0</v>
      </c>
      <c r="L178" s="220">
        <f t="shared" si="150"/>
        <v>0</v>
      </c>
      <c r="M178" s="220">
        <f t="shared" si="151"/>
        <v>0</v>
      </c>
      <c r="N178" s="19"/>
      <c r="O178" s="19"/>
      <c r="P178" s="146"/>
      <c r="Q178" s="190"/>
      <c r="R178" s="190"/>
      <c r="S178" s="190"/>
      <c r="T178" s="190"/>
      <c r="U178" s="190"/>
      <c r="V178" s="190"/>
      <c r="W178" s="183">
        <f>J178</f>
        <v>0</v>
      </c>
      <c r="X178" s="183">
        <f>H178*$M$1</f>
        <v>0</v>
      </c>
    </row>
    <row r="179" spans="1:30" ht="15.95" customHeight="1" x14ac:dyDescent="0.25">
      <c r="A179" s="203"/>
      <c r="B179" s="220">
        <v>0</v>
      </c>
      <c r="C179" s="220">
        <v>0</v>
      </c>
      <c r="D179" s="138">
        <f>'Data Ocupacion'!AZ35</f>
        <v>0</v>
      </c>
      <c r="E179" s="138">
        <f>'Data Ocupacion'!BA35</f>
        <v>0</v>
      </c>
      <c r="F179" s="304" t="s">
        <v>122</v>
      </c>
      <c r="G179" s="300">
        <f t="shared" si="148"/>
        <v>0</v>
      </c>
      <c r="H179" s="220">
        <f t="shared" si="152"/>
        <v>0</v>
      </c>
      <c r="I179" s="220">
        <f t="shared" si="149"/>
        <v>0</v>
      </c>
      <c r="J179" s="306">
        <f>G179*K$1</f>
        <v>0</v>
      </c>
      <c r="K179" s="153">
        <f>I179*K$1</f>
        <v>0</v>
      </c>
      <c r="L179" s="220">
        <f t="shared" si="150"/>
        <v>0</v>
      </c>
      <c r="M179" s="220">
        <f t="shared" si="151"/>
        <v>0</v>
      </c>
      <c r="N179" s="19"/>
      <c r="O179" s="19"/>
      <c r="P179" s="146"/>
      <c r="Q179" s="190"/>
      <c r="R179" s="190"/>
      <c r="S179" s="190"/>
      <c r="T179" s="190"/>
      <c r="U179" s="190"/>
      <c r="V179" s="190"/>
      <c r="W179" s="183">
        <f>J179</f>
        <v>0</v>
      </c>
      <c r="X179" s="183">
        <f>H179*$K$1</f>
        <v>0</v>
      </c>
    </row>
    <row r="180" spans="1:30" ht="15.75" thickBot="1" x14ac:dyDescent="0.3">
      <c r="A180" s="203"/>
      <c r="B180" s="220">
        <v>0</v>
      </c>
      <c r="C180" s="220">
        <v>0</v>
      </c>
      <c r="D180" s="138">
        <f>'Data Ocupacion'!AZ36</f>
        <v>0</v>
      </c>
      <c r="E180" s="138">
        <f>'Data Ocupacion'!BA36</f>
        <v>0</v>
      </c>
      <c r="F180" s="304" t="s">
        <v>35</v>
      </c>
      <c r="G180" s="300">
        <f t="shared" si="148"/>
        <v>0</v>
      </c>
      <c r="H180" s="220">
        <f t="shared" si="152"/>
        <v>0</v>
      </c>
      <c r="I180" s="307">
        <f t="shared" si="149"/>
        <v>0</v>
      </c>
      <c r="J180" s="307">
        <f>G180*K$1</f>
        <v>0</v>
      </c>
      <c r="K180" s="153">
        <f>I180*K$1</f>
        <v>0</v>
      </c>
      <c r="L180" s="220">
        <f t="shared" si="150"/>
        <v>0</v>
      </c>
      <c r="M180" s="220">
        <f t="shared" si="151"/>
        <v>0</v>
      </c>
      <c r="N180" s="19"/>
      <c r="O180" s="19"/>
      <c r="P180" s="146"/>
      <c r="Q180" s="190"/>
      <c r="R180" s="190"/>
      <c r="S180" s="190"/>
      <c r="T180" s="190"/>
      <c r="U180" s="190"/>
      <c r="V180" s="190"/>
      <c r="W180" s="183">
        <f>J180</f>
        <v>0</v>
      </c>
      <c r="X180" s="183">
        <f>H180*$K$1</f>
        <v>0</v>
      </c>
    </row>
    <row r="181" spans="1:30" s="124" customFormat="1" ht="15.75" thickBot="1" x14ac:dyDescent="0.3">
      <c r="A181" s="202"/>
      <c r="B181" s="119">
        <f>SUM(B175:B180)</f>
        <v>108</v>
      </c>
      <c r="C181" s="119">
        <f>SUM(C175:C180)</f>
        <v>3</v>
      </c>
      <c r="D181" s="148">
        <f>SUM(D175:D180)</f>
        <v>108</v>
      </c>
      <c r="E181" s="148">
        <f>SUM(E175:E180)</f>
        <v>3</v>
      </c>
      <c r="F181" s="119"/>
      <c r="G181" s="119">
        <f t="shared" ref="G181:M181" si="153">SUM(G175:G180)</f>
        <v>114</v>
      </c>
      <c r="H181" s="119">
        <f t="shared" si="153"/>
        <v>114</v>
      </c>
      <c r="I181" s="119">
        <f t="shared" si="153"/>
        <v>111</v>
      </c>
      <c r="J181" s="120">
        <f t="shared" si="153"/>
        <v>4916.8200000000006</v>
      </c>
      <c r="K181" s="119">
        <f t="shared" si="153"/>
        <v>4787.43</v>
      </c>
      <c r="L181" s="119">
        <f t="shared" si="153"/>
        <v>511349.28000000009</v>
      </c>
      <c r="M181" s="119">
        <f t="shared" si="153"/>
        <v>11544</v>
      </c>
      <c r="N181" s="123">
        <f>'Odometro-Kilometraje'!Z81</f>
        <v>5033</v>
      </c>
      <c r="O181" s="21">
        <f>(W181/N181)*100</f>
        <v>97.691635207629659</v>
      </c>
      <c r="P181" s="193"/>
      <c r="Q181" s="182"/>
      <c r="R181" s="182"/>
      <c r="S181" s="182"/>
      <c r="T181" s="182"/>
      <c r="U181" s="182"/>
      <c r="V181" s="182"/>
      <c r="W181" s="194">
        <f>SUM(W175:W180)</f>
        <v>4916.8200000000006</v>
      </c>
      <c r="X181" s="194">
        <f>SUM(X175:X180)</f>
        <v>4916.8200000000006</v>
      </c>
      <c r="Z181" s="342"/>
    </row>
    <row r="182" spans="1:30" x14ac:dyDescent="0.25">
      <c r="A182" s="60">
        <f>A175+1</f>
        <v>46048</v>
      </c>
      <c r="B182" s="299">
        <v>62</v>
      </c>
      <c r="C182" s="299">
        <v>17</v>
      </c>
      <c r="D182" s="126">
        <f>'Data Ocupacion'!BB31</f>
        <v>63</v>
      </c>
      <c r="E182" s="126">
        <f>'Data Ocupacion'!BC31</f>
        <v>16</v>
      </c>
      <c r="F182" s="125" t="s">
        <v>38</v>
      </c>
      <c r="G182" s="125">
        <f t="shared" ref="G182:G187" si="154">D182+E182*2</f>
        <v>95</v>
      </c>
      <c r="H182" s="125">
        <f>B182+C182*2</f>
        <v>96</v>
      </c>
      <c r="I182" s="125">
        <f t="shared" ref="I182:I187" si="155">D182+E182</f>
        <v>79</v>
      </c>
      <c r="J182" s="125">
        <f>G182*M$2</f>
        <v>4097.3500000000004</v>
      </c>
      <c r="K182" s="153">
        <f>I182*M$2</f>
        <v>3407.27</v>
      </c>
      <c r="L182" s="125">
        <f t="shared" ref="L182:L187" si="156">J182*104</f>
        <v>426124.4</v>
      </c>
      <c r="M182" s="125">
        <f t="shared" ref="M182:M187" si="157">I182*104</f>
        <v>8216</v>
      </c>
      <c r="N182" s="19"/>
      <c r="O182" s="19"/>
      <c r="P182" s="146"/>
      <c r="Q182" s="184">
        <v>2</v>
      </c>
      <c r="R182" s="184"/>
      <c r="S182" s="207"/>
      <c r="T182" s="288"/>
      <c r="U182" s="192"/>
      <c r="V182" s="230"/>
      <c r="W182" s="183">
        <f>J182-(Q182*($M$2-$K$1))-(R182*($M$2-$M$1))- (S182*($M$2-$I$2))+ (T182*($G$2))</f>
        <v>4061.8900000000003</v>
      </c>
      <c r="X182" s="183">
        <f>H182*$M$2</f>
        <v>4140.4800000000005</v>
      </c>
      <c r="Z182" s="124"/>
      <c r="AA182" s="124"/>
      <c r="AB182" s="124"/>
      <c r="AC182" s="124"/>
      <c r="AD182" s="124"/>
    </row>
    <row r="183" spans="1:30" ht="15" customHeight="1" x14ac:dyDescent="0.25">
      <c r="A183" s="376" t="s">
        <v>179</v>
      </c>
      <c r="B183" s="299">
        <v>60</v>
      </c>
      <c r="C183" s="299">
        <v>18</v>
      </c>
      <c r="D183" s="126">
        <f>'Data Ocupacion'!BB32</f>
        <v>61</v>
      </c>
      <c r="E183" s="126">
        <f>'Data Ocupacion'!BC32</f>
        <v>17</v>
      </c>
      <c r="F183" s="125" t="s">
        <v>52</v>
      </c>
      <c r="G183" s="125">
        <f t="shared" si="154"/>
        <v>95</v>
      </c>
      <c r="H183" s="125">
        <f t="shared" ref="H183:H187" si="158">B183+C183*2</f>
        <v>96</v>
      </c>
      <c r="I183" s="125">
        <f t="shared" si="155"/>
        <v>78</v>
      </c>
      <c r="J183" s="125">
        <f>G183*M$2</f>
        <v>4097.3500000000004</v>
      </c>
      <c r="K183" s="153">
        <f>I183*M$2</f>
        <v>3364.1400000000003</v>
      </c>
      <c r="L183" s="125">
        <f t="shared" si="156"/>
        <v>426124.4</v>
      </c>
      <c r="M183" s="125">
        <f t="shared" si="157"/>
        <v>8112</v>
      </c>
      <c r="N183" s="19"/>
      <c r="O183" s="19"/>
      <c r="P183" s="146"/>
      <c r="Q183" s="187"/>
      <c r="R183" s="187"/>
      <c r="S183" s="219"/>
      <c r="T183" s="288">
        <v>3</v>
      </c>
      <c r="U183" s="219"/>
      <c r="V183" s="207"/>
      <c r="W183" s="186">
        <f>J183-(T183*($M$2-$K$1)+(U183*($M$2-$M$1)))</f>
        <v>4044.1600000000003</v>
      </c>
      <c r="X183" s="183">
        <f>H183*$M$2</f>
        <v>4140.4800000000005</v>
      </c>
      <c r="Z183" s="124"/>
      <c r="AA183" s="124"/>
      <c r="AB183" s="124"/>
      <c r="AC183" s="124"/>
      <c r="AD183" s="124"/>
    </row>
    <row r="184" spans="1:30" x14ac:dyDescent="0.25">
      <c r="A184" s="376"/>
      <c r="B184" s="299">
        <v>33</v>
      </c>
      <c r="C184" s="299">
        <v>0</v>
      </c>
      <c r="D184" s="126">
        <f>'Data Ocupacion'!BB33</f>
        <v>33</v>
      </c>
      <c r="E184" s="126">
        <f>'Data Ocupacion'!BC33</f>
        <v>0</v>
      </c>
      <c r="F184" s="125" t="s">
        <v>36</v>
      </c>
      <c r="G184" s="125">
        <f t="shared" si="154"/>
        <v>33</v>
      </c>
      <c r="H184" s="125">
        <f t="shared" si="158"/>
        <v>33</v>
      </c>
      <c r="I184" s="125">
        <f t="shared" si="155"/>
        <v>33</v>
      </c>
      <c r="J184" s="125">
        <f>G184*M$1</f>
        <v>960.63</v>
      </c>
      <c r="K184" s="153">
        <f>I184*M$1</f>
        <v>960.63</v>
      </c>
      <c r="L184" s="125">
        <f t="shared" si="156"/>
        <v>99905.52</v>
      </c>
      <c r="M184" s="125">
        <f t="shared" si="157"/>
        <v>3432</v>
      </c>
      <c r="N184" s="19"/>
      <c r="O184" s="19" t="s">
        <v>144</v>
      </c>
      <c r="P184" s="146"/>
      <c r="Q184" s="184"/>
      <c r="R184" s="191"/>
      <c r="S184" s="230"/>
      <c r="T184" s="187"/>
      <c r="U184" s="190"/>
      <c r="V184" s="190"/>
      <c r="W184" s="183">
        <f>J184-(Q184*($M$1-$K$1))</f>
        <v>960.63</v>
      </c>
      <c r="X184" s="183">
        <f>H184*$M$1</f>
        <v>960.63</v>
      </c>
    </row>
    <row r="185" spans="1:30" ht="15" customHeight="1" x14ac:dyDescent="0.25">
      <c r="A185" s="376"/>
      <c r="B185" s="299">
        <v>32</v>
      </c>
      <c r="C185" s="299">
        <v>0</v>
      </c>
      <c r="D185" s="126">
        <f>'Data Ocupacion'!BB34</f>
        <v>32</v>
      </c>
      <c r="E185" s="126">
        <f>'Data Ocupacion'!BC34</f>
        <v>0</v>
      </c>
      <c r="F185" s="125" t="s">
        <v>53</v>
      </c>
      <c r="G185" s="125">
        <f t="shared" si="154"/>
        <v>32</v>
      </c>
      <c r="H185" s="125">
        <f t="shared" si="158"/>
        <v>32</v>
      </c>
      <c r="I185" s="125">
        <f t="shared" si="155"/>
        <v>32</v>
      </c>
      <c r="J185" s="125">
        <f>G185*M$1</f>
        <v>931.52</v>
      </c>
      <c r="K185" s="153">
        <f>I185*M$1</f>
        <v>931.52</v>
      </c>
      <c r="L185" s="125">
        <f t="shared" si="156"/>
        <v>96878.080000000002</v>
      </c>
      <c r="M185" s="125">
        <f t="shared" si="157"/>
        <v>3328</v>
      </c>
      <c r="N185" s="19"/>
      <c r="O185" s="19"/>
      <c r="P185" s="146"/>
      <c r="Q185" s="190"/>
      <c r="R185" s="190"/>
      <c r="S185" s="190"/>
      <c r="T185" s="190"/>
      <c r="U185" s="190"/>
      <c r="V185" s="190"/>
      <c r="W185" s="183">
        <f>J185</f>
        <v>931.52</v>
      </c>
      <c r="X185" s="183">
        <f>H185*$M$1</f>
        <v>931.52</v>
      </c>
    </row>
    <row r="186" spans="1:30" ht="15" customHeight="1" x14ac:dyDescent="0.25">
      <c r="A186" s="376"/>
      <c r="B186" s="299">
        <v>0</v>
      </c>
      <c r="C186" s="299">
        <v>0</v>
      </c>
      <c r="D186" s="126">
        <f>'Data Ocupacion'!BB35</f>
        <v>0</v>
      </c>
      <c r="E186" s="126">
        <f>'Data Ocupacion'!BC35</f>
        <v>0</v>
      </c>
      <c r="F186" s="125" t="s">
        <v>122</v>
      </c>
      <c r="G186" s="125">
        <f t="shared" si="154"/>
        <v>0</v>
      </c>
      <c r="H186" s="125">
        <f t="shared" si="158"/>
        <v>0</v>
      </c>
      <c r="I186" s="125">
        <f t="shared" si="155"/>
        <v>0</v>
      </c>
      <c r="J186" s="125">
        <f>G186*K$1</f>
        <v>0</v>
      </c>
      <c r="K186" s="153">
        <f>I186*K$1</f>
        <v>0</v>
      </c>
      <c r="L186" s="125">
        <f t="shared" si="156"/>
        <v>0</v>
      </c>
      <c r="M186" s="125">
        <f t="shared" si="157"/>
        <v>0</v>
      </c>
      <c r="N186" s="19"/>
      <c r="O186" s="19"/>
      <c r="P186" s="146"/>
      <c r="Q186" s="190"/>
      <c r="R186" s="190"/>
      <c r="S186" s="190"/>
      <c r="T186" s="190"/>
      <c r="U186" s="190"/>
      <c r="V186" s="190"/>
      <c r="W186" s="183">
        <f>J186</f>
        <v>0</v>
      </c>
      <c r="X186" s="183">
        <f>H186*$K$1</f>
        <v>0</v>
      </c>
    </row>
    <row r="187" spans="1:30" ht="15" customHeight="1" thickBot="1" x14ac:dyDescent="0.3">
      <c r="A187" s="376"/>
      <c r="B187" s="299">
        <v>1</v>
      </c>
      <c r="C187" s="299">
        <v>0</v>
      </c>
      <c r="D187" s="126">
        <f>'Data Ocupacion'!BB36</f>
        <v>1</v>
      </c>
      <c r="E187" s="126">
        <f>'Data Ocupacion'!BC36</f>
        <v>0</v>
      </c>
      <c r="F187" s="125" t="s">
        <v>35</v>
      </c>
      <c r="G187" s="125">
        <f t="shared" si="154"/>
        <v>1</v>
      </c>
      <c r="H187" s="125">
        <f t="shared" si="158"/>
        <v>1</v>
      </c>
      <c r="I187" s="125">
        <f t="shared" si="155"/>
        <v>1</v>
      </c>
      <c r="J187" s="125">
        <f>G187*K$1</f>
        <v>25.4</v>
      </c>
      <c r="K187" s="153">
        <f>I187*K$1</f>
        <v>25.4</v>
      </c>
      <c r="L187" s="125">
        <f t="shared" si="156"/>
        <v>2641.6</v>
      </c>
      <c r="M187" s="125">
        <f t="shared" si="157"/>
        <v>104</v>
      </c>
      <c r="N187" s="19"/>
      <c r="O187" s="19"/>
      <c r="P187" s="146"/>
      <c r="Q187" s="190"/>
      <c r="R187" s="190"/>
      <c r="S187" s="190"/>
      <c r="T187" s="190"/>
      <c r="U187" s="190"/>
      <c r="V187" s="190"/>
      <c r="W187" s="183">
        <f>J187</f>
        <v>25.4</v>
      </c>
      <c r="X187" s="183">
        <f>H187*$K$1</f>
        <v>25.4</v>
      </c>
    </row>
    <row r="188" spans="1:30" s="124" customFormat="1" ht="15.75" thickBot="1" x14ac:dyDescent="0.3">
      <c r="A188" s="20"/>
      <c r="B188" s="119">
        <f>SUM(B182:B187)</f>
        <v>188</v>
      </c>
      <c r="C188" s="119">
        <f>SUM(C182:C187)</f>
        <v>35</v>
      </c>
      <c r="D188" s="152">
        <f>SUM(D182:D187)</f>
        <v>190</v>
      </c>
      <c r="E188" s="152">
        <f>SUM(E182:E187)</f>
        <v>33</v>
      </c>
      <c r="F188" s="119"/>
      <c r="G188" s="119">
        <f t="shared" ref="G188:M188" si="159">SUM(G182:G187)</f>
        <v>256</v>
      </c>
      <c r="H188" s="119">
        <f t="shared" si="159"/>
        <v>258</v>
      </c>
      <c r="I188" s="119">
        <f t="shared" si="159"/>
        <v>223</v>
      </c>
      <c r="J188" s="120">
        <f>SUM(J182:J187)</f>
        <v>10112.25</v>
      </c>
      <c r="K188" s="119">
        <f t="shared" si="159"/>
        <v>8688.9599999999991</v>
      </c>
      <c r="L188" s="118">
        <f t="shared" si="159"/>
        <v>1051674.0000000002</v>
      </c>
      <c r="M188" s="151">
        <f t="shared" si="159"/>
        <v>23192</v>
      </c>
      <c r="N188" s="123">
        <f>'Odometro-Kilometraje'!AA81</f>
        <v>10457</v>
      </c>
      <c r="O188" s="21">
        <f>(W188/N188)*100</f>
        <v>95.855407860763137</v>
      </c>
      <c r="P188" s="193"/>
      <c r="Q188" s="182"/>
      <c r="R188" s="182"/>
      <c r="S188" s="182"/>
      <c r="T188" s="182"/>
      <c r="U188" s="182"/>
      <c r="V188" s="182"/>
      <c r="W188" s="194">
        <f>SUM(W182:W187)</f>
        <v>10023.6</v>
      </c>
      <c r="X188" s="194">
        <f>SUM(X182:X187)</f>
        <v>10198.51</v>
      </c>
      <c r="Z188" s="342"/>
    </row>
    <row r="189" spans="1:30" x14ac:dyDescent="0.25">
      <c r="A189" s="60">
        <f>A182+1</f>
        <v>46049</v>
      </c>
      <c r="B189" s="299">
        <v>62</v>
      </c>
      <c r="C189" s="299">
        <v>17</v>
      </c>
      <c r="D189" s="126">
        <f>'Data Ocupacion'!BD31</f>
        <v>62</v>
      </c>
      <c r="E189" s="126">
        <f>'Data Ocupacion'!BE31</f>
        <v>17</v>
      </c>
      <c r="F189" s="222" t="s">
        <v>38</v>
      </c>
      <c r="G189" s="223">
        <f t="shared" ref="G189:G194" si="160">D189+E189*2</f>
        <v>96</v>
      </c>
      <c r="H189" s="125">
        <f>B189+C189*2</f>
        <v>96</v>
      </c>
      <c r="I189" s="224">
        <f t="shared" ref="I189:I194" si="161">D189+E189</f>
        <v>79</v>
      </c>
      <c r="J189" s="224">
        <f>G189*M$2</f>
        <v>4140.4800000000005</v>
      </c>
      <c r="K189" s="153">
        <f>I189*M$2</f>
        <v>3407.27</v>
      </c>
      <c r="L189" s="125">
        <f t="shared" ref="L189:L194" si="162">J189*104</f>
        <v>430609.92000000004</v>
      </c>
      <c r="M189" s="125">
        <f t="shared" ref="M189:M194" si="163">I189*104</f>
        <v>8216</v>
      </c>
      <c r="N189" s="19"/>
      <c r="O189" s="19"/>
      <c r="P189" s="146"/>
      <c r="Q189" s="184">
        <v>2</v>
      </c>
      <c r="R189" s="184"/>
      <c r="S189" s="207"/>
      <c r="T189" s="288"/>
      <c r="U189" s="192"/>
      <c r="V189" s="230"/>
      <c r="W189" s="183">
        <f>J189-(Q189*($M$2-$K$1))-(R189*($M$2-$M$1))- (S189*($M$2-$I$2))+ (T189*($G$2))</f>
        <v>4105.0200000000004</v>
      </c>
      <c r="X189" s="183">
        <f>H189*$M$2</f>
        <v>4140.4800000000005</v>
      </c>
    </row>
    <row r="190" spans="1:30" ht="18" customHeight="1" x14ac:dyDescent="0.25">
      <c r="A190" s="255"/>
      <c r="B190" s="299">
        <v>60</v>
      </c>
      <c r="C190" s="299">
        <v>18</v>
      </c>
      <c r="D190" s="126">
        <f>'Data Ocupacion'!BD32</f>
        <v>60</v>
      </c>
      <c r="E190" s="126">
        <f>'Data Ocupacion'!BE32</f>
        <v>18</v>
      </c>
      <c r="F190" s="222" t="s">
        <v>52</v>
      </c>
      <c r="G190" s="223">
        <f t="shared" si="160"/>
        <v>96</v>
      </c>
      <c r="H190" s="125">
        <f t="shared" ref="H190:H194" si="164">B190+C190*2</f>
        <v>96</v>
      </c>
      <c r="I190" s="125">
        <f t="shared" si="161"/>
        <v>78</v>
      </c>
      <c r="J190" s="125">
        <f>G190*M$2</f>
        <v>4140.4800000000005</v>
      </c>
      <c r="K190" s="153">
        <f>I190*M$2</f>
        <v>3364.1400000000003</v>
      </c>
      <c r="L190" s="125">
        <f t="shared" si="162"/>
        <v>430609.92000000004</v>
      </c>
      <c r="M190" s="125">
        <f t="shared" si="163"/>
        <v>8112</v>
      </c>
      <c r="N190" s="19"/>
      <c r="O190" s="19"/>
      <c r="P190" s="146"/>
      <c r="Q190" s="187"/>
      <c r="R190" s="187"/>
      <c r="S190" s="219"/>
      <c r="T190" s="184">
        <v>5</v>
      </c>
      <c r="U190" s="219"/>
      <c r="V190" s="231"/>
      <c r="W190" s="186">
        <f>J190-(T190*($M$2-$K$1)+(U190*($M$2-$M$1)))</f>
        <v>4051.8300000000004</v>
      </c>
      <c r="X190" s="183">
        <f>H190*$M$2</f>
        <v>4140.4800000000005</v>
      </c>
    </row>
    <row r="191" spans="1:30" ht="15" customHeight="1" x14ac:dyDescent="0.25">
      <c r="A191" s="255"/>
      <c r="B191" s="299">
        <v>33</v>
      </c>
      <c r="C191" s="299">
        <v>0</v>
      </c>
      <c r="D191" s="126">
        <f>'Data Ocupacion'!BD33</f>
        <v>33</v>
      </c>
      <c r="E191" s="126">
        <f>'Data Ocupacion'!BE33</f>
        <v>0</v>
      </c>
      <c r="F191" s="222" t="s">
        <v>36</v>
      </c>
      <c r="G191" s="223">
        <f t="shared" si="160"/>
        <v>33</v>
      </c>
      <c r="H191" s="125">
        <f t="shared" si="164"/>
        <v>33</v>
      </c>
      <c r="I191" s="125">
        <f t="shared" si="161"/>
        <v>33</v>
      </c>
      <c r="J191" s="125">
        <f>G191*M$1</f>
        <v>960.63</v>
      </c>
      <c r="K191" s="153">
        <f>I191*M$1</f>
        <v>960.63</v>
      </c>
      <c r="L191" s="125">
        <f t="shared" si="162"/>
        <v>99905.52</v>
      </c>
      <c r="M191" s="125">
        <f t="shared" si="163"/>
        <v>3432</v>
      </c>
      <c r="N191" s="19"/>
      <c r="O191" s="19"/>
      <c r="P191" s="146"/>
      <c r="Q191" s="246"/>
      <c r="R191" s="191"/>
      <c r="S191" s="230"/>
      <c r="T191" s="187"/>
      <c r="U191" s="190"/>
      <c r="V191" s="190"/>
      <c r="W191" s="183">
        <f>J191-(Q191*($M$1-$K$1))</f>
        <v>960.63</v>
      </c>
      <c r="X191" s="183">
        <f>H191*$M$1</f>
        <v>960.63</v>
      </c>
    </row>
    <row r="192" spans="1:30" ht="15" customHeight="1" x14ac:dyDescent="0.25">
      <c r="A192" s="255"/>
      <c r="B192" s="299">
        <v>32</v>
      </c>
      <c r="C192" s="299">
        <v>0</v>
      </c>
      <c r="D192" s="126">
        <f>'Data Ocupacion'!BD34</f>
        <v>32</v>
      </c>
      <c r="E192" s="126">
        <f>'Data Ocupacion'!BE34</f>
        <v>0</v>
      </c>
      <c r="F192" s="222" t="s">
        <v>53</v>
      </c>
      <c r="G192" s="223">
        <f t="shared" si="160"/>
        <v>32</v>
      </c>
      <c r="H192" s="125">
        <f t="shared" si="164"/>
        <v>32</v>
      </c>
      <c r="I192" s="125">
        <f t="shared" si="161"/>
        <v>32</v>
      </c>
      <c r="J192" s="125">
        <f>G192*M$1</f>
        <v>931.52</v>
      </c>
      <c r="K192" s="153">
        <f>I192*M$1</f>
        <v>931.52</v>
      </c>
      <c r="L192" s="125">
        <f t="shared" si="162"/>
        <v>96878.080000000002</v>
      </c>
      <c r="M192" s="125">
        <f t="shared" si="163"/>
        <v>3328</v>
      </c>
      <c r="N192" s="19"/>
      <c r="O192" s="19"/>
      <c r="P192" s="146"/>
      <c r="Q192" s="190"/>
      <c r="R192" s="190"/>
      <c r="S192" s="190"/>
      <c r="T192" s="190"/>
      <c r="U192" s="190"/>
      <c r="V192" s="190"/>
      <c r="W192" s="183">
        <f>J192</f>
        <v>931.52</v>
      </c>
      <c r="X192" s="183">
        <f>H192*$M$1</f>
        <v>931.52</v>
      </c>
    </row>
    <row r="193" spans="1:26" ht="15" customHeight="1" x14ac:dyDescent="0.25">
      <c r="A193" s="255"/>
      <c r="B193" s="299">
        <v>0</v>
      </c>
      <c r="C193" s="299">
        <v>0</v>
      </c>
      <c r="D193" s="126">
        <f>'Data Ocupacion'!BD35</f>
        <v>0</v>
      </c>
      <c r="E193" s="126">
        <f>'Data Ocupacion'!BE35</f>
        <v>0</v>
      </c>
      <c r="F193" s="222" t="s">
        <v>122</v>
      </c>
      <c r="G193" s="223">
        <f t="shared" si="160"/>
        <v>0</v>
      </c>
      <c r="H193" s="125">
        <f t="shared" si="164"/>
        <v>0</v>
      </c>
      <c r="I193" s="125">
        <f t="shared" si="161"/>
        <v>0</v>
      </c>
      <c r="J193" s="225">
        <f>G193*K$1</f>
        <v>0</v>
      </c>
      <c r="K193" s="153">
        <f>I193*K$1</f>
        <v>0</v>
      </c>
      <c r="L193" s="125">
        <f t="shared" si="162"/>
        <v>0</v>
      </c>
      <c r="M193" s="125">
        <f t="shared" si="163"/>
        <v>0</v>
      </c>
      <c r="N193" s="19"/>
      <c r="O193" s="19"/>
      <c r="P193" s="146"/>
      <c r="Q193" s="190"/>
      <c r="R193" s="190"/>
      <c r="S193" s="190"/>
      <c r="T193" s="190"/>
      <c r="U193" s="190"/>
      <c r="V193" s="190"/>
      <c r="W193" s="183">
        <f>J193</f>
        <v>0</v>
      </c>
      <c r="X193" s="183">
        <f>H193*$K$1</f>
        <v>0</v>
      </c>
    </row>
    <row r="194" spans="1:26" ht="15.75" customHeight="1" thickBot="1" x14ac:dyDescent="0.3">
      <c r="A194" s="255"/>
      <c r="B194" s="299">
        <v>1</v>
      </c>
      <c r="C194" s="299">
        <v>0</v>
      </c>
      <c r="D194" s="126">
        <f>'Data Ocupacion'!BD36</f>
        <v>1</v>
      </c>
      <c r="E194" s="126">
        <f>'Data Ocupacion'!BE36</f>
        <v>0</v>
      </c>
      <c r="F194" s="222" t="s">
        <v>35</v>
      </c>
      <c r="G194" s="223">
        <f t="shared" si="160"/>
        <v>1</v>
      </c>
      <c r="H194" s="125">
        <f t="shared" si="164"/>
        <v>1</v>
      </c>
      <c r="I194" s="226">
        <f t="shared" si="161"/>
        <v>1</v>
      </c>
      <c r="J194" s="226">
        <f>G194*K$1</f>
        <v>25.4</v>
      </c>
      <c r="K194" s="153">
        <f>I194*K$1</f>
        <v>25.4</v>
      </c>
      <c r="L194" s="125">
        <f t="shared" si="162"/>
        <v>2641.6</v>
      </c>
      <c r="M194" s="125">
        <f t="shared" si="163"/>
        <v>104</v>
      </c>
      <c r="N194" s="19"/>
      <c r="O194" s="19"/>
      <c r="P194" s="146"/>
      <c r="Q194" s="190"/>
      <c r="R194" s="190"/>
      <c r="S194" s="190"/>
      <c r="T194" s="190"/>
      <c r="U194" s="190"/>
      <c r="V194" s="190"/>
      <c r="W194" s="183">
        <f>J194</f>
        <v>25.4</v>
      </c>
      <c r="X194" s="183">
        <f>H194*$K$1</f>
        <v>25.4</v>
      </c>
    </row>
    <row r="195" spans="1:26" s="124" customFormat="1" ht="15.75" thickBot="1" x14ac:dyDescent="0.3">
      <c r="A195" s="20"/>
      <c r="B195" s="119">
        <f>SUM(B189:B194)</f>
        <v>188</v>
      </c>
      <c r="C195" s="119">
        <f>SUM(C189:C194)</f>
        <v>35</v>
      </c>
      <c r="D195" s="148">
        <f>SUM(D189:D194)</f>
        <v>188</v>
      </c>
      <c r="E195" s="148">
        <f>SUM(E189:E194)</f>
        <v>35</v>
      </c>
      <c r="F195" s="119"/>
      <c r="G195" s="119">
        <f t="shared" ref="G195:M195" si="165">SUM(G189:G194)</f>
        <v>258</v>
      </c>
      <c r="H195" s="119">
        <f t="shared" si="165"/>
        <v>258</v>
      </c>
      <c r="I195" s="119">
        <f t="shared" si="165"/>
        <v>223</v>
      </c>
      <c r="J195" s="120">
        <f>SUM(J189:J194)</f>
        <v>10198.51</v>
      </c>
      <c r="K195" s="119">
        <f t="shared" si="165"/>
        <v>8688.9599999999991</v>
      </c>
      <c r="L195" s="119">
        <f t="shared" si="165"/>
        <v>1060645.0400000003</v>
      </c>
      <c r="M195" s="119">
        <f t="shared" si="165"/>
        <v>23192</v>
      </c>
      <c r="N195" s="123">
        <f>'Odometro-Kilometraje'!AB81</f>
        <v>10510</v>
      </c>
      <c r="O195" s="21">
        <f>(W195/N195)*100</f>
        <v>95.855375832540432</v>
      </c>
      <c r="P195" s="193"/>
      <c r="Q195" s="182"/>
      <c r="R195" s="182"/>
      <c r="S195" s="182"/>
      <c r="T195" s="182"/>
      <c r="U195" s="182"/>
      <c r="V195" s="182"/>
      <c r="W195" s="194">
        <f>SUM(W189:W194)</f>
        <v>10074.4</v>
      </c>
      <c r="X195" s="194">
        <f>SUM(X189:X194)</f>
        <v>10198.51</v>
      </c>
      <c r="Z195" s="342"/>
    </row>
    <row r="196" spans="1:26" x14ac:dyDescent="0.25">
      <c r="A196" s="60">
        <f>A189+1</f>
        <v>46050</v>
      </c>
      <c r="B196" s="299">
        <v>62</v>
      </c>
      <c r="C196" s="299">
        <v>17</v>
      </c>
      <c r="D196" s="126">
        <f>'Data Ocupacion'!BF31</f>
        <v>62</v>
      </c>
      <c r="E196" s="126">
        <f>'Data Ocupacion'!BG31</f>
        <v>17</v>
      </c>
      <c r="F196" s="222" t="s">
        <v>38</v>
      </c>
      <c r="G196" s="223">
        <f t="shared" ref="G196:G201" si="166">D196+E196*2</f>
        <v>96</v>
      </c>
      <c r="H196" s="125">
        <f>B196+C196*2</f>
        <v>96</v>
      </c>
      <c r="I196" s="224">
        <f t="shared" ref="I196:I201" si="167">D196+E196</f>
        <v>79</v>
      </c>
      <c r="J196" s="224">
        <f>G196*M$2</f>
        <v>4140.4800000000005</v>
      </c>
      <c r="K196" s="153">
        <f>I196*M$2</f>
        <v>3407.27</v>
      </c>
      <c r="L196" s="125">
        <f t="shared" ref="L196:L201" si="168">J196*104</f>
        <v>430609.92000000004</v>
      </c>
      <c r="M196" s="125">
        <f t="shared" ref="M196:M201" si="169">I196*104</f>
        <v>8216</v>
      </c>
      <c r="N196" s="19"/>
      <c r="O196" s="19"/>
      <c r="P196" s="146"/>
      <c r="Q196" s="184">
        <v>1</v>
      </c>
      <c r="R196" s="184"/>
      <c r="S196" s="207"/>
      <c r="T196" s="288"/>
      <c r="U196" s="192"/>
      <c r="V196" s="230"/>
      <c r="W196" s="183">
        <f>J196-(Q196*($M$2-$K$1))-(R196*($M$2-$M$1))- (S196*($M$2-$I$2))+ (T196*($G$2))</f>
        <v>4122.7500000000009</v>
      </c>
      <c r="X196" s="183">
        <f>H196*$M$2</f>
        <v>4140.4800000000005</v>
      </c>
    </row>
    <row r="197" spans="1:26" ht="15" customHeight="1" x14ac:dyDescent="0.25">
      <c r="A197" s="203"/>
      <c r="B197" s="299">
        <v>60</v>
      </c>
      <c r="C197" s="299">
        <v>18</v>
      </c>
      <c r="D197" s="126">
        <f>'Data Ocupacion'!BF32</f>
        <v>60</v>
      </c>
      <c r="E197" s="126">
        <f>'Data Ocupacion'!BG32</f>
        <v>18</v>
      </c>
      <c r="F197" s="222" t="s">
        <v>52</v>
      </c>
      <c r="G197" s="223">
        <f t="shared" si="166"/>
        <v>96</v>
      </c>
      <c r="H197" s="125">
        <f t="shared" ref="H197:H201" si="170">B197+C197*2</f>
        <v>96</v>
      </c>
      <c r="I197" s="125">
        <f t="shared" si="167"/>
        <v>78</v>
      </c>
      <c r="J197" s="125">
        <f>G197*M$2</f>
        <v>4140.4800000000005</v>
      </c>
      <c r="K197" s="153">
        <f>I197*M$2</f>
        <v>3364.1400000000003</v>
      </c>
      <c r="L197" s="125">
        <f t="shared" si="168"/>
        <v>430609.92000000004</v>
      </c>
      <c r="M197" s="125">
        <f t="shared" si="169"/>
        <v>8112</v>
      </c>
      <c r="N197" s="19"/>
      <c r="O197" s="19"/>
      <c r="P197" s="146"/>
      <c r="Q197" s="187"/>
      <c r="R197" s="187"/>
      <c r="S197" s="219"/>
      <c r="T197" s="184">
        <v>4</v>
      </c>
      <c r="U197" s="219"/>
      <c r="V197" s="231"/>
      <c r="W197" s="186">
        <f>J197-(T197*($M$2-$K$1)+(U197*($M$2-$M$1)))</f>
        <v>4069.5600000000004</v>
      </c>
      <c r="X197" s="183">
        <f>H197*$M$2</f>
        <v>4140.4800000000005</v>
      </c>
    </row>
    <row r="198" spans="1:26" ht="15" customHeight="1" x14ac:dyDescent="0.25">
      <c r="A198" s="203"/>
      <c r="B198" s="299">
        <v>33</v>
      </c>
      <c r="C198" s="299">
        <v>0</v>
      </c>
      <c r="D198" s="126">
        <f>'Data Ocupacion'!BF33</f>
        <v>33</v>
      </c>
      <c r="E198" s="126">
        <f>'Data Ocupacion'!BG33</f>
        <v>0</v>
      </c>
      <c r="F198" s="222" t="s">
        <v>36</v>
      </c>
      <c r="G198" s="223">
        <f t="shared" si="166"/>
        <v>33</v>
      </c>
      <c r="H198" s="125">
        <f t="shared" si="170"/>
        <v>33</v>
      </c>
      <c r="I198" s="125">
        <f t="shared" si="167"/>
        <v>33</v>
      </c>
      <c r="J198" s="125">
        <f>G198*M$1</f>
        <v>960.63</v>
      </c>
      <c r="K198" s="153">
        <f>I198*M$1</f>
        <v>960.63</v>
      </c>
      <c r="L198" s="125">
        <f t="shared" si="168"/>
        <v>99905.52</v>
      </c>
      <c r="M198" s="125">
        <f t="shared" si="169"/>
        <v>3432</v>
      </c>
      <c r="N198" s="19"/>
      <c r="O198" s="19" t="s">
        <v>144</v>
      </c>
      <c r="P198" s="146"/>
      <c r="Q198" s="246"/>
      <c r="R198" s="191"/>
      <c r="S198" s="230"/>
      <c r="T198" s="187"/>
      <c r="U198" s="190"/>
      <c r="V198" s="190"/>
      <c r="W198" s="183">
        <f>J198-(Q198*($M$1-$K$1))</f>
        <v>960.63</v>
      </c>
      <c r="X198" s="183">
        <f>H198*$M$1</f>
        <v>960.63</v>
      </c>
    </row>
    <row r="199" spans="1:26" ht="15" customHeight="1" x14ac:dyDescent="0.25">
      <c r="A199" s="203"/>
      <c r="B199" s="299">
        <v>32</v>
      </c>
      <c r="C199" s="299">
        <v>0</v>
      </c>
      <c r="D199" s="126">
        <f>'Data Ocupacion'!BF34</f>
        <v>32</v>
      </c>
      <c r="E199" s="126">
        <f>'Data Ocupacion'!BG34</f>
        <v>0</v>
      </c>
      <c r="F199" s="222" t="s">
        <v>53</v>
      </c>
      <c r="G199" s="223">
        <f t="shared" si="166"/>
        <v>32</v>
      </c>
      <c r="H199" s="125">
        <f t="shared" si="170"/>
        <v>32</v>
      </c>
      <c r="I199" s="125">
        <f t="shared" si="167"/>
        <v>32</v>
      </c>
      <c r="J199" s="125">
        <f>G199*M$1</f>
        <v>931.52</v>
      </c>
      <c r="K199" s="153">
        <f>I199*M$1</f>
        <v>931.52</v>
      </c>
      <c r="L199" s="125">
        <f t="shared" si="168"/>
        <v>96878.080000000002</v>
      </c>
      <c r="M199" s="125">
        <f t="shared" si="169"/>
        <v>3328</v>
      </c>
      <c r="N199" s="19"/>
      <c r="O199" s="19" t="s">
        <v>144</v>
      </c>
      <c r="P199" s="146"/>
      <c r="Q199" s="190"/>
      <c r="R199" s="190"/>
      <c r="S199" s="190"/>
      <c r="T199" s="190"/>
      <c r="U199" s="190"/>
      <c r="V199" s="190"/>
      <c r="W199" s="183">
        <f>J199</f>
        <v>931.52</v>
      </c>
      <c r="X199" s="183">
        <f>H199*$M$1</f>
        <v>931.52</v>
      </c>
    </row>
    <row r="200" spans="1:26" ht="15" customHeight="1" x14ac:dyDescent="0.25">
      <c r="A200" s="203"/>
      <c r="B200" s="299">
        <v>0</v>
      </c>
      <c r="C200" s="299">
        <v>0</v>
      </c>
      <c r="D200" s="126">
        <f>'Data Ocupacion'!BF35</f>
        <v>0</v>
      </c>
      <c r="E200" s="126">
        <f>'Data Ocupacion'!BG35</f>
        <v>0</v>
      </c>
      <c r="F200" s="222" t="s">
        <v>122</v>
      </c>
      <c r="G200" s="223">
        <f t="shared" si="166"/>
        <v>0</v>
      </c>
      <c r="H200" s="125">
        <f t="shared" si="170"/>
        <v>0</v>
      </c>
      <c r="I200" s="125">
        <f t="shared" si="167"/>
        <v>0</v>
      </c>
      <c r="J200" s="225">
        <f>G200*K$1</f>
        <v>0</v>
      </c>
      <c r="K200" s="153">
        <f>I200*K$1</f>
        <v>0</v>
      </c>
      <c r="L200" s="125">
        <f t="shared" si="168"/>
        <v>0</v>
      </c>
      <c r="M200" s="125">
        <f t="shared" si="169"/>
        <v>0</v>
      </c>
      <c r="N200" s="19"/>
      <c r="O200" s="19"/>
      <c r="P200" s="146"/>
      <c r="Q200" s="190"/>
      <c r="R200" s="190"/>
      <c r="S200" s="190"/>
      <c r="T200" s="190"/>
      <c r="U200" s="190"/>
      <c r="V200" s="190"/>
      <c r="W200" s="183">
        <f>J200</f>
        <v>0</v>
      </c>
      <c r="X200" s="183">
        <f>H200*$K$1</f>
        <v>0</v>
      </c>
    </row>
    <row r="201" spans="1:26" ht="15.75" customHeight="1" thickBot="1" x14ac:dyDescent="0.3">
      <c r="A201" s="203"/>
      <c r="B201" s="299">
        <v>1</v>
      </c>
      <c r="C201" s="299">
        <v>0</v>
      </c>
      <c r="D201" s="126">
        <f>'Data Ocupacion'!BF36</f>
        <v>1</v>
      </c>
      <c r="E201" s="126">
        <f>'Data Ocupacion'!BG36</f>
        <v>0</v>
      </c>
      <c r="F201" s="222" t="s">
        <v>35</v>
      </c>
      <c r="G201" s="223">
        <f t="shared" si="166"/>
        <v>1</v>
      </c>
      <c r="H201" s="125">
        <f t="shared" si="170"/>
        <v>1</v>
      </c>
      <c r="I201" s="226">
        <f t="shared" si="167"/>
        <v>1</v>
      </c>
      <c r="J201" s="226">
        <f>G201*K$1</f>
        <v>25.4</v>
      </c>
      <c r="K201" s="153">
        <f>I201*K$1</f>
        <v>25.4</v>
      </c>
      <c r="L201" s="125">
        <f t="shared" si="168"/>
        <v>2641.6</v>
      </c>
      <c r="M201" s="125">
        <f t="shared" si="169"/>
        <v>104</v>
      </c>
      <c r="N201" s="19"/>
      <c r="O201" s="19"/>
      <c r="P201" s="146"/>
      <c r="Q201" s="190"/>
      <c r="R201" s="190"/>
      <c r="S201" s="190"/>
      <c r="T201" s="190"/>
      <c r="U201" s="190"/>
      <c r="V201" s="190"/>
      <c r="W201" s="183">
        <f>J201</f>
        <v>25.4</v>
      </c>
      <c r="X201" s="183">
        <f>H201*$K$1</f>
        <v>25.4</v>
      </c>
    </row>
    <row r="202" spans="1:26" s="124" customFormat="1" ht="15.75" thickBot="1" x14ac:dyDescent="0.3">
      <c r="A202" s="20"/>
      <c r="B202" s="119">
        <f>SUM(B196:B201)</f>
        <v>188</v>
      </c>
      <c r="C202" s="119">
        <f>SUM(C196:C201)</f>
        <v>35</v>
      </c>
      <c r="D202" s="148">
        <f>SUM(D196:D201)</f>
        <v>188</v>
      </c>
      <c r="E202" s="148">
        <f>SUM(E196:E201)</f>
        <v>35</v>
      </c>
      <c r="F202" s="119"/>
      <c r="G202" s="119">
        <f t="shared" ref="G202:M202" si="171">SUM(G196:G201)</f>
        <v>258</v>
      </c>
      <c r="H202" s="119">
        <f t="shared" si="171"/>
        <v>258</v>
      </c>
      <c r="I202" s="119">
        <f t="shared" si="171"/>
        <v>223</v>
      </c>
      <c r="J202" s="120">
        <f>SUM(J196:J201)</f>
        <v>10198.51</v>
      </c>
      <c r="K202" s="119">
        <f t="shared" si="171"/>
        <v>8688.9599999999991</v>
      </c>
      <c r="L202" s="119">
        <f t="shared" si="171"/>
        <v>1060645.0400000003</v>
      </c>
      <c r="M202" s="119">
        <f t="shared" si="171"/>
        <v>23192</v>
      </c>
      <c r="N202" s="123">
        <f>'Odometro-Kilometraje'!AC81</f>
        <v>10451</v>
      </c>
      <c r="O202" s="21">
        <f>(W202/N202)*100</f>
        <v>96.735814754568949</v>
      </c>
      <c r="P202" s="193"/>
      <c r="Q202" s="182"/>
      <c r="R202" s="182"/>
      <c r="S202" s="182"/>
      <c r="T202" s="182"/>
      <c r="U202" s="182"/>
      <c r="V202" s="182"/>
      <c r="W202" s="194">
        <f>SUM(W196:W201)</f>
        <v>10109.86</v>
      </c>
      <c r="X202" s="194">
        <f>SUM(X196:X201)</f>
        <v>10198.51</v>
      </c>
      <c r="Z202" s="342"/>
    </row>
    <row r="203" spans="1:26" x14ac:dyDescent="0.25">
      <c r="A203" s="60">
        <f>A196+1</f>
        <v>46051</v>
      </c>
      <c r="B203" s="299">
        <v>62</v>
      </c>
      <c r="C203" s="299">
        <v>17</v>
      </c>
      <c r="D203" s="126">
        <f>'Data Ocupacion'!BH31</f>
        <v>62</v>
      </c>
      <c r="E203" s="126">
        <f>'Data Ocupacion'!BI31</f>
        <v>17</v>
      </c>
      <c r="F203" s="125" t="s">
        <v>38</v>
      </c>
      <c r="G203" s="125">
        <f t="shared" ref="G203:G208" si="172">D203+E203*2</f>
        <v>96</v>
      </c>
      <c r="H203" s="125">
        <f>B203+C203*2</f>
        <v>96</v>
      </c>
      <c r="I203" s="125">
        <f t="shared" ref="I203:I208" si="173">D203+E203</f>
        <v>79</v>
      </c>
      <c r="J203" s="125">
        <f>G203*M$2</f>
        <v>4140.4800000000005</v>
      </c>
      <c r="K203" s="153">
        <f>I203*M$2</f>
        <v>3407.27</v>
      </c>
      <c r="L203" s="125">
        <f t="shared" ref="L203:L208" si="174">J203*104</f>
        <v>430609.92000000004</v>
      </c>
      <c r="M203" s="125">
        <f t="shared" ref="M203:M208" si="175">I203*104</f>
        <v>8216</v>
      </c>
      <c r="N203" s="19"/>
      <c r="O203" s="19"/>
      <c r="P203" s="146"/>
      <c r="Q203" s="184">
        <v>3</v>
      </c>
      <c r="R203" s="184"/>
      <c r="S203" s="207"/>
      <c r="T203" s="246"/>
      <c r="U203" s="192"/>
      <c r="V203" s="230"/>
      <c r="W203" s="183">
        <f>J203-(Q203*($M$2-$K$1))-(R203*($M$2-$M$1))- (S203*($M$2-$I$2))+ (T203*($G$2))</f>
        <v>4087.2900000000004</v>
      </c>
      <c r="X203" s="183">
        <f>H203*$M$2</f>
        <v>4140.4800000000005</v>
      </c>
    </row>
    <row r="204" spans="1:26" ht="15" customHeight="1" x14ac:dyDescent="0.25">
      <c r="A204" s="203"/>
      <c r="B204" s="299">
        <v>60</v>
      </c>
      <c r="C204" s="299">
        <v>18</v>
      </c>
      <c r="D204" s="126">
        <f>'Data Ocupacion'!BH32</f>
        <v>60</v>
      </c>
      <c r="E204" s="126">
        <f>'Data Ocupacion'!BI32</f>
        <v>18</v>
      </c>
      <c r="F204" s="125" t="s">
        <v>52</v>
      </c>
      <c r="G204" s="125">
        <f t="shared" si="172"/>
        <v>96</v>
      </c>
      <c r="H204" s="125">
        <f t="shared" ref="H204:H208" si="176">B204+C204*2</f>
        <v>96</v>
      </c>
      <c r="I204" s="125">
        <f t="shared" si="173"/>
        <v>78</v>
      </c>
      <c r="J204" s="125">
        <f>G204*M$2</f>
        <v>4140.4800000000005</v>
      </c>
      <c r="K204" s="153">
        <f>I204*M$2</f>
        <v>3364.1400000000003</v>
      </c>
      <c r="L204" s="125">
        <f t="shared" si="174"/>
        <v>430609.92000000004</v>
      </c>
      <c r="M204" s="125">
        <f t="shared" si="175"/>
        <v>8112</v>
      </c>
      <c r="N204" s="19"/>
      <c r="O204" s="19"/>
      <c r="P204" s="146"/>
      <c r="Q204" s="187"/>
      <c r="R204" s="187"/>
      <c r="S204" s="219"/>
      <c r="T204" s="184">
        <v>5</v>
      </c>
      <c r="U204" s="219"/>
      <c r="V204" s="231"/>
      <c r="W204" s="186">
        <f>J204-(T204*($M$2-$K$1)+(U204*($M$2-$M$1)))</f>
        <v>4051.8300000000004</v>
      </c>
      <c r="X204" s="183">
        <f>H204*$M$2</f>
        <v>4140.4800000000005</v>
      </c>
    </row>
    <row r="205" spans="1:26" s="124" customFormat="1" ht="16.149999999999999" customHeight="1" x14ac:dyDescent="0.25">
      <c r="A205" s="203"/>
      <c r="B205" s="299">
        <v>33</v>
      </c>
      <c r="C205" s="299">
        <v>0</v>
      </c>
      <c r="D205" s="126">
        <f>'Data Ocupacion'!BH33</f>
        <v>33</v>
      </c>
      <c r="E205" s="126">
        <f>'Data Ocupacion'!BI33</f>
        <v>0</v>
      </c>
      <c r="F205" s="125" t="s">
        <v>36</v>
      </c>
      <c r="G205" s="125">
        <f t="shared" si="172"/>
        <v>33</v>
      </c>
      <c r="H205" s="125">
        <f t="shared" si="176"/>
        <v>33</v>
      </c>
      <c r="I205" s="125">
        <f t="shared" si="173"/>
        <v>33</v>
      </c>
      <c r="J205" s="125">
        <f>G205*M$1</f>
        <v>960.63</v>
      </c>
      <c r="K205" s="153">
        <f>I205*M$1</f>
        <v>960.63</v>
      </c>
      <c r="L205" s="125">
        <f t="shared" si="174"/>
        <v>99905.52</v>
      </c>
      <c r="M205" s="125">
        <f t="shared" si="175"/>
        <v>3432</v>
      </c>
      <c r="N205" s="19"/>
      <c r="O205" s="19" t="s">
        <v>144</v>
      </c>
      <c r="P205" s="146"/>
      <c r="Q205" s="184"/>
      <c r="R205" s="188"/>
      <c r="S205" s="208"/>
      <c r="T205" s="189"/>
      <c r="U205" s="190"/>
      <c r="V205" s="190"/>
      <c r="W205" s="183">
        <f>J205-(Q205*($M$1-$K$1))</f>
        <v>960.63</v>
      </c>
      <c r="X205" s="183">
        <f>H205*$M$1</f>
        <v>960.63</v>
      </c>
    </row>
    <row r="206" spans="1:26" s="124" customFormat="1" ht="15" customHeight="1" x14ac:dyDescent="0.25">
      <c r="A206" s="203"/>
      <c r="B206" s="299">
        <v>32</v>
      </c>
      <c r="C206" s="299">
        <v>0</v>
      </c>
      <c r="D206" s="126">
        <f>'Data Ocupacion'!BH34</f>
        <v>32</v>
      </c>
      <c r="E206" s="126">
        <f>'Data Ocupacion'!BI34</f>
        <v>0</v>
      </c>
      <c r="F206" s="125" t="s">
        <v>53</v>
      </c>
      <c r="G206" s="125">
        <f t="shared" si="172"/>
        <v>32</v>
      </c>
      <c r="H206" s="125">
        <f t="shared" si="176"/>
        <v>32</v>
      </c>
      <c r="I206" s="125">
        <f t="shared" si="173"/>
        <v>32</v>
      </c>
      <c r="J206" s="125">
        <f>G206*M$1</f>
        <v>931.52</v>
      </c>
      <c r="K206" s="153">
        <f>I206*M$1</f>
        <v>931.52</v>
      </c>
      <c r="L206" s="125">
        <f t="shared" si="174"/>
        <v>96878.080000000002</v>
      </c>
      <c r="M206" s="125">
        <f t="shared" si="175"/>
        <v>3328</v>
      </c>
      <c r="N206" s="19"/>
      <c r="O206" s="19" t="s">
        <v>144</v>
      </c>
      <c r="P206" s="146"/>
      <c r="Q206" s="190"/>
      <c r="R206" s="190"/>
      <c r="S206" s="190"/>
      <c r="T206" s="190"/>
      <c r="U206" s="190"/>
      <c r="V206" s="190"/>
      <c r="W206" s="183">
        <f>J206</f>
        <v>931.52</v>
      </c>
      <c r="X206" s="183">
        <f>H206*$M$1</f>
        <v>931.52</v>
      </c>
    </row>
    <row r="207" spans="1:26" s="124" customFormat="1" x14ac:dyDescent="0.25">
      <c r="A207" s="203"/>
      <c r="B207" s="299">
        <v>0</v>
      </c>
      <c r="C207" s="299">
        <v>0</v>
      </c>
      <c r="D207" s="126">
        <f>'Data Ocupacion'!BH35</f>
        <v>0</v>
      </c>
      <c r="E207" s="126">
        <f>'Data Ocupacion'!BI35</f>
        <v>0</v>
      </c>
      <c r="F207" s="125" t="s">
        <v>122</v>
      </c>
      <c r="G207" s="125">
        <f t="shared" si="172"/>
        <v>0</v>
      </c>
      <c r="H207" s="125">
        <f t="shared" si="176"/>
        <v>0</v>
      </c>
      <c r="I207" s="125">
        <f t="shared" si="173"/>
        <v>0</v>
      </c>
      <c r="J207" s="125">
        <f>G207*K$1</f>
        <v>0</v>
      </c>
      <c r="K207" s="153">
        <f>I207*K$1</f>
        <v>0</v>
      </c>
      <c r="L207" s="125">
        <f t="shared" si="174"/>
        <v>0</v>
      </c>
      <c r="M207" s="125">
        <f t="shared" si="175"/>
        <v>0</v>
      </c>
      <c r="N207" s="19"/>
      <c r="O207" s="19"/>
      <c r="P207" s="146"/>
      <c r="Q207" s="190"/>
      <c r="R207" s="190"/>
      <c r="S207" s="190"/>
      <c r="T207" s="190"/>
      <c r="U207" s="190"/>
      <c r="V207" s="190"/>
      <c r="W207" s="183">
        <f>J207</f>
        <v>0</v>
      </c>
      <c r="X207" s="183">
        <f>H207*$K$1</f>
        <v>0</v>
      </c>
    </row>
    <row r="208" spans="1:26" s="124" customFormat="1" ht="15.75" thickBot="1" x14ac:dyDescent="0.3">
      <c r="A208" s="203"/>
      <c r="B208" s="299">
        <v>1</v>
      </c>
      <c r="C208" s="299">
        <v>0</v>
      </c>
      <c r="D208" s="126">
        <f>'Data Ocupacion'!BH36</f>
        <v>1</v>
      </c>
      <c r="E208" s="126">
        <f>'Data Ocupacion'!BI36</f>
        <v>0</v>
      </c>
      <c r="F208" s="125" t="s">
        <v>35</v>
      </c>
      <c r="G208" s="125">
        <f t="shared" si="172"/>
        <v>1</v>
      </c>
      <c r="H208" s="125">
        <f t="shared" si="176"/>
        <v>1</v>
      </c>
      <c r="I208" s="125">
        <f t="shared" si="173"/>
        <v>1</v>
      </c>
      <c r="J208" s="125">
        <f>G208*K$1</f>
        <v>25.4</v>
      </c>
      <c r="K208" s="153">
        <f>I208*K$1</f>
        <v>25.4</v>
      </c>
      <c r="L208" s="125">
        <f t="shared" si="174"/>
        <v>2641.6</v>
      </c>
      <c r="M208" s="125">
        <f t="shared" si="175"/>
        <v>104</v>
      </c>
      <c r="N208" s="19"/>
      <c r="O208" s="19"/>
      <c r="P208" s="146"/>
      <c r="Q208" s="190"/>
      <c r="R208" s="190"/>
      <c r="S208" s="190"/>
      <c r="T208" s="190"/>
      <c r="U208" s="190"/>
      <c r="V208" s="190"/>
      <c r="W208" s="183">
        <f>J208</f>
        <v>25.4</v>
      </c>
      <c r="X208" s="183">
        <f>H208*$K$1</f>
        <v>25.4</v>
      </c>
    </row>
    <row r="209" spans="1:28" s="124" customFormat="1" ht="14.25" customHeight="1" thickBot="1" x14ac:dyDescent="0.3">
      <c r="A209" s="20"/>
      <c r="B209" s="119">
        <f>SUM(B203:B208)</f>
        <v>188</v>
      </c>
      <c r="C209" s="119">
        <f>SUM(C203:C208)</f>
        <v>35</v>
      </c>
      <c r="D209" s="152">
        <f>SUM(D203:D208)</f>
        <v>188</v>
      </c>
      <c r="E209" s="152">
        <f>SUM(E203:E208)</f>
        <v>35</v>
      </c>
      <c r="F209" s="119"/>
      <c r="G209" s="119">
        <f t="shared" ref="G209:M209" si="177">SUM(G203:G208)</f>
        <v>258</v>
      </c>
      <c r="H209" s="119">
        <f t="shared" si="177"/>
        <v>258</v>
      </c>
      <c r="I209" s="119">
        <f t="shared" si="177"/>
        <v>223</v>
      </c>
      <c r="J209" s="120">
        <f>SUM(J203:J208)</f>
        <v>10198.51</v>
      </c>
      <c r="K209" s="119">
        <f t="shared" si="177"/>
        <v>8688.9599999999991</v>
      </c>
      <c r="L209" s="118">
        <f t="shared" si="177"/>
        <v>1060645.0400000003</v>
      </c>
      <c r="M209" s="151">
        <f t="shared" si="177"/>
        <v>23192</v>
      </c>
      <c r="N209" s="123">
        <f>'Odometro-Kilometraje'!AD81</f>
        <v>10502</v>
      </c>
      <c r="O209" s="21">
        <f>(W209/N209)*100</f>
        <v>95.75956960578938</v>
      </c>
      <c r="P209" s="193"/>
      <c r="Q209" s="182"/>
      <c r="R209" s="182"/>
      <c r="S209" s="182"/>
      <c r="T209" s="182"/>
      <c r="U209" s="182"/>
      <c r="V209" s="182"/>
      <c r="W209" s="194">
        <f>SUM(W203:W208)</f>
        <v>10056.67</v>
      </c>
      <c r="X209" s="194">
        <f>SUM(X203:X208)</f>
        <v>10198.51</v>
      </c>
      <c r="Y209" s="245"/>
      <c r="Z209" s="342"/>
    </row>
    <row r="210" spans="1:28" s="124" customFormat="1" x14ac:dyDescent="0.25">
      <c r="A210" s="60">
        <f>A203+1</f>
        <v>46052</v>
      </c>
      <c r="B210" s="299">
        <v>62</v>
      </c>
      <c r="C210" s="299">
        <v>17</v>
      </c>
      <c r="D210" s="126">
        <f>'Data Ocupacion'!BJ31</f>
        <v>61</v>
      </c>
      <c r="E210" s="126">
        <f>'Data Ocupacion'!BK31</f>
        <v>17</v>
      </c>
      <c r="F210" s="125" t="s">
        <v>38</v>
      </c>
      <c r="G210" s="125">
        <f t="shared" ref="G210:G222" si="178">D210+E210*2</f>
        <v>95</v>
      </c>
      <c r="H210" s="125">
        <f>B210+C210*2</f>
        <v>96</v>
      </c>
      <c r="I210" s="125">
        <f t="shared" ref="I210:I215" si="179">D210+E210</f>
        <v>78</v>
      </c>
      <c r="J210" s="125">
        <f>G210*M$2</f>
        <v>4097.3500000000004</v>
      </c>
      <c r="K210" s="153">
        <f>I210*M$2</f>
        <v>3364.1400000000003</v>
      </c>
      <c r="L210" s="125">
        <f t="shared" ref="L210:L215" si="180">J210*104</f>
        <v>426124.4</v>
      </c>
      <c r="M210" s="125">
        <f t="shared" ref="M210:M215" si="181">I210*104</f>
        <v>8112</v>
      </c>
      <c r="N210" s="19"/>
      <c r="O210" s="19"/>
      <c r="P210" s="146"/>
      <c r="Q210" s="246">
        <v>3</v>
      </c>
      <c r="R210" s="184"/>
      <c r="S210" s="207"/>
      <c r="T210" s="246"/>
      <c r="U210" s="192"/>
      <c r="V210" s="230"/>
      <c r="W210" s="183">
        <f>J210-(Q210*($M$2-$K$1))-(R210*($M$2-$M$1))- (S210*($M$2-$I$2))+ (T210*($G$2))</f>
        <v>4044.1600000000003</v>
      </c>
      <c r="X210" s="183">
        <f>H210*$M$2</f>
        <v>4140.4800000000005</v>
      </c>
    </row>
    <row r="211" spans="1:28" s="124" customFormat="1" ht="14.45" customHeight="1" x14ac:dyDescent="0.25">
      <c r="A211" s="371" t="s">
        <v>180</v>
      </c>
      <c r="B211" s="299">
        <v>60</v>
      </c>
      <c r="C211" s="299">
        <v>18</v>
      </c>
      <c r="D211" s="126">
        <f>'Data Ocupacion'!BJ32</f>
        <v>60</v>
      </c>
      <c r="E211" s="126">
        <f>'Data Ocupacion'!BK32</f>
        <v>16</v>
      </c>
      <c r="F211" s="125" t="s">
        <v>52</v>
      </c>
      <c r="G211" s="125">
        <f t="shared" si="178"/>
        <v>92</v>
      </c>
      <c r="H211" s="125">
        <f t="shared" ref="H211:H215" si="182">B211+C211*2</f>
        <v>96</v>
      </c>
      <c r="I211" s="125">
        <f t="shared" si="179"/>
        <v>76</v>
      </c>
      <c r="J211" s="125">
        <f>G211*M$2</f>
        <v>3967.96</v>
      </c>
      <c r="K211" s="153">
        <f>I211*M$2</f>
        <v>3277.88</v>
      </c>
      <c r="L211" s="125">
        <f t="shared" si="180"/>
        <v>412667.84</v>
      </c>
      <c r="M211" s="125">
        <f t="shared" si="181"/>
        <v>7904</v>
      </c>
      <c r="N211" s="19"/>
      <c r="O211" s="19"/>
      <c r="P211" s="146"/>
      <c r="Q211" s="187"/>
      <c r="R211" s="187"/>
      <c r="S211" s="187"/>
      <c r="T211" s="184"/>
      <c r="U211" s="184"/>
      <c r="V211" s="207"/>
      <c r="W211" s="186">
        <f>J211-(T211*($M$2-$K$1)+(U211*($M$2-$M$1)))</f>
        <v>3967.96</v>
      </c>
      <c r="X211" s="183">
        <f>H211*$M$2</f>
        <v>4140.4800000000005</v>
      </c>
    </row>
    <row r="212" spans="1:28" s="124" customFormat="1" x14ac:dyDescent="0.25">
      <c r="A212" s="371"/>
      <c r="B212" s="299">
        <v>33</v>
      </c>
      <c r="C212" s="299">
        <v>0</v>
      </c>
      <c r="D212" s="126">
        <f>'Data Ocupacion'!BJ33</f>
        <v>13</v>
      </c>
      <c r="E212" s="126">
        <f>'Data Ocupacion'!BK33</f>
        <v>0</v>
      </c>
      <c r="F212" s="125" t="s">
        <v>36</v>
      </c>
      <c r="G212" s="125">
        <f t="shared" si="178"/>
        <v>13</v>
      </c>
      <c r="H212" s="125">
        <f t="shared" si="182"/>
        <v>33</v>
      </c>
      <c r="I212" s="125">
        <f t="shared" si="179"/>
        <v>13</v>
      </c>
      <c r="J212" s="125">
        <f>G212*M$1</f>
        <v>378.43</v>
      </c>
      <c r="K212" s="153">
        <f>I212*M$1</f>
        <v>378.43</v>
      </c>
      <c r="L212" s="125">
        <f t="shared" si="180"/>
        <v>39356.720000000001</v>
      </c>
      <c r="M212" s="125">
        <f t="shared" si="181"/>
        <v>1352</v>
      </c>
      <c r="N212" s="19"/>
      <c r="O212" s="19" t="s">
        <v>144</v>
      </c>
      <c r="P212" s="146"/>
      <c r="Q212" s="246"/>
      <c r="R212" s="188"/>
      <c r="S212" s="208"/>
      <c r="T212" s="189"/>
      <c r="U212" s="190"/>
      <c r="V212" s="190"/>
      <c r="W212" s="183">
        <f>J212-(Q212*($M$1-$K$1))</f>
        <v>378.43</v>
      </c>
      <c r="X212" s="183">
        <f>H212*$M$1</f>
        <v>960.63</v>
      </c>
    </row>
    <row r="213" spans="1:28" s="124" customFormat="1" x14ac:dyDescent="0.25">
      <c r="A213" s="371"/>
      <c r="B213" s="299">
        <v>32</v>
      </c>
      <c r="C213" s="299">
        <v>0</v>
      </c>
      <c r="D213" s="126">
        <f>'Data Ocupacion'!BJ34</f>
        <v>15</v>
      </c>
      <c r="E213" s="126">
        <f>'Data Ocupacion'!BK34</f>
        <v>2</v>
      </c>
      <c r="F213" s="125" t="s">
        <v>53</v>
      </c>
      <c r="G213" s="125">
        <f t="shared" si="178"/>
        <v>19</v>
      </c>
      <c r="H213" s="125">
        <f t="shared" si="182"/>
        <v>32</v>
      </c>
      <c r="I213" s="125">
        <f t="shared" si="179"/>
        <v>17</v>
      </c>
      <c r="J213" s="125">
        <f>G213*M$1</f>
        <v>553.09</v>
      </c>
      <c r="K213" s="153">
        <f>I213*M$1</f>
        <v>494.87</v>
      </c>
      <c r="L213" s="125">
        <f t="shared" si="180"/>
        <v>57521.36</v>
      </c>
      <c r="M213" s="125">
        <f t="shared" si="181"/>
        <v>1768</v>
      </c>
      <c r="N213" s="19"/>
      <c r="O213" s="19" t="s">
        <v>144</v>
      </c>
      <c r="P213" s="146"/>
      <c r="Q213" s="190"/>
      <c r="R213" s="190"/>
      <c r="S213" s="190"/>
      <c r="T213" s="190"/>
      <c r="U213" s="190"/>
      <c r="V213" s="190"/>
      <c r="W213" s="183">
        <f>J213</f>
        <v>553.09</v>
      </c>
      <c r="X213" s="183">
        <f>H213*$M$1</f>
        <v>931.52</v>
      </c>
    </row>
    <row r="214" spans="1:28" s="124" customFormat="1" x14ac:dyDescent="0.25">
      <c r="A214" s="371"/>
      <c r="B214" s="299">
        <v>0</v>
      </c>
      <c r="C214" s="299">
        <v>0</v>
      </c>
      <c r="D214" s="126">
        <f>'Data Ocupacion'!BJ35</f>
        <v>0</v>
      </c>
      <c r="E214" s="126">
        <f>'Data Ocupacion'!BK35</f>
        <v>0</v>
      </c>
      <c r="F214" s="125" t="s">
        <v>122</v>
      </c>
      <c r="G214" s="125">
        <f t="shared" si="178"/>
        <v>0</v>
      </c>
      <c r="H214" s="125">
        <f t="shared" si="182"/>
        <v>0</v>
      </c>
      <c r="I214" s="125">
        <f t="shared" si="179"/>
        <v>0</v>
      </c>
      <c r="J214" s="125">
        <f>G214*K$1</f>
        <v>0</v>
      </c>
      <c r="K214" s="153">
        <f>I214*K$1</f>
        <v>0</v>
      </c>
      <c r="L214" s="125">
        <f t="shared" si="180"/>
        <v>0</v>
      </c>
      <c r="M214" s="125">
        <f t="shared" si="181"/>
        <v>0</v>
      </c>
      <c r="N214" s="19"/>
      <c r="O214" s="19"/>
      <c r="P214" s="146"/>
      <c r="Q214" s="190"/>
      <c r="R214" s="190"/>
      <c r="S214" s="190"/>
      <c r="T214" s="190"/>
      <c r="U214" s="190"/>
      <c r="V214" s="190"/>
      <c r="W214" s="183">
        <f>J214</f>
        <v>0</v>
      </c>
      <c r="X214" s="183">
        <f>H214*$K$1</f>
        <v>0</v>
      </c>
    </row>
    <row r="215" spans="1:28" s="124" customFormat="1" ht="15.75" thickBot="1" x14ac:dyDescent="0.3">
      <c r="A215" s="371"/>
      <c r="B215" s="299">
        <v>1</v>
      </c>
      <c r="C215" s="299">
        <v>0</v>
      </c>
      <c r="D215" s="126">
        <f>'Data Ocupacion'!BJ36</f>
        <v>1</v>
      </c>
      <c r="E215" s="126">
        <f>'Data Ocupacion'!BK36</f>
        <v>0</v>
      </c>
      <c r="F215" s="125" t="s">
        <v>35</v>
      </c>
      <c r="G215" s="125">
        <f t="shared" si="178"/>
        <v>1</v>
      </c>
      <c r="H215" s="125">
        <f t="shared" si="182"/>
        <v>1</v>
      </c>
      <c r="I215" s="125">
        <f t="shared" si="179"/>
        <v>1</v>
      </c>
      <c r="J215" s="125">
        <f>G215*K$1</f>
        <v>25.4</v>
      </c>
      <c r="K215" s="153">
        <f>I215*K$1</f>
        <v>25.4</v>
      </c>
      <c r="L215" s="125">
        <f t="shared" si="180"/>
        <v>2641.6</v>
      </c>
      <c r="M215" s="125">
        <f t="shared" si="181"/>
        <v>104</v>
      </c>
      <c r="N215" s="19"/>
      <c r="O215" s="19"/>
      <c r="P215" s="146"/>
      <c r="Q215" s="190"/>
      <c r="R215" s="190"/>
      <c r="S215" s="190"/>
      <c r="T215" s="190"/>
      <c r="U215" s="190"/>
      <c r="V215" s="190"/>
      <c r="W215" s="183">
        <f>J215</f>
        <v>25.4</v>
      </c>
      <c r="X215" s="183">
        <f>H215*$K$1</f>
        <v>25.4</v>
      </c>
    </row>
    <row r="216" spans="1:28" s="124" customFormat="1" ht="15.75" thickBot="1" x14ac:dyDescent="0.3">
      <c r="A216" s="20"/>
      <c r="B216" s="119">
        <f>SUM(B210:B215)</f>
        <v>188</v>
      </c>
      <c r="C216" s="119">
        <f>SUM(C210:C215)</f>
        <v>35</v>
      </c>
      <c r="D216" s="152">
        <f>SUM(D210:D215)</f>
        <v>150</v>
      </c>
      <c r="E216" s="152">
        <f>SUM(E210:E215)</f>
        <v>35</v>
      </c>
      <c r="F216" s="119"/>
      <c r="G216" s="119">
        <f t="shared" ref="G216:M216" si="183">SUM(G210:G215)</f>
        <v>220</v>
      </c>
      <c r="H216" s="119">
        <f t="shared" si="183"/>
        <v>258</v>
      </c>
      <c r="I216" s="119">
        <f t="shared" si="183"/>
        <v>185</v>
      </c>
      <c r="J216" s="120">
        <f>SUM(J210:J215)</f>
        <v>9022.23</v>
      </c>
      <c r="K216" s="119">
        <f t="shared" si="183"/>
        <v>7540.72</v>
      </c>
      <c r="L216" s="118">
        <f t="shared" si="183"/>
        <v>938311.91999999993</v>
      </c>
      <c r="M216" s="151">
        <f t="shared" si="183"/>
        <v>19240</v>
      </c>
      <c r="N216" s="123">
        <f>'Odometro-Kilometraje'!AE81</f>
        <v>9512</v>
      </c>
      <c r="O216" s="21">
        <f>(W216/N216)*100</f>
        <v>94.291841883936087</v>
      </c>
      <c r="P216" s="193"/>
      <c r="Q216" s="182"/>
      <c r="R216" s="182"/>
      <c r="S216" s="182"/>
      <c r="T216" s="182"/>
      <c r="U216" s="182"/>
      <c r="V216" s="182"/>
      <c r="W216" s="194">
        <f>SUM(W210:W215)</f>
        <v>8969.0400000000009</v>
      </c>
      <c r="X216" s="194">
        <f>SUM(X210:X215)</f>
        <v>10198.51</v>
      </c>
      <c r="Y216" s="259"/>
      <c r="Z216" s="342"/>
    </row>
    <row r="217" spans="1:28" s="124" customFormat="1" x14ac:dyDescent="0.25">
      <c r="A217" s="60">
        <f>A210+1</f>
        <v>46053</v>
      </c>
      <c r="B217" s="116">
        <v>69</v>
      </c>
      <c r="C217" s="116">
        <v>3</v>
      </c>
      <c r="D217" s="147">
        <f>'Data Ocupacion'!BL31</f>
        <v>69</v>
      </c>
      <c r="E217" s="147">
        <f>'Data Ocupacion'!BM31</f>
        <v>3</v>
      </c>
      <c r="F217" s="116" t="s">
        <v>38</v>
      </c>
      <c r="G217" s="116">
        <f t="shared" si="178"/>
        <v>75</v>
      </c>
      <c r="H217" s="116">
        <f>B217+C217*2</f>
        <v>75</v>
      </c>
      <c r="I217" s="116">
        <f t="shared" ref="I217:I222" si="184">D217+E217</f>
        <v>72</v>
      </c>
      <c r="J217" s="116">
        <f>G217*M$2</f>
        <v>3234.75</v>
      </c>
      <c r="K217" s="153">
        <f>I217*M$2</f>
        <v>3105.36</v>
      </c>
      <c r="L217" s="116">
        <f t="shared" ref="L217:L222" si="185">J217*104</f>
        <v>336414</v>
      </c>
      <c r="M217" s="116">
        <f t="shared" ref="M217:M222" si="186">I217*104</f>
        <v>7488</v>
      </c>
      <c r="N217" s="19"/>
      <c r="O217" s="19"/>
      <c r="P217" s="146"/>
      <c r="Q217" s="184"/>
      <c r="R217" s="184"/>
      <c r="S217" s="207"/>
      <c r="T217" s="246"/>
      <c r="U217" s="192"/>
      <c r="V217" s="230"/>
      <c r="W217" s="183">
        <f>J217-(Q217*($M$2-$K$1))-(R217*($M$2-$M$1))- (S217*($M$2-$I$2))+ (T217*($G$2))</f>
        <v>3234.75</v>
      </c>
      <c r="X217" s="183">
        <f>H217*$M$2</f>
        <v>3234.75</v>
      </c>
      <c r="Y217" s="290"/>
    </row>
    <row r="218" spans="1:28" s="124" customFormat="1" ht="15" customHeight="1" x14ac:dyDescent="0.25">
      <c r="A218" s="203"/>
      <c r="B218" s="116">
        <v>75</v>
      </c>
      <c r="C218" s="116">
        <v>0</v>
      </c>
      <c r="D218" s="147">
        <f>'Data Ocupacion'!BL32</f>
        <v>75</v>
      </c>
      <c r="E218" s="147">
        <f>'Data Ocupacion'!BM32</f>
        <v>0</v>
      </c>
      <c r="F218" s="116" t="s">
        <v>52</v>
      </c>
      <c r="G218" s="116">
        <f t="shared" si="178"/>
        <v>75</v>
      </c>
      <c r="H218" s="116">
        <f t="shared" ref="H218:H222" si="187">B218+C218*2</f>
        <v>75</v>
      </c>
      <c r="I218" s="116">
        <f t="shared" si="184"/>
        <v>75</v>
      </c>
      <c r="J218" s="116">
        <f>G218*M$2</f>
        <v>3234.75</v>
      </c>
      <c r="K218" s="153">
        <f>I218*M$2</f>
        <v>3234.75</v>
      </c>
      <c r="L218" s="116">
        <f t="shared" si="185"/>
        <v>336414</v>
      </c>
      <c r="M218" s="116">
        <f t="shared" si="186"/>
        <v>7800</v>
      </c>
      <c r="N218" s="19"/>
      <c r="O218" s="19"/>
      <c r="P218" s="146"/>
      <c r="Q218" s="187"/>
      <c r="R218" s="187"/>
      <c r="S218" s="187"/>
      <c r="T218" s="184"/>
      <c r="U218" s="184"/>
      <c r="V218" s="207"/>
      <c r="W218" s="186">
        <f>J218-(T218*($M$2-$K$1)+(U218*($M$2-$M$1)))</f>
        <v>3234.75</v>
      </c>
      <c r="X218" s="183">
        <f>H218*$M$2</f>
        <v>3234.75</v>
      </c>
      <c r="Y218" s="290"/>
    </row>
    <row r="219" spans="1:28" s="124" customFormat="1" x14ac:dyDescent="0.25">
      <c r="A219" s="203"/>
      <c r="B219" s="116">
        <v>0</v>
      </c>
      <c r="C219" s="116">
        <v>0</v>
      </c>
      <c r="D219" s="147">
        <f>'Data Ocupacion'!BL33</f>
        <v>0</v>
      </c>
      <c r="E219" s="147">
        <f>'Data Ocupacion'!BM33</f>
        <v>0</v>
      </c>
      <c r="F219" s="116" t="s">
        <v>36</v>
      </c>
      <c r="G219" s="116">
        <f t="shared" si="178"/>
        <v>0</v>
      </c>
      <c r="H219" s="116">
        <f t="shared" si="187"/>
        <v>0</v>
      </c>
      <c r="I219" s="116">
        <f t="shared" si="184"/>
        <v>0</v>
      </c>
      <c r="J219" s="116">
        <f>G219*M$1</f>
        <v>0</v>
      </c>
      <c r="K219" s="153">
        <f>I219*M$1</f>
        <v>0</v>
      </c>
      <c r="L219" s="116">
        <f t="shared" si="185"/>
        <v>0</v>
      </c>
      <c r="M219" s="116">
        <f t="shared" si="186"/>
        <v>0</v>
      </c>
      <c r="N219" s="19"/>
      <c r="O219" s="19" t="s">
        <v>144</v>
      </c>
      <c r="P219" s="146"/>
      <c r="Q219" s="246"/>
      <c r="R219" s="188"/>
      <c r="S219" s="208"/>
      <c r="T219" s="189"/>
      <c r="U219" s="190"/>
      <c r="V219" s="190"/>
      <c r="W219" s="183">
        <f>J219-(Q219*($M$1-$K$1))</f>
        <v>0</v>
      </c>
      <c r="X219" s="183">
        <f>H219*$M$1</f>
        <v>0</v>
      </c>
      <c r="Y219" s="290"/>
    </row>
    <row r="220" spans="1:28" s="124" customFormat="1" x14ac:dyDescent="0.25">
      <c r="A220" s="203"/>
      <c r="B220" s="116">
        <v>0</v>
      </c>
      <c r="C220" s="116">
        <v>0</v>
      </c>
      <c r="D220" s="147">
        <f>'Data Ocupacion'!BL34</f>
        <v>0</v>
      </c>
      <c r="E220" s="147">
        <f>'Data Ocupacion'!BM34</f>
        <v>0</v>
      </c>
      <c r="F220" s="116" t="s">
        <v>53</v>
      </c>
      <c r="G220" s="116">
        <f t="shared" si="178"/>
        <v>0</v>
      </c>
      <c r="H220" s="116">
        <f t="shared" si="187"/>
        <v>0</v>
      </c>
      <c r="I220" s="116">
        <f t="shared" si="184"/>
        <v>0</v>
      </c>
      <c r="J220" s="116">
        <f>G220*M$1</f>
        <v>0</v>
      </c>
      <c r="K220" s="153">
        <f>I220*M$1</f>
        <v>0</v>
      </c>
      <c r="L220" s="116">
        <f t="shared" si="185"/>
        <v>0</v>
      </c>
      <c r="M220" s="116">
        <f t="shared" si="186"/>
        <v>0</v>
      </c>
      <c r="N220" s="19"/>
      <c r="O220" s="19" t="s">
        <v>144</v>
      </c>
      <c r="P220" s="146"/>
      <c r="Q220" s="190"/>
      <c r="R220" s="190"/>
      <c r="S220" s="190"/>
      <c r="T220" s="190"/>
      <c r="U220" s="190"/>
      <c r="V220" s="190"/>
      <c r="W220" s="183">
        <f>J220</f>
        <v>0</v>
      </c>
      <c r="X220" s="183">
        <f>H220*$M$1</f>
        <v>0</v>
      </c>
      <c r="Y220" s="290"/>
    </row>
    <row r="221" spans="1:28" s="124" customFormat="1" x14ac:dyDescent="0.25">
      <c r="A221" s="203"/>
      <c r="B221" s="116">
        <v>0</v>
      </c>
      <c r="C221" s="116">
        <v>0</v>
      </c>
      <c r="D221" s="147">
        <f>'Data Ocupacion'!BL35</f>
        <v>0</v>
      </c>
      <c r="E221" s="147">
        <f>'Data Ocupacion'!BM35</f>
        <v>0</v>
      </c>
      <c r="F221" s="116" t="s">
        <v>122</v>
      </c>
      <c r="G221" s="116">
        <f t="shared" si="178"/>
        <v>0</v>
      </c>
      <c r="H221" s="116">
        <f t="shared" si="187"/>
        <v>0</v>
      </c>
      <c r="I221" s="116">
        <f t="shared" si="184"/>
        <v>0</v>
      </c>
      <c r="J221" s="116">
        <f>G221*K$1</f>
        <v>0</v>
      </c>
      <c r="K221" s="153">
        <f>I221*K$1</f>
        <v>0</v>
      </c>
      <c r="L221" s="116">
        <f t="shared" si="185"/>
        <v>0</v>
      </c>
      <c r="M221" s="116">
        <f t="shared" si="186"/>
        <v>0</v>
      </c>
      <c r="N221" s="19"/>
      <c r="O221" s="19"/>
      <c r="P221" s="146"/>
      <c r="Q221" s="190"/>
      <c r="R221" s="190"/>
      <c r="S221" s="190"/>
      <c r="T221" s="190"/>
      <c r="U221" s="190"/>
      <c r="V221" s="190"/>
      <c r="W221" s="183">
        <f>J221</f>
        <v>0</v>
      </c>
      <c r="X221" s="183">
        <f>H221*$K$1</f>
        <v>0</v>
      </c>
      <c r="Y221" s="290"/>
    </row>
    <row r="222" spans="1:28" s="124" customFormat="1" ht="15.75" thickBot="1" x14ac:dyDescent="0.3">
      <c r="A222" s="203"/>
      <c r="B222" s="116">
        <v>0</v>
      </c>
      <c r="C222" s="116">
        <v>0</v>
      </c>
      <c r="D222" s="147">
        <f>'Data Ocupacion'!BL36</f>
        <v>0</v>
      </c>
      <c r="E222" s="147">
        <f>'Data Ocupacion'!BM36</f>
        <v>0</v>
      </c>
      <c r="F222" s="116" t="s">
        <v>35</v>
      </c>
      <c r="G222" s="116">
        <f t="shared" si="178"/>
        <v>0</v>
      </c>
      <c r="H222" s="116">
        <f t="shared" si="187"/>
        <v>0</v>
      </c>
      <c r="I222" s="116">
        <f t="shared" si="184"/>
        <v>0</v>
      </c>
      <c r="J222" s="116">
        <f>G222*K$1</f>
        <v>0</v>
      </c>
      <c r="K222" s="153">
        <f>I222*K$1</f>
        <v>0</v>
      </c>
      <c r="L222" s="116">
        <f t="shared" si="185"/>
        <v>0</v>
      </c>
      <c r="M222" s="116">
        <f t="shared" si="186"/>
        <v>0</v>
      </c>
      <c r="N222" s="19"/>
      <c r="O222" s="19"/>
      <c r="P222" s="146"/>
      <c r="Q222" s="190"/>
      <c r="R222" s="190"/>
      <c r="S222" s="190"/>
      <c r="T222" s="190"/>
      <c r="U222" s="190"/>
      <c r="V222" s="190"/>
      <c r="W222" s="183">
        <f>J222</f>
        <v>0</v>
      </c>
      <c r="X222" s="183">
        <f>H222*$K$1</f>
        <v>0</v>
      </c>
      <c r="Y222" s="290"/>
    </row>
    <row r="223" spans="1:28" s="124" customFormat="1" ht="15.75" thickBot="1" x14ac:dyDescent="0.3">
      <c r="A223" s="20"/>
      <c r="B223" s="119">
        <f>SUM(B217:B222)</f>
        <v>144</v>
      </c>
      <c r="C223" s="119">
        <f>SUM(C217:C222)</f>
        <v>3</v>
      </c>
      <c r="D223" s="152">
        <f>SUM(D217:D222)</f>
        <v>144</v>
      </c>
      <c r="E223" s="152">
        <f>SUM(E217:E222)</f>
        <v>3</v>
      </c>
      <c r="F223" s="119"/>
      <c r="G223" s="119">
        <f t="shared" ref="G223:M223" si="188">SUM(G217:G222)</f>
        <v>150</v>
      </c>
      <c r="H223" s="119">
        <f t="shared" si="188"/>
        <v>150</v>
      </c>
      <c r="I223" s="119">
        <f t="shared" si="188"/>
        <v>147</v>
      </c>
      <c r="J223" s="120">
        <f>SUM(J217:J222)</f>
        <v>6469.5</v>
      </c>
      <c r="K223" s="119">
        <f t="shared" si="188"/>
        <v>6340.1100000000006</v>
      </c>
      <c r="L223" s="118">
        <f t="shared" si="188"/>
        <v>672828</v>
      </c>
      <c r="M223" s="151">
        <f t="shared" si="188"/>
        <v>15288</v>
      </c>
      <c r="N223" s="123">
        <f>'Odometro-Kilometraje'!AF81</f>
        <v>6500</v>
      </c>
      <c r="O223" s="21">
        <f>(W223/N223)*100</f>
        <v>99.530769230769238</v>
      </c>
      <c r="P223" s="193"/>
      <c r="Q223" s="182"/>
      <c r="R223" s="182"/>
      <c r="S223" s="182"/>
      <c r="T223" s="182"/>
      <c r="U223" s="182"/>
      <c r="V223" s="182"/>
      <c r="W223" s="194">
        <f>SUM(W217:W222)</f>
        <v>6469.5</v>
      </c>
      <c r="X223" s="194">
        <f>SUM(X217:X222)</f>
        <v>6469.5</v>
      </c>
      <c r="Y223" s="290"/>
      <c r="Z223" s="342"/>
      <c r="AB223" s="172"/>
    </row>
    <row r="224" spans="1:28" s="124" customFormat="1" ht="15.75" thickBot="1" x14ac:dyDescent="0.3"/>
    <row r="225" spans="1:29" s="124" customFormat="1" ht="15.75" thickBot="1" x14ac:dyDescent="0.3">
      <c r="A225"/>
      <c r="B225" s="365" t="s">
        <v>56</v>
      </c>
      <c r="C225" s="366"/>
      <c r="D225" s="366"/>
      <c r="E225" s="366"/>
      <c r="F225" s="366"/>
      <c r="G225" s="367"/>
      <c r="H225" s="293"/>
      <c r="I225" s="365" t="s">
        <v>57</v>
      </c>
      <c r="J225" s="366"/>
      <c r="K225" s="366"/>
      <c r="L225" s="366"/>
      <c r="M225" s="366"/>
      <c r="N225" s="367"/>
      <c r="P225" s="363" t="s">
        <v>139</v>
      </c>
      <c r="Q225" s="363"/>
      <c r="R225" s="363"/>
      <c r="S225" s="364"/>
      <c r="T225" s="359" t="s">
        <v>142</v>
      </c>
      <c r="U225" s="360"/>
      <c r="V225" s="361"/>
      <c r="W225" s="350" t="s">
        <v>143</v>
      </c>
      <c r="X225" s="350" t="s">
        <v>162</v>
      </c>
      <c r="Z225" s="342"/>
      <c r="AB225" s="124">
        <v>279938.09000000003</v>
      </c>
    </row>
    <row r="226" spans="1:29" s="124" customFormat="1" ht="24.75" thickBot="1" x14ac:dyDescent="0.3">
      <c r="A226" s="22" t="s">
        <v>56</v>
      </c>
      <c r="B226" s="179" t="s">
        <v>58</v>
      </c>
      <c r="C226" s="179" t="s">
        <v>59</v>
      </c>
      <c r="D226" s="179" t="s">
        <v>60</v>
      </c>
      <c r="E226" s="179" t="s">
        <v>61</v>
      </c>
      <c r="F226" s="179" t="s">
        <v>62</v>
      </c>
      <c r="G226" s="179" t="s">
        <v>63</v>
      </c>
      <c r="H226" s="179"/>
      <c r="I226" s="179" t="s">
        <v>58</v>
      </c>
      <c r="J226" s="179" t="s">
        <v>59</v>
      </c>
      <c r="K226" s="179" t="s">
        <v>60</v>
      </c>
      <c r="L226" s="179" t="s">
        <v>61</v>
      </c>
      <c r="M226" s="179" t="s">
        <v>62</v>
      </c>
      <c r="N226" s="179" t="s">
        <v>63</v>
      </c>
      <c r="P226" s="215" t="s">
        <v>140</v>
      </c>
      <c r="Q226" s="196" t="s">
        <v>141</v>
      </c>
      <c r="R226" s="214" t="s">
        <v>148</v>
      </c>
      <c r="S226" s="216" t="s">
        <v>146</v>
      </c>
      <c r="T226" s="197" t="s">
        <v>140</v>
      </c>
      <c r="U226" s="198" t="s">
        <v>141</v>
      </c>
      <c r="V226" s="229" t="s">
        <v>146</v>
      </c>
      <c r="W226" s="351"/>
      <c r="X226" s="351"/>
    </row>
    <row r="227" spans="1:29" ht="15.95" customHeight="1" x14ac:dyDescent="0.25">
      <c r="A227" s="23" t="s">
        <v>38</v>
      </c>
      <c r="B227" s="114">
        <f>B5+B12+B19+B26+B33+B40+B47+B56+B63+B70+B77+B84+B91+B98+B105+B112+B119+B126+B133+B140+B147+B154+B161+B168+B175+B182+B189+B196+B203+B210+B217</f>
        <v>1745</v>
      </c>
      <c r="C227" s="114">
        <f>C5+C12+C19+C26+C33+C40+C47+C56+C63+C70+C77+C84+C91+C98+C105+C112+C119+C126+C133+C140+C147+C154+C161+C168+C175+C182+C189+C196+C203+C210+C217</f>
        <v>544</v>
      </c>
      <c r="D227" s="114">
        <f t="shared" ref="D227:D232" si="189">B227+C227</f>
        <v>2289</v>
      </c>
      <c r="E227" s="139">
        <f>D227*43.13</f>
        <v>98724.57</v>
      </c>
      <c r="F227" s="139">
        <f>B227*43.13+C227*86.26</f>
        <v>122187.29000000001</v>
      </c>
      <c r="G227" s="139">
        <f t="shared" ref="G227:G232" si="190">F227*104</f>
        <v>12707478.16</v>
      </c>
      <c r="H227" s="139"/>
      <c r="I227" s="114">
        <f>D5+D12+D26+D33+D40+D47+D56+D63+D70+D77+D84+D91+D98+D105+D112+D119+D126+D133+D140+D147+D154+D161+D168+D175+D182+D189+D196+D203+D210+D217+D19</f>
        <v>1742</v>
      </c>
      <c r="J227" s="114">
        <f>E5+E12+E26+E33+E40+E47+E56+E63+E70+E77+E84+E91+E98+E105+E112+E119+E126+E133+E140+E147+E154+E161+E168+E175+E182+E189+E196+E203+E210+E217+E19</f>
        <v>538</v>
      </c>
      <c r="K227" s="114">
        <f t="shared" ref="K227:K232" si="191">I227+J227</f>
        <v>2280</v>
      </c>
      <c r="L227" s="139">
        <f>K227*43.13</f>
        <v>98336.400000000009</v>
      </c>
      <c r="M227" s="139">
        <f>I227*43.13+J227*86.26</f>
        <v>121540.34000000001</v>
      </c>
      <c r="N227" s="139">
        <f t="shared" ref="N227:N232" si="192">M227*104</f>
        <v>12640195.360000001</v>
      </c>
      <c r="O227" s="124"/>
      <c r="P227" s="210">
        <f>SUM(Q196,Q189,Q182,Q175,Q168,Q161,Q154,Q147,Q140,Q133,Q126,Q119,Q112,Q105,Q98,Q91,Q84,Q77,Q70,Q63,Q56,Q47,Q40,Q33,Q26,Q19,Q12,Q5,Q203,Q210,Q217)</f>
        <v>55</v>
      </c>
      <c r="Q227" s="210">
        <f>SUM(R196,R189,R182,R175,R168,R161,R154,R147,R140,R133,R126,R119,R112,R105,R98,R91,R84,R77,R70,R63,R56,R47,R40,R33,R26,R19,R12,R5,R203,R210,R217)</f>
        <v>0</v>
      </c>
      <c r="R227" s="210">
        <f>SUM(S196,S189,S182,S175,S168,S161,S154,S147,S140,S133,S126,S119,S112,S105,S98,S91,S84,S77,S70,S63,S56,S47,S40,S33,S26,S19,S12,S5,S203,S210,S217)</f>
        <v>0</v>
      </c>
      <c r="S227" s="210">
        <f>SUM(S196,S189,S182,S175,S168,S161,S154,S147,S140,S133,S126,S119,S112,S105,S98,S91,S84,S77,S70,S63,S56,S47,S40,S33,S26,S19,S12,S5,S203,S210,S217)</f>
        <v>0</v>
      </c>
      <c r="T227" s="210">
        <f>SUM(T196,T189,T182,T175,T168,T161,T154,T147,T140,T133,T126,T119,T112,T105,T98,T91,T84,T77,T70,T63,T56,T47,T40,T33,T26,T19,T12,T5,T203,T210,T217)+T6+T13+T20+T27+T34+T41+T48+T57+T64+T71+T78+T85+T92+T99+T106+T113+T120+T127+T134+T141+T148+T155+T162+T169+T176+T183+T190+T197+T204+T211+T218</f>
        <v>66</v>
      </c>
      <c r="U227" s="210">
        <f>SUM(U196,U189,U182,U175,U168,U161,U154,U147,U140,U133,U126,U119,U112,U105,U98,U91,U84,U77,U70,U63,U56,U47,U40,U33,U26,U19,U12,U5,U203,U210,U218)</f>
        <v>0</v>
      </c>
      <c r="V227" s="210">
        <f>SUM(V196,V189,V182,V175,V168,V161,V154,V147,V140,V133,V126,V119,V112,V105,V98,V91,V84,V77,V70,V63,V56,V47,V40,V33,V26,V19,V12,V5,V203,V210,V218)</f>
        <v>0</v>
      </c>
      <c r="W227" s="233">
        <f>W11+W18+W25+W32+W39+W46+W55+W62+W69+W76+W83+W90+W97+W104+W111+W118+W125+W132+W139+W146+W153+W160+W167+W174+W181+W188+W195+W202+W209+W216+W223</f>
        <v>280152.21999999997</v>
      </c>
      <c r="X227" s="233">
        <f>X11+X18+X25+X32+X39+X46+X55+X62+X69+X76+X83+X90+X97+X104+X111+X118+X125+X132+X139+X146+X153+X160+X167+X174+X181+X188+X195+X202+X209+X216+X223</f>
        <v>284729.39000000013</v>
      </c>
    </row>
    <row r="228" spans="1:29" ht="17.25" customHeight="1" x14ac:dyDescent="0.25">
      <c r="A228" s="23" t="s">
        <v>52</v>
      </c>
      <c r="B228" s="114">
        <f>B6+B13+B20+B27+B34+B41+B48+B57+B64+B71+B78+B85+B92+B99+B106+B113+B120+B127+B134+B141+B148+B155+B162+B169+B176+B183+B190+B197+B204+B211+B218</f>
        <v>1761</v>
      </c>
      <c r="C228" s="114">
        <f>C6+C13+C20+C27+C34+C41+C48+C57+C64+C71+C78+C85+C92+C99+C106+C113+C120+C127+C134+C141+C148+C155+C162+C169+C176+C183+C190+C197+C204+C211+C218</f>
        <v>537</v>
      </c>
      <c r="D228" s="114">
        <f t="shared" si="189"/>
        <v>2298</v>
      </c>
      <c r="E228" s="139">
        <f>D228*43.13</f>
        <v>99112.74</v>
      </c>
      <c r="F228" s="139">
        <f>B228*43.13+C228*86.26</f>
        <v>122273.55000000002</v>
      </c>
      <c r="G228" s="139">
        <f t="shared" si="190"/>
        <v>12716449.200000001</v>
      </c>
      <c r="H228" s="139"/>
      <c r="I228" s="114">
        <f>D6+D13+D27+D34+D41+D48+D57+D64+D71+D78+D85+D92+D99+D106+D113+D120+D127+D134+D141+D148+D155+D162+D169+D176+D183+D190+D197+D204+D211+D218+D20</f>
        <v>1752</v>
      </c>
      <c r="J228" s="114">
        <f>E6+E13+E27+E34+E41+E48+E57+E64+E71+E78+E85+E92+E99+E106+E113+E120+E127+E134+E141+E148+E155+E162+E169+E176+E183+E190+E197+E204+E211+E218+E20</f>
        <v>531</v>
      </c>
      <c r="K228" s="114">
        <f t="shared" si="191"/>
        <v>2283</v>
      </c>
      <c r="L228" s="139">
        <f t="shared" ref="L228" si="193">K228*43.13</f>
        <v>98465.790000000008</v>
      </c>
      <c r="M228" s="139">
        <f>I228*43.13+J228*86.26</f>
        <v>121367.82</v>
      </c>
      <c r="N228" s="139">
        <f t="shared" si="192"/>
        <v>12622253.280000001</v>
      </c>
      <c r="O228" s="124"/>
      <c r="W228" s="124"/>
      <c r="AA228" s="8"/>
    </row>
    <row r="229" spans="1:29" x14ac:dyDescent="0.25">
      <c r="A229" s="23" t="s">
        <v>36</v>
      </c>
      <c r="B229" s="114">
        <f>B7+B14+B21+B28+B35+B42+B49+B58+B65+B72+B79+B86+B93+B100+B107+B114+B121+B128+B135+B142+B149+B156+B163+B170+B177+B184+B191+B198+B205+B212+B219</f>
        <v>693</v>
      </c>
      <c r="C229" s="114">
        <f>C7+C14+C21+C28+C35+C42+C49+C58+C65+C72+C79+C86+C93+C100+C107+C114+C121+C128+C135+C142+C149+C156+C163+C170+C177+C184+C191+C198+C205+C212+C219</f>
        <v>0</v>
      </c>
      <c r="D229" s="114">
        <f t="shared" si="189"/>
        <v>693</v>
      </c>
      <c r="E229" s="139">
        <f>D229*29.11</f>
        <v>20173.23</v>
      </c>
      <c r="F229" s="139">
        <f>B229*29.11+C229*58.22</f>
        <v>20173.23</v>
      </c>
      <c r="G229" s="139">
        <f t="shared" si="190"/>
        <v>2098015.92</v>
      </c>
      <c r="H229" s="139"/>
      <c r="I229" s="114">
        <f>D7+D14+D28+D35+D42+D49+D58+D65+D72+D79+D86+D93+D100+D107+D114+D121+D128+D135+D142+D149+D156+D163+D170+D177+D184+D191+D198+D205+D212+D219+D21</f>
        <v>655</v>
      </c>
      <c r="J229" s="114">
        <f>E7+E14+E28+E35+E42+E49+E58+E65+E72+E79+E86+E93+E100+E107+E114+E121+E128+E135+E142+E149+E156+E163+E170+E177+E184+E191+E198+E205+E212+E219+E21</f>
        <v>6</v>
      </c>
      <c r="K229" s="114">
        <f t="shared" si="191"/>
        <v>661</v>
      </c>
      <c r="L229" s="139">
        <f>K229*29.11</f>
        <v>19241.71</v>
      </c>
      <c r="M229" s="139">
        <f>I229*29.11+J229*58.22</f>
        <v>19416.37</v>
      </c>
      <c r="N229" s="139">
        <f t="shared" si="192"/>
        <v>2019302.48</v>
      </c>
      <c r="O229" s="124"/>
      <c r="W229" s="124"/>
    </row>
    <row r="230" spans="1:29" x14ac:dyDescent="0.25">
      <c r="A230" s="23" t="s">
        <v>53</v>
      </c>
      <c r="B230" s="114">
        <f>B8+B15+B22+B29+B36+B43+B50+B59+B66+B73+B80+B87+B94+B101+B108+B115+B122+B129+B136+B143+B150+B157+B164+B171+B178+B185+B192+B199+B206+B213+B220</f>
        <v>672</v>
      </c>
      <c r="C230" s="114">
        <f>C8+C15+C22+C29+C36+C43+C50+C59+C66+C73+C80+C87+C94+C101+C108+C115+C122+C129+C136+C143+C150+C157+C164+C171+C178+C185+C192+C199+C206+C213+C221</f>
        <v>0</v>
      </c>
      <c r="D230" s="114">
        <f t="shared" si="189"/>
        <v>672</v>
      </c>
      <c r="E230" s="139">
        <f>D230*29.11</f>
        <v>19561.919999999998</v>
      </c>
      <c r="F230" s="139">
        <f>B230*29.11+C230*58.22</f>
        <v>19561.919999999998</v>
      </c>
      <c r="G230" s="139">
        <f t="shared" si="190"/>
        <v>2034439.6799999997</v>
      </c>
      <c r="H230" s="139"/>
      <c r="I230" s="114">
        <f>D8+D15+D29+D36+D43+D50+D59+D66+D73+D80+D87+D94+D101+D108+D115+D122+D129+D136+D143+D150+D157+D164+D171+D178+D185+D192+D199+D206+D213+D220+D22</f>
        <v>643</v>
      </c>
      <c r="J230" s="114">
        <f>E8+E15+E29+E36+E43+E50+E59+E66+E73+E80+E87+E94+E101+E108+E115+E122+E129+E136+E143+E150+E157+E164+E171+E178+E185+E192+E199+E206+E213+E220+E22</f>
        <v>5</v>
      </c>
      <c r="K230" s="114">
        <f t="shared" si="191"/>
        <v>648</v>
      </c>
      <c r="L230" s="139">
        <f>K230*29.11</f>
        <v>18863.28</v>
      </c>
      <c r="M230" s="139">
        <f>I230*29.11+J230*58.22</f>
        <v>19008.829999999998</v>
      </c>
      <c r="N230" s="139">
        <f t="shared" si="192"/>
        <v>1976918.3199999998</v>
      </c>
      <c r="O230" s="124"/>
      <c r="W230" s="124"/>
      <c r="AA230" s="101"/>
      <c r="AB230" s="101"/>
      <c r="AC230" s="101"/>
    </row>
    <row r="231" spans="1:29" x14ac:dyDescent="0.25">
      <c r="A231" s="23" t="s">
        <v>122</v>
      </c>
      <c r="B231" s="114">
        <f>B9+B16+B23+B30+B37+B44+B51+B60+B67+B74+B81+B88+B95+B102+B109+B116+B123+B130+B137+B144+B151+B158+B165+B172+B179+B186+B193+B200+B207+B214+B221</f>
        <v>0</v>
      </c>
      <c r="C231" s="114">
        <f>C9+C16+C23+C30+C37+C44+C51+C60+C67+C74+C81+C88+C95+C102+C109+C116+C123+C130+C137+C144+C151+C158+C165+C172+C179+C186+C193+C200+C207+C214+C222</f>
        <v>0</v>
      </c>
      <c r="D231" s="114">
        <f t="shared" si="189"/>
        <v>0</v>
      </c>
      <c r="E231" s="139">
        <f>D231*25.4</f>
        <v>0</v>
      </c>
      <c r="F231" s="139">
        <f>B231*25.4+C231*50.8</f>
        <v>0</v>
      </c>
      <c r="G231" s="139">
        <f t="shared" si="190"/>
        <v>0</v>
      </c>
      <c r="H231" s="139"/>
      <c r="I231" s="114">
        <f>D9+D16+D30+D37+D44+D51+D60+D67+D74+D81+D88+D95+D102+D109+D116+D123+D130+D137+D144+D151+D158+D165+D172+D179+D186+D193+D200+D207+D214+D221+D23</f>
        <v>0</v>
      </c>
      <c r="J231" s="114">
        <f>E9+E16+E30+E37+E44+E51+E60+E67+E74+E81+E88+E95+E102+E109+E116+E123+E130+E137+E144+E151+E158+E165+E172+E179+E186+E193+E200+E207+E214+E221</f>
        <v>0</v>
      </c>
      <c r="K231" s="114">
        <f t="shared" si="191"/>
        <v>0</v>
      </c>
      <c r="L231" s="139">
        <f>K231*25.4</f>
        <v>0</v>
      </c>
      <c r="M231" s="139">
        <f>I231*25.4+J231*50.8</f>
        <v>0</v>
      </c>
      <c r="N231" s="139">
        <f t="shared" si="192"/>
        <v>0</v>
      </c>
      <c r="O231" s="124"/>
      <c r="W231" s="124"/>
    </row>
    <row r="232" spans="1:29" x14ac:dyDescent="0.25">
      <c r="A232" s="23" t="s">
        <v>35</v>
      </c>
      <c r="B232" s="114">
        <f>B10+B17+B24+B31+B38+B45+B52+B61+B68+B75+B82+B89+B96+B103+B110+B117+B124+B131+B138+B145+B152+B159+B166+B173+B180+B187+B194+B201+B208+B215+B222</f>
        <v>21</v>
      </c>
      <c r="C232" s="114">
        <f>C10+C17+C24+C31+C38+C45+C52+C61+C68+C75+C82+C89+C96+C103+C110+C117+C124+C131+C138+C145+C152+C159+C166+C173+C180+C187+C194+C201+C208+C215+C222</f>
        <v>0</v>
      </c>
      <c r="D232" s="114">
        <f t="shared" si="189"/>
        <v>21</v>
      </c>
      <c r="E232" s="139">
        <f>D232*25.4</f>
        <v>533.4</v>
      </c>
      <c r="F232" s="139">
        <f>B232*25.4+C232*50.8</f>
        <v>533.4</v>
      </c>
      <c r="G232" s="139">
        <f t="shared" si="190"/>
        <v>55473.599999999999</v>
      </c>
      <c r="H232" s="139"/>
      <c r="I232" s="114">
        <f>D10+D17+D31+D38+D45+D52+D61+D68+D75+D82+D89+D96+D103+D110+D117+D124+D131+D138+D145+D152+D159+D166+D173+D180+D187+D194+D201+D208+D215+D222+D24</f>
        <v>23</v>
      </c>
      <c r="J232" s="114">
        <f>E10+E17+E31+E38+E45+E52+E61+E68+E75+E82+E89+E96+E103+E110+E117+E124+E131+E138+E145+E152+E159+E166+E173+E180+E187+E194+E201+E208+E215+E222</f>
        <v>2</v>
      </c>
      <c r="K232" s="114">
        <f t="shared" si="191"/>
        <v>25</v>
      </c>
      <c r="L232" s="139">
        <f>K232*25.4</f>
        <v>635</v>
      </c>
      <c r="M232" s="139">
        <f>I232*25.4+J232*50.8</f>
        <v>685.8</v>
      </c>
      <c r="N232" s="139">
        <f t="shared" si="192"/>
        <v>71323.199999999997</v>
      </c>
      <c r="O232" s="124"/>
      <c r="P232" s="124"/>
      <c r="Q232" s="124"/>
      <c r="R232" s="124"/>
      <c r="T232" s="124"/>
      <c r="U232" s="124"/>
      <c r="W232" s="124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7">
        <f>SUM(B227:B233)</f>
        <v>4892</v>
      </c>
      <c r="C234" s="287">
        <f>SUM(C227:C233)</f>
        <v>1081</v>
      </c>
      <c r="D234" s="287">
        <f>SUM(D227:D233)</f>
        <v>5973</v>
      </c>
      <c r="E234" s="287">
        <f>SUM(E227:E232)</f>
        <v>238105.86000000002</v>
      </c>
      <c r="F234" s="287">
        <f>SUM(F227:F232)</f>
        <v>284729.39</v>
      </c>
      <c r="G234" s="287">
        <f>SUM(G227:G232)</f>
        <v>29611856.560000002</v>
      </c>
      <c r="H234" s="287"/>
      <c r="I234" s="287">
        <f>SUM(I227:I232)</f>
        <v>4815</v>
      </c>
      <c r="J234" s="287">
        <f>SUM(J227:J232)</f>
        <v>1082</v>
      </c>
      <c r="K234" s="287">
        <f>SUM(K227:K233)</f>
        <v>5897</v>
      </c>
      <c r="L234" s="287">
        <f>SUM(L227:L233)</f>
        <v>235542.18</v>
      </c>
      <c r="M234" s="287">
        <f>SUM(M227:M233)</f>
        <v>282019.16000000003</v>
      </c>
      <c r="N234" s="287">
        <f>SUM(N227:N233)</f>
        <v>29329992.640000001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10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7054</v>
      </c>
      <c r="D236" s="124"/>
      <c r="E236" s="124"/>
      <c r="F236" s="124" t="s">
        <v>65</v>
      </c>
      <c r="G236" s="124">
        <f>(I234)+(J234*2)</f>
        <v>6979</v>
      </c>
      <c r="I236" s="124"/>
      <c r="J236" s="199"/>
      <c r="K236" s="124"/>
      <c r="L236" s="124"/>
      <c r="M236" s="210"/>
      <c r="N236" s="124"/>
      <c r="O236" s="124"/>
      <c r="W236" s="124"/>
    </row>
    <row r="237" spans="1:29" x14ac:dyDescent="0.25">
      <c r="A237" s="24"/>
      <c r="B237" s="372" t="s">
        <v>55</v>
      </c>
      <c r="C237" s="373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 t="s">
        <v>185</v>
      </c>
      <c r="M237" s="172">
        <f>N11+N18+N25+N32+N39+N46+N55+N62+N69+N76+N83+N90+N97+N104+N111+N118+N125+N132+N139+N146+N153+N160+N167+N174+N181+N188+N195+N202+N209+N216+N223</f>
        <v>292952</v>
      </c>
      <c r="N237" s="124"/>
      <c r="O237" s="124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124"/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238105.86000000002</v>
      </c>
      <c r="G239" s="36">
        <f>+F234</f>
        <v>284729.39</v>
      </c>
      <c r="H239" s="294"/>
      <c r="I239" s="37">
        <f>+G234</f>
        <v>29611856.560000002</v>
      </c>
      <c r="J239" s="124"/>
      <c r="K239" s="124"/>
      <c r="L239" s="124"/>
      <c r="M239" s="124"/>
      <c r="N239" s="124"/>
      <c r="O239" s="124"/>
      <c r="W239" s="209"/>
    </row>
    <row r="240" spans="1:29" ht="15.7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5"/>
      <c r="I240" s="40" t="e">
        <f>+#REF!</f>
        <v>#REF!</v>
      </c>
      <c r="J240" s="124"/>
      <c r="K240" s="124"/>
      <c r="L240" s="124"/>
      <c r="M240" s="124"/>
      <c r="N240" s="124"/>
      <c r="O240" s="124"/>
      <c r="W240" s="209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21">
        <f>(I234)+(J234*2)</f>
        <v>6979</v>
      </c>
      <c r="K241" s="124"/>
      <c r="L241" s="124"/>
      <c r="M241" s="209"/>
      <c r="N241" s="209"/>
      <c r="O241" s="209"/>
      <c r="P241" s="209"/>
      <c r="Q241" s="209"/>
      <c r="R241" s="209"/>
      <c r="S241" s="209"/>
      <c r="T241" s="209"/>
      <c r="U241" s="209"/>
      <c r="V241" s="209"/>
      <c r="W241" s="209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124"/>
      <c r="O242" s="124"/>
    </row>
    <row r="243" spans="3:23" x14ac:dyDescent="0.25">
      <c r="C243" s="124"/>
    </row>
  </sheetData>
  <dataConsolidate>
    <dataRefs count="1">
      <dataRef name="=suma($G$5:$G$9)" r:id="rId1"/>
    </dataRefs>
  </dataConsolidate>
  <mergeCells count="32">
    <mergeCell ref="A49:A51"/>
    <mergeCell ref="B237:C237"/>
    <mergeCell ref="B225:G225"/>
    <mergeCell ref="F3:F4"/>
    <mergeCell ref="G3:G4"/>
    <mergeCell ref="A92:A96"/>
    <mergeCell ref="A183:A187"/>
    <mergeCell ref="A57:A61"/>
    <mergeCell ref="A162:A166"/>
    <mergeCell ref="A211:A215"/>
    <mergeCell ref="M3:M4"/>
    <mergeCell ref="P225:S225"/>
    <mergeCell ref="N3:N4"/>
    <mergeCell ref="I225:N225"/>
    <mergeCell ref="B2:C2"/>
    <mergeCell ref="D2:E2"/>
    <mergeCell ref="B3:C3"/>
    <mergeCell ref="D3:E3"/>
    <mergeCell ref="H3:H4"/>
    <mergeCell ref="I3:I4"/>
    <mergeCell ref="K3:K4"/>
    <mergeCell ref="L3:L4"/>
    <mergeCell ref="J3:J4"/>
    <mergeCell ref="X225:X226"/>
    <mergeCell ref="W225:W226"/>
    <mergeCell ref="W3:W4"/>
    <mergeCell ref="P3:P4"/>
    <mergeCell ref="O3:O4"/>
    <mergeCell ref="Q3:S3"/>
    <mergeCell ref="T225:V225"/>
    <mergeCell ref="T3:V3"/>
    <mergeCell ref="X3:X4"/>
  </mergeCells>
  <conditionalFormatting sqref="D33:E38">
    <cfRule type="expression" dxfId="46" priority="115">
      <formula>AND($B33&lt;&gt;$D33)</formula>
    </cfRule>
  </conditionalFormatting>
  <conditionalFormatting sqref="D33:E38">
    <cfRule type="expression" dxfId="45" priority="112">
      <formula>AND($B33&lt;&gt;$D33)</formula>
    </cfRule>
  </conditionalFormatting>
  <conditionalFormatting sqref="D182:E187">
    <cfRule type="expression" dxfId="44" priority="87">
      <formula>AND($B182&lt;&gt;$D182)</formula>
    </cfRule>
  </conditionalFormatting>
  <conditionalFormatting sqref="D182:E187">
    <cfRule type="expression" dxfId="43" priority="84">
      <formula>AND($B182&lt;&gt;$D182)</formula>
    </cfRule>
  </conditionalFormatting>
  <conditionalFormatting sqref="D26:E31">
    <cfRule type="expression" dxfId="42" priority="76">
      <formula>AND($B26&lt;&gt;$D26)</formula>
    </cfRule>
  </conditionalFormatting>
  <conditionalFormatting sqref="D77:E82">
    <cfRule type="expression" dxfId="41" priority="72">
      <formula>AND($B77&lt;&gt;$D77)</formula>
    </cfRule>
  </conditionalFormatting>
  <conditionalFormatting sqref="D133:E138">
    <cfRule type="expression" dxfId="40" priority="36">
      <formula>AND($B133&lt;&gt;$D133)</formula>
    </cfRule>
  </conditionalFormatting>
  <conditionalFormatting sqref="D19:E24">
    <cfRule type="expression" dxfId="39" priority="67">
      <formula>AND($B19&lt;&gt;$D19)</formula>
    </cfRule>
  </conditionalFormatting>
  <conditionalFormatting sqref="D126:E131">
    <cfRule type="expression" dxfId="38" priority="38">
      <formula>AND($B126&lt;&gt;$D126)</formula>
    </cfRule>
  </conditionalFormatting>
  <conditionalFormatting sqref="D126:E131">
    <cfRule type="expression" dxfId="37" priority="37">
      <formula>AND($B126&lt;&gt;$D126)</formula>
    </cfRule>
  </conditionalFormatting>
  <conditionalFormatting sqref="D70:D75">
    <cfRule type="expression" dxfId="36" priority="61">
      <formula>AND($B70&lt;&gt;$D70)</formula>
    </cfRule>
  </conditionalFormatting>
  <conditionalFormatting sqref="E70:E75">
    <cfRule type="expression" dxfId="35" priority="60">
      <formula>AND($C70&lt;&gt;$E70)</formula>
    </cfRule>
  </conditionalFormatting>
  <conditionalFormatting sqref="D119:E124">
    <cfRule type="expression" dxfId="34" priority="52">
      <formula>AND($B119&lt;&gt;$D119)</formula>
    </cfRule>
  </conditionalFormatting>
  <conditionalFormatting sqref="D119:E124">
    <cfRule type="expression" dxfId="33" priority="51">
      <formula>AND($B119&lt;&gt;$D119)</formula>
    </cfRule>
  </conditionalFormatting>
  <conditionalFormatting sqref="D168:E173">
    <cfRule type="expression" dxfId="32" priority="46">
      <formula>AND($B168&lt;&gt;$D168)</formula>
    </cfRule>
  </conditionalFormatting>
  <conditionalFormatting sqref="D133:E138">
    <cfRule type="expression" dxfId="31" priority="35">
      <formula>AND($B133&lt;&gt;$D133)</formula>
    </cfRule>
  </conditionalFormatting>
  <conditionalFormatting sqref="D5:E10">
    <cfRule type="expression" dxfId="30" priority="34">
      <formula>AND($B5&lt;&gt;$D5)</formula>
    </cfRule>
  </conditionalFormatting>
  <conditionalFormatting sqref="D12:E17">
    <cfRule type="expression" dxfId="29" priority="33">
      <formula>AND($B12&lt;&gt;$D12)</formula>
    </cfRule>
  </conditionalFormatting>
  <conditionalFormatting sqref="D40:D45">
    <cfRule type="expression" dxfId="28" priority="32">
      <formula>AND($B40&lt;&gt;$D40)</formula>
    </cfRule>
  </conditionalFormatting>
  <conditionalFormatting sqref="E40:E45">
    <cfRule type="expression" dxfId="27" priority="31">
      <formula>AND($C40&lt;&gt;$E40)</formula>
    </cfRule>
  </conditionalFormatting>
  <conditionalFormatting sqref="D47:D54">
    <cfRule type="expression" dxfId="26" priority="30">
      <formula>AND($B47&lt;&gt;$D47)</formula>
    </cfRule>
  </conditionalFormatting>
  <conditionalFormatting sqref="E47:E54">
    <cfRule type="expression" dxfId="25" priority="29">
      <formula>AND($C47&lt;&gt;$E47)</formula>
    </cfRule>
  </conditionalFormatting>
  <conditionalFormatting sqref="D56:D61">
    <cfRule type="expression" dxfId="24" priority="28">
      <formula>AND($B56&lt;&gt;$D56)</formula>
    </cfRule>
  </conditionalFormatting>
  <conditionalFormatting sqref="E56:E61">
    <cfRule type="expression" dxfId="23" priority="27">
      <formula>AND($C56&lt;&gt;$E56)</formula>
    </cfRule>
  </conditionalFormatting>
  <conditionalFormatting sqref="D63:D68">
    <cfRule type="expression" dxfId="22" priority="26">
      <formula>AND($B63&lt;&gt;$D63)</formula>
    </cfRule>
  </conditionalFormatting>
  <conditionalFormatting sqref="E63:E68">
    <cfRule type="expression" dxfId="21" priority="25">
      <formula>AND($C63&lt;&gt;$E63)</formula>
    </cfRule>
  </conditionalFormatting>
  <conditionalFormatting sqref="D91:E96">
    <cfRule type="expression" dxfId="20" priority="24">
      <formula>AND($B91&lt;&gt;$D91)</formula>
    </cfRule>
  </conditionalFormatting>
  <conditionalFormatting sqref="D98:E103">
    <cfRule type="expression" dxfId="19" priority="23">
      <formula>AND($B98&lt;&gt;$D98)</formula>
    </cfRule>
  </conditionalFormatting>
  <conditionalFormatting sqref="D98:E103">
    <cfRule type="expression" dxfId="18" priority="22">
      <formula>AND($B98&lt;&gt;$D98)</formula>
    </cfRule>
  </conditionalFormatting>
  <conditionalFormatting sqref="D105:E110">
    <cfRule type="expression" dxfId="17" priority="21">
      <formula>AND($B105&lt;&gt;$D105)</formula>
    </cfRule>
  </conditionalFormatting>
  <conditionalFormatting sqref="D105:E110">
    <cfRule type="expression" dxfId="16" priority="20">
      <formula>AND($B105&lt;&gt;$D105)</formula>
    </cfRule>
  </conditionalFormatting>
  <conditionalFormatting sqref="D112:E117">
    <cfRule type="expression" dxfId="15" priority="19">
      <formula>AND($B112&lt;&gt;$D112)</formula>
    </cfRule>
  </conditionalFormatting>
  <conditionalFormatting sqref="D112:E117">
    <cfRule type="expression" dxfId="14" priority="18">
      <formula>AND($B112&lt;&gt;$D112)</formula>
    </cfRule>
  </conditionalFormatting>
  <conditionalFormatting sqref="D140:E145">
    <cfRule type="expression" dxfId="13" priority="17">
      <formula>AND($B140&lt;&gt;$D140)</formula>
    </cfRule>
  </conditionalFormatting>
  <conditionalFormatting sqref="D147:E152">
    <cfRule type="expression" dxfId="12" priority="16">
      <formula>AND($B147&lt;&gt;$D147)</formula>
    </cfRule>
  </conditionalFormatting>
  <conditionalFormatting sqref="D154:E159">
    <cfRule type="expression" dxfId="11" priority="15">
      <formula>AND($B154&lt;&gt;$D154)</formula>
    </cfRule>
  </conditionalFormatting>
  <conditionalFormatting sqref="D161:E166">
    <cfRule type="expression" dxfId="10" priority="14">
      <formula>AND($B161&lt;&gt;$D161)</formula>
    </cfRule>
  </conditionalFormatting>
  <conditionalFormatting sqref="D175:E180">
    <cfRule type="expression" dxfId="9" priority="13">
      <formula>AND($B175&lt;&gt;$D175)</formula>
    </cfRule>
  </conditionalFormatting>
  <conditionalFormatting sqref="D189:E194">
    <cfRule type="expression" dxfId="8" priority="12">
      <formula>AND($B189&lt;&gt;$D189)</formula>
    </cfRule>
  </conditionalFormatting>
  <conditionalFormatting sqref="D203:E208">
    <cfRule type="expression" dxfId="7" priority="10">
      <formula>AND($B203&lt;&gt;$D203)</formula>
    </cfRule>
  </conditionalFormatting>
  <conditionalFormatting sqref="D203:E208">
    <cfRule type="expression" dxfId="6" priority="9">
      <formula>AND($B203&lt;&gt;$D203)</formula>
    </cfRule>
  </conditionalFormatting>
  <conditionalFormatting sqref="D210:E215">
    <cfRule type="expression" dxfId="5" priority="8">
      <formula>AND($B210&lt;&gt;$D210)</formula>
    </cfRule>
  </conditionalFormatting>
  <conditionalFormatting sqref="D210:E215">
    <cfRule type="expression" dxfId="4" priority="7">
      <formula>AND($B210&lt;&gt;$D210)</formula>
    </cfRule>
  </conditionalFormatting>
  <conditionalFormatting sqref="D84:E89">
    <cfRule type="expression" dxfId="3" priority="4">
      <formula>AND($B84&lt;&gt;$D84)</formula>
    </cfRule>
  </conditionalFormatting>
  <conditionalFormatting sqref="D217:E222">
    <cfRule type="expression" dxfId="2" priority="3">
      <formula>AND($B217&lt;&gt;$D217)</formula>
    </cfRule>
  </conditionalFormatting>
  <conditionalFormatting sqref="D217:E222">
    <cfRule type="expression" dxfId="1" priority="2">
      <formula>AND($B217&lt;&gt;$D217)</formula>
    </cfRule>
  </conditionalFormatting>
  <conditionalFormatting sqref="D196:E201">
    <cfRule type="expression" dxfId="0" priority="1">
      <formula>AND($B196&lt;&gt;$D196)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5"/>
  <sheetViews>
    <sheetView topLeftCell="A2" zoomScale="115" zoomScaleNormal="115" workbookViewId="0">
      <selection activeCell="B35" sqref="B35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4" width="10.7109375" customWidth="1"/>
    <col min="5" max="5" width="11.140625" bestFit="1" customWidth="1"/>
    <col min="6" max="21" width="10.7109375" customWidth="1"/>
    <col min="22" max="22" width="10.85546875" customWidth="1"/>
    <col min="23" max="30" width="10.7109375" customWidth="1"/>
    <col min="31" max="31" width="11.28515625" customWidth="1"/>
    <col min="32" max="32" width="10.7109375" customWidth="1"/>
    <col min="33" max="33" width="11.85546875" customWidth="1"/>
  </cols>
  <sheetData>
    <row r="1" spans="1:33" ht="24.75" x14ac:dyDescent="0.45">
      <c r="A1" s="127" t="s">
        <v>176</v>
      </c>
      <c r="B1" s="77"/>
    </row>
    <row r="3" spans="1:33" x14ac:dyDescent="0.25">
      <c r="A3" s="78"/>
      <c r="B3" s="78"/>
      <c r="C3" s="93">
        <v>46023</v>
      </c>
      <c r="D3" s="93">
        <v>46024</v>
      </c>
      <c r="E3" s="93">
        <v>46025</v>
      </c>
      <c r="F3" s="93">
        <v>46026</v>
      </c>
      <c r="G3" s="93">
        <v>46027</v>
      </c>
      <c r="H3" s="93">
        <v>46028</v>
      </c>
      <c r="I3" s="93">
        <v>46029</v>
      </c>
      <c r="J3" s="93">
        <v>46030</v>
      </c>
      <c r="K3" s="93">
        <v>46031</v>
      </c>
      <c r="L3" s="93">
        <v>46032</v>
      </c>
      <c r="M3" s="93">
        <v>46033</v>
      </c>
      <c r="N3" s="93">
        <v>46034</v>
      </c>
      <c r="O3" s="93">
        <v>46035</v>
      </c>
      <c r="P3" s="93">
        <v>46036</v>
      </c>
      <c r="Q3" s="93">
        <v>46037</v>
      </c>
      <c r="R3" s="93">
        <v>46038</v>
      </c>
      <c r="S3" s="93">
        <v>46039</v>
      </c>
      <c r="T3" s="93">
        <v>46040</v>
      </c>
      <c r="U3" s="93">
        <v>46041</v>
      </c>
      <c r="V3" s="93">
        <v>46042</v>
      </c>
      <c r="W3" s="93">
        <v>46043</v>
      </c>
      <c r="X3" s="93">
        <v>46044</v>
      </c>
      <c r="Y3" s="93">
        <v>46045</v>
      </c>
      <c r="Z3" s="93">
        <v>46046</v>
      </c>
      <c r="AA3" s="93">
        <v>46047</v>
      </c>
      <c r="AB3" s="93">
        <v>46048</v>
      </c>
      <c r="AC3" s="93">
        <v>46049</v>
      </c>
      <c r="AD3" s="93">
        <v>46050</v>
      </c>
      <c r="AE3" s="93">
        <v>46051</v>
      </c>
      <c r="AF3" s="93">
        <v>46052</v>
      </c>
      <c r="AG3" s="93">
        <v>46053</v>
      </c>
    </row>
    <row r="4" spans="1:33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</row>
    <row r="5" spans="1:33" s="85" customFormat="1" ht="14.25" x14ac:dyDescent="0.2">
      <c r="A5" s="81" t="s">
        <v>74</v>
      </c>
      <c r="B5" s="82">
        <v>43.13</v>
      </c>
      <c r="C5" s="95">
        <f>'Data Ocupacion'!D40</f>
        <v>54</v>
      </c>
      <c r="D5" s="95">
        <f>'Data Ocupacion'!F40</f>
        <v>79</v>
      </c>
      <c r="E5" s="95">
        <f>'Data Ocupacion'!H40</f>
        <v>72</v>
      </c>
      <c r="F5" s="95">
        <f>'Data Ocupacion'!J40</f>
        <v>54</v>
      </c>
      <c r="G5" s="95">
        <f>'Data Ocupacion'!L40</f>
        <v>79</v>
      </c>
      <c r="H5" s="95">
        <f>'Data Ocupacion'!N40</f>
        <v>79</v>
      </c>
      <c r="I5" s="95">
        <f>'Data Ocupacion'!P40</f>
        <v>77</v>
      </c>
      <c r="J5" s="95">
        <f>'Data Ocupacion'!R40</f>
        <v>79</v>
      </c>
      <c r="K5" s="95">
        <f>'Data Ocupacion'!T40</f>
        <v>79</v>
      </c>
      <c r="L5" s="95">
        <f>'Data Ocupacion'!V40</f>
        <v>72</v>
      </c>
      <c r="M5" s="95">
        <f>'Data Ocupacion'!X40</f>
        <v>54</v>
      </c>
      <c r="N5" s="95">
        <f>'Data Ocupacion'!Z40</f>
        <v>79</v>
      </c>
      <c r="O5" s="95">
        <f>'Data Ocupacion'!AB40</f>
        <v>81</v>
      </c>
      <c r="P5" s="95">
        <f>'Data Ocupacion'!AD40</f>
        <v>79</v>
      </c>
      <c r="Q5" s="95">
        <f>'Data Ocupacion'!AF40</f>
        <v>79</v>
      </c>
      <c r="R5" s="95">
        <f>'Data Ocupacion'!AH40</f>
        <v>79</v>
      </c>
      <c r="S5" s="95">
        <f>'Data Ocupacion'!AJ40</f>
        <v>72</v>
      </c>
      <c r="T5" s="95">
        <f>'Data Ocupacion'!AL40</f>
        <v>54</v>
      </c>
      <c r="U5" s="95">
        <f>'Data Ocupacion'!AN40</f>
        <v>79</v>
      </c>
      <c r="V5" s="95">
        <f>'Data Ocupacion'!AP40</f>
        <v>79</v>
      </c>
      <c r="W5" s="95">
        <f>'Data Ocupacion'!AR40</f>
        <v>79</v>
      </c>
      <c r="X5" s="95">
        <f>'Data Ocupacion'!AT40</f>
        <v>79</v>
      </c>
      <c r="Y5" s="95">
        <f>'Data Ocupacion'!AV40</f>
        <v>76</v>
      </c>
      <c r="Z5" s="95">
        <f>'Data Ocupacion'!AX40</f>
        <v>72</v>
      </c>
      <c r="AA5" s="95">
        <f>'Data Ocupacion'!AZ40</f>
        <v>54</v>
      </c>
      <c r="AB5" s="95">
        <f>'Data Ocupacion'!BB40</f>
        <v>79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78</v>
      </c>
      <c r="AG5" s="95">
        <f>'Data Ocupacion'!BL40</f>
        <v>72</v>
      </c>
    </row>
    <row r="6" spans="1:33" s="85" customFormat="1" ht="14.25" x14ac:dyDescent="0.2">
      <c r="A6" s="81" t="s">
        <v>77</v>
      </c>
      <c r="B6" s="82">
        <v>43.13</v>
      </c>
      <c r="C6" s="95">
        <f>'Data Ocupacion'!D41</f>
        <v>57</v>
      </c>
      <c r="D6" s="95">
        <f>'Data Ocupacion'!F41</f>
        <v>78</v>
      </c>
      <c r="E6" s="95">
        <f>'Data Ocupacion'!H41</f>
        <v>75</v>
      </c>
      <c r="F6" s="95">
        <f>'Data Ocupacion'!J41</f>
        <v>57</v>
      </c>
      <c r="G6" s="95">
        <f>'Data Ocupacion'!L41</f>
        <v>78</v>
      </c>
      <c r="H6" s="95">
        <f>'Data Ocupacion'!N41</f>
        <v>78</v>
      </c>
      <c r="I6" s="95">
        <f>'Data Ocupacion'!P41</f>
        <v>76</v>
      </c>
      <c r="J6" s="95">
        <f>'Data Ocupacion'!R41</f>
        <v>78</v>
      </c>
      <c r="K6" s="95">
        <f>'Data Ocupacion'!T41</f>
        <v>78</v>
      </c>
      <c r="L6" s="95">
        <f>'Data Ocupacion'!V41</f>
        <v>75</v>
      </c>
      <c r="M6" s="95">
        <f>'Data Ocupacion'!X41</f>
        <v>57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78</v>
      </c>
      <c r="S6" s="95">
        <f>'Data Ocupacion'!AJ41</f>
        <v>75</v>
      </c>
      <c r="T6" s="95">
        <f>'Data Ocupacion'!AL41</f>
        <v>57</v>
      </c>
      <c r="U6" s="95">
        <f>'Data Ocupacion'!AN41</f>
        <v>78</v>
      </c>
      <c r="V6" s="95">
        <f>'Data Ocupacion'!AP41</f>
        <v>78</v>
      </c>
      <c r="W6" s="95">
        <f>'Data Ocupacion'!AR41</f>
        <v>78</v>
      </c>
      <c r="X6" s="95">
        <f>'Data Ocupacion'!AT41</f>
        <v>78</v>
      </c>
      <c r="Y6" s="95">
        <f>'Data Ocupacion'!AV41</f>
        <v>74</v>
      </c>
      <c r="Z6" s="95">
        <f>'Data Ocupacion'!AX41</f>
        <v>75</v>
      </c>
      <c r="AA6" s="95">
        <f>'Data Ocupacion'!AZ41</f>
        <v>57</v>
      </c>
      <c r="AB6" s="95">
        <f>'Data Ocupacion'!BB41</f>
        <v>78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76</v>
      </c>
      <c r="AG6" s="95">
        <f>'Data Ocupacion'!BL41</f>
        <v>75</v>
      </c>
    </row>
    <row r="7" spans="1:33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33</v>
      </c>
      <c r="E7" s="95">
        <f>'Data Ocupacion'!H42</f>
        <v>0</v>
      </c>
      <c r="F7" s="95">
        <f>'Data Ocupacion'!J42</f>
        <v>0</v>
      </c>
      <c r="G7" s="95">
        <f>'Data Ocupacion'!L42</f>
        <v>33</v>
      </c>
      <c r="H7" s="95">
        <f>'Data Ocupacion'!N42</f>
        <v>33</v>
      </c>
      <c r="I7" s="95">
        <f>'Data Ocupacion'!P42</f>
        <v>33</v>
      </c>
      <c r="J7" s="95">
        <f>'Data Ocupacion'!R42</f>
        <v>33</v>
      </c>
      <c r="K7" s="95">
        <f>'Data Ocupacion'!T42</f>
        <v>33</v>
      </c>
      <c r="L7" s="95">
        <f>'Data Ocupacion'!V42</f>
        <v>0</v>
      </c>
      <c r="M7" s="95">
        <f>'Data Ocupacion'!X42</f>
        <v>0</v>
      </c>
      <c r="N7" s="95">
        <f>'Data Ocupacion'!Z42</f>
        <v>33</v>
      </c>
      <c r="O7" s="95">
        <f>'Data Ocupacion'!AB42</f>
        <v>21</v>
      </c>
      <c r="P7" s="95">
        <f>'Data Ocupacion'!AD42</f>
        <v>33</v>
      </c>
      <c r="Q7" s="95">
        <f>'Data Ocupacion'!AF42</f>
        <v>33</v>
      </c>
      <c r="R7" s="95">
        <f>'Data Ocupacion'!AH42</f>
        <v>33</v>
      </c>
      <c r="S7" s="95">
        <f>'Data Ocupacion'!AJ42</f>
        <v>0</v>
      </c>
      <c r="T7" s="95">
        <f>'Data Ocupacion'!AL42</f>
        <v>0</v>
      </c>
      <c r="U7" s="95">
        <f>'Data Ocupacion'!AN42</f>
        <v>33</v>
      </c>
      <c r="V7" s="95">
        <f>'Data Ocupacion'!AP42</f>
        <v>33</v>
      </c>
      <c r="W7" s="95">
        <f>'Data Ocupacion'!AR42</f>
        <v>33</v>
      </c>
      <c r="X7" s="95">
        <f>'Data Ocupacion'!AT42</f>
        <v>33</v>
      </c>
      <c r="Y7" s="95">
        <f>'Data Ocupacion'!AV42</f>
        <v>33</v>
      </c>
      <c r="Z7" s="95">
        <f>'Data Ocupacion'!AX42</f>
        <v>0</v>
      </c>
      <c r="AA7" s="95">
        <f>'Data Ocupacion'!AZ42</f>
        <v>0</v>
      </c>
      <c r="AB7" s="95">
        <f>'Data Ocupacion'!BB42</f>
        <v>33</v>
      </c>
      <c r="AC7" s="95">
        <f>'Data Ocupacion'!BD42</f>
        <v>33</v>
      </c>
      <c r="AD7" s="95">
        <f>'Data Ocupacion'!BF42</f>
        <v>33</v>
      </c>
      <c r="AE7" s="95">
        <f>'Data Ocupacion'!BH42</f>
        <v>33</v>
      </c>
      <c r="AF7" s="95">
        <f>'Data Ocupacion'!BJ42</f>
        <v>13</v>
      </c>
      <c r="AG7" s="95">
        <f>'Data Ocupacion'!BL42</f>
        <v>0</v>
      </c>
    </row>
    <row r="8" spans="1:33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32</v>
      </c>
      <c r="E8" s="95">
        <f>'Data Ocupacion'!H43</f>
        <v>0</v>
      </c>
      <c r="F8" s="95">
        <f>'Data Ocupacion'!J43</f>
        <v>0</v>
      </c>
      <c r="G8" s="95">
        <f>'Data Ocupacion'!L43</f>
        <v>32</v>
      </c>
      <c r="H8" s="95">
        <f>'Data Ocupacion'!N43</f>
        <v>32</v>
      </c>
      <c r="I8" s="95">
        <f>'Data Ocupacion'!P43</f>
        <v>34</v>
      </c>
      <c r="J8" s="95">
        <f>'Data Ocupacion'!R43</f>
        <v>34</v>
      </c>
      <c r="K8" s="95">
        <f>'Data Ocupacion'!T43</f>
        <v>32</v>
      </c>
      <c r="L8" s="95">
        <f>'Data Ocupacion'!V43</f>
        <v>0</v>
      </c>
      <c r="M8" s="95">
        <f>'Data Ocupacion'!X43</f>
        <v>0</v>
      </c>
      <c r="N8" s="95">
        <f>'Data Ocupacion'!Z43</f>
        <v>32</v>
      </c>
      <c r="O8" s="95">
        <f>'Data Ocupacion'!AB43</f>
        <v>22</v>
      </c>
      <c r="P8" s="95">
        <f>'Data Ocupacion'!AD43</f>
        <v>32</v>
      </c>
      <c r="Q8" s="95">
        <f>'Data Ocupacion'!AF43</f>
        <v>32</v>
      </c>
      <c r="R8" s="95">
        <f>'Data Ocupacion'!AH43</f>
        <v>32</v>
      </c>
      <c r="S8" s="95">
        <f>'Data Ocupacion'!AJ43</f>
        <v>0</v>
      </c>
      <c r="T8" s="95">
        <f>'Data Ocupacion'!AL43</f>
        <v>0</v>
      </c>
      <c r="U8" s="95">
        <f>'Data Ocupacion'!AN43</f>
        <v>32</v>
      </c>
      <c r="V8" s="95">
        <f>'Data Ocupacion'!AP43</f>
        <v>32</v>
      </c>
      <c r="W8" s="95">
        <f>'Data Ocupacion'!AR43</f>
        <v>32</v>
      </c>
      <c r="X8" s="95">
        <f>'Data Ocupacion'!AT43</f>
        <v>32</v>
      </c>
      <c r="Y8" s="95">
        <f>'Data Ocupacion'!AV43</f>
        <v>29</v>
      </c>
      <c r="Z8" s="95">
        <f>'Data Ocupacion'!AX43</f>
        <v>0</v>
      </c>
      <c r="AA8" s="95">
        <f>'Data Ocupacion'!AZ43</f>
        <v>0</v>
      </c>
      <c r="AB8" s="95">
        <f>'Data Ocupacion'!BB43</f>
        <v>32</v>
      </c>
      <c r="AC8" s="95">
        <f>'Data Ocupacion'!BD43</f>
        <v>32</v>
      </c>
      <c r="AD8" s="95">
        <f>'Data Ocupacion'!BF43</f>
        <v>32</v>
      </c>
      <c r="AE8" s="95">
        <f>'Data Ocupacion'!BH43</f>
        <v>32</v>
      </c>
      <c r="AF8" s="95">
        <f>'Data Ocupacion'!BJ43</f>
        <v>17</v>
      </c>
      <c r="AG8" s="95">
        <f>'Data Ocupacion'!BL43</f>
        <v>0</v>
      </c>
    </row>
    <row r="9" spans="1:33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4.25" x14ac:dyDescent="0.2">
      <c r="A10" s="212" t="s">
        <v>76</v>
      </c>
      <c r="B10" s="82">
        <v>25.4</v>
      </c>
      <c r="C10" s="95">
        <f>'Data Ocupacion'!D45</f>
        <v>0</v>
      </c>
      <c r="D10" s="95">
        <f>'Data Ocupacion'!F45</f>
        <v>1</v>
      </c>
      <c r="E10" s="95">
        <f>'Data Ocupacion'!H45</f>
        <v>0</v>
      </c>
      <c r="F10" s="95">
        <f>'Data Ocupacion'!J45</f>
        <v>0</v>
      </c>
      <c r="G10" s="95">
        <f>'Data Ocupacion'!L45</f>
        <v>1</v>
      </c>
      <c r="H10" s="95">
        <f>'Data Ocupacion'!N45</f>
        <v>1</v>
      </c>
      <c r="I10" s="95">
        <f>'Data Ocupacion'!P45</f>
        <v>1</v>
      </c>
      <c r="J10" s="95">
        <f>'Data Ocupacion'!R45</f>
        <v>1</v>
      </c>
      <c r="K10" s="95">
        <f>'Data Ocupacion'!T45</f>
        <v>1</v>
      </c>
      <c r="L10" s="95">
        <f>'Data Ocupacion'!V45</f>
        <v>0</v>
      </c>
      <c r="M10" s="95">
        <f>'Data Ocupacion'!X45</f>
        <v>0</v>
      </c>
      <c r="N10" s="95">
        <f>'Data Ocupacion'!Z45</f>
        <v>1</v>
      </c>
      <c r="O10" s="95">
        <f>'Data Ocupacion'!AB45</f>
        <v>1</v>
      </c>
      <c r="P10" s="95">
        <f>'Data Ocupacion'!AD45</f>
        <v>1</v>
      </c>
      <c r="Q10" s="95">
        <f>'Data Ocupacion'!AF45</f>
        <v>1</v>
      </c>
      <c r="R10" s="95">
        <f>'Data Ocupacion'!AH45</f>
        <v>1</v>
      </c>
      <c r="S10" s="95">
        <f>'Data Ocupacion'!AJ45</f>
        <v>0</v>
      </c>
      <c r="T10" s="95">
        <f>'Data Ocupacion'!AL45</f>
        <v>0</v>
      </c>
      <c r="U10" s="95">
        <f>'Data Ocupacion'!AN45</f>
        <v>1</v>
      </c>
      <c r="V10" s="95">
        <f>'Data Ocupacion'!AP45</f>
        <v>1</v>
      </c>
      <c r="W10" s="95">
        <f>'Data Ocupacion'!AR45</f>
        <v>1</v>
      </c>
      <c r="X10" s="95">
        <f>'Data Ocupacion'!AT45</f>
        <v>1</v>
      </c>
      <c r="Y10" s="95">
        <f>'Data Ocupacion'!AV45</f>
        <v>5</v>
      </c>
      <c r="Z10" s="95">
        <f>'Data Ocupacion'!AX45</f>
        <v>0</v>
      </c>
      <c r="AA10" s="95">
        <f>'Data Ocupacion'!AZ45</f>
        <v>0</v>
      </c>
      <c r="AB10" s="95">
        <f>'Data Ocupacion'!BB45</f>
        <v>1</v>
      </c>
      <c r="AC10" s="95">
        <f>'Data Ocupacion'!BD45</f>
        <v>1</v>
      </c>
      <c r="AD10" s="95">
        <f>'Data Ocupacion'!BF45</f>
        <v>1</v>
      </c>
      <c r="AE10" s="95">
        <f>'Data Ocupacion'!BH45</f>
        <v>1</v>
      </c>
      <c r="AF10" s="95">
        <f>'Data Ocupacion'!BJ45</f>
        <v>1</v>
      </c>
      <c r="AG10" s="95">
        <f>'Data Ocupacion'!BL45</f>
        <v>0</v>
      </c>
    </row>
    <row r="11" spans="1:33" s="85" customFormat="1" ht="14.25" x14ac:dyDescent="0.2">
      <c r="A11" s="212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</row>
    <row r="12" spans="1:33" s="85" customFormat="1" ht="14.25" x14ac:dyDescent="0.2">
      <c r="A12" s="212"/>
      <c r="B12" s="82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</row>
    <row r="13" spans="1:33" s="85" customFormat="1" ht="14.25" x14ac:dyDescent="0.2">
      <c r="A13" s="268"/>
      <c r="B13" s="82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T13" s="95"/>
      <c r="V13" s="95"/>
      <c r="X13" s="95"/>
      <c r="Z13" s="95"/>
      <c r="AB13" s="95"/>
      <c r="AD13" s="95"/>
      <c r="AE13" s="95"/>
      <c r="AF13" s="95"/>
      <c r="AG13" s="95"/>
    </row>
    <row r="14" spans="1:33" s="85" customFormat="1" ht="14.25" x14ac:dyDescent="0.2">
      <c r="A14" s="81" t="s">
        <v>87</v>
      </c>
      <c r="B14" s="82">
        <v>43.13</v>
      </c>
      <c r="C14" s="95">
        <f>'Data Ocupacion'!D48</f>
        <v>57</v>
      </c>
      <c r="D14" s="95">
        <f>'Data Ocupacion'!F48</f>
        <v>111</v>
      </c>
      <c r="E14" s="95">
        <f>'Data Ocupacion'!H48</f>
        <v>75</v>
      </c>
      <c r="F14" s="95">
        <f>'Data Ocupacion'!J48</f>
        <v>57</v>
      </c>
      <c r="G14" s="95">
        <f>'Data Ocupacion'!L48</f>
        <v>111</v>
      </c>
      <c r="H14" s="95">
        <f>'Data Ocupacion'!N48</f>
        <v>111</v>
      </c>
      <c r="I14" s="95">
        <f>'Data Ocupacion'!P48</f>
        <v>111</v>
      </c>
      <c r="J14" s="95">
        <f>'Data Ocupacion'!R48</f>
        <v>110</v>
      </c>
      <c r="K14" s="95">
        <f>'Data Ocupacion'!T48</f>
        <v>111</v>
      </c>
      <c r="L14" s="95">
        <f>'Data Ocupacion'!V48</f>
        <v>75</v>
      </c>
      <c r="M14" s="95">
        <f>'Data Ocupacion'!X48</f>
        <v>57</v>
      </c>
      <c r="N14" s="95">
        <f>'Data Ocupacion'!Z48</f>
        <v>111</v>
      </c>
      <c r="O14" s="95">
        <f>'Data Ocupacion'!AB48</f>
        <v>101</v>
      </c>
      <c r="P14" s="95">
        <f>'Data Ocupacion'!AD48</f>
        <v>102</v>
      </c>
      <c r="Q14" s="95">
        <f>'Data Ocupacion'!AF48</f>
        <v>102</v>
      </c>
      <c r="R14" s="95">
        <f>'Data Ocupacion'!AH48</f>
        <v>101</v>
      </c>
      <c r="S14" s="95">
        <f>'Data Ocupacion'!AJ48</f>
        <v>75</v>
      </c>
      <c r="T14" s="95">
        <f>'Data Ocupacion'!AL48</f>
        <v>55</v>
      </c>
      <c r="U14" s="95">
        <f>'Data Ocupacion'!AN48</f>
        <v>102</v>
      </c>
      <c r="V14" s="95">
        <f>'Data Ocupacion'!AP48</f>
        <v>102</v>
      </c>
      <c r="W14" s="95">
        <f>'Data Ocupacion'!AR48</f>
        <v>102</v>
      </c>
      <c r="X14" s="95">
        <f>'Data Ocupacion'!AT48</f>
        <v>102</v>
      </c>
      <c r="Y14" s="95">
        <f>'Data Ocupacion'!AV48</f>
        <v>99</v>
      </c>
      <c r="Z14" s="95">
        <f>'Data Ocupacion'!AX48</f>
        <v>74</v>
      </c>
      <c r="AA14" s="95">
        <f>'Data Ocupacion'!AZ48</f>
        <v>57</v>
      </c>
      <c r="AB14" s="95">
        <f>'Data Ocupacion'!BB48</f>
        <v>95</v>
      </c>
      <c r="AC14" s="95">
        <f>'Data Ocupacion'!BD48</f>
        <v>96</v>
      </c>
      <c r="AD14" s="95">
        <f>'Data Ocupacion'!BF48</f>
        <v>96</v>
      </c>
      <c r="AE14" s="95">
        <f>'Data Ocupacion'!BH48</f>
        <v>96</v>
      </c>
      <c r="AF14" s="95">
        <f>'Data Ocupacion'!BJ48</f>
        <v>95</v>
      </c>
      <c r="AG14" s="95">
        <f>'Data Ocupacion'!BL48</f>
        <v>75</v>
      </c>
    </row>
    <row r="15" spans="1:33" s="85" customFormat="1" ht="14.25" x14ac:dyDescent="0.2">
      <c r="A15" s="81" t="s">
        <v>88</v>
      </c>
      <c r="B15" s="82">
        <v>43.13</v>
      </c>
      <c r="C15" s="95">
        <f>'Data Ocupacion'!D49</f>
        <v>59</v>
      </c>
      <c r="D15" s="95">
        <f>'Data Ocupacion'!F49</f>
        <v>111</v>
      </c>
      <c r="E15" s="95">
        <f>'Data Ocupacion'!H49</f>
        <v>75</v>
      </c>
      <c r="F15" s="95">
        <f>'Data Ocupacion'!J49</f>
        <v>57</v>
      </c>
      <c r="G15" s="95">
        <f>'Data Ocupacion'!L49</f>
        <v>111</v>
      </c>
      <c r="H15" s="95">
        <f>'Data Ocupacion'!N49</f>
        <v>111</v>
      </c>
      <c r="I15" s="95">
        <f>'Data Ocupacion'!P49</f>
        <v>107</v>
      </c>
      <c r="J15" s="95">
        <f>'Data Ocupacion'!R49</f>
        <v>113</v>
      </c>
      <c r="K15" s="95">
        <f>'Data Ocupacion'!T49</f>
        <v>111</v>
      </c>
      <c r="L15" s="95">
        <f>'Data Ocupacion'!V49</f>
        <v>75</v>
      </c>
      <c r="M15" s="95">
        <f>'Data Ocupacion'!X49</f>
        <v>57</v>
      </c>
      <c r="N15" s="95">
        <f>'Data Ocupacion'!Z49</f>
        <v>111</v>
      </c>
      <c r="O15" s="95">
        <f>'Data Ocupacion'!AB49</f>
        <v>99</v>
      </c>
      <c r="P15" s="95">
        <f>'Data Ocupacion'!AD49</f>
        <v>102</v>
      </c>
      <c r="Q15" s="95">
        <f>'Data Ocupacion'!AF49</f>
        <v>102</v>
      </c>
      <c r="R15" s="95">
        <f>'Data Ocupacion'!AH49</f>
        <v>101</v>
      </c>
      <c r="S15" s="95">
        <f>'Data Ocupacion'!AJ49</f>
        <v>75</v>
      </c>
      <c r="T15" s="95">
        <f>'Data Ocupacion'!AL49</f>
        <v>57</v>
      </c>
      <c r="U15" s="95">
        <f>'Data Ocupacion'!AN49</f>
        <v>102</v>
      </c>
      <c r="V15" s="95">
        <f>'Data Ocupacion'!AP49</f>
        <v>102</v>
      </c>
      <c r="W15" s="95">
        <f>'Data Ocupacion'!AR49</f>
        <v>102</v>
      </c>
      <c r="X15" s="95">
        <f>'Data Ocupacion'!AT49</f>
        <v>102</v>
      </c>
      <c r="Y15" s="95">
        <f>'Data Ocupacion'!AV49</f>
        <v>96</v>
      </c>
      <c r="Z15" s="95">
        <f>'Data Ocupacion'!AX49</f>
        <v>76</v>
      </c>
      <c r="AA15" s="95">
        <f>'Data Ocupacion'!AZ49</f>
        <v>57</v>
      </c>
      <c r="AB15" s="95">
        <f>'Data Ocupacion'!BB49</f>
        <v>95</v>
      </c>
      <c r="AC15" s="95">
        <f>'Data Ocupacion'!BD49</f>
        <v>96</v>
      </c>
      <c r="AD15" s="95">
        <f>'Data Ocupacion'!BF49</f>
        <v>96</v>
      </c>
      <c r="AE15" s="95">
        <f>'Data Ocupacion'!BH49</f>
        <v>96</v>
      </c>
      <c r="AF15" s="95">
        <f>'Data Ocupacion'!BJ49</f>
        <v>92</v>
      </c>
      <c r="AG15" s="95">
        <f>'Data Ocupacion'!BL49</f>
        <v>75</v>
      </c>
    </row>
    <row r="16" spans="1:33" s="85" customFormat="1" ht="14.25" x14ac:dyDescent="0.2">
      <c r="A16" s="81" t="s">
        <v>89</v>
      </c>
      <c r="B16" s="82">
        <v>29.11</v>
      </c>
      <c r="C16" s="95">
        <f>'Data Ocupacion'!D50</f>
        <v>0</v>
      </c>
      <c r="D16" s="95">
        <f>'Data Ocupacion'!F50</f>
        <v>33</v>
      </c>
      <c r="E16" s="95">
        <f>'Data Ocupacion'!H50</f>
        <v>0</v>
      </c>
      <c r="F16" s="95">
        <f>'Data Ocupacion'!J50</f>
        <v>0</v>
      </c>
      <c r="G16" s="95">
        <f>'Data Ocupacion'!L50</f>
        <v>33</v>
      </c>
      <c r="H16" s="95">
        <f>'Data Ocupacion'!N50</f>
        <v>33</v>
      </c>
      <c r="I16" s="95">
        <f>'Data Ocupacion'!P50</f>
        <v>33</v>
      </c>
      <c r="J16" s="95">
        <f>'Data Ocupacion'!R50</f>
        <v>36</v>
      </c>
      <c r="K16" s="95">
        <f>'Data Ocupacion'!T50</f>
        <v>36</v>
      </c>
      <c r="L16" s="95">
        <f>'Data Ocupacion'!V50</f>
        <v>0</v>
      </c>
      <c r="M16" s="95">
        <f>'Data Ocupacion'!X50</f>
        <v>0</v>
      </c>
      <c r="N16" s="95">
        <f>'Data Ocupacion'!Z50</f>
        <v>33</v>
      </c>
      <c r="O16" s="95">
        <f>'Data Ocupacion'!AB50</f>
        <v>21</v>
      </c>
      <c r="P16" s="95">
        <f>'Data Ocupacion'!AD50</f>
        <v>33</v>
      </c>
      <c r="Q16" s="95">
        <f>'Data Ocupacion'!AF50</f>
        <v>33</v>
      </c>
      <c r="R16" s="95">
        <f>'Data Ocupacion'!AH50</f>
        <v>33</v>
      </c>
      <c r="S16" s="95">
        <f>'Data Ocupacion'!AJ50</f>
        <v>0</v>
      </c>
      <c r="T16" s="95">
        <f>'Data Ocupacion'!AL50</f>
        <v>0</v>
      </c>
      <c r="U16" s="95">
        <f>'Data Ocupacion'!AN50</f>
        <v>33</v>
      </c>
      <c r="V16" s="95">
        <f>'Data Ocupacion'!AP50</f>
        <v>33</v>
      </c>
      <c r="W16" s="95">
        <f>'Data Ocupacion'!AR50</f>
        <v>33</v>
      </c>
      <c r="X16" s="95">
        <f>'Data Ocupacion'!AT50</f>
        <v>33</v>
      </c>
      <c r="Y16" s="95">
        <f>'Data Ocupacion'!AV50</f>
        <v>33</v>
      </c>
      <c r="Z16" s="95">
        <f>'Data Ocupacion'!AX50</f>
        <v>0</v>
      </c>
      <c r="AA16" s="95">
        <f>'Data Ocupacion'!AZ50</f>
        <v>0</v>
      </c>
      <c r="AB16" s="95">
        <f>'Data Ocupacion'!BB50</f>
        <v>33</v>
      </c>
      <c r="AC16" s="95">
        <f>'Data Ocupacion'!BD50</f>
        <v>33</v>
      </c>
      <c r="AD16" s="95">
        <f>'Data Ocupacion'!BF50</f>
        <v>33</v>
      </c>
      <c r="AE16" s="95">
        <f>'Data Ocupacion'!BH50</f>
        <v>33</v>
      </c>
      <c r="AF16" s="95">
        <f>'Data Ocupacion'!BJ50</f>
        <v>13</v>
      </c>
      <c r="AG16" s="95">
        <f>'Data Ocupacion'!BL50</f>
        <v>0</v>
      </c>
    </row>
    <row r="17" spans="1:33" s="85" customFormat="1" ht="14.25" x14ac:dyDescent="0.2">
      <c r="A17" s="81" t="s">
        <v>90</v>
      </c>
      <c r="B17" s="82">
        <v>29.11</v>
      </c>
      <c r="C17" s="95">
        <f>'Data Ocupacion'!D51</f>
        <v>0</v>
      </c>
      <c r="D17" s="95">
        <f>'Data Ocupacion'!F51</f>
        <v>32</v>
      </c>
      <c r="E17" s="95">
        <f>'Data Ocupacion'!H51</f>
        <v>0</v>
      </c>
      <c r="F17" s="95">
        <f>'Data Ocupacion'!J51</f>
        <v>0</v>
      </c>
      <c r="G17" s="95">
        <f>'Data Ocupacion'!L51</f>
        <v>32</v>
      </c>
      <c r="H17" s="95">
        <f>'Data Ocupacion'!N51</f>
        <v>32</v>
      </c>
      <c r="I17" s="95">
        <f>'Data Ocupacion'!P51</f>
        <v>34</v>
      </c>
      <c r="J17" s="95">
        <f>'Data Ocupacion'!R51</f>
        <v>34</v>
      </c>
      <c r="K17" s="95">
        <f>'Data Ocupacion'!T51</f>
        <v>35</v>
      </c>
      <c r="L17" s="95">
        <f>'Data Ocupacion'!V51</f>
        <v>0</v>
      </c>
      <c r="M17" s="95">
        <f>'Data Ocupacion'!X51</f>
        <v>0</v>
      </c>
      <c r="N17" s="95">
        <f>'Data Ocupacion'!Z51</f>
        <v>32</v>
      </c>
      <c r="O17" s="95">
        <f>'Data Ocupacion'!AB51</f>
        <v>22</v>
      </c>
      <c r="P17" s="95">
        <f>'Data Ocupacion'!AD51</f>
        <v>32</v>
      </c>
      <c r="Q17" s="95">
        <f>'Data Ocupacion'!AF51</f>
        <v>32</v>
      </c>
      <c r="R17" s="95">
        <f>'Data Ocupacion'!AH51</f>
        <v>32</v>
      </c>
      <c r="S17" s="95">
        <f>'Data Ocupacion'!AJ51</f>
        <v>0</v>
      </c>
      <c r="T17" s="95">
        <f>'Data Ocupacion'!AL51</f>
        <v>0</v>
      </c>
      <c r="U17" s="95">
        <f>'Data Ocupacion'!AN51</f>
        <v>32</v>
      </c>
      <c r="V17" s="95">
        <f>'Data Ocupacion'!AP51</f>
        <v>32</v>
      </c>
      <c r="W17" s="95">
        <f>'Data Ocupacion'!AR51</f>
        <v>32</v>
      </c>
      <c r="X17" s="95">
        <f>'Data Ocupacion'!AT51</f>
        <v>32</v>
      </c>
      <c r="Y17" s="95">
        <f>'Data Ocupacion'!AV51</f>
        <v>29</v>
      </c>
      <c r="Z17" s="95">
        <f>'Data Ocupacion'!AX51</f>
        <v>0</v>
      </c>
      <c r="AA17" s="95">
        <f>'Data Ocupacion'!AZ51</f>
        <v>0</v>
      </c>
      <c r="AB17" s="95">
        <f>'Data Ocupacion'!BB51</f>
        <v>32</v>
      </c>
      <c r="AC17" s="95">
        <f>'Data Ocupacion'!BD51</f>
        <v>32</v>
      </c>
      <c r="AD17" s="95">
        <f>'Data Ocupacion'!BF51</f>
        <v>32</v>
      </c>
      <c r="AE17" s="95">
        <f>'Data Ocupacion'!BH51</f>
        <v>32</v>
      </c>
      <c r="AF17" s="95">
        <f>'Data Ocupacion'!BJ51</f>
        <v>19</v>
      </c>
      <c r="AG17" s="95">
        <f>'Data Ocupacion'!BL51</f>
        <v>0</v>
      </c>
    </row>
    <row r="18" spans="1:33" s="85" customFormat="1" ht="14.25" x14ac:dyDescent="0.2">
      <c r="A18" s="81" t="s">
        <v>91</v>
      </c>
      <c r="B18" s="82">
        <v>25.4</v>
      </c>
      <c r="C18" s="95">
        <f>'Data Ocupacion'!D53</f>
        <v>0</v>
      </c>
      <c r="D18" s="95">
        <f>'Data Ocupacion'!F53</f>
        <v>1</v>
      </c>
      <c r="E18" s="95">
        <f>'Data Ocupacion'!H53</f>
        <v>0</v>
      </c>
      <c r="F18" s="95">
        <f>'Data Ocupacion'!J53</f>
        <v>0</v>
      </c>
      <c r="G18" s="95">
        <f>'Data Ocupacion'!L53</f>
        <v>1</v>
      </c>
      <c r="H18" s="95">
        <f>'Data Ocupacion'!N53</f>
        <v>1</v>
      </c>
      <c r="I18" s="95">
        <f>'Data Ocupacion'!P53</f>
        <v>1</v>
      </c>
      <c r="J18" s="95">
        <f>'Data Ocupacion'!R53</f>
        <v>1</v>
      </c>
      <c r="K18" s="95">
        <f>'Data Ocupacion'!T53</f>
        <v>1</v>
      </c>
      <c r="L18" s="95">
        <f>'Data Ocupacion'!V53</f>
        <v>0</v>
      </c>
      <c r="M18" s="95">
        <f>'Data Ocupacion'!X53</f>
        <v>0</v>
      </c>
      <c r="N18" s="95">
        <f>'Data Ocupacion'!Z53</f>
        <v>1</v>
      </c>
      <c r="O18" s="95">
        <f>'Data Ocupacion'!AB53</f>
        <v>1</v>
      </c>
      <c r="P18" s="95">
        <f>'Data Ocupacion'!AD53</f>
        <v>1</v>
      </c>
      <c r="Q18" s="95">
        <f>'Data Ocupacion'!AF53</f>
        <v>1</v>
      </c>
      <c r="R18" s="95">
        <f>'Data Ocupacion'!AH53</f>
        <v>1</v>
      </c>
      <c r="S18" s="95">
        <f>'Data Ocupacion'!AJ53</f>
        <v>0</v>
      </c>
      <c r="T18" s="95">
        <f>'Data Ocupacion'!AL53</f>
        <v>0</v>
      </c>
      <c r="U18" s="95">
        <f>'Data Ocupacion'!AN53</f>
        <v>1</v>
      </c>
      <c r="V18" s="95">
        <f>'Data Ocupacion'!AP53</f>
        <v>1</v>
      </c>
      <c r="W18" s="95">
        <f>'Data Ocupacion'!AR53</f>
        <v>1</v>
      </c>
      <c r="X18" s="95">
        <f>'Data Ocupacion'!AT53</f>
        <v>1</v>
      </c>
      <c r="Y18" s="95">
        <f>'Data Ocupacion'!AV53</f>
        <v>7</v>
      </c>
      <c r="Z18" s="95">
        <f>'Data Ocupacion'!AX53</f>
        <v>0</v>
      </c>
      <c r="AA18" s="95">
        <f>'Data Ocupacion'!AZ53</f>
        <v>0</v>
      </c>
      <c r="AB18" s="95">
        <f>'Data Ocupacion'!BB53</f>
        <v>1</v>
      </c>
      <c r="AC18" s="95">
        <f>'Data Ocupacion'!BD53</f>
        <v>1</v>
      </c>
      <c r="AD18" s="95">
        <f>'Data Ocupacion'!BF53</f>
        <v>1</v>
      </c>
      <c r="AE18" s="95">
        <f>'Data Ocupacion'!BH53</f>
        <v>1</v>
      </c>
      <c r="AF18" s="95">
        <f>'Data Ocupacion'!BJ53</f>
        <v>1</v>
      </c>
      <c r="AG18" s="95">
        <f>'Data Ocupacion'!BL53</f>
        <v>0</v>
      </c>
    </row>
    <row r="19" spans="1:33" s="85" customFormat="1" ht="14.25" x14ac:dyDescent="0.2">
      <c r="A19" s="212" t="s">
        <v>124</v>
      </c>
      <c r="B19" s="82">
        <v>25.4</v>
      </c>
      <c r="C19" s="95">
        <v>0</v>
      </c>
      <c r="D19" s="83">
        <v>0</v>
      </c>
      <c r="E19" s="83">
        <v>0</v>
      </c>
      <c r="F19" s="83">
        <v>0</v>
      </c>
      <c r="G19" s="83">
        <v>0</v>
      </c>
      <c r="H19" s="83">
        <v>0</v>
      </c>
      <c r="I19" s="83">
        <v>0</v>
      </c>
      <c r="J19" s="95"/>
      <c r="K19" s="83">
        <v>0</v>
      </c>
      <c r="L19" s="95">
        <v>0</v>
      </c>
      <c r="M19" s="83">
        <v>0</v>
      </c>
      <c r="N19" s="83">
        <v>0</v>
      </c>
      <c r="O19" s="83">
        <v>0</v>
      </c>
      <c r="P19" s="83">
        <v>0</v>
      </c>
      <c r="Q19" s="95">
        <v>0</v>
      </c>
      <c r="R19" s="83">
        <v>0</v>
      </c>
      <c r="S19" s="83">
        <v>0</v>
      </c>
      <c r="T19" s="83">
        <v>0</v>
      </c>
      <c r="U19" s="83">
        <v>0</v>
      </c>
      <c r="V19" s="83">
        <v>0</v>
      </c>
      <c r="W19" s="83">
        <v>0</v>
      </c>
      <c r="X19" s="95">
        <v>0</v>
      </c>
      <c r="Y19" s="83">
        <v>0</v>
      </c>
      <c r="Z19" s="95">
        <v>0</v>
      </c>
      <c r="AA19" s="83">
        <v>0</v>
      </c>
      <c r="AB19" s="83">
        <v>0</v>
      </c>
      <c r="AC19" s="83">
        <v>0</v>
      </c>
      <c r="AD19" s="83">
        <v>0</v>
      </c>
      <c r="AE19" s="95">
        <v>0</v>
      </c>
      <c r="AF19" s="95">
        <v>0</v>
      </c>
      <c r="AG19" s="95">
        <v>0</v>
      </c>
    </row>
    <row r="20" spans="1:33" s="85" customFormat="1" ht="14.25" x14ac:dyDescent="0.2">
      <c r="A20" s="212"/>
      <c r="B20" s="82"/>
      <c r="C20" s="95"/>
      <c r="D20" s="83"/>
      <c r="E20" s="83"/>
      <c r="F20" s="83"/>
      <c r="G20" s="83"/>
      <c r="H20" s="83"/>
      <c r="I20" s="83"/>
      <c r="J20" s="95"/>
      <c r="K20" s="83"/>
      <c r="L20" s="95"/>
      <c r="M20" s="83"/>
      <c r="N20" s="83"/>
      <c r="O20" s="83"/>
      <c r="P20" s="83"/>
      <c r="Q20" s="95"/>
      <c r="R20" s="83"/>
      <c r="S20" s="83"/>
      <c r="T20" s="83"/>
      <c r="U20" s="83"/>
      <c r="V20" s="83"/>
      <c r="W20" s="83"/>
      <c r="X20" s="95"/>
      <c r="Y20" s="83"/>
      <c r="Z20" s="95"/>
      <c r="AA20" s="83"/>
      <c r="AB20" s="83"/>
      <c r="AC20" s="83"/>
      <c r="AD20" s="83"/>
      <c r="AE20" s="95"/>
      <c r="AF20" s="95"/>
      <c r="AG20" s="95"/>
    </row>
    <row r="21" spans="1:33" s="85" customFormat="1" ht="14.25" x14ac:dyDescent="0.2">
      <c r="A21" s="212"/>
      <c r="B21" s="82"/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83"/>
      <c r="T21" s="83"/>
      <c r="U21" s="83"/>
      <c r="V21" s="83"/>
      <c r="W21" s="83"/>
      <c r="X21" s="95"/>
      <c r="Y21" s="83"/>
      <c r="Z21" s="95"/>
      <c r="AA21" s="83"/>
      <c r="AB21" s="83"/>
      <c r="AC21" s="83"/>
      <c r="AD21" s="83"/>
      <c r="AE21" s="95"/>
      <c r="AF21" s="95"/>
      <c r="AG21" s="95"/>
    </row>
    <row r="22" spans="1:33" s="85" customFormat="1" ht="14.25" x14ac:dyDescent="0.2">
      <c r="A22" s="268"/>
      <c r="B22" s="236"/>
      <c r="C22" s="83"/>
      <c r="D22" s="83"/>
      <c r="E22" s="83"/>
      <c r="F22" s="83"/>
      <c r="G22" s="83"/>
      <c r="H22" s="83"/>
      <c r="I22" s="83"/>
      <c r="J22" s="83"/>
      <c r="K22" s="83"/>
      <c r="L22" s="95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95"/>
      <c r="AA22" s="83"/>
      <c r="AB22" s="83"/>
      <c r="AC22" s="83"/>
      <c r="AD22" s="83"/>
      <c r="AE22" s="95"/>
      <c r="AF22" s="95"/>
      <c r="AG22" s="95"/>
    </row>
    <row r="23" spans="1:33" x14ac:dyDescent="0.25">
      <c r="A23" s="86" t="s">
        <v>173</v>
      </c>
      <c r="B23" s="82">
        <v>-17.73</v>
      </c>
      <c r="C23" s="83">
        <f>'KM-Servicio'!Q5</f>
        <v>0</v>
      </c>
      <c r="D23" s="83">
        <f>'KM-Servicio'!Q12</f>
        <v>3</v>
      </c>
      <c r="E23" s="83">
        <f>'KM-Servicio'!Q19</f>
        <v>0</v>
      </c>
      <c r="F23" s="83">
        <f>'KM-Servicio'!Q26</f>
        <v>0</v>
      </c>
      <c r="G23" s="83">
        <f>'KM-Servicio'!Q33</f>
        <v>2</v>
      </c>
      <c r="H23" s="83">
        <f>'KM-Servicio'!Q40</f>
        <v>3</v>
      </c>
      <c r="I23" s="83">
        <f>'KM-Servicio'!Q47</f>
        <v>1</v>
      </c>
      <c r="J23" s="83">
        <f>'KM-Servicio'!Q56</f>
        <v>2</v>
      </c>
      <c r="K23" s="83">
        <f>'KM-Servicio'!Q63</f>
        <v>1</v>
      </c>
      <c r="L23" s="83">
        <f>'KM-Servicio'!Q70</f>
        <v>0</v>
      </c>
      <c r="M23" s="83">
        <f>'KM-Servicio'!Q77</f>
        <v>0</v>
      </c>
      <c r="N23" s="83">
        <f>'KM-Servicio'!Q84</f>
        <v>2</v>
      </c>
      <c r="O23" s="83">
        <f>'KM-Servicio'!Q91</f>
        <v>2</v>
      </c>
      <c r="P23" s="83">
        <f>'KM-Servicio'!Q98</f>
        <v>3</v>
      </c>
      <c r="Q23" s="83">
        <f>'KM-Servicio'!Q105</f>
        <v>4</v>
      </c>
      <c r="R23" s="83">
        <f>'KM-Servicio'!Q112</f>
        <v>3</v>
      </c>
      <c r="S23" s="83">
        <f>'KM-Servicio'!Q119</f>
        <v>0</v>
      </c>
      <c r="T23" s="83">
        <f>'KM-Servicio'!Q126</f>
        <v>0</v>
      </c>
      <c r="U23" s="83">
        <f>'KM-Servicio'!Q133</f>
        <v>4</v>
      </c>
      <c r="V23" s="83">
        <f>'KM-Servicio'!Q140</f>
        <v>3</v>
      </c>
      <c r="W23" s="83">
        <f>'KM-Servicio'!Q147</f>
        <v>4</v>
      </c>
      <c r="X23" s="83">
        <f>'KM-Servicio'!Q154</f>
        <v>6</v>
      </c>
      <c r="Y23" s="83">
        <f>'KM-Servicio'!Q161</f>
        <v>1</v>
      </c>
      <c r="Z23" s="83">
        <f>'KM-Servicio'!Q168</f>
        <v>0</v>
      </c>
      <c r="AA23" s="83">
        <f>'KM-Servicio'!Q175</f>
        <v>0</v>
      </c>
      <c r="AB23" s="83">
        <f>'KM-Servicio'!Q182</f>
        <v>2</v>
      </c>
      <c r="AC23" s="83">
        <f>'KM-Servicio'!Q189</f>
        <v>2</v>
      </c>
      <c r="AD23" s="83">
        <f>'KM-Servicio'!Q196</f>
        <v>1</v>
      </c>
      <c r="AE23" s="83">
        <f>'KM-Servicio'!Q203</f>
        <v>3</v>
      </c>
      <c r="AF23" s="83">
        <f>'KM-Servicio'!Q210</f>
        <v>3</v>
      </c>
      <c r="AG23" s="83">
        <f>'KM-Servicio'!Q217</f>
        <v>0</v>
      </c>
    </row>
    <row r="24" spans="1:33" x14ac:dyDescent="0.25">
      <c r="A24" s="86" t="s">
        <v>174</v>
      </c>
      <c r="B24" s="82">
        <v>-17.73</v>
      </c>
      <c r="C24" s="83">
        <f>'KM-Servicio'!T6</f>
        <v>0</v>
      </c>
      <c r="D24" s="83">
        <f>'KM-Servicio'!T13</f>
        <v>0</v>
      </c>
      <c r="E24" s="83">
        <f>'KM-Servicio'!T20</f>
        <v>0</v>
      </c>
      <c r="F24" s="83">
        <f>'KM-Servicio'!T27</f>
        <v>0</v>
      </c>
      <c r="G24" s="83">
        <f>'KM-Servicio'!T34</f>
        <v>1</v>
      </c>
      <c r="H24" s="83">
        <f>'KM-Servicio'!T41</f>
        <v>5</v>
      </c>
      <c r="I24" s="83">
        <f>'KM-Servicio'!T48</f>
        <v>1</v>
      </c>
      <c r="J24" s="83">
        <f>'KM-Servicio'!T57</f>
        <v>3</v>
      </c>
      <c r="K24" s="83">
        <f>'KM-Servicio'!T64</f>
        <v>4</v>
      </c>
      <c r="L24" s="83">
        <f>'KM-Servicio'!T71</f>
        <v>0</v>
      </c>
      <c r="M24" s="83">
        <f>'KM-Servicio'!T78</f>
        <v>0</v>
      </c>
      <c r="N24" s="83">
        <f>'KM-Servicio'!T85</f>
        <v>2</v>
      </c>
      <c r="O24" s="83">
        <f>'KM-Servicio'!T92</f>
        <v>1</v>
      </c>
      <c r="P24" s="83">
        <f>'KM-Servicio'!T99</f>
        <v>6</v>
      </c>
      <c r="Q24" s="83">
        <f>'KM-Servicio'!T106</f>
        <v>3</v>
      </c>
      <c r="R24" s="83">
        <f>'KM-Servicio'!T113</f>
        <v>3</v>
      </c>
      <c r="S24" s="83">
        <f>'KM-Servicio'!T120</f>
        <v>0</v>
      </c>
      <c r="T24" s="83">
        <f>'KM-Servicio'!T127</f>
        <v>0</v>
      </c>
      <c r="U24" s="83">
        <f>'KM-Servicio'!T134</f>
        <v>4</v>
      </c>
      <c r="V24" s="83">
        <f>'KM-Servicio'!T141</f>
        <v>3</v>
      </c>
      <c r="W24" s="83">
        <f>'KM-Servicio'!T148</f>
        <v>4</v>
      </c>
      <c r="X24" s="83">
        <f>'KM-Servicio'!T155</f>
        <v>7</v>
      </c>
      <c r="Y24" s="83">
        <f>'KM-Servicio'!T162</f>
        <v>2</v>
      </c>
      <c r="Z24" s="83">
        <f>'KM-Servicio'!T169</f>
        <v>0</v>
      </c>
      <c r="AA24" s="83">
        <f>'KM-Servicio'!T176</f>
        <v>0</v>
      </c>
      <c r="AB24" s="83">
        <f>'KM-Servicio'!T183</f>
        <v>3</v>
      </c>
      <c r="AC24" s="83">
        <f>'KM-Servicio'!T190</f>
        <v>5</v>
      </c>
      <c r="AD24" s="83">
        <f>'KM-Servicio'!T197</f>
        <v>4</v>
      </c>
      <c r="AE24" s="83">
        <f>'KM-Servicio'!T204</f>
        <v>5</v>
      </c>
      <c r="AF24" s="83">
        <f>'KM-Servicio'!T211</f>
        <v>0</v>
      </c>
      <c r="AG24" s="83">
        <f>'KM-Servicio'!T218</f>
        <v>0</v>
      </c>
    </row>
    <row r="25" spans="1:33" s="124" customFormat="1" x14ac:dyDescent="0.25">
      <c r="A25" s="314" t="s">
        <v>149</v>
      </c>
      <c r="B25" s="82">
        <v>-14.02</v>
      </c>
      <c r="C25" s="83">
        <f>'KM-Servicio'!U6</f>
        <v>0</v>
      </c>
      <c r="D25" s="83">
        <f>'KM-Servicio'!U13</f>
        <v>0</v>
      </c>
      <c r="E25" s="83">
        <f>'KM-Servicio'!U20</f>
        <v>0</v>
      </c>
      <c r="F25" s="83">
        <f>'KM-Servicio'!U27</f>
        <v>0</v>
      </c>
      <c r="G25" s="83">
        <f>'KM-Servicio'!U34</f>
        <v>0</v>
      </c>
      <c r="H25" s="83">
        <f>'KM-Servicio'!U41</f>
        <v>0</v>
      </c>
      <c r="I25" s="83">
        <f>'KM-Servicio'!U48</f>
        <v>0</v>
      </c>
      <c r="J25" s="83">
        <f>'KM-Servicio'!U57</f>
        <v>0</v>
      </c>
      <c r="K25" s="83">
        <f>'KM-Servicio'!U64</f>
        <v>0</v>
      </c>
      <c r="L25" s="83">
        <f>'KM-Servicio'!U71</f>
        <v>0</v>
      </c>
      <c r="M25" s="83">
        <f>'KM-Servicio'!U78</f>
        <v>0</v>
      </c>
      <c r="N25" s="83">
        <f>'KM-Servicio'!U85</f>
        <v>0</v>
      </c>
      <c r="O25" s="83">
        <f>'KM-Servicio'!U92</f>
        <v>0</v>
      </c>
      <c r="P25" s="83">
        <f>'KM-Servicio'!U99</f>
        <v>0</v>
      </c>
      <c r="Q25" s="83">
        <f>'KM-Servicio'!U106</f>
        <v>0</v>
      </c>
      <c r="R25" s="83">
        <f>'KM-Servicio'!U113</f>
        <v>0</v>
      </c>
      <c r="S25" s="83">
        <f>'KM-Servicio'!U120</f>
        <v>0</v>
      </c>
      <c r="T25" s="83">
        <f>'KM-Servicio'!U127</f>
        <v>0</v>
      </c>
      <c r="U25" s="83">
        <f>'KM-Servicio'!U134</f>
        <v>0</v>
      </c>
      <c r="V25" s="83">
        <f>'KM-Servicio'!U141</f>
        <v>0</v>
      </c>
      <c r="W25" s="83">
        <f>'KM-Servicio'!U148</f>
        <v>0</v>
      </c>
      <c r="X25" s="83">
        <f>'KM-Servicio'!U155</f>
        <v>0</v>
      </c>
      <c r="Y25" s="83">
        <f>'KM-Servicio'!U162</f>
        <v>0</v>
      </c>
      <c r="Z25" s="83">
        <f>'KM-Servicio'!U169</f>
        <v>0</v>
      </c>
      <c r="AA25" s="83">
        <f>'KM-Servicio'!U176</f>
        <v>0</v>
      </c>
      <c r="AB25" s="83">
        <f>'KM-Servicio'!U183</f>
        <v>0</v>
      </c>
      <c r="AC25" s="83">
        <f>'KM-Servicio'!U190</f>
        <v>0</v>
      </c>
      <c r="AD25" s="83">
        <f>'KM-Servicio'!U197</f>
        <v>0</v>
      </c>
      <c r="AE25" s="83">
        <f>'KM-Servicio'!U204</f>
        <v>0</v>
      </c>
      <c r="AF25" s="83">
        <f>'KM-Servicio'!U211</f>
        <v>0</v>
      </c>
      <c r="AG25" s="83">
        <f>'KM-Servicio'!U218</f>
        <v>0</v>
      </c>
    </row>
    <row r="26" spans="1:33" s="124" customFormat="1" x14ac:dyDescent="0.25">
      <c r="A26" s="217" t="s">
        <v>172</v>
      </c>
      <c r="B26" s="82">
        <v>-3.71</v>
      </c>
      <c r="C26" s="83">
        <f>'KM-Servicio'!Q7</f>
        <v>0</v>
      </c>
      <c r="D26" s="83">
        <f>'KM-Servicio'!Q14</f>
        <v>0</v>
      </c>
      <c r="E26" s="83">
        <f>'KM-Servicio'!T20</f>
        <v>0</v>
      </c>
      <c r="F26" s="83">
        <f>'KM-Servicio'!Q28</f>
        <v>0</v>
      </c>
      <c r="G26" s="83">
        <f>'KM-Servicio'!Q35</f>
        <v>0</v>
      </c>
      <c r="H26" s="83">
        <v>0</v>
      </c>
      <c r="I26" s="83">
        <v>0</v>
      </c>
      <c r="J26" s="83">
        <v>0</v>
      </c>
      <c r="K26" s="83">
        <v>1</v>
      </c>
      <c r="L26" s="83">
        <v>0</v>
      </c>
      <c r="M26" s="83">
        <v>0</v>
      </c>
      <c r="N26" s="83">
        <v>0</v>
      </c>
      <c r="O26" s="83">
        <v>0</v>
      </c>
      <c r="P26" s="83">
        <v>0</v>
      </c>
      <c r="Q26" s="83">
        <v>0</v>
      </c>
      <c r="R26" s="83">
        <v>0</v>
      </c>
      <c r="S26" s="83">
        <v>0</v>
      </c>
      <c r="T26" s="83">
        <v>0</v>
      </c>
      <c r="U26" s="83">
        <v>0</v>
      </c>
      <c r="V26" s="83">
        <v>0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0</v>
      </c>
      <c r="AC26" s="83">
        <v>0</v>
      </c>
      <c r="AD26" s="83">
        <v>0</v>
      </c>
      <c r="AE26" s="83">
        <v>0</v>
      </c>
      <c r="AF26" s="83">
        <v>0</v>
      </c>
      <c r="AG26" s="83">
        <v>0</v>
      </c>
    </row>
    <row r="27" spans="1:33" s="124" customFormat="1" x14ac:dyDescent="0.25">
      <c r="A27" s="211" t="s">
        <v>171</v>
      </c>
      <c r="B27" s="82">
        <v>-25.4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</row>
    <row r="28" spans="1:33" s="124" customFormat="1" x14ac:dyDescent="0.25">
      <c r="A28" s="217" t="s">
        <v>154</v>
      </c>
      <c r="B28" s="82">
        <v>17.73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</row>
    <row r="29" spans="1:33" s="124" customFormat="1" x14ac:dyDescent="0.25">
      <c r="A29" s="217" t="s">
        <v>159</v>
      </c>
      <c r="B29" s="82">
        <v>-12.73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</row>
    <row r="30" spans="1:33" x14ac:dyDescent="0.25">
      <c r="A30" s="87"/>
      <c r="B30" s="82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E30" s="124"/>
      <c r="AF30" s="124"/>
      <c r="AG30" s="124"/>
    </row>
    <row r="31" spans="1:33" x14ac:dyDescent="0.25">
      <c r="A31" s="88" t="s">
        <v>84</v>
      </c>
      <c r="B31" s="228">
        <f t="shared" ref="B31:B38" si="0">SUM(C31:AG31)</f>
        <v>5909</v>
      </c>
      <c r="C31" s="91">
        <f t="shared" ref="C31:AF31" si="1">SUM(C5:C10)</f>
        <v>111</v>
      </c>
      <c r="D31" s="91">
        <f t="shared" si="1"/>
        <v>223</v>
      </c>
      <c r="E31" s="91">
        <f t="shared" si="1"/>
        <v>147</v>
      </c>
      <c r="F31" s="91">
        <f t="shared" si="1"/>
        <v>111</v>
      </c>
      <c r="G31" s="91">
        <f t="shared" si="1"/>
        <v>223</v>
      </c>
      <c r="H31" s="91">
        <f t="shared" si="1"/>
        <v>223</v>
      </c>
      <c r="I31" s="91">
        <f t="shared" si="1"/>
        <v>221</v>
      </c>
      <c r="J31" s="91">
        <f t="shared" si="1"/>
        <v>225</v>
      </c>
      <c r="K31" s="91">
        <f t="shared" si="1"/>
        <v>223</v>
      </c>
      <c r="L31" s="91">
        <f t="shared" si="1"/>
        <v>147</v>
      </c>
      <c r="M31" s="91">
        <f t="shared" si="1"/>
        <v>111</v>
      </c>
      <c r="N31" s="91">
        <f t="shared" si="1"/>
        <v>223</v>
      </c>
      <c r="O31" s="91">
        <f t="shared" si="1"/>
        <v>203</v>
      </c>
      <c r="P31" s="91">
        <f t="shared" si="1"/>
        <v>223</v>
      </c>
      <c r="Q31" s="91">
        <f>SUM(Q5:Q11)</f>
        <v>223</v>
      </c>
      <c r="R31" s="91">
        <f t="shared" si="1"/>
        <v>223</v>
      </c>
      <c r="S31" s="91">
        <f t="shared" si="1"/>
        <v>147</v>
      </c>
      <c r="T31" s="91">
        <f t="shared" si="1"/>
        <v>111</v>
      </c>
      <c r="U31" s="91">
        <f t="shared" si="1"/>
        <v>223</v>
      </c>
      <c r="V31" s="91">
        <f t="shared" si="1"/>
        <v>223</v>
      </c>
      <c r="W31" s="91">
        <f t="shared" si="1"/>
        <v>223</v>
      </c>
      <c r="X31" s="91">
        <f>SUM(X5:X12)</f>
        <v>223</v>
      </c>
      <c r="Y31" s="91">
        <f t="shared" si="1"/>
        <v>217</v>
      </c>
      <c r="Z31" s="91">
        <f t="shared" si="1"/>
        <v>147</v>
      </c>
      <c r="AA31" s="91">
        <f t="shared" si="1"/>
        <v>111</v>
      </c>
      <c r="AB31" s="91">
        <f t="shared" si="1"/>
        <v>223</v>
      </c>
      <c r="AC31" s="91">
        <f t="shared" si="1"/>
        <v>223</v>
      </c>
      <c r="AD31" s="91">
        <f t="shared" si="1"/>
        <v>223</v>
      </c>
      <c r="AE31" s="91">
        <f t="shared" si="1"/>
        <v>223</v>
      </c>
      <c r="AF31" s="91">
        <f t="shared" si="1"/>
        <v>185</v>
      </c>
      <c r="AG31" s="91">
        <f t="shared" ref="AG31" si="2">SUM(AG5:AG10)</f>
        <v>147</v>
      </c>
    </row>
    <row r="32" spans="1:33" x14ac:dyDescent="0.25">
      <c r="A32" s="90" t="s">
        <v>65</v>
      </c>
      <c r="B32" s="228">
        <f t="shared" si="0"/>
        <v>6992</v>
      </c>
      <c r="C32" s="91">
        <f t="shared" ref="C32:AF32" si="3">SUM(C14:C19)</f>
        <v>116</v>
      </c>
      <c r="D32" s="91">
        <f t="shared" si="3"/>
        <v>288</v>
      </c>
      <c r="E32" s="91">
        <f t="shared" si="3"/>
        <v>150</v>
      </c>
      <c r="F32" s="91">
        <f t="shared" si="3"/>
        <v>114</v>
      </c>
      <c r="G32" s="91">
        <f t="shared" si="3"/>
        <v>288</v>
      </c>
      <c r="H32" s="91">
        <f t="shared" si="3"/>
        <v>288</v>
      </c>
      <c r="I32" s="91">
        <f t="shared" si="3"/>
        <v>286</v>
      </c>
      <c r="J32" s="91">
        <f t="shared" si="3"/>
        <v>294</v>
      </c>
      <c r="K32" s="91">
        <f t="shared" si="3"/>
        <v>294</v>
      </c>
      <c r="L32" s="91">
        <f t="shared" si="3"/>
        <v>150</v>
      </c>
      <c r="M32" s="91">
        <f t="shared" si="3"/>
        <v>114</v>
      </c>
      <c r="N32" s="91">
        <f t="shared" si="3"/>
        <v>288</v>
      </c>
      <c r="O32" s="91">
        <f t="shared" si="3"/>
        <v>244</v>
      </c>
      <c r="P32" s="91">
        <f t="shared" si="3"/>
        <v>270</v>
      </c>
      <c r="Q32" s="91">
        <f>SUM(Q14:Q20)</f>
        <v>270</v>
      </c>
      <c r="R32" s="91">
        <f t="shared" si="3"/>
        <v>268</v>
      </c>
      <c r="S32" s="91">
        <f t="shared" si="3"/>
        <v>150</v>
      </c>
      <c r="T32" s="91">
        <f t="shared" si="3"/>
        <v>112</v>
      </c>
      <c r="U32" s="91">
        <f t="shared" si="3"/>
        <v>270</v>
      </c>
      <c r="V32" s="91">
        <f t="shared" si="3"/>
        <v>270</v>
      </c>
      <c r="W32" s="91">
        <f t="shared" si="3"/>
        <v>270</v>
      </c>
      <c r="X32" s="91">
        <f>SUM(X14:X21)</f>
        <v>270</v>
      </c>
      <c r="Y32" s="91">
        <f t="shared" si="3"/>
        <v>264</v>
      </c>
      <c r="Z32" s="91">
        <f t="shared" si="3"/>
        <v>150</v>
      </c>
      <c r="AA32" s="91">
        <f t="shared" si="3"/>
        <v>114</v>
      </c>
      <c r="AB32" s="91">
        <f t="shared" si="3"/>
        <v>256</v>
      </c>
      <c r="AC32" s="91">
        <f t="shared" si="3"/>
        <v>258</v>
      </c>
      <c r="AD32" s="91">
        <f t="shared" si="3"/>
        <v>258</v>
      </c>
      <c r="AE32" s="91">
        <f t="shared" si="3"/>
        <v>258</v>
      </c>
      <c r="AF32" s="91">
        <f t="shared" si="3"/>
        <v>220</v>
      </c>
      <c r="AG32" s="91">
        <f t="shared" ref="AG32" si="4">SUM(AG14:AG19)</f>
        <v>150</v>
      </c>
    </row>
    <row r="33" spans="1:33" x14ac:dyDescent="0.25">
      <c r="A33" s="90" t="s">
        <v>92</v>
      </c>
      <c r="B33" s="228">
        <f t="shared" si="0"/>
        <v>280125.69999999995</v>
      </c>
      <c r="C33" s="91">
        <f>(C14*$B$14+C15*$B$15+C16*$B$16+C17*$B$17+C19*$B$19+C24*$B$24+C18*$B$18+C23*$B$23+C26*$B$26+C27*$B$27+C25*B25)</f>
        <v>5003.08</v>
      </c>
      <c r="D33" s="91">
        <f>(D14*$B$14+D15*$B$15+D16*$B$16+D17*$B$17+D19*$B$19+D24*$B$24+D18*$B$18+D23*$B$23+D25*$B$25+D27*$B$27+D28*B28+D26*B26)</f>
        <v>11439.22</v>
      </c>
      <c r="E33" s="91">
        <f>(E14*$B$14+E15*$B$15+E16*$B$16+E17*$B$17+E19*$B$19+E24*$B$24+E18*$B$18+E23*$B$23+E25*$B$25+E27*$B$27+E28*B28+E26*B26)</f>
        <v>6469.5</v>
      </c>
      <c r="F33" s="91">
        <f>(F14*$B$14+F15*$B$15+F16*$B$16+F17*$B$17+F19*$B$19+F24*$B$24+F18*$B$18+F23*$B$23+F25*$B$25+F26*$B$26+F28*B28)</f>
        <v>4916.8200000000006</v>
      </c>
      <c r="G33" s="91">
        <f>(G14*$B$14+G15*$B$15+G16*$B$16+G17*$B$17+G19*$B$19+G24*$B$24+G18*$B$18+G23*$B$23+G25*$B$25+G26*$B$26+G28*B28)</f>
        <v>11439.220000000001</v>
      </c>
      <c r="H33" s="91">
        <f>(H14*$B$14+H15*$B$15+H16*$B$16+H17*$B$17+H19*$B$19+H24*$B$24+H18*$B$18+H23*$B$23+H25*$B$25+H26*$B$26+H28*B28+H29*B29)</f>
        <v>11350.57</v>
      </c>
      <c r="I33" s="91">
        <f>(I14*$B$14+I15*$B$15+I16*$B$16+I17*$B$17+I19*$B$19+I24*$B$24+I18*$B$18+I23*$B$23+I25*$B$25+I26*$B$26+I28*B28)-128.58-150.01</f>
        <v>11064.06</v>
      </c>
      <c r="J33" s="91">
        <f>(J14*$B$14+J15*$B$15+J16*$B$16+J17*$B$17+J19*$B$19+J24*$B$24+J18*$B$18+J23*$B$23+J25*$B$25+J26*$B$26+J28*B28)</f>
        <v>11592.44</v>
      </c>
      <c r="K33" s="91">
        <f>(K14*$B$14+K15*$B$15+K16*$B$16+K17*$B$17+K19*$B$19+K24*$B$24+K18*$B$18+K23*$B$23+K25*$B$25+K26*$B$26+K28*B28)</f>
        <v>11574.710000000001</v>
      </c>
      <c r="L33" s="91">
        <f>(L14*$B$14+L15*$B$15+L16*$B$16+L17*$B$17+L19*$B$19+L24*$B$24+L18*$B$18+L23*$B$23+L25*$B$25+L26*$B$26+L28*B28)</f>
        <v>6469.5</v>
      </c>
      <c r="M33" s="91">
        <f>(M14*$B$14+M15*$B$15+M16*$B$16+M17*$B$17+M19*$B$19+M24*$B$24+M18*$B$18+M23*$B$23+M25*$B$25+M26*$B$26+M28*B28)</f>
        <v>4916.8200000000006</v>
      </c>
      <c r="N33" s="91">
        <f>(N14*$B$14+N15*$B$15+N16*$B$16+N17*$B$17+N19*$B$19+N24*$B$24+N18*$B$18+N23*$B$23+N25*$B$25+N26*$B$26+N28*B28)</f>
        <v>11421.490000000002</v>
      </c>
      <c r="O33" s="91">
        <f>(O14*$B$14+O15*$B$15+O16*$B$16+O17*$B$17+O19*$B$19+O24*$B$24+O18*$B$18+O23*$B$23+O25*$B$25+O26*$B$26+O27*B27)-7.68-18.84</f>
        <v>9823.42</v>
      </c>
      <c r="P33" s="91">
        <f>(P14*$B$14+P15*$B$15+P16*$B$16+P17*$B$17+P19*$B$19+P24*$B$24+P18*$B$18+P23*$B$23+P25*$B$25+P26*$B$26+P28*B28)</f>
        <v>10556.5</v>
      </c>
      <c r="Q33" s="91">
        <f>(Q14*$B$14+Q15*$B$15+Q16*$B$16+Q17*$B$17+Q19*$B$19+Q20*B20+Q24*$B$24+Q18*$B$18+Q23*$B$23+Q25*$B$25+Q26*$B$26)</f>
        <v>10591.96</v>
      </c>
      <c r="R33" s="91">
        <f>(R14*$B$14+R15*$B$15+R16*$B$16+R17*$B$17+R19*$B$19+R24*$B$24+R18*$B$18+R23*$B$23+R25*$B$25+R26*$B$26)</f>
        <v>10523.429999999998</v>
      </c>
      <c r="S33" s="91">
        <f>(S14*$B$14+S15*$B$15+S16*$B$16+S17*$B$17+S19*$B$19+S24*$B$24+S18*$B$18+S23*$B$23+S25*$B$25+S26*$B$26)</f>
        <v>6469.5</v>
      </c>
      <c r="T33" s="91">
        <f>(T14*$B$14+T15*$B$15+T16*$B$16+T17*$B$17+T19*$B$19+T24*$B$24+T18*$B$18+T23*$B$23+T25*$B$25+T26*$B$26)</f>
        <v>4830.5600000000004</v>
      </c>
      <c r="U33" s="91">
        <f>(U14*$B$14+U15*$B$15+U16*$B$16+U17*$B$17+U19*$B$19+U24*$B$24+U18*$B$18+U23*$B$23+U25*$B$25+U26*$B$26+U28*B28)</f>
        <v>10574.23</v>
      </c>
      <c r="V33" s="91">
        <f>(V14*$B$14+V15*$B$15+V16*$B$16+V17*$B$17+V19*$B$19+V24*$B$24+V18*$B$18+V23*$B$23+V25*$B$25+V26*$B$26+V28*B28)</f>
        <v>10609.689999999999</v>
      </c>
      <c r="W33" s="91">
        <f>(W14*$B$14+W15*$B$15+W16*$B$16+W17*$B$17+W19*$B$19+W24*$B$24+W18*$B$18+W23*$B$23+W25*$B$25+W26*$B$26)</f>
        <v>10574.23</v>
      </c>
      <c r="X33" s="91">
        <f>(X14*$B$14+X15*$B$15+X16*$B$16+X17*$B$17+X19*$B$19+X21*B21+X24*$B$24+X18*$B$18+X23*$B$23+X25*$B$25+X26*$B$26)</f>
        <v>10485.58</v>
      </c>
      <c r="Y33" s="91">
        <f>(Y14*$B$14+Y15*$B$15+Y16*$B$16+Y17*$B$17+Y19*$B$19+Y24*$B$24+Y18*$B$18+Y23*$B$23+Y25*$B$25+Y26*$B$26)</f>
        <v>10339.780000000001</v>
      </c>
      <c r="Z33" s="91">
        <f>(Z14*$B$14+Z15*$B$15+Z16*$B$16+Z17*$B$17+Z19*$B$19+Z24*$B$24+Z18*$B$18+Z23*$B$23+Z25*$B$25+Z26*$B$26)</f>
        <v>6469.5</v>
      </c>
      <c r="AA33" s="91">
        <f>(AA14*$B$14+AA15*$B$15+AA16*$B$16+AA17*$B$17+AA19*$B$19+AA24*$B$24+AA18*$B$18+AA23*$B$23+AA25*$B$25+AA26*$B$26)</f>
        <v>4916.8200000000006</v>
      </c>
      <c r="AB33" s="91">
        <f>(AB14*$B$14+AB15*$B$15+AB16*$B$16+AB17*$B$17+AB19*$B$19+AB24*$B$24+AB18*$B$18+AB23*$B$23+AB25*$B$25+AB26*$B$26)</f>
        <v>10023.6</v>
      </c>
      <c r="AC33" s="91">
        <f>(AC14*$B$14+AC15*$B$15+AC16*$B$16+AC17*$B$17+AC19*$B$19+AC24*$B$24+AC18*$B$18+AC23*$B$23+AC25*$B$25+AC26*$B$26+AC28*B28)</f>
        <v>10074.400000000001</v>
      </c>
      <c r="AD33" s="91">
        <f>(AD14*$B$14+AD15*$B$15+AD16*$B$16+AD17*$B$17+AD19*$B$19+AD24*$B$24+AD18*$B$18+AD23*$B$23+AD25*$B$25+AD27*$B$27+AD28*B28)</f>
        <v>10109.86</v>
      </c>
      <c r="AE33" s="91">
        <f>(AE14*$B$14+AE15*$B$15+AE16*$B$16+AE17*$B$17+AE19*$B$19+AE24*$B$24+AE18*$B$18+AE23*$B$23+AE25*$B$25+AE26*$B$26)</f>
        <v>10056.67</v>
      </c>
      <c r="AF33" s="91">
        <f>(AF14*$B$14+AF15*$B$15+AF16*$B$16+AF17*$B$17+AF19*$B$19+AF24*$B$24+AF18*$B$18+AF23*$B$23+AF25*$B$25+AF26*$B$26)</f>
        <v>8969.0399999999991</v>
      </c>
      <c r="AG33" s="91">
        <f>(AG14*$B$14+AG15*$B$15+AG16*$B$16+AG17*$B$17+AG19*$B$19+AG24*$B$24+AG18*$B$18+AG23*$B$23+AG25*$B$25+AG26*$B$26)</f>
        <v>6469.5</v>
      </c>
    </row>
    <row r="34" spans="1:33" x14ac:dyDescent="0.25">
      <c r="A34" s="90" t="s">
        <v>93</v>
      </c>
      <c r="B34" s="228">
        <f t="shared" si="0"/>
        <v>236059.73999999993</v>
      </c>
      <c r="C34" s="91">
        <f t="shared" ref="C34:AF34" si="5">$B$5*C5+$B$6*C6+$B$7*C7+$B$8*C8+$B$10*C10+$B$9*C9</f>
        <v>4787.43</v>
      </c>
      <c r="D34" s="91">
        <f t="shared" si="5"/>
        <v>8688.9599999999991</v>
      </c>
      <c r="E34" s="91">
        <f t="shared" si="5"/>
        <v>6340.1100000000006</v>
      </c>
      <c r="F34" s="91">
        <f t="shared" si="5"/>
        <v>4787.43</v>
      </c>
      <c r="G34" s="91">
        <f t="shared" si="5"/>
        <v>8688.9599999999991</v>
      </c>
      <c r="H34" s="91">
        <f t="shared" si="5"/>
        <v>8688.9599999999991</v>
      </c>
      <c r="I34" s="91">
        <f t="shared" si="5"/>
        <v>8574.66</v>
      </c>
      <c r="J34" s="91">
        <f t="shared" si="5"/>
        <v>8747.18</v>
      </c>
      <c r="K34" s="91">
        <f t="shared" si="5"/>
        <v>8688.9599999999991</v>
      </c>
      <c r="L34" s="91">
        <f t="shared" si="5"/>
        <v>6340.1100000000006</v>
      </c>
      <c r="M34" s="91">
        <f t="shared" si="5"/>
        <v>4787.43</v>
      </c>
      <c r="N34" s="91">
        <f t="shared" si="5"/>
        <v>8688.9599999999991</v>
      </c>
      <c r="O34" s="91">
        <f t="shared" si="5"/>
        <v>8134.7999999999993</v>
      </c>
      <c r="P34" s="91">
        <f t="shared" si="5"/>
        <v>8688.9599999999991</v>
      </c>
      <c r="Q34" s="91">
        <f>$B$5*Q5+$B$6*Q6+$B$7*Q7+$B$8*Q8+$B$10*Q10+$B$9*Q9+Q11*B11</f>
        <v>8688.9599999999991</v>
      </c>
      <c r="R34" s="91">
        <f t="shared" si="5"/>
        <v>8688.9599999999991</v>
      </c>
      <c r="S34" s="91">
        <f t="shared" si="5"/>
        <v>6340.1100000000006</v>
      </c>
      <c r="T34" s="91">
        <f t="shared" si="5"/>
        <v>4787.43</v>
      </c>
      <c r="U34" s="91">
        <f t="shared" si="5"/>
        <v>8688.9599999999991</v>
      </c>
      <c r="V34" s="91">
        <f t="shared" si="5"/>
        <v>8688.9599999999991</v>
      </c>
      <c r="W34" s="91">
        <f t="shared" si="5"/>
        <v>8688.9599999999991</v>
      </c>
      <c r="X34" s="91">
        <f>$B$5*X5+$B$6*X6+$B$7*X7+$B$8*X8+$B$10*X10+$B$9*X9+X12*B12</f>
        <v>8688.9599999999991</v>
      </c>
      <c r="Y34" s="91">
        <f t="shared" si="5"/>
        <v>8401.32</v>
      </c>
      <c r="Z34" s="91">
        <f t="shared" si="5"/>
        <v>6340.1100000000006</v>
      </c>
      <c r="AA34" s="91">
        <f t="shared" si="5"/>
        <v>4787.43</v>
      </c>
      <c r="AB34" s="91">
        <f t="shared" si="5"/>
        <v>8688.9599999999991</v>
      </c>
      <c r="AC34" s="91">
        <f t="shared" si="5"/>
        <v>8688.9599999999991</v>
      </c>
      <c r="AD34" s="91">
        <f t="shared" si="5"/>
        <v>8688.9599999999991</v>
      </c>
      <c r="AE34" s="91">
        <f t="shared" si="5"/>
        <v>8688.9599999999991</v>
      </c>
      <c r="AF34" s="91">
        <f t="shared" si="5"/>
        <v>7540.72</v>
      </c>
      <c r="AG34" s="91">
        <f t="shared" ref="AG34" si="6">$B$5*AG5+$B$6*AG6+$B$7*AG7+$B$8*AG8+$B$10*AG10+$B$9*AG9</f>
        <v>6340.1100000000006</v>
      </c>
    </row>
    <row r="35" spans="1:33" x14ac:dyDescent="0.25">
      <c r="A35" s="90" t="s">
        <v>94</v>
      </c>
      <c r="B35" s="228">
        <f t="shared" si="0"/>
        <v>29133072.800000008</v>
      </c>
      <c r="C35" s="91">
        <f t="shared" ref="C35:AF35" si="7">C33*104</f>
        <v>520320.32</v>
      </c>
      <c r="D35" s="91">
        <f t="shared" si="7"/>
        <v>1189678.8799999999</v>
      </c>
      <c r="E35" s="91">
        <f t="shared" si="7"/>
        <v>672828</v>
      </c>
      <c r="F35" s="91">
        <f t="shared" si="7"/>
        <v>511349.28000000009</v>
      </c>
      <c r="G35" s="91">
        <f t="shared" si="7"/>
        <v>1189678.8800000001</v>
      </c>
      <c r="H35" s="91">
        <f t="shared" si="7"/>
        <v>1180459.28</v>
      </c>
      <c r="I35" s="91">
        <f t="shared" si="7"/>
        <v>1150662.24</v>
      </c>
      <c r="J35" s="91">
        <f t="shared" si="7"/>
        <v>1205613.76</v>
      </c>
      <c r="K35" s="91">
        <f t="shared" si="7"/>
        <v>1203769.8400000001</v>
      </c>
      <c r="L35" s="91">
        <f t="shared" si="7"/>
        <v>672828</v>
      </c>
      <c r="M35" s="91">
        <f t="shared" si="7"/>
        <v>511349.28000000009</v>
      </c>
      <c r="N35" s="91">
        <f t="shared" si="7"/>
        <v>1187834.9600000002</v>
      </c>
      <c r="O35" s="91">
        <f t="shared" si="7"/>
        <v>1021635.68</v>
      </c>
      <c r="P35" s="91">
        <f t="shared" si="7"/>
        <v>1097876</v>
      </c>
      <c r="Q35" s="91">
        <f t="shared" si="7"/>
        <v>1101563.8399999999</v>
      </c>
      <c r="R35" s="91">
        <f t="shared" si="7"/>
        <v>1094436.7199999997</v>
      </c>
      <c r="S35" s="91">
        <f t="shared" si="7"/>
        <v>672828</v>
      </c>
      <c r="T35" s="91">
        <f t="shared" si="7"/>
        <v>502378.24000000005</v>
      </c>
      <c r="U35" s="91">
        <f t="shared" si="7"/>
        <v>1099719.92</v>
      </c>
      <c r="V35" s="91">
        <f t="shared" si="7"/>
        <v>1103407.7599999998</v>
      </c>
      <c r="W35" s="91">
        <f t="shared" si="7"/>
        <v>1099719.92</v>
      </c>
      <c r="X35" s="91">
        <f t="shared" si="7"/>
        <v>1090500.32</v>
      </c>
      <c r="Y35" s="91">
        <f t="shared" si="7"/>
        <v>1075337.1200000001</v>
      </c>
      <c r="Z35" s="91">
        <f t="shared" si="7"/>
        <v>672828</v>
      </c>
      <c r="AA35" s="91">
        <f t="shared" si="7"/>
        <v>511349.28000000009</v>
      </c>
      <c r="AB35" s="91">
        <f t="shared" si="7"/>
        <v>1042454.4</v>
      </c>
      <c r="AC35" s="91">
        <f t="shared" si="7"/>
        <v>1047737.6000000001</v>
      </c>
      <c r="AD35" s="91">
        <f t="shared" si="7"/>
        <v>1051425.44</v>
      </c>
      <c r="AE35" s="91">
        <f t="shared" si="7"/>
        <v>1045893.68</v>
      </c>
      <c r="AF35" s="91">
        <f t="shared" si="7"/>
        <v>932780.15999999992</v>
      </c>
      <c r="AG35" s="91">
        <f t="shared" ref="AG35" si="8">AG33*104</f>
        <v>672828</v>
      </c>
    </row>
    <row r="36" spans="1:33" x14ac:dyDescent="0.25">
      <c r="A36" s="90" t="s">
        <v>95</v>
      </c>
      <c r="B36" s="89">
        <f t="shared" si="0"/>
        <v>560251.39999999991</v>
      </c>
      <c r="C36" s="91">
        <f>C33*2</f>
        <v>10006.16</v>
      </c>
      <c r="D36" s="91">
        <f t="shared" ref="D36:AD36" si="9">D33*2</f>
        <v>22878.44</v>
      </c>
      <c r="E36" s="91">
        <f t="shared" si="9"/>
        <v>12939</v>
      </c>
      <c r="F36" s="91">
        <f t="shared" si="9"/>
        <v>9833.6400000000012</v>
      </c>
      <c r="G36" s="91">
        <f t="shared" si="9"/>
        <v>22878.440000000002</v>
      </c>
      <c r="H36" s="91">
        <f t="shared" si="9"/>
        <v>22701.14</v>
      </c>
      <c r="I36" s="91">
        <f t="shared" si="9"/>
        <v>22128.12</v>
      </c>
      <c r="J36" s="91">
        <f t="shared" si="9"/>
        <v>23184.880000000001</v>
      </c>
      <c r="K36" s="91">
        <f t="shared" si="9"/>
        <v>23149.420000000002</v>
      </c>
      <c r="L36" s="91">
        <f t="shared" si="9"/>
        <v>12939</v>
      </c>
      <c r="M36" s="91">
        <f t="shared" si="9"/>
        <v>9833.6400000000012</v>
      </c>
      <c r="N36" s="91">
        <f t="shared" si="9"/>
        <v>22842.980000000003</v>
      </c>
      <c r="O36" s="91">
        <f t="shared" si="9"/>
        <v>19646.84</v>
      </c>
      <c r="P36" s="91">
        <f t="shared" si="9"/>
        <v>21113</v>
      </c>
      <c r="Q36" s="91">
        <f t="shared" si="9"/>
        <v>21183.919999999998</v>
      </c>
      <c r="R36" s="91">
        <f t="shared" si="9"/>
        <v>21046.859999999997</v>
      </c>
      <c r="S36" s="91">
        <f t="shared" si="9"/>
        <v>12939</v>
      </c>
      <c r="T36" s="91">
        <f t="shared" si="9"/>
        <v>9661.1200000000008</v>
      </c>
      <c r="U36" s="91">
        <f t="shared" si="9"/>
        <v>21148.46</v>
      </c>
      <c r="V36" s="91">
        <f t="shared" si="9"/>
        <v>21219.379999999997</v>
      </c>
      <c r="W36" s="91">
        <f t="shared" si="9"/>
        <v>21148.46</v>
      </c>
      <c r="X36" s="91">
        <f t="shared" si="9"/>
        <v>20971.16</v>
      </c>
      <c r="Y36" s="91">
        <f t="shared" si="9"/>
        <v>20679.560000000001</v>
      </c>
      <c r="Z36" s="91">
        <f t="shared" si="9"/>
        <v>12939</v>
      </c>
      <c r="AA36" s="91">
        <f t="shared" si="9"/>
        <v>9833.6400000000012</v>
      </c>
      <c r="AB36" s="91">
        <f t="shared" si="9"/>
        <v>20047.2</v>
      </c>
      <c r="AC36" s="91">
        <f t="shared" si="9"/>
        <v>20148.800000000003</v>
      </c>
      <c r="AD36" s="91">
        <f t="shared" si="9"/>
        <v>20219.72</v>
      </c>
      <c r="AE36" s="91">
        <f>AE33*2</f>
        <v>20113.34</v>
      </c>
      <c r="AF36" s="91">
        <f>AF33*2</f>
        <v>17938.079999999998</v>
      </c>
      <c r="AG36" s="91">
        <f>AG33*2</f>
        <v>12939</v>
      </c>
    </row>
    <row r="37" spans="1:33" x14ac:dyDescent="0.25">
      <c r="A37" s="90" t="s">
        <v>96</v>
      </c>
      <c r="B37" s="89">
        <f t="shared" si="0"/>
        <v>2531104</v>
      </c>
      <c r="C37" s="91">
        <f>+C32*362</f>
        <v>41992</v>
      </c>
      <c r="D37" s="91">
        <f t="shared" ref="D37:AD37" si="10">+D32*362</f>
        <v>104256</v>
      </c>
      <c r="E37" s="91">
        <f t="shared" si="10"/>
        <v>54300</v>
      </c>
      <c r="F37" s="91">
        <f t="shared" si="10"/>
        <v>41268</v>
      </c>
      <c r="G37" s="91">
        <f t="shared" si="10"/>
        <v>104256</v>
      </c>
      <c r="H37" s="91">
        <f t="shared" si="10"/>
        <v>104256</v>
      </c>
      <c r="I37" s="91">
        <f t="shared" si="10"/>
        <v>103532</v>
      </c>
      <c r="J37" s="91">
        <f t="shared" si="10"/>
        <v>106428</v>
      </c>
      <c r="K37" s="91">
        <f t="shared" si="10"/>
        <v>106428</v>
      </c>
      <c r="L37" s="91">
        <f t="shared" si="10"/>
        <v>54300</v>
      </c>
      <c r="M37" s="91">
        <f t="shared" si="10"/>
        <v>41268</v>
      </c>
      <c r="N37" s="91">
        <f t="shared" si="10"/>
        <v>104256</v>
      </c>
      <c r="O37" s="91">
        <f t="shared" si="10"/>
        <v>88328</v>
      </c>
      <c r="P37" s="91">
        <f t="shared" si="10"/>
        <v>97740</v>
      </c>
      <c r="Q37" s="91">
        <f t="shared" si="10"/>
        <v>97740</v>
      </c>
      <c r="R37" s="91">
        <f t="shared" si="10"/>
        <v>97016</v>
      </c>
      <c r="S37" s="91">
        <f t="shared" si="10"/>
        <v>54300</v>
      </c>
      <c r="T37" s="91">
        <f t="shared" si="10"/>
        <v>40544</v>
      </c>
      <c r="U37" s="91">
        <f t="shared" si="10"/>
        <v>97740</v>
      </c>
      <c r="V37" s="91">
        <f t="shared" si="10"/>
        <v>97740</v>
      </c>
      <c r="W37" s="91">
        <f t="shared" si="10"/>
        <v>97740</v>
      </c>
      <c r="X37" s="91">
        <f t="shared" si="10"/>
        <v>97740</v>
      </c>
      <c r="Y37" s="91">
        <f t="shared" si="10"/>
        <v>95568</v>
      </c>
      <c r="Z37" s="91">
        <f t="shared" si="10"/>
        <v>54300</v>
      </c>
      <c r="AA37" s="91">
        <f t="shared" si="10"/>
        <v>41268</v>
      </c>
      <c r="AB37" s="91">
        <f t="shared" si="10"/>
        <v>92672</v>
      </c>
      <c r="AC37" s="91">
        <f t="shared" si="10"/>
        <v>93396</v>
      </c>
      <c r="AD37" s="91">
        <f t="shared" si="10"/>
        <v>93396</v>
      </c>
      <c r="AE37" s="91">
        <f>+AE32*362</f>
        <v>93396</v>
      </c>
      <c r="AF37" s="91">
        <f>+AF32*362</f>
        <v>79640</v>
      </c>
      <c r="AG37" s="91">
        <f>+AG32*362</f>
        <v>54300</v>
      </c>
    </row>
    <row r="38" spans="1:33" ht="14.25" customHeight="1" x14ac:dyDescent="0.25">
      <c r="A38" s="92" t="s">
        <v>97</v>
      </c>
      <c r="B38" s="228">
        <f t="shared" si="0"/>
        <v>22213968.010000005</v>
      </c>
      <c r="C38" s="91">
        <f>C33*79.3</f>
        <v>396744.24400000001</v>
      </c>
      <c r="D38" s="91">
        <f t="shared" ref="D38:AD38" si="11">D33*79.3</f>
        <v>907130.14599999995</v>
      </c>
      <c r="E38" s="91">
        <f t="shared" si="11"/>
        <v>513031.35</v>
      </c>
      <c r="F38" s="91">
        <f t="shared" si="11"/>
        <v>389903.82600000006</v>
      </c>
      <c r="G38" s="91">
        <f t="shared" si="11"/>
        <v>907130.14600000007</v>
      </c>
      <c r="H38" s="91">
        <f t="shared" si="11"/>
        <v>900100.201</v>
      </c>
      <c r="I38" s="91">
        <f t="shared" si="11"/>
        <v>877379.95799999998</v>
      </c>
      <c r="J38" s="91">
        <f t="shared" si="11"/>
        <v>919280.49199999997</v>
      </c>
      <c r="K38" s="91">
        <f t="shared" si="11"/>
        <v>917874.50300000003</v>
      </c>
      <c r="L38" s="91">
        <f t="shared" si="11"/>
        <v>513031.35</v>
      </c>
      <c r="M38" s="91">
        <f t="shared" si="11"/>
        <v>389903.82600000006</v>
      </c>
      <c r="N38" s="91">
        <f t="shared" si="11"/>
        <v>905724.15700000012</v>
      </c>
      <c r="O38" s="91">
        <f t="shared" si="11"/>
        <v>778997.20600000001</v>
      </c>
      <c r="P38" s="91">
        <f t="shared" si="11"/>
        <v>837130.45</v>
      </c>
      <c r="Q38" s="91">
        <f t="shared" si="11"/>
        <v>839942.42799999996</v>
      </c>
      <c r="R38" s="91">
        <f t="shared" si="11"/>
        <v>834507.99899999984</v>
      </c>
      <c r="S38" s="91">
        <f t="shared" si="11"/>
        <v>513031.35</v>
      </c>
      <c r="T38" s="91">
        <f t="shared" si="11"/>
        <v>383063.408</v>
      </c>
      <c r="U38" s="91">
        <f t="shared" si="11"/>
        <v>838536.4389999999</v>
      </c>
      <c r="V38" s="91">
        <f t="shared" si="11"/>
        <v>841348.4169999999</v>
      </c>
      <c r="W38" s="91">
        <f t="shared" si="11"/>
        <v>838536.4389999999</v>
      </c>
      <c r="X38" s="91">
        <f t="shared" si="11"/>
        <v>831506.49399999995</v>
      </c>
      <c r="Y38" s="91">
        <f t="shared" si="11"/>
        <v>819944.554</v>
      </c>
      <c r="Z38" s="91">
        <f t="shared" si="11"/>
        <v>513031.35</v>
      </c>
      <c r="AA38" s="91">
        <f t="shared" si="11"/>
        <v>389903.82600000006</v>
      </c>
      <c r="AB38" s="91">
        <f t="shared" si="11"/>
        <v>794871.48</v>
      </c>
      <c r="AC38" s="91">
        <f>AC33*79.3</f>
        <v>798899.92</v>
      </c>
      <c r="AD38" s="91">
        <f t="shared" si="11"/>
        <v>801711.89800000004</v>
      </c>
      <c r="AE38" s="91">
        <f>AE33*79.3</f>
        <v>797493.93099999998</v>
      </c>
      <c r="AF38" s="91">
        <f>AF33*79.3</f>
        <v>711244.87199999986</v>
      </c>
      <c r="AG38" s="91">
        <f>AG33*79.3</f>
        <v>513031.35</v>
      </c>
    </row>
    <row r="39" spans="1:33" x14ac:dyDescent="0.25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1"/>
      <c r="O39" s="8"/>
    </row>
    <row r="40" spans="1:33" x14ac:dyDescent="0.25"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  <c r="AE40" s="124"/>
      <c r="AF40" s="124"/>
    </row>
    <row r="42" spans="1:33" x14ac:dyDescent="0.25">
      <c r="C42" s="172"/>
      <c r="D42" s="303"/>
      <c r="E42" s="34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  <c r="AE42" s="172"/>
      <c r="AF42" s="172"/>
    </row>
    <row r="43" spans="1:33" x14ac:dyDescent="0.25">
      <c r="E43" s="124"/>
      <c r="F43" s="133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3"/>
      <c r="Y43" s="43"/>
      <c r="AB43" s="8"/>
    </row>
    <row r="44" spans="1:33" x14ac:dyDescent="0.25">
      <c r="E44" s="43"/>
      <c r="F44" s="43"/>
      <c r="G44" s="43"/>
      <c r="H44" s="124"/>
      <c r="I44" s="43"/>
      <c r="J44" s="43"/>
      <c r="K44" s="124"/>
      <c r="L44" s="43"/>
      <c r="M44" s="43"/>
      <c r="N44" s="43"/>
      <c r="O44" s="124"/>
      <c r="P44" s="43"/>
      <c r="Q44" s="43"/>
      <c r="R44" s="43"/>
      <c r="S44" s="124"/>
      <c r="T44" s="43"/>
      <c r="U44" s="43"/>
      <c r="V44" s="43"/>
      <c r="W44" s="124"/>
      <c r="X44" s="43"/>
      <c r="Y44" s="43"/>
      <c r="Z44" s="43"/>
      <c r="AA44" s="124"/>
      <c r="AB44" s="43"/>
      <c r="AD44" s="43"/>
      <c r="AE44" s="43"/>
      <c r="AF44" s="124"/>
    </row>
    <row r="45" spans="1:33" x14ac:dyDescent="0.25">
      <c r="P45" s="84"/>
      <c r="R45" s="172"/>
      <c r="AB45" s="8"/>
    </row>
    <row r="46" spans="1:33" x14ac:dyDescent="0.25">
      <c r="P46" s="84"/>
      <c r="R46" s="172"/>
      <c r="AB46" s="8"/>
    </row>
    <row r="47" spans="1:33" x14ac:dyDescent="0.25"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72"/>
      <c r="S47" s="124"/>
      <c r="T47" s="124"/>
      <c r="U47" s="124"/>
      <c r="V47" s="124"/>
      <c r="W47" s="124"/>
      <c r="X47" s="124"/>
      <c r="Y47" s="124"/>
      <c r="Z47" s="124"/>
      <c r="AA47" s="124"/>
      <c r="AB47" s="8"/>
      <c r="AD47" s="124"/>
      <c r="AE47" s="124"/>
      <c r="AF47" s="124"/>
    </row>
    <row r="48" spans="1:33" x14ac:dyDescent="0.25">
      <c r="P48" s="84"/>
      <c r="R48" s="172"/>
      <c r="AB48" s="8"/>
    </row>
    <row r="49" spans="5:32" x14ac:dyDescent="0.25">
      <c r="P49" s="84"/>
      <c r="R49" s="172"/>
      <c r="AB49" s="8"/>
    </row>
    <row r="50" spans="5:32" x14ac:dyDescent="0.25"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72"/>
      <c r="S50" s="124"/>
      <c r="T50" s="124"/>
      <c r="U50" s="124"/>
      <c r="V50" s="124"/>
      <c r="W50" s="124"/>
      <c r="X50" s="124"/>
      <c r="Y50" s="124"/>
      <c r="Z50" s="124"/>
      <c r="AA50" s="124"/>
      <c r="AB50" s="8"/>
      <c r="AD50" s="124"/>
      <c r="AE50" s="124"/>
      <c r="AF50" s="124"/>
    </row>
    <row r="51" spans="5:32" x14ac:dyDescent="0.25">
      <c r="Q51" s="84"/>
      <c r="R51" s="172"/>
      <c r="AB51" s="8"/>
    </row>
    <row r="52" spans="5:32" x14ac:dyDescent="0.25">
      <c r="Q52" s="84"/>
      <c r="R52" s="172"/>
    </row>
    <row r="53" spans="5:32" x14ac:dyDescent="0.25">
      <c r="Q53" s="84"/>
      <c r="R53" s="172"/>
    </row>
    <row r="54" spans="5:32" x14ac:dyDescent="0.25">
      <c r="Q54" s="84"/>
      <c r="R54" s="172"/>
    </row>
    <row r="55" spans="5:32" x14ac:dyDescent="0.25">
      <c r="Q55" s="8"/>
      <c r="R55" s="172"/>
    </row>
    <row r="56" spans="5:32" x14ac:dyDescent="0.25">
      <c r="Q56" s="8"/>
      <c r="R56" s="172"/>
    </row>
    <row r="57" spans="5:32" x14ac:dyDescent="0.25">
      <c r="R57" s="172"/>
    </row>
    <row r="58" spans="5:32" x14ac:dyDescent="0.25">
      <c r="R58" s="172"/>
    </row>
    <row r="59" spans="5:32" x14ac:dyDescent="0.25">
      <c r="R59" s="172"/>
    </row>
    <row r="60" spans="5:32" x14ac:dyDescent="0.25">
      <c r="R60" s="172"/>
    </row>
    <row r="61" spans="5:32" x14ac:dyDescent="0.25">
      <c r="R61" s="172"/>
    </row>
    <row r="62" spans="5:32" x14ac:dyDescent="0.25">
      <c r="R62" s="172"/>
    </row>
    <row r="63" spans="5:32" x14ac:dyDescent="0.25">
      <c r="R63" s="172"/>
    </row>
    <row r="64" spans="5:32" x14ac:dyDescent="0.25">
      <c r="R64" s="172"/>
    </row>
    <row r="65" spans="18:18" x14ac:dyDescent="0.25">
      <c r="R65" s="172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</sheetData>
  <pageMargins left="0.7" right="0.7" top="0.75" bottom="0.75" header="0.3" footer="0.3"/>
  <pageSetup orientation="portrait" r:id="rId1"/>
  <ignoredErrors>
    <ignoredError sqref="Q31:Q32 Q34 X31:X34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CC64"/>
  <sheetViews>
    <sheetView zoomScale="115" zoomScaleNormal="11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J3" sqref="BJ3:BK22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77">
        <v>46023</v>
      </c>
      <c r="E1" s="377"/>
      <c r="F1" s="377">
        <v>46024</v>
      </c>
      <c r="G1" s="377"/>
      <c r="H1" s="377">
        <v>46025</v>
      </c>
      <c r="I1" s="377"/>
      <c r="J1" s="377">
        <v>46026</v>
      </c>
      <c r="K1" s="377"/>
      <c r="L1" s="377">
        <v>46027</v>
      </c>
      <c r="M1" s="377"/>
      <c r="N1" s="377">
        <v>46028</v>
      </c>
      <c r="O1" s="377"/>
      <c r="P1" s="377">
        <v>46029</v>
      </c>
      <c r="Q1" s="377"/>
      <c r="R1" s="377">
        <v>46030</v>
      </c>
      <c r="S1" s="377"/>
      <c r="T1" s="377">
        <v>46031</v>
      </c>
      <c r="U1" s="377"/>
      <c r="V1" s="377">
        <v>46032</v>
      </c>
      <c r="W1" s="377"/>
      <c r="X1" s="377">
        <v>46033</v>
      </c>
      <c r="Y1" s="377"/>
      <c r="Z1" s="377">
        <v>46034</v>
      </c>
      <c r="AA1" s="377"/>
      <c r="AB1" s="377">
        <v>46035</v>
      </c>
      <c r="AC1" s="377"/>
      <c r="AD1" s="377">
        <v>46036</v>
      </c>
      <c r="AE1" s="377"/>
      <c r="AF1" s="377">
        <v>46037</v>
      </c>
      <c r="AG1" s="377"/>
      <c r="AH1" s="377">
        <v>46038</v>
      </c>
      <c r="AI1" s="377"/>
      <c r="AJ1" s="377">
        <v>46039</v>
      </c>
      <c r="AK1" s="377"/>
      <c r="AL1" s="377">
        <v>46040</v>
      </c>
      <c r="AM1" s="377"/>
      <c r="AN1" s="377">
        <v>46041</v>
      </c>
      <c r="AO1" s="377"/>
      <c r="AP1" s="377">
        <v>46042</v>
      </c>
      <c r="AQ1" s="377"/>
      <c r="AR1" s="377">
        <v>46043</v>
      </c>
      <c r="AS1" s="377"/>
      <c r="AT1" s="377">
        <v>46044</v>
      </c>
      <c r="AU1" s="377"/>
      <c r="AV1" s="377">
        <v>46045</v>
      </c>
      <c r="AW1" s="377"/>
      <c r="AX1" s="377">
        <v>46046</v>
      </c>
      <c r="AY1" s="377"/>
      <c r="AZ1" s="377">
        <v>46047</v>
      </c>
      <c r="BA1" s="377"/>
      <c r="BB1" s="377">
        <v>46048</v>
      </c>
      <c r="BC1" s="377"/>
      <c r="BD1" s="377">
        <v>46049</v>
      </c>
      <c r="BE1" s="377"/>
      <c r="BF1" s="377">
        <v>46050</v>
      </c>
      <c r="BG1" s="377"/>
      <c r="BH1" s="377">
        <v>46051</v>
      </c>
      <c r="BI1" s="377"/>
      <c r="BJ1" s="377">
        <v>46052</v>
      </c>
      <c r="BK1" s="377"/>
      <c r="BL1" s="377">
        <v>46053</v>
      </c>
      <c r="BM1" s="377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46" t="s">
        <v>71</v>
      </c>
      <c r="BK2" s="47" t="s">
        <v>72</v>
      </c>
      <c r="BL2" s="46" t="s">
        <v>71</v>
      </c>
      <c r="BM2" s="47" t="s">
        <v>72</v>
      </c>
    </row>
    <row r="3" spans="1:65" ht="15.75" thickBot="1" x14ac:dyDescent="0.3">
      <c r="A3" s="65" t="s">
        <v>73</v>
      </c>
      <c r="B3" s="66"/>
      <c r="C3" s="8"/>
      <c r="D3" s="136">
        <v>0</v>
      </c>
      <c r="E3" s="325">
        <v>0</v>
      </c>
      <c r="F3" s="156">
        <v>10</v>
      </c>
      <c r="G3" s="156">
        <v>0</v>
      </c>
      <c r="H3" s="135">
        <v>0</v>
      </c>
      <c r="I3" s="135">
        <v>0</v>
      </c>
      <c r="J3" s="136">
        <v>0</v>
      </c>
      <c r="K3" s="325">
        <v>0</v>
      </c>
      <c r="L3" s="156">
        <v>10</v>
      </c>
      <c r="M3" s="156">
        <v>0</v>
      </c>
      <c r="N3" s="156">
        <v>10</v>
      </c>
      <c r="O3" s="156">
        <v>0</v>
      </c>
      <c r="P3" s="156">
        <v>10</v>
      </c>
      <c r="Q3" s="156">
        <v>0</v>
      </c>
      <c r="R3" s="156">
        <v>7</v>
      </c>
      <c r="S3" s="156">
        <v>3</v>
      </c>
      <c r="T3" s="156">
        <v>7</v>
      </c>
      <c r="U3" s="156">
        <v>3</v>
      </c>
      <c r="V3" s="135">
        <v>0</v>
      </c>
      <c r="W3" s="135">
        <v>0</v>
      </c>
      <c r="X3" s="136">
        <v>0</v>
      </c>
      <c r="Y3" s="136">
        <v>0</v>
      </c>
      <c r="Z3" s="156">
        <v>10</v>
      </c>
      <c r="AA3" s="156">
        <v>0</v>
      </c>
      <c r="AB3" s="156">
        <v>10</v>
      </c>
      <c r="AC3" s="156">
        <v>0</v>
      </c>
      <c r="AD3" s="156">
        <v>10</v>
      </c>
      <c r="AE3" s="310">
        <v>0</v>
      </c>
      <c r="AF3" s="156">
        <v>10</v>
      </c>
      <c r="AG3" s="156">
        <v>0</v>
      </c>
      <c r="AH3" s="156">
        <v>10</v>
      </c>
      <c r="AI3" s="156">
        <v>0</v>
      </c>
      <c r="AJ3" s="135">
        <v>0</v>
      </c>
      <c r="AK3" s="135">
        <v>0</v>
      </c>
      <c r="AL3" s="136">
        <v>0</v>
      </c>
      <c r="AM3" s="325">
        <v>0</v>
      </c>
      <c r="AN3" s="156">
        <v>10</v>
      </c>
      <c r="AO3" s="310">
        <v>0</v>
      </c>
      <c r="AP3" s="156">
        <v>10</v>
      </c>
      <c r="AQ3" s="156">
        <v>0</v>
      </c>
      <c r="AR3" s="156">
        <v>10</v>
      </c>
      <c r="AS3" s="310">
        <v>0</v>
      </c>
      <c r="AT3" s="156">
        <v>10</v>
      </c>
      <c r="AU3" s="310">
        <v>0</v>
      </c>
      <c r="AV3" s="156">
        <v>10</v>
      </c>
      <c r="AW3" s="310">
        <v>0</v>
      </c>
      <c r="AX3" s="135">
        <v>0</v>
      </c>
      <c r="AY3" s="135">
        <v>0</v>
      </c>
      <c r="AZ3" s="136">
        <v>0</v>
      </c>
      <c r="BA3" s="325">
        <v>0</v>
      </c>
      <c r="BB3" s="156">
        <v>10</v>
      </c>
      <c r="BC3" s="156">
        <v>0</v>
      </c>
      <c r="BD3" s="156">
        <v>10</v>
      </c>
      <c r="BE3" s="156">
        <v>0</v>
      </c>
      <c r="BF3" s="156">
        <v>10</v>
      </c>
      <c r="BG3" s="310">
        <v>0</v>
      </c>
      <c r="BH3" s="156">
        <v>10</v>
      </c>
      <c r="BI3" s="156">
        <v>0</v>
      </c>
      <c r="BJ3" s="156">
        <v>10</v>
      </c>
      <c r="BK3" s="156">
        <v>0</v>
      </c>
      <c r="BL3" s="135">
        <v>0</v>
      </c>
      <c r="BM3" s="135">
        <v>0</v>
      </c>
    </row>
    <row r="4" spans="1:65" s="124" customFormat="1" x14ac:dyDescent="0.25">
      <c r="A4" s="65" t="s">
        <v>123</v>
      </c>
      <c r="B4" s="155"/>
      <c r="C4" s="8"/>
      <c r="D4" s="136">
        <v>0</v>
      </c>
      <c r="E4" s="325">
        <v>0</v>
      </c>
      <c r="F4" s="156">
        <v>0</v>
      </c>
      <c r="G4" s="156">
        <v>0</v>
      </c>
      <c r="H4" s="135">
        <v>0</v>
      </c>
      <c r="I4" s="135">
        <v>0</v>
      </c>
      <c r="J4" s="136">
        <v>0</v>
      </c>
      <c r="K4" s="325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35">
        <v>0</v>
      </c>
      <c r="W4" s="135">
        <v>0</v>
      </c>
      <c r="X4" s="136">
        <v>0</v>
      </c>
      <c r="Y4" s="13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310">
        <v>0</v>
      </c>
      <c r="AF4" s="156">
        <v>0</v>
      </c>
      <c r="AG4" s="156">
        <v>0</v>
      </c>
      <c r="AH4" s="156">
        <v>0</v>
      </c>
      <c r="AI4" s="156">
        <v>0</v>
      </c>
      <c r="AJ4" s="135">
        <v>0</v>
      </c>
      <c r="AK4" s="135">
        <v>0</v>
      </c>
      <c r="AL4" s="136">
        <v>0</v>
      </c>
      <c r="AM4" s="325">
        <v>0</v>
      </c>
      <c r="AN4" s="156">
        <v>0</v>
      </c>
      <c r="AO4" s="310">
        <v>0</v>
      </c>
      <c r="AP4" s="156">
        <v>0</v>
      </c>
      <c r="AQ4" s="156">
        <v>0</v>
      </c>
      <c r="AR4" s="156">
        <v>0</v>
      </c>
      <c r="AS4" s="310">
        <v>0</v>
      </c>
      <c r="AT4" s="156">
        <v>0</v>
      </c>
      <c r="AU4" s="310">
        <v>0</v>
      </c>
      <c r="AV4" s="156">
        <v>0</v>
      </c>
      <c r="AW4" s="310">
        <v>0</v>
      </c>
      <c r="AX4" s="135">
        <v>0</v>
      </c>
      <c r="AY4" s="135">
        <v>0</v>
      </c>
      <c r="AZ4" s="136">
        <v>0</v>
      </c>
      <c r="BA4" s="325">
        <v>0</v>
      </c>
      <c r="BB4" s="156">
        <v>0</v>
      </c>
      <c r="BC4" s="156">
        <v>0</v>
      </c>
      <c r="BD4" s="156">
        <v>0</v>
      </c>
      <c r="BE4" s="156">
        <v>0</v>
      </c>
      <c r="BF4" s="156">
        <v>0</v>
      </c>
      <c r="BG4" s="310">
        <v>0</v>
      </c>
      <c r="BH4" s="156">
        <v>0</v>
      </c>
      <c r="BI4" s="156">
        <v>0</v>
      </c>
      <c r="BJ4" s="156">
        <v>0</v>
      </c>
      <c r="BK4" s="156">
        <v>0</v>
      </c>
      <c r="BL4" s="135">
        <v>0</v>
      </c>
      <c r="BM4" s="135">
        <v>0</v>
      </c>
    </row>
    <row r="5" spans="1:65" x14ac:dyDescent="0.25">
      <c r="A5" s="67" t="s">
        <v>74</v>
      </c>
      <c r="B5" s="68"/>
      <c r="C5" s="8"/>
      <c r="D5" s="136">
        <v>0</v>
      </c>
      <c r="E5" s="325">
        <v>0</v>
      </c>
      <c r="F5" s="156">
        <v>1</v>
      </c>
      <c r="G5" s="156">
        <v>9</v>
      </c>
      <c r="H5" s="135">
        <v>0</v>
      </c>
      <c r="I5" s="135">
        <v>0</v>
      </c>
      <c r="J5" s="136">
        <v>0</v>
      </c>
      <c r="K5" s="325">
        <v>0</v>
      </c>
      <c r="L5" s="156">
        <v>1</v>
      </c>
      <c r="M5" s="156">
        <v>9</v>
      </c>
      <c r="N5" s="156">
        <v>1</v>
      </c>
      <c r="O5" s="156">
        <v>9</v>
      </c>
      <c r="P5" s="156">
        <v>1</v>
      </c>
      <c r="Q5" s="156">
        <v>9</v>
      </c>
      <c r="R5" s="156">
        <v>1</v>
      </c>
      <c r="S5" s="156">
        <v>9</v>
      </c>
      <c r="T5" s="156">
        <v>1</v>
      </c>
      <c r="U5" s="156">
        <v>9</v>
      </c>
      <c r="V5" s="135">
        <v>0</v>
      </c>
      <c r="W5" s="135">
        <v>0</v>
      </c>
      <c r="X5" s="136">
        <v>0</v>
      </c>
      <c r="Y5" s="136">
        <v>0</v>
      </c>
      <c r="Z5" s="156">
        <v>1</v>
      </c>
      <c r="AA5" s="156">
        <v>9</v>
      </c>
      <c r="AB5" s="156">
        <v>1</v>
      </c>
      <c r="AC5" s="156">
        <v>9</v>
      </c>
      <c r="AD5" s="156">
        <v>1</v>
      </c>
      <c r="AE5" s="310">
        <v>9</v>
      </c>
      <c r="AF5" s="156">
        <v>1</v>
      </c>
      <c r="AG5" s="156">
        <v>9</v>
      </c>
      <c r="AH5" s="156">
        <v>2</v>
      </c>
      <c r="AI5" s="156">
        <v>8</v>
      </c>
      <c r="AJ5" s="135">
        <v>0</v>
      </c>
      <c r="AK5" s="135">
        <v>0</v>
      </c>
      <c r="AL5" s="136">
        <v>0</v>
      </c>
      <c r="AM5" s="325">
        <v>0</v>
      </c>
      <c r="AN5" s="156">
        <v>1</v>
      </c>
      <c r="AO5" s="310">
        <v>9</v>
      </c>
      <c r="AP5" s="156">
        <v>1</v>
      </c>
      <c r="AQ5" s="156">
        <v>9</v>
      </c>
      <c r="AR5" s="156">
        <v>1</v>
      </c>
      <c r="AS5" s="310">
        <v>9</v>
      </c>
      <c r="AT5" s="156">
        <v>1</v>
      </c>
      <c r="AU5" s="310">
        <v>9</v>
      </c>
      <c r="AV5" s="156">
        <v>1</v>
      </c>
      <c r="AW5" s="310">
        <v>9</v>
      </c>
      <c r="AX5" s="135">
        <v>0</v>
      </c>
      <c r="AY5" s="135">
        <v>0</v>
      </c>
      <c r="AZ5" s="136">
        <v>0</v>
      </c>
      <c r="BA5" s="325">
        <v>0</v>
      </c>
      <c r="BB5" s="156">
        <v>4</v>
      </c>
      <c r="BC5" s="156">
        <v>6</v>
      </c>
      <c r="BD5" s="156">
        <v>4</v>
      </c>
      <c r="BE5" s="156">
        <v>6</v>
      </c>
      <c r="BF5" s="156">
        <v>4</v>
      </c>
      <c r="BG5" s="310">
        <v>6</v>
      </c>
      <c r="BH5" s="156">
        <v>4</v>
      </c>
      <c r="BI5" s="156">
        <v>6</v>
      </c>
      <c r="BJ5" s="156">
        <v>4</v>
      </c>
      <c r="BK5" s="156">
        <v>6</v>
      </c>
      <c r="BL5" s="135">
        <v>0</v>
      </c>
      <c r="BM5" s="135">
        <v>0</v>
      </c>
    </row>
    <row r="6" spans="1:65" x14ac:dyDescent="0.25">
      <c r="A6" s="67" t="s">
        <v>75</v>
      </c>
      <c r="B6" s="68"/>
      <c r="C6" s="8"/>
      <c r="D6" s="136">
        <v>0</v>
      </c>
      <c r="E6" s="325">
        <v>0</v>
      </c>
      <c r="F6" s="156">
        <v>10</v>
      </c>
      <c r="G6" s="156">
        <v>0</v>
      </c>
      <c r="H6" s="135">
        <v>0</v>
      </c>
      <c r="I6" s="135">
        <v>0</v>
      </c>
      <c r="J6" s="136">
        <v>0</v>
      </c>
      <c r="K6" s="325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35">
        <v>0</v>
      </c>
      <c r="W6" s="135">
        <v>0</v>
      </c>
      <c r="X6" s="136">
        <v>0</v>
      </c>
      <c r="Y6" s="13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10</v>
      </c>
      <c r="AE6" s="310">
        <v>0</v>
      </c>
      <c r="AF6" s="156">
        <v>10</v>
      </c>
      <c r="AG6" s="156">
        <v>0</v>
      </c>
      <c r="AH6" s="156">
        <v>10</v>
      </c>
      <c r="AI6" s="156">
        <v>0</v>
      </c>
      <c r="AJ6" s="135">
        <v>0</v>
      </c>
      <c r="AK6" s="135">
        <v>0</v>
      </c>
      <c r="AL6" s="136">
        <v>0</v>
      </c>
      <c r="AM6" s="325">
        <v>0</v>
      </c>
      <c r="AN6" s="156">
        <v>10</v>
      </c>
      <c r="AO6" s="310">
        <v>0</v>
      </c>
      <c r="AP6" s="156">
        <v>10</v>
      </c>
      <c r="AQ6" s="156">
        <v>0</v>
      </c>
      <c r="AR6" s="156">
        <v>10</v>
      </c>
      <c r="AS6" s="310">
        <v>0</v>
      </c>
      <c r="AT6" s="156">
        <v>10</v>
      </c>
      <c r="AU6" s="310">
        <v>0</v>
      </c>
      <c r="AV6" s="156">
        <v>7</v>
      </c>
      <c r="AW6" s="310">
        <v>0</v>
      </c>
      <c r="AX6" s="135">
        <v>0</v>
      </c>
      <c r="AY6" s="135">
        <v>0</v>
      </c>
      <c r="AZ6" s="136">
        <v>0</v>
      </c>
      <c r="BA6" s="325">
        <v>0</v>
      </c>
      <c r="BB6" s="156">
        <v>10</v>
      </c>
      <c r="BC6" s="156">
        <v>0</v>
      </c>
      <c r="BD6" s="156">
        <v>10</v>
      </c>
      <c r="BE6" s="156">
        <v>0</v>
      </c>
      <c r="BF6" s="156">
        <v>10</v>
      </c>
      <c r="BG6" s="310">
        <v>0</v>
      </c>
      <c r="BH6" s="156">
        <v>10</v>
      </c>
      <c r="BI6" s="156">
        <v>0</v>
      </c>
      <c r="BJ6" s="156">
        <v>10</v>
      </c>
      <c r="BK6" s="156">
        <v>0</v>
      </c>
      <c r="BL6" s="135">
        <v>0</v>
      </c>
      <c r="BM6" s="135">
        <v>0</v>
      </c>
    </row>
    <row r="7" spans="1:65" x14ac:dyDescent="0.25">
      <c r="A7" s="67" t="s">
        <v>76</v>
      </c>
      <c r="B7" s="68"/>
      <c r="C7" s="8"/>
      <c r="D7" s="136">
        <v>0</v>
      </c>
      <c r="E7" s="325">
        <v>0</v>
      </c>
      <c r="F7" s="156">
        <v>0</v>
      </c>
      <c r="G7" s="156">
        <v>0</v>
      </c>
      <c r="H7" s="135">
        <v>0</v>
      </c>
      <c r="I7" s="135">
        <v>0</v>
      </c>
      <c r="J7" s="136">
        <v>0</v>
      </c>
      <c r="K7" s="325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  <c r="U7" s="156">
        <v>0</v>
      </c>
      <c r="V7" s="135">
        <v>0</v>
      </c>
      <c r="W7" s="135">
        <v>0</v>
      </c>
      <c r="X7" s="136">
        <v>0</v>
      </c>
      <c r="Y7" s="136">
        <v>0</v>
      </c>
      <c r="Z7" s="156">
        <v>0</v>
      </c>
      <c r="AA7" s="156">
        <v>0</v>
      </c>
      <c r="AB7" s="156">
        <v>0</v>
      </c>
      <c r="AC7" s="156">
        <v>0</v>
      </c>
      <c r="AD7" s="156">
        <v>0</v>
      </c>
      <c r="AE7" s="310">
        <v>0</v>
      </c>
      <c r="AF7" s="156">
        <v>0</v>
      </c>
      <c r="AG7" s="156">
        <v>0</v>
      </c>
      <c r="AH7" s="156">
        <v>0</v>
      </c>
      <c r="AI7" s="156">
        <v>0</v>
      </c>
      <c r="AJ7" s="135">
        <v>0</v>
      </c>
      <c r="AK7" s="135">
        <v>0</v>
      </c>
      <c r="AL7" s="136">
        <v>0</v>
      </c>
      <c r="AM7" s="325">
        <v>0</v>
      </c>
      <c r="AN7" s="156">
        <v>0</v>
      </c>
      <c r="AO7" s="310">
        <v>0</v>
      </c>
      <c r="AP7" s="156">
        <v>0</v>
      </c>
      <c r="AQ7" s="156">
        <v>0</v>
      </c>
      <c r="AR7" s="156">
        <v>0</v>
      </c>
      <c r="AS7" s="310">
        <v>0</v>
      </c>
      <c r="AT7" s="156">
        <v>0</v>
      </c>
      <c r="AU7" s="310">
        <v>0</v>
      </c>
      <c r="AV7" s="156">
        <v>3</v>
      </c>
      <c r="AW7" s="310">
        <v>2</v>
      </c>
      <c r="AX7" s="135">
        <v>0</v>
      </c>
      <c r="AY7" s="135">
        <v>0</v>
      </c>
      <c r="AZ7" s="136">
        <v>0</v>
      </c>
      <c r="BA7" s="325">
        <v>0</v>
      </c>
      <c r="BB7" s="156">
        <v>0</v>
      </c>
      <c r="BC7" s="156">
        <v>0</v>
      </c>
      <c r="BD7" s="156">
        <v>0</v>
      </c>
      <c r="BE7" s="156">
        <v>0</v>
      </c>
      <c r="BF7" s="156">
        <v>0</v>
      </c>
      <c r="BG7" s="310">
        <v>0</v>
      </c>
      <c r="BH7" s="156">
        <v>0</v>
      </c>
      <c r="BI7" s="156">
        <v>0</v>
      </c>
      <c r="BJ7" s="156">
        <v>0</v>
      </c>
      <c r="BK7" s="156">
        <v>0</v>
      </c>
      <c r="BL7" s="135">
        <v>0</v>
      </c>
      <c r="BM7" s="135">
        <v>0</v>
      </c>
    </row>
    <row r="8" spans="1:65" ht="15.75" thickBot="1" x14ac:dyDescent="0.3">
      <c r="A8" s="67" t="s">
        <v>77</v>
      </c>
      <c r="B8" s="69"/>
      <c r="C8" s="8"/>
      <c r="D8" s="136">
        <v>0</v>
      </c>
      <c r="E8" s="325">
        <v>0</v>
      </c>
      <c r="F8" s="156">
        <v>4</v>
      </c>
      <c r="G8" s="156">
        <v>6</v>
      </c>
      <c r="H8" s="135">
        <v>0</v>
      </c>
      <c r="I8" s="135">
        <v>0</v>
      </c>
      <c r="J8" s="136">
        <v>0</v>
      </c>
      <c r="K8" s="325">
        <v>0</v>
      </c>
      <c r="L8" s="156">
        <v>4</v>
      </c>
      <c r="M8" s="156">
        <v>6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4</v>
      </c>
      <c r="U8" s="156">
        <v>6</v>
      </c>
      <c r="V8" s="135">
        <v>0</v>
      </c>
      <c r="W8" s="135">
        <v>0</v>
      </c>
      <c r="X8" s="136">
        <v>0</v>
      </c>
      <c r="Y8" s="136">
        <v>0</v>
      </c>
      <c r="Z8" s="156">
        <v>4</v>
      </c>
      <c r="AA8" s="156">
        <v>6</v>
      </c>
      <c r="AB8" s="156">
        <v>6</v>
      </c>
      <c r="AC8" s="156">
        <v>4</v>
      </c>
      <c r="AD8" s="156">
        <v>6</v>
      </c>
      <c r="AE8" s="310">
        <v>4</v>
      </c>
      <c r="AF8" s="156">
        <v>6</v>
      </c>
      <c r="AG8" s="156">
        <v>4</v>
      </c>
      <c r="AH8" s="156">
        <v>7</v>
      </c>
      <c r="AI8" s="156">
        <v>3</v>
      </c>
      <c r="AJ8" s="135">
        <v>0</v>
      </c>
      <c r="AK8" s="135">
        <v>0</v>
      </c>
      <c r="AL8" s="136">
        <v>0</v>
      </c>
      <c r="AM8" s="325">
        <v>0</v>
      </c>
      <c r="AN8" s="156">
        <v>6</v>
      </c>
      <c r="AO8" s="310">
        <v>4</v>
      </c>
      <c r="AP8" s="156">
        <v>6</v>
      </c>
      <c r="AQ8" s="156">
        <v>4</v>
      </c>
      <c r="AR8" s="156">
        <v>6</v>
      </c>
      <c r="AS8" s="310">
        <v>4</v>
      </c>
      <c r="AT8" s="156">
        <v>6</v>
      </c>
      <c r="AU8" s="310">
        <v>4</v>
      </c>
      <c r="AV8" s="156">
        <v>6</v>
      </c>
      <c r="AW8" s="310">
        <v>2</v>
      </c>
      <c r="AX8" s="135">
        <v>0</v>
      </c>
      <c r="AY8" s="135">
        <v>0</v>
      </c>
      <c r="AZ8" s="136">
        <v>0</v>
      </c>
      <c r="BA8" s="325">
        <v>0</v>
      </c>
      <c r="BB8" s="156">
        <v>7</v>
      </c>
      <c r="BC8" s="156">
        <v>3</v>
      </c>
      <c r="BD8" s="156">
        <v>7</v>
      </c>
      <c r="BE8" s="156">
        <v>3</v>
      </c>
      <c r="BF8" s="156">
        <v>7</v>
      </c>
      <c r="BG8" s="310">
        <v>3</v>
      </c>
      <c r="BH8" s="156">
        <v>7</v>
      </c>
      <c r="BI8" s="156">
        <v>3</v>
      </c>
      <c r="BJ8" s="156">
        <v>7</v>
      </c>
      <c r="BK8" s="156">
        <v>3</v>
      </c>
      <c r="BL8" s="135">
        <v>0</v>
      </c>
      <c r="BM8" s="135">
        <v>0</v>
      </c>
    </row>
    <row r="9" spans="1:65" x14ac:dyDescent="0.25">
      <c r="A9" s="53"/>
      <c r="B9" s="53"/>
      <c r="C9" s="8"/>
      <c r="D9" s="312"/>
      <c r="E9" s="312"/>
      <c r="F9" s="312"/>
      <c r="G9" s="312"/>
      <c r="H9" s="312"/>
      <c r="I9" s="312"/>
      <c r="J9" s="312"/>
      <c r="K9" s="312"/>
      <c r="L9" s="312"/>
      <c r="M9" s="312"/>
      <c r="N9" s="312"/>
      <c r="O9" s="312"/>
      <c r="P9" s="312"/>
      <c r="Q9" s="312"/>
      <c r="R9" s="312" t="s">
        <v>144</v>
      </c>
      <c r="S9" s="312" t="s">
        <v>144</v>
      </c>
      <c r="T9" s="312" t="s">
        <v>144</v>
      </c>
      <c r="U9" s="312" t="s">
        <v>144</v>
      </c>
      <c r="V9" s="312" t="s">
        <v>144</v>
      </c>
      <c r="W9" s="312" t="s">
        <v>144</v>
      </c>
      <c r="X9" s="312" t="s">
        <v>144</v>
      </c>
      <c r="Y9" s="312" t="s">
        <v>144</v>
      </c>
      <c r="Z9" s="312"/>
      <c r="AA9" s="312"/>
      <c r="AB9" s="312"/>
      <c r="AC9" s="312"/>
      <c r="AD9" s="312"/>
      <c r="AE9" s="312"/>
      <c r="AF9" s="312"/>
      <c r="AG9" s="312"/>
      <c r="AH9" s="312" t="s">
        <v>144</v>
      </c>
      <c r="AI9" s="312" t="s">
        <v>144</v>
      </c>
      <c r="AJ9" s="312"/>
      <c r="AK9" s="312"/>
      <c r="AL9" s="312"/>
      <c r="AM9" s="312"/>
      <c r="AN9" s="312"/>
      <c r="AO9" s="312"/>
      <c r="AP9" s="312" t="s">
        <v>144</v>
      </c>
      <c r="AQ9" s="312" t="s">
        <v>144</v>
      </c>
      <c r="AR9" s="312" t="s">
        <v>144</v>
      </c>
      <c r="AS9" s="312" t="s">
        <v>144</v>
      </c>
      <c r="AT9" s="312" t="s">
        <v>144</v>
      </c>
      <c r="AU9" s="312" t="s">
        <v>144</v>
      </c>
      <c r="AV9" s="312" t="s">
        <v>144</v>
      </c>
      <c r="AW9" s="312" t="s">
        <v>144</v>
      </c>
      <c r="AX9" s="312"/>
      <c r="AY9" s="312"/>
      <c r="AZ9" s="312"/>
      <c r="BA9" s="312"/>
      <c r="BB9" s="312"/>
      <c r="BC9" s="312"/>
      <c r="BD9" s="312"/>
      <c r="BE9" s="312"/>
      <c r="BF9" s="312"/>
      <c r="BG9" s="312"/>
      <c r="BH9" s="312" t="s">
        <v>144</v>
      </c>
      <c r="BI9" s="312" t="s">
        <v>144</v>
      </c>
      <c r="BJ9" s="312"/>
      <c r="BK9" s="312"/>
      <c r="BL9" s="312"/>
      <c r="BM9" s="312"/>
    </row>
    <row r="10" spans="1:65" x14ac:dyDescent="0.25">
      <c r="A10" s="70" t="s">
        <v>73</v>
      </c>
      <c r="B10" s="71"/>
      <c r="C10" s="8"/>
      <c r="D10" s="136">
        <v>0</v>
      </c>
      <c r="E10" s="325">
        <v>0</v>
      </c>
      <c r="F10" s="156">
        <v>16</v>
      </c>
      <c r="G10" s="156">
        <v>0</v>
      </c>
      <c r="H10" s="135">
        <v>0</v>
      </c>
      <c r="I10" s="135">
        <v>0</v>
      </c>
      <c r="J10" s="136">
        <v>0</v>
      </c>
      <c r="K10" s="325">
        <v>0</v>
      </c>
      <c r="L10" s="156">
        <v>16</v>
      </c>
      <c r="M10" s="156">
        <v>0</v>
      </c>
      <c r="N10" s="156">
        <v>16</v>
      </c>
      <c r="O10" s="156">
        <v>0</v>
      </c>
      <c r="P10" s="156">
        <v>16</v>
      </c>
      <c r="Q10" s="156">
        <v>0</v>
      </c>
      <c r="R10" s="156">
        <v>16</v>
      </c>
      <c r="S10" s="156">
        <v>0</v>
      </c>
      <c r="T10" s="156">
        <v>16</v>
      </c>
      <c r="U10" s="156">
        <v>0</v>
      </c>
      <c r="V10" s="135">
        <v>0</v>
      </c>
      <c r="W10" s="135">
        <v>0</v>
      </c>
      <c r="X10" s="136">
        <v>0</v>
      </c>
      <c r="Y10" s="136">
        <v>0</v>
      </c>
      <c r="Z10" s="156">
        <v>16</v>
      </c>
      <c r="AA10" s="156">
        <v>0</v>
      </c>
      <c r="AB10" s="156">
        <v>11</v>
      </c>
      <c r="AC10" s="156">
        <v>0</v>
      </c>
      <c r="AD10" s="156">
        <v>16</v>
      </c>
      <c r="AE10" s="310">
        <v>0</v>
      </c>
      <c r="AF10" s="156">
        <v>16</v>
      </c>
      <c r="AG10" s="156">
        <v>0</v>
      </c>
      <c r="AH10" s="156">
        <v>16</v>
      </c>
      <c r="AI10" s="156">
        <v>0</v>
      </c>
      <c r="AJ10" s="135">
        <v>0</v>
      </c>
      <c r="AK10" s="135">
        <v>0</v>
      </c>
      <c r="AL10" s="136">
        <v>0</v>
      </c>
      <c r="AM10" s="325">
        <v>0</v>
      </c>
      <c r="AN10" s="156">
        <v>16</v>
      </c>
      <c r="AO10" s="310">
        <v>0</v>
      </c>
      <c r="AP10" s="156">
        <v>16</v>
      </c>
      <c r="AQ10" s="156">
        <v>0</v>
      </c>
      <c r="AR10" s="156">
        <v>16</v>
      </c>
      <c r="AS10" s="310">
        <v>0</v>
      </c>
      <c r="AT10" s="156">
        <v>16</v>
      </c>
      <c r="AU10" s="310">
        <v>0</v>
      </c>
      <c r="AV10" s="156">
        <v>16</v>
      </c>
      <c r="AW10" s="310">
        <v>0</v>
      </c>
      <c r="AX10" s="135">
        <v>0</v>
      </c>
      <c r="AY10" s="135">
        <v>0</v>
      </c>
      <c r="AZ10" s="136">
        <v>0</v>
      </c>
      <c r="BA10" s="325">
        <v>0</v>
      </c>
      <c r="BB10" s="156">
        <v>16</v>
      </c>
      <c r="BC10" s="156">
        <v>0</v>
      </c>
      <c r="BD10" s="156">
        <v>16</v>
      </c>
      <c r="BE10" s="156">
        <v>0</v>
      </c>
      <c r="BF10" s="156">
        <v>16</v>
      </c>
      <c r="BG10" s="310">
        <v>0</v>
      </c>
      <c r="BH10" s="156">
        <v>16</v>
      </c>
      <c r="BI10" s="156">
        <v>0</v>
      </c>
      <c r="BJ10" s="156">
        <v>3</v>
      </c>
      <c r="BK10" s="156">
        <v>0</v>
      </c>
      <c r="BL10" s="135">
        <v>0</v>
      </c>
      <c r="BM10" s="135">
        <v>0</v>
      </c>
    </row>
    <row r="11" spans="1:65" s="124" customFormat="1" x14ac:dyDescent="0.25">
      <c r="A11" s="70" t="s">
        <v>123</v>
      </c>
      <c r="B11" s="71"/>
      <c r="C11" s="8"/>
      <c r="D11" s="136">
        <v>0</v>
      </c>
      <c r="E11" s="325">
        <v>0</v>
      </c>
      <c r="F11" s="156">
        <v>0</v>
      </c>
      <c r="G11" s="156">
        <v>0</v>
      </c>
      <c r="H11" s="135">
        <v>0</v>
      </c>
      <c r="I11" s="135">
        <v>0</v>
      </c>
      <c r="J11" s="136">
        <v>0</v>
      </c>
      <c r="K11" s="325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35">
        <v>0</v>
      </c>
      <c r="W11" s="135">
        <v>0</v>
      </c>
      <c r="X11" s="136">
        <v>0</v>
      </c>
      <c r="Y11" s="13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310">
        <v>0</v>
      </c>
      <c r="AF11" s="156">
        <v>0</v>
      </c>
      <c r="AG11" s="156">
        <v>0</v>
      </c>
      <c r="AH11" s="156">
        <v>0</v>
      </c>
      <c r="AI11" s="156">
        <v>0</v>
      </c>
      <c r="AJ11" s="135">
        <v>0</v>
      </c>
      <c r="AK11" s="135">
        <v>0</v>
      </c>
      <c r="AL11" s="136">
        <v>0</v>
      </c>
      <c r="AM11" s="325">
        <v>0</v>
      </c>
      <c r="AN11" s="156">
        <v>0</v>
      </c>
      <c r="AO11" s="310">
        <v>0</v>
      </c>
      <c r="AP11" s="156">
        <v>0</v>
      </c>
      <c r="AQ11" s="156">
        <v>0</v>
      </c>
      <c r="AR11" s="156">
        <v>0</v>
      </c>
      <c r="AS11" s="310">
        <v>0</v>
      </c>
      <c r="AT11" s="156">
        <v>0</v>
      </c>
      <c r="AU11" s="310">
        <v>0</v>
      </c>
      <c r="AV11" s="156">
        <v>0</v>
      </c>
      <c r="AW11" s="310">
        <v>0</v>
      </c>
      <c r="AX11" s="135">
        <v>0</v>
      </c>
      <c r="AY11" s="135">
        <v>0</v>
      </c>
      <c r="AZ11" s="136">
        <v>0</v>
      </c>
      <c r="BA11" s="325">
        <v>0</v>
      </c>
      <c r="BB11" s="156">
        <v>0</v>
      </c>
      <c r="BC11" s="156">
        <v>0</v>
      </c>
      <c r="BD11" s="156">
        <v>0</v>
      </c>
      <c r="BE11" s="156">
        <v>0</v>
      </c>
      <c r="BF11" s="156">
        <v>0</v>
      </c>
      <c r="BG11" s="310">
        <v>0</v>
      </c>
      <c r="BH11" s="156">
        <v>0</v>
      </c>
      <c r="BI11" s="156">
        <v>0</v>
      </c>
      <c r="BJ11" s="156">
        <v>0</v>
      </c>
      <c r="BK11" s="156">
        <v>0</v>
      </c>
      <c r="BL11" s="135">
        <v>0</v>
      </c>
      <c r="BM11" s="135">
        <v>0</v>
      </c>
    </row>
    <row r="12" spans="1:65" x14ac:dyDescent="0.25">
      <c r="A12" s="72" t="s">
        <v>74</v>
      </c>
      <c r="B12" s="73"/>
      <c r="C12" s="8"/>
      <c r="D12" s="136">
        <v>51</v>
      </c>
      <c r="E12" s="325">
        <v>3</v>
      </c>
      <c r="F12" s="156">
        <v>43</v>
      </c>
      <c r="G12" s="156">
        <v>18</v>
      </c>
      <c r="H12" s="135">
        <v>69</v>
      </c>
      <c r="I12" s="135">
        <v>3</v>
      </c>
      <c r="J12" s="136">
        <v>51</v>
      </c>
      <c r="K12" s="325">
        <v>3</v>
      </c>
      <c r="L12" s="156">
        <v>43</v>
      </c>
      <c r="M12" s="156">
        <v>18</v>
      </c>
      <c r="N12" s="156">
        <v>43</v>
      </c>
      <c r="O12" s="156">
        <v>18</v>
      </c>
      <c r="P12" s="156">
        <v>39</v>
      </c>
      <c r="Q12" s="156">
        <v>20</v>
      </c>
      <c r="R12" s="156">
        <v>44</v>
      </c>
      <c r="S12" s="156">
        <v>17</v>
      </c>
      <c r="T12" s="156">
        <v>43</v>
      </c>
      <c r="U12" s="156">
        <v>18</v>
      </c>
      <c r="V12" s="135">
        <v>69</v>
      </c>
      <c r="W12" s="135">
        <v>3</v>
      </c>
      <c r="X12" s="136">
        <v>51</v>
      </c>
      <c r="Y12" s="136">
        <v>3</v>
      </c>
      <c r="Z12" s="156">
        <v>43</v>
      </c>
      <c r="AA12" s="156">
        <v>18</v>
      </c>
      <c r="AB12" s="156">
        <v>53</v>
      </c>
      <c r="AC12" s="156">
        <v>10</v>
      </c>
      <c r="AD12" s="156">
        <v>50</v>
      </c>
      <c r="AE12" s="310">
        <v>11</v>
      </c>
      <c r="AF12" s="156">
        <v>50</v>
      </c>
      <c r="AG12" s="156">
        <v>11</v>
      </c>
      <c r="AH12" s="156">
        <v>50</v>
      </c>
      <c r="AI12" s="156">
        <v>11</v>
      </c>
      <c r="AJ12" s="135">
        <v>69</v>
      </c>
      <c r="AK12" s="135">
        <v>3</v>
      </c>
      <c r="AL12" s="136">
        <v>53</v>
      </c>
      <c r="AM12" s="325">
        <v>1</v>
      </c>
      <c r="AN12" s="156">
        <v>50</v>
      </c>
      <c r="AO12" s="310">
        <v>11</v>
      </c>
      <c r="AP12" s="156">
        <v>50</v>
      </c>
      <c r="AQ12" s="156">
        <v>11</v>
      </c>
      <c r="AR12" s="156">
        <v>50</v>
      </c>
      <c r="AS12" s="310">
        <v>11</v>
      </c>
      <c r="AT12" s="156">
        <v>50</v>
      </c>
      <c r="AU12" s="310">
        <v>11</v>
      </c>
      <c r="AV12" s="156">
        <v>47</v>
      </c>
      <c r="AW12" s="310">
        <v>11</v>
      </c>
      <c r="AX12" s="135">
        <v>70</v>
      </c>
      <c r="AY12" s="135">
        <v>2</v>
      </c>
      <c r="AZ12" s="136">
        <v>51</v>
      </c>
      <c r="BA12" s="325">
        <v>3</v>
      </c>
      <c r="BB12" s="156">
        <v>53</v>
      </c>
      <c r="BC12" s="156">
        <v>8</v>
      </c>
      <c r="BD12" s="156">
        <v>53</v>
      </c>
      <c r="BE12" s="156">
        <v>8</v>
      </c>
      <c r="BF12" s="156">
        <v>53</v>
      </c>
      <c r="BG12" s="310">
        <v>8</v>
      </c>
      <c r="BH12" s="156">
        <v>53</v>
      </c>
      <c r="BI12" s="156">
        <v>8</v>
      </c>
      <c r="BJ12" s="156">
        <v>55</v>
      </c>
      <c r="BK12" s="156">
        <v>7</v>
      </c>
      <c r="BL12" s="135">
        <v>69</v>
      </c>
      <c r="BM12" s="135">
        <v>3</v>
      </c>
    </row>
    <row r="13" spans="1:65" x14ac:dyDescent="0.25">
      <c r="A13" s="72" t="s">
        <v>75</v>
      </c>
      <c r="B13" s="73"/>
      <c r="C13" s="8"/>
      <c r="D13" s="136">
        <v>0</v>
      </c>
      <c r="E13" s="325">
        <v>0</v>
      </c>
      <c r="F13" s="156">
        <v>16</v>
      </c>
      <c r="G13" s="156">
        <v>0</v>
      </c>
      <c r="H13" s="135">
        <v>0</v>
      </c>
      <c r="I13" s="135">
        <v>0</v>
      </c>
      <c r="J13" s="136">
        <v>0</v>
      </c>
      <c r="K13" s="325">
        <v>0</v>
      </c>
      <c r="L13" s="156">
        <v>16</v>
      </c>
      <c r="M13" s="156">
        <v>0</v>
      </c>
      <c r="N13" s="156">
        <v>16</v>
      </c>
      <c r="O13" s="156">
        <v>0</v>
      </c>
      <c r="P13" s="156">
        <v>18</v>
      </c>
      <c r="Q13" s="156">
        <v>0</v>
      </c>
      <c r="R13" s="156">
        <v>18</v>
      </c>
      <c r="S13" s="156">
        <v>0</v>
      </c>
      <c r="T13" s="156">
        <v>13</v>
      </c>
      <c r="U13" s="156">
        <v>3</v>
      </c>
      <c r="V13" s="135">
        <v>0</v>
      </c>
      <c r="W13" s="135">
        <v>0</v>
      </c>
      <c r="X13" s="136">
        <v>0</v>
      </c>
      <c r="Y13" s="136">
        <v>0</v>
      </c>
      <c r="Z13" s="156">
        <v>16</v>
      </c>
      <c r="AA13" s="156">
        <v>0</v>
      </c>
      <c r="AB13" s="156">
        <v>12</v>
      </c>
      <c r="AC13" s="156">
        <v>0</v>
      </c>
      <c r="AD13" s="156">
        <v>16</v>
      </c>
      <c r="AE13" s="310">
        <v>0</v>
      </c>
      <c r="AF13" s="156">
        <v>16</v>
      </c>
      <c r="AG13" s="156">
        <v>0</v>
      </c>
      <c r="AH13" s="156">
        <v>16</v>
      </c>
      <c r="AI13" s="156">
        <v>0</v>
      </c>
      <c r="AJ13" s="135">
        <v>0</v>
      </c>
      <c r="AK13" s="135">
        <v>0</v>
      </c>
      <c r="AL13" s="136">
        <v>0</v>
      </c>
      <c r="AM13" s="325">
        <v>0</v>
      </c>
      <c r="AN13" s="156">
        <v>16</v>
      </c>
      <c r="AO13" s="310">
        <v>0</v>
      </c>
      <c r="AP13" s="156">
        <v>16</v>
      </c>
      <c r="AQ13" s="156">
        <v>0</v>
      </c>
      <c r="AR13" s="156">
        <v>16</v>
      </c>
      <c r="AS13" s="310">
        <v>0</v>
      </c>
      <c r="AT13" s="156">
        <v>16</v>
      </c>
      <c r="AU13" s="310">
        <v>0</v>
      </c>
      <c r="AV13" s="156">
        <v>16</v>
      </c>
      <c r="AW13" s="310">
        <v>0</v>
      </c>
      <c r="AX13" s="135">
        <v>0</v>
      </c>
      <c r="AY13" s="135">
        <v>0</v>
      </c>
      <c r="AZ13" s="136">
        <v>0</v>
      </c>
      <c r="BA13" s="325">
        <v>0</v>
      </c>
      <c r="BB13" s="156">
        <v>16</v>
      </c>
      <c r="BC13" s="156">
        <v>0</v>
      </c>
      <c r="BD13" s="156">
        <v>16</v>
      </c>
      <c r="BE13" s="156">
        <v>0</v>
      </c>
      <c r="BF13" s="156">
        <v>16</v>
      </c>
      <c r="BG13" s="310">
        <v>0</v>
      </c>
      <c r="BH13" s="156">
        <v>16</v>
      </c>
      <c r="BI13" s="156">
        <v>0</v>
      </c>
      <c r="BJ13" s="156">
        <v>5</v>
      </c>
      <c r="BK13" s="156">
        <v>2</v>
      </c>
      <c r="BL13" s="135">
        <v>0</v>
      </c>
      <c r="BM13" s="135">
        <v>0</v>
      </c>
    </row>
    <row r="14" spans="1:65" ht="15.75" thickBot="1" x14ac:dyDescent="0.3">
      <c r="A14" s="74" t="s">
        <v>76</v>
      </c>
      <c r="B14" s="75"/>
      <c r="C14" s="8"/>
      <c r="D14" s="136">
        <v>0</v>
      </c>
      <c r="E14" s="325">
        <v>0</v>
      </c>
      <c r="F14" s="156">
        <v>1</v>
      </c>
      <c r="G14" s="156">
        <v>0</v>
      </c>
      <c r="H14" s="135">
        <v>0</v>
      </c>
      <c r="I14" s="135">
        <v>0</v>
      </c>
      <c r="J14" s="136">
        <v>0</v>
      </c>
      <c r="K14" s="325">
        <v>0</v>
      </c>
      <c r="L14" s="156">
        <v>1</v>
      </c>
      <c r="M14" s="156">
        <v>0</v>
      </c>
      <c r="N14" s="156">
        <v>1</v>
      </c>
      <c r="O14" s="156">
        <v>0</v>
      </c>
      <c r="P14" s="156">
        <v>1</v>
      </c>
      <c r="Q14" s="156">
        <v>0</v>
      </c>
      <c r="R14" s="156">
        <v>1</v>
      </c>
      <c r="S14" s="156">
        <v>0</v>
      </c>
      <c r="T14" s="156">
        <v>1</v>
      </c>
      <c r="U14" s="156">
        <v>0</v>
      </c>
      <c r="V14" s="135">
        <v>0</v>
      </c>
      <c r="W14" s="135">
        <v>0</v>
      </c>
      <c r="X14" s="136">
        <v>0</v>
      </c>
      <c r="Y14" s="136">
        <v>0</v>
      </c>
      <c r="Z14" s="156">
        <v>1</v>
      </c>
      <c r="AA14" s="156">
        <v>0</v>
      </c>
      <c r="AB14" s="156">
        <v>1</v>
      </c>
      <c r="AC14" s="156">
        <v>0</v>
      </c>
      <c r="AD14" s="156">
        <v>1</v>
      </c>
      <c r="AE14" s="310">
        <v>0</v>
      </c>
      <c r="AF14" s="156">
        <v>1</v>
      </c>
      <c r="AG14" s="156">
        <v>0</v>
      </c>
      <c r="AH14" s="156">
        <v>1</v>
      </c>
      <c r="AI14" s="156">
        <v>0</v>
      </c>
      <c r="AJ14" s="135">
        <v>0</v>
      </c>
      <c r="AK14" s="135">
        <v>0</v>
      </c>
      <c r="AL14" s="136">
        <v>0</v>
      </c>
      <c r="AM14" s="325">
        <v>0</v>
      </c>
      <c r="AN14" s="156">
        <v>1</v>
      </c>
      <c r="AO14" s="310">
        <v>0</v>
      </c>
      <c r="AP14" s="156">
        <v>1</v>
      </c>
      <c r="AQ14" s="156">
        <v>0</v>
      </c>
      <c r="AR14" s="156">
        <v>1</v>
      </c>
      <c r="AS14" s="310">
        <v>0</v>
      </c>
      <c r="AT14" s="156">
        <v>1</v>
      </c>
      <c r="AU14" s="310">
        <v>0</v>
      </c>
      <c r="AV14" s="156">
        <v>0</v>
      </c>
      <c r="AW14" s="310">
        <v>0</v>
      </c>
      <c r="AX14" s="135">
        <v>0</v>
      </c>
      <c r="AY14" s="135">
        <v>0</v>
      </c>
      <c r="AZ14" s="136">
        <v>0</v>
      </c>
      <c r="BA14" s="325">
        <v>0</v>
      </c>
      <c r="BB14" s="156">
        <v>1</v>
      </c>
      <c r="BC14" s="156">
        <v>0</v>
      </c>
      <c r="BD14" s="156">
        <v>1</v>
      </c>
      <c r="BE14" s="156">
        <v>0</v>
      </c>
      <c r="BF14" s="156">
        <v>1</v>
      </c>
      <c r="BG14" s="310">
        <v>0</v>
      </c>
      <c r="BH14" s="156">
        <v>1</v>
      </c>
      <c r="BI14" s="156">
        <v>0</v>
      </c>
      <c r="BJ14" s="156">
        <v>1</v>
      </c>
      <c r="BK14" s="156">
        <v>0</v>
      </c>
      <c r="BL14" s="135">
        <v>0</v>
      </c>
      <c r="BM14" s="135">
        <v>0</v>
      </c>
    </row>
    <row r="15" spans="1:65" x14ac:dyDescent="0.25">
      <c r="A15" s="263" t="s">
        <v>77</v>
      </c>
      <c r="B15" s="263"/>
      <c r="C15" s="8"/>
      <c r="D15" s="136">
        <v>55</v>
      </c>
      <c r="E15" s="325">
        <v>2</v>
      </c>
      <c r="F15" s="156">
        <v>36</v>
      </c>
      <c r="G15" s="156">
        <v>25</v>
      </c>
      <c r="H15" s="135">
        <v>75</v>
      </c>
      <c r="I15" s="135">
        <v>0</v>
      </c>
      <c r="J15" s="136">
        <v>57</v>
      </c>
      <c r="K15" s="325">
        <v>0</v>
      </c>
      <c r="L15" s="156">
        <v>36</v>
      </c>
      <c r="M15" s="156">
        <v>25</v>
      </c>
      <c r="N15" s="156">
        <v>36</v>
      </c>
      <c r="O15" s="156">
        <v>25</v>
      </c>
      <c r="P15" s="156">
        <v>35</v>
      </c>
      <c r="Q15" s="156">
        <v>24</v>
      </c>
      <c r="R15" s="156">
        <v>34</v>
      </c>
      <c r="S15" s="156">
        <v>27</v>
      </c>
      <c r="T15" s="156">
        <v>36</v>
      </c>
      <c r="U15" s="156">
        <v>25</v>
      </c>
      <c r="V15" s="135">
        <v>75</v>
      </c>
      <c r="W15" s="135">
        <v>0</v>
      </c>
      <c r="X15" s="136">
        <v>57</v>
      </c>
      <c r="Y15" s="136">
        <v>0</v>
      </c>
      <c r="Z15" s="156">
        <v>36</v>
      </c>
      <c r="AA15" s="156">
        <v>25</v>
      </c>
      <c r="AB15" s="156">
        <v>45</v>
      </c>
      <c r="AC15" s="156">
        <v>16</v>
      </c>
      <c r="AD15" s="156">
        <v>43</v>
      </c>
      <c r="AE15" s="310">
        <v>18</v>
      </c>
      <c r="AF15" s="156">
        <v>43</v>
      </c>
      <c r="AG15" s="156">
        <v>18</v>
      </c>
      <c r="AH15" s="156">
        <v>43</v>
      </c>
      <c r="AI15" s="156">
        <v>18</v>
      </c>
      <c r="AJ15" s="135">
        <v>75</v>
      </c>
      <c r="AK15" s="135">
        <v>0</v>
      </c>
      <c r="AL15" s="136">
        <v>57</v>
      </c>
      <c r="AM15" s="325">
        <v>0</v>
      </c>
      <c r="AN15" s="156">
        <v>43</v>
      </c>
      <c r="AO15" s="310">
        <v>18</v>
      </c>
      <c r="AP15" s="156">
        <v>43</v>
      </c>
      <c r="AQ15" s="156">
        <v>18</v>
      </c>
      <c r="AR15" s="156">
        <v>43</v>
      </c>
      <c r="AS15" s="310">
        <v>18</v>
      </c>
      <c r="AT15" s="156">
        <v>43</v>
      </c>
      <c r="AU15" s="310">
        <v>18</v>
      </c>
      <c r="AV15" s="156">
        <v>41</v>
      </c>
      <c r="AW15" s="310">
        <v>18</v>
      </c>
      <c r="AX15" s="135">
        <v>74</v>
      </c>
      <c r="AY15" s="135">
        <v>1</v>
      </c>
      <c r="AZ15" s="136">
        <v>57</v>
      </c>
      <c r="BA15" s="325">
        <v>0</v>
      </c>
      <c r="BB15" s="156">
        <v>49</v>
      </c>
      <c r="BC15" s="156">
        <v>12</v>
      </c>
      <c r="BD15" s="156">
        <v>48</v>
      </c>
      <c r="BE15" s="156">
        <v>13</v>
      </c>
      <c r="BF15" s="156">
        <v>48</v>
      </c>
      <c r="BG15" s="310">
        <v>13</v>
      </c>
      <c r="BH15" s="156">
        <v>48</v>
      </c>
      <c r="BI15" s="156">
        <v>13</v>
      </c>
      <c r="BJ15" s="156">
        <v>49</v>
      </c>
      <c r="BK15" s="156">
        <v>10</v>
      </c>
      <c r="BL15" s="135">
        <v>75</v>
      </c>
      <c r="BM15" s="135">
        <v>0</v>
      </c>
    </row>
    <row r="16" spans="1:65" s="124" customFormat="1" x14ac:dyDescent="0.25">
      <c r="A16" s="315"/>
      <c r="B16" s="315"/>
      <c r="C16" s="8"/>
      <c r="D16" s="312"/>
      <c r="E16" s="312"/>
      <c r="F16" s="312"/>
      <c r="G16" s="312"/>
      <c r="H16" s="312"/>
      <c r="I16" s="312"/>
      <c r="J16" s="312"/>
      <c r="K16" s="312"/>
      <c r="L16" s="312"/>
      <c r="M16" s="312"/>
      <c r="N16" s="312"/>
      <c r="O16" s="312"/>
      <c r="P16" s="312"/>
      <c r="Q16" s="312"/>
      <c r="R16" s="312" t="s">
        <v>144</v>
      </c>
      <c r="S16" s="312" t="s">
        <v>144</v>
      </c>
      <c r="T16" s="312" t="s">
        <v>144</v>
      </c>
      <c r="U16" s="312" t="s">
        <v>144</v>
      </c>
      <c r="V16" s="312" t="s">
        <v>144</v>
      </c>
      <c r="W16" s="312" t="s">
        <v>144</v>
      </c>
      <c r="X16" s="312" t="s">
        <v>144</v>
      </c>
      <c r="Y16" s="312" t="s">
        <v>144</v>
      </c>
      <c r="Z16" s="312"/>
      <c r="AA16" s="312"/>
      <c r="AB16" s="312"/>
      <c r="AC16" s="312"/>
      <c r="AD16" s="312"/>
      <c r="AE16" s="312"/>
      <c r="AF16" s="312"/>
      <c r="AG16" s="312"/>
      <c r="AH16" s="312" t="s">
        <v>144</v>
      </c>
      <c r="AI16" s="312" t="s">
        <v>144</v>
      </c>
      <c r="AJ16" s="312"/>
      <c r="AK16" s="312"/>
      <c r="AL16" s="312"/>
      <c r="AM16" s="312"/>
      <c r="AN16" s="312"/>
      <c r="AO16" s="312"/>
      <c r="AP16" s="312" t="s">
        <v>144</v>
      </c>
      <c r="AQ16" s="312" t="s">
        <v>144</v>
      </c>
      <c r="AR16" s="312" t="s">
        <v>144</v>
      </c>
      <c r="AS16" s="312" t="s">
        <v>144</v>
      </c>
      <c r="AT16" s="312" t="s">
        <v>144</v>
      </c>
      <c r="AU16" s="312" t="s">
        <v>144</v>
      </c>
      <c r="AV16" s="312" t="s">
        <v>144</v>
      </c>
      <c r="AW16" s="312" t="s">
        <v>144</v>
      </c>
      <c r="AX16" s="312"/>
      <c r="AY16" s="312"/>
      <c r="AZ16" s="312"/>
      <c r="BA16" s="312"/>
      <c r="BB16" s="312"/>
      <c r="BC16" s="312"/>
      <c r="BD16" s="312"/>
      <c r="BE16" s="312"/>
      <c r="BF16" s="312"/>
      <c r="BG16" s="312"/>
      <c r="BH16" s="312" t="s">
        <v>144</v>
      </c>
      <c r="BI16" s="312" t="s">
        <v>144</v>
      </c>
      <c r="BJ16" s="312"/>
      <c r="BK16" s="312"/>
      <c r="BL16" s="312"/>
      <c r="BM16" s="312"/>
    </row>
    <row r="17" spans="1:65 16305:16305" x14ac:dyDescent="0.25">
      <c r="A17" s="67" t="s">
        <v>73</v>
      </c>
      <c r="B17" s="68"/>
      <c r="C17" s="8"/>
      <c r="D17" s="313">
        <v>0</v>
      </c>
      <c r="E17" s="326">
        <v>0</v>
      </c>
      <c r="F17" s="156">
        <v>7</v>
      </c>
      <c r="G17" s="156">
        <v>0</v>
      </c>
      <c r="H17" s="323">
        <v>0</v>
      </c>
      <c r="I17" s="324">
        <v>0</v>
      </c>
      <c r="J17" s="313">
        <v>0</v>
      </c>
      <c r="K17" s="326">
        <v>0</v>
      </c>
      <c r="L17" s="289">
        <v>7</v>
      </c>
      <c r="M17" s="289">
        <v>0</v>
      </c>
      <c r="N17" s="289">
        <v>7</v>
      </c>
      <c r="O17" s="289">
        <v>0</v>
      </c>
      <c r="P17" s="289">
        <v>7</v>
      </c>
      <c r="Q17" s="289">
        <v>0</v>
      </c>
      <c r="R17" s="289">
        <v>7</v>
      </c>
      <c r="S17" s="289">
        <v>0</v>
      </c>
      <c r="T17" s="311">
        <v>7</v>
      </c>
      <c r="U17" s="311">
        <v>0</v>
      </c>
      <c r="V17" s="330">
        <v>0</v>
      </c>
      <c r="W17" s="330">
        <v>0</v>
      </c>
      <c r="X17" s="136">
        <v>0</v>
      </c>
      <c r="Y17" s="136">
        <v>0</v>
      </c>
      <c r="Z17" s="289">
        <v>7</v>
      </c>
      <c r="AA17" s="289">
        <v>0</v>
      </c>
      <c r="AB17" s="289">
        <v>0</v>
      </c>
      <c r="AC17" s="332">
        <v>0</v>
      </c>
      <c r="AD17" s="289">
        <v>7</v>
      </c>
      <c r="AE17" s="332">
        <v>0</v>
      </c>
      <c r="AF17" s="311">
        <v>7</v>
      </c>
      <c r="AG17" s="311">
        <v>0</v>
      </c>
      <c r="AH17" s="156">
        <v>7</v>
      </c>
      <c r="AI17" s="311">
        <v>0</v>
      </c>
      <c r="AJ17" s="330">
        <v>0</v>
      </c>
      <c r="AK17" s="135">
        <v>0</v>
      </c>
      <c r="AL17" s="136">
        <v>0</v>
      </c>
      <c r="AM17" s="325">
        <v>0</v>
      </c>
      <c r="AN17" s="156">
        <v>7</v>
      </c>
      <c r="AO17" s="310">
        <v>0</v>
      </c>
      <c r="AP17" s="289">
        <v>7</v>
      </c>
      <c r="AQ17" s="332">
        <v>0</v>
      </c>
      <c r="AR17" s="289">
        <v>7</v>
      </c>
      <c r="AS17" s="332">
        <v>0</v>
      </c>
      <c r="AT17" s="156">
        <v>7</v>
      </c>
      <c r="AU17" s="310">
        <v>0</v>
      </c>
      <c r="AV17" s="156">
        <v>7</v>
      </c>
      <c r="AW17" s="310">
        <v>0</v>
      </c>
      <c r="AX17" s="331">
        <v>0</v>
      </c>
      <c r="AY17" s="331">
        <v>0</v>
      </c>
      <c r="AZ17" s="313">
        <v>0</v>
      </c>
      <c r="BA17" s="326">
        <v>0</v>
      </c>
      <c r="BB17" s="289">
        <v>7</v>
      </c>
      <c r="BC17" s="289">
        <v>0</v>
      </c>
      <c r="BD17" s="289">
        <v>7</v>
      </c>
      <c r="BE17" s="332">
        <v>0</v>
      </c>
      <c r="BF17" s="289">
        <v>7</v>
      </c>
      <c r="BG17" s="332">
        <v>0</v>
      </c>
      <c r="BH17" s="289">
        <v>7</v>
      </c>
      <c r="BI17" s="289">
        <v>0</v>
      </c>
      <c r="BJ17" s="289">
        <v>0</v>
      </c>
      <c r="BK17" s="289">
        <v>0</v>
      </c>
      <c r="BL17" s="323">
        <v>0</v>
      </c>
      <c r="BM17" s="323">
        <v>0</v>
      </c>
    </row>
    <row r="18" spans="1:65 16305:16305" s="124" customFormat="1" x14ac:dyDescent="0.25">
      <c r="A18" s="67" t="s">
        <v>123</v>
      </c>
      <c r="B18" s="68"/>
      <c r="C18" s="8"/>
      <c r="D18" s="313">
        <v>0</v>
      </c>
      <c r="E18" s="326">
        <v>0</v>
      </c>
      <c r="F18" s="156">
        <v>0</v>
      </c>
      <c r="G18" s="156">
        <v>0</v>
      </c>
      <c r="H18" s="323">
        <v>0</v>
      </c>
      <c r="I18" s="324">
        <v>0</v>
      </c>
      <c r="J18" s="313">
        <v>0</v>
      </c>
      <c r="K18" s="326">
        <v>0</v>
      </c>
      <c r="L18" s="289">
        <v>0</v>
      </c>
      <c r="M18" s="289">
        <v>0</v>
      </c>
      <c r="N18" s="289">
        <v>0</v>
      </c>
      <c r="O18" s="289">
        <v>0</v>
      </c>
      <c r="P18" s="289">
        <v>0</v>
      </c>
      <c r="Q18" s="289">
        <v>0</v>
      </c>
      <c r="R18" s="289">
        <v>0</v>
      </c>
      <c r="S18" s="289">
        <v>0</v>
      </c>
      <c r="T18" s="311">
        <v>0</v>
      </c>
      <c r="U18" s="311">
        <v>0</v>
      </c>
      <c r="V18" s="330">
        <v>0</v>
      </c>
      <c r="W18" s="330">
        <v>0</v>
      </c>
      <c r="X18" s="136">
        <v>0</v>
      </c>
      <c r="Y18" s="136">
        <v>0</v>
      </c>
      <c r="Z18" s="289">
        <v>0</v>
      </c>
      <c r="AA18" s="289">
        <v>0</v>
      </c>
      <c r="AB18" s="289">
        <v>0</v>
      </c>
      <c r="AC18" s="332">
        <v>0</v>
      </c>
      <c r="AD18" s="289">
        <v>0</v>
      </c>
      <c r="AE18" s="332">
        <v>0</v>
      </c>
      <c r="AF18" s="311">
        <v>0</v>
      </c>
      <c r="AG18" s="311">
        <v>0</v>
      </c>
      <c r="AH18" s="156">
        <v>0</v>
      </c>
      <c r="AI18" s="311">
        <v>0</v>
      </c>
      <c r="AJ18" s="330">
        <v>0</v>
      </c>
      <c r="AK18" s="135">
        <v>0</v>
      </c>
      <c r="AL18" s="136">
        <v>0</v>
      </c>
      <c r="AM18" s="325">
        <v>0</v>
      </c>
      <c r="AN18" s="156">
        <v>0</v>
      </c>
      <c r="AO18" s="310">
        <v>0</v>
      </c>
      <c r="AP18" s="289">
        <v>0</v>
      </c>
      <c r="AQ18" s="332">
        <v>0</v>
      </c>
      <c r="AR18" s="289">
        <v>0</v>
      </c>
      <c r="AS18" s="332">
        <v>0</v>
      </c>
      <c r="AT18" s="156">
        <v>0</v>
      </c>
      <c r="AU18" s="310">
        <v>0</v>
      </c>
      <c r="AV18" s="156">
        <v>0</v>
      </c>
      <c r="AW18" s="310">
        <v>0</v>
      </c>
      <c r="AX18" s="331">
        <v>0</v>
      </c>
      <c r="AY18" s="331">
        <v>0</v>
      </c>
      <c r="AZ18" s="313">
        <v>0</v>
      </c>
      <c r="BA18" s="326">
        <v>0</v>
      </c>
      <c r="BB18" s="289">
        <v>0</v>
      </c>
      <c r="BC18" s="289">
        <v>0</v>
      </c>
      <c r="BD18" s="289">
        <v>0</v>
      </c>
      <c r="BE18" s="332">
        <v>0</v>
      </c>
      <c r="BF18" s="289">
        <v>0</v>
      </c>
      <c r="BG18" s="332">
        <v>0</v>
      </c>
      <c r="BH18" s="289">
        <v>0</v>
      </c>
      <c r="BI18" s="289">
        <v>0</v>
      </c>
      <c r="BJ18" s="289">
        <v>0</v>
      </c>
      <c r="BK18" s="289">
        <v>0</v>
      </c>
      <c r="BL18" s="323">
        <v>0</v>
      </c>
      <c r="BM18" s="323">
        <v>0</v>
      </c>
    </row>
    <row r="19" spans="1:65 16305:16305" x14ac:dyDescent="0.25">
      <c r="A19" s="67" t="s">
        <v>74</v>
      </c>
      <c r="B19" s="68"/>
      <c r="C19" s="8"/>
      <c r="D19" s="313">
        <v>0</v>
      </c>
      <c r="E19" s="326">
        <v>0</v>
      </c>
      <c r="F19" s="156">
        <v>3</v>
      </c>
      <c r="G19" s="156">
        <v>5</v>
      </c>
      <c r="H19" s="323">
        <v>0</v>
      </c>
      <c r="I19" s="324">
        <v>0</v>
      </c>
      <c r="J19" s="313">
        <v>0</v>
      </c>
      <c r="K19" s="326">
        <v>0</v>
      </c>
      <c r="L19" s="289">
        <v>3</v>
      </c>
      <c r="M19" s="289">
        <v>5</v>
      </c>
      <c r="N19" s="289">
        <v>3</v>
      </c>
      <c r="O19" s="289">
        <v>5</v>
      </c>
      <c r="P19" s="289">
        <v>3</v>
      </c>
      <c r="Q19" s="289">
        <v>5</v>
      </c>
      <c r="R19" s="289">
        <v>3</v>
      </c>
      <c r="S19" s="289">
        <v>5</v>
      </c>
      <c r="T19" s="311">
        <v>3</v>
      </c>
      <c r="U19" s="311">
        <v>5</v>
      </c>
      <c r="V19" s="330">
        <v>0</v>
      </c>
      <c r="W19" s="330">
        <v>0</v>
      </c>
      <c r="X19" s="136">
        <v>0</v>
      </c>
      <c r="Y19" s="136">
        <v>0</v>
      </c>
      <c r="Z19" s="289">
        <v>3</v>
      </c>
      <c r="AA19" s="289">
        <v>5</v>
      </c>
      <c r="AB19" s="289">
        <v>7</v>
      </c>
      <c r="AC19" s="332">
        <v>1</v>
      </c>
      <c r="AD19" s="289">
        <v>5</v>
      </c>
      <c r="AE19" s="332">
        <v>3</v>
      </c>
      <c r="AF19" s="311">
        <v>5</v>
      </c>
      <c r="AG19" s="311">
        <v>3</v>
      </c>
      <c r="AH19" s="156">
        <v>5</v>
      </c>
      <c r="AI19" s="311">
        <v>3</v>
      </c>
      <c r="AJ19" s="330">
        <v>0</v>
      </c>
      <c r="AK19" s="135">
        <v>0</v>
      </c>
      <c r="AL19" s="136">
        <v>0</v>
      </c>
      <c r="AM19" s="325">
        <v>0</v>
      </c>
      <c r="AN19" s="156">
        <v>5</v>
      </c>
      <c r="AO19" s="310">
        <v>3</v>
      </c>
      <c r="AP19" s="289">
        <v>5</v>
      </c>
      <c r="AQ19" s="332">
        <v>3</v>
      </c>
      <c r="AR19" s="289">
        <v>5</v>
      </c>
      <c r="AS19" s="332">
        <v>3</v>
      </c>
      <c r="AT19" s="156">
        <v>5</v>
      </c>
      <c r="AU19" s="310">
        <v>3</v>
      </c>
      <c r="AV19" s="156">
        <v>5</v>
      </c>
      <c r="AW19" s="310">
        <v>3</v>
      </c>
      <c r="AX19" s="330">
        <v>0</v>
      </c>
      <c r="AY19" s="330">
        <v>0</v>
      </c>
      <c r="AZ19" s="313">
        <v>0</v>
      </c>
      <c r="BA19" s="326">
        <v>0</v>
      </c>
      <c r="BB19" s="289">
        <v>6</v>
      </c>
      <c r="BC19" s="289">
        <v>2</v>
      </c>
      <c r="BD19" s="289">
        <v>5</v>
      </c>
      <c r="BE19" s="332">
        <v>3</v>
      </c>
      <c r="BF19" s="289">
        <v>5</v>
      </c>
      <c r="BG19" s="332">
        <v>3</v>
      </c>
      <c r="BH19" s="289">
        <v>5</v>
      </c>
      <c r="BI19" s="289">
        <v>3</v>
      </c>
      <c r="BJ19" s="289">
        <v>2</v>
      </c>
      <c r="BK19" s="289">
        <v>4</v>
      </c>
      <c r="BL19" s="323">
        <v>0</v>
      </c>
      <c r="BM19" s="323">
        <v>0</v>
      </c>
    </row>
    <row r="20" spans="1:65 16305:16305" x14ac:dyDescent="0.25">
      <c r="A20" s="67" t="s">
        <v>75</v>
      </c>
      <c r="B20" s="68"/>
      <c r="C20" s="8"/>
      <c r="D20" s="313">
        <v>0</v>
      </c>
      <c r="E20" s="326">
        <v>0</v>
      </c>
      <c r="F20" s="156">
        <v>6</v>
      </c>
      <c r="G20" s="156">
        <v>0</v>
      </c>
      <c r="H20" s="323">
        <v>0</v>
      </c>
      <c r="I20" s="324">
        <v>0</v>
      </c>
      <c r="J20" s="313">
        <v>0</v>
      </c>
      <c r="K20" s="326">
        <v>0</v>
      </c>
      <c r="L20" s="289">
        <v>6</v>
      </c>
      <c r="M20" s="289">
        <v>0</v>
      </c>
      <c r="N20" s="289">
        <v>6</v>
      </c>
      <c r="O20" s="289">
        <v>0</v>
      </c>
      <c r="P20" s="289">
        <v>6</v>
      </c>
      <c r="Q20" s="289">
        <v>0</v>
      </c>
      <c r="R20" s="289">
        <v>6</v>
      </c>
      <c r="S20" s="289">
        <v>0</v>
      </c>
      <c r="T20" s="311">
        <v>6</v>
      </c>
      <c r="U20" s="311">
        <v>0</v>
      </c>
      <c r="V20" s="330">
        <v>0</v>
      </c>
      <c r="W20" s="330">
        <v>0</v>
      </c>
      <c r="X20" s="136">
        <v>0</v>
      </c>
      <c r="Y20" s="136">
        <v>0</v>
      </c>
      <c r="Z20" s="289">
        <v>6</v>
      </c>
      <c r="AA20" s="289">
        <v>0</v>
      </c>
      <c r="AB20" s="289">
        <v>0</v>
      </c>
      <c r="AC20" s="332">
        <v>0</v>
      </c>
      <c r="AD20" s="289">
        <v>6</v>
      </c>
      <c r="AE20" s="332">
        <v>0</v>
      </c>
      <c r="AF20" s="311">
        <v>6</v>
      </c>
      <c r="AG20" s="311">
        <v>0</v>
      </c>
      <c r="AH20" s="156">
        <v>6</v>
      </c>
      <c r="AI20" s="311">
        <v>0</v>
      </c>
      <c r="AJ20" s="330">
        <v>0</v>
      </c>
      <c r="AK20" s="135">
        <v>0</v>
      </c>
      <c r="AL20" s="136">
        <v>0</v>
      </c>
      <c r="AM20" s="325">
        <v>0</v>
      </c>
      <c r="AN20" s="156">
        <v>6</v>
      </c>
      <c r="AO20" s="310">
        <v>0</v>
      </c>
      <c r="AP20" s="289">
        <v>6</v>
      </c>
      <c r="AQ20" s="332">
        <v>0</v>
      </c>
      <c r="AR20" s="289">
        <v>6</v>
      </c>
      <c r="AS20" s="332">
        <v>0</v>
      </c>
      <c r="AT20" s="156">
        <v>6</v>
      </c>
      <c r="AU20" s="310">
        <v>0</v>
      </c>
      <c r="AV20" s="156">
        <v>6</v>
      </c>
      <c r="AW20" s="310">
        <v>0</v>
      </c>
      <c r="AX20" s="330">
        <v>0</v>
      </c>
      <c r="AY20" s="330">
        <v>0</v>
      </c>
      <c r="AZ20" s="313">
        <v>0</v>
      </c>
      <c r="BA20" s="326">
        <v>0</v>
      </c>
      <c r="BB20" s="289">
        <v>6</v>
      </c>
      <c r="BC20" s="289">
        <v>0</v>
      </c>
      <c r="BD20" s="289">
        <v>6</v>
      </c>
      <c r="BE20" s="332">
        <v>0</v>
      </c>
      <c r="BF20" s="289">
        <v>6</v>
      </c>
      <c r="BG20" s="332">
        <v>0</v>
      </c>
      <c r="BH20" s="289">
        <v>6</v>
      </c>
      <c r="BI20" s="289">
        <v>0</v>
      </c>
      <c r="BJ20" s="289">
        <v>0</v>
      </c>
      <c r="BK20" s="289">
        <v>0</v>
      </c>
      <c r="BL20" s="323">
        <v>0</v>
      </c>
      <c r="BM20" s="323">
        <v>0</v>
      </c>
    </row>
    <row r="21" spans="1:65 16305:16305" x14ac:dyDescent="0.25">
      <c r="A21" s="67" t="s">
        <v>76</v>
      </c>
      <c r="B21" s="68"/>
      <c r="C21" s="8"/>
      <c r="D21" s="313">
        <v>0</v>
      </c>
      <c r="E21" s="326">
        <v>0</v>
      </c>
      <c r="F21" s="156">
        <v>0</v>
      </c>
      <c r="G21" s="156">
        <v>0</v>
      </c>
      <c r="H21" s="323">
        <v>0</v>
      </c>
      <c r="I21" s="324">
        <v>0</v>
      </c>
      <c r="J21" s="313">
        <v>0</v>
      </c>
      <c r="K21" s="326">
        <v>0</v>
      </c>
      <c r="L21" s="289">
        <v>0</v>
      </c>
      <c r="M21" s="289">
        <v>0</v>
      </c>
      <c r="N21" s="289">
        <v>0</v>
      </c>
      <c r="O21" s="289">
        <v>0</v>
      </c>
      <c r="P21" s="289">
        <v>0</v>
      </c>
      <c r="Q21" s="289">
        <v>0</v>
      </c>
      <c r="R21" s="289">
        <v>0</v>
      </c>
      <c r="S21" s="289">
        <v>0</v>
      </c>
      <c r="T21" s="311">
        <v>0</v>
      </c>
      <c r="U21" s="311">
        <v>0</v>
      </c>
      <c r="V21" s="330">
        <v>0</v>
      </c>
      <c r="W21" s="330">
        <v>0</v>
      </c>
      <c r="X21" s="136">
        <v>0</v>
      </c>
      <c r="Y21" s="136">
        <v>0</v>
      </c>
      <c r="Z21" s="289">
        <v>0</v>
      </c>
      <c r="AA21" s="289">
        <v>0</v>
      </c>
      <c r="AB21" s="289">
        <v>0</v>
      </c>
      <c r="AC21" s="332">
        <v>0</v>
      </c>
      <c r="AD21" s="289">
        <v>0</v>
      </c>
      <c r="AE21" s="332">
        <v>0</v>
      </c>
      <c r="AF21" s="311">
        <v>0</v>
      </c>
      <c r="AG21" s="311">
        <v>0</v>
      </c>
      <c r="AH21" s="156">
        <v>0</v>
      </c>
      <c r="AI21" s="311">
        <v>0</v>
      </c>
      <c r="AJ21" s="330">
        <v>0</v>
      </c>
      <c r="AK21" s="135">
        <v>0</v>
      </c>
      <c r="AL21" s="136">
        <v>0</v>
      </c>
      <c r="AM21" s="325">
        <v>0</v>
      </c>
      <c r="AN21" s="156">
        <v>0</v>
      </c>
      <c r="AO21" s="310">
        <v>0</v>
      </c>
      <c r="AP21" s="289">
        <v>0</v>
      </c>
      <c r="AQ21" s="332">
        <v>0</v>
      </c>
      <c r="AR21" s="289">
        <v>0</v>
      </c>
      <c r="AS21" s="332">
        <v>0</v>
      </c>
      <c r="AT21" s="156">
        <v>0</v>
      </c>
      <c r="AU21" s="310">
        <v>0</v>
      </c>
      <c r="AV21" s="156">
        <v>0</v>
      </c>
      <c r="AW21" s="310">
        <v>0</v>
      </c>
      <c r="AX21" s="330">
        <v>0</v>
      </c>
      <c r="AY21" s="330">
        <v>0</v>
      </c>
      <c r="AZ21" s="313">
        <v>0</v>
      </c>
      <c r="BA21" s="326">
        <v>0</v>
      </c>
      <c r="BB21" s="289">
        <v>0</v>
      </c>
      <c r="BC21" s="289">
        <v>0</v>
      </c>
      <c r="BD21" s="289">
        <v>0</v>
      </c>
      <c r="BE21" s="332">
        <v>0</v>
      </c>
      <c r="BF21" s="289">
        <v>0</v>
      </c>
      <c r="BG21" s="332">
        <v>0</v>
      </c>
      <c r="BH21" s="289">
        <v>0</v>
      </c>
      <c r="BI21" s="289">
        <v>0</v>
      </c>
      <c r="BJ21" s="289">
        <v>0</v>
      </c>
      <c r="BK21" s="289">
        <v>0</v>
      </c>
      <c r="BL21" s="323">
        <v>0</v>
      </c>
      <c r="BM21" s="323">
        <v>0</v>
      </c>
    </row>
    <row r="22" spans="1:65 16305:16305" x14ac:dyDescent="0.25">
      <c r="A22" s="67" t="s">
        <v>77</v>
      </c>
      <c r="B22" s="76"/>
      <c r="C22" s="8"/>
      <c r="D22" s="313">
        <v>0</v>
      </c>
      <c r="E22" s="326">
        <v>0</v>
      </c>
      <c r="F22" s="156">
        <v>5</v>
      </c>
      <c r="G22" s="156">
        <v>2</v>
      </c>
      <c r="H22" s="323">
        <v>0</v>
      </c>
      <c r="I22" s="324">
        <v>0</v>
      </c>
      <c r="J22" s="313">
        <v>0</v>
      </c>
      <c r="K22" s="326">
        <v>0</v>
      </c>
      <c r="L22" s="289">
        <v>5</v>
      </c>
      <c r="M22" s="289">
        <v>2</v>
      </c>
      <c r="N22" s="289">
        <v>5</v>
      </c>
      <c r="O22" s="289">
        <v>2</v>
      </c>
      <c r="P22" s="289">
        <v>6</v>
      </c>
      <c r="Q22" s="289">
        <v>1</v>
      </c>
      <c r="R22" s="289">
        <v>5</v>
      </c>
      <c r="S22" s="289">
        <v>2</v>
      </c>
      <c r="T22" s="311">
        <v>5</v>
      </c>
      <c r="U22" s="311">
        <v>2</v>
      </c>
      <c r="V22" s="330">
        <v>0</v>
      </c>
      <c r="W22" s="330">
        <v>0</v>
      </c>
      <c r="X22" s="136">
        <v>0</v>
      </c>
      <c r="Y22" s="136">
        <v>0</v>
      </c>
      <c r="Z22" s="289">
        <v>5</v>
      </c>
      <c r="AA22" s="289">
        <v>2</v>
      </c>
      <c r="AB22" s="289">
        <v>6</v>
      </c>
      <c r="AC22" s="332">
        <v>1</v>
      </c>
      <c r="AD22" s="289">
        <v>5</v>
      </c>
      <c r="AE22" s="332">
        <v>2</v>
      </c>
      <c r="AF22" s="311">
        <v>5</v>
      </c>
      <c r="AG22" s="311">
        <v>2</v>
      </c>
      <c r="AH22" s="156">
        <v>5</v>
      </c>
      <c r="AI22" s="311">
        <v>2</v>
      </c>
      <c r="AJ22" s="330">
        <v>0</v>
      </c>
      <c r="AK22" s="135">
        <v>0</v>
      </c>
      <c r="AL22" s="136">
        <v>0</v>
      </c>
      <c r="AM22" s="325">
        <v>0</v>
      </c>
      <c r="AN22" s="156">
        <v>5</v>
      </c>
      <c r="AO22" s="310">
        <v>2</v>
      </c>
      <c r="AP22" s="289">
        <v>5</v>
      </c>
      <c r="AQ22" s="332">
        <v>2</v>
      </c>
      <c r="AR22" s="289">
        <v>5</v>
      </c>
      <c r="AS22" s="332">
        <v>2</v>
      </c>
      <c r="AT22" s="156">
        <v>5</v>
      </c>
      <c r="AU22" s="310">
        <v>2</v>
      </c>
      <c r="AV22" s="156">
        <v>5</v>
      </c>
      <c r="AW22" s="310">
        <v>2</v>
      </c>
      <c r="AX22" s="330">
        <v>0</v>
      </c>
      <c r="AY22" s="330">
        <v>0</v>
      </c>
      <c r="AZ22" s="313">
        <v>0</v>
      </c>
      <c r="BA22" s="326">
        <v>0</v>
      </c>
      <c r="BB22" s="289">
        <v>5</v>
      </c>
      <c r="BC22" s="289">
        <v>2</v>
      </c>
      <c r="BD22" s="289">
        <v>5</v>
      </c>
      <c r="BE22" s="332">
        <v>2</v>
      </c>
      <c r="BF22" s="289">
        <v>5</v>
      </c>
      <c r="BG22" s="332">
        <v>2</v>
      </c>
      <c r="BH22" s="289">
        <v>5</v>
      </c>
      <c r="BI22" s="289">
        <v>2</v>
      </c>
      <c r="BJ22" s="289">
        <v>4</v>
      </c>
      <c r="BK22" s="289">
        <v>3</v>
      </c>
      <c r="BL22" s="323">
        <v>0</v>
      </c>
      <c r="BM22" s="323">
        <v>0</v>
      </c>
    </row>
    <row r="23" spans="1:65 16305:1630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</row>
    <row r="24" spans="1:65 16305:16305" ht="15.75" thickBot="1" x14ac:dyDescent="0.3">
      <c r="C24" s="8"/>
      <c r="D24" s="63">
        <f t="shared" ref="D24:AE24" si="0">SUM(D3:D22)</f>
        <v>106</v>
      </c>
      <c r="E24" s="63">
        <f t="shared" si="0"/>
        <v>5</v>
      </c>
      <c r="F24" s="137">
        <f t="shared" si="0"/>
        <v>158</v>
      </c>
      <c r="G24" s="137">
        <f t="shared" si="0"/>
        <v>65</v>
      </c>
      <c r="H24" s="173">
        <f t="shared" si="0"/>
        <v>144</v>
      </c>
      <c r="I24" s="173">
        <f t="shared" si="0"/>
        <v>3</v>
      </c>
      <c r="J24" s="63">
        <f t="shared" si="0"/>
        <v>108</v>
      </c>
      <c r="K24" s="63">
        <f t="shared" si="0"/>
        <v>3</v>
      </c>
      <c r="L24" s="137">
        <f t="shared" si="0"/>
        <v>158</v>
      </c>
      <c r="M24" s="137">
        <f t="shared" si="0"/>
        <v>65</v>
      </c>
      <c r="N24" s="137">
        <f t="shared" ref="N24:Q24" si="1">SUM(N3:N22)</f>
        <v>158</v>
      </c>
      <c r="O24" s="137">
        <f t="shared" si="1"/>
        <v>65</v>
      </c>
      <c r="P24" s="137">
        <f t="shared" si="1"/>
        <v>156</v>
      </c>
      <c r="Q24" s="137">
        <f t="shared" si="1"/>
        <v>65</v>
      </c>
      <c r="R24" s="137">
        <f t="shared" ref="R24:S24" si="2">SUM(R3:R22)</f>
        <v>156</v>
      </c>
      <c r="S24" s="137">
        <f t="shared" si="2"/>
        <v>69</v>
      </c>
      <c r="T24" s="137">
        <f t="shared" si="0"/>
        <v>152</v>
      </c>
      <c r="U24" s="137">
        <f t="shared" si="0"/>
        <v>71</v>
      </c>
      <c r="V24" s="173">
        <f t="shared" si="0"/>
        <v>144</v>
      </c>
      <c r="W24" s="173">
        <f t="shared" si="0"/>
        <v>3</v>
      </c>
      <c r="X24" s="63">
        <f t="shared" si="0"/>
        <v>108</v>
      </c>
      <c r="Y24" s="63">
        <f t="shared" si="0"/>
        <v>3</v>
      </c>
      <c r="Z24" s="137">
        <f t="shared" si="0"/>
        <v>158</v>
      </c>
      <c r="AA24" s="137">
        <f t="shared" si="0"/>
        <v>65</v>
      </c>
      <c r="AB24" s="137">
        <f t="shared" si="0"/>
        <v>162</v>
      </c>
      <c r="AC24" s="137">
        <f t="shared" si="0"/>
        <v>41</v>
      </c>
      <c r="AD24" s="137">
        <f t="shared" si="0"/>
        <v>176</v>
      </c>
      <c r="AE24" s="137">
        <f t="shared" si="0"/>
        <v>47</v>
      </c>
      <c r="AF24" s="137">
        <f t="shared" ref="AF24:AK24" si="3">SUM(AF3:AF22)</f>
        <v>176</v>
      </c>
      <c r="AG24" s="137">
        <f t="shared" si="3"/>
        <v>47</v>
      </c>
      <c r="AH24" s="137">
        <f t="shared" si="3"/>
        <v>178</v>
      </c>
      <c r="AI24" s="137">
        <f t="shared" si="3"/>
        <v>45</v>
      </c>
      <c r="AJ24" s="173">
        <f t="shared" si="3"/>
        <v>144</v>
      </c>
      <c r="AK24" s="173">
        <f t="shared" si="3"/>
        <v>3</v>
      </c>
      <c r="AL24" s="63">
        <f t="shared" ref="AL24:BC24" si="4">SUM(AL3:AL22)</f>
        <v>110</v>
      </c>
      <c r="AM24" s="63">
        <f t="shared" si="4"/>
        <v>1</v>
      </c>
      <c r="AN24" s="137">
        <f t="shared" si="4"/>
        <v>176</v>
      </c>
      <c r="AO24" s="137">
        <f t="shared" si="4"/>
        <v>47</v>
      </c>
      <c r="AP24" s="137">
        <f t="shared" ref="AP24:AS24" si="5">SUM(AP3:AP22)</f>
        <v>176</v>
      </c>
      <c r="AQ24" s="137">
        <f t="shared" si="5"/>
        <v>47</v>
      </c>
      <c r="AR24" s="137">
        <f t="shared" si="5"/>
        <v>176</v>
      </c>
      <c r="AS24" s="137">
        <f t="shared" si="5"/>
        <v>47</v>
      </c>
      <c r="AT24" s="137">
        <f t="shared" ref="AT24:AW24" si="6">SUM(AT3:AT22)</f>
        <v>176</v>
      </c>
      <c r="AU24" s="137">
        <f t="shared" si="6"/>
        <v>47</v>
      </c>
      <c r="AV24" s="137">
        <f t="shared" si="6"/>
        <v>170</v>
      </c>
      <c r="AW24" s="137">
        <f t="shared" si="6"/>
        <v>47</v>
      </c>
      <c r="AX24" s="173">
        <f t="shared" si="4"/>
        <v>144</v>
      </c>
      <c r="AY24" s="173">
        <f t="shared" si="4"/>
        <v>3</v>
      </c>
      <c r="AZ24" s="63">
        <f t="shared" ref="AZ24:BA24" si="7">SUM(AZ3:AZ22)</f>
        <v>108</v>
      </c>
      <c r="BA24" s="63">
        <f t="shared" si="7"/>
        <v>3</v>
      </c>
      <c r="BB24" s="137">
        <f t="shared" si="4"/>
        <v>190</v>
      </c>
      <c r="BC24" s="137">
        <f t="shared" si="4"/>
        <v>33</v>
      </c>
      <c r="BD24" s="137">
        <f t="shared" ref="BD24:BG24" si="8">SUM(BD3:BD22)</f>
        <v>188</v>
      </c>
      <c r="BE24" s="137">
        <f t="shared" si="8"/>
        <v>35</v>
      </c>
      <c r="BF24" s="137">
        <f t="shared" si="8"/>
        <v>188</v>
      </c>
      <c r="BG24" s="137">
        <f t="shared" si="8"/>
        <v>35</v>
      </c>
      <c r="BH24" s="137">
        <f t="shared" ref="BH24:BM24" si="9">SUM(BH3:BH22)</f>
        <v>188</v>
      </c>
      <c r="BI24" s="137">
        <f t="shared" si="9"/>
        <v>35</v>
      </c>
      <c r="BJ24" s="137">
        <f t="shared" si="9"/>
        <v>150</v>
      </c>
      <c r="BK24" s="137">
        <f t="shared" si="9"/>
        <v>35</v>
      </c>
      <c r="BL24" s="173">
        <f t="shared" si="9"/>
        <v>144</v>
      </c>
      <c r="BM24" s="173">
        <f t="shared" si="9"/>
        <v>3</v>
      </c>
      <c r="XCC24" s="64"/>
    </row>
    <row r="25" spans="1:65 16305:1630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54"/>
      <c r="BK25" s="54"/>
      <c r="BL25" s="54"/>
      <c r="BM25" s="54"/>
    </row>
    <row r="26" spans="1:65 16305:1630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54"/>
      <c r="BK26" s="54"/>
      <c r="BL26" s="54"/>
      <c r="BM26" s="54"/>
    </row>
    <row r="27" spans="1:65 16305:1630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  <c r="BL27" s="124"/>
      <c r="BM27" s="124"/>
    </row>
    <row r="28" spans="1:65 16305:1630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  <c r="BL28" s="124"/>
      <c r="BM28" s="124"/>
    </row>
    <row r="29" spans="1:65 16305:1630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  <c r="BL29" s="124"/>
      <c r="BM29" s="124"/>
    </row>
    <row r="30" spans="1:65 16305:1630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305:16305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47</v>
      </c>
      <c r="G31" s="57">
        <f>G5+G12+G19</f>
        <v>32</v>
      </c>
      <c r="H31" s="57">
        <f>H5+H12+H19</f>
        <v>69</v>
      </c>
      <c r="I31" s="57">
        <f>I5+I12+I19</f>
        <v>3</v>
      </c>
      <c r="J31" s="57">
        <f>J5+J12+J19</f>
        <v>51</v>
      </c>
      <c r="K31" s="57">
        <f>K5+K12+K19</f>
        <v>3</v>
      </c>
      <c r="L31" s="150">
        <f>L5+L12+L19</f>
        <v>47</v>
      </c>
      <c r="M31" s="57">
        <f>M5+M12+M19</f>
        <v>32</v>
      </c>
      <c r="N31" s="280">
        <f>N5+N12+N19</f>
        <v>47</v>
      </c>
      <c r="O31" s="280">
        <f>O5+O12+O19</f>
        <v>32</v>
      </c>
      <c r="P31" s="281">
        <f>P5+P12+P19</f>
        <v>43</v>
      </c>
      <c r="Q31" s="281">
        <f>Q5+Q12+Q19</f>
        <v>34</v>
      </c>
      <c r="R31" s="260">
        <f>R5+R12+R19</f>
        <v>48</v>
      </c>
      <c r="S31" s="260">
        <f>S5+S12+S19</f>
        <v>31</v>
      </c>
      <c r="T31" s="57">
        <f>T5+T12+T19</f>
        <v>47</v>
      </c>
      <c r="U31" s="57">
        <f>U5+U12+U19</f>
        <v>32</v>
      </c>
      <c r="V31" s="269">
        <f>V5+V12+V19</f>
        <v>69</v>
      </c>
      <c r="W31" s="269">
        <f>W5+W12+W19</f>
        <v>3</v>
      </c>
      <c r="X31" s="270">
        <f>X5+X12+X19</f>
        <v>51</v>
      </c>
      <c r="Y31" s="270">
        <f>Y5+Y12+Y19</f>
        <v>3</v>
      </c>
      <c r="Z31" s="271">
        <f>Z5+Z12+Z19</f>
        <v>47</v>
      </c>
      <c r="AA31" s="271">
        <f>AA5+AA12+AA19</f>
        <v>32</v>
      </c>
      <c r="AB31" s="272">
        <f>AB5+AB12+AB19</f>
        <v>61</v>
      </c>
      <c r="AC31" s="272">
        <f>AC5+AC12+AC19</f>
        <v>20</v>
      </c>
      <c r="AD31" s="57">
        <f>AD5+AD12+AD19</f>
        <v>56</v>
      </c>
      <c r="AE31" s="57">
        <f>AE5+AE12+AE19</f>
        <v>23</v>
      </c>
      <c r="AF31" s="57">
        <f>AF5+AF12+AF19</f>
        <v>56</v>
      </c>
      <c r="AG31" s="250">
        <f>AG5+AG12+AG19</f>
        <v>23</v>
      </c>
      <c r="AH31" s="57">
        <f>AH5+AH12+AH19</f>
        <v>57</v>
      </c>
      <c r="AI31" s="57">
        <f>AI5+AI12+AI19</f>
        <v>22</v>
      </c>
      <c r="AJ31" s="264">
        <f>AJ5+AJ12+AJ19</f>
        <v>69</v>
      </c>
      <c r="AK31" s="264">
        <f>AK5+AK12+AK19</f>
        <v>3</v>
      </c>
      <c r="AL31" s="283">
        <f>AL5+AL12+AL19</f>
        <v>53</v>
      </c>
      <c r="AM31" s="283">
        <f>AM5+AM12+AM19</f>
        <v>1</v>
      </c>
      <c r="AN31" s="274">
        <f>AN5+AN12+AN19</f>
        <v>56</v>
      </c>
      <c r="AO31" s="274">
        <f>AO5+AO12+AO19</f>
        <v>23</v>
      </c>
      <c r="AP31" s="283">
        <f>AP5+AP12+AP19</f>
        <v>56</v>
      </c>
      <c r="AQ31" s="283">
        <f>AQ5+AQ12+AQ19</f>
        <v>23</v>
      </c>
      <c r="AR31" s="275">
        <f>AR5+AR12+AR19</f>
        <v>56</v>
      </c>
      <c r="AS31" s="275">
        <f>AS5+AS12+AS19</f>
        <v>23</v>
      </c>
      <c r="AT31" s="276">
        <f>AT5+AT12+AT19</f>
        <v>56</v>
      </c>
      <c r="AU31" s="276">
        <f>AU5+AU12+AU19</f>
        <v>23</v>
      </c>
      <c r="AV31" s="277">
        <f>AV5+AV12+AV19</f>
        <v>53</v>
      </c>
      <c r="AW31" s="277">
        <f>AW5+AW12+AW19</f>
        <v>23</v>
      </c>
      <c r="AX31" s="278">
        <f>AX5+AX12+AX19</f>
        <v>70</v>
      </c>
      <c r="AY31" s="278">
        <f>AY5+AY12+AY19</f>
        <v>2</v>
      </c>
      <c r="AZ31" s="57">
        <f>AZ5+AZ12+AZ19</f>
        <v>51</v>
      </c>
      <c r="BA31" s="252">
        <f>BA5+BA12+BA19</f>
        <v>3</v>
      </c>
      <c r="BB31" s="115">
        <f>BB5+BB12+BB19</f>
        <v>63</v>
      </c>
      <c r="BC31" s="253">
        <f>BC5+BC12+BC19</f>
        <v>16</v>
      </c>
      <c r="BD31" s="265">
        <f>BD5+BD12+BD19</f>
        <v>62</v>
      </c>
      <c r="BE31" s="265">
        <f>BE5+BE12+BE19</f>
        <v>17</v>
      </c>
      <c r="BF31" s="174">
        <f>BF5+BF12+BF19</f>
        <v>62</v>
      </c>
      <c r="BG31" s="174">
        <f>BG5+BG12+BG19</f>
        <v>17</v>
      </c>
      <c r="BH31" s="266">
        <f>BH5+BH12+BH19</f>
        <v>62</v>
      </c>
      <c r="BI31" s="266">
        <f>BI5+BI12+BI19</f>
        <v>17</v>
      </c>
      <c r="BJ31" s="267">
        <f>BJ5+BJ12+BJ19</f>
        <v>61</v>
      </c>
      <c r="BK31" s="267">
        <f>BK5+BK12+BK19</f>
        <v>17</v>
      </c>
      <c r="BL31" s="327">
        <f>BL5+BL12+BL19</f>
        <v>69</v>
      </c>
      <c r="BM31" s="327">
        <f>BM5+BM12+BM19</f>
        <v>3</v>
      </c>
    </row>
    <row r="32" spans="1:65 16305:16305" x14ac:dyDescent="0.25">
      <c r="A32" t="s">
        <v>80</v>
      </c>
      <c r="C32" s="8"/>
      <c r="D32" s="57">
        <f>D8+D15+D22</f>
        <v>55</v>
      </c>
      <c r="E32" s="57">
        <f>E8+E15+E22</f>
        <v>2</v>
      </c>
      <c r="F32" s="57">
        <f>F8+F15+F22</f>
        <v>45</v>
      </c>
      <c r="G32" s="57">
        <f>G8+G15+G22</f>
        <v>33</v>
      </c>
      <c r="H32" s="57">
        <f>H8+H15+H22</f>
        <v>75</v>
      </c>
      <c r="I32" s="57">
        <f>I8+I15+I22</f>
        <v>0</v>
      </c>
      <c r="J32" s="57">
        <f>J8+J15+J22</f>
        <v>57</v>
      </c>
      <c r="K32" s="57">
        <f>K8+K15+K22</f>
        <v>0</v>
      </c>
      <c r="L32" s="150">
        <f>L8+L15+L22</f>
        <v>45</v>
      </c>
      <c r="M32" s="57">
        <f>M8+M15+M22</f>
        <v>33</v>
      </c>
      <c r="N32" s="280">
        <f>N8+N15+N22</f>
        <v>45</v>
      </c>
      <c r="O32" s="280">
        <f>O8+O15+O22</f>
        <v>33</v>
      </c>
      <c r="P32" s="281">
        <f>P8+P15+P22</f>
        <v>45</v>
      </c>
      <c r="Q32" s="281">
        <f>Q8+Q15+Q22</f>
        <v>31</v>
      </c>
      <c r="R32" s="260">
        <f>R8+R15+R22</f>
        <v>43</v>
      </c>
      <c r="S32" s="260">
        <f>S8+S15+S22</f>
        <v>35</v>
      </c>
      <c r="T32" s="57">
        <f>T8+T15+T22</f>
        <v>45</v>
      </c>
      <c r="U32" s="57">
        <f>U8+U15+U22</f>
        <v>33</v>
      </c>
      <c r="V32" s="269">
        <f>V8+V15+V22</f>
        <v>75</v>
      </c>
      <c r="W32" s="269">
        <f>W8+W15+W22</f>
        <v>0</v>
      </c>
      <c r="X32" s="270">
        <f>X8+X15+X22</f>
        <v>57</v>
      </c>
      <c r="Y32" s="270">
        <f>Y8+Y15+Y22</f>
        <v>0</v>
      </c>
      <c r="Z32" s="271">
        <f>Z8+Z15+Z22</f>
        <v>45</v>
      </c>
      <c r="AA32" s="271">
        <f>AA8+AA15+AA22</f>
        <v>33</v>
      </c>
      <c r="AB32" s="272">
        <f>AB8+AB15+AB22</f>
        <v>57</v>
      </c>
      <c r="AC32" s="272">
        <f>AC8+AC15+AC22</f>
        <v>21</v>
      </c>
      <c r="AD32" s="57">
        <f>AD8+AD15+AD22</f>
        <v>54</v>
      </c>
      <c r="AE32" s="249">
        <f>AE8+AE15+AE22</f>
        <v>24</v>
      </c>
      <c r="AF32" s="250">
        <f>AF8+AF15+AF22</f>
        <v>54</v>
      </c>
      <c r="AG32" s="250">
        <f>AG8+AG15+AG22</f>
        <v>24</v>
      </c>
      <c r="AH32" s="57">
        <f>AH8+AH15+AH22</f>
        <v>55</v>
      </c>
      <c r="AI32" s="57">
        <f>AI8+AI15+AI22</f>
        <v>23</v>
      </c>
      <c r="AJ32" s="264">
        <f>AJ8+AJ15+AJ22</f>
        <v>75</v>
      </c>
      <c r="AK32" s="264">
        <f>AK8+AK15+AK22</f>
        <v>0</v>
      </c>
      <c r="AL32" s="283">
        <f>AL8+AL15+AL22</f>
        <v>57</v>
      </c>
      <c r="AM32" s="283">
        <f>AM8+AM15+AM22</f>
        <v>0</v>
      </c>
      <c r="AN32" s="274">
        <f>AN8+AN15+AN22</f>
        <v>54</v>
      </c>
      <c r="AO32" s="274">
        <f>AO8+AO15+AO22</f>
        <v>24</v>
      </c>
      <c r="AP32" s="283">
        <f>AP8+AP15+AP22</f>
        <v>54</v>
      </c>
      <c r="AQ32" s="283">
        <f>AQ8+AQ15+AQ22</f>
        <v>24</v>
      </c>
      <c r="AR32" s="275">
        <f>AR8+AR15+AR22</f>
        <v>54</v>
      </c>
      <c r="AS32" s="275">
        <f>AS8+AS15+AS22</f>
        <v>24</v>
      </c>
      <c r="AT32" s="276">
        <f>AT8+AT15+AT22</f>
        <v>54</v>
      </c>
      <c r="AU32" s="276">
        <f>AU8+AU15+AU22</f>
        <v>24</v>
      </c>
      <c r="AV32" s="277">
        <f>AV8+AV15+AV22</f>
        <v>52</v>
      </c>
      <c r="AW32" s="277">
        <f>AW8+AW15+AW22</f>
        <v>22</v>
      </c>
      <c r="AX32" s="278">
        <f>AX8+AX15+AX22</f>
        <v>74</v>
      </c>
      <c r="AY32" s="278">
        <f>AY8+AY15+AY22</f>
        <v>1</v>
      </c>
      <c r="AZ32" s="252">
        <f>AZ8+AZ15+AZ22</f>
        <v>57</v>
      </c>
      <c r="BA32" s="252">
        <f>BA8+BA15+BA22</f>
        <v>0</v>
      </c>
      <c r="BB32" s="253">
        <f>BB8+BB15+BB22</f>
        <v>61</v>
      </c>
      <c r="BC32" s="253">
        <f>BC8+BC15+BC22</f>
        <v>17</v>
      </c>
      <c r="BD32" s="265">
        <f>BD8+BD15+BD22</f>
        <v>60</v>
      </c>
      <c r="BE32" s="265">
        <f>BE8+BE15+BE22</f>
        <v>18</v>
      </c>
      <c r="BF32" s="174">
        <f>BF8+BF15+BF22</f>
        <v>60</v>
      </c>
      <c r="BG32" s="174">
        <f>BG8+BG15+BG22</f>
        <v>18</v>
      </c>
      <c r="BH32" s="266">
        <f>BH8+BH15+BH22</f>
        <v>60</v>
      </c>
      <c r="BI32" s="266">
        <f>BI8+BI15+BI22</f>
        <v>18</v>
      </c>
      <c r="BJ32" s="267">
        <f>BJ8+BJ15+BJ22</f>
        <v>60</v>
      </c>
      <c r="BK32" s="267">
        <f>BK8+BK15+BK22</f>
        <v>16</v>
      </c>
      <c r="BL32" s="327">
        <f>BL8+BL15+BL22</f>
        <v>75</v>
      </c>
      <c r="BM32" s="327">
        <f>BM8+BM15+BM22</f>
        <v>0</v>
      </c>
    </row>
    <row r="33" spans="1:65" x14ac:dyDescent="0.25">
      <c r="A33" t="s">
        <v>81</v>
      </c>
      <c r="C33" s="8"/>
      <c r="D33" s="57">
        <f t="shared" ref="D33:AI33" si="10">D3+D10+D17</f>
        <v>0</v>
      </c>
      <c r="E33" s="57">
        <f t="shared" si="10"/>
        <v>0</v>
      </c>
      <c r="F33" s="57">
        <f t="shared" si="10"/>
        <v>33</v>
      </c>
      <c r="G33" s="57">
        <f t="shared" si="10"/>
        <v>0</v>
      </c>
      <c r="H33" s="57">
        <f t="shared" si="10"/>
        <v>0</v>
      </c>
      <c r="I33" s="57">
        <f t="shared" si="10"/>
        <v>0</v>
      </c>
      <c r="J33" s="57">
        <f t="shared" si="10"/>
        <v>0</v>
      </c>
      <c r="K33" s="57">
        <f t="shared" si="10"/>
        <v>0</v>
      </c>
      <c r="L33" s="150">
        <f t="shared" si="10"/>
        <v>33</v>
      </c>
      <c r="M33" s="57">
        <f t="shared" si="10"/>
        <v>0</v>
      </c>
      <c r="N33" s="280">
        <f t="shared" si="10"/>
        <v>33</v>
      </c>
      <c r="O33" s="280">
        <f t="shared" si="10"/>
        <v>0</v>
      </c>
      <c r="P33" s="281">
        <f t="shared" si="10"/>
        <v>33</v>
      </c>
      <c r="Q33" s="281">
        <f t="shared" si="10"/>
        <v>0</v>
      </c>
      <c r="R33" s="260">
        <f t="shared" si="10"/>
        <v>30</v>
      </c>
      <c r="S33" s="260">
        <f t="shared" si="10"/>
        <v>3</v>
      </c>
      <c r="T33" s="57">
        <f t="shared" si="10"/>
        <v>30</v>
      </c>
      <c r="U33" s="57">
        <f t="shared" si="10"/>
        <v>3</v>
      </c>
      <c r="V33" s="269">
        <f t="shared" si="10"/>
        <v>0</v>
      </c>
      <c r="W33" s="269">
        <f t="shared" si="10"/>
        <v>0</v>
      </c>
      <c r="X33" s="270">
        <f t="shared" si="10"/>
        <v>0</v>
      </c>
      <c r="Y33" s="270">
        <f t="shared" si="10"/>
        <v>0</v>
      </c>
      <c r="Z33" s="271">
        <f t="shared" si="10"/>
        <v>33</v>
      </c>
      <c r="AA33" s="271">
        <f t="shared" si="10"/>
        <v>0</v>
      </c>
      <c r="AB33" s="272">
        <f t="shared" si="10"/>
        <v>21</v>
      </c>
      <c r="AC33" s="272">
        <f t="shared" si="10"/>
        <v>0</v>
      </c>
      <c r="AD33" s="57">
        <f t="shared" si="10"/>
        <v>33</v>
      </c>
      <c r="AE33" s="249">
        <f t="shared" si="10"/>
        <v>0</v>
      </c>
      <c r="AF33" s="57">
        <f t="shared" si="10"/>
        <v>33</v>
      </c>
      <c r="AG33" s="250">
        <f t="shared" si="10"/>
        <v>0</v>
      </c>
      <c r="AH33" s="57">
        <f t="shared" si="10"/>
        <v>33</v>
      </c>
      <c r="AI33" s="57">
        <f t="shared" si="10"/>
        <v>0</v>
      </c>
      <c r="AJ33" s="264">
        <f t="shared" ref="AJ33:BK33" si="11">AJ3+AJ10+AJ17</f>
        <v>0</v>
      </c>
      <c r="AK33" s="264">
        <f t="shared" si="11"/>
        <v>0</v>
      </c>
      <c r="AL33" s="283">
        <f t="shared" si="11"/>
        <v>0</v>
      </c>
      <c r="AM33" s="283">
        <f t="shared" si="11"/>
        <v>0</v>
      </c>
      <c r="AN33" s="274">
        <f t="shared" si="11"/>
        <v>33</v>
      </c>
      <c r="AO33" s="274">
        <f t="shared" si="11"/>
        <v>0</v>
      </c>
      <c r="AP33" s="283">
        <f t="shared" si="11"/>
        <v>33</v>
      </c>
      <c r="AQ33" s="283">
        <f t="shared" si="11"/>
        <v>0</v>
      </c>
      <c r="AR33" s="275">
        <f t="shared" si="11"/>
        <v>33</v>
      </c>
      <c r="AS33" s="275">
        <f t="shared" si="11"/>
        <v>0</v>
      </c>
      <c r="AT33" s="276">
        <f t="shared" si="11"/>
        <v>33</v>
      </c>
      <c r="AU33" s="276">
        <f t="shared" si="11"/>
        <v>0</v>
      </c>
      <c r="AV33" s="277">
        <f t="shared" si="11"/>
        <v>33</v>
      </c>
      <c r="AW33" s="277">
        <f t="shared" si="11"/>
        <v>0</v>
      </c>
      <c r="AX33" s="278">
        <f t="shared" si="11"/>
        <v>0</v>
      </c>
      <c r="AY33" s="278">
        <f t="shared" si="11"/>
        <v>0</v>
      </c>
      <c r="AZ33" s="57">
        <f t="shared" si="11"/>
        <v>0</v>
      </c>
      <c r="BA33" s="252">
        <f t="shared" si="11"/>
        <v>0</v>
      </c>
      <c r="BB33" s="253">
        <f t="shared" si="11"/>
        <v>33</v>
      </c>
      <c r="BC33" s="253">
        <f t="shared" si="11"/>
        <v>0</v>
      </c>
      <c r="BD33" s="265">
        <f t="shared" si="11"/>
        <v>33</v>
      </c>
      <c r="BE33" s="265">
        <f t="shared" si="11"/>
        <v>0</v>
      </c>
      <c r="BF33" s="254">
        <f t="shared" si="11"/>
        <v>33</v>
      </c>
      <c r="BG33" s="174">
        <f t="shared" si="11"/>
        <v>0</v>
      </c>
      <c r="BH33" s="266">
        <f t="shared" si="11"/>
        <v>33</v>
      </c>
      <c r="BI33" s="266">
        <f t="shared" si="11"/>
        <v>0</v>
      </c>
      <c r="BJ33" s="267">
        <f t="shared" si="11"/>
        <v>13</v>
      </c>
      <c r="BK33" s="267">
        <f t="shared" si="11"/>
        <v>0</v>
      </c>
      <c r="BL33" s="327">
        <f t="shared" ref="BL33:BM33" si="12">BL3+BL10+BL17</f>
        <v>0</v>
      </c>
      <c r="BM33" s="327">
        <f t="shared" si="12"/>
        <v>0</v>
      </c>
    </row>
    <row r="34" spans="1:65" x14ac:dyDescent="0.25">
      <c r="A34" t="s">
        <v>82</v>
      </c>
      <c r="C34" s="8"/>
      <c r="D34" s="57">
        <f t="shared" ref="D34:AI34" si="13">D6+D13+D20</f>
        <v>0</v>
      </c>
      <c r="E34" s="57">
        <f t="shared" si="13"/>
        <v>0</v>
      </c>
      <c r="F34" s="57">
        <f t="shared" si="13"/>
        <v>32</v>
      </c>
      <c r="G34" s="57">
        <f t="shared" si="13"/>
        <v>0</v>
      </c>
      <c r="H34" s="57">
        <f t="shared" si="13"/>
        <v>0</v>
      </c>
      <c r="I34" s="57">
        <f t="shared" si="13"/>
        <v>0</v>
      </c>
      <c r="J34" s="57">
        <f t="shared" si="13"/>
        <v>0</v>
      </c>
      <c r="K34" s="57">
        <f t="shared" si="13"/>
        <v>0</v>
      </c>
      <c r="L34" s="150">
        <f t="shared" si="13"/>
        <v>32</v>
      </c>
      <c r="M34" s="57">
        <f t="shared" si="13"/>
        <v>0</v>
      </c>
      <c r="N34" s="280">
        <f t="shared" si="13"/>
        <v>32</v>
      </c>
      <c r="O34" s="280">
        <f t="shared" si="13"/>
        <v>0</v>
      </c>
      <c r="P34" s="281">
        <f t="shared" si="13"/>
        <v>34</v>
      </c>
      <c r="Q34" s="281">
        <f t="shared" si="13"/>
        <v>0</v>
      </c>
      <c r="R34" s="260">
        <f t="shared" si="13"/>
        <v>34</v>
      </c>
      <c r="S34" s="260">
        <f t="shared" si="13"/>
        <v>0</v>
      </c>
      <c r="T34" s="57">
        <f t="shared" si="13"/>
        <v>29</v>
      </c>
      <c r="U34" s="57">
        <f t="shared" si="13"/>
        <v>3</v>
      </c>
      <c r="V34" s="269">
        <f t="shared" si="13"/>
        <v>0</v>
      </c>
      <c r="W34" s="269">
        <f t="shared" si="13"/>
        <v>0</v>
      </c>
      <c r="X34" s="270">
        <f t="shared" si="13"/>
        <v>0</v>
      </c>
      <c r="Y34" s="270">
        <f t="shared" si="13"/>
        <v>0</v>
      </c>
      <c r="Z34" s="271">
        <f t="shared" si="13"/>
        <v>32</v>
      </c>
      <c r="AA34" s="271">
        <f t="shared" si="13"/>
        <v>0</v>
      </c>
      <c r="AB34" s="272">
        <f t="shared" si="13"/>
        <v>22</v>
      </c>
      <c r="AC34" s="272">
        <f t="shared" si="13"/>
        <v>0</v>
      </c>
      <c r="AD34" s="57">
        <f t="shared" si="13"/>
        <v>32</v>
      </c>
      <c r="AE34" s="249">
        <f t="shared" si="13"/>
        <v>0</v>
      </c>
      <c r="AF34" s="57">
        <f t="shared" si="13"/>
        <v>32</v>
      </c>
      <c r="AG34" s="250">
        <f t="shared" si="13"/>
        <v>0</v>
      </c>
      <c r="AH34" s="57">
        <f t="shared" si="13"/>
        <v>32</v>
      </c>
      <c r="AI34" s="57">
        <f t="shared" si="13"/>
        <v>0</v>
      </c>
      <c r="AJ34" s="264">
        <f t="shared" ref="AJ34:BK34" si="14">AJ6+AJ13+AJ20</f>
        <v>0</v>
      </c>
      <c r="AK34" s="264">
        <f t="shared" si="14"/>
        <v>0</v>
      </c>
      <c r="AL34" s="283">
        <f t="shared" si="14"/>
        <v>0</v>
      </c>
      <c r="AM34" s="283">
        <f t="shared" si="14"/>
        <v>0</v>
      </c>
      <c r="AN34" s="274">
        <f t="shared" si="14"/>
        <v>32</v>
      </c>
      <c r="AO34" s="274">
        <f t="shared" si="14"/>
        <v>0</v>
      </c>
      <c r="AP34" s="283">
        <f t="shared" si="14"/>
        <v>32</v>
      </c>
      <c r="AQ34" s="283">
        <f t="shared" si="14"/>
        <v>0</v>
      </c>
      <c r="AR34" s="275">
        <f t="shared" si="14"/>
        <v>32</v>
      </c>
      <c r="AS34" s="275">
        <f t="shared" si="14"/>
        <v>0</v>
      </c>
      <c r="AT34" s="276">
        <f t="shared" si="14"/>
        <v>32</v>
      </c>
      <c r="AU34" s="276">
        <f t="shared" si="14"/>
        <v>0</v>
      </c>
      <c r="AV34" s="277">
        <f t="shared" si="14"/>
        <v>29</v>
      </c>
      <c r="AW34" s="277">
        <f t="shared" si="14"/>
        <v>0</v>
      </c>
      <c r="AX34" s="278">
        <f t="shared" si="14"/>
        <v>0</v>
      </c>
      <c r="AY34" s="278">
        <f t="shared" si="14"/>
        <v>0</v>
      </c>
      <c r="AZ34" s="57">
        <f t="shared" si="14"/>
        <v>0</v>
      </c>
      <c r="BA34" s="252">
        <f t="shared" si="14"/>
        <v>0</v>
      </c>
      <c r="BB34" s="115">
        <f t="shared" si="14"/>
        <v>32</v>
      </c>
      <c r="BC34" s="253">
        <f t="shared" si="14"/>
        <v>0</v>
      </c>
      <c r="BD34" s="265">
        <f t="shared" si="14"/>
        <v>32</v>
      </c>
      <c r="BE34" s="265">
        <f t="shared" si="14"/>
        <v>0</v>
      </c>
      <c r="BF34" s="174">
        <f t="shared" si="14"/>
        <v>32</v>
      </c>
      <c r="BG34" s="174">
        <f t="shared" si="14"/>
        <v>0</v>
      </c>
      <c r="BH34" s="266">
        <f t="shared" si="14"/>
        <v>32</v>
      </c>
      <c r="BI34" s="266">
        <f t="shared" si="14"/>
        <v>0</v>
      </c>
      <c r="BJ34" s="267">
        <f t="shared" si="14"/>
        <v>15</v>
      </c>
      <c r="BK34" s="267">
        <f t="shared" si="14"/>
        <v>2</v>
      </c>
      <c r="BL34" s="327">
        <f t="shared" ref="BL34:BM34" si="15">BL6+BL13+BL20</f>
        <v>0</v>
      </c>
      <c r="BM34" s="327">
        <f t="shared" si="15"/>
        <v>0</v>
      </c>
    </row>
    <row r="35" spans="1:65" s="124" customFormat="1" x14ac:dyDescent="0.25">
      <c r="A35" s="124" t="s">
        <v>122</v>
      </c>
      <c r="C35" s="8"/>
      <c r="D35" s="154">
        <f t="shared" ref="D35:AI35" si="16">D4+D11+D18</f>
        <v>0</v>
      </c>
      <c r="E35" s="154">
        <f t="shared" si="16"/>
        <v>0</v>
      </c>
      <c r="F35" s="154">
        <f t="shared" si="16"/>
        <v>0</v>
      </c>
      <c r="G35" s="154">
        <f t="shared" si="16"/>
        <v>0</v>
      </c>
      <c r="H35" s="154">
        <f t="shared" si="16"/>
        <v>0</v>
      </c>
      <c r="I35" s="154">
        <f t="shared" si="16"/>
        <v>0</v>
      </c>
      <c r="J35" s="154">
        <f t="shared" si="16"/>
        <v>0</v>
      </c>
      <c r="K35" s="154">
        <f t="shared" si="16"/>
        <v>0</v>
      </c>
      <c r="L35" s="154">
        <f t="shared" si="16"/>
        <v>0</v>
      </c>
      <c r="M35" s="154">
        <f t="shared" si="16"/>
        <v>0</v>
      </c>
      <c r="N35" s="280">
        <f t="shared" si="16"/>
        <v>0</v>
      </c>
      <c r="O35" s="280">
        <f t="shared" si="16"/>
        <v>0</v>
      </c>
      <c r="P35" s="281">
        <f t="shared" si="16"/>
        <v>0</v>
      </c>
      <c r="Q35" s="281">
        <f t="shared" si="16"/>
        <v>0</v>
      </c>
      <c r="R35" s="260">
        <f t="shared" si="16"/>
        <v>0</v>
      </c>
      <c r="S35" s="260">
        <f t="shared" si="16"/>
        <v>0</v>
      </c>
      <c r="T35" s="154">
        <f t="shared" si="16"/>
        <v>0</v>
      </c>
      <c r="U35" s="154">
        <f t="shared" si="16"/>
        <v>0</v>
      </c>
      <c r="V35" s="269">
        <f t="shared" si="16"/>
        <v>0</v>
      </c>
      <c r="W35" s="269">
        <f t="shared" si="16"/>
        <v>0</v>
      </c>
      <c r="X35" s="270">
        <f t="shared" si="16"/>
        <v>0</v>
      </c>
      <c r="Y35" s="270">
        <f t="shared" si="16"/>
        <v>0</v>
      </c>
      <c r="Z35" s="271">
        <f t="shared" si="16"/>
        <v>0</v>
      </c>
      <c r="AA35" s="271">
        <f t="shared" si="16"/>
        <v>0</v>
      </c>
      <c r="AB35" s="272">
        <f t="shared" si="16"/>
        <v>0</v>
      </c>
      <c r="AC35" s="272">
        <f t="shared" si="16"/>
        <v>0</v>
      </c>
      <c r="AD35" s="154">
        <f t="shared" si="16"/>
        <v>0</v>
      </c>
      <c r="AE35" s="249">
        <f t="shared" si="16"/>
        <v>0</v>
      </c>
      <c r="AF35" s="154">
        <f t="shared" si="16"/>
        <v>0</v>
      </c>
      <c r="AG35" s="250">
        <f t="shared" si="16"/>
        <v>0</v>
      </c>
      <c r="AH35" s="154">
        <f t="shared" si="16"/>
        <v>0</v>
      </c>
      <c r="AI35" s="154">
        <f t="shared" si="16"/>
        <v>0</v>
      </c>
      <c r="AJ35" s="264">
        <f t="shared" ref="AJ35:BK35" si="17">AJ4+AJ11+AJ18</f>
        <v>0</v>
      </c>
      <c r="AK35" s="264">
        <f t="shared" si="17"/>
        <v>0</v>
      </c>
      <c r="AL35" s="283">
        <f t="shared" si="17"/>
        <v>0</v>
      </c>
      <c r="AM35" s="283">
        <f t="shared" si="17"/>
        <v>0</v>
      </c>
      <c r="AN35" s="274">
        <f t="shared" si="17"/>
        <v>0</v>
      </c>
      <c r="AO35" s="274">
        <f t="shared" si="17"/>
        <v>0</v>
      </c>
      <c r="AP35" s="283">
        <f t="shared" si="17"/>
        <v>0</v>
      </c>
      <c r="AQ35" s="283">
        <f t="shared" si="17"/>
        <v>0</v>
      </c>
      <c r="AR35" s="275">
        <f t="shared" si="17"/>
        <v>0</v>
      </c>
      <c r="AS35" s="275">
        <f t="shared" si="17"/>
        <v>0</v>
      </c>
      <c r="AT35" s="276">
        <f t="shared" si="17"/>
        <v>0</v>
      </c>
      <c r="AU35" s="276">
        <f t="shared" si="17"/>
        <v>0</v>
      </c>
      <c r="AV35" s="277">
        <f t="shared" si="17"/>
        <v>0</v>
      </c>
      <c r="AW35" s="277">
        <f t="shared" si="17"/>
        <v>0</v>
      </c>
      <c r="AX35" s="278">
        <f t="shared" si="17"/>
        <v>0</v>
      </c>
      <c r="AY35" s="278">
        <f t="shared" si="17"/>
        <v>0</v>
      </c>
      <c r="AZ35" s="154">
        <f t="shared" si="17"/>
        <v>0</v>
      </c>
      <c r="BA35" s="252">
        <f t="shared" si="17"/>
        <v>0</v>
      </c>
      <c r="BB35" s="154">
        <f t="shared" si="17"/>
        <v>0</v>
      </c>
      <c r="BC35" s="253">
        <f t="shared" si="17"/>
        <v>0</v>
      </c>
      <c r="BD35" s="265">
        <f t="shared" si="17"/>
        <v>0</v>
      </c>
      <c r="BE35" s="265">
        <f t="shared" si="17"/>
        <v>0</v>
      </c>
      <c r="BF35" s="174">
        <f t="shared" si="17"/>
        <v>0</v>
      </c>
      <c r="BG35" s="174">
        <f t="shared" si="17"/>
        <v>0</v>
      </c>
      <c r="BH35" s="266">
        <f t="shared" si="17"/>
        <v>0</v>
      </c>
      <c r="BI35" s="266">
        <f t="shared" si="17"/>
        <v>0</v>
      </c>
      <c r="BJ35" s="267">
        <f t="shared" si="17"/>
        <v>0</v>
      </c>
      <c r="BK35" s="267">
        <f t="shared" si="17"/>
        <v>0</v>
      </c>
      <c r="BL35" s="327">
        <f t="shared" ref="BL35:BM35" si="18">BL4+BL11+BL18</f>
        <v>0</v>
      </c>
      <c r="BM35" s="327">
        <f t="shared" si="18"/>
        <v>0</v>
      </c>
    </row>
    <row r="36" spans="1:65" x14ac:dyDescent="0.25">
      <c r="A36" t="s">
        <v>35</v>
      </c>
      <c r="C36" s="8"/>
      <c r="D36" s="57">
        <f t="shared" ref="D36:AI36" si="19">D7+D14+D21</f>
        <v>0</v>
      </c>
      <c r="E36" s="57">
        <f t="shared" si="19"/>
        <v>0</v>
      </c>
      <c r="F36" s="57">
        <f t="shared" si="19"/>
        <v>1</v>
      </c>
      <c r="G36" s="57">
        <f t="shared" si="19"/>
        <v>0</v>
      </c>
      <c r="H36" s="57">
        <f t="shared" si="19"/>
        <v>0</v>
      </c>
      <c r="I36" s="57">
        <f t="shared" si="19"/>
        <v>0</v>
      </c>
      <c r="J36" s="57">
        <f t="shared" si="19"/>
        <v>0</v>
      </c>
      <c r="K36" s="57">
        <f t="shared" si="19"/>
        <v>0</v>
      </c>
      <c r="L36" s="150">
        <f t="shared" si="19"/>
        <v>1</v>
      </c>
      <c r="M36" s="57">
        <f t="shared" si="19"/>
        <v>0</v>
      </c>
      <c r="N36" s="280">
        <f t="shared" si="19"/>
        <v>1</v>
      </c>
      <c r="O36" s="280">
        <f t="shared" si="19"/>
        <v>0</v>
      </c>
      <c r="P36" s="281">
        <f t="shared" si="19"/>
        <v>1</v>
      </c>
      <c r="Q36" s="281">
        <f t="shared" si="19"/>
        <v>0</v>
      </c>
      <c r="R36" s="260">
        <f t="shared" si="19"/>
        <v>1</v>
      </c>
      <c r="S36" s="260">
        <f t="shared" si="19"/>
        <v>0</v>
      </c>
      <c r="T36" s="57">
        <f t="shared" si="19"/>
        <v>1</v>
      </c>
      <c r="U36" s="57">
        <f t="shared" si="19"/>
        <v>0</v>
      </c>
      <c r="V36" s="269">
        <f t="shared" si="19"/>
        <v>0</v>
      </c>
      <c r="W36" s="269">
        <f t="shared" si="19"/>
        <v>0</v>
      </c>
      <c r="X36" s="270">
        <f t="shared" si="19"/>
        <v>0</v>
      </c>
      <c r="Y36" s="270">
        <f t="shared" si="19"/>
        <v>0</v>
      </c>
      <c r="Z36" s="271">
        <f t="shared" si="19"/>
        <v>1</v>
      </c>
      <c r="AA36" s="271">
        <f t="shared" si="19"/>
        <v>0</v>
      </c>
      <c r="AB36" s="272">
        <f t="shared" si="19"/>
        <v>1</v>
      </c>
      <c r="AC36" s="272">
        <f t="shared" si="19"/>
        <v>0</v>
      </c>
      <c r="AD36" s="57">
        <f t="shared" si="19"/>
        <v>1</v>
      </c>
      <c r="AE36" s="249">
        <f t="shared" si="19"/>
        <v>0</v>
      </c>
      <c r="AF36" s="250">
        <f t="shared" si="19"/>
        <v>1</v>
      </c>
      <c r="AG36" s="250">
        <f t="shared" si="19"/>
        <v>0</v>
      </c>
      <c r="AH36" s="57">
        <f t="shared" si="19"/>
        <v>1</v>
      </c>
      <c r="AI36" s="57">
        <f t="shared" si="19"/>
        <v>0</v>
      </c>
      <c r="AJ36" s="264">
        <f t="shared" ref="AJ36:BK36" si="20">AJ7+AJ14+AJ21</f>
        <v>0</v>
      </c>
      <c r="AK36" s="264">
        <f t="shared" si="20"/>
        <v>0</v>
      </c>
      <c r="AL36" s="283">
        <f t="shared" si="20"/>
        <v>0</v>
      </c>
      <c r="AM36" s="283">
        <f t="shared" si="20"/>
        <v>0</v>
      </c>
      <c r="AN36" s="274">
        <f t="shared" si="20"/>
        <v>1</v>
      </c>
      <c r="AO36" s="274">
        <f t="shared" si="20"/>
        <v>0</v>
      </c>
      <c r="AP36" s="283">
        <f t="shared" si="20"/>
        <v>1</v>
      </c>
      <c r="AQ36" s="283">
        <f t="shared" si="20"/>
        <v>0</v>
      </c>
      <c r="AR36" s="275">
        <f t="shared" si="20"/>
        <v>1</v>
      </c>
      <c r="AS36" s="275">
        <f t="shared" si="20"/>
        <v>0</v>
      </c>
      <c r="AT36" s="276">
        <f t="shared" si="20"/>
        <v>1</v>
      </c>
      <c r="AU36" s="276">
        <f t="shared" si="20"/>
        <v>0</v>
      </c>
      <c r="AV36" s="277">
        <f t="shared" si="20"/>
        <v>3</v>
      </c>
      <c r="AW36" s="277">
        <f t="shared" si="20"/>
        <v>2</v>
      </c>
      <c r="AX36" s="278">
        <f t="shared" si="20"/>
        <v>0</v>
      </c>
      <c r="AY36" s="278">
        <f t="shared" si="20"/>
        <v>0</v>
      </c>
      <c r="AZ36" s="252">
        <f t="shared" si="20"/>
        <v>0</v>
      </c>
      <c r="BA36" s="252">
        <f t="shared" si="20"/>
        <v>0</v>
      </c>
      <c r="BB36" s="253">
        <f t="shared" si="20"/>
        <v>1</v>
      </c>
      <c r="BC36" s="253">
        <f t="shared" si="20"/>
        <v>0</v>
      </c>
      <c r="BD36" s="265">
        <f t="shared" si="20"/>
        <v>1</v>
      </c>
      <c r="BE36" s="265">
        <f t="shared" si="20"/>
        <v>0</v>
      </c>
      <c r="BF36" s="174">
        <f t="shared" si="20"/>
        <v>1</v>
      </c>
      <c r="BG36" s="174">
        <f t="shared" si="20"/>
        <v>0</v>
      </c>
      <c r="BH36" s="266">
        <f t="shared" si="20"/>
        <v>1</v>
      </c>
      <c r="BI36" s="266">
        <f t="shared" si="20"/>
        <v>0</v>
      </c>
      <c r="BJ36" s="267">
        <f t="shared" si="20"/>
        <v>1</v>
      </c>
      <c r="BK36" s="267">
        <f t="shared" si="20"/>
        <v>0</v>
      </c>
      <c r="BL36" s="327">
        <f t="shared" ref="BL36:BM36" si="21">BL7+BL14+BL21</f>
        <v>0</v>
      </c>
      <c r="BM36" s="327">
        <f t="shared" si="21"/>
        <v>0</v>
      </c>
    </row>
    <row r="37" spans="1:65" x14ac:dyDescent="0.25">
      <c r="A37" s="378" t="s">
        <v>83</v>
      </c>
      <c r="B37" s="378"/>
      <c r="C37" s="8"/>
      <c r="D37" s="149">
        <f>SUM(D31:D36)</f>
        <v>106</v>
      </c>
      <c r="E37" s="235">
        <f t="shared" ref="E37:Q37" si="22">SUM(E31:E36)</f>
        <v>5</v>
      </c>
      <c r="F37" s="235">
        <f t="shared" si="22"/>
        <v>158</v>
      </c>
      <c r="G37" s="235">
        <f t="shared" si="22"/>
        <v>65</v>
      </c>
      <c r="H37" s="235">
        <f t="shared" si="22"/>
        <v>144</v>
      </c>
      <c r="I37" s="235">
        <f t="shared" si="22"/>
        <v>3</v>
      </c>
      <c r="J37" s="235">
        <f t="shared" si="22"/>
        <v>108</v>
      </c>
      <c r="K37" s="235">
        <f t="shared" si="22"/>
        <v>3</v>
      </c>
      <c r="L37" s="235">
        <f t="shared" si="22"/>
        <v>158</v>
      </c>
      <c r="M37" s="235">
        <f t="shared" si="22"/>
        <v>65</v>
      </c>
      <c r="N37" s="235">
        <f t="shared" si="22"/>
        <v>158</v>
      </c>
      <c r="O37" s="235">
        <f t="shared" si="22"/>
        <v>65</v>
      </c>
      <c r="P37" s="235">
        <f t="shared" si="22"/>
        <v>156</v>
      </c>
      <c r="Q37" s="235">
        <f t="shared" si="22"/>
        <v>65</v>
      </c>
      <c r="R37" s="235">
        <f>SUM(R31:R36)</f>
        <v>156</v>
      </c>
      <c r="S37" s="291">
        <f>SUM(S31:S36)</f>
        <v>69</v>
      </c>
      <c r="T37" s="235">
        <f t="shared" ref="T37:AI37" si="23">SUM(T31:T36)</f>
        <v>152</v>
      </c>
      <c r="U37" s="235">
        <f t="shared" si="23"/>
        <v>71</v>
      </c>
      <c r="V37" s="262">
        <f t="shared" si="23"/>
        <v>144</v>
      </c>
      <c r="W37" s="262">
        <f t="shared" si="23"/>
        <v>3</v>
      </c>
      <c r="X37" s="235">
        <f t="shared" si="23"/>
        <v>108</v>
      </c>
      <c r="Y37" s="235">
        <f t="shared" si="23"/>
        <v>3</v>
      </c>
      <c r="Z37" s="235">
        <f t="shared" si="23"/>
        <v>158</v>
      </c>
      <c r="AA37" s="235">
        <f t="shared" si="23"/>
        <v>65</v>
      </c>
      <c r="AB37" s="235">
        <f t="shared" si="23"/>
        <v>162</v>
      </c>
      <c r="AC37" s="235">
        <f t="shared" si="23"/>
        <v>41</v>
      </c>
      <c r="AD37" s="235">
        <f t="shared" si="23"/>
        <v>176</v>
      </c>
      <c r="AE37" s="235">
        <f t="shared" si="23"/>
        <v>47</v>
      </c>
      <c r="AF37" s="235">
        <f>SUM(AF31:AF36)</f>
        <v>176</v>
      </c>
      <c r="AG37" s="235">
        <f>SUM(AG31:AG36)</f>
        <v>47</v>
      </c>
      <c r="AH37" s="235">
        <f t="shared" si="23"/>
        <v>178</v>
      </c>
      <c r="AI37" s="235">
        <f t="shared" si="23"/>
        <v>45</v>
      </c>
      <c r="AJ37" s="235">
        <f t="shared" ref="AJ37:BI37" si="24">SUM(AJ31:AJ36)</f>
        <v>144</v>
      </c>
      <c r="AK37" s="235">
        <f t="shared" si="24"/>
        <v>3</v>
      </c>
      <c r="AL37" s="235">
        <f t="shared" si="24"/>
        <v>110</v>
      </c>
      <c r="AM37" s="235">
        <f t="shared" si="24"/>
        <v>1</v>
      </c>
      <c r="AN37" s="235">
        <f t="shared" si="24"/>
        <v>176</v>
      </c>
      <c r="AO37" s="235">
        <f t="shared" si="24"/>
        <v>47</v>
      </c>
      <c r="AP37" s="235">
        <f t="shared" si="24"/>
        <v>176</v>
      </c>
      <c r="AQ37" s="235">
        <f t="shared" si="24"/>
        <v>47</v>
      </c>
      <c r="AR37" s="235">
        <f t="shared" si="24"/>
        <v>176</v>
      </c>
      <c r="AS37" s="235">
        <f t="shared" si="24"/>
        <v>47</v>
      </c>
      <c r="AT37" s="235">
        <f>SUM(AT31:AT36)</f>
        <v>176</v>
      </c>
      <c r="AU37" s="235">
        <f>SUM(AU31:AU36)</f>
        <v>47</v>
      </c>
      <c r="AV37" s="235">
        <f>SUM(AV31:AV36)</f>
        <v>170</v>
      </c>
      <c r="AW37" s="235">
        <f>SUM(AW31:AW36)</f>
        <v>47</v>
      </c>
      <c r="AX37" s="235">
        <f t="shared" si="24"/>
        <v>144</v>
      </c>
      <c r="AY37" s="276">
        <f t="shared" si="24"/>
        <v>3</v>
      </c>
      <c r="AZ37" s="276">
        <f t="shared" si="24"/>
        <v>108</v>
      </c>
      <c r="BA37" s="276">
        <f t="shared" si="24"/>
        <v>3</v>
      </c>
      <c r="BB37" s="276">
        <f t="shared" si="24"/>
        <v>190</v>
      </c>
      <c r="BC37" s="276">
        <f t="shared" si="24"/>
        <v>33</v>
      </c>
      <c r="BD37" s="276">
        <f t="shared" si="24"/>
        <v>188</v>
      </c>
      <c r="BE37" s="276">
        <f t="shared" si="24"/>
        <v>35</v>
      </c>
      <c r="BF37" s="276">
        <f t="shared" si="24"/>
        <v>188</v>
      </c>
      <c r="BG37" s="276">
        <f t="shared" si="24"/>
        <v>35</v>
      </c>
      <c r="BH37" s="235">
        <f t="shared" si="24"/>
        <v>188</v>
      </c>
      <c r="BI37" s="235">
        <f t="shared" si="24"/>
        <v>35</v>
      </c>
      <c r="BJ37" s="235">
        <f>SUM(BJ31:BJ36)</f>
        <v>150</v>
      </c>
      <c r="BK37" s="235">
        <f>SUM(BK31:BK36)</f>
        <v>35</v>
      </c>
      <c r="BL37" s="327">
        <f>SUM(BL31:BL36)</f>
        <v>144</v>
      </c>
      <c r="BM37" s="327">
        <f>SUM(BM31:BM36)</f>
        <v>3</v>
      </c>
    </row>
    <row r="38" spans="1:65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54"/>
      <c r="BL38" s="54"/>
      <c r="BM38" s="54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8"/>
      <c r="BL39" s="58"/>
      <c r="BM39" s="58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79</v>
      </c>
      <c r="G40" s="57"/>
      <c r="H40" s="57">
        <f>H5+I5+H12+I12+H19+I19</f>
        <v>72</v>
      </c>
      <c r="I40" s="57"/>
      <c r="J40" s="57">
        <f>J5+K5+J12+K12+J19+K19</f>
        <v>54</v>
      </c>
      <c r="K40" s="57"/>
      <c r="L40" s="150">
        <f>L5+M5+L12+M12+L19+M19</f>
        <v>79</v>
      </c>
      <c r="M40" s="280"/>
      <c r="N40" s="280">
        <f>N5+O5+N12+O12+N19+O19</f>
        <v>79</v>
      </c>
      <c r="O40" s="281"/>
      <c r="P40" s="281">
        <f>P5+Q5+P12+Q12+P19+Q19</f>
        <v>77</v>
      </c>
      <c r="Q40" s="260"/>
      <c r="R40" s="260">
        <f>R5+S5+R12+S12+R19+S19</f>
        <v>79</v>
      </c>
      <c r="S40" s="57"/>
      <c r="T40" s="57">
        <f>T5+U5+T12+U12+T19+U19</f>
        <v>79</v>
      </c>
      <c r="U40" s="269"/>
      <c r="V40" s="269">
        <f>V5+W5+V12+W12+V19+W19</f>
        <v>72</v>
      </c>
      <c r="W40" s="270"/>
      <c r="X40" s="270">
        <f>X5+Y5+X12+Y12+X19+Y19</f>
        <v>54</v>
      </c>
      <c r="Y40" s="271"/>
      <c r="Z40" s="271">
        <f>Z5+AA5+Z12+AA12+Z19+AA19</f>
        <v>79</v>
      </c>
      <c r="AA40" s="272"/>
      <c r="AB40" s="272">
        <f>AB5+AC5+AB12+AC12+AB19+AC19</f>
        <v>81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4"/>
      <c r="AJ40" s="264">
        <f>AJ5+AK5+AJ12+AK12+AJ19+AK19</f>
        <v>72</v>
      </c>
      <c r="AK40" s="273"/>
      <c r="AL40" s="282">
        <f>AL5+AM5+AL12+AM12+AL19+AM19</f>
        <v>54</v>
      </c>
      <c r="AM40" s="274"/>
      <c r="AN40" s="274">
        <f>AN5+AO5+AN12+AO12+AN19+AO19</f>
        <v>79</v>
      </c>
      <c r="AO40" s="283"/>
      <c r="AP40" s="283">
        <f>AP5+AQ5+AP12+AQ12+AP19+AQ19</f>
        <v>79</v>
      </c>
      <c r="AQ40" s="275"/>
      <c r="AR40" s="275">
        <f>AR5+AS5+AR12+AS12+AR19+AS19</f>
        <v>79</v>
      </c>
      <c r="AS40" s="276"/>
      <c r="AT40" s="276">
        <f>AT5+AU5+AT12+AU12+AT19+AU19</f>
        <v>79</v>
      </c>
      <c r="AU40" s="277"/>
      <c r="AV40" s="277">
        <f>AV5+AW5+AV12+AW12+AV19+AW19</f>
        <v>76</v>
      </c>
      <c r="AW40" s="278"/>
      <c r="AX40" s="278">
        <f>AX5+AY5+AX12+AY12+AX19+AY19</f>
        <v>72</v>
      </c>
      <c r="AY40" s="57"/>
      <c r="AZ40" s="57">
        <f>AZ5+BA5+AZ12+BA12+AZ19+BA19</f>
        <v>54</v>
      </c>
      <c r="BA40" s="57"/>
      <c r="BB40" s="115">
        <f>BB5+BC5+BB12+BC12+BB19+BC19</f>
        <v>79</v>
      </c>
      <c r="BC40" s="265"/>
      <c r="BD40" s="265">
        <f>BD5+BE5+BD12+BE12+BD19+BE19</f>
        <v>79</v>
      </c>
      <c r="BE40" s="115"/>
      <c r="BF40" s="57">
        <f>BF5+BG5+BF12+BG12+BF19+BG19</f>
        <v>79</v>
      </c>
      <c r="BG40" s="266"/>
      <c r="BH40" s="266">
        <f>BH5+BI5+BH12+BI12+BH19+BI19</f>
        <v>79</v>
      </c>
      <c r="BI40" s="267"/>
      <c r="BJ40" s="267">
        <f>BJ5+BK5+BJ12+BK12+BJ19+BK19</f>
        <v>78</v>
      </c>
      <c r="BK40" s="297"/>
      <c r="BL40" s="327">
        <f>BL5+BM5+BL12+BM12+BL19+BM19</f>
        <v>72</v>
      </c>
      <c r="BM40" s="327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78</v>
      </c>
      <c r="G41" s="57"/>
      <c r="H41" s="57">
        <f>H8+I8+H15+I15+H22+I22</f>
        <v>75</v>
      </c>
      <c r="I41" s="57"/>
      <c r="J41" s="57">
        <f>J8+K8+J15+K15+J22+K22</f>
        <v>57</v>
      </c>
      <c r="K41" s="57"/>
      <c r="L41" s="57">
        <f>L8+M8+L15+M15+L22+M22</f>
        <v>78</v>
      </c>
      <c r="M41" s="280"/>
      <c r="N41" s="280">
        <f>N8+O8+N15+O15+N22+O22</f>
        <v>78</v>
      </c>
      <c r="O41" s="281"/>
      <c r="P41" s="281">
        <f>P8+Q8+P15+Q15+P22+Q22</f>
        <v>76</v>
      </c>
      <c r="Q41" s="260"/>
      <c r="R41" s="260">
        <f>R8+S8+R15+S15+R22+S22</f>
        <v>78</v>
      </c>
      <c r="S41" s="57"/>
      <c r="T41" s="57">
        <f>T8+U8+T15+U15+T22+U22</f>
        <v>78</v>
      </c>
      <c r="U41" s="269"/>
      <c r="V41" s="269">
        <f>V8+W8+V15+W15+V22+W22</f>
        <v>75</v>
      </c>
      <c r="W41" s="270"/>
      <c r="X41" s="270">
        <f>X8+Y8+X15+Y15+X22+Y22</f>
        <v>57</v>
      </c>
      <c r="Y41" s="271"/>
      <c r="Z41" s="271">
        <f>Z8+AA8+Z15+AA15+Z22+AA22</f>
        <v>78</v>
      </c>
      <c r="AA41" s="272"/>
      <c r="AB41" s="272">
        <f>AB8+AC8+AB15+AC15+AB22+AC22</f>
        <v>78</v>
      </c>
      <c r="AC41" s="57"/>
      <c r="AD41" s="57">
        <f>AD8+AE8+AD15+AE15+AD22+AE22</f>
        <v>78</v>
      </c>
      <c r="AE41" s="57"/>
      <c r="AF41" s="250">
        <f>AF8+AG8+AF15+AG15+AF22+AG22</f>
        <v>78</v>
      </c>
      <c r="AG41" s="57"/>
      <c r="AH41" s="57">
        <f>AH8+AI8+AH15+AI15+AH22+AI22</f>
        <v>78</v>
      </c>
      <c r="AI41" s="264"/>
      <c r="AJ41" s="264">
        <f>AJ8+AK8+AJ15+AK15+AJ22+AK22</f>
        <v>75</v>
      </c>
      <c r="AK41" s="273"/>
      <c r="AL41" s="282">
        <f>AL8+AM8+AL15+AM15+AL22+AM22</f>
        <v>57</v>
      </c>
      <c r="AM41" s="274"/>
      <c r="AN41" s="274">
        <f>AN8+AO8+AN15+AO15+AN22+AO22</f>
        <v>78</v>
      </c>
      <c r="AO41" s="283"/>
      <c r="AP41" s="283">
        <f>AP8+AQ8+AP15+AQ15+AP22+AQ22</f>
        <v>78</v>
      </c>
      <c r="AQ41" s="275"/>
      <c r="AR41" s="275">
        <f>AR8+AS8+AR15+AS15+AR22+AS22</f>
        <v>78</v>
      </c>
      <c r="AS41" s="276"/>
      <c r="AT41" s="276">
        <f>AT8+AU8+AT15+AU15+AT22+AU22</f>
        <v>78</v>
      </c>
      <c r="AU41" s="277"/>
      <c r="AV41" s="277">
        <f>AV8+AW8+AV15+AW15+AV22+AW22</f>
        <v>74</v>
      </c>
      <c r="AW41" s="278"/>
      <c r="AX41" s="278">
        <f>AX8+AY8+AX15+AY15+AX22+AY22</f>
        <v>75</v>
      </c>
      <c r="AY41" s="57"/>
      <c r="AZ41" s="252">
        <f>AZ8+BA8+AZ15+BA15+AZ22+BA22</f>
        <v>57</v>
      </c>
      <c r="BA41" s="57"/>
      <c r="BB41" s="253">
        <f>BB8+BC8+BB15+BC15+BB22+BC22</f>
        <v>78</v>
      </c>
      <c r="BC41" s="265"/>
      <c r="BD41" s="265">
        <f>BD8+BE8+BD15+BE15+BD22+BE22</f>
        <v>78</v>
      </c>
      <c r="BE41" s="115"/>
      <c r="BF41" s="57">
        <f>BF8+BG8+BF15+BG15+BF22+BG22</f>
        <v>78</v>
      </c>
      <c r="BG41" s="266"/>
      <c r="BH41" s="266">
        <f>BH8+BI8+BH15+BI15+BH22+BI22</f>
        <v>78</v>
      </c>
      <c r="BI41" s="267"/>
      <c r="BJ41" s="267">
        <f>BJ8+BK8+BJ15+BK15+BJ22+BK22</f>
        <v>76</v>
      </c>
      <c r="BK41" s="297"/>
      <c r="BL41" s="327">
        <f>BL8+BM8+BL15+BM15+BL22+BM22</f>
        <v>75</v>
      </c>
      <c r="BM41" s="327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33</v>
      </c>
      <c r="G42" s="57"/>
      <c r="H42" s="57">
        <f>H3+I3+H10+I10+H17+I17</f>
        <v>0</v>
      </c>
      <c r="I42" s="57"/>
      <c r="J42" s="57">
        <f>J3+K3+J10+K10+J17+K17</f>
        <v>0</v>
      </c>
      <c r="K42" s="57"/>
      <c r="L42" s="57">
        <f>L3+M3+L10+M10+L17+M17</f>
        <v>33</v>
      </c>
      <c r="M42" s="280"/>
      <c r="N42" s="280">
        <f>N3+O3+N10+O10+N17+O17</f>
        <v>33</v>
      </c>
      <c r="O42" s="281"/>
      <c r="P42" s="281">
        <f>P3+Q3+P10+Q10+P17+Q17</f>
        <v>33</v>
      </c>
      <c r="Q42" s="260"/>
      <c r="R42" s="260">
        <f>R3+S3+R10+S10+R17+S17</f>
        <v>33</v>
      </c>
      <c r="S42" s="57"/>
      <c r="T42" s="57">
        <f>T3+U3+T10+U10+T17+U17</f>
        <v>33</v>
      </c>
      <c r="U42" s="269"/>
      <c r="V42" s="269">
        <f>V3+W3+V10+W10+V17+W17</f>
        <v>0</v>
      </c>
      <c r="W42" s="270"/>
      <c r="X42" s="270">
        <f>X3+Y3+X10+Y10+X17+Y17</f>
        <v>0</v>
      </c>
      <c r="Y42" s="271"/>
      <c r="Z42" s="271">
        <f>Z3+AA3+Z10+AA10+Z17+AA17</f>
        <v>33</v>
      </c>
      <c r="AA42" s="272"/>
      <c r="AB42" s="272">
        <f>AB3+AC3+AB10+AC10+AB17+AC17</f>
        <v>21</v>
      </c>
      <c r="AC42" s="57"/>
      <c r="AD42" s="57">
        <f>AD3+AE3+AD10+AE10+AD17+AE17</f>
        <v>33</v>
      </c>
      <c r="AE42" s="57"/>
      <c r="AF42" s="57">
        <f>AF3+AG3+AF10+AG10+AF17+AG17</f>
        <v>33</v>
      </c>
      <c r="AG42" s="57"/>
      <c r="AH42" s="57">
        <f>AH3+AI3+AH10+AI10+AH17+AI17</f>
        <v>33</v>
      </c>
      <c r="AI42" s="264"/>
      <c r="AJ42" s="264">
        <f>AJ3+AK3+AJ10+AK10+AJ17+AK17</f>
        <v>0</v>
      </c>
      <c r="AK42" s="273"/>
      <c r="AL42" s="282">
        <f>AL3+AM3+AL10+AM10+AL17+AM17</f>
        <v>0</v>
      </c>
      <c r="AM42" s="274"/>
      <c r="AN42" s="274">
        <f>AN3+AO3+AN10+AO10+AN17+AO17</f>
        <v>33</v>
      </c>
      <c r="AO42" s="283"/>
      <c r="AP42" s="283">
        <f>AP3+AQ3+AP10+AQ10+AP17+AQ17</f>
        <v>33</v>
      </c>
      <c r="AQ42" s="275"/>
      <c r="AR42" s="275">
        <f>AR3+AS3+AR10+AS10+AR17+AS17</f>
        <v>33</v>
      </c>
      <c r="AS42" s="276"/>
      <c r="AT42" s="276">
        <f>AT3+AU3+AT10+AU10+AT17+AU17</f>
        <v>33</v>
      </c>
      <c r="AU42" s="277"/>
      <c r="AV42" s="277">
        <f>AV3+AW3+AV10+AW10+AV17+AW17</f>
        <v>33</v>
      </c>
      <c r="AW42" s="278"/>
      <c r="AX42" s="278">
        <f>AX3+AY3+AX10+AY10+AX17+AY17</f>
        <v>0</v>
      </c>
      <c r="AY42" s="57"/>
      <c r="AZ42" s="57">
        <f>AZ3+BA3+AZ10+BA10+AZ17+BA17</f>
        <v>0</v>
      </c>
      <c r="BA42" s="57"/>
      <c r="BB42" s="115">
        <f>BB3+BC3+BB10+BC10+BB17+BC17</f>
        <v>33</v>
      </c>
      <c r="BC42" s="265"/>
      <c r="BD42" s="265">
        <f>BD3+BE3+BD10+BE10+BD17+BE17</f>
        <v>33</v>
      </c>
      <c r="BE42" s="115"/>
      <c r="BF42" s="57">
        <f>BF3+BG3+BF10+BG10+BF17+BG17</f>
        <v>33</v>
      </c>
      <c r="BG42" s="266"/>
      <c r="BH42" s="266">
        <f>BH3+BI3+BH10+BI10+BH17+BI17</f>
        <v>33</v>
      </c>
      <c r="BI42" s="267"/>
      <c r="BJ42" s="267">
        <f>BJ3+BK3+BJ10+BK10+BJ17+BK17</f>
        <v>13</v>
      </c>
      <c r="BK42" s="297"/>
      <c r="BL42" s="327">
        <f>BL3+BM3+BL10+BM10+BL17+BM17</f>
        <v>0</v>
      </c>
      <c r="BM42" s="327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32</v>
      </c>
      <c r="G43" s="57"/>
      <c r="H43" s="57">
        <f>H6+I6+H13+I13+H20+I20</f>
        <v>0</v>
      </c>
      <c r="I43" s="57"/>
      <c r="J43" s="57">
        <f>J6+K6+J13+K13+J20+K20</f>
        <v>0</v>
      </c>
      <c r="K43" s="57"/>
      <c r="L43" s="57">
        <f>L6+M6+L13+M13+L20+M20</f>
        <v>32</v>
      </c>
      <c r="M43" s="280"/>
      <c r="N43" s="280">
        <f>N6+O6+N13+O13+N20+O20</f>
        <v>32</v>
      </c>
      <c r="O43" s="281"/>
      <c r="P43" s="281">
        <f>P6+Q6+P13+Q13+P20+Q20</f>
        <v>34</v>
      </c>
      <c r="Q43" s="260"/>
      <c r="R43" s="260">
        <f>R6+S6+R13+S13+R20+S20</f>
        <v>34</v>
      </c>
      <c r="S43" s="57"/>
      <c r="T43" s="57">
        <f>T6+U6+T13+U13+T20+U20</f>
        <v>32</v>
      </c>
      <c r="U43" s="269"/>
      <c r="V43" s="269">
        <f>V6+W6+V13+W13+V20+W20</f>
        <v>0</v>
      </c>
      <c r="W43" s="270"/>
      <c r="X43" s="270">
        <f>X6+Y6+X13+Y13+X20+Y20</f>
        <v>0</v>
      </c>
      <c r="Y43" s="271"/>
      <c r="Z43" s="271">
        <f>Z6+AA6+Z13+AA13+Z20+AA20</f>
        <v>32</v>
      </c>
      <c r="AA43" s="272"/>
      <c r="AB43" s="272">
        <f>AB6+AC6+AB13+AC13+AB20+AC20</f>
        <v>22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4"/>
      <c r="AJ43" s="264">
        <f>AJ6+AK6+AJ13+AK13+AJ20+AK20</f>
        <v>0</v>
      </c>
      <c r="AK43" s="273"/>
      <c r="AL43" s="282">
        <f>AL6+AM6+AL13+AM13+AL20+AM20</f>
        <v>0</v>
      </c>
      <c r="AM43" s="274"/>
      <c r="AN43" s="274">
        <f>AN6+AO6+AN13+AO13+AN20+AO20</f>
        <v>32</v>
      </c>
      <c r="AO43" s="283"/>
      <c r="AP43" s="283">
        <f>AP6+AQ6+AP13+AQ13+AP20+AQ20</f>
        <v>32</v>
      </c>
      <c r="AQ43" s="275"/>
      <c r="AR43" s="275">
        <f>AR6+AS6+AR13+AS13+AR20+AS20</f>
        <v>32</v>
      </c>
      <c r="AS43" s="276"/>
      <c r="AT43" s="276">
        <f>AT6+AU6+AT13+AU13+AT20+AU20</f>
        <v>32</v>
      </c>
      <c r="AU43" s="277"/>
      <c r="AV43" s="277">
        <f>AV6+AW6+AV13+AW13+AV20+AW20</f>
        <v>29</v>
      </c>
      <c r="AW43" s="278"/>
      <c r="AX43" s="278">
        <f>AX6+AY6+AX13+AY13+AX20+AY20</f>
        <v>0</v>
      </c>
      <c r="AY43" s="57"/>
      <c r="AZ43" s="57">
        <f>AZ6+BA6+AZ13+BA13+AZ20+BA20</f>
        <v>0</v>
      </c>
      <c r="BA43" s="57"/>
      <c r="BB43" s="115">
        <f>BB6+BC6+BB13+BC13+BB20+BC20</f>
        <v>32</v>
      </c>
      <c r="BC43" s="265"/>
      <c r="BD43" s="265">
        <f>BD6+BE6+BD13+BE13+BD20+BE20</f>
        <v>32</v>
      </c>
      <c r="BE43" s="115"/>
      <c r="BF43" s="57">
        <f>BF6+BG6+BF13+BG13+BF20+BG20</f>
        <v>32</v>
      </c>
      <c r="BG43" s="266"/>
      <c r="BH43" s="266">
        <f>BH6+BI6+BH13+BI13+BH20+BI20</f>
        <v>32</v>
      </c>
      <c r="BI43" s="267"/>
      <c r="BJ43" s="267">
        <f>BJ6+BK6+BJ13+BK13+BJ20+BK20</f>
        <v>17</v>
      </c>
      <c r="BK43" s="297"/>
      <c r="BL43" s="327">
        <f>BL6+BM6+BL13+BM13+BL20+BM20</f>
        <v>0</v>
      </c>
      <c r="BM43" s="327"/>
    </row>
    <row r="44" spans="1:65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80"/>
      <c r="N44" s="280">
        <f>N4+O4+N11+O11+N18+O18</f>
        <v>0</v>
      </c>
      <c r="O44" s="281"/>
      <c r="P44" s="281">
        <f>P4+Q4+P11+Q11+P18+Q18</f>
        <v>0</v>
      </c>
      <c r="Q44" s="260"/>
      <c r="R44" s="260">
        <f>R4+S4+R11+S11+R18+S18</f>
        <v>0</v>
      </c>
      <c r="S44" s="154"/>
      <c r="T44" s="154">
        <f>T4+U4+T11+U11+T18+U18</f>
        <v>0</v>
      </c>
      <c r="U44" s="269"/>
      <c r="V44" s="269">
        <f>V4+W4+V11+W11+V18+W18</f>
        <v>0</v>
      </c>
      <c r="W44" s="270"/>
      <c r="X44" s="270">
        <f>X4+Y4+X11+Y11+X18+Y18</f>
        <v>0</v>
      </c>
      <c r="Y44" s="271"/>
      <c r="Z44" s="271">
        <f>Z4+AA4+Z11+AA11+Z18+AA18</f>
        <v>0</v>
      </c>
      <c r="AA44" s="272"/>
      <c r="AB44" s="272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4"/>
      <c r="AJ44" s="264">
        <f>AJ4+AK4+AJ11+AK11+AJ18+AK18</f>
        <v>0</v>
      </c>
      <c r="AK44" s="273"/>
      <c r="AL44" s="282">
        <f>AL4+AM4+AL11+AM11+AL18+AM18</f>
        <v>0</v>
      </c>
      <c r="AM44" s="274"/>
      <c r="AN44" s="274">
        <f>AN4+AO4+AN11+AO11+AN18+AO18</f>
        <v>0</v>
      </c>
      <c r="AO44" s="283"/>
      <c r="AP44" s="283">
        <f>AP4+AQ4+AP11+AQ11+AP18+AQ18</f>
        <v>0</v>
      </c>
      <c r="AQ44" s="275"/>
      <c r="AR44" s="275">
        <f>AR4+AS4+AR11+AS11+AR18+AS18</f>
        <v>0</v>
      </c>
      <c r="AS44" s="276"/>
      <c r="AT44" s="276">
        <f>AT4+AU4+AT11+AU11+AT18+AU18</f>
        <v>0</v>
      </c>
      <c r="AU44" s="277"/>
      <c r="AV44" s="277">
        <f>AV4+AW4+AV11+AW11+AV18+AW18</f>
        <v>0</v>
      </c>
      <c r="AW44" s="278"/>
      <c r="AX44" s="278">
        <f>AX4+AY4+AX11+AY11+AX18+AY18</f>
        <v>0</v>
      </c>
      <c r="AY44" s="154"/>
      <c r="AZ44" s="154">
        <f>AZ4+BA4+AZ11+BA11+AZ18+BA18</f>
        <v>0</v>
      </c>
      <c r="BA44" s="154"/>
      <c r="BB44" s="154">
        <f>BB4+BC4+BB11+BC11+BB18+BC18</f>
        <v>0</v>
      </c>
      <c r="BC44" s="265"/>
      <c r="BD44" s="265">
        <f>BD4+BE4+BD11+BE11+BD18+BE18</f>
        <v>0</v>
      </c>
      <c r="BE44" s="154"/>
      <c r="BF44" s="154">
        <f>BF4+BG4+BF11+BG11+BF18+BG18</f>
        <v>0</v>
      </c>
      <c r="BG44" s="266"/>
      <c r="BH44" s="266">
        <f>BH4+BI4+BH11+BI11+BH18+BI18</f>
        <v>0</v>
      </c>
      <c r="BI44" s="267"/>
      <c r="BJ44" s="267">
        <f>BJ4+BK4+BJ11+BK11+BJ18+BK18</f>
        <v>0</v>
      </c>
      <c r="BK44" s="297"/>
      <c r="BL44" s="327">
        <f>BL4+BM4+BL11+BM11+BL18+BM18</f>
        <v>0</v>
      </c>
      <c r="BM44" s="327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1</v>
      </c>
      <c r="G45" s="57"/>
      <c r="H45" s="57">
        <f>H7+I7+H14+I14+H21+I21</f>
        <v>0</v>
      </c>
      <c r="I45" s="57"/>
      <c r="J45" s="57">
        <f>J7+K7+J14+K14+J21+K21</f>
        <v>0</v>
      </c>
      <c r="K45" s="57"/>
      <c r="L45" s="57">
        <f>L7+M7+L14+M14+L21+M21</f>
        <v>1</v>
      </c>
      <c r="M45" s="280"/>
      <c r="N45" s="280">
        <f>N7+O7+N14+O14+N21+O21</f>
        <v>1</v>
      </c>
      <c r="O45" s="281"/>
      <c r="P45" s="281">
        <f>P7+Q7+P14+Q14+P21+Q21</f>
        <v>1</v>
      </c>
      <c r="Q45" s="260"/>
      <c r="R45" s="260">
        <f>R7+S7+R14+S14+R21+S21</f>
        <v>1</v>
      </c>
      <c r="S45" s="57"/>
      <c r="T45" s="57">
        <f>T7+U7+T14+U14+T21+U21</f>
        <v>1</v>
      </c>
      <c r="U45" s="269"/>
      <c r="V45" s="269">
        <f>V7+W7+V14+W14+V21+W21</f>
        <v>0</v>
      </c>
      <c r="W45" s="270"/>
      <c r="X45" s="270">
        <f>X7+Y7+X14+Y14+X21+Y21</f>
        <v>0</v>
      </c>
      <c r="Y45" s="271"/>
      <c r="Z45" s="271">
        <f>Z7+AA7+Z14+AA14+Z21+AA21</f>
        <v>1</v>
      </c>
      <c r="AA45" s="272"/>
      <c r="AB45" s="272">
        <f>AB7+AC7+AB14+AC14+AB21+AC21</f>
        <v>1</v>
      </c>
      <c r="AC45" s="57"/>
      <c r="AD45" s="57">
        <f>AD7+AE7+AD14+AE14+AD21+AE21</f>
        <v>1</v>
      </c>
      <c r="AE45" s="57"/>
      <c r="AF45" s="250">
        <f>AF7+AG7+AF14+AG14+AF21+AG21</f>
        <v>1</v>
      </c>
      <c r="AG45" s="57"/>
      <c r="AH45" s="57">
        <f>AH7+AI7+AH14+AI14+AH21+AI21</f>
        <v>1</v>
      </c>
      <c r="AI45" s="264"/>
      <c r="AJ45" s="264">
        <f>AJ7+AK7+AJ14+AK14+AJ21+AK21</f>
        <v>0</v>
      </c>
      <c r="AK45" s="273"/>
      <c r="AL45" s="282">
        <f>AL7+AM7+AL14+AM14+AL21+AM21</f>
        <v>0</v>
      </c>
      <c r="AM45" s="274"/>
      <c r="AN45" s="274">
        <f>AN7+AO7+AN14+AO14+AN21+AO21</f>
        <v>1</v>
      </c>
      <c r="AO45" s="283"/>
      <c r="AP45" s="283">
        <f>AP7+AQ7+AP14+AQ14+AP21+AQ21</f>
        <v>1</v>
      </c>
      <c r="AQ45" s="275"/>
      <c r="AR45" s="275">
        <f>AR7+AS7+AR14+AS14+AR21+AS21</f>
        <v>1</v>
      </c>
      <c r="AS45" s="276"/>
      <c r="AT45" s="276">
        <f>AT7+AU7+AT14+AU14+AT21+AU21</f>
        <v>1</v>
      </c>
      <c r="AU45" s="277"/>
      <c r="AV45" s="277">
        <f>AV7+AW7+AV14+AW14+AV21+AW21</f>
        <v>5</v>
      </c>
      <c r="AW45" s="278"/>
      <c r="AX45" s="278">
        <f>AX7+AY7+AX14+AY14+AX21+AY21</f>
        <v>0</v>
      </c>
      <c r="AY45" s="57"/>
      <c r="AZ45" s="252">
        <f>AZ7+BA7+AZ14+BA14+AZ21+BA21</f>
        <v>0</v>
      </c>
      <c r="BA45" s="57"/>
      <c r="BB45" s="253">
        <f>BB7+BC7+BB14+BC14+BB21+BC21</f>
        <v>1</v>
      </c>
      <c r="BC45" s="265"/>
      <c r="BD45" s="265">
        <f>BD7+BE7+BD14+BE14+BD21+BE21</f>
        <v>1</v>
      </c>
      <c r="BE45" s="115"/>
      <c r="BF45" s="57">
        <f>BF7+BG7+BF14+BG14+BF21+BG21</f>
        <v>1</v>
      </c>
      <c r="BG45" s="266"/>
      <c r="BH45" s="266">
        <f>BH7+BI7+BH14+BI14+BH21+BI21</f>
        <v>1</v>
      </c>
      <c r="BI45" s="267"/>
      <c r="BJ45" s="267">
        <f>BJ7+BK7+BJ14+BK14+BJ21+BK21</f>
        <v>1</v>
      </c>
      <c r="BK45" s="297"/>
      <c r="BL45" s="327">
        <f>BL7+BM7+BL14+BM14+BL21+BM21</f>
        <v>0</v>
      </c>
      <c r="BM45" s="327"/>
    </row>
    <row r="46" spans="1:65" s="124" customFormat="1" x14ac:dyDescent="0.25">
      <c r="C46" s="8"/>
      <c r="D46" s="309"/>
      <c r="E46" s="309"/>
      <c r="F46" s="309"/>
      <c r="G46" s="309"/>
      <c r="H46" s="309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09"/>
      <c r="AC46" s="309"/>
      <c r="AD46" s="309"/>
      <c r="AE46" s="309"/>
      <c r="AF46" s="309"/>
      <c r="AG46" s="309"/>
      <c r="AH46" s="309"/>
      <c r="AI46" s="309"/>
      <c r="AJ46" s="309"/>
      <c r="AK46" s="309"/>
      <c r="AL46" s="309"/>
      <c r="AM46" s="309"/>
      <c r="AN46" s="309"/>
      <c r="AO46" s="309"/>
      <c r="AP46" s="309"/>
      <c r="AQ46" s="309"/>
      <c r="AR46" s="309"/>
      <c r="AS46" s="309"/>
      <c r="AT46" s="309"/>
      <c r="AU46" s="309"/>
      <c r="AV46" s="309"/>
      <c r="AW46" s="309"/>
      <c r="AX46" s="309"/>
      <c r="AY46" s="309"/>
      <c r="AZ46" s="309"/>
      <c r="BA46" s="309"/>
      <c r="BB46" s="309"/>
      <c r="BC46" s="309"/>
      <c r="BD46" s="309"/>
      <c r="BE46" s="309"/>
      <c r="BF46" s="309"/>
      <c r="BG46" s="309"/>
      <c r="BH46" s="309"/>
      <c r="BI46" s="309"/>
      <c r="BJ46" s="309"/>
      <c r="BK46" s="309"/>
      <c r="BL46" s="327"/>
      <c r="BM46" s="327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8"/>
      <c r="BL47" s="58"/>
      <c r="BM47" s="58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111</v>
      </c>
      <c r="G48" s="57"/>
      <c r="H48" s="57">
        <f>(H5+H12+H19)+2*(I5+I12+I19)</f>
        <v>75</v>
      </c>
      <c r="I48" s="57"/>
      <c r="J48" s="57">
        <f>(J5+J12+J19)+2*(K5+K12+K19)</f>
        <v>57</v>
      </c>
      <c r="K48" s="57"/>
      <c r="L48" s="57">
        <f>(L5+L12+L19)+2*(M5+M12+M19)</f>
        <v>111</v>
      </c>
      <c r="M48" s="280"/>
      <c r="N48" s="280">
        <f>(N5+N12+N19)+2*(O5+O12+O19)</f>
        <v>111</v>
      </c>
      <c r="O48" s="281"/>
      <c r="P48" s="281">
        <f>(P5+P12+P19)+2*(Q5+Q12+Q19)</f>
        <v>111</v>
      </c>
      <c r="Q48" s="260"/>
      <c r="R48" s="260">
        <f>(R5+R12+R19)+2*(S5+S12+S19)</f>
        <v>110</v>
      </c>
      <c r="S48" s="57"/>
      <c r="T48" s="57">
        <f>(T5+T12+T19)+2*(U5+U12+U19)</f>
        <v>111</v>
      </c>
      <c r="U48" s="269"/>
      <c r="V48" s="269">
        <f>(V5+V12+V19)+2*(W5+W12+W19)</f>
        <v>75</v>
      </c>
      <c r="W48" s="270"/>
      <c r="X48" s="270">
        <f>(X5+X12+X19)+2*(Y5+Y12+Y19)</f>
        <v>57</v>
      </c>
      <c r="Y48" s="271"/>
      <c r="Z48" s="271">
        <f>(Z5+Z12+Z19)+2*(AA5+AA12+AA19)</f>
        <v>111</v>
      </c>
      <c r="AA48" s="272"/>
      <c r="AB48" s="272">
        <f>(AB5+AB12+AB19)+2*(AC5+AC12+AC19)</f>
        <v>101</v>
      </c>
      <c r="AC48" s="57"/>
      <c r="AD48" s="57">
        <f>(AD5+AD12+AD19)+2*(AE5+AE12+AE19)</f>
        <v>102</v>
      </c>
      <c r="AE48" s="57"/>
      <c r="AF48" s="57">
        <f>(AF5+AF12+AF19)+2*(AG5+AG12+AG19)</f>
        <v>102</v>
      </c>
      <c r="AG48" s="57"/>
      <c r="AH48" s="57">
        <f>(AH5+AH12+AH19)+2*(AI5+AI12+AI19)</f>
        <v>101</v>
      </c>
      <c r="AI48" s="264"/>
      <c r="AJ48" s="264">
        <f>(AJ5+AJ12+AJ19)+2*(AK5+AK12+AK19)</f>
        <v>75</v>
      </c>
      <c r="AK48" s="273"/>
      <c r="AL48" s="282">
        <f>(AL5+AL12+AL19)+2*(AM5+AM12+AM19)</f>
        <v>55</v>
      </c>
      <c r="AM48" s="274"/>
      <c r="AN48" s="274">
        <f>(AN5+AN12+AN19)+2*(AO5+AO12+AO19)</f>
        <v>102</v>
      </c>
      <c r="AO48" s="283"/>
      <c r="AP48" s="283">
        <f>(AP5+AP12+AP19)+2*(AQ5+AQ12+AQ19)</f>
        <v>102</v>
      </c>
      <c r="AQ48" s="275"/>
      <c r="AR48" s="275">
        <f>(AR5+AR12+AR19)+2*(AS5+AS12+AS19)</f>
        <v>102</v>
      </c>
      <c r="AS48" s="276"/>
      <c r="AT48" s="276">
        <f>(AT5+AT12+AT19)+2*(AU5+AU12+AU19)</f>
        <v>102</v>
      </c>
      <c r="AU48" s="277"/>
      <c r="AV48" s="277">
        <f>(AV5+AV12+AV19)+2*(AW5+AW12+AW19)</f>
        <v>99</v>
      </c>
      <c r="AW48" s="278"/>
      <c r="AX48" s="278">
        <f>(AX5+AX12+AX19)+2*(AY5+AY12+AY19)</f>
        <v>74</v>
      </c>
      <c r="AY48" s="57"/>
      <c r="AZ48" s="57">
        <f>(AZ5+AZ12+AZ19)+2*(BA5+BA12+BA19)</f>
        <v>57</v>
      </c>
      <c r="BA48" s="117"/>
      <c r="BB48" s="115">
        <f>(BB5+BB12+BB19)+2*(BC5+BC12+BC19)</f>
        <v>95</v>
      </c>
      <c r="BC48" s="265"/>
      <c r="BD48" s="265">
        <f>(BD5+BD12+BD19)+2*(BE5+BE12+BE19)</f>
        <v>96</v>
      </c>
      <c r="BE48" s="117"/>
      <c r="BF48" s="57">
        <f>(BF5+BF12+BF19)+2*(BG5+BG12+BG19)</f>
        <v>96</v>
      </c>
      <c r="BG48" s="266"/>
      <c r="BH48" s="266">
        <f>(BH5+BH12+BH19)+2*(BI5+BI12+BI19)</f>
        <v>96</v>
      </c>
      <c r="BI48" s="267"/>
      <c r="BJ48" s="267">
        <f>(BJ5+BJ12+BJ19)+2*(BK5+BK12+BK19)</f>
        <v>95</v>
      </c>
      <c r="BK48" s="297"/>
      <c r="BL48" s="327">
        <f>(BL5+BL12+BL19)+2*(BM5+BM12+BM19)</f>
        <v>75</v>
      </c>
      <c r="BM48" s="327"/>
    </row>
    <row r="49" spans="1:69" x14ac:dyDescent="0.25">
      <c r="A49" t="s">
        <v>80</v>
      </c>
      <c r="C49" s="8"/>
      <c r="D49" s="57">
        <f>(D8+D15+D22)+2*(E8+E15+E22)</f>
        <v>59</v>
      </c>
      <c r="E49" s="57"/>
      <c r="F49" s="57">
        <f>(F8+F15+F22)+2*(G8+G15+G22)</f>
        <v>111</v>
      </c>
      <c r="G49" s="57"/>
      <c r="H49" s="57">
        <f>(H8+H15+H22)+2*(I8+I15+I22)</f>
        <v>75</v>
      </c>
      <c r="I49" s="57"/>
      <c r="J49" s="57">
        <f>(J8+J15+J22)+2*(K8+K15+K22)</f>
        <v>57</v>
      </c>
      <c r="K49" s="57"/>
      <c r="L49" s="57">
        <f>(L8+L15+L22)+2*(M8+M15+M22)</f>
        <v>111</v>
      </c>
      <c r="M49" s="280"/>
      <c r="N49" s="280">
        <f>(N8+N15+N22)+2*(O8+O15+O22)</f>
        <v>111</v>
      </c>
      <c r="O49" s="281"/>
      <c r="P49" s="281">
        <f>(P8+P15+P22)+2*(Q8+Q15+Q22)</f>
        <v>107</v>
      </c>
      <c r="Q49" s="260"/>
      <c r="R49" s="260">
        <f>(R8+R15+R22)+2*(S8+S15+S22)</f>
        <v>113</v>
      </c>
      <c r="S49" s="57"/>
      <c r="T49" s="57">
        <f>(T8+T15+T22)+2*(U8+U15+U22)</f>
        <v>111</v>
      </c>
      <c r="U49" s="269"/>
      <c r="V49" s="269">
        <f>(V8+V15+V22)+2*(W8+W15+W22)</f>
        <v>75</v>
      </c>
      <c r="W49" s="270"/>
      <c r="X49" s="270">
        <f>(X8+X15+X22)+2*(Y8+Y15+Y22)</f>
        <v>57</v>
      </c>
      <c r="Y49" s="271"/>
      <c r="Z49" s="271">
        <f>(Z8+Z15+Z22)+2*(AA8+AA15+AA22)</f>
        <v>111</v>
      </c>
      <c r="AA49" s="272"/>
      <c r="AB49" s="272">
        <f>(AB8+AB15+AB22)+2*(AC8+AC15+AC22)</f>
        <v>99</v>
      </c>
      <c r="AC49" s="57"/>
      <c r="AD49" s="57">
        <f>(AD8+AD15+AD22)+2*(AE8+AE15+AE22)</f>
        <v>102</v>
      </c>
      <c r="AE49" s="57"/>
      <c r="AF49" s="250">
        <f>(AF8+AF15+AF22)+2*(AG8+AG15+AG22)</f>
        <v>102</v>
      </c>
      <c r="AG49" s="57"/>
      <c r="AH49" s="57">
        <f>(AH8+AH15+AH22)+2*(AI8+AI15+AI22)</f>
        <v>101</v>
      </c>
      <c r="AI49" s="264"/>
      <c r="AJ49" s="264">
        <f>(AJ8+AJ15+AJ22)+2*(AK8+AK15+AK22)</f>
        <v>75</v>
      </c>
      <c r="AK49" s="273"/>
      <c r="AL49" s="282">
        <f>(AL8+AL15+AL22)+2*(AM8+AM15+AM22)</f>
        <v>57</v>
      </c>
      <c r="AM49" s="274"/>
      <c r="AN49" s="274">
        <f>(AN8+AN15+AN22)+2*(AO8+AO15+AO22)</f>
        <v>102</v>
      </c>
      <c r="AO49" s="283"/>
      <c r="AP49" s="283">
        <f>(AP8+AP15+AP22)+2*(AQ8+AQ15+AQ22)</f>
        <v>102</v>
      </c>
      <c r="AQ49" s="275"/>
      <c r="AR49" s="275">
        <f>(AR8+AR15+AR22)+2*(AS8+AS15+AS22)</f>
        <v>102</v>
      </c>
      <c r="AS49" s="276"/>
      <c r="AT49" s="276">
        <f>(AT8+AT15+AT22)+2*(AU8+AU15+AU22)</f>
        <v>102</v>
      </c>
      <c r="AU49" s="277"/>
      <c r="AV49" s="277">
        <f>(AV8+AV15+AV22)+2*(AW8+AW15+AW22)</f>
        <v>96</v>
      </c>
      <c r="AW49" s="278"/>
      <c r="AX49" s="278">
        <f>(AX8+AX15+AX22)+2*(AY8+AY15+AY22)</f>
        <v>76</v>
      </c>
      <c r="AY49" s="57"/>
      <c r="AZ49" s="252">
        <f>(AZ8+AZ15+AZ22)+2*(BA8+BA15+BA22)</f>
        <v>57</v>
      </c>
      <c r="BA49" s="117"/>
      <c r="BB49" s="253">
        <f>(BB8+BB15+BB22)+2*(BC8+BC15+BC22)</f>
        <v>95</v>
      </c>
      <c r="BC49" s="265"/>
      <c r="BD49" s="265">
        <f>(BD8+BD15+BD22)+2*(BE8+BE15+BE22)</f>
        <v>96</v>
      </c>
      <c r="BE49" s="117"/>
      <c r="BF49" s="57">
        <f>(BF8+BF15+BF22)+2*(BG8+BG15+BG22)</f>
        <v>96</v>
      </c>
      <c r="BG49" s="266"/>
      <c r="BH49" s="266">
        <f>(BH8+BH15+BH22)+2*(BI8+BI15+BI22)</f>
        <v>96</v>
      </c>
      <c r="BI49" s="267"/>
      <c r="BJ49" s="267">
        <f>(BJ8+BJ15+BJ22)+2*(BK8+BK15+BK22)</f>
        <v>92</v>
      </c>
      <c r="BK49" s="297"/>
      <c r="BL49" s="327">
        <f>(BL8+BL15+BL22)+2*(BM8+BM15+BM22)</f>
        <v>75</v>
      </c>
      <c r="BM49" s="327"/>
    </row>
    <row r="50" spans="1:69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33</v>
      </c>
      <c r="G50" s="57"/>
      <c r="H50" s="57">
        <f>(H3+H10+H17)+2*(I3+I10+I17)</f>
        <v>0</v>
      </c>
      <c r="I50" s="57"/>
      <c r="J50" s="57">
        <f>(J3+J10+J17)+2*(K3+K10+K17)</f>
        <v>0</v>
      </c>
      <c r="K50" s="57"/>
      <c r="L50" s="57">
        <f>(L3+L10+L17)+2*(M3+M10+M17)</f>
        <v>33</v>
      </c>
      <c r="M50" s="280"/>
      <c r="N50" s="280">
        <f>(N3+N10+N17)+2*(O3+O10+O17)</f>
        <v>33</v>
      </c>
      <c r="O50" s="281"/>
      <c r="P50" s="281">
        <f>(P3+P10+P17)+2*(Q3+Q10+Q17)</f>
        <v>33</v>
      </c>
      <c r="Q50" s="260"/>
      <c r="R50" s="260">
        <f>(R3+R10+R17)+2*(S3+S10+S17)</f>
        <v>36</v>
      </c>
      <c r="S50" s="57"/>
      <c r="T50" s="57">
        <f>(T3+T10+T17)+2*(U3+U10+U17)</f>
        <v>36</v>
      </c>
      <c r="U50" s="269"/>
      <c r="V50" s="269">
        <f>(V3+V10+V17)+2*(W3+W10+W17)</f>
        <v>0</v>
      </c>
      <c r="W50" s="270"/>
      <c r="X50" s="270">
        <f>(X3+X10+X17)+2*(Y3+Y10+Y17)</f>
        <v>0</v>
      </c>
      <c r="Y50" s="271"/>
      <c r="Z50" s="271">
        <f>(Z3+Z10+Z17)+2*(AA3+AA10+AA17)</f>
        <v>33</v>
      </c>
      <c r="AA50" s="272"/>
      <c r="AB50" s="272">
        <f>(AB3+AB10+AB17)+2*(AC3+AC10+AC17)</f>
        <v>21</v>
      </c>
      <c r="AC50" s="57"/>
      <c r="AD50" s="57">
        <f>(AD3+AD10+AD17)+2*(AE3+AE10+AE17)</f>
        <v>33</v>
      </c>
      <c r="AE50" s="57"/>
      <c r="AF50" s="57">
        <f>(AF3+AF10+AF17)+2*(AG3+AG10+AG17)</f>
        <v>33</v>
      </c>
      <c r="AG50" s="57"/>
      <c r="AH50" s="57">
        <f>(AH3+AH10+AH17)+2*(AI3+AI10+AI17)</f>
        <v>33</v>
      </c>
      <c r="AI50" s="264"/>
      <c r="AJ50" s="264">
        <f>(AJ3+AJ10+AJ17)+2*(AK3+AK10+AK17)</f>
        <v>0</v>
      </c>
      <c r="AK50" s="273"/>
      <c r="AL50" s="282">
        <f>(AL3+AL10+AL17)+2*(AM3+AM10+AM17)</f>
        <v>0</v>
      </c>
      <c r="AM50" s="274"/>
      <c r="AN50" s="274">
        <f>(AN3+AN10+AN17)+2*(AO3+AO10+AO17)</f>
        <v>33</v>
      </c>
      <c r="AO50" s="283"/>
      <c r="AP50" s="283">
        <f>(AP3+AP10+AP17)+2*(AQ3+AQ10+AQ17)</f>
        <v>33</v>
      </c>
      <c r="AQ50" s="275"/>
      <c r="AR50" s="275">
        <f>(AR3+AR10+AR17)+2*(AS3+AS10+AS17)</f>
        <v>33</v>
      </c>
      <c r="AS50" s="276"/>
      <c r="AT50" s="276">
        <f>(AT3+AT10+AT17)+2*(AU3+AU10+AU17)</f>
        <v>33</v>
      </c>
      <c r="AU50" s="277"/>
      <c r="AV50" s="277">
        <f>(AV3+AV10+AV17)+2*(AW3+AW10+AW17)</f>
        <v>33</v>
      </c>
      <c r="AW50" s="278"/>
      <c r="AX50" s="278">
        <f>(AX3+AX10+AX17)+2*(AY3+AY10+AY17)</f>
        <v>0</v>
      </c>
      <c r="AY50" s="57"/>
      <c r="AZ50" s="57">
        <f>(AZ3+AZ10+AZ17)+2*(BA3+BA10+BA17)</f>
        <v>0</v>
      </c>
      <c r="BA50" s="117"/>
      <c r="BB50" s="115">
        <f>(BB3+BB10+BB17)+2*(BC3+BC10+BC17)</f>
        <v>33</v>
      </c>
      <c r="BC50" s="265"/>
      <c r="BD50" s="265">
        <f>(BD3+BD10+BD17)+2*(BE3+BE10+BE17)</f>
        <v>33</v>
      </c>
      <c r="BE50" s="117"/>
      <c r="BF50" s="57">
        <f>(BF3+BF10+BF17)+2*(BG3+BG10+BG17)</f>
        <v>33</v>
      </c>
      <c r="BG50" s="266"/>
      <c r="BH50" s="266">
        <f>(BH3+BH10+BH17)+2*(BI3+BI10+BI17)</f>
        <v>33</v>
      </c>
      <c r="BI50" s="267"/>
      <c r="BJ50" s="267">
        <f>(BJ3+BJ10+BJ17)+2*(BK3+BK10+BK17)</f>
        <v>13</v>
      </c>
      <c r="BK50" s="297"/>
      <c r="BL50" s="327">
        <f>(BL3+BL10+BL17)+2*(BM3+BM10+BM17)</f>
        <v>0</v>
      </c>
      <c r="BM50" s="327"/>
    </row>
    <row r="51" spans="1:69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32</v>
      </c>
      <c r="G51" s="57"/>
      <c r="H51" s="57">
        <f>(H6+H13+H20)+2*(I6+I13+I20)</f>
        <v>0</v>
      </c>
      <c r="I51" s="57"/>
      <c r="J51" s="57">
        <f>(J6+J13+J20)+2*(K6+K13+K20)</f>
        <v>0</v>
      </c>
      <c r="K51" s="57"/>
      <c r="L51" s="57">
        <f>(L6+L13+L20)+2*(M6+M13+M20)</f>
        <v>32</v>
      </c>
      <c r="M51" s="280"/>
      <c r="N51" s="280">
        <f>(N6+N13+N20)+2*(O6+O13+O20)</f>
        <v>32</v>
      </c>
      <c r="O51" s="281"/>
      <c r="P51" s="281">
        <f>(P6+P13+P20)+2*(Q6+Q13+Q20)</f>
        <v>34</v>
      </c>
      <c r="Q51" s="260"/>
      <c r="R51" s="260">
        <f>(R6+R13+R20)+2*(S6+S13+S20)</f>
        <v>34</v>
      </c>
      <c r="S51" s="57"/>
      <c r="T51" s="57">
        <f>(T6+T13+T20)+2*(U6+U13+U20)</f>
        <v>35</v>
      </c>
      <c r="U51" s="269"/>
      <c r="V51" s="269">
        <f>(V6+V13+V20)+2*(W6+W13+W20)</f>
        <v>0</v>
      </c>
      <c r="W51" s="270"/>
      <c r="X51" s="270">
        <f>(X6+X13+X20)+2*(Y6+Y13+Y20)</f>
        <v>0</v>
      </c>
      <c r="Y51" s="271"/>
      <c r="Z51" s="271">
        <f>(Z6+Z13+Z20)+2*(AA6+AA13+AA20)</f>
        <v>32</v>
      </c>
      <c r="AA51" s="272"/>
      <c r="AB51" s="272">
        <f>(AB6+AB13+AB20)+2*(AC6+AC13+AC20)</f>
        <v>22</v>
      </c>
      <c r="AC51" s="57"/>
      <c r="AD51" s="57">
        <f>(AD6+AD13+AD20)+2*(AE6+AE13+AE20)</f>
        <v>32</v>
      </c>
      <c r="AE51" s="57"/>
      <c r="AF51" s="57">
        <f>(AF6+AF13+AF20)+2*(AG6+AG13+AG20)</f>
        <v>32</v>
      </c>
      <c r="AG51" s="57"/>
      <c r="AH51" s="57">
        <f>(AH6+AH13+AH20)+2*(AI6+AI13+AI20)</f>
        <v>32</v>
      </c>
      <c r="AI51" s="264"/>
      <c r="AJ51" s="264">
        <f>(AJ6+AJ13+AJ20)+2*(AK6+AK13+AK20)</f>
        <v>0</v>
      </c>
      <c r="AK51" s="273"/>
      <c r="AL51" s="282">
        <f>(AL6+AL13+AL20)+2*(AM6+AM13+AM20)</f>
        <v>0</v>
      </c>
      <c r="AM51" s="274"/>
      <c r="AN51" s="274">
        <f>(AN6+AN13+AN20)+2*(AO6+AO13+AO20)</f>
        <v>32</v>
      </c>
      <c r="AO51" s="283"/>
      <c r="AP51" s="283">
        <f>(AP6+AP13+AP20)+2*(AQ6+AQ13+AQ20)</f>
        <v>32</v>
      </c>
      <c r="AQ51" s="275"/>
      <c r="AR51" s="275">
        <f>(AR6+AR13+AR20)+2*(AS6+AS13+AS20)</f>
        <v>32</v>
      </c>
      <c r="AS51" s="276"/>
      <c r="AT51" s="276">
        <f>(AT6+AT13+AT20)+2*(AU6+AU13+AU20)</f>
        <v>32</v>
      </c>
      <c r="AU51" s="277"/>
      <c r="AV51" s="277">
        <f>(AV6+AV13+AV20)+2*(AW6+AW13+AW20)</f>
        <v>29</v>
      </c>
      <c r="AW51" s="278"/>
      <c r="AX51" s="278">
        <f>(AX6+AX13+AX20)+2*(AY6+AY13+AY20)</f>
        <v>0</v>
      </c>
      <c r="AY51" s="57"/>
      <c r="AZ51" s="57">
        <f>(AZ6+AZ13+AZ20)+2*(BA6+BA13+BA20)</f>
        <v>0</v>
      </c>
      <c r="BA51" s="117"/>
      <c r="BB51" s="115">
        <f>(BB6+BB13+BB20)+2*(BC6+BC13+BC20)</f>
        <v>32</v>
      </c>
      <c r="BC51" s="265"/>
      <c r="BD51" s="265">
        <f>(BD6+BD13+BD20)+2*(BE6+BE13+BE20)</f>
        <v>32</v>
      </c>
      <c r="BE51" s="117"/>
      <c r="BF51" s="57">
        <f>(BF6+BF13+BF20)+2*(BG6+BG13+BG20)</f>
        <v>32</v>
      </c>
      <c r="BG51" s="266"/>
      <c r="BH51" s="266">
        <f>(BH6+BH13+BH20)+2*(BI6+BI13+BI20)</f>
        <v>32</v>
      </c>
      <c r="BI51" s="267"/>
      <c r="BJ51" s="267">
        <f>(BJ6+BJ13+BJ20)+2*(BK6+BK13+BK20)</f>
        <v>19</v>
      </c>
      <c r="BK51" s="297"/>
      <c r="BL51" s="327">
        <f>(BL6+BL13+BL20)+2*(BM6+BM13+BM20)</f>
        <v>0</v>
      </c>
      <c r="BM51" s="327"/>
    </row>
    <row r="52" spans="1:69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80"/>
      <c r="N52" s="280">
        <f>(N4+N11+N18)+2*(O4+O11+O18)</f>
        <v>0</v>
      </c>
      <c r="O52" s="281"/>
      <c r="P52" s="281">
        <f>(P4+P11+P18)+2*(Q4+Q11+Q18)</f>
        <v>0</v>
      </c>
      <c r="Q52" s="260"/>
      <c r="R52" s="260">
        <f>(R4+R11+R18)+2*(S4+S11+S18)</f>
        <v>0</v>
      </c>
      <c r="S52" s="154"/>
      <c r="T52" s="154">
        <f>(T4+T11+T18)+2*(U4+U11+U18)</f>
        <v>0</v>
      </c>
      <c r="U52" s="269"/>
      <c r="V52" s="269">
        <f>(V4+V11+V18)+2*(W4+W11+W18)</f>
        <v>0</v>
      </c>
      <c r="W52" s="270"/>
      <c r="X52" s="270">
        <f>(X4+X11+X18)+2*(Y4+Y11+Y18)</f>
        <v>0</v>
      </c>
      <c r="Y52" s="271"/>
      <c r="Z52" s="271">
        <f>(Z4+Z11+Z18)+2*(AA4+AA11+AA18)</f>
        <v>0</v>
      </c>
      <c r="AA52" s="272"/>
      <c r="AB52" s="272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4"/>
      <c r="AJ52" s="264">
        <f>(AJ4+AJ11+AJ18)+2*(AK4+AK11+AK18)</f>
        <v>0</v>
      </c>
      <c r="AK52" s="273"/>
      <c r="AL52" s="282">
        <f>(AL4+AL11+AL18)+2*(AM4+AM11+AM18)</f>
        <v>0</v>
      </c>
      <c r="AM52" s="274"/>
      <c r="AN52" s="274">
        <f>(AN4+AN11+AN18)+2*(AO4+AO11+AO18)</f>
        <v>0</v>
      </c>
      <c r="AO52" s="283"/>
      <c r="AP52" s="283">
        <f>(AP4+AP11+AP18)+2*(AQ4+AQ11+AQ18)</f>
        <v>0</v>
      </c>
      <c r="AQ52" s="275"/>
      <c r="AR52" s="275">
        <f>(AR4+AR11+AR18)+2*(AS4+AS11+AS18)</f>
        <v>0</v>
      </c>
      <c r="AS52" s="276"/>
      <c r="AT52" s="276">
        <f>(AT4+AT11+AT18)+2*(AU4+AU11+AU18)</f>
        <v>0</v>
      </c>
      <c r="AU52" s="277"/>
      <c r="AV52" s="277">
        <f>(AV4+AV11+AV18)+2*(AW4+AW11+AW18)</f>
        <v>0</v>
      </c>
      <c r="AW52" s="278"/>
      <c r="AX52" s="278">
        <f>(AX4+AX11+AX18)+2*(AY4+AY11+AY18)</f>
        <v>0</v>
      </c>
      <c r="AY52" s="154"/>
      <c r="AZ52" s="154">
        <f>(AZ4+AZ11+AZ18)+2*(BA4+BA11+BA18)</f>
        <v>0</v>
      </c>
      <c r="BA52" s="154"/>
      <c r="BB52" s="154">
        <f>(BB4+BB11+BB18)+2*(BC4+BC11+BC18)</f>
        <v>0</v>
      </c>
      <c r="BC52" s="265"/>
      <c r="BD52" s="265">
        <f>(BD4+BD11+BD18)+2*(BE4+BE11+BE18)</f>
        <v>0</v>
      </c>
      <c r="BE52" s="154"/>
      <c r="BF52" s="154">
        <f>(BF4+BF11+BF18)+2*(BG4+BG11+BG18)</f>
        <v>0</v>
      </c>
      <c r="BG52" s="266"/>
      <c r="BH52" s="266">
        <f>(BH4+BH11+BH18)+2*(BI4+BI11+BI18)</f>
        <v>0</v>
      </c>
      <c r="BI52" s="267"/>
      <c r="BJ52" s="267">
        <f>(BJ4+BJ11+BJ18)+2*(BK4+BK11+BK18)</f>
        <v>0</v>
      </c>
      <c r="BK52" s="297"/>
      <c r="BL52" s="327">
        <f>(BL4+BL11+BL18)+2*(BM4+BM11+BM18)</f>
        <v>0</v>
      </c>
      <c r="BM52" s="327"/>
    </row>
    <row r="53" spans="1:69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1</v>
      </c>
      <c r="G53" s="57"/>
      <c r="H53" s="57">
        <f>(H7+H14+H21)+2*(I7+I14+I21)</f>
        <v>0</v>
      </c>
      <c r="I53" s="57"/>
      <c r="J53" s="57">
        <f>(J7+J14+J21)+2*(K7+K14+K21)</f>
        <v>0</v>
      </c>
      <c r="K53" s="57"/>
      <c r="L53" s="57">
        <f>(L7+L14+L21)+2*(M7+M14+M21)</f>
        <v>1</v>
      </c>
      <c r="M53" s="280"/>
      <c r="N53" s="280">
        <f>(N7+N14+N21)+2*(O7+O14+O21)</f>
        <v>1</v>
      </c>
      <c r="O53" s="281"/>
      <c r="P53" s="281">
        <f>(P7+P14+P21)+2*(Q7+Q14+Q21)</f>
        <v>1</v>
      </c>
      <c r="Q53" s="260"/>
      <c r="R53" s="260">
        <f>(R7+R14+R21)+2*(S7+S14+S21)</f>
        <v>1</v>
      </c>
      <c r="S53" s="57"/>
      <c r="T53" s="57">
        <f>(T7+T14+T21)+2*(U7+U14+U21)</f>
        <v>1</v>
      </c>
      <c r="U53" s="269"/>
      <c r="V53" s="269">
        <f>(V7+V14+V21)+2*(W7+W14+W21)</f>
        <v>0</v>
      </c>
      <c r="W53" s="270"/>
      <c r="X53" s="270">
        <f>(X7+X14+X21)+2*(Y7+Y14+Y21)</f>
        <v>0</v>
      </c>
      <c r="Y53" s="271"/>
      <c r="Z53" s="271">
        <f>(Z7+Z14+Z21)+2*(AA7+AA14+AA21)</f>
        <v>1</v>
      </c>
      <c r="AA53" s="272"/>
      <c r="AB53" s="272">
        <f>(AB7+AB14+AB21)+2*(AC7+AC14+AC21)</f>
        <v>1</v>
      </c>
      <c r="AC53" s="57"/>
      <c r="AD53" s="57">
        <f>(AD7+AD14+AD21)+2*(AE7+AE14+AE21)</f>
        <v>1</v>
      </c>
      <c r="AE53" s="57"/>
      <c r="AF53" s="250">
        <f>(AF7+AF14+AF21)+2*(AG7+AG14+AG21)</f>
        <v>1</v>
      </c>
      <c r="AG53" s="57"/>
      <c r="AH53" s="57">
        <f>(AH7+AH14+AH21)+2*(AI7+AI14+AI21)</f>
        <v>1</v>
      </c>
      <c r="AI53" s="264"/>
      <c r="AJ53" s="264">
        <f>(AJ7+AJ14+AJ21)+2*(AK7+AK14+AK21)</f>
        <v>0</v>
      </c>
      <c r="AK53" s="273"/>
      <c r="AL53" s="282">
        <f>(AL7+AL14+AL21)+2*(AM7+AM14+AM21)</f>
        <v>0</v>
      </c>
      <c r="AM53" s="274"/>
      <c r="AN53" s="274">
        <f>(AN7+AN14+AN21)+2*(AO7+AO14+AO21)</f>
        <v>1</v>
      </c>
      <c r="AO53" s="283"/>
      <c r="AP53" s="283">
        <f>(AP7+AP14+AP21)+2*(AQ7+AQ14+AQ21)</f>
        <v>1</v>
      </c>
      <c r="AQ53" s="275"/>
      <c r="AR53" s="275">
        <f>(AR7+AR14+AR21)+2*(AS7+AS14+AS21)</f>
        <v>1</v>
      </c>
      <c r="AS53" s="276"/>
      <c r="AT53" s="276">
        <f>(AT7+AT14+AT21)+2*(AU7+AU14+AU21)</f>
        <v>1</v>
      </c>
      <c r="AU53" s="277"/>
      <c r="AV53" s="277">
        <f>(AV7+AV14+AV21)+2*(AW7+AW14+AW21)</f>
        <v>7</v>
      </c>
      <c r="AW53" s="278"/>
      <c r="AX53" s="278">
        <f>(AX7+AX14+AX21)+2*(AY7+AY14+AY21)</f>
        <v>0</v>
      </c>
      <c r="AY53" s="57"/>
      <c r="AZ53" s="252">
        <f>(AZ7+AZ14+AZ21)+2*(BA7+BA14+BA21)</f>
        <v>0</v>
      </c>
      <c r="BA53" s="117"/>
      <c r="BB53" s="253">
        <f>(BB7+BB14+BB21)+2*(BC7+BC14+BC21)</f>
        <v>1</v>
      </c>
      <c r="BC53" s="265"/>
      <c r="BD53" s="265">
        <f>(BD7+BD14+BD21)+2*(BE7+BE14+BE21)</f>
        <v>1</v>
      </c>
      <c r="BE53" s="117"/>
      <c r="BF53" s="57">
        <f>(BF7+BF14+BF21)+2*(BG7+BG14+BG21)</f>
        <v>1</v>
      </c>
      <c r="BG53" s="266"/>
      <c r="BH53" s="266">
        <f>(BH7+BH14+BH21)+2*(BI7+BI14+BI21)</f>
        <v>1</v>
      </c>
      <c r="BI53" s="267"/>
      <c r="BJ53" s="267">
        <f>(BJ7+BJ14+BJ21)+2*(BK7+BK14+BK21)</f>
        <v>1</v>
      </c>
      <c r="BK53" s="297"/>
      <c r="BL53" s="327">
        <f>(BL7+BL14+BL21)+2*(BM7+BM14+BM21)</f>
        <v>0</v>
      </c>
      <c r="BM53" s="327"/>
    </row>
    <row r="59" spans="1:69" x14ac:dyDescent="0.25">
      <c r="AS59" s="257"/>
      <c r="AT59" s="257"/>
      <c r="AU59" s="257"/>
      <c r="AV59" s="257"/>
      <c r="AW59" s="257"/>
      <c r="AX59" s="257"/>
      <c r="AY59" s="257"/>
      <c r="AZ59" s="257"/>
      <c r="BA59" s="257"/>
      <c r="BB59" s="257"/>
      <c r="BC59" s="257"/>
      <c r="BD59" s="257"/>
      <c r="BE59" s="257"/>
      <c r="BF59" s="257"/>
      <c r="BG59" s="257"/>
      <c r="BH59" s="257"/>
      <c r="BI59" s="257"/>
      <c r="BJ59" s="257"/>
      <c r="BK59" s="257"/>
      <c r="BL59" s="257"/>
      <c r="BM59" s="257"/>
      <c r="BN59" s="257"/>
      <c r="BO59" s="257"/>
      <c r="BP59" s="257"/>
      <c r="BQ59" s="257"/>
    </row>
    <row r="60" spans="1:69" x14ac:dyDescent="0.25">
      <c r="AS60" s="257"/>
      <c r="AT60" s="257"/>
      <c r="AU60" s="257"/>
      <c r="AV60" s="257"/>
      <c r="AW60" s="257"/>
      <c r="AX60" s="257"/>
      <c r="AY60" s="257"/>
      <c r="AZ60" s="257"/>
      <c r="BA60" s="257"/>
      <c r="BB60" s="257"/>
      <c r="BC60" s="257"/>
      <c r="BD60" s="257"/>
      <c r="BE60" s="257"/>
      <c r="BF60" s="257"/>
      <c r="BG60" s="257"/>
      <c r="BH60" s="257"/>
      <c r="BI60" s="257"/>
      <c r="BJ60" s="257"/>
      <c r="BK60" s="257"/>
      <c r="BL60" s="257"/>
      <c r="BM60" s="257"/>
      <c r="BN60" s="257"/>
      <c r="BO60" s="257"/>
      <c r="BP60" s="257"/>
      <c r="BQ60" s="257"/>
    </row>
    <row r="61" spans="1:69" ht="15.75" thickBot="1" x14ac:dyDescent="0.3">
      <c r="AS61" s="257"/>
      <c r="AT61" s="257"/>
      <c r="AU61" s="257"/>
      <c r="AV61" s="257"/>
      <c r="AW61" s="257"/>
      <c r="AX61" s="257"/>
      <c r="AY61" s="257"/>
      <c r="AZ61" s="257"/>
      <c r="BA61" s="257"/>
      <c r="BB61" s="257"/>
      <c r="BC61" s="257"/>
      <c r="BD61" s="257"/>
      <c r="BE61" s="257"/>
      <c r="BF61" s="257"/>
      <c r="BG61" s="257"/>
      <c r="BH61" s="257"/>
      <c r="BI61" s="257"/>
      <c r="BJ61" s="257"/>
      <c r="BK61" s="257"/>
      <c r="BL61" s="257"/>
      <c r="BM61" s="257"/>
      <c r="BN61" s="257"/>
      <c r="BO61" s="257"/>
      <c r="BP61" s="257"/>
      <c r="BQ61" s="257"/>
    </row>
    <row r="62" spans="1:69" ht="15.75" thickBot="1" x14ac:dyDescent="0.3">
      <c r="AH62" s="343">
        <v>10</v>
      </c>
      <c r="AI62" s="343">
        <v>0</v>
      </c>
      <c r="AJ62" s="343">
        <v>4</v>
      </c>
      <c r="AK62" s="343">
        <v>10</v>
      </c>
      <c r="AL62" s="343">
        <v>0</v>
      </c>
      <c r="AM62" s="343">
        <v>7</v>
      </c>
      <c r="AN62" s="344"/>
      <c r="AO62" s="344">
        <v>3</v>
      </c>
      <c r="AP62" s="344">
        <v>0</v>
      </c>
      <c r="AQ62" s="344">
        <v>55</v>
      </c>
      <c r="AR62" s="344">
        <v>5</v>
      </c>
      <c r="AS62" s="344">
        <v>1</v>
      </c>
      <c r="AT62" s="344">
        <v>49</v>
      </c>
      <c r="AU62" s="344"/>
      <c r="AV62" s="343">
        <v>0</v>
      </c>
      <c r="AW62" s="343">
        <v>0</v>
      </c>
      <c r="AX62" s="343">
        <v>2</v>
      </c>
      <c r="AY62" s="343">
        <v>0</v>
      </c>
      <c r="AZ62" s="343">
        <v>0</v>
      </c>
      <c r="BA62" s="343">
        <v>4</v>
      </c>
      <c r="BB62" s="257"/>
      <c r="BC62" s="257"/>
      <c r="BD62" s="257"/>
      <c r="BE62" s="257"/>
      <c r="BF62" s="257"/>
      <c r="BG62" s="257"/>
      <c r="BH62" s="257"/>
      <c r="BI62" s="257"/>
      <c r="BJ62" s="257"/>
      <c r="BK62" s="257"/>
      <c r="BL62" s="257"/>
      <c r="BM62" s="257"/>
      <c r="BN62" s="257"/>
      <c r="BO62" s="257"/>
      <c r="BP62" s="257"/>
      <c r="BQ62" s="257"/>
    </row>
    <row r="63" spans="1:69" ht="15.75" thickBot="1" x14ac:dyDescent="0.3">
      <c r="AH63" s="343">
        <v>0</v>
      </c>
      <c r="AI63" s="343">
        <v>0</v>
      </c>
      <c r="AJ63" s="343">
        <v>6</v>
      </c>
      <c r="AK63" s="343">
        <v>0</v>
      </c>
      <c r="AL63" s="343">
        <v>0</v>
      </c>
      <c r="AM63" s="343">
        <v>3</v>
      </c>
      <c r="AN63" s="344"/>
      <c r="AO63" s="344">
        <v>0</v>
      </c>
      <c r="AP63" s="344">
        <v>0</v>
      </c>
      <c r="AQ63" s="344">
        <v>7</v>
      </c>
      <c r="AR63" s="344">
        <v>2</v>
      </c>
      <c r="AS63" s="344">
        <v>0</v>
      </c>
      <c r="AT63" s="344">
        <v>10</v>
      </c>
      <c r="AU63" s="344"/>
      <c r="AV63" s="343">
        <v>0</v>
      </c>
      <c r="AW63" s="343">
        <v>0</v>
      </c>
      <c r="AX63" s="343">
        <v>4</v>
      </c>
      <c r="AY63" s="343">
        <v>0</v>
      </c>
      <c r="AZ63" s="343">
        <v>0</v>
      </c>
      <c r="BA63" s="343">
        <v>3</v>
      </c>
      <c r="BB63" s="257"/>
      <c r="BC63" s="257"/>
      <c r="BD63" s="257"/>
      <c r="BE63" s="257"/>
      <c r="BF63" s="257"/>
      <c r="BG63" s="257"/>
      <c r="BH63" s="257"/>
      <c r="BI63" s="257"/>
      <c r="BJ63" s="257"/>
      <c r="BK63" s="257"/>
      <c r="BL63" s="257"/>
      <c r="BM63" s="257"/>
      <c r="BN63" s="257"/>
      <c r="BO63" s="257"/>
      <c r="BP63" s="257"/>
      <c r="BQ63" s="257"/>
    </row>
    <row r="64" spans="1:69" x14ac:dyDescent="0.25">
      <c r="AI64" s="124"/>
      <c r="AJ64" s="124"/>
      <c r="AK64" s="124"/>
      <c r="AL64" s="124"/>
      <c r="AM64" s="124"/>
      <c r="AN64" s="124"/>
      <c r="AO64" s="124"/>
      <c r="AP64" s="124"/>
      <c r="AQ64" s="124"/>
      <c r="AR64" s="124"/>
      <c r="AS64" s="257"/>
      <c r="AT64" s="257"/>
      <c r="AU64" s="257"/>
      <c r="AV64" s="257"/>
      <c r="AW64" s="257"/>
      <c r="AX64" s="257"/>
      <c r="AY64" s="257"/>
      <c r="AZ64" s="257"/>
      <c r="BA64" s="257"/>
      <c r="BB64" s="257"/>
      <c r="BC64" s="257"/>
      <c r="BD64" s="257"/>
      <c r="BE64" s="257"/>
      <c r="BF64" s="257"/>
      <c r="BG64" s="257"/>
      <c r="BH64" s="257"/>
      <c r="BI64" s="257"/>
      <c r="BJ64" s="257"/>
      <c r="BK64" s="257"/>
      <c r="BL64" s="257"/>
      <c r="BM64" s="257"/>
      <c r="BN64" s="257"/>
      <c r="BO64" s="257"/>
      <c r="BP64" s="257"/>
      <c r="BQ64" s="257"/>
    </row>
  </sheetData>
  <mergeCells count="32">
    <mergeCell ref="BL1:BM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J1:BK1"/>
    <mergeCell ref="AB1:AC1"/>
    <mergeCell ref="AD1:AE1"/>
    <mergeCell ref="BH1:BI1"/>
    <mergeCell ref="AJ1:AK1"/>
    <mergeCell ref="AF1:AG1"/>
    <mergeCell ref="AL1:AM1"/>
    <mergeCell ref="BF1:BG1"/>
    <mergeCell ref="AT1:AU1"/>
    <mergeCell ref="AN1:AO1"/>
    <mergeCell ref="BD1:BE1"/>
    <mergeCell ref="AR1:AS1"/>
    <mergeCell ref="AP1:AQ1"/>
    <mergeCell ref="AH1:AI1"/>
    <mergeCell ref="AZ1:BA1"/>
    <mergeCell ref="BB1:BC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27" activePane="bottomRight" state="frozen"/>
      <selection pane="topRight" activeCell="B1" sqref="B1"/>
      <selection pane="bottomLeft" activeCell="A2" sqref="A2"/>
      <selection pane="bottomRight" activeCell="D4" sqref="D4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9" t="s">
        <v>177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46023</v>
      </c>
      <c r="B4" s="345">
        <f>'KM-Servicio'!N11</f>
        <v>5372</v>
      </c>
      <c r="C4" s="12">
        <f>B4</f>
        <v>5372</v>
      </c>
      <c r="D4" s="347">
        <f>'KM-Servicio'!W11</f>
        <v>5003.08</v>
      </c>
      <c r="E4" s="12">
        <f>D4</f>
        <v>5003.08</v>
      </c>
      <c r="F4" s="166">
        <f>'KM-Servicio'!O11</f>
        <v>93.132539091585997</v>
      </c>
      <c r="G4" s="167">
        <f>SUM('KM-Servicio'!B11:C11)</f>
        <v>111</v>
      </c>
      <c r="H4" s="167">
        <f>SUM('KM-Servicio'!D11:E11)</f>
        <v>111</v>
      </c>
      <c r="I4" s="12">
        <f>'Oferta Diaria'!C38</f>
        <v>396744.24400000001</v>
      </c>
      <c r="J4" s="161" t="s">
        <v>137</v>
      </c>
      <c r="K4" s="164"/>
      <c r="L4" s="162"/>
    </row>
    <row r="5" spans="1:12" x14ac:dyDescent="0.25">
      <c r="A5" s="160">
        <v>46024</v>
      </c>
      <c r="B5" s="345">
        <f>'KM-Servicio'!N18</f>
        <v>11904</v>
      </c>
      <c r="C5" s="12">
        <f>B5+C4</f>
        <v>17276</v>
      </c>
      <c r="D5" s="347">
        <f>'KM-Servicio'!W18</f>
        <v>11439.220000000001</v>
      </c>
      <c r="E5" s="12">
        <f>D5+E4</f>
        <v>16442.300000000003</v>
      </c>
      <c r="F5" s="166">
        <f>'KM-Servicio'!O18</f>
        <v>96.095598118279582</v>
      </c>
      <c r="G5" s="167">
        <f>SUM('KM-Servicio'!B18:C18)</f>
        <v>223</v>
      </c>
      <c r="H5" s="167">
        <f>SUM('KM-Servicio'!D18:E18)</f>
        <v>223</v>
      </c>
      <c r="I5" s="12">
        <f>'Oferta Diaria'!D38</f>
        <v>907130.14599999995</v>
      </c>
      <c r="J5" s="161" t="s">
        <v>137</v>
      </c>
      <c r="K5" s="164"/>
      <c r="L5" s="162"/>
    </row>
    <row r="6" spans="1:12" x14ac:dyDescent="0.25">
      <c r="A6" s="160">
        <v>46025</v>
      </c>
      <c r="B6" s="345">
        <f>'KM-Servicio'!N25</f>
        <v>6613</v>
      </c>
      <c r="C6" s="12">
        <f t="shared" ref="C6:C31" si="0">B6+C5</f>
        <v>23889</v>
      </c>
      <c r="D6" s="347">
        <f>'KM-Servicio'!W25</f>
        <v>6469.5</v>
      </c>
      <c r="E6" s="12">
        <f t="shared" ref="E6:E31" si="1">D6+E5</f>
        <v>22911.800000000003</v>
      </c>
      <c r="F6" s="166">
        <f>'KM-Servicio'!O25</f>
        <v>97.830031755632845</v>
      </c>
      <c r="G6" s="167">
        <f>SUM('KM-Servicio'!B25:C25)</f>
        <v>147</v>
      </c>
      <c r="H6" s="167">
        <f>SUM('KM-Servicio'!D25:E25)</f>
        <v>147</v>
      </c>
      <c r="I6" s="12">
        <f>'Oferta Diaria'!E38</f>
        <v>513031.35</v>
      </c>
      <c r="J6" s="337" t="s">
        <v>138</v>
      </c>
      <c r="K6" s="164"/>
      <c r="L6" s="162"/>
    </row>
    <row r="7" spans="1:12" x14ac:dyDescent="0.25">
      <c r="A7" s="160">
        <v>46026</v>
      </c>
      <c r="B7" s="345">
        <f>'KM-Servicio'!N32</f>
        <v>5001</v>
      </c>
      <c r="C7" s="12">
        <f t="shared" si="0"/>
        <v>28890</v>
      </c>
      <c r="D7" s="347">
        <f>'KM-Servicio'!W32</f>
        <v>4916.8200000000006</v>
      </c>
      <c r="E7" s="12">
        <f t="shared" si="1"/>
        <v>27828.620000000003</v>
      </c>
      <c r="F7" s="166">
        <f>'KM-Servicio'!O32</f>
        <v>98.316736652669476</v>
      </c>
      <c r="G7" s="167">
        <f>SUM('KM-Servicio'!B32:C32)</f>
        <v>111</v>
      </c>
      <c r="H7" s="167">
        <f>SUM('KM-Servicio'!D32:E32)</f>
        <v>111</v>
      </c>
      <c r="I7" s="12">
        <f>'Oferta Diaria'!F38</f>
        <v>389903.82600000006</v>
      </c>
      <c r="J7" s="337" t="s">
        <v>136</v>
      </c>
      <c r="K7" s="164"/>
      <c r="L7" s="162"/>
    </row>
    <row r="8" spans="1:12" ht="16.5" customHeight="1" x14ac:dyDescent="0.25">
      <c r="A8" s="160">
        <v>46027</v>
      </c>
      <c r="B8" s="345">
        <f>'KM-Servicio'!N39</f>
        <v>11922</v>
      </c>
      <c r="C8" s="12">
        <f t="shared" si="0"/>
        <v>40812</v>
      </c>
      <c r="D8" s="347">
        <f>'KM-Servicio'!W39</f>
        <v>11439.220000000001</v>
      </c>
      <c r="E8" s="12">
        <f t="shared" si="1"/>
        <v>39267.840000000004</v>
      </c>
      <c r="F8" s="166">
        <f>'KM-Servicio'!O39</f>
        <v>95.950511659117609</v>
      </c>
      <c r="G8" s="167">
        <f>SUM('KM-Servicio'!B39:C39)</f>
        <v>223</v>
      </c>
      <c r="H8" s="167">
        <f>SUM('KM-Servicio'!D39:E39)</f>
        <v>223</v>
      </c>
      <c r="I8" s="12">
        <f>'Oferta Diaria'!G38</f>
        <v>907130.14600000007</v>
      </c>
      <c r="J8" s="161" t="s">
        <v>137</v>
      </c>
      <c r="K8" s="176"/>
      <c r="L8" s="162"/>
    </row>
    <row r="9" spans="1:12" x14ac:dyDescent="0.25">
      <c r="A9" s="160">
        <v>46028</v>
      </c>
      <c r="B9" s="346">
        <f>'KM-Servicio'!N46</f>
        <v>11975</v>
      </c>
      <c r="C9" s="334">
        <f t="shared" si="0"/>
        <v>52787</v>
      </c>
      <c r="D9" s="348">
        <f>'KM-Servicio'!W46</f>
        <v>11350.57</v>
      </c>
      <c r="E9" s="334">
        <f t="shared" si="1"/>
        <v>50618.41</v>
      </c>
      <c r="F9" s="335">
        <f>'KM-Servicio'!O46</f>
        <v>94.785553235908139</v>
      </c>
      <c r="G9" s="336">
        <f>SUM('KM-Servicio'!B46:C46)</f>
        <v>223</v>
      </c>
      <c r="H9" s="336">
        <f>SUM('KM-Servicio'!D46:E46)</f>
        <v>223</v>
      </c>
      <c r="I9" s="334">
        <f>'Oferta Diaria'!H38</f>
        <v>900100.201</v>
      </c>
      <c r="J9" s="161" t="s">
        <v>137</v>
      </c>
      <c r="K9" s="338"/>
      <c r="L9" s="162"/>
    </row>
    <row r="10" spans="1:12" x14ac:dyDescent="0.25">
      <c r="A10" s="160">
        <v>46029</v>
      </c>
      <c r="B10" s="346">
        <f>'KM-Servicio'!N55</f>
        <v>11899</v>
      </c>
      <c r="C10" s="334">
        <f t="shared" si="0"/>
        <v>64686</v>
      </c>
      <c r="D10" s="348">
        <f>'KM-Servicio'!W55</f>
        <v>11064.060000000001</v>
      </c>
      <c r="E10" s="334">
        <f t="shared" si="1"/>
        <v>61682.47</v>
      </c>
      <c r="F10" s="335">
        <f>'KM-Servicio'!O55</f>
        <v>92.983107824186916</v>
      </c>
      <c r="G10" s="336">
        <f>SUM('KM-Servicio'!B55:C55)</f>
        <v>223</v>
      </c>
      <c r="H10" s="336">
        <f>SUM('KM-Servicio'!D55:E55)</f>
        <v>209</v>
      </c>
      <c r="I10" s="334">
        <f>'Oferta Diaria'!I38</f>
        <v>877379.95799999998</v>
      </c>
      <c r="J10" s="161" t="s">
        <v>137</v>
      </c>
      <c r="K10" s="339"/>
      <c r="L10" s="162"/>
    </row>
    <row r="11" spans="1:12" x14ac:dyDescent="0.25">
      <c r="A11" s="160">
        <v>46030</v>
      </c>
      <c r="B11" s="346">
        <f>'KM-Servicio'!N62</f>
        <v>12321</v>
      </c>
      <c r="C11" s="334">
        <f t="shared" si="0"/>
        <v>77007</v>
      </c>
      <c r="D11" s="348">
        <f>'KM-Servicio'!W62</f>
        <v>11592.439999999999</v>
      </c>
      <c r="E11" s="334">
        <f t="shared" si="1"/>
        <v>73274.91</v>
      </c>
      <c r="F11" s="335">
        <f>'KM-Servicio'!O62</f>
        <v>94.086843600357099</v>
      </c>
      <c r="G11" s="336">
        <f>SUM('KM-Servicio'!B62:C62)</f>
        <v>223</v>
      </c>
      <c r="H11" s="336">
        <f>SUM('KM-Servicio'!D62:E62)</f>
        <v>225</v>
      </c>
      <c r="I11" s="334">
        <f>'Oferta Diaria'!J38</f>
        <v>919280.49199999997</v>
      </c>
      <c r="J11" s="161" t="s">
        <v>137</v>
      </c>
      <c r="K11" s="338"/>
      <c r="L11" s="162"/>
    </row>
    <row r="12" spans="1:12" x14ac:dyDescent="0.25">
      <c r="A12" s="160">
        <v>46031</v>
      </c>
      <c r="B12" s="345">
        <f>'KM-Servicio'!N69</f>
        <v>12431</v>
      </c>
      <c r="C12" s="12">
        <f t="shared" si="0"/>
        <v>89438</v>
      </c>
      <c r="D12" s="347">
        <f>'KM-Servicio'!W69</f>
        <v>11574.710000000001</v>
      </c>
      <c r="E12" s="12">
        <f t="shared" si="1"/>
        <v>84849.62000000001</v>
      </c>
      <c r="F12" s="166">
        <f>'KM-Servicio'!O69</f>
        <v>93.111656343013436</v>
      </c>
      <c r="G12" s="167">
        <f>SUM('KM-Servicio'!B69:C69)</f>
        <v>223</v>
      </c>
      <c r="H12" s="167">
        <f>SUM('KM-Servicio'!D69:E69)</f>
        <v>223</v>
      </c>
      <c r="I12" s="12">
        <f>'Oferta Diaria'!K38</f>
        <v>917874.50300000003</v>
      </c>
      <c r="J12" s="161" t="s">
        <v>137</v>
      </c>
      <c r="K12" s="164"/>
      <c r="L12" s="162"/>
    </row>
    <row r="13" spans="1:12" x14ac:dyDescent="0.25">
      <c r="A13" s="160">
        <v>46032</v>
      </c>
      <c r="B13" s="345">
        <f>'KM-Servicio'!N76</f>
        <v>6491</v>
      </c>
      <c r="C13" s="12">
        <f t="shared" si="0"/>
        <v>95929</v>
      </c>
      <c r="D13" s="347">
        <f>'KM-Servicio'!W76</f>
        <v>6469.5</v>
      </c>
      <c r="E13" s="12">
        <f t="shared" si="1"/>
        <v>91319.12000000001</v>
      </c>
      <c r="F13" s="166">
        <f>'KM-Servicio'!O76</f>
        <v>99.668772146048383</v>
      </c>
      <c r="G13" s="167">
        <f>SUM('KM-Servicio'!B76:C76)</f>
        <v>147</v>
      </c>
      <c r="H13" s="167">
        <f>SUM('KM-Servicio'!D76:E76)</f>
        <v>147</v>
      </c>
      <c r="I13" s="12">
        <f>'Oferta Diaria'!L38</f>
        <v>513031.35</v>
      </c>
      <c r="J13" s="337" t="s">
        <v>138</v>
      </c>
      <c r="K13" s="164"/>
      <c r="L13" s="162"/>
    </row>
    <row r="14" spans="1:12" x14ac:dyDescent="0.25">
      <c r="A14" s="160">
        <v>46033</v>
      </c>
      <c r="B14" s="345">
        <f>'KM-Servicio'!N83</f>
        <v>4999</v>
      </c>
      <c r="C14" s="12">
        <f t="shared" si="0"/>
        <v>100928</v>
      </c>
      <c r="D14" s="347">
        <f>'KM-Servicio'!W83</f>
        <v>4916.8200000000006</v>
      </c>
      <c r="E14" s="12">
        <f t="shared" si="1"/>
        <v>96235.940000000017</v>
      </c>
      <c r="F14" s="166">
        <f>'KM-Servicio'!O83</f>
        <v>98.35607121424286</v>
      </c>
      <c r="G14" s="167">
        <f>SUM('KM-Servicio'!B83:C83)</f>
        <v>111</v>
      </c>
      <c r="H14" s="167">
        <f>SUM('KM-Servicio'!D83:E83)</f>
        <v>111</v>
      </c>
      <c r="I14" s="12">
        <f>'Oferta Diaria'!M38</f>
        <v>389903.82600000006</v>
      </c>
      <c r="J14" s="337" t="s">
        <v>136</v>
      </c>
      <c r="K14" s="164"/>
      <c r="L14" s="162"/>
    </row>
    <row r="15" spans="1:12" x14ac:dyDescent="0.25">
      <c r="A15" s="160">
        <v>46034</v>
      </c>
      <c r="B15" s="345">
        <f>'KM-Servicio'!N90</f>
        <v>12215</v>
      </c>
      <c r="C15" s="12">
        <f t="shared" si="0"/>
        <v>113143</v>
      </c>
      <c r="D15" s="347">
        <f>'KM-Servicio'!W90</f>
        <v>11421.49</v>
      </c>
      <c r="E15" s="12">
        <f t="shared" si="1"/>
        <v>107657.43000000002</v>
      </c>
      <c r="F15" s="166">
        <f>'KM-Servicio'!O90</f>
        <v>93.503806794924273</v>
      </c>
      <c r="G15" s="167">
        <f>SUM('KM-Servicio'!B90:C90)</f>
        <v>223</v>
      </c>
      <c r="H15" s="167">
        <f>SUM('KM-Servicio'!D90:E90)</f>
        <v>223</v>
      </c>
      <c r="I15" s="12">
        <f>'Oferta Diaria'!N38</f>
        <v>905724.15700000012</v>
      </c>
      <c r="J15" s="161" t="s">
        <v>137</v>
      </c>
      <c r="K15" s="164"/>
      <c r="L15" s="162"/>
    </row>
    <row r="16" spans="1:12" ht="16.5" customHeight="1" x14ac:dyDescent="0.25">
      <c r="A16" s="160">
        <v>46035</v>
      </c>
      <c r="B16" s="346">
        <f>'KM-Servicio'!N97</f>
        <v>10392</v>
      </c>
      <c r="C16" s="334">
        <f t="shared" si="0"/>
        <v>123535</v>
      </c>
      <c r="D16" s="348">
        <f>'KM-Servicio'!W97</f>
        <v>9849.94</v>
      </c>
      <c r="E16" s="334">
        <f t="shared" si="1"/>
        <v>117507.37000000002</v>
      </c>
      <c r="F16" s="335">
        <f>'KM-Servicio'!O97</f>
        <v>94.783872209391845</v>
      </c>
      <c r="G16" s="336">
        <f>SUM('KM-Servicio'!B97:C97)</f>
        <v>223</v>
      </c>
      <c r="H16" s="336">
        <f>SUM('KM-Servicio'!D97:E97)</f>
        <v>203</v>
      </c>
      <c r="I16" s="334">
        <f>'Oferta Diaria'!O38</f>
        <v>778997.20600000001</v>
      </c>
      <c r="J16" s="161" t="s">
        <v>137</v>
      </c>
      <c r="K16" s="338"/>
      <c r="L16" s="162"/>
    </row>
    <row r="17" spans="1:12" x14ac:dyDescent="0.25">
      <c r="A17" s="160">
        <v>46036</v>
      </c>
      <c r="B17" s="346">
        <f>'KM-Servicio'!N104</f>
        <v>11104</v>
      </c>
      <c r="C17" s="334">
        <f t="shared" si="0"/>
        <v>134639</v>
      </c>
      <c r="D17" s="348">
        <f>'KM-Servicio'!W104</f>
        <v>10556.5</v>
      </c>
      <c r="E17" s="334">
        <f t="shared" si="1"/>
        <v>128063.87000000002</v>
      </c>
      <c r="F17" s="335">
        <f>'KM-Servicio'!O104</f>
        <v>95.06934438040345</v>
      </c>
      <c r="G17" s="336">
        <f>SUM('KM-Servicio'!B104:C104)</f>
        <v>223</v>
      </c>
      <c r="H17" s="336">
        <f>SUM('KM-Servicio'!D104:E104)</f>
        <v>223</v>
      </c>
      <c r="I17" s="334">
        <f>'Oferta Diaria'!P38</f>
        <v>837130.45</v>
      </c>
      <c r="J17" s="161" t="s">
        <v>137</v>
      </c>
      <c r="K17" s="338"/>
      <c r="L17" s="162"/>
    </row>
    <row r="18" spans="1:12" x14ac:dyDescent="0.25">
      <c r="A18" s="160">
        <v>46037</v>
      </c>
      <c r="B18" s="345">
        <f>'KM-Servicio'!N111</f>
        <v>11137</v>
      </c>
      <c r="C18" s="12">
        <f t="shared" si="0"/>
        <v>145776</v>
      </c>
      <c r="D18" s="347">
        <f>'KM-Servicio'!W111</f>
        <v>10591.96</v>
      </c>
      <c r="E18" s="12">
        <f t="shared" si="1"/>
        <v>138655.83000000002</v>
      </c>
      <c r="F18" s="166">
        <f>'KM-Servicio'!O111</f>
        <v>95.106042919996398</v>
      </c>
      <c r="G18" s="167">
        <f>SUM('KM-Servicio'!B111:C111)</f>
        <v>223</v>
      </c>
      <c r="H18" s="167">
        <f>SUM('KM-Servicio'!D111:E111)</f>
        <v>223</v>
      </c>
      <c r="I18" s="12">
        <f>'Oferta Diaria'!Q38</f>
        <v>839942.42799999996</v>
      </c>
      <c r="J18" s="161" t="s">
        <v>137</v>
      </c>
      <c r="K18" s="164"/>
      <c r="L18" s="162"/>
    </row>
    <row r="19" spans="1:12" ht="14.25" customHeight="1" x14ac:dyDescent="0.25">
      <c r="A19" s="160">
        <v>46038</v>
      </c>
      <c r="B19" s="345">
        <f>'KM-Servicio'!$N$118</f>
        <v>11217</v>
      </c>
      <c r="C19" s="12">
        <f t="shared" si="0"/>
        <v>156993</v>
      </c>
      <c r="D19" s="347">
        <f>'KM-Servicio'!$W$118</f>
        <v>10523.43</v>
      </c>
      <c r="E19" s="12">
        <f t="shared" si="1"/>
        <v>149179.26</v>
      </c>
      <c r="F19" s="166">
        <f>'KM-Servicio'!O118</f>
        <v>93.816795934741918</v>
      </c>
      <c r="G19" s="167">
        <f>SUM('KM-Servicio'!B118:C118)</f>
        <v>223</v>
      </c>
      <c r="H19" s="167">
        <f>SUM('KM-Servicio'!D118:E118)</f>
        <v>223</v>
      </c>
      <c r="I19" s="12">
        <f>'Oferta Diaria'!R38</f>
        <v>834507.99899999984</v>
      </c>
      <c r="J19" s="161" t="s">
        <v>137</v>
      </c>
      <c r="K19" s="144"/>
    </row>
    <row r="20" spans="1:12" x14ac:dyDescent="0.25">
      <c r="A20" s="160">
        <v>46039</v>
      </c>
      <c r="B20" s="345">
        <f>'KM-Servicio'!$N$125</f>
        <v>6798</v>
      </c>
      <c r="C20" s="12">
        <f t="shared" si="0"/>
        <v>163791</v>
      </c>
      <c r="D20" s="347">
        <f>'KM-Servicio'!$W$125</f>
        <v>6469.5</v>
      </c>
      <c r="E20" s="12">
        <f t="shared" si="1"/>
        <v>155648.76</v>
      </c>
      <c r="F20" s="166">
        <f>'KM-Servicio'!O125</f>
        <v>95.167696381288607</v>
      </c>
      <c r="G20" s="167">
        <f>SUM('KM-Servicio'!B125:C125)</f>
        <v>147</v>
      </c>
      <c r="H20" s="167">
        <f>SUM('KM-Servicio'!D125:E125)</f>
        <v>147</v>
      </c>
      <c r="I20" s="12">
        <f>'Oferta Diaria'!S38</f>
        <v>513031.35</v>
      </c>
      <c r="J20" s="337" t="s">
        <v>138</v>
      </c>
      <c r="K20" s="164"/>
      <c r="L20" s="162"/>
    </row>
    <row r="21" spans="1:12" x14ac:dyDescent="0.25">
      <c r="A21" s="160">
        <v>46040</v>
      </c>
      <c r="B21" s="345">
        <f>'KM-Servicio'!N132</f>
        <v>4868</v>
      </c>
      <c r="C21" s="12">
        <f t="shared" si="0"/>
        <v>168659</v>
      </c>
      <c r="D21" s="347">
        <f>'KM-Servicio'!$W$132</f>
        <v>4830.5600000000004</v>
      </c>
      <c r="E21" s="12">
        <f t="shared" si="1"/>
        <v>160479.32</v>
      </c>
      <c r="F21" s="166">
        <f>'KM-Servicio'!O132</f>
        <v>99.230895645028767</v>
      </c>
      <c r="G21" s="167">
        <f>SUM('KM-Servicio'!B132:C132)</f>
        <v>111</v>
      </c>
      <c r="H21" s="167">
        <f>SUM('KM-Servicio'!D132:E132)</f>
        <v>111</v>
      </c>
      <c r="I21" s="12">
        <f>'Oferta Diaria'!T38</f>
        <v>383063.408</v>
      </c>
      <c r="J21" s="337" t="s">
        <v>136</v>
      </c>
      <c r="K21" s="164"/>
      <c r="L21" s="162"/>
    </row>
    <row r="22" spans="1:12" x14ac:dyDescent="0.25">
      <c r="A22" s="160">
        <v>46041</v>
      </c>
      <c r="B22" s="345">
        <f>'KM-Servicio'!N139</f>
        <v>11010</v>
      </c>
      <c r="C22" s="12">
        <f t="shared" si="0"/>
        <v>179669</v>
      </c>
      <c r="D22" s="347">
        <f>'KM-Servicio'!$W$139</f>
        <v>10574.23</v>
      </c>
      <c r="E22" s="12">
        <f t="shared" si="1"/>
        <v>171053.55000000002</v>
      </c>
      <c r="F22" s="171">
        <f>'KM-Servicio'!O139</f>
        <v>96.04205267938238</v>
      </c>
      <c r="G22" s="167">
        <f>SUM('KM-Servicio'!B139:C139)</f>
        <v>223</v>
      </c>
      <c r="H22" s="167">
        <f>SUM('KM-Servicio'!D139:E139)</f>
        <v>223</v>
      </c>
      <c r="I22" s="12">
        <f>'Oferta Diaria'!U38</f>
        <v>838536.4389999999</v>
      </c>
      <c r="J22" s="161" t="s">
        <v>137</v>
      </c>
      <c r="K22" s="164"/>
      <c r="L22" s="162"/>
    </row>
    <row r="23" spans="1:12" x14ac:dyDescent="0.25">
      <c r="A23" s="160">
        <v>46042</v>
      </c>
      <c r="B23" s="346">
        <f>'KM-Servicio'!N146</f>
        <v>11092</v>
      </c>
      <c r="C23" s="334">
        <f t="shared" si="0"/>
        <v>190761</v>
      </c>
      <c r="D23" s="348">
        <f>'KM-Servicio'!$W$146</f>
        <v>10609.69</v>
      </c>
      <c r="E23" s="334">
        <f t="shared" si="1"/>
        <v>181663.24000000002</v>
      </c>
      <c r="F23" s="335">
        <f>'KM-Servicio'!O146</f>
        <v>95.65173097728092</v>
      </c>
      <c r="G23" s="336">
        <f>SUM('KM-Servicio'!B146:C146)</f>
        <v>223</v>
      </c>
      <c r="H23" s="336">
        <f>SUM('KM-Servicio'!D146:E146)</f>
        <v>223</v>
      </c>
      <c r="I23" s="334">
        <f>'Oferta Diaria'!V38</f>
        <v>841348.4169999999</v>
      </c>
      <c r="J23" s="161" t="s">
        <v>137</v>
      </c>
      <c r="K23" s="338"/>
      <c r="L23" s="162"/>
    </row>
    <row r="24" spans="1:12" x14ac:dyDescent="0.25">
      <c r="A24" s="160">
        <v>46043</v>
      </c>
      <c r="B24" s="346">
        <f>'KM-Servicio'!N153</f>
        <v>10958</v>
      </c>
      <c r="C24" s="334">
        <f t="shared" si="0"/>
        <v>201719</v>
      </c>
      <c r="D24" s="348">
        <f>'KM-Servicio'!$W$153</f>
        <v>10574.23</v>
      </c>
      <c r="E24" s="334">
        <f t="shared" si="1"/>
        <v>192237.47000000003</v>
      </c>
      <c r="F24" s="335">
        <f>'KM-Servicio'!O153</f>
        <v>96.497809819310092</v>
      </c>
      <c r="G24" s="336">
        <f>SUM('KM-Servicio'!B153:C153)</f>
        <v>223</v>
      </c>
      <c r="H24" s="336">
        <f>SUM('KM-Servicio'!D153:E153)</f>
        <v>223</v>
      </c>
      <c r="I24" s="334">
        <f>'Oferta Diaria'!W38</f>
        <v>838536.4389999999</v>
      </c>
      <c r="J24" s="161" t="s">
        <v>137</v>
      </c>
      <c r="K24" s="338"/>
      <c r="L24" s="162"/>
    </row>
    <row r="25" spans="1:12" x14ac:dyDescent="0.25">
      <c r="A25" s="160">
        <v>46044</v>
      </c>
      <c r="B25" s="345">
        <f>'KM-Servicio'!N160</f>
        <v>10861</v>
      </c>
      <c r="C25" s="12">
        <f t="shared" si="0"/>
        <v>212580</v>
      </c>
      <c r="D25" s="347">
        <f>'KM-Servicio'!$W$160</f>
        <v>10485.58</v>
      </c>
      <c r="E25" s="12">
        <f t="shared" si="1"/>
        <v>202723.05000000002</v>
      </c>
      <c r="F25" s="166">
        <f>'KM-Servicio'!O160</f>
        <v>96.543412208820541</v>
      </c>
      <c r="G25" s="167">
        <f>SUM('KM-Servicio'!B160:C160)</f>
        <v>223</v>
      </c>
      <c r="H25" s="167">
        <f>SUM('KM-Servicio'!D160:E160)</f>
        <v>223</v>
      </c>
      <c r="I25" s="12">
        <f>'Oferta Diaria'!X38</f>
        <v>831506.49399999995</v>
      </c>
      <c r="J25" s="161" t="s">
        <v>137</v>
      </c>
      <c r="K25" s="164"/>
      <c r="L25" s="162"/>
    </row>
    <row r="26" spans="1:12" x14ac:dyDescent="0.25">
      <c r="A26" s="160">
        <v>46045</v>
      </c>
      <c r="B26" s="345">
        <f>'KM-Servicio'!N167</f>
        <v>10805</v>
      </c>
      <c r="C26" s="12">
        <f t="shared" si="0"/>
        <v>223385</v>
      </c>
      <c r="D26" s="347">
        <f>'KM-Servicio'!$W$167</f>
        <v>10339.779999999999</v>
      </c>
      <c r="E26" s="12">
        <f t="shared" si="1"/>
        <v>213062.83000000002</v>
      </c>
      <c r="F26" s="166">
        <f>'KM-Servicio'!O167</f>
        <v>95.694400740397953</v>
      </c>
      <c r="G26" s="167">
        <f>SUM('KM-Servicio'!B167:C167)</f>
        <v>223</v>
      </c>
      <c r="H26" s="167">
        <f>SUM('KM-Servicio'!D167:E167)</f>
        <v>217</v>
      </c>
      <c r="I26" s="12">
        <f>'Oferta Diaria'!Y38</f>
        <v>819944.554</v>
      </c>
      <c r="J26" s="161" t="s">
        <v>137</v>
      </c>
      <c r="K26" s="164"/>
      <c r="L26" s="162"/>
    </row>
    <row r="27" spans="1:12" x14ac:dyDescent="0.25">
      <c r="A27" s="160">
        <v>46046</v>
      </c>
      <c r="B27" s="345">
        <f>'KM-Servicio'!N174</f>
        <v>6602</v>
      </c>
      <c r="C27" s="12">
        <f t="shared" si="0"/>
        <v>229987</v>
      </c>
      <c r="D27" s="347">
        <f>'KM-Servicio'!$W$174</f>
        <v>6469.5</v>
      </c>
      <c r="E27" s="12">
        <f t="shared" si="1"/>
        <v>219532.33000000002</v>
      </c>
      <c r="F27" s="166">
        <f>'KM-Servicio'!O174</f>
        <v>97.993032414419872</v>
      </c>
      <c r="G27" s="167">
        <f>SUM('KM-Servicio'!B174:C174)</f>
        <v>147</v>
      </c>
      <c r="H27" s="167">
        <f>SUM('KM-Servicio'!D174:E174)</f>
        <v>147</v>
      </c>
      <c r="I27" s="12">
        <f>'Oferta Diaria'!Z38</f>
        <v>513031.35</v>
      </c>
      <c r="J27" s="337" t="s">
        <v>138</v>
      </c>
      <c r="K27" s="164"/>
      <c r="L27" s="162"/>
    </row>
    <row r="28" spans="1:12" x14ac:dyDescent="0.25">
      <c r="A28" s="160">
        <v>46047</v>
      </c>
      <c r="B28" s="346">
        <f>'KM-Servicio'!N181</f>
        <v>5033</v>
      </c>
      <c r="C28" s="334">
        <f t="shared" si="0"/>
        <v>235020</v>
      </c>
      <c r="D28" s="348">
        <f>'KM-Servicio'!$W$181</f>
        <v>4916.8200000000006</v>
      </c>
      <c r="E28" s="334">
        <f t="shared" si="1"/>
        <v>224449.15000000002</v>
      </c>
      <c r="F28" s="335">
        <f>'KM-Servicio'!O181</f>
        <v>97.691635207629659</v>
      </c>
      <c r="G28" s="336">
        <f>SUM('KM-Servicio'!B181:C181)</f>
        <v>111</v>
      </c>
      <c r="H28" s="336">
        <f>SUM('KM-Servicio'!D181:E181)</f>
        <v>111</v>
      </c>
      <c r="I28" s="334">
        <f>'Oferta Diaria'!AA38</f>
        <v>389903.82600000006</v>
      </c>
      <c r="J28" s="337" t="s">
        <v>136</v>
      </c>
      <c r="K28" s="338"/>
      <c r="L28" s="162"/>
    </row>
    <row r="29" spans="1:12" x14ac:dyDescent="0.25">
      <c r="A29" s="160">
        <v>46048</v>
      </c>
      <c r="B29" s="345">
        <f>'KM-Servicio'!N188</f>
        <v>10457</v>
      </c>
      <c r="C29" s="12">
        <f t="shared" si="0"/>
        <v>245477</v>
      </c>
      <c r="D29" s="347">
        <f>'KM-Servicio'!$W$188</f>
        <v>10023.6</v>
      </c>
      <c r="E29" s="12">
        <f t="shared" si="1"/>
        <v>234472.75000000003</v>
      </c>
      <c r="F29" s="166">
        <f>'KM-Servicio'!O188</f>
        <v>95.855407860763137</v>
      </c>
      <c r="G29" s="167">
        <f>SUM('KM-Servicio'!B188:C188)</f>
        <v>223</v>
      </c>
      <c r="H29" s="167">
        <f>SUM('KM-Servicio'!D188:E188)</f>
        <v>223</v>
      </c>
      <c r="I29" s="12">
        <f>'Oferta Diaria'!AB38</f>
        <v>794871.48</v>
      </c>
      <c r="J29" s="161" t="s">
        <v>137</v>
      </c>
      <c r="K29" s="164"/>
      <c r="L29" s="162"/>
    </row>
    <row r="30" spans="1:12" x14ac:dyDescent="0.25">
      <c r="A30" s="160">
        <v>46049</v>
      </c>
      <c r="B30" s="346">
        <f>'KM-Servicio'!N195</f>
        <v>10510</v>
      </c>
      <c r="C30" s="334">
        <f t="shared" si="0"/>
        <v>255987</v>
      </c>
      <c r="D30" s="348">
        <f>'KM-Servicio'!$W$195</f>
        <v>10074.4</v>
      </c>
      <c r="E30" s="334">
        <f t="shared" si="1"/>
        <v>244547.15000000002</v>
      </c>
      <c r="F30" s="335">
        <f>'KM-Servicio'!O195</f>
        <v>95.855375832540432</v>
      </c>
      <c r="G30" s="336">
        <f>SUM('KM-Servicio'!B195:C195)</f>
        <v>223</v>
      </c>
      <c r="H30" s="336">
        <f>SUM('KM-Servicio'!D195:E195)</f>
        <v>223</v>
      </c>
      <c r="I30" s="334">
        <f>'Oferta Diaria'!AC38</f>
        <v>798899.92</v>
      </c>
      <c r="J30" s="161" t="s">
        <v>137</v>
      </c>
      <c r="K30" s="338"/>
      <c r="L30" s="162"/>
    </row>
    <row r="31" spans="1:12" x14ac:dyDescent="0.25">
      <c r="A31" s="160">
        <v>46050</v>
      </c>
      <c r="B31" s="346">
        <f>'KM-Servicio'!N202</f>
        <v>10451</v>
      </c>
      <c r="C31" s="334">
        <f t="shared" si="0"/>
        <v>266438</v>
      </c>
      <c r="D31" s="348">
        <f>'KM-Servicio'!$W$202</f>
        <v>10109.86</v>
      </c>
      <c r="E31" s="334">
        <f t="shared" si="1"/>
        <v>254657.01</v>
      </c>
      <c r="F31" s="335">
        <f>'KM-Servicio'!O202</f>
        <v>96.735814754568949</v>
      </c>
      <c r="G31" s="336">
        <f>SUM('KM-Servicio'!B202:C202)</f>
        <v>223</v>
      </c>
      <c r="H31" s="336">
        <f>SUM('KM-Servicio'!D202:E202)</f>
        <v>223</v>
      </c>
      <c r="I31" s="334">
        <f>'Oferta Diaria'!AD38</f>
        <v>801711.89800000004</v>
      </c>
      <c r="J31" s="161" t="s">
        <v>137</v>
      </c>
      <c r="K31" s="338"/>
      <c r="L31" s="163"/>
    </row>
    <row r="32" spans="1:12" x14ac:dyDescent="0.25">
      <c r="A32" s="160">
        <v>46051</v>
      </c>
      <c r="B32" s="345">
        <f>'KM-Servicio'!N209</f>
        <v>10502</v>
      </c>
      <c r="C32" s="12">
        <f>B32+C31</f>
        <v>276940</v>
      </c>
      <c r="D32" s="347">
        <f>'KM-Servicio'!$W$209</f>
        <v>10056.67</v>
      </c>
      <c r="E32" s="12">
        <f>D32+E31</f>
        <v>264713.68</v>
      </c>
      <c r="F32" s="166">
        <f>'KM-Servicio'!O209</f>
        <v>95.75956960578938</v>
      </c>
      <c r="G32" s="167">
        <f>SUM('KM-Servicio'!B209:C209)</f>
        <v>223</v>
      </c>
      <c r="H32" s="167">
        <f>SUM('KM-Servicio'!D209:E209)</f>
        <v>223</v>
      </c>
      <c r="I32" s="12">
        <f>'Oferta Diaria'!AE38</f>
        <v>797493.93099999998</v>
      </c>
      <c r="J32" s="161" t="s">
        <v>137</v>
      </c>
      <c r="K32" s="164"/>
      <c r="L32" s="163"/>
    </row>
    <row r="33" spans="1:14" x14ac:dyDescent="0.25">
      <c r="A33" s="160">
        <v>46052</v>
      </c>
      <c r="B33" s="345">
        <f>'KM-Servicio'!N216</f>
        <v>9512</v>
      </c>
      <c r="C33" s="12">
        <f>B33+C32</f>
        <v>286452</v>
      </c>
      <c r="D33" s="347">
        <f>'KM-Servicio'!$W$216</f>
        <v>8969.0400000000009</v>
      </c>
      <c r="E33" s="12">
        <f>D33+E32</f>
        <v>273682.71999999997</v>
      </c>
      <c r="F33" s="166">
        <f>'KM-Servicio'!O216</f>
        <v>94.291841883936087</v>
      </c>
      <c r="G33" s="167">
        <f>SUM('KM-Servicio'!B216:C216)</f>
        <v>223</v>
      </c>
      <c r="H33" s="167">
        <f>SUM('KM-Servicio'!D216:E216)</f>
        <v>185</v>
      </c>
      <c r="I33" s="12">
        <f>'Oferta Diaria'!AF38</f>
        <v>711244.87199999986</v>
      </c>
      <c r="J33" s="161" t="s">
        <v>137</v>
      </c>
      <c r="K33" s="164"/>
      <c r="L33" s="163"/>
      <c r="M33" s="247"/>
      <c r="N33" s="247"/>
    </row>
    <row r="34" spans="1:14" x14ac:dyDescent="0.25">
      <c r="A34" s="160">
        <v>46053</v>
      </c>
      <c r="B34" s="345">
        <f>'KM-Servicio'!N223</f>
        <v>6500</v>
      </c>
      <c r="C34" s="12">
        <f>B34+C33</f>
        <v>292952</v>
      </c>
      <c r="D34" s="347">
        <f>'KM-Servicio'!$W$223</f>
        <v>6469.5</v>
      </c>
      <c r="E34" s="12">
        <f>D34+E33</f>
        <v>280152.21999999997</v>
      </c>
      <c r="F34" s="166">
        <f>'KM-Servicio'!O223</f>
        <v>99.530769230769238</v>
      </c>
      <c r="G34" s="167">
        <f>SUM('KM-Servicio'!B223:C223)</f>
        <v>147</v>
      </c>
      <c r="H34" s="167">
        <f>SUM('KM-Servicio'!D223:E223)</f>
        <v>147</v>
      </c>
      <c r="I34" s="12">
        <f>'Oferta Diaria'!AG38</f>
        <v>513031.35</v>
      </c>
      <c r="J34" s="337" t="s">
        <v>138</v>
      </c>
      <c r="K34" s="164"/>
      <c r="L34" s="163"/>
      <c r="M34" s="247"/>
      <c r="N34" s="247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7"/>
      <c r="N35" s="247"/>
    </row>
    <row r="36" spans="1:14" x14ac:dyDescent="0.25">
      <c r="A36" s="168" t="s">
        <v>135</v>
      </c>
      <c r="B36" s="169">
        <f>SUM(B4:B34)</f>
        <v>292952</v>
      </c>
      <c r="C36" s="169">
        <f>SUM(C4:C34)</f>
        <v>4700917</v>
      </c>
      <c r="D36" s="169">
        <f>SUM(D4:D34)</f>
        <v>280152.21999999997</v>
      </c>
      <c r="E36" s="169">
        <f>SUM(E4:E34)</f>
        <v>4483573.1000000006</v>
      </c>
      <c r="F36" s="170">
        <f>AVERAGE(F4:F34)</f>
        <v>95.972217068465369</v>
      </c>
      <c r="G36" s="169">
        <f>SUM(G4:G34)</f>
        <v>5973</v>
      </c>
      <c r="H36" s="169">
        <f>SUM(H4:H34)</f>
        <v>5897</v>
      </c>
      <c r="I36" s="169">
        <f>SUM(I4:I34)</f>
        <v>22213968.010000005</v>
      </c>
      <c r="J36" s="30"/>
      <c r="K36" s="168"/>
      <c r="L36" s="247"/>
      <c r="M36" s="247"/>
      <c r="N36" s="247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1" t="s">
        <v>98</v>
      </c>
      <c r="B3" s="382"/>
      <c r="C3" s="382"/>
      <c r="D3" s="383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232.63333333333333</v>
      </c>
      <c r="C5" s="130">
        <f>'KM-Servicio'!J241</f>
        <v>6979</v>
      </c>
      <c r="D5" s="130">
        <f>'KM-Servicio'!C236</f>
        <v>7054</v>
      </c>
    </row>
    <row r="6" spans="1:15" x14ac:dyDescent="0.25">
      <c r="A6" s="34" t="s">
        <v>103</v>
      </c>
      <c r="B6" s="129">
        <f>C6/30</f>
        <v>196.56666666666666</v>
      </c>
      <c r="C6" s="130">
        <f>'KM-Servicio'!K234</f>
        <v>5897</v>
      </c>
      <c r="D6" s="130">
        <f>'KM-Servicio'!D234</f>
        <v>5973</v>
      </c>
    </row>
    <row r="7" spans="1:15" x14ac:dyDescent="0.25">
      <c r="A7" s="34" t="s">
        <v>66</v>
      </c>
      <c r="B7" s="129">
        <f>C7/30</f>
        <v>9400.6386666666676</v>
      </c>
      <c r="C7" s="130">
        <f>'KM-Servicio'!M234</f>
        <v>282019.16000000003</v>
      </c>
      <c r="D7" s="130">
        <f>'KM-Servicio'!F234</f>
        <v>284729.39</v>
      </c>
    </row>
    <row r="8" spans="1:15" x14ac:dyDescent="0.25">
      <c r="A8" s="34" t="s">
        <v>104</v>
      </c>
      <c r="B8" s="129">
        <f>C8/30</f>
        <v>7851.4059999999999</v>
      </c>
      <c r="C8" s="130">
        <f>'KM-Servicio'!L234</f>
        <v>235542.18</v>
      </c>
      <c r="D8" s="130">
        <f>'KM-Servicio'!E234</f>
        <v>238105.86000000002</v>
      </c>
    </row>
    <row r="9" spans="1:15" x14ac:dyDescent="0.25">
      <c r="A9" s="34" t="s">
        <v>105</v>
      </c>
      <c r="B9" s="129">
        <f>C9/30</f>
        <v>977666.42133333336</v>
      </c>
      <c r="C9" s="130">
        <f>'KM-Servicio'!N234</f>
        <v>29329992.640000001</v>
      </c>
      <c r="D9" s="130">
        <f>'KM-Servicio'!G234</f>
        <v>29611856.560000002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200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4" t="s">
        <v>109</v>
      </c>
      <c r="B13" s="385"/>
      <c r="C13" s="385"/>
      <c r="D13" s="386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90"/>
      <c r="H16" s="390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90"/>
      <c r="H17" s="390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90"/>
      <c r="H18" s="390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90"/>
      <c r="H19" s="390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90"/>
      <c r="H20" s="390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90"/>
      <c r="H21" s="390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7"/>
      <c r="C23" s="388"/>
      <c r="D23" s="389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4"/>
      <c r="B24" s="385"/>
      <c r="C24" s="385"/>
      <c r="D24" s="386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7"/>
      <c r="C34" s="388"/>
      <c r="D34" s="389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FC54E6-627C-4D78-AB4A-0BD56A4CBDE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BEA5DD-DF52-415D-9F6B-C403E9A1A413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3.xml><?xml version="1.0" encoding="utf-8"?>
<ds:datastoreItem xmlns:ds="http://schemas.openxmlformats.org/officeDocument/2006/customXml" ds:itemID="{6A030680-F478-49A6-8F2D-8DF406779E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Oferta Diaria</vt:lpstr>
      <vt:lpstr>Data Ocupacion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2026-07-09T21:19:03Z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