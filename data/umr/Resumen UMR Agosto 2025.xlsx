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B4517C1D-EA47-41F1-B23C-393C4632712D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4" l="1"/>
  <c r="X12" i="2"/>
  <c r="M12" i="2"/>
  <c r="L12" i="2"/>
  <c r="K12" i="2"/>
  <c r="J12" i="2"/>
  <c r="G12" i="2"/>
  <c r="B40" i="2" l="1"/>
  <c r="U226" i="2"/>
  <c r="P226" i="2"/>
  <c r="T226" i="2"/>
  <c r="I34" i="13" l="1"/>
  <c r="AG14" i="4"/>
  <c r="AG13" i="4"/>
  <c r="AG6" i="4"/>
  <c r="AG5" i="4"/>
  <c r="AG28" i="4" s="1"/>
  <c r="H34" i="13"/>
  <c r="G34" i="13"/>
  <c r="F34" i="13"/>
  <c r="D34" i="13"/>
  <c r="B34" i="13"/>
  <c r="N222" i="2" l="1"/>
  <c r="W126" i="2"/>
  <c r="AB30" i="4"/>
  <c r="W182" i="2"/>
  <c r="C231" i="2"/>
  <c r="N232" i="2"/>
  <c r="M232" i="2"/>
  <c r="L232" i="2"/>
  <c r="K232" i="2"/>
  <c r="J232" i="2"/>
  <c r="I232" i="2"/>
  <c r="G232" i="2"/>
  <c r="F232" i="2"/>
  <c r="E232" i="2"/>
  <c r="D232" i="2"/>
  <c r="C232" i="2"/>
  <c r="B232" i="2"/>
  <c r="C208" i="2"/>
  <c r="B208" i="2"/>
  <c r="C201" i="2"/>
  <c r="B201" i="2"/>
  <c r="C194" i="2"/>
  <c r="B194" i="2"/>
  <c r="C187" i="2"/>
  <c r="B187" i="2"/>
  <c r="C180" i="2"/>
  <c r="B180" i="2"/>
  <c r="C159" i="2"/>
  <c r="B159" i="2"/>
  <c r="C152" i="2"/>
  <c r="B152" i="2"/>
  <c r="C29" i="4"/>
  <c r="C28" i="4"/>
  <c r="C19" i="4"/>
  <c r="C11" i="4"/>
  <c r="E26" i="3"/>
  <c r="D26" i="3"/>
  <c r="K11" i="2"/>
  <c r="H11" i="2"/>
  <c r="X11" i="2" s="1"/>
  <c r="E11" i="2"/>
  <c r="D11" i="2"/>
  <c r="I11" i="2" s="1"/>
  <c r="M11" i="2" s="1"/>
  <c r="D39" i="3"/>
  <c r="D58" i="3"/>
  <c r="D49" i="3"/>
  <c r="C12" i="2"/>
  <c r="B12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C145" i="2"/>
  <c r="B145" i="2"/>
  <c r="C138" i="2"/>
  <c r="B138" i="2"/>
  <c r="C131" i="2"/>
  <c r="B131" i="2"/>
  <c r="G11" i="2" l="1"/>
  <c r="AG23" i="4"/>
  <c r="AG22" i="4"/>
  <c r="AG21" i="4"/>
  <c r="AG17" i="4"/>
  <c r="AG16" i="4"/>
  <c r="AG15" i="4"/>
  <c r="AG10" i="4"/>
  <c r="AG9" i="4"/>
  <c r="AG8" i="4"/>
  <c r="AG7" i="4"/>
  <c r="C222" i="2"/>
  <c r="B222" i="2"/>
  <c r="H221" i="2"/>
  <c r="X221" i="2" s="1"/>
  <c r="H220" i="2"/>
  <c r="X220" i="2" s="1"/>
  <c r="H219" i="2"/>
  <c r="X219" i="2" s="1"/>
  <c r="H218" i="2"/>
  <c r="X218" i="2" s="1"/>
  <c r="H217" i="2"/>
  <c r="X217" i="2" s="1"/>
  <c r="H216" i="2"/>
  <c r="X216" i="2" s="1"/>
  <c r="BL57" i="3"/>
  <c r="BL56" i="3"/>
  <c r="BL55" i="3"/>
  <c r="BL54" i="3"/>
  <c r="BL53" i="3"/>
  <c r="BL52" i="3"/>
  <c r="BL48" i="3"/>
  <c r="BL47" i="3"/>
  <c r="BL46" i="3"/>
  <c r="BL45" i="3"/>
  <c r="BL44" i="3"/>
  <c r="BL43" i="3"/>
  <c r="BM38" i="3"/>
  <c r="E221" i="2" s="1"/>
  <c r="BL38" i="3"/>
  <c r="D221" i="2" s="1"/>
  <c r="BM37" i="3"/>
  <c r="E220" i="2" s="1"/>
  <c r="BL37" i="3"/>
  <c r="D220" i="2" s="1"/>
  <c r="BM36" i="3"/>
  <c r="E219" i="2" s="1"/>
  <c r="BL36" i="3"/>
  <c r="D219" i="2" s="1"/>
  <c r="I219" i="2" s="1"/>
  <c r="M219" i="2" s="1"/>
  <c r="BM35" i="3"/>
  <c r="E218" i="2" s="1"/>
  <c r="BL35" i="3"/>
  <c r="D218" i="2" s="1"/>
  <c r="BM34" i="3"/>
  <c r="E217" i="2" s="1"/>
  <c r="BL34" i="3"/>
  <c r="D217" i="2" s="1"/>
  <c r="BM33" i="3"/>
  <c r="BL33" i="3"/>
  <c r="D216" i="2" s="1"/>
  <c r="BM26" i="3"/>
  <c r="BL26" i="3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J11" i="2" l="1"/>
  <c r="W11" i="2" s="1"/>
  <c r="X222" i="2"/>
  <c r="H222" i="2"/>
  <c r="I220" i="2"/>
  <c r="M220" i="2" s="1"/>
  <c r="AF81" i="1"/>
  <c r="G221" i="2"/>
  <c r="J221" i="2" s="1"/>
  <c r="W221" i="2" s="1"/>
  <c r="I221" i="2"/>
  <c r="M221" i="2" s="1"/>
  <c r="D222" i="2"/>
  <c r="I217" i="2"/>
  <c r="M217" i="2" s="1"/>
  <c r="G217" i="2"/>
  <c r="J217" i="2" s="1"/>
  <c r="W217" i="2" s="1"/>
  <c r="I218" i="2"/>
  <c r="K218" i="2" s="1"/>
  <c r="G218" i="2"/>
  <c r="J218" i="2" s="1"/>
  <c r="W218" i="2" s="1"/>
  <c r="G219" i="2"/>
  <c r="J219" i="2" s="1"/>
  <c r="W219" i="2" s="1"/>
  <c r="BM40" i="3"/>
  <c r="G220" i="2"/>
  <c r="J220" i="2" s="1"/>
  <c r="L220" i="2" s="1"/>
  <c r="AG30" i="4"/>
  <c r="AG35" i="4" s="1"/>
  <c r="BL40" i="3"/>
  <c r="E216" i="2"/>
  <c r="E222" i="2" s="1"/>
  <c r="AG31" i="4"/>
  <c r="AG29" i="4"/>
  <c r="AG34" i="4" s="1"/>
  <c r="K219" i="2"/>
  <c r="L11" i="2" l="1"/>
  <c r="L217" i="2"/>
  <c r="K220" i="2"/>
  <c r="AG32" i="4"/>
  <c r="AG33" i="4"/>
  <c r="I216" i="2"/>
  <c r="I222" i="2" s="1"/>
  <c r="K221" i="2"/>
  <c r="L221" i="2"/>
  <c r="K217" i="2"/>
  <c r="W220" i="2"/>
  <c r="M218" i="2"/>
  <c r="L219" i="2"/>
  <c r="L218" i="2"/>
  <c r="G216" i="2"/>
  <c r="AB2" i="2"/>
  <c r="C215" i="2"/>
  <c r="B215" i="2"/>
  <c r="C54" i="2"/>
  <c r="B54" i="2"/>
  <c r="C68" i="2"/>
  <c r="B68" i="2"/>
  <c r="C82" i="2"/>
  <c r="B82" i="2"/>
  <c r="C75" i="2"/>
  <c r="B75" i="2"/>
  <c r="C173" i="2"/>
  <c r="B173" i="2"/>
  <c r="C166" i="2"/>
  <c r="B166" i="2"/>
  <c r="C117" i="2"/>
  <c r="B117" i="2"/>
  <c r="C124" i="2"/>
  <c r="B124" i="2"/>
  <c r="C110" i="2"/>
  <c r="B110" i="2"/>
  <c r="C103" i="2"/>
  <c r="B103" i="2"/>
  <c r="C61" i="2"/>
  <c r="B61" i="2"/>
  <c r="C33" i="2"/>
  <c r="B33" i="2"/>
  <c r="C26" i="2"/>
  <c r="B26" i="2"/>
  <c r="C19" i="2"/>
  <c r="B19" i="2"/>
  <c r="M216" i="2" l="1"/>
  <c r="M222" i="2" s="1"/>
  <c r="K216" i="2"/>
  <c r="K222" i="2" s="1"/>
  <c r="J216" i="2"/>
  <c r="G222" i="2"/>
  <c r="AI26" i="3"/>
  <c r="AH26" i="3"/>
  <c r="AF22" i="4"/>
  <c r="AE22" i="4"/>
  <c r="AD22" i="4"/>
  <c r="AC22" i="4"/>
  <c r="L216" i="2" l="1"/>
  <c r="L222" i="2" s="1"/>
  <c r="J222" i="2"/>
  <c r="B226" i="2"/>
  <c r="C230" i="2" l="1"/>
  <c r="C229" i="2"/>
  <c r="C228" i="2"/>
  <c r="C227" i="2"/>
  <c r="B231" i="2"/>
  <c r="B230" i="2"/>
  <c r="B229" i="2"/>
  <c r="B228" i="2"/>
  <c r="B227" i="2"/>
  <c r="C226" i="2"/>
  <c r="V226" i="2" l="1"/>
  <c r="S226" i="2"/>
  <c r="R226" i="2"/>
  <c r="Q226" i="2"/>
  <c r="G2" i="2"/>
  <c r="W216" i="2" s="1"/>
  <c r="W222" i="2" s="1"/>
  <c r="O222" i="2" s="1"/>
  <c r="BG26" i="3" l="1"/>
  <c r="BF26" i="3"/>
  <c r="BE26" i="3"/>
  <c r="BD26" i="3"/>
  <c r="BC26" i="3"/>
  <c r="BB26" i="3"/>
  <c r="BA26" i="3"/>
  <c r="AZ26" i="3"/>
  <c r="AY26" i="3"/>
  <c r="AX26" i="3"/>
  <c r="AQ26" i="3" l="1"/>
  <c r="AP26" i="3"/>
  <c r="AO26" i="3"/>
  <c r="AN26" i="3"/>
  <c r="H60" i="2" l="1"/>
  <c r="X60" i="2" s="1"/>
  <c r="H59" i="2"/>
  <c r="X59" i="2" s="1"/>
  <c r="H58" i="2"/>
  <c r="X58" i="2" s="1"/>
  <c r="H57" i="2"/>
  <c r="X57" i="2" s="1"/>
  <c r="H56" i="2"/>
  <c r="X56" i="2" s="1"/>
  <c r="H55" i="2"/>
  <c r="X55" i="2" s="1"/>
  <c r="H81" i="2"/>
  <c r="X81" i="2" s="1"/>
  <c r="H80" i="2"/>
  <c r="X80" i="2" s="1"/>
  <c r="H79" i="2"/>
  <c r="X79" i="2" s="1"/>
  <c r="H78" i="2"/>
  <c r="H77" i="2"/>
  <c r="X77" i="2" s="1"/>
  <c r="H76" i="2"/>
  <c r="X76" i="2" s="1"/>
  <c r="H74" i="2"/>
  <c r="X74" i="2" s="1"/>
  <c r="H73" i="2"/>
  <c r="X73" i="2" s="1"/>
  <c r="H72" i="2"/>
  <c r="X72" i="2" s="1"/>
  <c r="H71" i="2"/>
  <c r="X71" i="2" s="1"/>
  <c r="H70" i="2"/>
  <c r="X70" i="2" s="1"/>
  <c r="H69" i="2"/>
  <c r="X69" i="2" s="1"/>
  <c r="H130" i="2"/>
  <c r="X130" i="2" s="1"/>
  <c r="H129" i="2"/>
  <c r="X129" i="2" s="1"/>
  <c r="H128" i="2"/>
  <c r="X128" i="2" s="1"/>
  <c r="H127" i="2"/>
  <c r="X127" i="2" s="1"/>
  <c r="H126" i="2"/>
  <c r="X126" i="2" s="1"/>
  <c r="H125" i="2"/>
  <c r="X125" i="2" s="1"/>
  <c r="H214" i="2"/>
  <c r="X214" i="2" s="1"/>
  <c r="H213" i="2"/>
  <c r="X213" i="2" s="1"/>
  <c r="H212" i="2"/>
  <c r="X212" i="2" s="1"/>
  <c r="H211" i="2"/>
  <c r="X211" i="2" s="1"/>
  <c r="H210" i="2"/>
  <c r="X210" i="2" s="1"/>
  <c r="H209" i="2"/>
  <c r="H207" i="2"/>
  <c r="H206" i="2"/>
  <c r="X206" i="2" s="1"/>
  <c r="H205" i="2"/>
  <c r="X205" i="2" s="1"/>
  <c r="H204" i="2"/>
  <c r="X204" i="2" s="1"/>
  <c r="H203" i="2"/>
  <c r="X203" i="2" s="1"/>
  <c r="H202" i="2"/>
  <c r="X202" i="2" s="1"/>
  <c r="H200" i="2"/>
  <c r="X200" i="2" s="1"/>
  <c r="H199" i="2"/>
  <c r="X199" i="2" s="1"/>
  <c r="H198" i="2"/>
  <c r="X198" i="2" s="1"/>
  <c r="H197" i="2"/>
  <c r="X197" i="2" s="1"/>
  <c r="H196" i="2"/>
  <c r="X196" i="2" s="1"/>
  <c r="H195" i="2"/>
  <c r="H193" i="2"/>
  <c r="X193" i="2" s="1"/>
  <c r="H192" i="2"/>
  <c r="X192" i="2" s="1"/>
  <c r="H191" i="2"/>
  <c r="X191" i="2" s="1"/>
  <c r="H190" i="2"/>
  <c r="X190" i="2" s="1"/>
  <c r="H189" i="2"/>
  <c r="X189" i="2" s="1"/>
  <c r="H188" i="2"/>
  <c r="X188" i="2" s="1"/>
  <c r="H186" i="2"/>
  <c r="X186" i="2" s="1"/>
  <c r="H185" i="2"/>
  <c r="X185" i="2" s="1"/>
  <c r="H184" i="2"/>
  <c r="X184" i="2" s="1"/>
  <c r="H183" i="2"/>
  <c r="X183" i="2" s="1"/>
  <c r="H182" i="2"/>
  <c r="X182" i="2" s="1"/>
  <c r="H181" i="2"/>
  <c r="X181" i="2" s="1"/>
  <c r="H179" i="2"/>
  <c r="X179" i="2" s="1"/>
  <c r="H178" i="2"/>
  <c r="X178" i="2" s="1"/>
  <c r="H177" i="2"/>
  <c r="X177" i="2" s="1"/>
  <c r="H176" i="2"/>
  <c r="X176" i="2" s="1"/>
  <c r="H175" i="2"/>
  <c r="X175" i="2" s="1"/>
  <c r="H174" i="2"/>
  <c r="X174" i="2" s="1"/>
  <c r="H172" i="2"/>
  <c r="X172" i="2" s="1"/>
  <c r="H171" i="2"/>
  <c r="X171" i="2" s="1"/>
  <c r="H170" i="2"/>
  <c r="X170" i="2" s="1"/>
  <c r="H169" i="2"/>
  <c r="X169" i="2" s="1"/>
  <c r="H168" i="2"/>
  <c r="X168" i="2" s="1"/>
  <c r="H167" i="2"/>
  <c r="H165" i="2"/>
  <c r="X165" i="2" s="1"/>
  <c r="H164" i="2"/>
  <c r="X164" i="2" s="1"/>
  <c r="H163" i="2"/>
  <c r="X163" i="2" s="1"/>
  <c r="H162" i="2"/>
  <c r="X162" i="2" s="1"/>
  <c r="H161" i="2"/>
  <c r="X161" i="2" s="1"/>
  <c r="H160" i="2"/>
  <c r="H158" i="2"/>
  <c r="X158" i="2" s="1"/>
  <c r="H157" i="2"/>
  <c r="X157" i="2" s="1"/>
  <c r="H156" i="2"/>
  <c r="X156" i="2" s="1"/>
  <c r="H155" i="2"/>
  <c r="X155" i="2" s="1"/>
  <c r="H154" i="2"/>
  <c r="X154" i="2" s="1"/>
  <c r="H153" i="2"/>
  <c r="H151" i="2"/>
  <c r="X151" i="2" s="1"/>
  <c r="H150" i="2"/>
  <c r="X150" i="2" s="1"/>
  <c r="H149" i="2"/>
  <c r="X149" i="2" s="1"/>
  <c r="H148" i="2"/>
  <c r="X148" i="2" s="1"/>
  <c r="H147" i="2"/>
  <c r="X147" i="2" s="1"/>
  <c r="H146" i="2"/>
  <c r="X146" i="2" s="1"/>
  <c r="H144" i="2"/>
  <c r="X144" i="2" s="1"/>
  <c r="H143" i="2"/>
  <c r="X143" i="2" s="1"/>
  <c r="H142" i="2"/>
  <c r="X142" i="2" s="1"/>
  <c r="H141" i="2"/>
  <c r="X141" i="2" s="1"/>
  <c r="H140" i="2"/>
  <c r="X140" i="2" s="1"/>
  <c r="H139" i="2"/>
  <c r="X139" i="2" s="1"/>
  <c r="H137" i="2"/>
  <c r="X137" i="2" s="1"/>
  <c r="H136" i="2"/>
  <c r="H135" i="2"/>
  <c r="X135" i="2" s="1"/>
  <c r="H134" i="2"/>
  <c r="X134" i="2" s="1"/>
  <c r="H133" i="2"/>
  <c r="X133" i="2" s="1"/>
  <c r="H132" i="2"/>
  <c r="X132" i="2" s="1"/>
  <c r="H123" i="2"/>
  <c r="X123" i="2" s="1"/>
  <c r="H122" i="2"/>
  <c r="X122" i="2" s="1"/>
  <c r="H121" i="2"/>
  <c r="X121" i="2" s="1"/>
  <c r="H120" i="2"/>
  <c r="X120" i="2" s="1"/>
  <c r="H119" i="2"/>
  <c r="X119" i="2" s="1"/>
  <c r="H118" i="2"/>
  <c r="X118" i="2" s="1"/>
  <c r="H116" i="2"/>
  <c r="X116" i="2" s="1"/>
  <c r="H115" i="2"/>
  <c r="X115" i="2" s="1"/>
  <c r="H114" i="2"/>
  <c r="X114" i="2" s="1"/>
  <c r="H113" i="2"/>
  <c r="X113" i="2" s="1"/>
  <c r="H112" i="2"/>
  <c r="X112" i="2" s="1"/>
  <c r="H111" i="2"/>
  <c r="X111" i="2" s="1"/>
  <c r="H109" i="2"/>
  <c r="X109" i="2" s="1"/>
  <c r="H108" i="2"/>
  <c r="X108" i="2" s="1"/>
  <c r="H107" i="2"/>
  <c r="X107" i="2" s="1"/>
  <c r="H106" i="2"/>
  <c r="X106" i="2" s="1"/>
  <c r="H105" i="2"/>
  <c r="X105" i="2" s="1"/>
  <c r="H104" i="2"/>
  <c r="H102" i="2"/>
  <c r="X102" i="2" s="1"/>
  <c r="H101" i="2"/>
  <c r="X101" i="2" s="1"/>
  <c r="H100" i="2"/>
  <c r="X100" i="2" s="1"/>
  <c r="H99" i="2"/>
  <c r="H98" i="2"/>
  <c r="X98" i="2" s="1"/>
  <c r="H97" i="2"/>
  <c r="X97" i="2" s="1"/>
  <c r="H95" i="2"/>
  <c r="X95" i="2" s="1"/>
  <c r="H94" i="2"/>
  <c r="X94" i="2" s="1"/>
  <c r="H93" i="2"/>
  <c r="X93" i="2" s="1"/>
  <c r="H92" i="2"/>
  <c r="X92" i="2" s="1"/>
  <c r="H91" i="2"/>
  <c r="X91" i="2" s="1"/>
  <c r="H90" i="2"/>
  <c r="X90" i="2" s="1"/>
  <c r="H88" i="2"/>
  <c r="X88" i="2" s="1"/>
  <c r="H87" i="2"/>
  <c r="X87" i="2" s="1"/>
  <c r="H86" i="2"/>
  <c r="H85" i="2"/>
  <c r="X85" i="2" s="1"/>
  <c r="H84" i="2"/>
  <c r="X84" i="2" s="1"/>
  <c r="H83" i="2"/>
  <c r="X83" i="2" s="1"/>
  <c r="H67" i="2"/>
  <c r="X67" i="2" s="1"/>
  <c r="H66" i="2"/>
  <c r="X66" i="2" s="1"/>
  <c r="H65" i="2"/>
  <c r="X65" i="2" s="1"/>
  <c r="H64" i="2"/>
  <c r="X64" i="2" s="1"/>
  <c r="H63" i="2"/>
  <c r="X63" i="2" s="1"/>
  <c r="H62" i="2"/>
  <c r="X62" i="2" s="1"/>
  <c r="H53" i="2"/>
  <c r="X53" i="2" s="1"/>
  <c r="H52" i="2"/>
  <c r="X52" i="2" s="1"/>
  <c r="H51" i="2"/>
  <c r="X51" i="2" s="1"/>
  <c r="H50" i="2"/>
  <c r="X50" i="2" s="1"/>
  <c r="H49" i="2"/>
  <c r="X49" i="2" s="1"/>
  <c r="H48" i="2"/>
  <c r="X48" i="2" s="1"/>
  <c r="H46" i="2"/>
  <c r="X46" i="2" s="1"/>
  <c r="H45" i="2"/>
  <c r="X45" i="2" s="1"/>
  <c r="H44" i="2"/>
  <c r="X44" i="2" s="1"/>
  <c r="H43" i="2"/>
  <c r="X43" i="2" s="1"/>
  <c r="H42" i="2"/>
  <c r="X42" i="2" s="1"/>
  <c r="H41" i="2"/>
  <c r="X41" i="2" s="1"/>
  <c r="H39" i="2"/>
  <c r="X39" i="2" s="1"/>
  <c r="H38" i="2"/>
  <c r="X38" i="2" s="1"/>
  <c r="H37" i="2"/>
  <c r="X37" i="2" s="1"/>
  <c r="H36" i="2"/>
  <c r="X36" i="2" s="1"/>
  <c r="H35" i="2"/>
  <c r="X35" i="2" s="1"/>
  <c r="H34" i="2"/>
  <c r="X34" i="2" s="1"/>
  <c r="H32" i="2"/>
  <c r="X32" i="2" s="1"/>
  <c r="H31" i="2"/>
  <c r="X31" i="2" s="1"/>
  <c r="H30" i="2"/>
  <c r="X30" i="2" s="1"/>
  <c r="H29" i="2"/>
  <c r="X29" i="2" s="1"/>
  <c r="H28" i="2"/>
  <c r="X28" i="2" s="1"/>
  <c r="H27" i="2"/>
  <c r="X27" i="2" s="1"/>
  <c r="H25" i="2"/>
  <c r="X25" i="2" s="1"/>
  <c r="H24" i="2"/>
  <c r="X24" i="2" s="1"/>
  <c r="H23" i="2"/>
  <c r="H22" i="2"/>
  <c r="X22" i="2" s="1"/>
  <c r="H21" i="2"/>
  <c r="X21" i="2" s="1"/>
  <c r="H20" i="2"/>
  <c r="X20" i="2" s="1"/>
  <c r="H18" i="2"/>
  <c r="X18" i="2" s="1"/>
  <c r="H17" i="2"/>
  <c r="X17" i="2" s="1"/>
  <c r="H16" i="2"/>
  <c r="X16" i="2" s="1"/>
  <c r="H15" i="2"/>
  <c r="X15" i="2" s="1"/>
  <c r="H14" i="2"/>
  <c r="X14" i="2" s="1"/>
  <c r="H13" i="2"/>
  <c r="X13" i="2" s="1"/>
  <c r="H6" i="2"/>
  <c r="X6" i="2" s="1"/>
  <c r="H7" i="2"/>
  <c r="X7" i="2" s="1"/>
  <c r="H8" i="2"/>
  <c r="X8" i="2" s="1"/>
  <c r="H9" i="2"/>
  <c r="X9" i="2" s="1"/>
  <c r="H10" i="2"/>
  <c r="X10" i="2" s="1"/>
  <c r="H5" i="2"/>
  <c r="X5" i="2" l="1"/>
  <c r="H12" i="2"/>
  <c r="H215" i="2"/>
  <c r="H166" i="2"/>
  <c r="X160" i="2"/>
  <c r="X166" i="2" s="1"/>
  <c r="X131" i="2"/>
  <c r="H89" i="2"/>
  <c r="H110" i="2"/>
  <c r="X124" i="2"/>
  <c r="X145" i="2"/>
  <c r="H159" i="2"/>
  <c r="H173" i="2"/>
  <c r="H103" i="2"/>
  <c r="X194" i="2"/>
  <c r="H208" i="2"/>
  <c r="H68" i="2"/>
  <c r="H75" i="2"/>
  <c r="X40" i="2"/>
  <c r="X47" i="2"/>
  <c r="X54" i="2"/>
  <c r="X187" i="2"/>
  <c r="X19" i="2"/>
  <c r="X117" i="2"/>
  <c r="X75" i="2"/>
  <c r="X180" i="2"/>
  <c r="H19" i="2"/>
  <c r="X153" i="2"/>
  <c r="X159" i="2" s="1"/>
  <c r="H47" i="2"/>
  <c r="H138" i="2"/>
  <c r="H194" i="2"/>
  <c r="X99" i="2"/>
  <c r="X103" i="2" s="1"/>
  <c r="H54" i="2"/>
  <c r="X167" i="2"/>
  <c r="X173" i="2" s="1"/>
  <c r="X86" i="2"/>
  <c r="X89" i="2" s="1"/>
  <c r="H180" i="2"/>
  <c r="X33" i="2"/>
  <c r="H61" i="2"/>
  <c r="H201" i="2"/>
  <c r="H40" i="2"/>
  <c r="H96" i="2"/>
  <c r="H131" i="2"/>
  <c r="X104" i="2"/>
  <c r="X110" i="2" s="1"/>
  <c r="H145" i="2"/>
  <c r="H26" i="2"/>
  <c r="H82" i="2"/>
  <c r="X78" i="2"/>
  <c r="X82" i="2" s="1"/>
  <c r="H117" i="2"/>
  <c r="H124" i="2"/>
  <c r="H187" i="2"/>
  <c r="X23" i="2"/>
  <c r="X26" i="2" s="1"/>
  <c r="X96" i="2"/>
  <c r="X68" i="2"/>
  <c r="X207" i="2"/>
  <c r="X208" i="2" s="1"/>
  <c r="H33" i="2"/>
  <c r="X136" i="2"/>
  <c r="X138" i="2" s="1"/>
  <c r="X195" i="2"/>
  <c r="X201" i="2" s="1"/>
  <c r="X209" i="2"/>
  <c r="X215" i="2" s="1"/>
  <c r="H152" i="2"/>
  <c r="X152" i="2"/>
  <c r="X61" i="2"/>
  <c r="X226" i="2" l="1"/>
  <c r="BK26" i="3" l="1"/>
  <c r="BJ26" i="3"/>
  <c r="Y21" i="4" l="1"/>
  <c r="AM26" i="3" l="1"/>
  <c r="AL26" i="3"/>
  <c r="BI26" i="3" l="1"/>
  <c r="BH26" i="3"/>
  <c r="AW26" i="3"/>
  <c r="AV26" i="3"/>
  <c r="AU26" i="3"/>
  <c r="AT26" i="3"/>
  <c r="AS26" i="3"/>
  <c r="AR26" i="3"/>
  <c r="AK26" i="3"/>
  <c r="AJ26" i="3"/>
  <c r="AG26" i="3"/>
  <c r="AF26" i="3"/>
  <c r="AE26" i="3"/>
  <c r="AD26" i="3"/>
  <c r="AC26" i="3"/>
  <c r="AB26" i="3"/>
  <c r="AA26" i="3"/>
  <c r="Z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C96" i="2"/>
  <c r="B96" i="2"/>
  <c r="C89" i="2"/>
  <c r="B89" i="2"/>
  <c r="C47" i="2"/>
  <c r="B47" i="2"/>
  <c r="C40" i="2"/>
  <c r="AL33" i="3" l="1"/>
  <c r="AM33" i="3"/>
  <c r="AL34" i="3"/>
  <c r="AM34" i="3"/>
  <c r="AL35" i="3"/>
  <c r="AM35" i="3"/>
  <c r="AL36" i="3"/>
  <c r="AM36" i="3"/>
  <c r="AL37" i="3"/>
  <c r="AM37" i="3"/>
  <c r="AL38" i="3"/>
  <c r="AM38" i="3"/>
  <c r="AP52" i="3"/>
  <c r="AP53" i="3"/>
  <c r="AP54" i="3"/>
  <c r="AP55" i="3"/>
  <c r="AP56" i="3"/>
  <c r="AP57" i="3"/>
  <c r="AP43" i="3"/>
  <c r="AP44" i="3"/>
  <c r="AP45" i="3"/>
  <c r="AP46" i="3"/>
  <c r="AP47" i="3"/>
  <c r="AP48" i="3"/>
  <c r="AP33" i="3"/>
  <c r="AQ33" i="3"/>
  <c r="AP34" i="3"/>
  <c r="AQ34" i="3"/>
  <c r="AP35" i="3"/>
  <c r="AQ35" i="3"/>
  <c r="AP36" i="3"/>
  <c r="AQ36" i="3"/>
  <c r="AP37" i="3"/>
  <c r="AQ37" i="3"/>
  <c r="AP38" i="3"/>
  <c r="AQ38" i="3"/>
  <c r="AL57" i="3" l="1"/>
  <c r="AL56" i="3"/>
  <c r="AL55" i="3"/>
  <c r="AL54" i="3"/>
  <c r="AL53" i="3"/>
  <c r="AL52" i="3"/>
  <c r="AL48" i="3"/>
  <c r="AL47" i="3"/>
  <c r="AL46" i="3"/>
  <c r="AL45" i="3"/>
  <c r="AL44" i="3"/>
  <c r="AL43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3" i="3" l="1"/>
  <c r="P44" i="3"/>
  <c r="P45" i="3"/>
  <c r="P46" i="3"/>
  <c r="P47" i="3"/>
  <c r="P48" i="3"/>
  <c r="P52" i="3"/>
  <c r="P53" i="3"/>
  <c r="P54" i="3"/>
  <c r="P55" i="3"/>
  <c r="P56" i="3"/>
  <c r="P57" i="3"/>
  <c r="P33" i="3"/>
  <c r="D48" i="2" s="1"/>
  <c r="Q33" i="3"/>
  <c r="E48" i="2" s="1"/>
  <c r="P34" i="3"/>
  <c r="D49" i="2" s="1"/>
  <c r="Q34" i="3"/>
  <c r="E49" i="2" s="1"/>
  <c r="P35" i="3"/>
  <c r="D50" i="2" s="1"/>
  <c r="Q35" i="3"/>
  <c r="E50" i="2" s="1"/>
  <c r="P36" i="3"/>
  <c r="D51" i="2" s="1"/>
  <c r="Q36" i="3"/>
  <c r="E51" i="2" s="1"/>
  <c r="P37" i="3"/>
  <c r="D52" i="2" s="1"/>
  <c r="Q37" i="3"/>
  <c r="E52" i="2" s="1"/>
  <c r="P38" i="3"/>
  <c r="D53" i="2" s="1"/>
  <c r="Q38" i="3"/>
  <c r="E53" i="2" s="1"/>
  <c r="I51" i="2" l="1"/>
  <c r="K51" i="2" s="1"/>
  <c r="G48" i="2"/>
  <c r="J48" i="2" s="1"/>
  <c r="W48" i="2" s="1"/>
  <c r="G52" i="2"/>
  <c r="J52" i="2" s="1"/>
  <c r="L52" i="2" s="1"/>
  <c r="I52" i="2"/>
  <c r="G51" i="2"/>
  <c r="J51" i="2" s="1"/>
  <c r="L51" i="2" s="1"/>
  <c r="D54" i="2"/>
  <c r="I49" i="2"/>
  <c r="G49" i="2"/>
  <c r="J49" i="2" s="1"/>
  <c r="L49" i="2" s="1"/>
  <c r="I48" i="2"/>
  <c r="E54" i="2"/>
  <c r="I53" i="2"/>
  <c r="G53" i="2"/>
  <c r="J53" i="2" s="1"/>
  <c r="L53" i="2" s="1"/>
  <c r="I50" i="2"/>
  <c r="G50" i="2"/>
  <c r="J50" i="2" s="1"/>
  <c r="L50" i="2" s="1"/>
  <c r="E21" i="4"/>
  <c r="N52" i="3"/>
  <c r="N53" i="3"/>
  <c r="N54" i="3"/>
  <c r="N55" i="3"/>
  <c r="N56" i="3"/>
  <c r="N57" i="3"/>
  <c r="N43" i="3"/>
  <c r="N44" i="3"/>
  <c r="N45" i="3"/>
  <c r="N46" i="3"/>
  <c r="N47" i="3"/>
  <c r="N48" i="3"/>
  <c r="N33" i="3"/>
  <c r="O33" i="3"/>
  <c r="N34" i="3"/>
  <c r="O34" i="3"/>
  <c r="N35" i="3"/>
  <c r="O35" i="3"/>
  <c r="N36" i="3"/>
  <c r="O36" i="3"/>
  <c r="N37" i="3"/>
  <c r="O37" i="3"/>
  <c r="N38" i="3"/>
  <c r="O38" i="3"/>
  <c r="H10" i="13" l="1"/>
  <c r="M51" i="2"/>
  <c r="K48" i="2"/>
  <c r="M48" i="2"/>
  <c r="I54" i="2"/>
  <c r="K49" i="2"/>
  <c r="M49" i="2"/>
  <c r="G54" i="2"/>
  <c r="K53" i="2"/>
  <c r="M53" i="2"/>
  <c r="L48" i="2"/>
  <c r="L54" i="2" s="1"/>
  <c r="J54" i="2"/>
  <c r="K52" i="2"/>
  <c r="M52" i="2"/>
  <c r="M50" i="2"/>
  <c r="K50" i="2"/>
  <c r="M54" i="2" l="1"/>
  <c r="K54" i="2"/>
  <c r="AX52" i="3" l="1"/>
  <c r="AX53" i="3"/>
  <c r="AX54" i="3"/>
  <c r="AX55" i="3"/>
  <c r="AX56" i="3"/>
  <c r="AX57" i="3"/>
  <c r="AX43" i="3"/>
  <c r="AX44" i="3"/>
  <c r="AX45" i="3"/>
  <c r="AX46" i="3"/>
  <c r="AX47" i="3"/>
  <c r="AX48" i="3"/>
  <c r="AX33" i="3"/>
  <c r="D167" i="2" s="1"/>
  <c r="AY33" i="3"/>
  <c r="E167" i="2" s="1"/>
  <c r="AX34" i="3"/>
  <c r="D168" i="2" s="1"/>
  <c r="AY34" i="3"/>
  <c r="E168" i="2" s="1"/>
  <c r="AX35" i="3"/>
  <c r="D169" i="2" s="1"/>
  <c r="AY35" i="3"/>
  <c r="E169" i="2" s="1"/>
  <c r="AX36" i="3"/>
  <c r="D170" i="2" s="1"/>
  <c r="AY36" i="3"/>
  <c r="E170" i="2" s="1"/>
  <c r="AX37" i="3"/>
  <c r="D171" i="2" s="1"/>
  <c r="AY37" i="3"/>
  <c r="E171" i="2" s="1"/>
  <c r="AX38" i="3"/>
  <c r="D172" i="2" s="1"/>
  <c r="AY38" i="3"/>
  <c r="E172" i="2" s="1"/>
  <c r="AV52" i="3" l="1"/>
  <c r="AV53" i="3"/>
  <c r="AV54" i="3"/>
  <c r="AV55" i="3"/>
  <c r="AV56" i="3"/>
  <c r="AV57" i="3"/>
  <c r="AV43" i="3"/>
  <c r="AV44" i="3"/>
  <c r="AV45" i="3"/>
  <c r="AV46" i="3"/>
  <c r="AV47" i="3"/>
  <c r="AV48" i="3"/>
  <c r="AV33" i="3"/>
  <c r="AW33" i="3"/>
  <c r="AV34" i="3"/>
  <c r="D161" i="2" s="1"/>
  <c r="AW34" i="3"/>
  <c r="E161" i="2" s="1"/>
  <c r="AV35" i="3"/>
  <c r="AW35" i="3"/>
  <c r="E162" i="2" s="1"/>
  <c r="AV36" i="3"/>
  <c r="D163" i="2" s="1"/>
  <c r="AW36" i="3"/>
  <c r="E163" i="2" s="1"/>
  <c r="AV37" i="3"/>
  <c r="D164" i="2" s="1"/>
  <c r="AW37" i="3"/>
  <c r="E164" i="2" s="1"/>
  <c r="AV38" i="3"/>
  <c r="D165" i="2" s="1"/>
  <c r="AW38" i="3"/>
  <c r="E165" i="2" s="1"/>
  <c r="AW40" i="3" l="1"/>
  <c r="D162" i="2"/>
  <c r="AV40" i="3"/>
  <c r="E160" i="2"/>
  <c r="D160" i="2"/>
  <c r="D166" i="2" l="1"/>
  <c r="E166" i="2"/>
  <c r="H26" i="13" l="1"/>
  <c r="AT52" i="3"/>
  <c r="AT53" i="3"/>
  <c r="AT54" i="3"/>
  <c r="AT55" i="3"/>
  <c r="AT56" i="3"/>
  <c r="AT57" i="3"/>
  <c r="AT43" i="3"/>
  <c r="AT44" i="3"/>
  <c r="AT45" i="3"/>
  <c r="AT46" i="3"/>
  <c r="AT47" i="3"/>
  <c r="AT48" i="3"/>
  <c r="AT33" i="3"/>
  <c r="D153" i="2" s="1"/>
  <c r="AU33" i="3"/>
  <c r="E153" i="2" s="1"/>
  <c r="AT34" i="3"/>
  <c r="D154" i="2" s="1"/>
  <c r="AU34" i="3"/>
  <c r="E154" i="2" s="1"/>
  <c r="AT35" i="3"/>
  <c r="D155" i="2" s="1"/>
  <c r="AU35" i="3"/>
  <c r="E155" i="2" s="1"/>
  <c r="AT36" i="3"/>
  <c r="D156" i="2" s="1"/>
  <c r="AU36" i="3"/>
  <c r="E156" i="2" s="1"/>
  <c r="AT37" i="3"/>
  <c r="D157" i="2" s="1"/>
  <c r="AU37" i="3"/>
  <c r="E157" i="2" s="1"/>
  <c r="AT38" i="3"/>
  <c r="D158" i="2" s="1"/>
  <c r="AU38" i="3"/>
  <c r="E158" i="2" s="1"/>
  <c r="AR52" i="3" l="1"/>
  <c r="AR53" i="3"/>
  <c r="AR54" i="3"/>
  <c r="AR55" i="3"/>
  <c r="AR56" i="3"/>
  <c r="AR57" i="3"/>
  <c r="AR43" i="3"/>
  <c r="AR44" i="3"/>
  <c r="AR45" i="3"/>
  <c r="AR46" i="3"/>
  <c r="AR47" i="3"/>
  <c r="AR48" i="3"/>
  <c r="AR33" i="3"/>
  <c r="D146" i="2" s="1"/>
  <c r="AS33" i="3"/>
  <c r="E146" i="2" s="1"/>
  <c r="AR34" i="3"/>
  <c r="D147" i="2" s="1"/>
  <c r="AS34" i="3"/>
  <c r="E147" i="2" s="1"/>
  <c r="AR35" i="3"/>
  <c r="D148" i="2" s="1"/>
  <c r="AS35" i="3"/>
  <c r="E148" i="2" s="1"/>
  <c r="AR36" i="3"/>
  <c r="D149" i="2" s="1"/>
  <c r="AS36" i="3"/>
  <c r="E149" i="2" s="1"/>
  <c r="AR37" i="3"/>
  <c r="D150" i="2" s="1"/>
  <c r="AS37" i="3"/>
  <c r="E150" i="2" s="1"/>
  <c r="AR38" i="3"/>
  <c r="D151" i="2" s="1"/>
  <c r="AS38" i="3"/>
  <c r="E151" i="2" s="1"/>
  <c r="AN52" i="3" l="1"/>
  <c r="AN53" i="3"/>
  <c r="AN54" i="3"/>
  <c r="AN55" i="3"/>
  <c r="AN56" i="3"/>
  <c r="AN57" i="3"/>
  <c r="AN43" i="3"/>
  <c r="AN44" i="3"/>
  <c r="AN45" i="3"/>
  <c r="AN46" i="3"/>
  <c r="AN47" i="3"/>
  <c r="AN48" i="3"/>
  <c r="AN33" i="3"/>
  <c r="AO33" i="3"/>
  <c r="AN34" i="3"/>
  <c r="AO34" i="3"/>
  <c r="AN35" i="3"/>
  <c r="AO35" i="3"/>
  <c r="AN36" i="3"/>
  <c r="AO36" i="3"/>
  <c r="AN37" i="3"/>
  <c r="AO37" i="3"/>
  <c r="AN38" i="3"/>
  <c r="AO38" i="3"/>
  <c r="AB52" i="3" l="1"/>
  <c r="AB53" i="3"/>
  <c r="AB54" i="3"/>
  <c r="AB55" i="3"/>
  <c r="AB56" i="3"/>
  <c r="AB57" i="3"/>
  <c r="AB43" i="3"/>
  <c r="AB44" i="3"/>
  <c r="AB45" i="3"/>
  <c r="AB46" i="3"/>
  <c r="AB47" i="3"/>
  <c r="AB48" i="3"/>
  <c r="AB33" i="3"/>
  <c r="D90" i="2" s="1"/>
  <c r="AC33" i="3"/>
  <c r="E90" i="2" s="1"/>
  <c r="AB34" i="3"/>
  <c r="AC34" i="3"/>
  <c r="AB35" i="3"/>
  <c r="AC35" i="3"/>
  <c r="AB36" i="3"/>
  <c r="AC36" i="3"/>
  <c r="AB37" i="3"/>
  <c r="AC37" i="3"/>
  <c r="AB38" i="3"/>
  <c r="AC38" i="3"/>
  <c r="Z52" i="3" l="1"/>
  <c r="Z53" i="3"/>
  <c r="Z54" i="3"/>
  <c r="Z55" i="3"/>
  <c r="Z56" i="3"/>
  <c r="Z57" i="3"/>
  <c r="Z43" i="3"/>
  <c r="Z44" i="3"/>
  <c r="Z45" i="3"/>
  <c r="Z46" i="3"/>
  <c r="Z47" i="3"/>
  <c r="Z48" i="3"/>
  <c r="Z33" i="3"/>
  <c r="AA33" i="3"/>
  <c r="Z34" i="3"/>
  <c r="AA34" i="3"/>
  <c r="Z35" i="3"/>
  <c r="AA35" i="3"/>
  <c r="Z36" i="3"/>
  <c r="AA36" i="3"/>
  <c r="Z37" i="3"/>
  <c r="AA37" i="3"/>
  <c r="Z38" i="3"/>
  <c r="AA38" i="3"/>
  <c r="X52" i="3" l="1"/>
  <c r="X53" i="3"/>
  <c r="X54" i="3"/>
  <c r="X55" i="3"/>
  <c r="X56" i="3"/>
  <c r="X57" i="3"/>
  <c r="X43" i="3"/>
  <c r="X44" i="3"/>
  <c r="X45" i="3"/>
  <c r="X46" i="3"/>
  <c r="X47" i="3"/>
  <c r="X48" i="3"/>
  <c r="X33" i="3"/>
  <c r="D76" i="2" s="1"/>
  <c r="Y33" i="3"/>
  <c r="E76" i="2" s="1"/>
  <c r="X34" i="3"/>
  <c r="Y34" i="3"/>
  <c r="X35" i="3"/>
  <c r="D78" i="2" s="1"/>
  <c r="Y35" i="3"/>
  <c r="E78" i="2" s="1"/>
  <c r="X36" i="3"/>
  <c r="D79" i="2" s="1"/>
  <c r="Y36" i="3"/>
  <c r="E79" i="2" s="1"/>
  <c r="X37" i="3"/>
  <c r="D80" i="2" s="1"/>
  <c r="Y37" i="3"/>
  <c r="E80" i="2" s="1"/>
  <c r="X38" i="3"/>
  <c r="D81" i="2" s="1"/>
  <c r="Y38" i="3"/>
  <c r="E81" i="2" s="1"/>
  <c r="E77" i="2" l="1"/>
  <c r="E82" i="2" s="1"/>
  <c r="Y40" i="3"/>
  <c r="D77" i="2"/>
  <c r="X40" i="3"/>
  <c r="I80" i="2"/>
  <c r="M80" i="2" s="1"/>
  <c r="G80" i="2"/>
  <c r="J80" i="2" s="1"/>
  <c r="L80" i="2" s="1"/>
  <c r="G81" i="2"/>
  <c r="J81" i="2" s="1"/>
  <c r="L81" i="2" s="1"/>
  <c r="I81" i="2"/>
  <c r="M81" i="2" s="1"/>
  <c r="I79" i="2"/>
  <c r="M79" i="2" s="1"/>
  <c r="G79" i="2"/>
  <c r="J79" i="2" s="1"/>
  <c r="I78" i="2"/>
  <c r="G78" i="2"/>
  <c r="J78" i="2" s="1"/>
  <c r="G76" i="2"/>
  <c r="I76" i="2"/>
  <c r="V52" i="3"/>
  <c r="V53" i="3"/>
  <c r="V54" i="3"/>
  <c r="V55" i="3"/>
  <c r="V56" i="3"/>
  <c r="V57" i="3"/>
  <c r="V43" i="3"/>
  <c r="V44" i="3"/>
  <c r="V45" i="3"/>
  <c r="V46" i="3"/>
  <c r="V47" i="3"/>
  <c r="V48" i="3"/>
  <c r="V33" i="3"/>
  <c r="W33" i="3"/>
  <c r="V34" i="3"/>
  <c r="W34" i="3"/>
  <c r="V35" i="3"/>
  <c r="W35" i="3"/>
  <c r="V36" i="3"/>
  <c r="W36" i="3"/>
  <c r="V37" i="3"/>
  <c r="W37" i="3"/>
  <c r="V38" i="3"/>
  <c r="W38" i="3"/>
  <c r="G77" i="2" l="1"/>
  <c r="J77" i="2" s="1"/>
  <c r="L77" i="2" s="1"/>
  <c r="I77" i="2"/>
  <c r="K77" i="2" s="1"/>
  <c r="D82" i="2"/>
  <c r="H14" i="13" s="1"/>
  <c r="K76" i="2"/>
  <c r="M76" i="2"/>
  <c r="W78" i="2"/>
  <c r="L78" i="2"/>
  <c r="W81" i="2"/>
  <c r="W79" i="2"/>
  <c r="L79" i="2"/>
  <c r="K81" i="2"/>
  <c r="W80" i="2"/>
  <c r="M78" i="2"/>
  <c r="K78" i="2"/>
  <c r="K79" i="2"/>
  <c r="J76" i="2"/>
  <c r="W76" i="2" s="1"/>
  <c r="K80" i="2"/>
  <c r="G82" i="2" l="1"/>
  <c r="W77" i="2"/>
  <c r="I82" i="2"/>
  <c r="M77" i="2"/>
  <c r="M82" i="2" s="1"/>
  <c r="J82" i="2"/>
  <c r="L76" i="2"/>
  <c r="L82" i="2" s="1"/>
  <c r="K82" i="2"/>
  <c r="H48" i="3" l="1"/>
  <c r="A13" i="2" l="1"/>
  <c r="BJ52" i="3" l="1"/>
  <c r="BJ53" i="3"/>
  <c r="BJ54" i="3"/>
  <c r="BJ55" i="3"/>
  <c r="BJ56" i="3"/>
  <c r="BJ57" i="3"/>
  <c r="BJ43" i="3"/>
  <c r="BJ44" i="3"/>
  <c r="BJ45" i="3"/>
  <c r="BJ46" i="3"/>
  <c r="BJ47" i="3"/>
  <c r="BJ48" i="3"/>
  <c r="BJ33" i="3"/>
  <c r="BK33" i="3"/>
  <c r="BJ34" i="3"/>
  <c r="BK34" i="3"/>
  <c r="BJ35" i="3"/>
  <c r="BK35" i="3"/>
  <c r="BJ36" i="3"/>
  <c r="BK36" i="3"/>
  <c r="BJ37" i="3"/>
  <c r="BK37" i="3"/>
  <c r="BJ38" i="3"/>
  <c r="BK38" i="3"/>
  <c r="BK40" i="3" l="1"/>
  <c r="BJ40" i="3"/>
  <c r="BH52" i="3"/>
  <c r="BH53" i="3"/>
  <c r="BH54" i="3"/>
  <c r="BH55" i="3"/>
  <c r="BH56" i="3"/>
  <c r="BH57" i="3"/>
  <c r="BH43" i="3"/>
  <c r="BH44" i="3"/>
  <c r="BH45" i="3"/>
  <c r="BH46" i="3"/>
  <c r="BH47" i="3"/>
  <c r="BH48" i="3"/>
  <c r="BH33" i="3"/>
  <c r="BI33" i="3"/>
  <c r="BH34" i="3"/>
  <c r="BI34" i="3"/>
  <c r="BH35" i="3"/>
  <c r="BI35" i="3"/>
  <c r="BH36" i="3"/>
  <c r="BI36" i="3"/>
  <c r="BH37" i="3"/>
  <c r="D206" i="2" s="1"/>
  <c r="BI37" i="3"/>
  <c r="BH38" i="3"/>
  <c r="D207" i="2" s="1"/>
  <c r="BI38" i="3"/>
  <c r="BD52" i="3" l="1"/>
  <c r="BD53" i="3"/>
  <c r="BD54" i="3"/>
  <c r="BD55" i="3"/>
  <c r="BD56" i="3"/>
  <c r="BD57" i="3"/>
  <c r="BD43" i="3"/>
  <c r="BD44" i="3"/>
  <c r="BD45" i="3"/>
  <c r="BD46" i="3"/>
  <c r="BD47" i="3"/>
  <c r="BD48" i="3"/>
  <c r="BD33" i="3"/>
  <c r="BE33" i="3"/>
  <c r="BD34" i="3"/>
  <c r="BE34" i="3"/>
  <c r="BD35" i="3"/>
  <c r="BE35" i="3"/>
  <c r="BD36" i="3"/>
  <c r="BE36" i="3"/>
  <c r="BD37" i="3"/>
  <c r="BE37" i="3"/>
  <c r="BD38" i="3"/>
  <c r="BE38" i="3"/>
  <c r="BE40" i="3" l="1"/>
  <c r="BD40" i="3"/>
  <c r="U13" i="4" l="1"/>
  <c r="U14" i="4"/>
  <c r="U15" i="4"/>
  <c r="U16" i="4"/>
  <c r="U17" i="4"/>
  <c r="AJ52" i="3" l="1"/>
  <c r="AJ53" i="3"/>
  <c r="AJ54" i="3"/>
  <c r="AJ55" i="3"/>
  <c r="AJ56" i="3"/>
  <c r="AJ57" i="3"/>
  <c r="AJ43" i="3"/>
  <c r="AJ44" i="3"/>
  <c r="AJ45" i="3"/>
  <c r="AJ46" i="3"/>
  <c r="AJ47" i="3"/>
  <c r="AJ48" i="3"/>
  <c r="AJ33" i="3"/>
  <c r="AK33" i="3"/>
  <c r="AJ34" i="3"/>
  <c r="AK34" i="3"/>
  <c r="AJ35" i="3"/>
  <c r="AK35" i="3"/>
  <c r="AJ36" i="3"/>
  <c r="AK36" i="3"/>
  <c r="AJ37" i="3"/>
  <c r="AK37" i="3"/>
  <c r="AJ38" i="3"/>
  <c r="AK38" i="3"/>
  <c r="J21" i="4" l="1"/>
  <c r="R52" i="3"/>
  <c r="R53" i="3"/>
  <c r="R54" i="3"/>
  <c r="R55" i="3"/>
  <c r="R56" i="3"/>
  <c r="R57" i="3"/>
  <c r="R43" i="3"/>
  <c r="R44" i="3"/>
  <c r="R45" i="3"/>
  <c r="R46" i="3"/>
  <c r="R47" i="3"/>
  <c r="R48" i="3"/>
  <c r="R33" i="3"/>
  <c r="S33" i="3"/>
  <c r="R34" i="3"/>
  <c r="S34" i="3"/>
  <c r="R35" i="3"/>
  <c r="S35" i="3"/>
  <c r="R36" i="3"/>
  <c r="S36" i="3"/>
  <c r="R37" i="3"/>
  <c r="S37" i="3"/>
  <c r="R38" i="3"/>
  <c r="S38" i="3"/>
  <c r="S40" i="3" l="1"/>
  <c r="R40" i="3"/>
  <c r="B81" i="1"/>
  <c r="G22" i="4" l="1"/>
  <c r="BC33" i="3" l="1"/>
  <c r="BB33" i="3"/>
  <c r="E181" i="2" l="1"/>
  <c r="D181" i="2"/>
  <c r="I181" i="2" l="1"/>
  <c r="M181" i="2" s="1"/>
  <c r="G181" i="2"/>
  <c r="J181" i="2" s="1"/>
  <c r="W181" i="2" s="1"/>
  <c r="K181" i="2" l="1"/>
  <c r="L181" i="2"/>
  <c r="AF10" i="4"/>
  <c r="D214" i="2" l="1"/>
  <c r="D213" i="2"/>
  <c r="I230" i="2" s="1"/>
  <c r="D212" i="2"/>
  <c r="D211" i="2"/>
  <c r="D210" i="2"/>
  <c r="D209" i="2"/>
  <c r="E214" i="2"/>
  <c r="E213" i="2"/>
  <c r="E212" i="2"/>
  <c r="E211" i="2"/>
  <c r="E210" i="2"/>
  <c r="E209" i="2"/>
  <c r="E215" i="2" l="1"/>
  <c r="D215" i="2"/>
  <c r="I209" i="2"/>
  <c r="G209" i="2"/>
  <c r="G210" i="2"/>
  <c r="J210" i="2" s="1"/>
  <c r="L210" i="2" s="1"/>
  <c r="I210" i="2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I214" i="2"/>
  <c r="G214" i="2"/>
  <c r="J214" i="2" s="1"/>
  <c r="L214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H33" i="13" l="1"/>
  <c r="J209" i="2"/>
  <c r="L209" i="2" s="1"/>
  <c r="L215" i="2" s="1"/>
  <c r="G215" i="2"/>
  <c r="I215" i="2"/>
  <c r="K214" i="2"/>
  <c r="M214" i="2"/>
  <c r="M213" i="2"/>
  <c r="K213" i="2"/>
  <c r="M212" i="2"/>
  <c r="K212" i="2"/>
  <c r="K211" i="2"/>
  <c r="M211" i="2"/>
  <c r="M210" i="2"/>
  <c r="K210" i="2"/>
  <c r="M209" i="2"/>
  <c r="K209" i="2"/>
  <c r="M215" i="2" l="1"/>
  <c r="K215" i="2"/>
  <c r="W209" i="2"/>
  <c r="J215" i="2"/>
  <c r="E193" i="2"/>
  <c r="D193" i="2"/>
  <c r="E192" i="2"/>
  <c r="D192" i="2"/>
  <c r="E191" i="2"/>
  <c r="D191" i="2"/>
  <c r="E190" i="2"/>
  <c r="D190" i="2"/>
  <c r="BF35" i="3"/>
  <c r="D197" i="2" s="1"/>
  <c r="E189" i="2"/>
  <c r="D189" i="2"/>
  <c r="E188" i="2"/>
  <c r="D188" i="2"/>
  <c r="E194" i="2" l="1"/>
  <c r="D194" i="2"/>
  <c r="I192" i="2"/>
  <c r="G192" i="2"/>
  <c r="J192" i="2" s="1"/>
  <c r="L192" i="2" s="1"/>
  <c r="I189" i="2"/>
  <c r="G189" i="2"/>
  <c r="J189" i="2" s="1"/>
  <c r="I193" i="2"/>
  <c r="G193" i="2"/>
  <c r="J193" i="2" s="1"/>
  <c r="L193" i="2" s="1"/>
  <c r="G190" i="2"/>
  <c r="J190" i="2" s="1"/>
  <c r="L190" i="2" s="1"/>
  <c r="I190" i="2"/>
  <c r="G191" i="2"/>
  <c r="J191" i="2" s="1"/>
  <c r="L191" i="2" s="1"/>
  <c r="I191" i="2"/>
  <c r="I188" i="2"/>
  <c r="G188" i="2"/>
  <c r="BB57" i="3"/>
  <c r="BB56" i="3"/>
  <c r="BB55" i="3"/>
  <c r="BB54" i="3"/>
  <c r="BB53" i="3"/>
  <c r="BB52" i="3"/>
  <c r="BB48" i="3"/>
  <c r="AB10" i="4" s="1"/>
  <c r="BB47" i="3"/>
  <c r="AB9" i="4" s="1"/>
  <c r="BB46" i="3"/>
  <c r="BB45" i="3"/>
  <c r="BB44" i="3"/>
  <c r="BB43" i="3"/>
  <c r="BC37" i="3"/>
  <c r="E185" i="2" s="1"/>
  <c r="BC38" i="3"/>
  <c r="E186" i="2" s="1"/>
  <c r="BB38" i="3"/>
  <c r="D186" i="2" s="1"/>
  <c r="BB37" i="3"/>
  <c r="D185" i="2" s="1"/>
  <c r="BC36" i="3"/>
  <c r="E184" i="2" s="1"/>
  <c r="BB36" i="3"/>
  <c r="D184" i="2" s="1"/>
  <c r="BC35" i="3"/>
  <c r="E183" i="2" s="1"/>
  <c r="BB35" i="3"/>
  <c r="D183" i="2" s="1"/>
  <c r="BC34" i="3"/>
  <c r="BB34" i="3"/>
  <c r="H30" i="13" l="1"/>
  <c r="L189" i="2"/>
  <c r="W189" i="2"/>
  <c r="BB40" i="3"/>
  <c r="BC40" i="3"/>
  <c r="I183" i="2"/>
  <c r="M183" i="2" s="1"/>
  <c r="D182" i="2"/>
  <c r="D187" i="2" s="1"/>
  <c r="E182" i="2"/>
  <c r="E187" i="2" s="1"/>
  <c r="G184" i="2"/>
  <c r="J184" i="2" s="1"/>
  <c r="I184" i="2"/>
  <c r="G183" i="2"/>
  <c r="J183" i="2" s="1"/>
  <c r="I185" i="2"/>
  <c r="G185" i="2"/>
  <c r="J185" i="2" s="1"/>
  <c r="I186" i="2"/>
  <c r="G186" i="2"/>
  <c r="J186" i="2" s="1"/>
  <c r="I194" i="2"/>
  <c r="J188" i="2"/>
  <c r="W188" i="2" s="1"/>
  <c r="G194" i="2"/>
  <c r="K188" i="2"/>
  <c r="M188" i="2"/>
  <c r="K191" i="2"/>
  <c r="M191" i="2"/>
  <c r="K190" i="2"/>
  <c r="M190" i="2"/>
  <c r="M193" i="2"/>
  <c r="K193" i="2"/>
  <c r="M189" i="2"/>
  <c r="K189" i="2"/>
  <c r="M192" i="2"/>
  <c r="K192" i="2"/>
  <c r="AZ57" i="3"/>
  <c r="AZ56" i="3"/>
  <c r="AZ55" i="3"/>
  <c r="AZ54" i="3"/>
  <c r="AZ53" i="3"/>
  <c r="AZ52" i="3"/>
  <c r="AZ48" i="3"/>
  <c r="AA10" i="4" s="1"/>
  <c r="AZ47" i="3"/>
  <c r="AA9" i="4" s="1"/>
  <c r="AZ46" i="3"/>
  <c r="AZ45" i="3"/>
  <c r="AZ44" i="3"/>
  <c r="AZ43" i="3"/>
  <c r="BA38" i="3"/>
  <c r="E179" i="2" s="1"/>
  <c r="AZ38" i="3"/>
  <c r="D179" i="2" s="1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AZ33" i="3"/>
  <c r="H29" i="13" l="1"/>
  <c r="AZ40" i="3"/>
  <c r="BA40" i="3"/>
  <c r="K183" i="2"/>
  <c r="W183" i="2"/>
  <c r="L183" i="2"/>
  <c r="L184" i="2"/>
  <c r="W184" i="2"/>
  <c r="M186" i="2"/>
  <c r="K186" i="2"/>
  <c r="M185" i="2"/>
  <c r="K185" i="2"/>
  <c r="K184" i="2"/>
  <c r="M184" i="2"/>
  <c r="I182" i="2"/>
  <c r="I187" i="2" s="1"/>
  <c r="G182" i="2"/>
  <c r="G187" i="2" s="1"/>
  <c r="L185" i="2"/>
  <c r="W185" i="2"/>
  <c r="L186" i="2"/>
  <c r="W186" i="2"/>
  <c r="D174" i="2"/>
  <c r="E174" i="2"/>
  <c r="K194" i="2"/>
  <c r="M194" i="2"/>
  <c r="L188" i="2"/>
  <c r="L194" i="2" s="1"/>
  <c r="J194" i="2"/>
  <c r="G175" i="2"/>
  <c r="J175" i="2" s="1"/>
  <c r="L175" i="2" s="1"/>
  <c r="I175" i="2"/>
  <c r="I177" i="2"/>
  <c r="G177" i="2"/>
  <c r="J177" i="2" s="1"/>
  <c r="L177" i="2" s="1"/>
  <c r="I176" i="2"/>
  <c r="G176" i="2"/>
  <c r="J176" i="2" s="1"/>
  <c r="L176" i="2" s="1"/>
  <c r="I178" i="2"/>
  <c r="G178" i="2"/>
  <c r="J178" i="2" s="1"/>
  <c r="L178" i="2" s="1"/>
  <c r="I179" i="2"/>
  <c r="G179" i="2"/>
  <c r="J179" i="2" s="1"/>
  <c r="L179" i="2" s="1"/>
  <c r="D180" i="2" l="1"/>
  <c r="E180" i="2"/>
  <c r="G174" i="2"/>
  <c r="G180" i="2" s="1"/>
  <c r="I174" i="2"/>
  <c r="M174" i="2" s="1"/>
  <c r="M182" i="2"/>
  <c r="M187" i="2" s="1"/>
  <c r="K182" i="2"/>
  <c r="K187" i="2" s="1"/>
  <c r="J182" i="2"/>
  <c r="D173" i="2"/>
  <c r="AX40" i="3"/>
  <c r="E173" i="2"/>
  <c r="AY40" i="3"/>
  <c r="M177" i="2"/>
  <c r="K177" i="2"/>
  <c r="M175" i="2"/>
  <c r="K175" i="2"/>
  <c r="K178" i="2"/>
  <c r="M178" i="2"/>
  <c r="K179" i="2"/>
  <c r="M179" i="2"/>
  <c r="K176" i="2"/>
  <c r="M176" i="2"/>
  <c r="G169" i="2"/>
  <c r="J169" i="2" s="1"/>
  <c r="L169" i="2" s="1"/>
  <c r="I169" i="2"/>
  <c r="I170" i="2"/>
  <c r="G170" i="2"/>
  <c r="J170" i="2" s="1"/>
  <c r="L170" i="2" s="1"/>
  <c r="I168" i="2"/>
  <c r="G168" i="2"/>
  <c r="J168" i="2" s="1"/>
  <c r="L168" i="2" s="1"/>
  <c r="I171" i="2"/>
  <c r="G171" i="2"/>
  <c r="J171" i="2" s="1"/>
  <c r="L171" i="2" s="1"/>
  <c r="I172" i="2"/>
  <c r="G172" i="2"/>
  <c r="J172" i="2" s="1"/>
  <c r="L172" i="2" s="1"/>
  <c r="U10" i="4"/>
  <c r="U9" i="4"/>
  <c r="H27" i="13" l="1"/>
  <c r="H28" i="13"/>
  <c r="W187" i="2"/>
  <c r="J187" i="2"/>
  <c r="J174" i="2"/>
  <c r="W174" i="2" s="1"/>
  <c r="M180" i="2"/>
  <c r="K174" i="2"/>
  <c r="K180" i="2" s="1"/>
  <c r="I180" i="2"/>
  <c r="L182" i="2"/>
  <c r="L187" i="2" s="1"/>
  <c r="I167" i="2"/>
  <c r="M167" i="2" s="1"/>
  <c r="G167" i="2"/>
  <c r="J167" i="2" s="1"/>
  <c r="W167" i="2" s="1"/>
  <c r="M168" i="2"/>
  <c r="K168" i="2"/>
  <c r="K172" i="2"/>
  <c r="M172" i="2"/>
  <c r="M170" i="2"/>
  <c r="K170" i="2"/>
  <c r="K171" i="2"/>
  <c r="M171" i="2"/>
  <c r="K169" i="2"/>
  <c r="M169" i="2"/>
  <c r="T10" i="4"/>
  <c r="T9" i="4"/>
  <c r="J180" i="2" l="1"/>
  <c r="L174" i="2"/>
  <c r="L180" i="2" s="1"/>
  <c r="I173" i="2"/>
  <c r="K167" i="2"/>
  <c r="K173" i="2" s="1"/>
  <c r="J173" i="2"/>
  <c r="G173" i="2"/>
  <c r="L167" i="2"/>
  <c r="L173" i="2" s="1"/>
  <c r="M173" i="2"/>
  <c r="AF57" i="3"/>
  <c r="AF56" i="3"/>
  <c r="AF55" i="3"/>
  <c r="AF54" i="3"/>
  <c r="AF53" i="3"/>
  <c r="AF52" i="3"/>
  <c r="AF48" i="3"/>
  <c r="AF47" i="3"/>
  <c r="AF46" i="3"/>
  <c r="AF45" i="3"/>
  <c r="AF44" i="3"/>
  <c r="AF43" i="3"/>
  <c r="AG38" i="3"/>
  <c r="AF38" i="3"/>
  <c r="AG37" i="3"/>
  <c r="AF37" i="3"/>
  <c r="AG36" i="3"/>
  <c r="AF36" i="3"/>
  <c r="AG35" i="3"/>
  <c r="AF35" i="3"/>
  <c r="AG34" i="3"/>
  <c r="AF34" i="3"/>
  <c r="AG33" i="3"/>
  <c r="AF33" i="3"/>
  <c r="E104" i="2" l="1"/>
  <c r="AD57" i="3"/>
  <c r="AD56" i="3"/>
  <c r="AD55" i="3"/>
  <c r="AD54" i="3"/>
  <c r="AD53" i="3"/>
  <c r="AD52" i="3"/>
  <c r="AD48" i="3"/>
  <c r="AD47" i="3"/>
  <c r="AD46" i="3"/>
  <c r="AD45" i="3"/>
  <c r="AD44" i="3"/>
  <c r="AD43" i="3"/>
  <c r="AE38" i="3"/>
  <c r="E102" i="2" s="1"/>
  <c r="AD38" i="3"/>
  <c r="D102" i="2" s="1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I98" i="2" l="1"/>
  <c r="G98" i="2"/>
  <c r="J98" i="2" s="1"/>
  <c r="I97" i="2"/>
  <c r="G97" i="2"/>
  <c r="J97" i="2" s="1"/>
  <c r="W97" i="2" s="1"/>
  <c r="G99" i="2"/>
  <c r="J99" i="2" s="1"/>
  <c r="I99" i="2"/>
  <c r="I100" i="2"/>
  <c r="G100" i="2"/>
  <c r="J100" i="2" s="1"/>
  <c r="G101" i="2"/>
  <c r="J101" i="2" s="1"/>
  <c r="I101" i="2"/>
  <c r="I102" i="2"/>
  <c r="G102" i="2"/>
  <c r="J102" i="2" s="1"/>
  <c r="L102" i="2" l="1"/>
  <c r="W102" i="2"/>
  <c r="L100" i="2"/>
  <c r="W100" i="2"/>
  <c r="L97" i="2"/>
  <c r="L98" i="2"/>
  <c r="W98" i="2"/>
  <c r="L101" i="2"/>
  <c r="W101" i="2"/>
  <c r="L99" i="2"/>
  <c r="W99" i="2"/>
  <c r="M98" i="2"/>
  <c r="K98" i="2"/>
  <c r="M101" i="2"/>
  <c r="K101" i="2"/>
  <c r="M99" i="2"/>
  <c r="K99" i="2"/>
  <c r="K97" i="2"/>
  <c r="M97" i="2"/>
  <c r="M102" i="2"/>
  <c r="K102" i="2"/>
  <c r="M100" i="2"/>
  <c r="K100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3" i="4" l="1"/>
  <c r="F228" i="2" l="1"/>
  <c r="F229" i="2"/>
  <c r="C234" i="2" l="1"/>
  <c r="B234" i="2"/>
  <c r="AF21" i="4" l="1"/>
  <c r="AE23" i="4" l="1"/>
  <c r="AE21" i="4"/>
  <c r="Z21" i="4"/>
  <c r="Z23" i="4"/>
  <c r="Z22" i="4"/>
  <c r="AD81" i="1" l="1"/>
  <c r="N208" i="2" s="1"/>
  <c r="B32" i="13" s="1"/>
  <c r="AE81" i="1"/>
  <c r="N215" i="2" s="1"/>
  <c r="B33" i="13" l="1"/>
  <c r="G32" i="13"/>
  <c r="AF17" i="4"/>
  <c r="AE17" i="4"/>
  <c r="AF16" i="4"/>
  <c r="AE16" i="4"/>
  <c r="AF15" i="4"/>
  <c r="AE15" i="4"/>
  <c r="AF14" i="4"/>
  <c r="AE14" i="4"/>
  <c r="AF13" i="4"/>
  <c r="AF30" i="4" s="1"/>
  <c r="AE13" i="4"/>
  <c r="AE10" i="4"/>
  <c r="AF9" i="4"/>
  <c r="AF8" i="4"/>
  <c r="AF7" i="4"/>
  <c r="AE7" i="4"/>
  <c r="AF6" i="4"/>
  <c r="AE6" i="4"/>
  <c r="AF5" i="4"/>
  <c r="AF31" i="4" s="1"/>
  <c r="AE5" i="4"/>
  <c r="E207" i="2"/>
  <c r="E206" i="2"/>
  <c r="E205" i="2"/>
  <c r="D205" i="2"/>
  <c r="E204" i="2"/>
  <c r="D204" i="2"/>
  <c r="E203" i="2"/>
  <c r="D203" i="2"/>
  <c r="E202" i="2"/>
  <c r="D202" i="2"/>
  <c r="AF29" i="4" l="1"/>
  <c r="AF34" i="4" s="1"/>
  <c r="AF28" i="4"/>
  <c r="AE30" i="4"/>
  <c r="I203" i="2"/>
  <c r="G203" i="2"/>
  <c r="J203" i="2" s="1"/>
  <c r="L203" i="2" s="1"/>
  <c r="I204" i="2"/>
  <c r="G204" i="2"/>
  <c r="J204" i="2" s="1"/>
  <c r="L204" i="2" s="1"/>
  <c r="I202" i="2"/>
  <c r="G202" i="2"/>
  <c r="J202" i="2" s="1"/>
  <c r="W202" i="2" s="1"/>
  <c r="G205" i="2"/>
  <c r="J205" i="2" s="1"/>
  <c r="L205" i="2" s="1"/>
  <c r="I205" i="2"/>
  <c r="I206" i="2"/>
  <c r="G206" i="2"/>
  <c r="J206" i="2" s="1"/>
  <c r="L206" i="2" s="1"/>
  <c r="I207" i="2"/>
  <c r="G207" i="2"/>
  <c r="J207" i="2" s="1"/>
  <c r="L207" i="2" s="1"/>
  <c r="BH40" i="3"/>
  <c r="E208" i="2"/>
  <c r="BI40" i="3"/>
  <c r="G33" i="13"/>
  <c r="AE8" i="4"/>
  <c r="AE9" i="4"/>
  <c r="AE29" i="4"/>
  <c r="L202" i="2" l="1"/>
  <c r="M206" i="2"/>
  <c r="K206" i="2"/>
  <c r="K207" i="2"/>
  <c r="M207" i="2"/>
  <c r="M202" i="2"/>
  <c r="K202" i="2"/>
  <c r="M204" i="2"/>
  <c r="K204" i="2"/>
  <c r="M205" i="2"/>
  <c r="K205" i="2"/>
  <c r="K203" i="2"/>
  <c r="M203" i="2"/>
  <c r="AE31" i="4"/>
  <c r="W203" i="2"/>
  <c r="W211" i="2"/>
  <c r="W213" i="2"/>
  <c r="AE34" i="4"/>
  <c r="D208" i="2"/>
  <c r="H32" i="13" s="1"/>
  <c r="AE28" i="4"/>
  <c r="W210" i="2"/>
  <c r="W212" i="2"/>
  <c r="L76" i="1" l="1"/>
  <c r="L77" i="1"/>
  <c r="L78" i="1"/>
  <c r="L79" i="1"/>
  <c r="K76" i="1" l="1"/>
  <c r="K77" i="1"/>
  <c r="K78" i="1"/>
  <c r="K79" i="1"/>
  <c r="Y26" i="3" l="1"/>
  <c r="X26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3" i="4"/>
  <c r="AF32" i="4" l="1"/>
  <c r="AF35" i="4"/>
  <c r="AF33" i="4"/>
  <c r="B11" i="11"/>
  <c r="I33" i="13" l="1"/>
  <c r="D22" i="4" l="1"/>
  <c r="N24" i="4" l="1"/>
  <c r="G24" i="4" l="1"/>
  <c r="D21" i="4" l="1"/>
  <c r="E24" i="4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3" i="4" l="1"/>
  <c r="AC23" i="4"/>
  <c r="AB23" i="4"/>
  <c r="AA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G23" i="4"/>
  <c r="F23" i="4"/>
  <c r="E23" i="4"/>
  <c r="I23" i="4"/>
  <c r="H23" i="4"/>
  <c r="C23" i="4"/>
  <c r="AE32" i="4" l="1"/>
  <c r="AE35" i="4"/>
  <c r="AE33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21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21" i="4" l="1"/>
  <c r="AB22" i="4" l="1"/>
  <c r="AB21" i="4"/>
  <c r="AA22" i="4" l="1"/>
  <c r="AA21" i="4"/>
  <c r="Y22" i="4" l="1"/>
  <c r="X22" i="4"/>
  <c r="W22" i="4"/>
  <c r="X21" i="4"/>
  <c r="W21" i="4"/>
  <c r="V22" i="4" l="1"/>
  <c r="V21" i="4"/>
  <c r="U22" i="4"/>
  <c r="T22" i="4"/>
  <c r="U21" i="4"/>
  <c r="T21" i="4"/>
  <c r="U30" i="4" l="1"/>
  <c r="S21" i="4"/>
  <c r="S22" i="4"/>
  <c r="R22" i="4"/>
  <c r="R21" i="4"/>
  <c r="Q22" i="4" l="1"/>
  <c r="Q21" i="4"/>
  <c r="P22" i="4" l="1"/>
  <c r="P21" i="4"/>
  <c r="O22" i="4" l="1"/>
  <c r="O21" i="4"/>
  <c r="N22" i="4" l="1"/>
  <c r="N21" i="4"/>
  <c r="M21" i="4" l="1"/>
  <c r="L21" i="4"/>
  <c r="M22" i="4"/>
  <c r="L22" i="4"/>
  <c r="K22" i="4"/>
  <c r="K21" i="4"/>
  <c r="J22" i="4"/>
  <c r="I22" i="4" l="1"/>
  <c r="I21" i="4"/>
  <c r="H22" i="4" l="1"/>
  <c r="H21" i="4"/>
  <c r="G21" i="4"/>
  <c r="F22" i="4"/>
  <c r="F21" i="4"/>
  <c r="E22" i="4"/>
  <c r="C22" i="4"/>
  <c r="C21" i="4"/>
  <c r="C30" i="4" s="1"/>
  <c r="N12" i="2" l="1"/>
  <c r="C81" i="1" l="1"/>
  <c r="N19" i="2" s="1"/>
  <c r="Q81" i="1"/>
  <c r="N117" i="2" s="1"/>
  <c r="B19" i="13" s="1"/>
  <c r="AC81" i="1"/>
  <c r="N201" i="2" s="1"/>
  <c r="B31" i="13" s="1"/>
  <c r="O81" i="1"/>
  <c r="K81" i="1"/>
  <c r="N75" i="2" s="1"/>
  <c r="B13" i="13" s="1"/>
  <c r="G81" i="1"/>
  <c r="F81" i="1"/>
  <c r="N40" i="2" s="1"/>
  <c r="N81" i="1"/>
  <c r="N96" i="2" s="1"/>
  <c r="B16" i="13" s="1"/>
  <c r="J81" i="1"/>
  <c r="N68" i="2" s="1"/>
  <c r="M81" i="1"/>
  <c r="N89" i="2" s="1"/>
  <c r="I81" i="1"/>
  <c r="N61" i="2" s="1"/>
  <c r="B11" i="13" s="1"/>
  <c r="E81" i="1"/>
  <c r="N33" i="2" s="1"/>
  <c r="P81" i="1"/>
  <c r="N110" i="2" s="1"/>
  <c r="L81" i="1"/>
  <c r="N82" i="2" s="1"/>
  <c r="H81" i="1"/>
  <c r="D81" i="1"/>
  <c r="N26" i="2" s="1"/>
  <c r="AB81" i="1"/>
  <c r="AA81" i="1"/>
  <c r="N187" i="2" s="1"/>
  <c r="O187" i="2" s="1"/>
  <c r="Z81" i="1"/>
  <c r="N180" i="2" s="1"/>
  <c r="Y81" i="1"/>
  <c r="N173" i="2" s="1"/>
  <c r="X81" i="1"/>
  <c r="N166" i="2" s="1"/>
  <c r="W81" i="1"/>
  <c r="N159" i="2" s="1"/>
  <c r="R81" i="1"/>
  <c r="N124" i="2" s="1"/>
  <c r="B20" i="13" s="1"/>
  <c r="V81" i="1"/>
  <c r="N152" i="2" s="1"/>
  <c r="U81" i="1"/>
  <c r="T81" i="1"/>
  <c r="N138" i="2" s="1"/>
  <c r="S81" i="1"/>
  <c r="N131" i="2" s="1"/>
  <c r="N54" i="2" l="1"/>
  <c r="B10" i="13" s="1"/>
  <c r="B12" i="13"/>
  <c r="B21" i="13"/>
  <c r="B28" i="13"/>
  <c r="B27" i="13"/>
  <c r="B25" i="13"/>
  <c r="B24" i="13"/>
  <c r="N47" i="2"/>
  <c r="B9" i="13" s="1"/>
  <c r="B26" i="13"/>
  <c r="B18" i="13"/>
  <c r="B7" i="13"/>
  <c r="B8" i="13"/>
  <c r="B6" i="13"/>
  <c r="B5" i="13"/>
  <c r="G30" i="13"/>
  <c r="G9" i="13" l="1"/>
  <c r="G8" i="13"/>
  <c r="V8" i="4" l="1"/>
  <c r="C239" i="2" l="1"/>
  <c r="B4" i="13" l="1"/>
  <c r="D59" i="2" l="1"/>
  <c r="T33" i="3" l="1"/>
  <c r="D62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5" i="13" s="1"/>
  <c r="B239" i="2"/>
  <c r="D71" i="2"/>
  <c r="BF56" i="3"/>
  <c r="AH56" i="3"/>
  <c r="T56" i="3"/>
  <c r="L56" i="3"/>
  <c r="J56" i="3"/>
  <c r="H56" i="3"/>
  <c r="F56" i="3"/>
  <c r="D56" i="3"/>
  <c r="BF47" i="3"/>
  <c r="AD9" i="4" s="1"/>
  <c r="AC9" i="4"/>
  <c r="Z9" i="4"/>
  <c r="Y9" i="4"/>
  <c r="X9" i="4"/>
  <c r="W9" i="4"/>
  <c r="V9" i="4"/>
  <c r="S9" i="4"/>
  <c r="AH47" i="3"/>
  <c r="R9" i="4" s="1"/>
  <c r="Q9" i="4"/>
  <c r="P9" i="4"/>
  <c r="O9" i="4"/>
  <c r="N9" i="4"/>
  <c r="M9" i="4"/>
  <c r="L9" i="4"/>
  <c r="T47" i="3"/>
  <c r="K9" i="4" s="1"/>
  <c r="J9" i="4"/>
  <c r="I9" i="4"/>
  <c r="H9" i="4"/>
  <c r="L47" i="3"/>
  <c r="G9" i="4" s="1"/>
  <c r="J47" i="3"/>
  <c r="F9" i="4" s="1"/>
  <c r="H47" i="3"/>
  <c r="E9" i="4" s="1"/>
  <c r="F47" i="3"/>
  <c r="D9" i="4" s="1"/>
  <c r="D47" i="3"/>
  <c r="C9" i="4" s="1"/>
  <c r="BG37" i="3"/>
  <c r="E199" i="2" s="1"/>
  <c r="BF37" i="3"/>
  <c r="D199" i="2" s="1"/>
  <c r="E143" i="2"/>
  <c r="D143" i="2"/>
  <c r="E136" i="2"/>
  <c r="D136" i="2"/>
  <c r="E129" i="2"/>
  <c r="D129" i="2"/>
  <c r="E122" i="2"/>
  <c r="D122" i="2"/>
  <c r="AI37" i="3"/>
  <c r="E115" i="2" s="1"/>
  <c r="AH37" i="3"/>
  <c r="D115" i="2" s="1"/>
  <c r="E108" i="2"/>
  <c r="D108" i="2"/>
  <c r="E94" i="2"/>
  <c r="D94" i="2"/>
  <c r="E87" i="2"/>
  <c r="D87" i="2"/>
  <c r="E73" i="2"/>
  <c r="D73" i="2"/>
  <c r="U37" i="3"/>
  <c r="E66" i="2" s="1"/>
  <c r="T37" i="3"/>
  <c r="D66" i="2" s="1"/>
  <c r="E59" i="2"/>
  <c r="E45" i="2"/>
  <c r="D45" i="2"/>
  <c r="M37" i="3"/>
  <c r="E38" i="2" s="1"/>
  <c r="L37" i="3"/>
  <c r="D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37" i="3"/>
  <c r="E9" i="2" s="1"/>
  <c r="D37" i="3"/>
  <c r="D9" i="2" s="1"/>
  <c r="D133" i="2"/>
  <c r="E133" i="2"/>
  <c r="D134" i="2"/>
  <c r="E134" i="2"/>
  <c r="D135" i="2"/>
  <c r="E135" i="2"/>
  <c r="D137" i="2"/>
  <c r="E137" i="2"/>
  <c r="L33" i="3"/>
  <c r="L34" i="3"/>
  <c r="D35" i="2" s="1"/>
  <c r="L35" i="3"/>
  <c r="D36" i="2" s="1"/>
  <c r="L36" i="3"/>
  <c r="D37" i="2" s="1"/>
  <c r="L38" i="3"/>
  <c r="D39" i="2" s="1"/>
  <c r="L43" i="3"/>
  <c r="BG34" i="3"/>
  <c r="E196" i="2" s="1"/>
  <c r="BF34" i="3"/>
  <c r="D196" i="2" s="1"/>
  <c r="A20" i="2"/>
  <c r="A27" i="2" s="1"/>
  <c r="A34" i="2" s="1"/>
  <c r="A41" i="2" s="1"/>
  <c r="O10" i="4"/>
  <c r="O8" i="4"/>
  <c r="O7" i="4"/>
  <c r="O6" i="4"/>
  <c r="N17" i="4"/>
  <c r="N16" i="4"/>
  <c r="N15" i="4"/>
  <c r="N14" i="4"/>
  <c r="N13" i="4"/>
  <c r="N10" i="4"/>
  <c r="N8" i="4"/>
  <c r="N7" i="4"/>
  <c r="N6" i="4"/>
  <c r="N5" i="4"/>
  <c r="T52" i="3"/>
  <c r="K13" i="4" s="1"/>
  <c r="O17" i="4"/>
  <c r="O16" i="4"/>
  <c r="O15" i="4"/>
  <c r="O14" i="4"/>
  <c r="O13" i="4"/>
  <c r="E95" i="2"/>
  <c r="D95" i="2"/>
  <c r="E93" i="2"/>
  <c r="D93" i="2"/>
  <c r="E92" i="2"/>
  <c r="D92" i="2"/>
  <c r="E91" i="2"/>
  <c r="D91" i="2"/>
  <c r="E88" i="2"/>
  <c r="D88" i="2"/>
  <c r="E86" i="2"/>
  <c r="D86" i="2"/>
  <c r="E85" i="2"/>
  <c r="D85" i="2"/>
  <c r="E84" i="2"/>
  <c r="D84" i="2"/>
  <c r="O5" i="4"/>
  <c r="AC17" i="4"/>
  <c r="AC16" i="4"/>
  <c r="AC15" i="4"/>
  <c r="AC14" i="4"/>
  <c r="AC13" i="4"/>
  <c r="AC10" i="4"/>
  <c r="AC8" i="4"/>
  <c r="AC7" i="4"/>
  <c r="AC6" i="4"/>
  <c r="AC5" i="4"/>
  <c r="AB17" i="4"/>
  <c r="AB16" i="4"/>
  <c r="AB15" i="4"/>
  <c r="AB14" i="4"/>
  <c r="AB13" i="4"/>
  <c r="AB8" i="4"/>
  <c r="AB7" i="4"/>
  <c r="AB6" i="4"/>
  <c r="AB5" i="4"/>
  <c r="D139" i="2"/>
  <c r="BF57" i="3"/>
  <c r="AA17" i="4"/>
  <c r="Z17" i="4"/>
  <c r="Y17" i="4"/>
  <c r="X17" i="4"/>
  <c r="W17" i="4"/>
  <c r="V17" i="4"/>
  <c r="T17" i="4"/>
  <c r="S17" i="4"/>
  <c r="AH57" i="3"/>
  <c r="R17" i="4" s="1"/>
  <c r="Q17" i="4"/>
  <c r="P17" i="4"/>
  <c r="M17" i="4"/>
  <c r="L17" i="4"/>
  <c r="T57" i="3"/>
  <c r="K17" i="4" s="1"/>
  <c r="J17" i="4"/>
  <c r="I17" i="4"/>
  <c r="H17" i="4"/>
  <c r="L57" i="3"/>
  <c r="G17" i="4" s="1"/>
  <c r="J57" i="3"/>
  <c r="F17" i="4" s="1"/>
  <c r="H57" i="3"/>
  <c r="E17" i="4" s="1"/>
  <c r="F57" i="3"/>
  <c r="D17" i="4" s="1"/>
  <c r="D57" i="3"/>
  <c r="C17" i="4" s="1"/>
  <c r="BF55" i="3"/>
  <c r="AA16" i="4"/>
  <c r="Z16" i="4"/>
  <c r="Y16" i="4"/>
  <c r="X16" i="4"/>
  <c r="W16" i="4"/>
  <c r="V16" i="4"/>
  <c r="T16" i="4"/>
  <c r="S16" i="4"/>
  <c r="AH55" i="3"/>
  <c r="R16" i="4" s="1"/>
  <c r="Q16" i="4"/>
  <c r="P16" i="4"/>
  <c r="M16" i="4"/>
  <c r="L16" i="4"/>
  <c r="T55" i="3"/>
  <c r="K16" i="4" s="1"/>
  <c r="J16" i="4"/>
  <c r="I16" i="4"/>
  <c r="H16" i="4"/>
  <c r="L55" i="3"/>
  <c r="G16" i="4" s="1"/>
  <c r="J55" i="3"/>
  <c r="F16" i="4" s="1"/>
  <c r="H55" i="3"/>
  <c r="E16" i="4" s="1"/>
  <c r="F55" i="3"/>
  <c r="D55" i="3"/>
  <c r="C16" i="4" s="1"/>
  <c r="BF54" i="3"/>
  <c r="AA15" i="4"/>
  <c r="Z15" i="4"/>
  <c r="Y15" i="4"/>
  <c r="X15" i="4"/>
  <c r="W15" i="4"/>
  <c r="V15" i="4"/>
  <c r="T15" i="4"/>
  <c r="S15" i="4"/>
  <c r="AH54" i="3"/>
  <c r="R15" i="4" s="1"/>
  <c r="Q15" i="4"/>
  <c r="P15" i="4"/>
  <c r="M15" i="4"/>
  <c r="L15" i="4"/>
  <c r="T54" i="3"/>
  <c r="K15" i="4" s="1"/>
  <c r="J15" i="4"/>
  <c r="I15" i="4"/>
  <c r="H15" i="4"/>
  <c r="L54" i="3"/>
  <c r="G15" i="4" s="1"/>
  <c r="J54" i="3"/>
  <c r="F15" i="4" s="1"/>
  <c r="H54" i="3"/>
  <c r="E15" i="4" s="1"/>
  <c r="F54" i="3"/>
  <c r="D54" i="3"/>
  <c r="C15" i="4" s="1"/>
  <c r="BF53" i="3"/>
  <c r="AD14" i="4" s="1"/>
  <c r="AA14" i="4"/>
  <c r="Z14" i="4"/>
  <c r="Y14" i="4"/>
  <c r="X14" i="4"/>
  <c r="W14" i="4"/>
  <c r="V14" i="4"/>
  <c r="T14" i="4"/>
  <c r="S14" i="4"/>
  <c r="AH53" i="3"/>
  <c r="R14" i="4" s="1"/>
  <c r="Q14" i="4"/>
  <c r="P14" i="4"/>
  <c r="M14" i="4"/>
  <c r="L14" i="4"/>
  <c r="T53" i="3"/>
  <c r="K14" i="4" s="1"/>
  <c r="J14" i="4"/>
  <c r="I14" i="4"/>
  <c r="H14" i="4"/>
  <c r="L53" i="3"/>
  <c r="G14" i="4" s="1"/>
  <c r="J53" i="3"/>
  <c r="F14" i="4" s="1"/>
  <c r="H53" i="3"/>
  <c r="E14" i="4" s="1"/>
  <c r="F53" i="3"/>
  <c r="D14" i="4" s="1"/>
  <c r="D53" i="3"/>
  <c r="C14" i="4" s="1"/>
  <c r="BF52" i="3"/>
  <c r="AA13" i="4"/>
  <c r="Z13" i="4"/>
  <c r="Y13" i="4"/>
  <c r="Y30" i="4" s="1"/>
  <c r="X13" i="4"/>
  <c r="W13" i="4"/>
  <c r="V13" i="4"/>
  <c r="T13" i="4"/>
  <c r="S13" i="4"/>
  <c r="AH52" i="3"/>
  <c r="R13" i="4" s="1"/>
  <c r="Q13" i="4"/>
  <c r="P13" i="4"/>
  <c r="M13" i="4"/>
  <c r="L13" i="4"/>
  <c r="J13" i="4"/>
  <c r="L52" i="3"/>
  <c r="J52" i="3"/>
  <c r="F13" i="4" s="1"/>
  <c r="H52" i="3"/>
  <c r="E13" i="4" s="1"/>
  <c r="F52" i="3"/>
  <c r="D13" i="4" s="1"/>
  <c r="D52" i="3"/>
  <c r="C13" i="4" s="1"/>
  <c r="BF48" i="3"/>
  <c r="AD10" i="4" s="1"/>
  <c r="Z10" i="4"/>
  <c r="Y10" i="4"/>
  <c r="X10" i="4"/>
  <c r="W10" i="4"/>
  <c r="V10" i="4"/>
  <c r="S10" i="4"/>
  <c r="AH48" i="3"/>
  <c r="R10" i="4" s="1"/>
  <c r="Q10" i="4"/>
  <c r="P10" i="4"/>
  <c r="M10" i="4"/>
  <c r="L10" i="4"/>
  <c r="T48" i="3"/>
  <c r="K10" i="4" s="1"/>
  <c r="J10" i="4"/>
  <c r="L48" i="3"/>
  <c r="J48" i="3"/>
  <c r="F10" i="4" s="1"/>
  <c r="E10" i="4"/>
  <c r="F48" i="3"/>
  <c r="D10" i="4" s="1"/>
  <c r="D48" i="3"/>
  <c r="C10" i="4" s="1"/>
  <c r="BF46" i="3"/>
  <c r="AA8" i="4"/>
  <c r="Z8" i="4"/>
  <c r="Y8" i="4"/>
  <c r="X8" i="4"/>
  <c r="W8" i="4"/>
  <c r="U8" i="4"/>
  <c r="T8" i="4"/>
  <c r="S8" i="4"/>
  <c r="AH46" i="3"/>
  <c r="R8" i="4" s="1"/>
  <c r="Q8" i="4"/>
  <c r="P8" i="4"/>
  <c r="M8" i="4"/>
  <c r="L8" i="4"/>
  <c r="T46" i="3"/>
  <c r="K8" i="4" s="1"/>
  <c r="J8" i="4"/>
  <c r="L46" i="3"/>
  <c r="J46" i="3"/>
  <c r="F8" i="4" s="1"/>
  <c r="H46" i="3"/>
  <c r="E8" i="4" s="1"/>
  <c r="F46" i="3"/>
  <c r="D8" i="4" s="1"/>
  <c r="D46" i="3"/>
  <c r="C8" i="4" s="1"/>
  <c r="BF45" i="3"/>
  <c r="AA7" i="4"/>
  <c r="Z7" i="4"/>
  <c r="Y7" i="4"/>
  <c r="X7" i="4"/>
  <c r="W7" i="4"/>
  <c r="V7" i="4"/>
  <c r="U7" i="4"/>
  <c r="T7" i="4"/>
  <c r="S7" i="4"/>
  <c r="AH45" i="3"/>
  <c r="R7" i="4" s="1"/>
  <c r="Q7" i="4"/>
  <c r="P7" i="4"/>
  <c r="M7" i="4"/>
  <c r="L7" i="4"/>
  <c r="T45" i="3"/>
  <c r="K7" i="4" s="1"/>
  <c r="J7" i="4"/>
  <c r="L45" i="3"/>
  <c r="J45" i="3"/>
  <c r="F7" i="4" s="1"/>
  <c r="H45" i="3"/>
  <c r="E7" i="4" s="1"/>
  <c r="F45" i="3"/>
  <c r="D7" i="4" s="1"/>
  <c r="D45" i="3"/>
  <c r="C7" i="4" s="1"/>
  <c r="BF44" i="3"/>
  <c r="AA6" i="4"/>
  <c r="Z6" i="4"/>
  <c r="Y6" i="4"/>
  <c r="X6" i="4"/>
  <c r="W6" i="4"/>
  <c r="V6" i="4"/>
  <c r="U6" i="4"/>
  <c r="T6" i="4"/>
  <c r="S6" i="4"/>
  <c r="AH44" i="3"/>
  <c r="R6" i="4" s="1"/>
  <c r="Q6" i="4"/>
  <c r="P6" i="4"/>
  <c r="M6" i="4"/>
  <c r="L6" i="4"/>
  <c r="T44" i="3"/>
  <c r="K6" i="4" s="1"/>
  <c r="J6" i="4"/>
  <c r="L44" i="3"/>
  <c r="J44" i="3"/>
  <c r="F6" i="4" s="1"/>
  <c r="H44" i="3"/>
  <c r="E6" i="4" s="1"/>
  <c r="F44" i="3"/>
  <c r="D6" i="4" s="1"/>
  <c r="D44" i="3"/>
  <c r="C6" i="4" s="1"/>
  <c r="BF43" i="3"/>
  <c r="AA5" i="4"/>
  <c r="Z5" i="4"/>
  <c r="Y5" i="4"/>
  <c r="X5" i="4"/>
  <c r="W5" i="4"/>
  <c r="V5" i="4"/>
  <c r="U5" i="4"/>
  <c r="T5" i="4"/>
  <c r="S5" i="4"/>
  <c r="AH43" i="3"/>
  <c r="R5" i="4" s="1"/>
  <c r="Q5" i="4"/>
  <c r="P5" i="4"/>
  <c r="M5" i="4"/>
  <c r="L5" i="4"/>
  <c r="T43" i="3"/>
  <c r="K5" i="4" s="1"/>
  <c r="J5" i="4"/>
  <c r="J43" i="3"/>
  <c r="F5" i="4" s="1"/>
  <c r="H43" i="3"/>
  <c r="E5" i="4" s="1"/>
  <c r="F43" i="3"/>
  <c r="D5" i="4" s="1"/>
  <c r="D43" i="3"/>
  <c r="C5" i="4" s="1"/>
  <c r="BG38" i="3"/>
  <c r="E200" i="2" s="1"/>
  <c r="BF38" i="3"/>
  <c r="D200" i="2" s="1"/>
  <c r="E144" i="2"/>
  <c r="D144" i="2"/>
  <c r="E130" i="2"/>
  <c r="D130" i="2"/>
  <c r="E123" i="2"/>
  <c r="D123" i="2"/>
  <c r="AI38" i="3"/>
  <c r="E116" i="2" s="1"/>
  <c r="AH38" i="3"/>
  <c r="D116" i="2" s="1"/>
  <c r="E109" i="2"/>
  <c r="D109" i="2"/>
  <c r="E74" i="2"/>
  <c r="D74" i="2"/>
  <c r="U38" i="3"/>
  <c r="E67" i="2" s="1"/>
  <c r="T38" i="3"/>
  <c r="D67" i="2" s="1"/>
  <c r="E60" i="2"/>
  <c r="D60" i="2"/>
  <c r="E46" i="2"/>
  <c r="D46" i="2"/>
  <c r="M38" i="3"/>
  <c r="E39" i="2" s="1"/>
  <c r="K38" i="3"/>
  <c r="E32" i="2" s="1"/>
  <c r="J38" i="3"/>
  <c r="D32" i="2" s="1"/>
  <c r="I38" i="3"/>
  <c r="E25" i="2" s="1"/>
  <c r="H38" i="3"/>
  <c r="D25" i="2" s="1"/>
  <c r="G38" i="3"/>
  <c r="E18" i="2" s="1"/>
  <c r="F38" i="3"/>
  <c r="D18" i="2" s="1"/>
  <c r="E38" i="3"/>
  <c r="E10" i="2" s="1"/>
  <c r="D38" i="3"/>
  <c r="D10" i="2" s="1"/>
  <c r="BG36" i="3"/>
  <c r="E198" i="2" s="1"/>
  <c r="BF36" i="3"/>
  <c r="D198" i="2" s="1"/>
  <c r="E142" i="2"/>
  <c r="D142" i="2"/>
  <c r="E128" i="2"/>
  <c r="D128" i="2"/>
  <c r="E121" i="2"/>
  <c r="D121" i="2"/>
  <c r="AI36" i="3"/>
  <c r="E114" i="2" s="1"/>
  <c r="AH36" i="3"/>
  <c r="D114" i="2" s="1"/>
  <c r="E107" i="2"/>
  <c r="D107" i="2"/>
  <c r="E72" i="2"/>
  <c r="D72" i="2"/>
  <c r="U36" i="3"/>
  <c r="E65" i="2" s="1"/>
  <c r="T36" i="3"/>
  <c r="D65" i="2" s="1"/>
  <c r="E58" i="2"/>
  <c r="D58" i="2"/>
  <c r="E44" i="2"/>
  <c r="D44" i="2"/>
  <c r="M36" i="3"/>
  <c r="E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36" i="3"/>
  <c r="E8" i="2" s="1"/>
  <c r="D36" i="3"/>
  <c r="D8" i="2" s="1"/>
  <c r="BG35" i="3"/>
  <c r="E197" i="2" s="1"/>
  <c r="E141" i="2"/>
  <c r="D141" i="2"/>
  <c r="E127" i="2"/>
  <c r="D127" i="2"/>
  <c r="E120" i="2"/>
  <c r="D120" i="2"/>
  <c r="AI35" i="3"/>
  <c r="E113" i="2" s="1"/>
  <c r="AH35" i="3"/>
  <c r="D113" i="2" s="1"/>
  <c r="E106" i="2"/>
  <c r="D106" i="2"/>
  <c r="U35" i="3"/>
  <c r="E64" i="2" s="1"/>
  <c r="T35" i="3"/>
  <c r="D64" i="2" s="1"/>
  <c r="E57" i="2"/>
  <c r="D57" i="2"/>
  <c r="E43" i="2"/>
  <c r="D43" i="2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35" i="3"/>
  <c r="E7" i="2" s="1"/>
  <c r="D35" i="3"/>
  <c r="E140" i="2"/>
  <c r="D140" i="2"/>
  <c r="E126" i="2"/>
  <c r="D126" i="2"/>
  <c r="E119" i="2"/>
  <c r="D119" i="2"/>
  <c r="AI34" i="3"/>
  <c r="E112" i="2" s="1"/>
  <c r="AH34" i="3"/>
  <c r="D112" i="2" s="1"/>
  <c r="E105" i="2"/>
  <c r="D105" i="2"/>
  <c r="E70" i="2"/>
  <c r="D70" i="2"/>
  <c r="U34" i="3"/>
  <c r="E63" i="2" s="1"/>
  <c r="T34" i="3"/>
  <c r="D63" i="2" s="1"/>
  <c r="E56" i="2"/>
  <c r="D56" i="2"/>
  <c r="E42" i="2"/>
  <c r="D42" i="2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34" i="3"/>
  <c r="E6" i="2" s="1"/>
  <c r="D34" i="3"/>
  <c r="D6" i="2" s="1"/>
  <c r="BG33" i="3"/>
  <c r="BF33" i="3"/>
  <c r="D195" i="2" s="1"/>
  <c r="E139" i="2"/>
  <c r="E125" i="2"/>
  <c r="D125" i="2"/>
  <c r="E118" i="2"/>
  <c r="D118" i="2"/>
  <c r="AI33" i="3"/>
  <c r="E111" i="2" s="1"/>
  <c r="AH33" i="3"/>
  <c r="D111" i="2" s="1"/>
  <c r="E69" i="2"/>
  <c r="D69" i="2"/>
  <c r="U33" i="3"/>
  <c r="D55" i="2"/>
  <c r="M33" i="3"/>
  <c r="K33" i="3"/>
  <c r="J33" i="3"/>
  <c r="D27" i="2" s="1"/>
  <c r="I33" i="3"/>
  <c r="H33" i="3"/>
  <c r="G33" i="3"/>
  <c r="F33" i="3"/>
  <c r="E33" i="3"/>
  <c r="D33" i="3"/>
  <c r="D5" i="2" s="1"/>
  <c r="D7" i="2" l="1"/>
  <c r="D40" i="3"/>
  <c r="D12" i="2"/>
  <c r="Y31" i="4"/>
  <c r="J229" i="2"/>
  <c r="I231" i="2"/>
  <c r="I229" i="2"/>
  <c r="I227" i="2"/>
  <c r="J227" i="2"/>
  <c r="I228" i="2"/>
  <c r="Y28" i="4"/>
  <c r="Y29" i="4"/>
  <c r="Y34" i="4" s="1"/>
  <c r="J30" i="4"/>
  <c r="AC30" i="4"/>
  <c r="E31" i="4"/>
  <c r="D31" i="4"/>
  <c r="J31" i="4"/>
  <c r="Z31" i="4"/>
  <c r="E30" i="4"/>
  <c r="E32" i="4" s="1"/>
  <c r="AB31" i="4"/>
  <c r="M30" i="4"/>
  <c r="M32" i="4" s="1"/>
  <c r="M31" i="4"/>
  <c r="AA31" i="4"/>
  <c r="AC31" i="4"/>
  <c r="Z30" i="4"/>
  <c r="AA30" i="4"/>
  <c r="AA32" i="4" s="1"/>
  <c r="AB32" i="4"/>
  <c r="J230" i="2"/>
  <c r="J231" i="2"/>
  <c r="J29" i="4"/>
  <c r="J34" i="4" s="1"/>
  <c r="J28" i="4"/>
  <c r="D61" i="2"/>
  <c r="X30" i="4"/>
  <c r="X32" i="4" s="1"/>
  <c r="R30" i="4"/>
  <c r="R32" i="4" s="1"/>
  <c r="W30" i="4"/>
  <c r="L30" i="4"/>
  <c r="L32" i="4" s="1"/>
  <c r="F30" i="4"/>
  <c r="F32" i="4" s="1"/>
  <c r="K30" i="4"/>
  <c r="K32" i="4" s="1"/>
  <c r="V30" i="4"/>
  <c r="AA29" i="4"/>
  <c r="AA34" i="4" s="1"/>
  <c r="AA28" i="4"/>
  <c r="AB28" i="4"/>
  <c r="AB29" i="4"/>
  <c r="AB34" i="4" s="1"/>
  <c r="N30" i="4"/>
  <c r="N32" i="4" s="1"/>
  <c r="P30" i="4"/>
  <c r="O30" i="4"/>
  <c r="M29" i="4"/>
  <c r="M34" i="4" s="1"/>
  <c r="M28" i="4"/>
  <c r="I25" i="2"/>
  <c r="K25" i="2" s="1"/>
  <c r="G25" i="2"/>
  <c r="J25" i="2" s="1"/>
  <c r="D13" i="2"/>
  <c r="F40" i="3"/>
  <c r="E13" i="2"/>
  <c r="E19" i="2" s="1"/>
  <c r="G40" i="3"/>
  <c r="D28" i="4"/>
  <c r="E5" i="2"/>
  <c r="E12" i="2" s="1"/>
  <c r="E40" i="3"/>
  <c r="D145" i="2"/>
  <c r="D201" i="2"/>
  <c r="BF40" i="3"/>
  <c r="E195" i="2"/>
  <c r="E201" i="2" s="1"/>
  <c r="BG40" i="3"/>
  <c r="Z28" i="4"/>
  <c r="AC28" i="4"/>
  <c r="Z29" i="4"/>
  <c r="Z34" i="4" s="1"/>
  <c r="AC29" i="4"/>
  <c r="AC34" i="4" s="1"/>
  <c r="S30" i="4"/>
  <c r="S32" i="4" s="1"/>
  <c r="I40" i="3"/>
  <c r="E28" i="4"/>
  <c r="D20" i="2"/>
  <c r="H40" i="3"/>
  <c r="E29" i="4"/>
  <c r="E34" i="4" s="1"/>
  <c r="Q30" i="4"/>
  <c r="Q32" i="4" s="1"/>
  <c r="T30" i="4"/>
  <c r="T32" i="4" s="1"/>
  <c r="L31" i="4"/>
  <c r="E62" i="2"/>
  <c r="E68" i="2" s="1"/>
  <c r="U40" i="3"/>
  <c r="E71" i="2"/>
  <c r="E75" i="2" s="1"/>
  <c r="L28" i="4"/>
  <c r="L29" i="4"/>
  <c r="L34" i="4" s="1"/>
  <c r="V40" i="3"/>
  <c r="W40" i="3"/>
  <c r="D75" i="2"/>
  <c r="U31" i="4"/>
  <c r="T31" i="4"/>
  <c r="I198" i="2"/>
  <c r="G198" i="2"/>
  <c r="J198" i="2" s="1"/>
  <c r="L198" i="2" s="1"/>
  <c r="I197" i="2"/>
  <c r="G197" i="2"/>
  <c r="J197" i="2" s="1"/>
  <c r="L197" i="2" s="1"/>
  <c r="I196" i="2"/>
  <c r="G196" i="2"/>
  <c r="J196" i="2" s="1"/>
  <c r="L196" i="2" s="1"/>
  <c r="G200" i="2"/>
  <c r="J200" i="2" s="1"/>
  <c r="L200" i="2" s="1"/>
  <c r="I200" i="2"/>
  <c r="G199" i="2"/>
  <c r="J199" i="2" s="1"/>
  <c r="L199" i="2" s="1"/>
  <c r="I199" i="2"/>
  <c r="I165" i="2"/>
  <c r="G165" i="2"/>
  <c r="J165" i="2" s="1"/>
  <c r="L165" i="2" s="1"/>
  <c r="G143" i="2"/>
  <c r="J143" i="2" s="1"/>
  <c r="L143" i="2" s="1"/>
  <c r="I143" i="2"/>
  <c r="I141" i="2"/>
  <c r="G141" i="2"/>
  <c r="J141" i="2" s="1"/>
  <c r="L141" i="2" s="1"/>
  <c r="I140" i="2"/>
  <c r="G140" i="2"/>
  <c r="J140" i="2" s="1"/>
  <c r="L140" i="2" s="1"/>
  <c r="I150" i="2"/>
  <c r="G150" i="2"/>
  <c r="J150" i="2" s="1"/>
  <c r="L150" i="2" s="1"/>
  <c r="G148" i="2"/>
  <c r="J148" i="2" s="1"/>
  <c r="L148" i="2" s="1"/>
  <c r="I148" i="2"/>
  <c r="I142" i="2"/>
  <c r="G142" i="2"/>
  <c r="J142" i="2" s="1"/>
  <c r="L142" i="2" s="1"/>
  <c r="I146" i="2"/>
  <c r="G146" i="2"/>
  <c r="J146" i="2" s="1"/>
  <c r="W146" i="2" s="1"/>
  <c r="I147" i="2"/>
  <c r="G147" i="2"/>
  <c r="J147" i="2" s="1"/>
  <c r="L147" i="2" s="1"/>
  <c r="I149" i="2"/>
  <c r="G149" i="2"/>
  <c r="J149" i="2" s="1"/>
  <c r="L149" i="2" s="1"/>
  <c r="G144" i="2"/>
  <c r="J144" i="2" s="1"/>
  <c r="L144" i="2" s="1"/>
  <c r="I144" i="2"/>
  <c r="G164" i="2"/>
  <c r="J164" i="2" s="1"/>
  <c r="L164" i="2" s="1"/>
  <c r="I164" i="2"/>
  <c r="G161" i="2"/>
  <c r="J161" i="2" s="1"/>
  <c r="L161" i="2" s="1"/>
  <c r="I161" i="2"/>
  <c r="G162" i="2"/>
  <c r="J162" i="2" s="1"/>
  <c r="L162" i="2" s="1"/>
  <c r="I162" i="2"/>
  <c r="G160" i="2"/>
  <c r="I160" i="2"/>
  <c r="G151" i="2"/>
  <c r="J151" i="2" s="1"/>
  <c r="L151" i="2" s="1"/>
  <c r="I151" i="2"/>
  <c r="I163" i="2"/>
  <c r="G163" i="2"/>
  <c r="J163" i="2" s="1"/>
  <c r="L163" i="2" s="1"/>
  <c r="I139" i="2"/>
  <c r="G139" i="2"/>
  <c r="J139" i="2" s="1"/>
  <c r="W139" i="2" s="1"/>
  <c r="I123" i="2"/>
  <c r="G123" i="2"/>
  <c r="J123" i="2" s="1"/>
  <c r="L123" i="2" s="1"/>
  <c r="I121" i="2"/>
  <c r="G121" i="2"/>
  <c r="J121" i="2" s="1"/>
  <c r="L121" i="2" s="1"/>
  <c r="G122" i="2"/>
  <c r="J122" i="2" s="1"/>
  <c r="L122" i="2" s="1"/>
  <c r="I122" i="2"/>
  <c r="G120" i="2"/>
  <c r="J120" i="2" s="1"/>
  <c r="L120" i="2" s="1"/>
  <c r="I120" i="2"/>
  <c r="G118" i="2"/>
  <c r="J118" i="2" s="1"/>
  <c r="W118" i="2" s="1"/>
  <c r="I118" i="2"/>
  <c r="G119" i="2"/>
  <c r="J119" i="2" s="1"/>
  <c r="I119" i="2"/>
  <c r="I116" i="2"/>
  <c r="G116" i="2"/>
  <c r="J116" i="2" s="1"/>
  <c r="L116" i="2" s="1"/>
  <c r="I115" i="2"/>
  <c r="G115" i="2"/>
  <c r="J115" i="2" s="1"/>
  <c r="L115" i="2" s="1"/>
  <c r="G111" i="2"/>
  <c r="J111" i="2" s="1"/>
  <c r="W111" i="2" s="1"/>
  <c r="I111" i="2"/>
  <c r="G112" i="2"/>
  <c r="J112" i="2" s="1"/>
  <c r="L112" i="2" s="1"/>
  <c r="I112" i="2"/>
  <c r="I113" i="2"/>
  <c r="G113" i="2"/>
  <c r="J113" i="2" s="1"/>
  <c r="L113" i="2" s="1"/>
  <c r="I114" i="2"/>
  <c r="G114" i="2"/>
  <c r="J114" i="2" s="1"/>
  <c r="L114" i="2" s="1"/>
  <c r="G94" i="2"/>
  <c r="J94" i="2" s="1"/>
  <c r="L94" i="2" s="1"/>
  <c r="I94" i="2"/>
  <c r="I90" i="2"/>
  <c r="G90" i="2"/>
  <c r="J90" i="2" s="1"/>
  <c r="W90" i="2" s="1"/>
  <c r="I91" i="2"/>
  <c r="G91" i="2"/>
  <c r="J91" i="2" s="1"/>
  <c r="L91" i="2" s="1"/>
  <c r="G92" i="2"/>
  <c r="J92" i="2" s="1"/>
  <c r="L92" i="2" s="1"/>
  <c r="I92" i="2"/>
  <c r="I93" i="2"/>
  <c r="G93" i="2"/>
  <c r="J93" i="2" s="1"/>
  <c r="L93" i="2" s="1"/>
  <c r="I95" i="2"/>
  <c r="G95" i="2"/>
  <c r="J95" i="2" s="1"/>
  <c r="L95" i="2" s="1"/>
  <c r="P31" i="4"/>
  <c r="X31" i="4"/>
  <c r="O31" i="4"/>
  <c r="Q31" i="4"/>
  <c r="R31" i="4"/>
  <c r="V31" i="4"/>
  <c r="S31" i="4"/>
  <c r="W31" i="4"/>
  <c r="N31" i="4"/>
  <c r="K31" i="4"/>
  <c r="F31" i="4"/>
  <c r="N29" i="4"/>
  <c r="N34" i="4" s="1"/>
  <c r="G126" i="2"/>
  <c r="J126" i="2" s="1"/>
  <c r="I126" i="2"/>
  <c r="I129" i="2"/>
  <c r="G129" i="2"/>
  <c r="J129" i="2" s="1"/>
  <c r="L129" i="2" s="1"/>
  <c r="I127" i="2"/>
  <c r="G127" i="2"/>
  <c r="J127" i="2" s="1"/>
  <c r="L127" i="2" s="1"/>
  <c r="I125" i="2"/>
  <c r="G125" i="2"/>
  <c r="D131" i="2"/>
  <c r="I128" i="2"/>
  <c r="G128" i="2"/>
  <c r="J128" i="2" s="1"/>
  <c r="L128" i="2" s="1"/>
  <c r="E131" i="2"/>
  <c r="I130" i="2"/>
  <c r="G130" i="2"/>
  <c r="J130" i="2" s="1"/>
  <c r="L130" i="2" s="1"/>
  <c r="I14" i="2"/>
  <c r="G14" i="2"/>
  <c r="J14" i="2" s="1"/>
  <c r="L14" i="2" s="1"/>
  <c r="G17" i="2"/>
  <c r="J17" i="2" s="1"/>
  <c r="L17" i="2" s="1"/>
  <c r="I17" i="2"/>
  <c r="G16" i="2"/>
  <c r="J16" i="2" s="1"/>
  <c r="L16" i="2" s="1"/>
  <c r="I16" i="2"/>
  <c r="I15" i="2"/>
  <c r="G15" i="2"/>
  <c r="J15" i="2" s="1"/>
  <c r="L15" i="2" s="1"/>
  <c r="I18" i="2"/>
  <c r="G18" i="2"/>
  <c r="J18" i="2" s="1"/>
  <c r="L18" i="2" s="1"/>
  <c r="D68" i="2"/>
  <c r="E34" i="2"/>
  <c r="E40" i="2" s="1"/>
  <c r="M40" i="3"/>
  <c r="Q40" i="3"/>
  <c r="D117" i="2"/>
  <c r="AH40" i="3"/>
  <c r="T40" i="3"/>
  <c r="E83" i="2"/>
  <c r="E89" i="2" s="1"/>
  <c r="AA40" i="3"/>
  <c r="D41" i="2"/>
  <c r="N40" i="3"/>
  <c r="E117" i="2"/>
  <c r="AI40" i="3"/>
  <c r="E159" i="2"/>
  <c r="AU40" i="3"/>
  <c r="AP40" i="3"/>
  <c r="AB40" i="3"/>
  <c r="D33" i="2"/>
  <c r="J40" i="3"/>
  <c r="E41" i="2"/>
  <c r="E47" i="2" s="1"/>
  <c r="O40" i="3"/>
  <c r="E55" i="2"/>
  <c r="D104" i="2"/>
  <c r="D110" i="2" s="1"/>
  <c r="AF40" i="3"/>
  <c r="AJ40" i="3"/>
  <c r="E145" i="2"/>
  <c r="AQ40" i="3"/>
  <c r="AC40" i="3"/>
  <c r="E132" i="2"/>
  <c r="E138" i="2" s="1"/>
  <c r="AO40" i="3"/>
  <c r="D103" i="2"/>
  <c r="AD40" i="3"/>
  <c r="AL40" i="3"/>
  <c r="E152" i="2"/>
  <c r="AS40" i="3"/>
  <c r="AT40" i="3"/>
  <c r="E20" i="2"/>
  <c r="E26" i="2" s="1"/>
  <c r="AE40" i="3"/>
  <c r="AM40" i="3"/>
  <c r="D34" i="2"/>
  <c r="L40" i="3"/>
  <c r="E27" i="2"/>
  <c r="E33" i="2" s="1"/>
  <c r="K40" i="3"/>
  <c r="P40" i="3"/>
  <c r="E110" i="2"/>
  <c r="AG40" i="3"/>
  <c r="AK40" i="3"/>
  <c r="AR40" i="3"/>
  <c r="D83" i="2"/>
  <c r="D89" i="2" s="1"/>
  <c r="Z40" i="3"/>
  <c r="D132" i="2"/>
  <c r="D138" i="2" s="1"/>
  <c r="AN40" i="3"/>
  <c r="K29" i="4"/>
  <c r="K34" i="4" s="1"/>
  <c r="K28" i="4"/>
  <c r="X29" i="4"/>
  <c r="U32" i="4"/>
  <c r="AD5" i="4"/>
  <c r="AD6" i="4"/>
  <c r="AD7" i="4"/>
  <c r="AD8" i="4"/>
  <c r="AD13" i="4"/>
  <c r="AD15" i="4"/>
  <c r="AD16" i="4"/>
  <c r="AD17" i="4"/>
  <c r="I24" i="2"/>
  <c r="M24" i="2" s="1"/>
  <c r="G24" i="2"/>
  <c r="J24" i="2" s="1"/>
  <c r="L24" i="2" s="1"/>
  <c r="I21" i="2"/>
  <c r="M21" i="2" s="1"/>
  <c r="G21" i="2"/>
  <c r="J21" i="2" s="1"/>
  <c r="G23" i="2"/>
  <c r="J23" i="2" s="1"/>
  <c r="L23" i="2" s="1"/>
  <c r="I23" i="2"/>
  <c r="M23" i="2" s="1"/>
  <c r="I22" i="2"/>
  <c r="M22" i="2" s="1"/>
  <c r="G22" i="2"/>
  <c r="J22" i="2" s="1"/>
  <c r="L22" i="2" s="1"/>
  <c r="I59" i="2"/>
  <c r="M59" i="2" s="1"/>
  <c r="G59" i="2"/>
  <c r="J59" i="2" s="1"/>
  <c r="L59" i="2" s="1"/>
  <c r="I57" i="2"/>
  <c r="M57" i="2" s="1"/>
  <c r="G57" i="2"/>
  <c r="J57" i="2" s="1"/>
  <c r="L57" i="2" s="1"/>
  <c r="I60" i="2"/>
  <c r="M60" i="2" s="1"/>
  <c r="G60" i="2"/>
  <c r="J60" i="2" s="1"/>
  <c r="L60" i="2" s="1"/>
  <c r="I56" i="2"/>
  <c r="M56" i="2" s="1"/>
  <c r="G56" i="2"/>
  <c r="J56" i="2" s="1"/>
  <c r="W56" i="2" s="1"/>
  <c r="I58" i="2"/>
  <c r="M58" i="2" s="1"/>
  <c r="G58" i="2"/>
  <c r="J58" i="2" s="1"/>
  <c r="L58" i="2" s="1"/>
  <c r="G42" i="2"/>
  <c r="J42" i="2" s="1"/>
  <c r="W42" i="2" s="1"/>
  <c r="I42" i="2"/>
  <c r="M42" i="2" s="1"/>
  <c r="G43" i="2"/>
  <c r="J43" i="2" s="1"/>
  <c r="L43" i="2" s="1"/>
  <c r="I43" i="2"/>
  <c r="M43" i="2" s="1"/>
  <c r="G46" i="2"/>
  <c r="J46" i="2" s="1"/>
  <c r="L46" i="2" s="1"/>
  <c r="I46" i="2"/>
  <c r="M46" i="2" s="1"/>
  <c r="G45" i="2"/>
  <c r="J45" i="2" s="1"/>
  <c r="L45" i="2" s="1"/>
  <c r="I45" i="2"/>
  <c r="M45" i="2" s="1"/>
  <c r="I44" i="2"/>
  <c r="M44" i="2" s="1"/>
  <c r="G44" i="2"/>
  <c r="J44" i="2" s="1"/>
  <c r="L44" i="2" s="1"/>
  <c r="G39" i="2"/>
  <c r="J39" i="2" s="1"/>
  <c r="L39" i="2" s="1"/>
  <c r="I39" i="2"/>
  <c r="M39" i="2" s="1"/>
  <c r="I38" i="2"/>
  <c r="M38" i="2" s="1"/>
  <c r="G38" i="2"/>
  <c r="J38" i="2" s="1"/>
  <c r="L38" i="2" s="1"/>
  <c r="D15" i="4"/>
  <c r="D16" i="4"/>
  <c r="G65" i="2"/>
  <c r="J65" i="2" s="1"/>
  <c r="L65" i="2" s="1"/>
  <c r="I65" i="2"/>
  <c r="M65" i="2" s="1"/>
  <c r="G64" i="2"/>
  <c r="J64" i="2" s="1"/>
  <c r="L64" i="2" s="1"/>
  <c r="I64" i="2"/>
  <c r="M64" i="2" s="1"/>
  <c r="G63" i="2"/>
  <c r="I63" i="2"/>
  <c r="M63" i="2" s="1"/>
  <c r="G66" i="2"/>
  <c r="J66" i="2" s="1"/>
  <c r="L66" i="2" s="1"/>
  <c r="I66" i="2"/>
  <c r="M66" i="2" s="1"/>
  <c r="I5" i="4"/>
  <c r="I6" i="4"/>
  <c r="I7" i="4"/>
  <c r="I8" i="4"/>
  <c r="I10" i="4"/>
  <c r="I13" i="4"/>
  <c r="I30" i="4" s="1"/>
  <c r="I67" i="2"/>
  <c r="M67" i="2" s="1"/>
  <c r="O29" i="4"/>
  <c r="U29" i="4"/>
  <c r="U34" i="4" s="1"/>
  <c r="W29" i="4"/>
  <c r="W34" i="4" s="1"/>
  <c r="Q29" i="4"/>
  <c r="Q34" i="4" s="1"/>
  <c r="S29" i="4"/>
  <c r="S34" i="4" s="1"/>
  <c r="F29" i="4"/>
  <c r="F34" i="4" s="1"/>
  <c r="T29" i="4"/>
  <c r="T34" i="4" s="1"/>
  <c r="V29" i="4"/>
  <c r="V34" i="4" s="1"/>
  <c r="P29" i="4"/>
  <c r="P34" i="4" s="1"/>
  <c r="R29" i="4"/>
  <c r="I106" i="2"/>
  <c r="M106" i="2" s="1"/>
  <c r="G106" i="2"/>
  <c r="J106" i="2" s="1"/>
  <c r="L106" i="2" s="1"/>
  <c r="I107" i="2"/>
  <c r="M107" i="2" s="1"/>
  <c r="G107" i="2"/>
  <c r="J107" i="2" s="1"/>
  <c r="L107" i="2" s="1"/>
  <c r="I109" i="2"/>
  <c r="M109" i="2" s="1"/>
  <c r="G109" i="2"/>
  <c r="J109" i="2" s="1"/>
  <c r="L109" i="2" s="1"/>
  <c r="I105" i="2"/>
  <c r="M105" i="2" s="1"/>
  <c r="G105" i="2"/>
  <c r="J105" i="2" s="1"/>
  <c r="L105" i="2" s="1"/>
  <c r="I108" i="2"/>
  <c r="M108" i="2" s="1"/>
  <c r="G108" i="2"/>
  <c r="J108" i="2" s="1"/>
  <c r="L108" i="2" s="1"/>
  <c r="A48" i="2"/>
  <c r="A55" i="2" s="1"/>
  <c r="A62" i="2" s="1"/>
  <c r="A69" i="2" s="1"/>
  <c r="I30" i="2"/>
  <c r="M30" i="2" s="1"/>
  <c r="G30" i="2"/>
  <c r="J30" i="2" s="1"/>
  <c r="L30" i="2" s="1"/>
  <c r="G29" i="2"/>
  <c r="J29" i="2" s="1"/>
  <c r="L29" i="2" s="1"/>
  <c r="I29" i="2"/>
  <c r="M29" i="2" s="1"/>
  <c r="G32" i="2"/>
  <c r="J32" i="2" s="1"/>
  <c r="L32" i="2" s="1"/>
  <c r="I32" i="2"/>
  <c r="M32" i="2" s="1"/>
  <c r="I28" i="2"/>
  <c r="M28" i="2" s="1"/>
  <c r="G28" i="2"/>
  <c r="J28" i="2" s="1"/>
  <c r="W28" i="2" s="1"/>
  <c r="I31" i="2"/>
  <c r="M31" i="2" s="1"/>
  <c r="G31" i="2"/>
  <c r="J31" i="2" s="1"/>
  <c r="L31" i="2" s="1"/>
  <c r="H5" i="4"/>
  <c r="H6" i="4"/>
  <c r="H7" i="4"/>
  <c r="H8" i="4"/>
  <c r="H10" i="4"/>
  <c r="H13" i="4"/>
  <c r="H30" i="4" s="1"/>
  <c r="G6" i="4"/>
  <c r="G7" i="4"/>
  <c r="G8" i="4"/>
  <c r="G10" i="4"/>
  <c r="G13" i="4"/>
  <c r="G30" i="4" s="1"/>
  <c r="G5" i="4"/>
  <c r="D239" i="2"/>
  <c r="G72" i="2"/>
  <c r="J72" i="2" s="1"/>
  <c r="L72" i="2" s="1"/>
  <c r="D231" i="2"/>
  <c r="E231" i="2" s="1"/>
  <c r="I8" i="2"/>
  <c r="G86" i="2"/>
  <c r="J86" i="2" s="1"/>
  <c r="L86" i="2" s="1"/>
  <c r="I72" i="2"/>
  <c r="I10" i="2"/>
  <c r="G74" i="2"/>
  <c r="J74" i="2" s="1"/>
  <c r="L74" i="2" s="1"/>
  <c r="I74" i="2"/>
  <c r="F231" i="2"/>
  <c r="G231" i="2" s="1"/>
  <c r="D227" i="2"/>
  <c r="E227" i="2" s="1"/>
  <c r="P28" i="4"/>
  <c r="G8" i="2"/>
  <c r="J8" i="2" s="1"/>
  <c r="G7" i="2"/>
  <c r="J7" i="2" s="1"/>
  <c r="D228" i="2"/>
  <c r="E228" i="2" s="1"/>
  <c r="N28" i="4"/>
  <c r="I84" i="2"/>
  <c r="M84" i="2" s="1"/>
  <c r="G84" i="2"/>
  <c r="J84" i="2" s="1"/>
  <c r="F28" i="4"/>
  <c r="G10" i="2"/>
  <c r="J10" i="2" s="1"/>
  <c r="I70" i="2"/>
  <c r="M70" i="2" s="1"/>
  <c r="G73" i="2"/>
  <c r="J73" i="2" s="1"/>
  <c r="L73" i="2" s="1"/>
  <c r="I156" i="2"/>
  <c r="M156" i="2" s="1"/>
  <c r="G156" i="2"/>
  <c r="J156" i="2" s="1"/>
  <c r="I154" i="2"/>
  <c r="M154" i="2" s="1"/>
  <c r="G154" i="2"/>
  <c r="J154" i="2" s="1"/>
  <c r="W154" i="2" s="1"/>
  <c r="I158" i="2"/>
  <c r="M158" i="2" s="1"/>
  <c r="G158" i="2"/>
  <c r="J158" i="2" s="1"/>
  <c r="I157" i="2"/>
  <c r="M157" i="2" s="1"/>
  <c r="G157" i="2"/>
  <c r="J157" i="2" s="1"/>
  <c r="D226" i="2"/>
  <c r="F227" i="2"/>
  <c r="G227" i="2" s="1"/>
  <c r="G228" i="2"/>
  <c r="G9" i="2"/>
  <c r="J9" i="2" s="1"/>
  <c r="I9" i="2"/>
  <c r="I87" i="2"/>
  <c r="M87" i="2" s="1"/>
  <c r="G87" i="2"/>
  <c r="J87" i="2" s="1"/>
  <c r="L87" i="2" s="1"/>
  <c r="G70" i="2"/>
  <c r="J70" i="2" s="1"/>
  <c r="W70" i="2" s="1"/>
  <c r="I7" i="2"/>
  <c r="I73" i="2"/>
  <c r="M73" i="2" s="1"/>
  <c r="I85" i="2"/>
  <c r="M85" i="2" s="1"/>
  <c r="G85" i="2"/>
  <c r="J85" i="2" s="1"/>
  <c r="L85" i="2" s="1"/>
  <c r="O28" i="4"/>
  <c r="I88" i="2"/>
  <c r="M88" i="2" s="1"/>
  <c r="G88" i="2"/>
  <c r="J88" i="2" s="1"/>
  <c r="L88" i="2" s="1"/>
  <c r="I86" i="2"/>
  <c r="M86" i="2" s="1"/>
  <c r="B22" i="13"/>
  <c r="N194" i="2"/>
  <c r="B29" i="13"/>
  <c r="B15" i="13"/>
  <c r="B14" i="13"/>
  <c r="W28" i="4"/>
  <c r="V28" i="4"/>
  <c r="X28" i="4"/>
  <c r="N145" i="2"/>
  <c r="B23" i="13" s="1"/>
  <c r="F226" i="2"/>
  <c r="F230" i="2"/>
  <c r="G229" i="2"/>
  <c r="D229" i="2"/>
  <c r="E229" i="2" s="1"/>
  <c r="D230" i="2"/>
  <c r="I135" i="2"/>
  <c r="M135" i="2" s="1"/>
  <c r="G135" i="2"/>
  <c r="U28" i="4"/>
  <c r="G133" i="2"/>
  <c r="I133" i="2"/>
  <c r="M133" i="2" s="1"/>
  <c r="G134" i="2"/>
  <c r="I134" i="2"/>
  <c r="M134" i="2" s="1"/>
  <c r="G136" i="2"/>
  <c r="J136" i="2" s="1"/>
  <c r="L136" i="2" s="1"/>
  <c r="I136" i="2"/>
  <c r="M136" i="2" s="1"/>
  <c r="T28" i="4"/>
  <c r="S28" i="4"/>
  <c r="R28" i="4"/>
  <c r="Q28" i="4"/>
  <c r="E226" i="2" l="1"/>
  <c r="D234" i="2"/>
  <c r="L126" i="2"/>
  <c r="H7" i="13"/>
  <c r="H12" i="13"/>
  <c r="H19" i="13"/>
  <c r="H15" i="13"/>
  <c r="I226" i="2"/>
  <c r="I234" i="2" s="1"/>
  <c r="H18" i="13"/>
  <c r="H22" i="13"/>
  <c r="H13" i="13"/>
  <c r="H31" i="13"/>
  <c r="H23" i="13"/>
  <c r="H21" i="13"/>
  <c r="F234" i="2"/>
  <c r="J226" i="2"/>
  <c r="J228" i="2"/>
  <c r="I166" i="2"/>
  <c r="L119" i="2"/>
  <c r="W119" i="2"/>
  <c r="K230" i="2"/>
  <c r="D30" i="4"/>
  <c r="D32" i="4" s="1"/>
  <c r="AD30" i="4"/>
  <c r="K229" i="2"/>
  <c r="L229" i="2" s="1"/>
  <c r="AD31" i="4"/>
  <c r="M230" i="2"/>
  <c r="M229" i="2"/>
  <c r="N229" i="2" s="1"/>
  <c r="D19" i="2"/>
  <c r="H5" i="13" s="1"/>
  <c r="K227" i="2"/>
  <c r="L227" i="2" s="1"/>
  <c r="M227" i="2"/>
  <c r="N227" i="2" s="1"/>
  <c r="M231" i="2"/>
  <c r="N231" i="2" s="1"/>
  <c r="K231" i="2"/>
  <c r="L231" i="2" s="1"/>
  <c r="L118" i="2"/>
  <c r="G55" i="2"/>
  <c r="G61" i="2" s="1"/>
  <c r="E61" i="2"/>
  <c r="H11" i="13" s="1"/>
  <c r="L146" i="2"/>
  <c r="L111" i="2"/>
  <c r="L10" i="2"/>
  <c r="M7" i="2"/>
  <c r="L7" i="2"/>
  <c r="L8" i="2"/>
  <c r="M9" i="2"/>
  <c r="L9" i="2"/>
  <c r="A76" i="2"/>
  <c r="A83" i="2" s="1"/>
  <c r="A90" i="2" s="1"/>
  <c r="A97" i="2" s="1"/>
  <c r="A104" i="2" s="1"/>
  <c r="A111" i="2" s="1"/>
  <c r="A118" i="2" s="1"/>
  <c r="A125" i="2" s="1"/>
  <c r="A132" i="2" s="1"/>
  <c r="A139" i="2" s="1"/>
  <c r="A146" i="2" s="1"/>
  <c r="A153" i="2" s="1"/>
  <c r="A160" i="2" s="1"/>
  <c r="A167" i="2" s="1"/>
  <c r="I13" i="2"/>
  <c r="I19" i="2" s="1"/>
  <c r="G13" i="2"/>
  <c r="J13" i="2" s="1"/>
  <c r="W13" i="2" s="1"/>
  <c r="L139" i="2"/>
  <c r="G195" i="2"/>
  <c r="G201" i="2" s="1"/>
  <c r="L25" i="2"/>
  <c r="W25" i="2"/>
  <c r="M25" i="2"/>
  <c r="I195" i="2"/>
  <c r="I201" i="2" s="1"/>
  <c r="D29" i="4"/>
  <c r="D34" i="4" s="1"/>
  <c r="AD28" i="4"/>
  <c r="AD29" i="4"/>
  <c r="AD34" i="4" s="1"/>
  <c r="G226" i="2"/>
  <c r="G71" i="2"/>
  <c r="J71" i="2" s="1"/>
  <c r="W71" i="2" s="1"/>
  <c r="I71" i="2"/>
  <c r="K71" i="2" s="1"/>
  <c r="J160" i="2"/>
  <c r="J166" i="2" s="1"/>
  <c r="I29" i="4"/>
  <c r="I34" i="4" s="1"/>
  <c r="W196" i="2"/>
  <c r="L90" i="2"/>
  <c r="L21" i="2"/>
  <c r="W21" i="2"/>
  <c r="K199" i="2"/>
  <c r="M199" i="2"/>
  <c r="M200" i="2"/>
  <c r="K200" i="2"/>
  <c r="K196" i="2"/>
  <c r="M196" i="2"/>
  <c r="M197" i="2"/>
  <c r="K197" i="2"/>
  <c r="M198" i="2"/>
  <c r="K198" i="2"/>
  <c r="K148" i="2"/>
  <c r="M148" i="2"/>
  <c r="K139" i="2"/>
  <c r="M139" i="2"/>
  <c r="M144" i="2"/>
  <c r="K144" i="2"/>
  <c r="M163" i="2"/>
  <c r="K163" i="2"/>
  <c r="M150" i="2"/>
  <c r="K150" i="2"/>
  <c r="M151" i="2"/>
  <c r="K151" i="2"/>
  <c r="M149" i="2"/>
  <c r="K149" i="2"/>
  <c r="M140" i="2"/>
  <c r="K140" i="2"/>
  <c r="M160" i="2"/>
  <c r="K160" i="2"/>
  <c r="M147" i="2"/>
  <c r="K147" i="2"/>
  <c r="M141" i="2"/>
  <c r="K141" i="2"/>
  <c r="M162" i="2"/>
  <c r="K162" i="2"/>
  <c r="M143" i="2"/>
  <c r="K143" i="2"/>
  <c r="K146" i="2"/>
  <c r="M146" i="2"/>
  <c r="K161" i="2"/>
  <c r="M161" i="2"/>
  <c r="M164" i="2"/>
  <c r="K164" i="2"/>
  <c r="M142" i="2"/>
  <c r="K142" i="2"/>
  <c r="K165" i="2"/>
  <c r="M165" i="2"/>
  <c r="K118" i="2"/>
  <c r="M118" i="2"/>
  <c r="K120" i="2"/>
  <c r="M120" i="2"/>
  <c r="M119" i="2"/>
  <c r="K119" i="2"/>
  <c r="M122" i="2"/>
  <c r="K122" i="2"/>
  <c r="M121" i="2"/>
  <c r="K121" i="2"/>
  <c r="K123" i="2"/>
  <c r="M123" i="2"/>
  <c r="K114" i="2"/>
  <c r="M114" i="2"/>
  <c r="M113" i="2"/>
  <c r="K113" i="2"/>
  <c r="K112" i="2"/>
  <c r="M112" i="2"/>
  <c r="K111" i="2"/>
  <c r="M111" i="2"/>
  <c r="M115" i="2"/>
  <c r="K115" i="2"/>
  <c r="M116" i="2"/>
  <c r="K116" i="2"/>
  <c r="M95" i="2"/>
  <c r="K95" i="2"/>
  <c r="K93" i="2"/>
  <c r="M93" i="2"/>
  <c r="K92" i="2"/>
  <c r="M92" i="2"/>
  <c r="K91" i="2"/>
  <c r="M91" i="2"/>
  <c r="M90" i="2"/>
  <c r="K90" i="2"/>
  <c r="K94" i="2"/>
  <c r="M94" i="2"/>
  <c r="L56" i="2"/>
  <c r="W140" i="2"/>
  <c r="H31" i="4"/>
  <c r="G31" i="4"/>
  <c r="I31" i="4"/>
  <c r="W143" i="2"/>
  <c r="O32" i="4"/>
  <c r="K128" i="2"/>
  <c r="M128" i="2"/>
  <c r="G131" i="2"/>
  <c r="J125" i="2"/>
  <c r="W125" i="2" s="1"/>
  <c r="M125" i="2"/>
  <c r="K125" i="2"/>
  <c r="I131" i="2"/>
  <c r="M127" i="2"/>
  <c r="K127" i="2"/>
  <c r="M129" i="2"/>
  <c r="K129" i="2"/>
  <c r="M130" i="2"/>
  <c r="K130" i="2"/>
  <c r="M126" i="2"/>
  <c r="K126" i="2"/>
  <c r="M18" i="2"/>
  <c r="K18" i="2"/>
  <c r="M16" i="2"/>
  <c r="K16" i="2"/>
  <c r="K17" i="2"/>
  <c r="M17" i="2"/>
  <c r="K15" i="2"/>
  <c r="M15" i="2"/>
  <c r="M14" i="2"/>
  <c r="K14" i="2"/>
  <c r="G41" i="2"/>
  <c r="J41" i="2" s="1"/>
  <c r="W41" i="2" s="1"/>
  <c r="I132" i="2"/>
  <c r="M132" i="2" s="1"/>
  <c r="I83" i="2"/>
  <c r="J63" i="2"/>
  <c r="W63" i="2" s="1"/>
  <c r="G132" i="2"/>
  <c r="J132" i="2" s="1"/>
  <c r="W132" i="2" s="1"/>
  <c r="I41" i="2"/>
  <c r="M41" i="2" s="1"/>
  <c r="D47" i="2"/>
  <c r="H9" i="13" s="1"/>
  <c r="I20" i="2"/>
  <c r="M20" i="2" s="1"/>
  <c r="G153" i="2"/>
  <c r="J153" i="2" s="1"/>
  <c r="W153" i="2" s="1"/>
  <c r="I104" i="2"/>
  <c r="M104" i="2" s="1"/>
  <c r="G27" i="2"/>
  <c r="J27" i="2" s="1"/>
  <c r="W27" i="2" s="1"/>
  <c r="I153" i="2"/>
  <c r="M153" i="2" s="1"/>
  <c r="I27" i="2"/>
  <c r="M27" i="2" s="1"/>
  <c r="G83" i="2"/>
  <c r="G89" i="2" s="1"/>
  <c r="I155" i="2"/>
  <c r="M155" i="2" s="1"/>
  <c r="G104" i="2"/>
  <c r="J104" i="2" s="1"/>
  <c r="W104" i="2" s="1"/>
  <c r="D159" i="2"/>
  <c r="H25" i="13" s="1"/>
  <c r="D26" i="2"/>
  <c r="H6" i="13" s="1"/>
  <c r="I55" i="2"/>
  <c r="I61" i="2" s="1"/>
  <c r="G20" i="2"/>
  <c r="J20" i="2" s="1"/>
  <c r="W20" i="2" s="1"/>
  <c r="G155" i="2"/>
  <c r="J155" i="2" s="1"/>
  <c r="W155" i="2" s="1"/>
  <c r="C32" i="4"/>
  <c r="W151" i="2"/>
  <c r="W177" i="2"/>
  <c r="P35" i="4"/>
  <c r="I17" i="13" s="1"/>
  <c r="P32" i="4"/>
  <c r="W128" i="2"/>
  <c r="W169" i="2"/>
  <c r="W150" i="2"/>
  <c r="W92" i="2"/>
  <c r="W158" i="2"/>
  <c r="L158" i="2"/>
  <c r="W156" i="2"/>
  <c r="L156" i="2"/>
  <c r="W199" i="2"/>
  <c r="W95" i="2"/>
  <c r="W178" i="2"/>
  <c r="W179" i="2"/>
  <c r="K74" i="2"/>
  <c r="M74" i="2"/>
  <c r="K8" i="2"/>
  <c r="M8" i="2"/>
  <c r="W141" i="2"/>
  <c r="W144" i="2"/>
  <c r="Z35" i="4"/>
  <c r="I27" i="13" s="1"/>
  <c r="Z32" i="4"/>
  <c r="Y33" i="4"/>
  <c r="Y32" i="4"/>
  <c r="W129" i="2"/>
  <c r="W127" i="2"/>
  <c r="W191" i="2"/>
  <c r="W130" i="2"/>
  <c r="W94" i="2"/>
  <c r="W193" i="2"/>
  <c r="K72" i="2"/>
  <c r="M72" i="2"/>
  <c r="J33" i="4"/>
  <c r="J32" i="4"/>
  <c r="W33" i="4"/>
  <c r="W32" i="4"/>
  <c r="W91" i="2"/>
  <c r="W84" i="2"/>
  <c r="L84" i="2"/>
  <c r="W165" i="2"/>
  <c r="L28" i="2"/>
  <c r="W192" i="2"/>
  <c r="W149" i="2"/>
  <c r="W147" i="2"/>
  <c r="W93" i="2"/>
  <c r="L70" i="2"/>
  <c r="W157" i="2"/>
  <c r="L157" i="2"/>
  <c r="L154" i="2"/>
  <c r="W200" i="2"/>
  <c r="K10" i="2"/>
  <c r="M10" i="2"/>
  <c r="W142" i="2"/>
  <c r="W49" i="2"/>
  <c r="V33" i="4"/>
  <c r="V32" i="4"/>
  <c r="L42" i="2"/>
  <c r="AC35" i="4"/>
  <c r="I30" i="13" s="1"/>
  <c r="AC32" i="4"/>
  <c r="E230" i="2"/>
  <c r="E234" i="2" s="1"/>
  <c r="D6" i="11"/>
  <c r="G230" i="2"/>
  <c r="X34" i="4"/>
  <c r="X35" i="4"/>
  <c r="O34" i="4"/>
  <c r="B30" i="13"/>
  <c r="K23" i="2"/>
  <c r="K21" i="2"/>
  <c r="W22" i="2"/>
  <c r="W24" i="2"/>
  <c r="W23" i="2"/>
  <c r="K22" i="2"/>
  <c r="K24" i="2"/>
  <c r="J134" i="2"/>
  <c r="J133" i="2"/>
  <c r="L133" i="2" s="1"/>
  <c r="J135" i="2"/>
  <c r="L135" i="2" s="1"/>
  <c r="K59" i="2"/>
  <c r="K60" i="2"/>
  <c r="K58" i="2"/>
  <c r="K56" i="2"/>
  <c r="K57" i="2"/>
  <c r="G29" i="4"/>
  <c r="G34" i="4" s="1"/>
  <c r="W105" i="2"/>
  <c r="W112" i="2"/>
  <c r="W45" i="2"/>
  <c r="K46" i="2"/>
  <c r="K42" i="2"/>
  <c r="K44" i="2"/>
  <c r="K45" i="2"/>
  <c r="K43" i="2"/>
  <c r="K38" i="2"/>
  <c r="K39" i="2"/>
  <c r="I36" i="2"/>
  <c r="M36" i="2" s="1"/>
  <c r="G36" i="2"/>
  <c r="J36" i="2" s="1"/>
  <c r="L36" i="2" s="1"/>
  <c r="I35" i="2"/>
  <c r="M35" i="2" s="1"/>
  <c r="G35" i="2"/>
  <c r="J35" i="2" s="1"/>
  <c r="L35" i="2" s="1"/>
  <c r="I37" i="2"/>
  <c r="M37" i="2" s="1"/>
  <c r="G37" i="2"/>
  <c r="J37" i="2" s="1"/>
  <c r="L37" i="2" s="1"/>
  <c r="I34" i="2"/>
  <c r="M34" i="2" s="1"/>
  <c r="D40" i="2"/>
  <c r="H8" i="13" s="1"/>
  <c r="G34" i="2"/>
  <c r="I28" i="4"/>
  <c r="K63" i="2"/>
  <c r="K64" i="2"/>
  <c r="K66" i="2"/>
  <c r="K65" i="2"/>
  <c r="I62" i="2"/>
  <c r="I68" i="2" s="1"/>
  <c r="G62" i="2"/>
  <c r="J62" i="2" s="1"/>
  <c r="W62" i="2" s="1"/>
  <c r="K67" i="2"/>
  <c r="G67" i="2"/>
  <c r="J67" i="2" s="1"/>
  <c r="L67" i="2" s="1"/>
  <c r="H29" i="4"/>
  <c r="H34" i="4" s="1"/>
  <c r="K107" i="2"/>
  <c r="K106" i="2"/>
  <c r="K109" i="2"/>
  <c r="K108" i="2"/>
  <c r="K105" i="2"/>
  <c r="N103" i="2"/>
  <c r="B17" i="13" s="1"/>
  <c r="W136" i="2"/>
  <c r="C236" i="2"/>
  <c r="D5" i="11" s="1"/>
  <c r="W64" i="2"/>
  <c r="W39" i="2"/>
  <c r="W29" i="2"/>
  <c r="W115" i="2"/>
  <c r="W116" i="2"/>
  <c r="W88" i="2"/>
  <c r="W65" i="2"/>
  <c r="W109" i="2"/>
  <c r="W74" i="2"/>
  <c r="W31" i="2"/>
  <c r="W32" i="2"/>
  <c r="W38" i="2"/>
  <c r="W113" i="2"/>
  <c r="W66" i="2"/>
  <c r="W73" i="2"/>
  <c r="W106" i="2"/>
  <c r="W30" i="2"/>
  <c r="W114" i="2"/>
  <c r="W108" i="2"/>
  <c r="W85" i="2"/>
  <c r="W87" i="2"/>
  <c r="W86" i="2"/>
  <c r="W72" i="2"/>
  <c r="W17" i="2"/>
  <c r="W15" i="2"/>
  <c r="W18" i="2"/>
  <c r="W16" i="2"/>
  <c r="W9" i="2"/>
  <c r="W8" i="2"/>
  <c r="W10" i="2"/>
  <c r="W7" i="2"/>
  <c r="H28" i="4"/>
  <c r="K28" i="2"/>
  <c r="K29" i="2"/>
  <c r="K30" i="2"/>
  <c r="K31" i="2"/>
  <c r="K32" i="2"/>
  <c r="G28" i="4"/>
  <c r="B28" i="4" s="1"/>
  <c r="C34" i="4"/>
  <c r="C33" i="4"/>
  <c r="D124" i="2"/>
  <c r="C35" i="4"/>
  <c r="D96" i="2"/>
  <c r="P33" i="4"/>
  <c r="G6" i="2"/>
  <c r="J6" i="2" s="1"/>
  <c r="R35" i="4"/>
  <c r="I19" i="13" s="1"/>
  <c r="R33" i="4"/>
  <c r="Q33" i="4"/>
  <c r="Q35" i="4"/>
  <c r="I18" i="13" s="1"/>
  <c r="N33" i="4"/>
  <c r="N35" i="4"/>
  <c r="I15" i="13" s="1"/>
  <c r="M35" i="4"/>
  <c r="I14" i="13" s="1"/>
  <c r="M33" i="4"/>
  <c r="E124" i="2"/>
  <c r="K70" i="2"/>
  <c r="K33" i="4"/>
  <c r="K35" i="4"/>
  <c r="I12" i="13" s="1"/>
  <c r="J35" i="4"/>
  <c r="I11" i="13" s="1"/>
  <c r="Z33" i="4"/>
  <c r="K84" i="2"/>
  <c r="I137" i="2"/>
  <c r="I69" i="2"/>
  <c r="M69" i="2" s="1"/>
  <c r="E35" i="4"/>
  <c r="I6" i="13" s="1"/>
  <c r="E33" i="4"/>
  <c r="K158" i="2"/>
  <c r="K154" i="2"/>
  <c r="X33" i="4"/>
  <c r="K157" i="2"/>
  <c r="K156" i="2"/>
  <c r="L35" i="4"/>
  <c r="I13" i="13" s="1"/>
  <c r="L33" i="4"/>
  <c r="K73" i="2"/>
  <c r="K88" i="2"/>
  <c r="I6" i="2"/>
  <c r="Y35" i="4"/>
  <c r="I26" i="13" s="1"/>
  <c r="E96" i="2"/>
  <c r="F35" i="4"/>
  <c r="I7" i="13" s="1"/>
  <c r="F33" i="4"/>
  <c r="K9" i="2"/>
  <c r="E103" i="2"/>
  <c r="H17" i="13" s="1"/>
  <c r="O35" i="4"/>
  <c r="O33" i="4"/>
  <c r="G5" i="2"/>
  <c r="I5" i="2"/>
  <c r="K7" i="2"/>
  <c r="G137" i="2"/>
  <c r="K86" i="2"/>
  <c r="K85" i="2"/>
  <c r="G69" i="2"/>
  <c r="K87" i="2"/>
  <c r="W35" i="4"/>
  <c r="I24" i="13" s="1"/>
  <c r="V35" i="4"/>
  <c r="I23" i="13" s="1"/>
  <c r="AC33" i="4"/>
  <c r="AB35" i="4"/>
  <c r="I29" i="13" s="1"/>
  <c r="AB33" i="4"/>
  <c r="D152" i="2"/>
  <c r="H24" i="13" s="1"/>
  <c r="AA35" i="4"/>
  <c r="I28" i="13" s="1"/>
  <c r="AA33" i="4"/>
  <c r="C4" i="13"/>
  <c r="U35" i="4"/>
  <c r="I22" i="13" s="1"/>
  <c r="U33" i="4"/>
  <c r="K134" i="2"/>
  <c r="K133" i="2"/>
  <c r="K136" i="2"/>
  <c r="K135" i="2"/>
  <c r="T35" i="4"/>
  <c r="I21" i="13" s="1"/>
  <c r="T33" i="4"/>
  <c r="S35" i="4"/>
  <c r="I20" i="13" s="1"/>
  <c r="S33" i="4"/>
  <c r="R34" i="4"/>
  <c r="J234" i="2" l="1"/>
  <c r="L230" i="2"/>
  <c r="N230" i="2"/>
  <c r="I12" i="2"/>
  <c r="B31" i="4"/>
  <c r="B34" i="4"/>
  <c r="H16" i="13"/>
  <c r="B29" i="4"/>
  <c r="H20" i="13"/>
  <c r="B30" i="4"/>
  <c r="G234" i="2"/>
  <c r="I239" i="2" s="1"/>
  <c r="B35" i="13"/>
  <c r="J55" i="2"/>
  <c r="J61" i="2" s="1"/>
  <c r="K228" i="2"/>
  <c r="L228" i="2" s="1"/>
  <c r="G166" i="2"/>
  <c r="W160" i="2"/>
  <c r="K166" i="2"/>
  <c r="M166" i="2"/>
  <c r="M228" i="2"/>
  <c r="N228" i="2" s="1"/>
  <c r="M226" i="2"/>
  <c r="M234" i="2" s="1"/>
  <c r="K226" i="2"/>
  <c r="K234" i="2" s="1"/>
  <c r="M55" i="2"/>
  <c r="M61" i="2" s="1"/>
  <c r="M13" i="2"/>
  <c r="M19" i="2" s="1"/>
  <c r="L13" i="2"/>
  <c r="L19" i="2" s="1"/>
  <c r="K13" i="2"/>
  <c r="K19" i="2" s="1"/>
  <c r="M6" i="2"/>
  <c r="J195" i="2"/>
  <c r="W195" i="2" s="1"/>
  <c r="G19" i="2"/>
  <c r="M195" i="2"/>
  <c r="M201" i="2" s="1"/>
  <c r="K195" i="2"/>
  <c r="K201" i="2" s="1"/>
  <c r="G75" i="2"/>
  <c r="M71" i="2"/>
  <c r="M75" i="2" s="1"/>
  <c r="F239" i="2"/>
  <c r="L160" i="2"/>
  <c r="L166" i="2" s="1"/>
  <c r="L20" i="2"/>
  <c r="L26" i="2" s="1"/>
  <c r="W26" i="2"/>
  <c r="I75" i="2"/>
  <c r="L71" i="2"/>
  <c r="M5" i="2"/>
  <c r="L132" i="2"/>
  <c r="M83" i="2"/>
  <c r="M89" i="2" s="1"/>
  <c r="I89" i="2"/>
  <c r="J103" i="2"/>
  <c r="W103" i="2"/>
  <c r="D17" i="13" s="1"/>
  <c r="L124" i="2"/>
  <c r="L125" i="2"/>
  <c r="L131" i="2" s="1"/>
  <c r="J131" i="2"/>
  <c r="K131" i="2"/>
  <c r="I47" i="2"/>
  <c r="M131" i="2"/>
  <c r="K117" i="2"/>
  <c r="G47" i="2"/>
  <c r="J83" i="2"/>
  <c r="W83" i="2" s="1"/>
  <c r="G110" i="2"/>
  <c r="K55" i="2"/>
  <c r="K61" i="2" s="1"/>
  <c r="J124" i="2"/>
  <c r="K83" i="2"/>
  <c r="K89" i="2" s="1"/>
  <c r="K132" i="2"/>
  <c r="G117" i="2"/>
  <c r="G124" i="2"/>
  <c r="G145" i="2"/>
  <c r="K41" i="2"/>
  <c r="K47" i="2" s="1"/>
  <c r="G33" i="2"/>
  <c r="K20" i="2"/>
  <c r="K26" i="2" s="1"/>
  <c r="L63" i="2"/>
  <c r="I33" i="2"/>
  <c r="G68" i="2"/>
  <c r="I117" i="2"/>
  <c r="K153" i="2"/>
  <c r="L103" i="2"/>
  <c r="I110" i="2"/>
  <c r="K104" i="2"/>
  <c r="K110" i="2" s="1"/>
  <c r="M159" i="2"/>
  <c r="L155" i="2"/>
  <c r="K145" i="2"/>
  <c r="I159" i="2"/>
  <c r="G159" i="2"/>
  <c r="I145" i="2"/>
  <c r="K27" i="2"/>
  <c r="K33" i="2" s="1"/>
  <c r="K155" i="2"/>
  <c r="W190" i="2"/>
  <c r="W194" i="2" s="1"/>
  <c r="L153" i="2"/>
  <c r="W159" i="2"/>
  <c r="W163" i="2"/>
  <c r="W162" i="2"/>
  <c r="W175" i="2"/>
  <c r="L104" i="2"/>
  <c r="L110" i="2" s="1"/>
  <c r="M62" i="2"/>
  <c r="M68" i="2" s="1"/>
  <c r="G35" i="4"/>
  <c r="I8" i="13" s="1"/>
  <c r="G32" i="4"/>
  <c r="W197" i="2"/>
  <c r="W6" i="2"/>
  <c r="L6" i="2"/>
  <c r="W145" i="2"/>
  <c r="D23" i="13" s="1"/>
  <c r="L145" i="2"/>
  <c r="W170" i="2"/>
  <c r="W171" i="2"/>
  <c r="I33" i="4"/>
  <c r="I32" i="4"/>
  <c r="L41" i="2"/>
  <c r="L47" i="2" s="1"/>
  <c r="W134" i="2"/>
  <c r="L134" i="2"/>
  <c r="W161" i="2"/>
  <c r="W172" i="2"/>
  <c r="AD33" i="4"/>
  <c r="AD32" i="4"/>
  <c r="W176" i="2"/>
  <c r="W14" i="2"/>
  <c r="W96" i="2"/>
  <c r="D16" i="13" s="1"/>
  <c r="I138" i="2"/>
  <c r="M137" i="2"/>
  <c r="M138" i="2" s="1"/>
  <c r="W198" i="2"/>
  <c r="W164" i="2"/>
  <c r="W33" i="2"/>
  <c r="D7" i="13" s="1"/>
  <c r="L27" i="2"/>
  <c r="L33" i="2" s="1"/>
  <c r="W168" i="2"/>
  <c r="H35" i="4"/>
  <c r="I9" i="13" s="1"/>
  <c r="H32" i="4"/>
  <c r="W117" i="2"/>
  <c r="D19" i="13" s="1"/>
  <c r="L117" i="2"/>
  <c r="J159" i="2"/>
  <c r="I25" i="13"/>
  <c r="I16" i="13"/>
  <c r="G208" i="2"/>
  <c r="AD35" i="4"/>
  <c r="I31" i="13" s="1"/>
  <c r="I208" i="2"/>
  <c r="W207" i="2"/>
  <c r="W206" i="2"/>
  <c r="W205" i="2"/>
  <c r="W214" i="2"/>
  <c r="W215" i="2" s="1"/>
  <c r="C5" i="13"/>
  <c r="A174" i="2"/>
  <c r="A181" i="2" s="1"/>
  <c r="W123" i="2"/>
  <c r="W120" i="2"/>
  <c r="W121" i="2"/>
  <c r="J137" i="2"/>
  <c r="W135" i="2"/>
  <c r="W133" i="2"/>
  <c r="W122" i="2"/>
  <c r="D35" i="4"/>
  <c r="W35" i="2"/>
  <c r="J96" i="2"/>
  <c r="D33" i="4"/>
  <c r="J117" i="2"/>
  <c r="M117" i="2"/>
  <c r="W58" i="2"/>
  <c r="M47" i="2"/>
  <c r="J47" i="2"/>
  <c r="W59" i="2"/>
  <c r="W37" i="2"/>
  <c r="I40" i="2"/>
  <c r="K34" i="2"/>
  <c r="K35" i="2"/>
  <c r="G40" i="2"/>
  <c r="J34" i="2"/>
  <c r="W34" i="2" s="1"/>
  <c r="K37" i="2"/>
  <c r="K36" i="2"/>
  <c r="W36" i="2"/>
  <c r="I35" i="4"/>
  <c r="I10" i="13" s="1"/>
  <c r="W67" i="2"/>
  <c r="K62" i="2"/>
  <c r="K68" i="2" s="1"/>
  <c r="H33" i="4"/>
  <c r="M110" i="2"/>
  <c r="J110" i="2"/>
  <c r="G33" i="4"/>
  <c r="J145" i="2"/>
  <c r="W107" i="2"/>
  <c r="W46" i="2"/>
  <c r="W52" i="2"/>
  <c r="W51" i="2"/>
  <c r="W60" i="2"/>
  <c r="W44" i="2"/>
  <c r="W53" i="2"/>
  <c r="J33" i="2"/>
  <c r="M33" i="2"/>
  <c r="B240" i="2"/>
  <c r="C240" i="2"/>
  <c r="H4" i="13"/>
  <c r="I4" i="13"/>
  <c r="I124" i="2"/>
  <c r="M124" i="2"/>
  <c r="G103" i="2"/>
  <c r="J26" i="2"/>
  <c r="I26" i="2"/>
  <c r="M26" i="2"/>
  <c r="K137" i="2"/>
  <c r="G26" i="2"/>
  <c r="K69" i="2"/>
  <c r="K75" i="2" s="1"/>
  <c r="G138" i="2"/>
  <c r="K6" i="2"/>
  <c r="J69" i="2"/>
  <c r="W69" i="2" s="1"/>
  <c r="J5" i="2"/>
  <c r="W5" i="2" s="1"/>
  <c r="W12" i="2" s="1"/>
  <c r="I103" i="2"/>
  <c r="M145" i="2" s="1"/>
  <c r="I96" i="2"/>
  <c r="K5" i="2"/>
  <c r="J19" i="2"/>
  <c r="G96" i="2"/>
  <c r="G152" i="2"/>
  <c r="I152" i="2"/>
  <c r="M152" i="2"/>
  <c r="D7" i="11"/>
  <c r="G239" i="2"/>
  <c r="B33" i="4" l="1"/>
  <c r="B32" i="4"/>
  <c r="B35" i="4"/>
  <c r="W55" i="2"/>
  <c r="L55" i="2"/>
  <c r="L61" i="2" s="1"/>
  <c r="N226" i="2"/>
  <c r="N234" i="2" s="1"/>
  <c r="L226" i="2"/>
  <c r="L234" i="2" s="1"/>
  <c r="W166" i="2"/>
  <c r="O166" i="2" s="1"/>
  <c r="F26" i="13" s="1"/>
  <c r="I5" i="13"/>
  <c r="I35" i="13" s="1"/>
  <c r="J75" i="2"/>
  <c r="W19" i="2"/>
  <c r="J201" i="2"/>
  <c r="L195" i="2"/>
  <c r="L201" i="2" s="1"/>
  <c r="A188" i="2"/>
  <c r="A195" i="2" s="1"/>
  <c r="A202" i="2" s="1"/>
  <c r="A209" i="2" s="1"/>
  <c r="A216" i="2" s="1"/>
  <c r="W201" i="2"/>
  <c r="D31" i="13" s="1"/>
  <c r="W180" i="2"/>
  <c r="D28" i="13" s="1"/>
  <c r="J89" i="2"/>
  <c r="D30" i="13"/>
  <c r="D9" i="11"/>
  <c r="D8" i="11"/>
  <c r="W173" i="2"/>
  <c r="O173" i="2" s="1"/>
  <c r="F27" i="13" s="1"/>
  <c r="W82" i="2"/>
  <c r="L83" i="2"/>
  <c r="L89" i="2" s="1"/>
  <c r="K138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52" i="2"/>
  <c r="K159" i="2"/>
  <c r="L62" i="2"/>
  <c r="L68" i="2" s="1"/>
  <c r="J68" i="2"/>
  <c r="L159" i="2"/>
  <c r="O194" i="2"/>
  <c r="F30" i="13" s="1"/>
  <c r="K96" i="2"/>
  <c r="W131" i="2"/>
  <c r="L69" i="2"/>
  <c r="L75" i="2" s="1"/>
  <c r="J138" i="2"/>
  <c r="L137" i="2"/>
  <c r="L138" i="2" s="1"/>
  <c r="L5" i="2"/>
  <c r="W40" i="2"/>
  <c r="D8" i="13" s="1"/>
  <c r="L34" i="2"/>
  <c r="L40" i="2" s="1"/>
  <c r="J208" i="2"/>
  <c r="L208" i="2"/>
  <c r="J152" i="2"/>
  <c r="L152" i="2"/>
  <c r="M208" i="2"/>
  <c r="W204" i="2"/>
  <c r="K208" i="2"/>
  <c r="D25" i="13"/>
  <c r="O159" i="2"/>
  <c r="F25" i="13" s="1"/>
  <c r="D6" i="13"/>
  <c r="W137" i="2"/>
  <c r="W138" i="2" s="1"/>
  <c r="D22" i="13" s="1"/>
  <c r="W124" i="2"/>
  <c r="O103" i="2"/>
  <c r="F17" i="13" s="1"/>
  <c r="M40" i="2"/>
  <c r="J40" i="2"/>
  <c r="K40" i="2"/>
  <c r="W57" i="2"/>
  <c r="O117" i="2"/>
  <c r="F19" i="13" s="1"/>
  <c r="O33" i="2"/>
  <c r="F7" i="13" s="1"/>
  <c r="O145" i="2"/>
  <c r="F23" i="13" s="1"/>
  <c r="W50" i="2"/>
  <c r="W54" i="2" s="1"/>
  <c r="O54" i="2" s="1"/>
  <c r="W43" i="2"/>
  <c r="W47" i="2" s="1"/>
  <c r="D9" i="13" s="1"/>
  <c r="W110" i="2"/>
  <c r="D18" i="13" s="1"/>
  <c r="O26" i="2"/>
  <c r="F6" i="13" s="1"/>
  <c r="W148" i="2"/>
  <c r="M96" i="2"/>
  <c r="K124" i="2"/>
  <c r="K103" i="2"/>
  <c r="M103" i="2"/>
  <c r="D240" i="2"/>
  <c r="W61" i="2" l="1"/>
  <c r="C35" i="13"/>
  <c r="O19" i="2"/>
  <c r="F5" i="13" s="1"/>
  <c r="D10" i="13"/>
  <c r="D14" i="13"/>
  <c r="O82" i="2"/>
  <c r="F14" i="13" s="1"/>
  <c r="D29" i="13"/>
  <c r="W75" i="2"/>
  <c r="D13" i="13" s="1"/>
  <c r="W89" i="2"/>
  <c r="D15" i="13" s="1"/>
  <c r="D21" i="13"/>
  <c r="O131" i="2"/>
  <c r="F21" i="13" s="1"/>
  <c r="W68" i="2"/>
  <c r="O68" i="2" s="1"/>
  <c r="F12" i="13" s="1"/>
  <c r="D5" i="13"/>
  <c r="O201" i="2"/>
  <c r="F31" i="13" s="1"/>
  <c r="D26" i="13"/>
  <c r="D27" i="13"/>
  <c r="O180" i="2"/>
  <c r="F28" i="13" s="1"/>
  <c r="O215" i="2"/>
  <c r="F33" i="13" s="1"/>
  <c r="D33" i="13"/>
  <c r="D4" i="13"/>
  <c r="W208" i="2"/>
  <c r="D20" i="13"/>
  <c r="O124" i="2"/>
  <c r="F20" i="13" s="1"/>
  <c r="O40" i="2"/>
  <c r="F8" i="13" s="1"/>
  <c r="O138" i="2"/>
  <c r="F22" i="13" s="1"/>
  <c r="O47" i="2"/>
  <c r="F9" i="13" s="1"/>
  <c r="D11" i="13"/>
  <c r="O110" i="2"/>
  <c r="F18" i="13" s="1"/>
  <c r="W152" i="2"/>
  <c r="O12" i="2"/>
  <c r="F4" i="13" s="1"/>
  <c r="F10" i="13"/>
  <c r="G240" i="2"/>
  <c r="F240" i="2"/>
  <c r="I240" i="2"/>
  <c r="W226" i="2" l="1"/>
  <c r="F29" i="13"/>
  <c r="O75" i="2"/>
  <c r="F13" i="13" s="1"/>
  <c r="O89" i="2"/>
  <c r="F15" i="13" s="1"/>
  <c r="D12" i="13"/>
  <c r="O208" i="2"/>
  <c r="F32" i="13" s="1"/>
  <c r="D32" i="13"/>
  <c r="D24" i="13"/>
  <c r="O152" i="2"/>
  <c r="F24" i="13" s="1"/>
  <c r="O61" i="2"/>
  <c r="F11" i="13" s="1"/>
  <c r="E4" i="13"/>
  <c r="L96" i="2"/>
  <c r="O96" i="2"/>
  <c r="D35" i="13" l="1"/>
  <c r="E5" i="13"/>
  <c r="F16" i="13"/>
  <c r="F35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l="1"/>
  <c r="J241" i="2"/>
  <c r="C5" i="11" s="1"/>
  <c r="B5" i="11" s="1"/>
  <c r="G236" i="2"/>
  <c r="C6" i="11" l="1"/>
  <c r="B6" i="11" s="1"/>
  <c r="C7" i="11"/>
  <c r="B7" i="11" s="1"/>
  <c r="C9" i="11" l="1"/>
  <c r="B9" i="11" s="1"/>
  <c r="C8" i="11"/>
  <c r="B8" i="11" s="1"/>
  <c r="H3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C1CAAFC9-EFDF-4B99-A202-0DFAF98A15D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18606 Estación El Belloto, andén 1. Servicio 659 XT-31 y XT-29, viaje 44, corta equipo en EB.</t>
        </r>
      </text>
    </comment>
    <comment ref="Q27" authorId="0" shapeId="0" xr:uid="{58010F27-6647-4E56-82B9-FA3C96791ED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17787 Estacion El Belloto, anden 1. Servicio 653 XT-23-02 (viaje 20), 657 XT-15-14 (viaje 36), 658 XT-30-34 (viaje 40) y 659 XT-31-28 (viaje 44) son desacoplados.</t>
        </r>
      </text>
    </comment>
    <comment ref="T28" authorId="0" shapeId="0" xr:uid="{ABAAD957-CB44-4B47-94CC-F4990CDE956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17897</t>
        </r>
      </text>
    </comment>
    <comment ref="Q34" authorId="0" shapeId="0" xr:uid="{BACD2D3F-3FEC-4585-BDD3-537BA223116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17856</t>
        </r>
      </text>
    </comment>
    <comment ref="T35" authorId="0" shapeId="0" xr:uid="{AF5F43E9-4729-48F7-9D09-F4C3E50E341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17896</t>
        </r>
      </text>
    </comment>
    <comment ref="Q41" authorId="0" shapeId="0" xr:uid="{3A9AC45F-314B-4810-A588-4D6E745E7E5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17916</t>
        </r>
      </text>
    </comment>
    <comment ref="T42" authorId="0" shapeId="0" xr:uid="{5B8C0BEB-FB06-4FD9-8BB0-2FAB5F40D66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17937</t>
        </r>
      </text>
    </comment>
    <comment ref="Q48" authorId="0" shapeId="0" xr:uid="{A5664EEE-AB0A-4963-A4C0-81484E35A43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17953</t>
        </r>
      </text>
    </comment>
    <comment ref="T49" authorId="0" shapeId="0" xr:uid="{3889435A-8C2D-4D48-AF1A-6440E34A265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Incidenten 17966</t>
        </r>
      </text>
    </comment>
    <comment ref="Q55" authorId="0" shapeId="0" xr:uid="{C18871ED-E086-46A0-9681-FE78B419DB3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18013</t>
        </r>
      </text>
    </comment>
    <comment ref="T56" authorId="0" shapeId="0" xr:uid="{5ABFA2B2-746C-4B7E-96B8-C48DDE2774D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18047</t>
        </r>
      </text>
    </comment>
    <comment ref="Q76" authorId="0" shapeId="0" xr:uid="{A195675C-7DF4-46C2-86D6-9FA4B8CDD8C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18093</t>
        </r>
      </text>
    </comment>
    <comment ref="T77" authorId="0" shapeId="0" xr:uid="{EB22C96B-FD1C-4ED8-ABC4-8A1DD2BB137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18101</t>
        </r>
      </text>
    </comment>
    <comment ref="Q83" authorId="0" shapeId="0" xr:uid="{9EEB1D9A-01D0-446D-9B25-BC89B6BF872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18131
Estación El Belloto, anden 1. Servicio 655 (viaje 28), servicio 659 (viaje 44) y servicio 658, viaje 76 son desacoplados.</t>
        </r>
      </text>
    </comment>
    <comment ref="T84" authorId="0" shapeId="0" xr:uid="{BC78AB68-B8B4-45D5-A03D-64F9012C652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18166</t>
        </r>
      </text>
    </comment>
    <comment ref="Q90" authorId="0" shapeId="0" xr:uid="{3EED87B7-A65B-453E-B0D2-0D6DEE351D2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18197
Estación El Belloto, anden 1. Servicio 655 XT-20-27 (viaje 28) y 658 XT-34-31 (viaje 40), 653 XT-15-16 (viaje 66) y 657 XT-06-09 (viaje 74) son desacoplados.</t>
        </r>
      </text>
    </comment>
    <comment ref="T91" authorId="0" shapeId="0" xr:uid="{C9AE0F37-2EEA-487E-8023-95C1F363C6A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18212</t>
        </r>
      </text>
    </comment>
    <comment ref="Q97" authorId="0" shapeId="0" xr:uid="{8101C7E9-35FD-489D-8C3E-DDA31C10589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18502 Estación El Belloto, anden 1. Servicio 654 XT-04-06 (viaje 24), 655 XT-35-30 (viaje 28) , 656 XT-16-22 (viaje 32 ) y 653 XT-27-01 (viaje 66) son desacoplado</t>
        </r>
      </text>
    </comment>
    <comment ref="T98" authorId="0" shapeId="0" xr:uid="{C91E8176-4B33-4C2C-9768-F85ED0B6FB6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18253
Estación El Belloto, anden 2. Servicio 651 XT-32-35 (viaje 135), 652 XT-09-15 (viaje 139), 653 XT-28-33 (viaje 143), 654 XT-06-27 (viaje 147) y 655 XT-25-03 (viaje 151) son acoplados para cumplir con oferta de equipos en unidad múltiple.</t>
        </r>
      </text>
    </comment>
    <comment ref="Q126" authorId="0" shapeId="0" xr:uid="{75CFA180-ACF3-4B76-9439-C240605292D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18450 
Estacion EB, anden 2, servicio 658, viaje 201, realiza desacople. Continua simple a PU.</t>
        </r>
      </text>
    </comment>
    <comment ref="T126" authorId="0" shapeId="0" xr:uid="{B95B9DED-6BB1-4329-8D79-145C4D9B341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18458
Estación El Belloto, anden 2. Servicio 662 (viaje 131), es acoplado para cumplir con oferta de equipos en unidad múltiple.</t>
        </r>
      </text>
    </comment>
    <comment ref="Q132" authorId="0" shapeId="0" xr:uid="{926B2D65-4BF9-477D-B043-247FC614166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18470</t>
        </r>
      </text>
    </comment>
    <comment ref="T133" authorId="0" shapeId="0" xr:uid="{F801D804-A4B0-4F57-874D-05ED115EF193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18519</t>
        </r>
      </text>
    </comment>
    <comment ref="Q139" authorId="0" shapeId="0" xr:uid="{880ABAA6-321A-4BF1-8626-E16F6878853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18570 
Estación El Belloto, andén 1. Servicio 659 XT-28-31 (viaje 44), 657 XT-07-15 (viaje 74) ,658 XT-24-20 (viaje 76) son desacoplados.</t>
        </r>
      </text>
    </comment>
    <comment ref="Q146" authorId="0" shapeId="0" xr:uid="{F40D7854-53CB-4B5D-8E11-9D0C867EA1D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Estación El Belloto, andén 1. Servicio 654 XT-09-14 (viaje 24), 655 XT-02-21 (viaje 28) ,657 XT-05-13 (viaje 36), 658 XT 20 – 16 (viaje 40) y 660 XT 22 – 18 (viaje 48) son desacoplados.</t>
        </r>
      </text>
    </comment>
    <comment ref="T147" authorId="0" shapeId="0" xr:uid="{CA524661-E6C7-4CEB-96BE-C7813D6E99A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19081</t>
        </r>
      </text>
    </comment>
    <comment ref="Q153" authorId="0" shapeId="0" xr:uid="{49AD5BA9-9921-4548-8DD4-4CEB0B28581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18682 Estación El Belloto, andén 1. Servicio 659 XT-03-25 (viaje 44), es desacoplado</t>
        </r>
      </text>
    </comment>
    <comment ref="T154" authorId="0" shapeId="0" xr:uid="{03858AF8-49DD-486F-90C4-81451101FC9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18792
Estación El Belloto, anden2. Servicio 662 XT-32-31 (viaje 1321) es acoplado para cumplir con oferta de equipos en unidad múltiple.</t>
        </r>
      </text>
    </comment>
    <comment ref="Q174" authorId="0" shapeId="0" xr:uid="{A6AC7B86-A09C-403A-9AE0-15F52E3E03F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19082
</t>
        </r>
      </text>
    </comment>
    <comment ref="T175" authorId="0" shapeId="0" xr:uid="{09B09210-5325-4F00-BC52-DA1233C56A2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18768
Estación El Belloto, andén 2. Servicio 662 XT-02-17 (viaje 131), 651 XT-33-29 (viaje 135), 652 XT-10-01 (viaje 139) y 653 XT-26-08 (viaje 143) son acoplados para cumplir con oferta de equipos en unidad múltiple.</t>
        </r>
      </text>
    </comment>
    <comment ref="Q181" authorId="0" shapeId="0" xr:uid="{6C8956FE-F062-480A-AFAE-2876FA51E06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18872 Estación El Belloto, anden 1. Servicio 658 XT-03-19 (viaje 124) es desacoplado para ir al rescate del XT-05; acumula 4 minutos de atraso.</t>
        </r>
      </text>
    </comment>
    <comment ref="Q182" authorId="0" shapeId="0" xr:uid="{A8C7A492-21B3-4723-9E52-625B8FD2492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18870 Estación El Belloto, anden 2. A raíz de la Avería N°10000, Servicio 652 XT-02-05 (viaje 139) es desacoplado; pasajeros son cambiados a XT-02; acumula 10 minutos de atraso.</t>
        </r>
      </text>
    </comment>
    <comment ref="T182" authorId="0" shapeId="0" xr:uid="{40DCF136-21A9-4ED6-8484-D59BD2980A3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18871
Estación El Belloto, anden 2. Servicio 662 XT-04-15 (viaje 131) y 656 XT-18-03 (viaje 155) son acoplados para cumplir con oferta de equipos en unidad múltiple.</t>
        </r>
      </text>
    </comment>
    <comment ref="U182" authorId="0" shapeId="0" xr:uid="{B1290E07-E4D2-4C88-8563-D80B309A7C2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18922
Estación Sgto. Aldea, anden 2. Servicio 659 XT-34-35 (viaje 167) es acoplado; acumula 8 minutos de atraso debido a no revisión de equipo en Limache.</t>
        </r>
      </text>
    </comment>
    <comment ref="T189" authorId="0" shapeId="0" xr:uid="{3752622F-0EBA-46FC-BDB7-BA81B1BA8EB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18904</t>
        </r>
      </text>
    </comment>
    <comment ref="Q202" authorId="0" shapeId="0" xr:uid="{7B8FF374-CE07-4A4A-BE74-57E2C8D64CE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19083</t>
        </r>
      </text>
    </comment>
    <comment ref="T203" authorId="0" shapeId="0" xr:uid="{07900A89-3557-4459-AA4D-44C08FCF382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10924</t>
        </r>
      </text>
    </comment>
  </commentList>
</comments>
</file>

<file path=xl/sharedStrings.xml><?xml version="1.0" encoding="utf-8"?>
<sst xmlns="http://schemas.openxmlformats.org/spreadsheetml/2006/main" count="739" uniqueCount="183">
  <si>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</si>
  <si>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</si>
  <si>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</si>
  <si>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</si>
  <si>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</si>
  <si>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</si>
  <si>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</si>
  <si>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</si>
  <si>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</si>
  <si>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</si>
  <si>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</si>
  <si>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</si>
  <si>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</si>
  <si>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</si>
  <si>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</si>
  <si>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</si>
  <si>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</si>
  <si>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</si>
  <si>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</si>
  <si>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</si>
  <si>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</si>
  <si>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</si>
  <si>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</si>
  <si>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</si>
  <si>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</si>
  <si>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</si>
  <si>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</si>
  <si>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</si>
  <si>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</si>
  <si>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</si>
  <si>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</si>
  <si>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</si>
  <si>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</si>
  <si>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</si>
  <si>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</si>
  <si>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</si>
  <si>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</si>
  <si>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</si>
  <si>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</si>
  <si>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</si>
  <si>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</si>
  <si>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</si>
  <si>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</si>
  <si>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</si>
  <si>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</si>
  <si>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</si>
  <si>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</si>
  <si>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</si>
  <si>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</si>
  <si>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</si>
  <si>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</si>
  <si>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</si>
  <si>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</si>
  <si>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</si>
  <si>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</si>
  <si>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</si>
  <si>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</si>
  <si>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</si>
  <si>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</si>
  <si>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</si>
  <si>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</si>
  <si>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</si>
  <si>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</si>
  <si>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</si>
  <si>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</si>
  <si>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</si>
  <si>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</si>
  <si>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</si>
  <si>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</si>
  <si>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</si>
  <si>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</si>
  <si>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</si>
  <si>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</si>
  <si>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</si>
  <si>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</si>
  <si>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</si>
  <si>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</si>
  <si>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</si>
  <si>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</si>
  <si>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</si>
  <si>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</si>
  <si>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</si>
  <si>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</si>
  <si>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</si>
  <si>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</si>
  <si>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</si>
  <si>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</si>
  <si>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</si>
  <si>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</si>
  <si>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</si>
  <si>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</si>
  <si>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</si>
  <si>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</si>
  <si>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</si>
  <si>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</si>
  <si>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</si>
  <si>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</si>
  <si>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</si>
  <si>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</si>
  <si>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</si>
  <si>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</si>
  <si>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</si>
  <si>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</si>
  <si>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</si>
  <si>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</si>
  <si>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</si>
  <si>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</si>
  <si>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</si>
  <si>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</si>
  <si>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</si>
  <si>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</si>
  <si>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</si>
  <si>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</si>
  <si>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</si>
  <si>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</si>
  <si>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</si>
  <si>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</si>
  <si>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</si>
  <si>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</si>
  <si>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</si>
  <si>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</si>
  <si>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</si>
  <si>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</si>
  <si>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</si>
  <si>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</si>
  <si>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</si>
  <si>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</si>
  <si>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</si>
  <si>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</si>
  <si>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</si>
  <si>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</si>
  <si>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</si>
  <si>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</si>
  <si>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</si>
  <si>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</si>
  <si>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</si>
  <si>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</si>
  <si>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</si>
  <si>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</si>
  <si>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</si>
  <si>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</si>
  <si>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</si>
  <si>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</si>
  <si>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</si>
  <si>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</si>
  <si>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</si>
  <si>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</si>
  <si>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</si>
  <si>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</si>
  <si>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</si>
  <si>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</si>
  <si>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</si>
  <si>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</si>
  <si>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</si>
  <si>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</si>
  <si>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</si>
  <si>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</si>
  <si>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</si>
  <si>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</si>
  <si>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</si>
  <si>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</si>
  <si>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</si>
  <si>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</si>
  <si>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</si>
  <si>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</si>
  <si>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</si>
  <si>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</si>
  <si>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</si>
  <si>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</si>
  <si>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</si>
  <si>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</si>
  <si>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</si>
  <si>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Oferta Agosto 2025</t>
  </si>
  <si>
    <t>Agosto 2025</t>
  </si>
  <si>
    <t xml:space="preserve">Indisponibilidad hora punta AM/PM por avería  12 incidentes </t>
  </si>
  <si>
    <t>Planilla “025 Laboral Lun-Vie Ver 4”</t>
  </si>
  <si>
    <t>Estación Sgto. Aldea. Servicio 428 XT-25 (viaje 165) suprimido. (Avería N°9796)</t>
  </si>
  <si>
    <t>Planilla “025 Laboral Lun-Vie Ver 9”</t>
  </si>
  <si>
    <t>Planilla 025 Laboral Lun-Vie Ver 10</t>
  </si>
  <si>
    <t>PU-CH</t>
  </si>
  <si>
    <t>Servicios PU-CH</t>
  </si>
  <si>
    <t>Trenes PU-CH</t>
  </si>
  <si>
    <t>Corte EB (600)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</si>
</sst>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6" tint="0.7999816888943144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1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8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59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9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1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0" fillId="4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3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3" fillId="38" borderId="1" xfId="6" applyFont="1" applyFill="1" applyBorder="1" applyAlignment="1" applyProtection="1">
      <alignment horizontal="center"/>
      <protection locked="0"/>
    </xf>
    <xf numFmtId="0" fontId="0" fillId="38" borderId="2" xfId="0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/>
    </xf>
    <xf numFmtId="0" fontId="5" fillId="38" borderId="2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5" fillId="9" borderId="66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3" fillId="40" borderId="1" xfId="6" applyFill="1" applyBorder="1" applyAlignment="1" applyProtection="1">
      <alignment horizontal="center"/>
      <protection locked="0"/>
    </xf>
    <xf numFmtId="0" fontId="52" fillId="40" borderId="2" xfId="0" applyFont="1" applyFill="1" applyBorder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7" fillId="60" borderId="2" xfId="0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1" fontId="3" fillId="60" borderId="43" xfId="0" applyNumberFormat="1" applyFont="1" applyFill="1" applyBorder="1" applyAlignment="1">
      <alignment horizontal="left"/>
    </xf>
    <xf numFmtId="0" fontId="0" fillId="53" borderId="70" xfId="0" applyFill="1" applyBorder="1" applyAlignment="1">
      <alignment horizontal="center"/>
    </xf>
    <xf numFmtId="0" fontId="0" fillId="53" borderId="75" xfId="0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39" fillId="61" borderId="0" xfId="0" applyFont="1" applyFill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8" borderId="0" xfId="2" applyFont="1" applyFill="1" applyAlignment="1">
      <alignment horizontal="center" vertical="center" wrapText="1"/>
    </xf>
    <xf numFmtId="0" fontId="58" fillId="0" borderId="0" xfId="2" applyFont="1" applyFill="1" applyAlignment="1">
      <alignment horizontal="center" vertical="center" wrapText="1"/>
    </xf>
    <xf numFmtId="0" fontId="49" fillId="0" borderId="0" xfId="2" applyFont="1" applyFill="1" applyAlignment="1">
      <alignment horizontal="center" vertical="center" wrapText="1"/>
    </xf>
    <xf numFmtId="0" fontId="49" fillId="38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4" fillId="8" borderId="5" xfId="2" applyFont="1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82"/>
  <sheetViews>
    <sheetView zoomScaleNormal="100" workbookViewId="0">
      <selection activeCell="AF81" sqref="AF81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38" t="s">
        <v>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</row>
    <row r="2" spans="1:32" x14ac:dyDescent="0.25">
      <c r="A2" s="1"/>
      <c r="B2" s="62">
        <v>45870</v>
      </c>
      <c r="C2" s="62">
        <v>45871</v>
      </c>
      <c r="D2" s="62">
        <v>45872</v>
      </c>
      <c r="E2" s="62">
        <v>45873</v>
      </c>
      <c r="F2" s="62">
        <v>45874</v>
      </c>
      <c r="G2" s="62">
        <v>45875</v>
      </c>
      <c r="H2" s="62">
        <v>45876</v>
      </c>
      <c r="I2" s="62">
        <v>45877</v>
      </c>
      <c r="J2" s="62">
        <v>45878</v>
      </c>
      <c r="K2" s="62">
        <v>45879</v>
      </c>
      <c r="L2" s="62">
        <v>45880</v>
      </c>
      <c r="M2" s="62">
        <v>45881</v>
      </c>
      <c r="N2" s="62">
        <v>45882</v>
      </c>
      <c r="O2" s="62">
        <v>45883</v>
      </c>
      <c r="P2" s="62">
        <v>45884</v>
      </c>
      <c r="Q2" s="62">
        <v>45885</v>
      </c>
      <c r="R2" s="62">
        <v>45886</v>
      </c>
      <c r="S2" s="62">
        <v>45887</v>
      </c>
      <c r="T2" s="62">
        <v>45888</v>
      </c>
      <c r="U2" s="62">
        <v>45889</v>
      </c>
      <c r="V2" s="62">
        <v>45890</v>
      </c>
      <c r="W2" s="62">
        <v>45891</v>
      </c>
      <c r="X2" s="62">
        <v>45892</v>
      </c>
      <c r="Y2" s="62">
        <v>45893</v>
      </c>
      <c r="Z2" s="62">
        <v>45894</v>
      </c>
      <c r="AA2" s="62">
        <v>45895</v>
      </c>
      <c r="AB2" s="62">
        <v>45896</v>
      </c>
      <c r="AC2" s="62">
        <v>45897</v>
      </c>
      <c r="AD2" s="62">
        <v>45898</v>
      </c>
      <c r="AE2" s="62">
        <v>45899</v>
      </c>
      <c r="AF2" s="62">
        <v>45900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97">
        <v>2029259</v>
      </c>
      <c r="C5" s="297">
        <v>2029819</v>
      </c>
      <c r="D5" s="297">
        <v>2030293</v>
      </c>
      <c r="E5" s="297">
        <v>2030853</v>
      </c>
      <c r="F5" s="297">
        <v>2031165</v>
      </c>
      <c r="G5" s="297">
        <v>2031725</v>
      </c>
      <c r="H5" s="297">
        <v>2032328</v>
      </c>
      <c r="I5" s="297">
        <v>2032892</v>
      </c>
      <c r="J5" s="297">
        <v>2032935</v>
      </c>
      <c r="K5" s="297">
        <v>2033411</v>
      </c>
      <c r="L5" s="297">
        <v>2033971</v>
      </c>
      <c r="M5" s="297">
        <v>2034171</v>
      </c>
      <c r="N5" s="297">
        <v>2034303</v>
      </c>
      <c r="O5" s="297">
        <v>2034676</v>
      </c>
      <c r="P5" s="297">
        <v>2034676</v>
      </c>
      <c r="Q5" s="297">
        <v>2034676</v>
      </c>
      <c r="R5" s="297">
        <v>2034676</v>
      </c>
      <c r="S5" s="297">
        <v>2034871</v>
      </c>
      <c r="T5" s="297">
        <v>2035440</v>
      </c>
      <c r="U5" s="297">
        <v>2035874</v>
      </c>
      <c r="V5" s="297">
        <v>2036477</v>
      </c>
      <c r="W5" s="297">
        <v>2037038</v>
      </c>
      <c r="X5" s="297">
        <v>2037339</v>
      </c>
      <c r="Y5" s="297">
        <v>2037684</v>
      </c>
      <c r="Z5" s="297">
        <v>2037825</v>
      </c>
      <c r="AA5" s="297">
        <v>2038258</v>
      </c>
      <c r="AB5" s="297">
        <v>2038861</v>
      </c>
      <c r="AC5" s="297">
        <v>2039424</v>
      </c>
      <c r="AD5" s="297">
        <v>2039607</v>
      </c>
      <c r="AE5" s="297">
        <v>2039607</v>
      </c>
      <c r="AF5" s="297">
        <v>2039607</v>
      </c>
    </row>
    <row r="6" spans="1:32" x14ac:dyDescent="0.25">
      <c r="A6" s="5" t="s">
        <v>5</v>
      </c>
      <c r="B6" s="297">
        <v>2001728</v>
      </c>
      <c r="C6" s="297">
        <v>2001773</v>
      </c>
      <c r="D6" s="297">
        <v>2001778</v>
      </c>
      <c r="E6" s="297">
        <v>2001981</v>
      </c>
      <c r="F6" s="297">
        <v>2002568</v>
      </c>
      <c r="G6" s="297">
        <v>2003089</v>
      </c>
      <c r="H6" s="297">
        <v>2003650</v>
      </c>
      <c r="I6" s="297">
        <v>2003833</v>
      </c>
      <c r="J6" s="297">
        <v>2003833</v>
      </c>
      <c r="K6" s="297">
        <v>2003884</v>
      </c>
      <c r="L6" s="297">
        <v>2004100</v>
      </c>
      <c r="M6" s="297">
        <v>2004229</v>
      </c>
      <c r="N6" s="297">
        <v>2004480</v>
      </c>
      <c r="O6" s="297">
        <v>2004730</v>
      </c>
      <c r="P6" s="297">
        <v>2004730</v>
      </c>
      <c r="Q6" s="297">
        <v>2004730</v>
      </c>
      <c r="R6" s="297">
        <v>2004730</v>
      </c>
      <c r="S6" s="297">
        <v>2004984</v>
      </c>
      <c r="T6" s="297">
        <v>2005295</v>
      </c>
      <c r="U6" s="297">
        <v>2005562</v>
      </c>
      <c r="V6" s="297">
        <v>2005791</v>
      </c>
      <c r="W6" s="297">
        <v>2006395</v>
      </c>
      <c r="X6" s="297">
        <v>2006654</v>
      </c>
      <c r="Y6" s="297">
        <v>2007172</v>
      </c>
      <c r="Z6" s="297">
        <v>2007776</v>
      </c>
      <c r="AA6" s="297">
        <v>2008126</v>
      </c>
      <c r="AB6" s="297">
        <v>2008388</v>
      </c>
      <c r="AC6" s="297">
        <v>2008838</v>
      </c>
      <c r="AD6" s="297">
        <v>2009006</v>
      </c>
      <c r="AE6" s="297">
        <v>2009567</v>
      </c>
      <c r="AF6" s="297">
        <v>2009961</v>
      </c>
    </row>
    <row r="7" spans="1:32" x14ac:dyDescent="0.25">
      <c r="A7" s="5" t="s">
        <v>6</v>
      </c>
      <c r="B7" s="297">
        <v>2089968</v>
      </c>
      <c r="C7" s="297">
        <v>2089968</v>
      </c>
      <c r="D7" s="297">
        <v>2089968</v>
      </c>
      <c r="E7" s="297">
        <v>2090183</v>
      </c>
      <c r="F7" s="297">
        <v>2090417</v>
      </c>
      <c r="G7" s="297">
        <v>2090507</v>
      </c>
      <c r="H7" s="297">
        <v>2090757</v>
      </c>
      <c r="I7" s="297">
        <v>2090949</v>
      </c>
      <c r="J7" s="297">
        <v>2090949</v>
      </c>
      <c r="K7" s="297">
        <v>2090968</v>
      </c>
      <c r="L7" s="297">
        <v>2091401</v>
      </c>
      <c r="M7" s="297">
        <v>2091605</v>
      </c>
      <c r="N7" s="297">
        <v>2091857</v>
      </c>
      <c r="O7" s="297">
        <v>2092116</v>
      </c>
      <c r="P7" s="297">
        <v>2092159</v>
      </c>
      <c r="Q7" s="297">
        <v>2092678</v>
      </c>
      <c r="R7" s="297">
        <v>2092765</v>
      </c>
      <c r="S7" s="297">
        <v>2093286</v>
      </c>
      <c r="T7" s="297">
        <v>2093525</v>
      </c>
      <c r="U7" s="297">
        <v>2093615</v>
      </c>
      <c r="V7" s="297">
        <v>2094092</v>
      </c>
      <c r="W7" s="297">
        <v>2094351</v>
      </c>
      <c r="X7" s="297">
        <v>2094830</v>
      </c>
      <c r="Y7" s="297">
        <v>2094874</v>
      </c>
      <c r="Z7" s="297">
        <v>2095439</v>
      </c>
      <c r="AA7" s="297">
        <v>2095924</v>
      </c>
      <c r="AB7" s="297">
        <v>2096316</v>
      </c>
      <c r="AC7" s="297">
        <v>2096881</v>
      </c>
      <c r="AD7" s="297">
        <v>2097188</v>
      </c>
      <c r="AE7" s="297">
        <v>2097793</v>
      </c>
      <c r="AF7" s="297">
        <v>2098311</v>
      </c>
    </row>
    <row r="8" spans="1:32" x14ac:dyDescent="0.25">
      <c r="A8" s="6" t="s">
        <v>7</v>
      </c>
      <c r="B8" s="297">
        <v>2087225</v>
      </c>
      <c r="C8" s="297">
        <v>2087225</v>
      </c>
      <c r="D8" s="297">
        <v>2087225</v>
      </c>
      <c r="E8" s="297">
        <v>2087420</v>
      </c>
      <c r="F8" s="297">
        <v>2087852</v>
      </c>
      <c r="G8" s="297">
        <v>2088125</v>
      </c>
      <c r="H8" s="297">
        <v>2088687</v>
      </c>
      <c r="I8" s="297">
        <v>2089121</v>
      </c>
      <c r="J8" s="297">
        <v>2089686</v>
      </c>
      <c r="K8" s="297">
        <v>2089729</v>
      </c>
      <c r="L8" s="297">
        <v>2090097</v>
      </c>
      <c r="M8" s="297">
        <v>2090347</v>
      </c>
      <c r="N8" s="297">
        <v>2090602</v>
      </c>
      <c r="O8" s="297">
        <v>2090806</v>
      </c>
      <c r="P8" s="297">
        <v>2090806</v>
      </c>
      <c r="Q8" s="297">
        <v>2090806</v>
      </c>
      <c r="R8" s="297">
        <v>2090806</v>
      </c>
      <c r="S8" s="297">
        <v>2091059</v>
      </c>
      <c r="T8" s="297">
        <v>2091578</v>
      </c>
      <c r="U8" s="297">
        <v>2092183</v>
      </c>
      <c r="V8" s="297">
        <v>2092504</v>
      </c>
      <c r="W8" s="297">
        <v>2092719</v>
      </c>
      <c r="X8" s="297">
        <v>2092719</v>
      </c>
      <c r="Y8" s="297">
        <v>2092850</v>
      </c>
      <c r="Z8" s="297">
        <v>2093070</v>
      </c>
      <c r="AA8" s="297">
        <v>2093524</v>
      </c>
      <c r="AB8" s="297">
        <v>2094052</v>
      </c>
      <c r="AC8" s="297">
        <v>2094297</v>
      </c>
      <c r="AD8" s="297">
        <v>2094550</v>
      </c>
      <c r="AE8" s="297">
        <v>2094550</v>
      </c>
      <c r="AF8" s="297">
        <v>2094550</v>
      </c>
    </row>
    <row r="9" spans="1:32" x14ac:dyDescent="0.25">
      <c r="A9" s="6" t="s">
        <v>8</v>
      </c>
      <c r="B9" s="297">
        <v>1999805</v>
      </c>
      <c r="C9" s="297">
        <v>2000323</v>
      </c>
      <c r="D9" s="297">
        <v>2000841</v>
      </c>
      <c r="E9" s="297">
        <v>2001125</v>
      </c>
      <c r="F9" s="297">
        <v>2001376</v>
      </c>
      <c r="G9" s="297">
        <v>2001647</v>
      </c>
      <c r="H9" s="297">
        <v>2002122</v>
      </c>
      <c r="I9" s="297">
        <v>2002468</v>
      </c>
      <c r="J9" s="297">
        <v>2002986</v>
      </c>
      <c r="K9" s="297">
        <v>2003503</v>
      </c>
      <c r="L9" s="297">
        <v>2004063</v>
      </c>
      <c r="M9" s="297">
        <v>2004470</v>
      </c>
      <c r="N9" s="297">
        <v>2004664</v>
      </c>
      <c r="O9" s="297">
        <v>2004916</v>
      </c>
      <c r="P9" s="297">
        <v>2005347</v>
      </c>
      <c r="Q9" s="297">
        <v>2005779</v>
      </c>
      <c r="R9" s="297">
        <v>2006256</v>
      </c>
      <c r="S9" s="297">
        <v>2006816</v>
      </c>
      <c r="T9" s="297">
        <v>2007096</v>
      </c>
      <c r="U9" s="297">
        <v>2007349</v>
      </c>
      <c r="V9" s="297">
        <v>2007577</v>
      </c>
      <c r="W9" s="297">
        <v>2007584</v>
      </c>
      <c r="X9" s="297">
        <v>2007629</v>
      </c>
      <c r="Y9" s="297">
        <v>2007631</v>
      </c>
      <c r="Z9" s="297">
        <v>2008021</v>
      </c>
      <c r="AA9" s="297">
        <v>2008191</v>
      </c>
      <c r="AB9" s="297">
        <v>2008711</v>
      </c>
      <c r="AC9" s="297">
        <v>2008972</v>
      </c>
      <c r="AD9" s="297">
        <v>2009230</v>
      </c>
      <c r="AE9" s="297">
        <v>2009230</v>
      </c>
      <c r="AF9" s="297">
        <v>2009230</v>
      </c>
    </row>
    <row r="10" spans="1:32" x14ac:dyDescent="0.25">
      <c r="A10" s="6" t="s">
        <v>9</v>
      </c>
      <c r="B10" s="297">
        <v>2109961</v>
      </c>
      <c r="C10" s="297">
        <v>2109961</v>
      </c>
      <c r="D10" s="297">
        <v>2109967</v>
      </c>
      <c r="E10" s="297">
        <v>2110142</v>
      </c>
      <c r="F10" s="297">
        <v>2110592</v>
      </c>
      <c r="G10" s="297">
        <v>2110664</v>
      </c>
      <c r="H10" s="297">
        <v>2111098</v>
      </c>
      <c r="I10" s="297">
        <v>2111551</v>
      </c>
      <c r="J10" s="297">
        <v>2111551</v>
      </c>
      <c r="K10" s="297">
        <v>2111551</v>
      </c>
      <c r="L10" s="297">
        <v>2111857</v>
      </c>
      <c r="M10" s="297">
        <v>2112035</v>
      </c>
      <c r="N10" s="297">
        <v>2112555</v>
      </c>
      <c r="O10" s="297">
        <v>2113006</v>
      </c>
      <c r="P10" s="297">
        <v>2113006</v>
      </c>
      <c r="Q10" s="297">
        <v>2113006</v>
      </c>
      <c r="R10" s="297">
        <v>2113006</v>
      </c>
      <c r="S10" s="297">
        <v>2113320</v>
      </c>
      <c r="T10" s="297">
        <v>2113880</v>
      </c>
      <c r="U10" s="297">
        <v>2114356</v>
      </c>
      <c r="V10" s="297">
        <v>2114586</v>
      </c>
      <c r="W10" s="297">
        <v>2114772</v>
      </c>
      <c r="X10" s="297">
        <v>2114772</v>
      </c>
      <c r="Y10" s="297">
        <v>2114772</v>
      </c>
      <c r="Z10" s="297">
        <v>2115112</v>
      </c>
      <c r="AA10" s="297">
        <v>2115564</v>
      </c>
      <c r="AB10" s="297">
        <v>2115759</v>
      </c>
      <c r="AC10" s="297">
        <v>2116244</v>
      </c>
      <c r="AD10" s="297">
        <v>2116763</v>
      </c>
      <c r="AE10" s="297">
        <v>2117281</v>
      </c>
      <c r="AF10" s="297">
        <v>2117756</v>
      </c>
    </row>
    <row r="11" spans="1:32" x14ac:dyDescent="0.25">
      <c r="A11" s="6" t="s">
        <v>10</v>
      </c>
      <c r="B11" s="297">
        <v>2140680</v>
      </c>
      <c r="C11" s="297">
        <v>2141258</v>
      </c>
      <c r="D11" s="297">
        <v>2141779</v>
      </c>
      <c r="E11" s="297">
        <v>2142300</v>
      </c>
      <c r="F11" s="297">
        <v>2142737</v>
      </c>
      <c r="G11" s="297">
        <v>2142913</v>
      </c>
      <c r="H11" s="297">
        <v>2143092</v>
      </c>
      <c r="I11" s="297">
        <v>2143531</v>
      </c>
      <c r="J11" s="297">
        <v>2143531</v>
      </c>
      <c r="K11" s="297">
        <v>2143531</v>
      </c>
      <c r="L11" s="297">
        <v>2144141</v>
      </c>
      <c r="M11" s="297">
        <v>2144580</v>
      </c>
      <c r="N11" s="297">
        <v>2145103</v>
      </c>
      <c r="O11" s="297">
        <v>2145376</v>
      </c>
      <c r="P11" s="297">
        <v>2145376</v>
      </c>
      <c r="Q11" s="297">
        <v>2145376</v>
      </c>
      <c r="R11" s="297">
        <v>2145376</v>
      </c>
      <c r="S11" s="297">
        <v>2145642</v>
      </c>
      <c r="T11" s="297">
        <v>2145813</v>
      </c>
      <c r="U11" s="297">
        <v>2146216</v>
      </c>
      <c r="V11" s="297">
        <v>2146559</v>
      </c>
      <c r="W11" s="297">
        <v>2146744</v>
      </c>
      <c r="X11" s="297">
        <v>2146744</v>
      </c>
      <c r="Y11" s="297">
        <v>2146744</v>
      </c>
      <c r="Z11" s="297">
        <v>2147267</v>
      </c>
      <c r="AA11" s="297">
        <v>2147498</v>
      </c>
      <c r="AB11" s="297">
        <v>2148019</v>
      </c>
      <c r="AC11" s="297">
        <v>2148542</v>
      </c>
      <c r="AD11" s="297">
        <v>2149066</v>
      </c>
      <c r="AE11" s="297">
        <v>2149630</v>
      </c>
      <c r="AF11" s="297">
        <v>2150110</v>
      </c>
    </row>
    <row r="12" spans="1:32" x14ac:dyDescent="0.25">
      <c r="A12" s="5" t="s">
        <v>11</v>
      </c>
      <c r="B12" s="297">
        <v>2045923</v>
      </c>
      <c r="C12" s="297">
        <v>2045923</v>
      </c>
      <c r="D12" s="297">
        <v>2045923</v>
      </c>
      <c r="E12" s="297">
        <v>2046176</v>
      </c>
      <c r="F12" s="297">
        <v>2046447</v>
      </c>
      <c r="G12" s="297">
        <v>2046639</v>
      </c>
      <c r="H12" s="297">
        <v>2046889</v>
      </c>
      <c r="I12" s="297">
        <v>2047081</v>
      </c>
      <c r="J12" s="297">
        <v>2047081</v>
      </c>
      <c r="K12" s="297">
        <v>2047081</v>
      </c>
      <c r="L12" s="297">
        <v>2047275</v>
      </c>
      <c r="M12" s="297">
        <v>2047525</v>
      </c>
      <c r="N12" s="297">
        <v>2047776</v>
      </c>
      <c r="O12" s="297">
        <v>2048027</v>
      </c>
      <c r="P12" s="297">
        <v>2048027</v>
      </c>
      <c r="Q12" s="297">
        <v>2048027</v>
      </c>
      <c r="R12" s="297">
        <v>2048027</v>
      </c>
      <c r="S12" s="297">
        <v>2048324</v>
      </c>
      <c r="T12" s="297">
        <v>2048570</v>
      </c>
      <c r="U12" s="297">
        <v>2048821</v>
      </c>
      <c r="V12" s="297">
        <v>2049073</v>
      </c>
      <c r="W12" s="297">
        <v>2049203</v>
      </c>
      <c r="X12" s="297">
        <v>2049203</v>
      </c>
      <c r="Y12" s="297">
        <v>2049203</v>
      </c>
      <c r="Z12" s="297">
        <v>2049519</v>
      </c>
      <c r="AA12" s="297">
        <v>2050081</v>
      </c>
      <c r="AB12" s="297">
        <v>2050687</v>
      </c>
      <c r="AC12" s="297">
        <v>2051250</v>
      </c>
      <c r="AD12" s="297">
        <v>2051455</v>
      </c>
      <c r="AE12" s="297">
        <v>2051455</v>
      </c>
      <c r="AF12" s="297">
        <v>2051476</v>
      </c>
    </row>
    <row r="13" spans="1:32" x14ac:dyDescent="0.25">
      <c r="A13" s="5" t="s">
        <v>12</v>
      </c>
      <c r="B13" s="297">
        <v>2028407</v>
      </c>
      <c r="C13" s="297">
        <v>2028407</v>
      </c>
      <c r="D13" s="297">
        <v>2028407</v>
      </c>
      <c r="E13" s="297">
        <v>2028407</v>
      </c>
      <c r="F13" s="297">
        <v>2028447</v>
      </c>
      <c r="G13" s="297">
        <v>2028762</v>
      </c>
      <c r="H13" s="297">
        <v>2028939</v>
      </c>
      <c r="I13" s="297">
        <v>2029501</v>
      </c>
      <c r="J13" s="297">
        <v>2030018</v>
      </c>
      <c r="K13" s="297">
        <v>2030496</v>
      </c>
      <c r="L13" s="297">
        <v>2031056</v>
      </c>
      <c r="M13" s="297">
        <v>2031576</v>
      </c>
      <c r="N13" s="297">
        <v>2032017</v>
      </c>
      <c r="O13" s="297">
        <v>2032620</v>
      </c>
      <c r="P13" s="297">
        <v>2032622</v>
      </c>
      <c r="Q13" s="297">
        <v>2033185</v>
      </c>
      <c r="R13" s="297">
        <v>2033229</v>
      </c>
      <c r="S13" s="297">
        <v>2033663</v>
      </c>
      <c r="T13" s="297">
        <v>2034119</v>
      </c>
      <c r="U13" s="297">
        <v>2034370</v>
      </c>
      <c r="V13" s="297">
        <v>2034687</v>
      </c>
      <c r="W13" s="297">
        <v>2034796</v>
      </c>
      <c r="X13" s="297">
        <v>2034796</v>
      </c>
      <c r="Y13" s="297">
        <v>2034796</v>
      </c>
      <c r="Z13" s="297">
        <v>2035047</v>
      </c>
      <c r="AA13" s="297">
        <v>2035359</v>
      </c>
      <c r="AB13" s="297">
        <v>2035792</v>
      </c>
      <c r="AC13" s="297">
        <v>2036355</v>
      </c>
      <c r="AD13" s="297">
        <v>2036914</v>
      </c>
      <c r="AE13" s="297">
        <v>2037432</v>
      </c>
      <c r="AF13" s="297">
        <v>2037949</v>
      </c>
    </row>
    <row r="14" spans="1:32" x14ac:dyDescent="0.25">
      <c r="A14" s="5" t="s">
        <v>13</v>
      </c>
      <c r="B14" s="297">
        <v>2101478</v>
      </c>
      <c r="C14" s="297">
        <v>2101478</v>
      </c>
      <c r="D14" s="297">
        <v>2101479</v>
      </c>
      <c r="E14" s="297">
        <v>2101479</v>
      </c>
      <c r="F14" s="297">
        <v>2101479</v>
      </c>
      <c r="G14" s="297">
        <v>2101479</v>
      </c>
      <c r="H14" s="297">
        <v>2101479</v>
      </c>
      <c r="I14" s="297">
        <v>2101479</v>
      </c>
      <c r="J14" s="297">
        <v>2101479</v>
      </c>
      <c r="K14" s="297">
        <v>2101479</v>
      </c>
      <c r="L14" s="297">
        <v>2101479</v>
      </c>
      <c r="M14" s="297">
        <v>2101479</v>
      </c>
      <c r="N14" s="297">
        <v>2101479</v>
      </c>
      <c r="O14" s="297">
        <v>2101586</v>
      </c>
      <c r="P14" s="297">
        <v>2101586</v>
      </c>
      <c r="Q14" s="297">
        <v>2101586</v>
      </c>
      <c r="R14" s="297">
        <v>2101586</v>
      </c>
      <c r="S14" s="297">
        <v>2101779</v>
      </c>
      <c r="T14" s="297">
        <v>2102030</v>
      </c>
      <c r="U14" s="297">
        <v>2102281</v>
      </c>
      <c r="V14" s="297">
        <v>2102614</v>
      </c>
      <c r="W14" s="297">
        <v>2102867</v>
      </c>
      <c r="X14" s="297">
        <v>2103428</v>
      </c>
      <c r="Y14" s="297">
        <v>2103902</v>
      </c>
      <c r="Z14" s="297">
        <v>2104506</v>
      </c>
      <c r="AA14" s="297">
        <v>2104958</v>
      </c>
      <c r="AB14" s="297">
        <v>2105151</v>
      </c>
      <c r="AC14" s="297">
        <v>2105402</v>
      </c>
      <c r="AD14" s="297">
        <v>2105654</v>
      </c>
      <c r="AE14" s="297">
        <v>2105654</v>
      </c>
      <c r="AF14" s="297">
        <v>2105654</v>
      </c>
    </row>
    <row r="15" spans="1:32" x14ac:dyDescent="0.25">
      <c r="A15" s="6" t="s">
        <v>14</v>
      </c>
      <c r="B15" s="297">
        <v>2120684</v>
      </c>
      <c r="C15" s="297">
        <v>2121205</v>
      </c>
      <c r="D15" s="297">
        <v>2121683</v>
      </c>
      <c r="E15" s="297">
        <v>2121955</v>
      </c>
      <c r="F15" s="297">
        <v>2122208</v>
      </c>
      <c r="G15" s="297">
        <v>2122472</v>
      </c>
      <c r="H15" s="297">
        <v>2122726</v>
      </c>
      <c r="I15" s="297">
        <v>2122990</v>
      </c>
      <c r="J15" s="297">
        <v>2123554</v>
      </c>
      <c r="K15" s="297">
        <v>2123598</v>
      </c>
      <c r="L15" s="297">
        <v>2123950</v>
      </c>
      <c r="M15" s="297">
        <v>2124404</v>
      </c>
      <c r="N15" s="297">
        <v>2124590</v>
      </c>
      <c r="O15" s="297">
        <v>2124845</v>
      </c>
      <c r="P15" s="297">
        <v>2125367</v>
      </c>
      <c r="Q15" s="297">
        <v>2125890</v>
      </c>
      <c r="R15" s="297">
        <v>2126364</v>
      </c>
      <c r="S15" s="297">
        <v>2126675</v>
      </c>
      <c r="T15" s="297">
        <v>2127153</v>
      </c>
      <c r="U15" s="297">
        <v>2127564</v>
      </c>
      <c r="V15" s="297">
        <v>2127809</v>
      </c>
      <c r="W15" s="297">
        <v>2128048</v>
      </c>
      <c r="X15" s="297">
        <v>2128048</v>
      </c>
      <c r="Y15" s="297">
        <v>2128048</v>
      </c>
      <c r="Z15" s="297">
        <v>2128301</v>
      </c>
      <c r="AA15" s="297">
        <v>2128556</v>
      </c>
      <c r="AB15" s="297">
        <v>2128840</v>
      </c>
      <c r="AC15" s="297">
        <v>2129036</v>
      </c>
      <c r="AD15" s="297">
        <v>2129289</v>
      </c>
      <c r="AE15" s="297">
        <v>2129289</v>
      </c>
      <c r="AF15" s="297">
        <v>2129310</v>
      </c>
    </row>
    <row r="16" spans="1:32" x14ac:dyDescent="0.25">
      <c r="A16" s="6" t="s">
        <v>15</v>
      </c>
      <c r="B16" s="297">
        <v>1967557</v>
      </c>
      <c r="C16" s="297">
        <v>1968079</v>
      </c>
      <c r="D16" s="297">
        <v>1968557</v>
      </c>
      <c r="E16" s="297">
        <v>1968810</v>
      </c>
      <c r="F16" s="297">
        <v>1969009</v>
      </c>
      <c r="G16" s="297">
        <v>1969444</v>
      </c>
      <c r="H16" s="297">
        <v>1969554</v>
      </c>
      <c r="I16" s="297">
        <v>1969798</v>
      </c>
      <c r="J16" s="297">
        <v>1970316</v>
      </c>
      <c r="K16" s="297">
        <v>1970749</v>
      </c>
      <c r="L16" s="297">
        <v>1970890</v>
      </c>
      <c r="M16" s="297">
        <v>1971409</v>
      </c>
      <c r="N16" s="297">
        <v>1972014</v>
      </c>
      <c r="O16" s="297">
        <v>1972277</v>
      </c>
      <c r="P16" s="297">
        <v>1972795</v>
      </c>
      <c r="Q16" s="297">
        <v>1973357</v>
      </c>
      <c r="R16" s="297">
        <v>1973400</v>
      </c>
      <c r="S16" s="297">
        <v>1973770</v>
      </c>
      <c r="T16" s="297">
        <v>1974145</v>
      </c>
      <c r="U16" s="297">
        <v>1974752</v>
      </c>
      <c r="V16" s="297">
        <v>1975211</v>
      </c>
      <c r="W16" s="297">
        <v>1975523</v>
      </c>
      <c r="X16" s="297">
        <v>1976042</v>
      </c>
      <c r="Y16" s="297">
        <v>1976563</v>
      </c>
      <c r="Z16" s="297">
        <v>1976834</v>
      </c>
      <c r="AA16" s="297">
        <v>1977087</v>
      </c>
      <c r="AB16" s="297">
        <v>1977339</v>
      </c>
      <c r="AC16" s="297">
        <v>1977832</v>
      </c>
      <c r="AD16" s="297">
        <v>1978137</v>
      </c>
      <c r="AE16" s="297">
        <v>1978702</v>
      </c>
      <c r="AF16" s="297">
        <v>1978746</v>
      </c>
    </row>
    <row r="17" spans="1:32" x14ac:dyDescent="0.25">
      <c r="A17" s="6" t="s">
        <v>16</v>
      </c>
      <c r="B17" s="297">
        <v>2076427</v>
      </c>
      <c r="C17" s="297">
        <v>2076947</v>
      </c>
      <c r="D17" s="297">
        <v>2077426</v>
      </c>
      <c r="E17" s="297">
        <v>2077920</v>
      </c>
      <c r="F17" s="297">
        <v>2078125</v>
      </c>
      <c r="G17" s="297">
        <v>2078377</v>
      </c>
      <c r="H17" s="297">
        <v>2078536</v>
      </c>
      <c r="I17" s="297">
        <v>2078710</v>
      </c>
      <c r="J17" s="297">
        <v>2079230</v>
      </c>
      <c r="K17" s="297">
        <v>2079706</v>
      </c>
      <c r="L17" s="297">
        <v>2080267</v>
      </c>
      <c r="M17" s="297">
        <v>2080616</v>
      </c>
      <c r="N17" s="297">
        <v>2080875</v>
      </c>
      <c r="O17" s="297">
        <v>2081464</v>
      </c>
      <c r="P17" s="297">
        <v>2081685</v>
      </c>
      <c r="Q17" s="297">
        <v>2081730</v>
      </c>
      <c r="R17" s="297">
        <v>2082250</v>
      </c>
      <c r="S17" s="297">
        <v>2082521</v>
      </c>
      <c r="T17" s="297">
        <v>2082940</v>
      </c>
      <c r="U17" s="297">
        <v>2083332</v>
      </c>
      <c r="V17" s="297">
        <v>2083800</v>
      </c>
      <c r="W17" s="297">
        <v>2084156</v>
      </c>
      <c r="X17" s="297">
        <v>2084458</v>
      </c>
      <c r="Y17" s="297">
        <v>2084935</v>
      </c>
      <c r="Z17" s="297">
        <v>2085180</v>
      </c>
      <c r="AA17" s="297">
        <v>2085768</v>
      </c>
      <c r="AB17" s="297">
        <v>2086222</v>
      </c>
      <c r="AC17" s="297">
        <v>2086495</v>
      </c>
      <c r="AD17" s="297">
        <v>2086740</v>
      </c>
      <c r="AE17" s="297">
        <v>2086740</v>
      </c>
      <c r="AF17" s="297">
        <v>2086740</v>
      </c>
    </row>
    <row r="18" spans="1:32" x14ac:dyDescent="0.25">
      <c r="A18" s="6" t="s">
        <v>17</v>
      </c>
      <c r="B18" s="297">
        <v>2053026</v>
      </c>
      <c r="C18" s="297">
        <v>2053544</v>
      </c>
      <c r="D18" s="297">
        <v>2054019</v>
      </c>
      <c r="E18" s="297">
        <v>2054262</v>
      </c>
      <c r="F18" s="297">
        <v>2054513</v>
      </c>
      <c r="G18" s="297">
        <v>2055100</v>
      </c>
      <c r="H18" s="297">
        <v>2055405</v>
      </c>
      <c r="I18" s="297">
        <v>2055879</v>
      </c>
      <c r="J18" s="297">
        <v>2056397</v>
      </c>
      <c r="K18" s="297">
        <v>2056828</v>
      </c>
      <c r="L18" s="297">
        <v>2057389</v>
      </c>
      <c r="M18" s="297">
        <v>2057949</v>
      </c>
      <c r="N18" s="297">
        <v>2058425</v>
      </c>
      <c r="O18" s="297">
        <v>2058986</v>
      </c>
      <c r="P18" s="297">
        <v>2058989</v>
      </c>
      <c r="Q18" s="297">
        <v>2058989</v>
      </c>
      <c r="R18" s="297">
        <v>2058989</v>
      </c>
      <c r="S18" s="297">
        <v>2059097</v>
      </c>
      <c r="T18" s="297">
        <v>2059255</v>
      </c>
      <c r="U18" s="297">
        <v>2059448</v>
      </c>
      <c r="V18" s="297">
        <v>2059700</v>
      </c>
      <c r="W18" s="297">
        <v>2060314</v>
      </c>
      <c r="X18" s="297">
        <v>2060314</v>
      </c>
      <c r="Y18" s="297">
        <v>2060314</v>
      </c>
      <c r="Z18" s="297">
        <v>2060476</v>
      </c>
      <c r="AA18" s="297">
        <v>2060727</v>
      </c>
      <c r="AB18" s="297">
        <v>2061000</v>
      </c>
      <c r="AC18" s="297">
        <v>2061097</v>
      </c>
      <c r="AD18" s="297">
        <v>2061160</v>
      </c>
      <c r="AE18" s="297">
        <v>2061160</v>
      </c>
      <c r="AF18" s="297">
        <v>2061197</v>
      </c>
    </row>
    <row r="19" spans="1:32" x14ac:dyDescent="0.25">
      <c r="A19" s="6" t="s">
        <v>18</v>
      </c>
      <c r="B19" s="297">
        <v>2132435</v>
      </c>
      <c r="C19" s="297">
        <v>2132955</v>
      </c>
      <c r="D19" s="297">
        <v>2133430</v>
      </c>
      <c r="E19" s="297">
        <v>2133906</v>
      </c>
      <c r="F19" s="297">
        <v>2134467</v>
      </c>
      <c r="G19" s="297">
        <v>2134943</v>
      </c>
      <c r="H19" s="297">
        <v>2135258</v>
      </c>
      <c r="I19" s="297">
        <v>2135819</v>
      </c>
      <c r="J19" s="297">
        <v>2135863</v>
      </c>
      <c r="K19" s="297">
        <v>2136339</v>
      </c>
      <c r="L19" s="297">
        <v>2136900</v>
      </c>
      <c r="M19" s="297">
        <v>2137505</v>
      </c>
      <c r="N19" s="297">
        <v>2137794</v>
      </c>
      <c r="O19" s="297">
        <v>2138099</v>
      </c>
      <c r="P19" s="297">
        <v>2138617</v>
      </c>
      <c r="Q19" s="297">
        <v>2139178</v>
      </c>
      <c r="R19" s="297">
        <v>2139652</v>
      </c>
      <c r="S19" s="297">
        <v>2140173</v>
      </c>
      <c r="T19" s="297">
        <v>2140565</v>
      </c>
      <c r="U19" s="297">
        <v>2141041</v>
      </c>
      <c r="V19" s="297">
        <v>2141310</v>
      </c>
      <c r="W19" s="297">
        <v>2141507</v>
      </c>
      <c r="X19" s="297">
        <v>2141507</v>
      </c>
      <c r="Y19" s="297">
        <v>2141507</v>
      </c>
      <c r="Z19" s="297">
        <v>2141606</v>
      </c>
      <c r="AA19" s="297">
        <v>2141911</v>
      </c>
      <c r="AB19" s="297">
        <v>2142346</v>
      </c>
      <c r="AC19" s="297">
        <v>2142866</v>
      </c>
      <c r="AD19" s="297">
        <v>2143343</v>
      </c>
      <c r="AE19" s="297">
        <v>2143566</v>
      </c>
      <c r="AF19" s="297">
        <v>2144040</v>
      </c>
    </row>
    <row r="20" spans="1:32" x14ac:dyDescent="0.25">
      <c r="A20" s="6" t="s">
        <v>19</v>
      </c>
      <c r="B20" s="297">
        <v>2102582</v>
      </c>
      <c r="C20" s="297">
        <v>2102582</v>
      </c>
      <c r="D20" s="297">
        <v>2102640</v>
      </c>
      <c r="E20" s="297">
        <v>2102817</v>
      </c>
      <c r="F20" s="297">
        <v>2103334</v>
      </c>
      <c r="G20" s="297">
        <v>2103894</v>
      </c>
      <c r="H20" s="297">
        <v>2104205</v>
      </c>
      <c r="I20" s="297">
        <v>2104610</v>
      </c>
      <c r="J20" s="297">
        <v>2104610</v>
      </c>
      <c r="K20" s="297">
        <v>2104610</v>
      </c>
      <c r="L20" s="297">
        <v>2104800</v>
      </c>
      <c r="M20" s="297">
        <v>2105106</v>
      </c>
      <c r="N20" s="297">
        <v>2105538</v>
      </c>
      <c r="O20" s="297">
        <v>2105740</v>
      </c>
      <c r="P20" s="297">
        <v>2105740</v>
      </c>
      <c r="Q20" s="297">
        <v>2105740</v>
      </c>
      <c r="R20" s="297">
        <v>2105758</v>
      </c>
      <c r="S20" s="297">
        <v>2106275</v>
      </c>
      <c r="T20" s="297">
        <v>2106640</v>
      </c>
      <c r="U20" s="297">
        <v>2106902</v>
      </c>
      <c r="V20" s="297">
        <v>2107367</v>
      </c>
      <c r="W20" s="297">
        <v>2107817</v>
      </c>
      <c r="X20" s="297">
        <v>2108334</v>
      </c>
      <c r="Y20" s="297">
        <v>2108808</v>
      </c>
      <c r="Z20" s="297">
        <v>2109367</v>
      </c>
      <c r="AA20" s="297">
        <v>2109525</v>
      </c>
      <c r="AB20" s="297">
        <v>2109724</v>
      </c>
      <c r="AC20" s="297">
        <v>2109978</v>
      </c>
      <c r="AD20" s="297">
        <v>2110581</v>
      </c>
      <c r="AE20" s="297">
        <v>2111098</v>
      </c>
      <c r="AF20" s="297">
        <v>2111572</v>
      </c>
    </row>
    <row r="21" spans="1:32" x14ac:dyDescent="0.25">
      <c r="A21" s="6" t="s">
        <v>20</v>
      </c>
      <c r="B21" s="297">
        <v>2104878</v>
      </c>
      <c r="C21" s="297">
        <v>2105396</v>
      </c>
      <c r="D21" s="297">
        <v>2105916</v>
      </c>
      <c r="E21" s="297">
        <v>2106198</v>
      </c>
      <c r="F21" s="297">
        <v>2106469</v>
      </c>
      <c r="G21" s="297">
        <v>2107030</v>
      </c>
      <c r="H21" s="297">
        <v>2107205</v>
      </c>
      <c r="I21" s="297">
        <v>2107724</v>
      </c>
      <c r="J21" s="297">
        <v>2108244</v>
      </c>
      <c r="K21" s="297">
        <v>2108719</v>
      </c>
      <c r="L21" s="297">
        <v>2109280</v>
      </c>
      <c r="M21" s="297">
        <v>2109618</v>
      </c>
      <c r="N21" s="297">
        <v>2110221</v>
      </c>
      <c r="O21" s="297">
        <v>2110740</v>
      </c>
      <c r="P21" s="297">
        <v>2110783</v>
      </c>
      <c r="Q21" s="297">
        <v>2111300</v>
      </c>
      <c r="R21" s="297">
        <v>2111732</v>
      </c>
      <c r="S21" s="297">
        <v>2111772</v>
      </c>
      <c r="T21" s="297">
        <v>2111966</v>
      </c>
      <c r="U21" s="297">
        <v>2112220</v>
      </c>
      <c r="V21" s="297">
        <v>2112627</v>
      </c>
      <c r="W21" s="297">
        <v>2112627</v>
      </c>
      <c r="X21" s="297">
        <v>2112627</v>
      </c>
      <c r="Y21" s="297">
        <v>2112627</v>
      </c>
      <c r="Z21" s="297">
        <v>2112939</v>
      </c>
      <c r="AA21" s="297">
        <v>2113458</v>
      </c>
      <c r="AB21" s="297">
        <v>2113809</v>
      </c>
      <c r="AC21" s="297">
        <v>2114243</v>
      </c>
      <c r="AD21" s="297">
        <v>2114512</v>
      </c>
      <c r="AE21" s="297">
        <v>2114986</v>
      </c>
      <c r="AF21" s="297">
        <v>2115504</v>
      </c>
    </row>
    <row r="22" spans="1:32" x14ac:dyDescent="0.25">
      <c r="A22" s="6" t="s">
        <v>21</v>
      </c>
      <c r="B22" s="297">
        <v>2030575</v>
      </c>
      <c r="C22" s="297">
        <v>2031135</v>
      </c>
      <c r="D22" s="297">
        <v>2031178</v>
      </c>
      <c r="E22" s="297">
        <v>2031611</v>
      </c>
      <c r="F22" s="297">
        <v>2032174</v>
      </c>
      <c r="G22" s="297">
        <v>2032445</v>
      </c>
      <c r="H22" s="297">
        <v>2032715</v>
      </c>
      <c r="I22" s="297">
        <v>2033089</v>
      </c>
      <c r="J22" s="297">
        <v>2033649</v>
      </c>
      <c r="K22" s="297">
        <v>2033928</v>
      </c>
      <c r="L22" s="297">
        <v>2034183</v>
      </c>
      <c r="M22" s="297">
        <v>2034615</v>
      </c>
      <c r="N22" s="297">
        <v>2035067</v>
      </c>
      <c r="O22" s="297">
        <v>2035266</v>
      </c>
      <c r="P22" s="297">
        <v>2035266</v>
      </c>
      <c r="Q22" s="297">
        <v>2035266</v>
      </c>
      <c r="R22" s="297">
        <v>2035266</v>
      </c>
      <c r="S22" s="297">
        <v>2035510</v>
      </c>
      <c r="T22" s="297">
        <v>2035679</v>
      </c>
      <c r="U22" s="297">
        <v>2035981</v>
      </c>
      <c r="V22" s="297">
        <v>2036204</v>
      </c>
      <c r="W22" s="297">
        <v>2036469</v>
      </c>
      <c r="X22" s="297">
        <v>2036986</v>
      </c>
      <c r="Y22" s="297">
        <v>2037463</v>
      </c>
      <c r="Z22" s="297">
        <v>2037937</v>
      </c>
      <c r="AA22" s="297">
        <v>2038140</v>
      </c>
      <c r="AB22" s="297">
        <v>2038555</v>
      </c>
      <c r="AC22" s="297">
        <v>2039007</v>
      </c>
      <c r="AD22" s="297">
        <v>2039176</v>
      </c>
      <c r="AE22" s="297">
        <v>2039353</v>
      </c>
      <c r="AF22" s="297">
        <v>2039356</v>
      </c>
    </row>
    <row r="23" spans="1:32" x14ac:dyDescent="0.25">
      <c r="A23" s="6" t="s">
        <v>22</v>
      </c>
      <c r="B23" s="297">
        <v>2073472</v>
      </c>
      <c r="C23" s="297">
        <v>2073472</v>
      </c>
      <c r="D23" s="297">
        <v>2073472</v>
      </c>
      <c r="E23" s="297">
        <v>2073662</v>
      </c>
      <c r="F23" s="297">
        <v>2073732</v>
      </c>
      <c r="G23" s="297">
        <v>2074181</v>
      </c>
      <c r="H23" s="297">
        <v>2074374</v>
      </c>
      <c r="I23" s="297">
        <v>2074711</v>
      </c>
      <c r="J23" s="297">
        <v>2074711</v>
      </c>
      <c r="K23" s="297">
        <v>2074711</v>
      </c>
      <c r="L23" s="297">
        <v>2075041</v>
      </c>
      <c r="M23" s="297">
        <v>2075534</v>
      </c>
      <c r="N23" s="297">
        <v>2075743</v>
      </c>
      <c r="O23" s="297">
        <v>2076218</v>
      </c>
      <c r="P23" s="297">
        <v>2076220</v>
      </c>
      <c r="Q23" s="297">
        <v>2076220</v>
      </c>
      <c r="R23" s="297">
        <v>2076220</v>
      </c>
      <c r="S23" s="297">
        <v>2076741</v>
      </c>
      <c r="T23" s="297">
        <v>2076951</v>
      </c>
      <c r="U23" s="297">
        <v>2077403</v>
      </c>
      <c r="V23" s="297">
        <v>2077482</v>
      </c>
      <c r="W23" s="297">
        <v>2077482</v>
      </c>
      <c r="X23" s="297">
        <v>2077482</v>
      </c>
      <c r="Y23" s="297">
        <v>2077482</v>
      </c>
      <c r="Z23" s="297">
        <v>2077663</v>
      </c>
      <c r="AA23" s="297">
        <v>2078010</v>
      </c>
      <c r="AB23" s="297">
        <v>2078159</v>
      </c>
      <c r="AC23" s="297">
        <v>2078340</v>
      </c>
      <c r="AD23" s="297">
        <v>2078904</v>
      </c>
      <c r="AE23" s="297">
        <v>2078904</v>
      </c>
      <c r="AF23" s="297">
        <v>2078904</v>
      </c>
    </row>
    <row r="24" spans="1:32" x14ac:dyDescent="0.25">
      <c r="A24" s="5" t="s">
        <v>23</v>
      </c>
      <c r="B24" s="297">
        <v>2108068</v>
      </c>
      <c r="C24" s="297">
        <v>2108068</v>
      </c>
      <c r="D24" s="297">
        <v>2108068</v>
      </c>
      <c r="E24" s="297">
        <v>2108551</v>
      </c>
      <c r="F24" s="297">
        <v>2108983</v>
      </c>
      <c r="G24" s="297">
        <v>2109255</v>
      </c>
      <c r="H24" s="297">
        <v>2109816</v>
      </c>
      <c r="I24" s="297">
        <v>2110266</v>
      </c>
      <c r="J24" s="297">
        <v>2110266</v>
      </c>
      <c r="K24" s="297">
        <v>2110266</v>
      </c>
      <c r="L24" s="297">
        <v>2110515</v>
      </c>
      <c r="M24" s="297">
        <v>2110767</v>
      </c>
      <c r="N24" s="297">
        <v>2110968</v>
      </c>
      <c r="O24" s="297">
        <v>2111219</v>
      </c>
      <c r="P24" s="297">
        <v>2111219</v>
      </c>
      <c r="Q24" s="297">
        <v>2111219</v>
      </c>
      <c r="R24" s="297">
        <v>2111219</v>
      </c>
      <c r="S24" s="297">
        <v>2111558</v>
      </c>
      <c r="T24" s="297">
        <v>2112121</v>
      </c>
      <c r="U24" s="297">
        <v>2112595</v>
      </c>
      <c r="V24" s="297">
        <v>2112911</v>
      </c>
      <c r="W24" s="297">
        <v>2113448</v>
      </c>
      <c r="X24" s="297">
        <v>2113448</v>
      </c>
      <c r="Y24" s="297">
        <v>2113448</v>
      </c>
      <c r="Z24" s="297">
        <v>2113546</v>
      </c>
      <c r="AA24" s="297">
        <v>2113800</v>
      </c>
      <c r="AB24" s="297">
        <v>2114192</v>
      </c>
      <c r="AC24" s="297">
        <v>2114669</v>
      </c>
      <c r="AD24" s="297">
        <v>2115123</v>
      </c>
      <c r="AE24" s="297">
        <v>2115123</v>
      </c>
      <c r="AF24" s="297">
        <v>2115123</v>
      </c>
    </row>
    <row r="25" spans="1:32" x14ac:dyDescent="0.25">
      <c r="A25" s="6" t="s">
        <v>24</v>
      </c>
      <c r="B25" s="297">
        <v>2117199</v>
      </c>
      <c r="C25" s="297">
        <v>2117718</v>
      </c>
      <c r="D25" s="297">
        <v>2117761</v>
      </c>
      <c r="E25" s="297">
        <v>2118196</v>
      </c>
      <c r="F25" s="297">
        <v>2118801</v>
      </c>
      <c r="G25" s="297">
        <v>2118890</v>
      </c>
      <c r="H25" s="297">
        <v>2119410</v>
      </c>
      <c r="I25" s="297">
        <v>2120015</v>
      </c>
      <c r="J25" s="297">
        <v>2120534</v>
      </c>
      <c r="K25" s="297">
        <v>2121052</v>
      </c>
      <c r="L25" s="297">
        <v>2121323</v>
      </c>
      <c r="M25" s="297">
        <v>2121575</v>
      </c>
      <c r="N25" s="297">
        <v>2122163</v>
      </c>
      <c r="O25" s="297">
        <v>2122615</v>
      </c>
      <c r="P25" s="297">
        <v>2122615</v>
      </c>
      <c r="Q25" s="297">
        <v>2122615</v>
      </c>
      <c r="R25" s="297">
        <v>2122615</v>
      </c>
      <c r="S25" s="297">
        <v>2122879</v>
      </c>
      <c r="T25" s="297">
        <v>2123071</v>
      </c>
      <c r="U25" s="297">
        <v>2123470</v>
      </c>
      <c r="V25" s="297">
        <v>2123865</v>
      </c>
      <c r="W25" s="297">
        <v>2124241</v>
      </c>
      <c r="X25" s="297">
        <v>2124241</v>
      </c>
      <c r="Y25" s="297">
        <v>2124241</v>
      </c>
      <c r="Z25" s="297">
        <v>2124506</v>
      </c>
      <c r="AA25" s="297">
        <v>2125057</v>
      </c>
      <c r="AB25" s="297">
        <v>2125585</v>
      </c>
      <c r="AC25" s="297">
        <v>2125837</v>
      </c>
      <c r="AD25" s="297">
        <v>2126442</v>
      </c>
      <c r="AE25" s="297">
        <v>2126964</v>
      </c>
      <c r="AF25" s="297">
        <v>2127396</v>
      </c>
    </row>
    <row r="26" spans="1:32" x14ac:dyDescent="0.25">
      <c r="A26" s="6" t="s">
        <v>25</v>
      </c>
      <c r="B26" s="297">
        <v>2126720</v>
      </c>
      <c r="C26" s="297">
        <v>2126720</v>
      </c>
      <c r="D26" s="297">
        <v>2126720</v>
      </c>
      <c r="E26" s="297">
        <v>2126720</v>
      </c>
      <c r="F26" s="297">
        <v>2126845</v>
      </c>
      <c r="G26" s="297">
        <v>2127098</v>
      </c>
      <c r="H26" s="297">
        <v>2127229</v>
      </c>
      <c r="I26" s="297">
        <v>2127327</v>
      </c>
      <c r="J26" s="297">
        <v>2127327</v>
      </c>
      <c r="K26" s="297">
        <v>2127327</v>
      </c>
      <c r="L26" s="297">
        <v>2127578</v>
      </c>
      <c r="M26" s="297">
        <v>2127828</v>
      </c>
      <c r="N26" s="297">
        <v>2127961</v>
      </c>
      <c r="O26" s="297">
        <v>2128394</v>
      </c>
      <c r="P26" s="297">
        <v>2128396</v>
      </c>
      <c r="Q26" s="297">
        <v>2128959</v>
      </c>
      <c r="R26" s="297">
        <v>2129432</v>
      </c>
      <c r="S26" s="297">
        <v>2129864</v>
      </c>
      <c r="T26" s="297">
        <v>2130128</v>
      </c>
      <c r="U26" s="297">
        <v>2130345</v>
      </c>
      <c r="V26" s="297">
        <v>2130634</v>
      </c>
      <c r="W26" s="297">
        <v>2130887</v>
      </c>
      <c r="X26" s="297">
        <v>2131446</v>
      </c>
      <c r="Y26" s="297">
        <v>2131492</v>
      </c>
      <c r="Z26" s="297">
        <v>2131925</v>
      </c>
      <c r="AA26" s="297">
        <v>2132485</v>
      </c>
      <c r="AB26" s="297">
        <v>2133044</v>
      </c>
      <c r="AC26" s="297">
        <v>2133223</v>
      </c>
      <c r="AD26" s="297">
        <v>2133317</v>
      </c>
      <c r="AE26" s="297">
        <v>2133837</v>
      </c>
      <c r="AF26" s="297">
        <v>2134356</v>
      </c>
    </row>
    <row r="27" spans="1:32" x14ac:dyDescent="0.25">
      <c r="A27" s="6" t="s">
        <v>26</v>
      </c>
      <c r="B27" s="297">
        <v>2087159</v>
      </c>
      <c r="C27" s="297">
        <v>2087245</v>
      </c>
      <c r="D27" s="297">
        <v>2087283</v>
      </c>
      <c r="E27" s="297">
        <v>2087845</v>
      </c>
      <c r="F27" s="297">
        <v>2088234</v>
      </c>
      <c r="G27" s="297">
        <v>2088751</v>
      </c>
      <c r="H27" s="297">
        <v>2089354</v>
      </c>
      <c r="I27" s="297">
        <v>2089550</v>
      </c>
      <c r="J27" s="297">
        <v>2089550</v>
      </c>
      <c r="K27" s="297">
        <v>2089550</v>
      </c>
      <c r="L27" s="297">
        <v>2089744</v>
      </c>
      <c r="M27" s="297">
        <v>2089995</v>
      </c>
      <c r="N27" s="297">
        <v>2090245</v>
      </c>
      <c r="O27" s="297">
        <v>2090496</v>
      </c>
      <c r="P27" s="297">
        <v>2090496</v>
      </c>
      <c r="Q27" s="297">
        <v>2090496</v>
      </c>
      <c r="R27" s="297">
        <v>2090496</v>
      </c>
      <c r="S27" s="297">
        <v>2091082</v>
      </c>
      <c r="T27" s="297">
        <v>2091352</v>
      </c>
      <c r="U27" s="297">
        <v>2091766</v>
      </c>
      <c r="V27" s="297">
        <v>2092286</v>
      </c>
      <c r="W27" s="297">
        <v>2092286</v>
      </c>
      <c r="X27" s="297">
        <v>2092286</v>
      </c>
      <c r="Y27" s="297">
        <v>2092286</v>
      </c>
      <c r="Z27" s="297">
        <v>2092724</v>
      </c>
      <c r="AA27" s="297">
        <v>2093284</v>
      </c>
      <c r="AB27" s="297">
        <v>2093776</v>
      </c>
      <c r="AC27" s="297">
        <v>2093943</v>
      </c>
      <c r="AD27" s="297">
        <v>2094503</v>
      </c>
      <c r="AE27" s="297">
        <v>2094720</v>
      </c>
      <c r="AF27" s="297">
        <v>2094761</v>
      </c>
    </row>
    <row r="28" spans="1:32" x14ac:dyDescent="0.25">
      <c r="A28" s="6" t="s">
        <v>27</v>
      </c>
      <c r="B28" s="297">
        <v>2055831</v>
      </c>
      <c r="C28" s="297">
        <v>2055833</v>
      </c>
      <c r="D28" s="297">
        <v>2055833</v>
      </c>
      <c r="E28" s="297">
        <v>2055889</v>
      </c>
      <c r="F28" s="297">
        <v>2056072</v>
      </c>
      <c r="G28" s="297">
        <v>2056323</v>
      </c>
      <c r="H28" s="297">
        <v>2056421</v>
      </c>
      <c r="I28" s="297">
        <v>2056670</v>
      </c>
      <c r="J28" s="297">
        <v>2056670</v>
      </c>
      <c r="K28" s="297">
        <v>2056689</v>
      </c>
      <c r="L28" s="297">
        <v>2056968</v>
      </c>
      <c r="M28" s="297">
        <v>2057265</v>
      </c>
      <c r="N28" s="297">
        <v>2057783</v>
      </c>
      <c r="O28" s="297">
        <v>2058194</v>
      </c>
      <c r="P28" s="297">
        <v>2058194</v>
      </c>
      <c r="Q28" s="297">
        <v>2058194</v>
      </c>
      <c r="R28" s="297">
        <v>2058214</v>
      </c>
      <c r="S28" s="297">
        <v>2058562</v>
      </c>
      <c r="T28" s="297">
        <v>2058790</v>
      </c>
      <c r="U28" s="297">
        <v>2059189</v>
      </c>
      <c r="V28" s="297">
        <v>2059705</v>
      </c>
      <c r="W28" s="297">
        <v>2060042</v>
      </c>
      <c r="X28" s="297">
        <v>2060042</v>
      </c>
      <c r="Y28" s="297">
        <v>2060042</v>
      </c>
      <c r="Z28" s="297">
        <v>2060307</v>
      </c>
      <c r="AA28" s="297">
        <v>2060924</v>
      </c>
      <c r="AB28" s="297">
        <v>2061356</v>
      </c>
      <c r="AC28" s="297">
        <v>2061610</v>
      </c>
      <c r="AD28" s="297">
        <v>2061804</v>
      </c>
      <c r="AE28" s="297">
        <v>2061804</v>
      </c>
      <c r="AF28" s="297">
        <v>2061825</v>
      </c>
    </row>
    <row r="29" spans="1:32" x14ac:dyDescent="0.25">
      <c r="A29" s="5" t="s">
        <v>28</v>
      </c>
      <c r="B29" s="297">
        <v>2006086</v>
      </c>
      <c r="C29" s="297">
        <v>2006130</v>
      </c>
      <c r="D29" s="297">
        <v>2006167</v>
      </c>
      <c r="E29" s="297">
        <v>2006604</v>
      </c>
      <c r="F29" s="297">
        <v>2007208</v>
      </c>
      <c r="G29" s="297">
        <v>2007349</v>
      </c>
      <c r="H29" s="297">
        <v>2007956</v>
      </c>
      <c r="I29" s="297">
        <v>2008215</v>
      </c>
      <c r="J29" s="297">
        <v>2008215</v>
      </c>
      <c r="K29" s="297">
        <v>2008215</v>
      </c>
      <c r="L29" s="297">
        <v>2008400</v>
      </c>
      <c r="M29" s="297">
        <v>2008593</v>
      </c>
      <c r="N29" s="297">
        <v>2008795</v>
      </c>
      <c r="O29" s="297">
        <v>2009102</v>
      </c>
      <c r="P29" s="297">
        <v>2009367</v>
      </c>
      <c r="Q29" s="297">
        <v>2009411</v>
      </c>
      <c r="R29" s="297">
        <v>2009930</v>
      </c>
      <c r="S29" s="297">
        <v>2010380</v>
      </c>
      <c r="T29" s="297">
        <v>2010637</v>
      </c>
      <c r="U29" s="297">
        <v>2011087</v>
      </c>
      <c r="V29" s="297">
        <v>2011166</v>
      </c>
      <c r="W29" s="297">
        <v>2011692</v>
      </c>
      <c r="X29" s="297">
        <v>2011951</v>
      </c>
      <c r="Y29" s="297">
        <v>2012468</v>
      </c>
      <c r="Z29" s="297">
        <v>2012755</v>
      </c>
      <c r="AA29" s="297">
        <v>2013026</v>
      </c>
      <c r="AB29" s="297">
        <v>2013201</v>
      </c>
      <c r="AC29" s="297">
        <v>2013807</v>
      </c>
      <c r="AD29" s="297">
        <v>2014034</v>
      </c>
      <c r="AE29" s="297">
        <v>2014034</v>
      </c>
      <c r="AF29" s="297">
        <v>2014034</v>
      </c>
    </row>
    <row r="30" spans="1:32" x14ac:dyDescent="0.25">
      <c r="A30" s="6" t="s">
        <v>29</v>
      </c>
      <c r="B30" s="297">
        <v>1741767</v>
      </c>
      <c r="C30" s="297">
        <v>1741767</v>
      </c>
      <c r="D30" s="297">
        <v>1741767</v>
      </c>
      <c r="E30" s="297">
        <v>1742293</v>
      </c>
      <c r="F30" s="297">
        <v>1742512</v>
      </c>
      <c r="G30" s="297">
        <v>1743034</v>
      </c>
      <c r="H30" s="297">
        <v>1743595</v>
      </c>
      <c r="I30" s="297">
        <v>1743901</v>
      </c>
      <c r="J30" s="297">
        <v>1744462</v>
      </c>
      <c r="K30" s="297">
        <v>1744767</v>
      </c>
      <c r="L30" s="297">
        <v>1745285</v>
      </c>
      <c r="M30" s="297">
        <v>1745675</v>
      </c>
      <c r="N30" s="297">
        <v>1746236</v>
      </c>
      <c r="O30" s="297">
        <v>1746841</v>
      </c>
      <c r="P30" s="297">
        <v>1746843</v>
      </c>
      <c r="Q30" s="297">
        <v>1747366</v>
      </c>
      <c r="R30" s="297">
        <v>1747843</v>
      </c>
      <c r="S30" s="297">
        <v>1748195</v>
      </c>
      <c r="T30" s="297">
        <v>1748688</v>
      </c>
      <c r="U30" s="297">
        <v>1748883</v>
      </c>
      <c r="V30" s="297">
        <v>1749242</v>
      </c>
      <c r="W30" s="297">
        <v>1749803</v>
      </c>
      <c r="X30" s="297">
        <v>1750364</v>
      </c>
      <c r="Y30" s="297">
        <v>1750408</v>
      </c>
      <c r="Z30" s="297">
        <v>1750760</v>
      </c>
      <c r="AA30" s="297">
        <v>1750851</v>
      </c>
      <c r="AB30" s="297">
        <v>1751052</v>
      </c>
      <c r="AC30" s="297">
        <v>1751304</v>
      </c>
      <c r="AD30" s="297">
        <v>1751555</v>
      </c>
      <c r="AE30" s="297">
        <v>1751555</v>
      </c>
      <c r="AF30" s="297">
        <v>1751555</v>
      </c>
    </row>
    <row r="31" spans="1:32" x14ac:dyDescent="0.25">
      <c r="A31" s="7" t="s">
        <v>30</v>
      </c>
      <c r="B31" s="297">
        <v>2056184</v>
      </c>
      <c r="C31" s="297">
        <v>2056184</v>
      </c>
      <c r="D31" s="297">
        <v>2056184</v>
      </c>
      <c r="E31" s="297">
        <v>2056771</v>
      </c>
      <c r="F31" s="297">
        <v>2056967</v>
      </c>
      <c r="G31" s="297">
        <v>2057218</v>
      </c>
      <c r="H31" s="297">
        <v>2057351</v>
      </c>
      <c r="I31" s="297">
        <v>2057602</v>
      </c>
      <c r="J31" s="297">
        <v>2057602</v>
      </c>
      <c r="K31" s="297">
        <v>2057622</v>
      </c>
      <c r="L31" s="297">
        <v>2058228</v>
      </c>
      <c r="M31" s="297">
        <v>2058747</v>
      </c>
      <c r="N31" s="297">
        <v>2059179</v>
      </c>
      <c r="O31" s="297">
        <v>2059536</v>
      </c>
      <c r="P31" s="297">
        <v>2060013</v>
      </c>
      <c r="Q31" s="297">
        <v>2060532</v>
      </c>
      <c r="R31" s="297">
        <v>2061007</v>
      </c>
      <c r="S31" s="297">
        <v>2061500</v>
      </c>
      <c r="T31" s="297">
        <v>2061762</v>
      </c>
      <c r="U31" s="297">
        <v>2062162</v>
      </c>
      <c r="V31" s="297">
        <v>2062614</v>
      </c>
      <c r="W31" s="297">
        <v>2062878</v>
      </c>
      <c r="X31" s="297">
        <v>2062878</v>
      </c>
      <c r="Y31" s="297">
        <v>2062878</v>
      </c>
      <c r="Z31" s="297">
        <v>2063127</v>
      </c>
      <c r="AA31" s="297">
        <v>2063377</v>
      </c>
      <c r="AB31" s="297">
        <v>2063629</v>
      </c>
      <c r="AC31" s="297">
        <v>2063823</v>
      </c>
      <c r="AD31" s="297">
        <v>2064411</v>
      </c>
      <c r="AE31" s="297">
        <v>2064846</v>
      </c>
      <c r="AF31" s="297">
        <v>2064868</v>
      </c>
    </row>
    <row r="32" spans="1:32" s="125" customFormat="1" x14ac:dyDescent="0.25">
      <c r="A32" s="6" t="s">
        <v>111</v>
      </c>
      <c r="B32" s="297">
        <v>681770</v>
      </c>
      <c r="C32" s="297">
        <v>681770</v>
      </c>
      <c r="D32" s="297">
        <v>681770</v>
      </c>
      <c r="E32" s="297">
        <v>681925</v>
      </c>
      <c r="F32" s="297">
        <v>682430</v>
      </c>
      <c r="G32" s="297">
        <v>682866</v>
      </c>
      <c r="H32" s="297">
        <v>683212</v>
      </c>
      <c r="I32" s="297">
        <v>683424</v>
      </c>
      <c r="J32" s="297">
        <v>683943</v>
      </c>
      <c r="K32" s="297">
        <v>683944</v>
      </c>
      <c r="L32" s="297">
        <v>684121</v>
      </c>
      <c r="M32" s="297">
        <v>684469</v>
      </c>
      <c r="N32" s="297">
        <v>684919</v>
      </c>
      <c r="O32" s="297">
        <v>685230</v>
      </c>
      <c r="P32" s="297">
        <v>685489</v>
      </c>
      <c r="Q32" s="297">
        <v>685489</v>
      </c>
      <c r="R32" s="297">
        <v>685491</v>
      </c>
      <c r="S32" s="297">
        <v>685491</v>
      </c>
      <c r="T32" s="297">
        <v>685838</v>
      </c>
      <c r="U32" s="297">
        <v>686041</v>
      </c>
      <c r="V32" s="297">
        <v>686252</v>
      </c>
      <c r="W32" s="297">
        <v>686813</v>
      </c>
      <c r="X32" s="297">
        <v>687374</v>
      </c>
      <c r="Y32" s="297">
        <v>687376</v>
      </c>
      <c r="Z32" s="297">
        <v>687939</v>
      </c>
      <c r="AA32" s="297">
        <v>688185</v>
      </c>
      <c r="AB32" s="297">
        <v>688353</v>
      </c>
      <c r="AC32" s="297">
        <v>688872</v>
      </c>
      <c r="AD32" s="297">
        <v>689303</v>
      </c>
      <c r="AE32" s="297">
        <v>689303</v>
      </c>
      <c r="AF32" s="297">
        <v>689303</v>
      </c>
    </row>
    <row r="33" spans="1:32" s="125" customFormat="1" x14ac:dyDescent="0.25">
      <c r="A33" s="5" t="s">
        <v>112</v>
      </c>
      <c r="B33" s="297">
        <v>622374</v>
      </c>
      <c r="C33" s="297">
        <v>622374</v>
      </c>
      <c r="D33" s="297">
        <v>622374</v>
      </c>
      <c r="E33" s="297">
        <v>622771</v>
      </c>
      <c r="F33" s="297">
        <v>623033</v>
      </c>
      <c r="G33" s="297">
        <v>623292</v>
      </c>
      <c r="H33" s="297">
        <v>623541</v>
      </c>
      <c r="I33" s="297">
        <v>623879</v>
      </c>
      <c r="J33" s="297">
        <v>623879</v>
      </c>
      <c r="K33" s="297">
        <v>623879</v>
      </c>
      <c r="L33" s="297">
        <v>624466</v>
      </c>
      <c r="M33" s="297">
        <v>624987</v>
      </c>
      <c r="N33" s="297">
        <v>625183</v>
      </c>
      <c r="O33" s="297">
        <v>625435</v>
      </c>
      <c r="P33" s="297">
        <v>625912</v>
      </c>
      <c r="Q33" s="297">
        <v>625956</v>
      </c>
      <c r="R33" s="297">
        <v>625977</v>
      </c>
      <c r="S33" s="297">
        <v>626229</v>
      </c>
      <c r="T33" s="297">
        <v>626479</v>
      </c>
      <c r="U33" s="297">
        <v>626621</v>
      </c>
      <c r="V33" s="297">
        <v>627140</v>
      </c>
      <c r="W33" s="297">
        <v>627586</v>
      </c>
      <c r="X33" s="297">
        <v>627586</v>
      </c>
      <c r="Y33" s="297">
        <v>627596</v>
      </c>
      <c r="Z33" s="297">
        <v>627737</v>
      </c>
      <c r="AA33" s="297">
        <v>627913</v>
      </c>
      <c r="AB33" s="297">
        <v>628264</v>
      </c>
      <c r="AC33" s="297">
        <v>628529</v>
      </c>
      <c r="AD33" s="297">
        <v>628636</v>
      </c>
      <c r="AE33" s="297">
        <v>628636</v>
      </c>
      <c r="AF33" s="297">
        <v>628636</v>
      </c>
    </row>
    <row r="34" spans="1:32" s="125" customFormat="1" x14ac:dyDescent="0.25">
      <c r="A34" s="6" t="s">
        <v>113</v>
      </c>
      <c r="B34" s="297">
        <v>661470</v>
      </c>
      <c r="C34" s="297">
        <v>661988</v>
      </c>
      <c r="D34" s="297">
        <v>662421</v>
      </c>
      <c r="E34" s="297">
        <v>662853</v>
      </c>
      <c r="F34" s="297">
        <v>662944</v>
      </c>
      <c r="G34" s="297">
        <v>663088</v>
      </c>
      <c r="H34" s="297">
        <v>663348</v>
      </c>
      <c r="I34" s="297">
        <v>663525</v>
      </c>
      <c r="J34" s="297">
        <v>663525</v>
      </c>
      <c r="K34" s="297">
        <v>663525</v>
      </c>
      <c r="L34" s="297">
        <v>663701</v>
      </c>
      <c r="M34" s="297">
        <v>664137</v>
      </c>
      <c r="N34" s="297">
        <v>664487</v>
      </c>
      <c r="O34" s="297">
        <v>665007</v>
      </c>
      <c r="P34" s="297">
        <v>665484</v>
      </c>
      <c r="Q34" s="297">
        <v>666045</v>
      </c>
      <c r="R34" s="297">
        <v>666045</v>
      </c>
      <c r="S34" s="297">
        <v>666480</v>
      </c>
      <c r="T34" s="297">
        <v>666998</v>
      </c>
      <c r="U34" s="297">
        <v>667369</v>
      </c>
      <c r="V34" s="297">
        <v>667627</v>
      </c>
      <c r="W34" s="297">
        <v>668186</v>
      </c>
      <c r="X34" s="297">
        <v>668663</v>
      </c>
      <c r="Y34" s="297">
        <v>669094</v>
      </c>
      <c r="Z34" s="297">
        <v>669525</v>
      </c>
      <c r="AA34" s="297">
        <v>669787</v>
      </c>
      <c r="AB34" s="297">
        <v>670056</v>
      </c>
      <c r="AC34" s="297">
        <v>670490</v>
      </c>
      <c r="AD34" s="297">
        <v>670921</v>
      </c>
      <c r="AE34" s="297">
        <v>670921</v>
      </c>
      <c r="AF34" s="297">
        <v>671008</v>
      </c>
    </row>
    <row r="35" spans="1:32" s="125" customFormat="1" x14ac:dyDescent="0.25">
      <c r="A35" s="7" t="s">
        <v>114</v>
      </c>
      <c r="B35" s="297">
        <v>682475</v>
      </c>
      <c r="C35" s="297">
        <v>682475</v>
      </c>
      <c r="D35" s="297">
        <v>682475</v>
      </c>
      <c r="E35" s="297">
        <v>682908</v>
      </c>
      <c r="F35" s="297">
        <v>683274</v>
      </c>
      <c r="G35" s="297">
        <v>683518</v>
      </c>
      <c r="H35" s="297">
        <v>683650</v>
      </c>
      <c r="I35" s="297">
        <v>684048</v>
      </c>
      <c r="J35" s="297">
        <v>684052</v>
      </c>
      <c r="K35" s="297">
        <v>684054</v>
      </c>
      <c r="L35" s="297">
        <v>684319</v>
      </c>
      <c r="M35" s="297">
        <v>684496</v>
      </c>
      <c r="N35" s="297">
        <v>685018</v>
      </c>
      <c r="O35" s="297">
        <v>685018</v>
      </c>
      <c r="P35" s="297">
        <v>685018</v>
      </c>
      <c r="Q35" s="297">
        <v>685018</v>
      </c>
      <c r="R35" s="297">
        <v>685021</v>
      </c>
      <c r="S35" s="297">
        <v>685402</v>
      </c>
      <c r="T35" s="297">
        <v>685799</v>
      </c>
      <c r="U35" s="297">
        <v>685992</v>
      </c>
      <c r="V35" s="297">
        <v>686154</v>
      </c>
      <c r="W35" s="297">
        <v>686406</v>
      </c>
      <c r="X35" s="297">
        <v>686406</v>
      </c>
      <c r="Y35" s="297">
        <v>686406</v>
      </c>
      <c r="Z35" s="297">
        <v>686609</v>
      </c>
      <c r="AA35" s="297">
        <v>686766</v>
      </c>
      <c r="AB35" s="297">
        <v>687021</v>
      </c>
      <c r="AC35" s="297">
        <v>687221</v>
      </c>
      <c r="AD35" s="297">
        <v>687473</v>
      </c>
      <c r="AE35" s="297">
        <v>687473</v>
      </c>
      <c r="AF35" s="297">
        <v>687473</v>
      </c>
    </row>
    <row r="36" spans="1:32" s="125" customFormat="1" x14ac:dyDescent="0.25">
      <c r="A36" s="5" t="s">
        <v>115</v>
      </c>
      <c r="B36" s="297">
        <v>654867</v>
      </c>
      <c r="C36" s="297">
        <v>654867</v>
      </c>
      <c r="D36" s="297">
        <v>654867</v>
      </c>
      <c r="E36" s="297">
        <v>655117</v>
      </c>
      <c r="F36" s="297">
        <v>655368</v>
      </c>
      <c r="G36" s="297">
        <v>655612</v>
      </c>
      <c r="H36" s="297">
        <v>655840</v>
      </c>
      <c r="I36" s="297">
        <v>655948</v>
      </c>
      <c r="J36" s="297">
        <v>655948</v>
      </c>
      <c r="K36" s="297">
        <v>655948</v>
      </c>
      <c r="L36" s="297">
        <v>656200</v>
      </c>
      <c r="M36" s="297">
        <v>656703</v>
      </c>
      <c r="N36" s="297">
        <v>657050</v>
      </c>
      <c r="O36" s="297">
        <v>657398</v>
      </c>
      <c r="P36" s="297">
        <v>657398</v>
      </c>
      <c r="Q36" s="297">
        <v>657398</v>
      </c>
      <c r="R36" s="297">
        <v>657398</v>
      </c>
      <c r="S36" s="297">
        <v>657705</v>
      </c>
      <c r="T36" s="297">
        <v>658267</v>
      </c>
      <c r="U36" s="297">
        <v>658615</v>
      </c>
      <c r="V36" s="297">
        <v>659134</v>
      </c>
      <c r="W36" s="297">
        <v>659738</v>
      </c>
      <c r="X36" s="297">
        <v>659827</v>
      </c>
      <c r="Y36" s="297">
        <v>660259</v>
      </c>
      <c r="Z36" s="297">
        <v>660690</v>
      </c>
      <c r="AA36" s="297">
        <v>660977</v>
      </c>
      <c r="AB36" s="297">
        <v>661376</v>
      </c>
      <c r="AC36" s="297">
        <v>661586</v>
      </c>
      <c r="AD36" s="297">
        <v>661953</v>
      </c>
      <c r="AE36" s="297">
        <v>661953</v>
      </c>
      <c r="AF36" s="297">
        <v>661953</v>
      </c>
    </row>
    <row r="37" spans="1:32" s="125" customFormat="1" x14ac:dyDescent="0.25">
      <c r="A37" s="6" t="s">
        <v>116</v>
      </c>
      <c r="B37" s="297">
        <v>696164</v>
      </c>
      <c r="C37" s="297">
        <v>696164</v>
      </c>
      <c r="D37" s="297">
        <v>696164</v>
      </c>
      <c r="E37" s="297">
        <v>696164</v>
      </c>
      <c r="F37" s="297">
        <v>696164</v>
      </c>
      <c r="G37" s="297">
        <v>696164</v>
      </c>
      <c r="H37" s="297">
        <v>696164</v>
      </c>
      <c r="I37" s="297">
        <v>696164</v>
      </c>
      <c r="J37" s="297">
        <v>696164</v>
      </c>
      <c r="K37" s="297">
        <v>696164</v>
      </c>
      <c r="L37" s="297">
        <v>696164</v>
      </c>
      <c r="M37" s="297">
        <v>696335</v>
      </c>
      <c r="N37" s="297">
        <v>696335</v>
      </c>
      <c r="O37" s="297">
        <v>696563</v>
      </c>
      <c r="P37" s="297">
        <v>696822</v>
      </c>
      <c r="Q37" s="297">
        <v>696822</v>
      </c>
      <c r="R37" s="297">
        <v>696823</v>
      </c>
      <c r="S37" s="297">
        <v>697258</v>
      </c>
      <c r="T37" s="297">
        <v>697776</v>
      </c>
      <c r="U37" s="297">
        <v>698212</v>
      </c>
      <c r="V37" s="297">
        <v>698729</v>
      </c>
      <c r="W37" s="297">
        <v>698901</v>
      </c>
      <c r="X37" s="297">
        <v>698901</v>
      </c>
      <c r="Y37" s="297">
        <v>698901</v>
      </c>
      <c r="Z37" s="297">
        <v>699250</v>
      </c>
      <c r="AA37" s="297">
        <v>699675</v>
      </c>
      <c r="AB37" s="297">
        <v>699929</v>
      </c>
      <c r="AC37" s="297">
        <v>700123</v>
      </c>
      <c r="AD37" s="297">
        <v>700428</v>
      </c>
      <c r="AE37" s="297">
        <v>700517</v>
      </c>
      <c r="AF37" s="297">
        <v>700539</v>
      </c>
    </row>
    <row r="38" spans="1:32" x14ac:dyDescent="0.25">
      <c r="A38" s="7" t="s">
        <v>117</v>
      </c>
      <c r="B38" s="297">
        <v>354531</v>
      </c>
      <c r="C38" s="297">
        <v>354531</v>
      </c>
      <c r="D38" s="297">
        <v>354531</v>
      </c>
      <c r="E38" s="297">
        <v>354734</v>
      </c>
      <c r="F38" s="297">
        <v>354991</v>
      </c>
      <c r="G38" s="297">
        <v>355012</v>
      </c>
      <c r="H38" s="297">
        <v>355262</v>
      </c>
      <c r="I38" s="297">
        <v>355394</v>
      </c>
      <c r="J38" s="297">
        <v>355394</v>
      </c>
      <c r="K38" s="297">
        <v>355394</v>
      </c>
      <c r="L38" s="297">
        <v>355643</v>
      </c>
      <c r="M38" s="297">
        <v>355811</v>
      </c>
      <c r="N38" s="297">
        <v>355954</v>
      </c>
      <c r="O38" s="297">
        <v>356302</v>
      </c>
      <c r="P38" s="297">
        <v>356735</v>
      </c>
      <c r="Q38" s="297">
        <v>357253</v>
      </c>
      <c r="R38" s="297">
        <v>357686</v>
      </c>
      <c r="S38" s="297">
        <v>358035</v>
      </c>
      <c r="T38" s="297">
        <v>358555</v>
      </c>
      <c r="U38" s="297">
        <v>358928</v>
      </c>
      <c r="V38" s="297">
        <v>359241</v>
      </c>
      <c r="W38" s="297">
        <v>359393</v>
      </c>
      <c r="X38" s="297">
        <v>359393</v>
      </c>
      <c r="Y38" s="297">
        <v>359393</v>
      </c>
      <c r="Z38" s="297">
        <v>359644</v>
      </c>
      <c r="AA38" s="297">
        <v>359813</v>
      </c>
      <c r="AB38" s="297">
        <v>360017</v>
      </c>
      <c r="AC38" s="297">
        <v>360243</v>
      </c>
      <c r="AD38" s="297">
        <v>360694</v>
      </c>
      <c r="AE38" s="297">
        <v>360694</v>
      </c>
      <c r="AF38" s="297">
        <v>360694</v>
      </c>
    </row>
    <row r="39" spans="1:32" x14ac:dyDescent="0.25">
      <c r="A39" s="5" t="s">
        <v>118</v>
      </c>
      <c r="B39" s="297">
        <v>676576</v>
      </c>
      <c r="C39" s="297">
        <v>676576</v>
      </c>
      <c r="D39" s="297">
        <v>676576</v>
      </c>
      <c r="E39" s="297">
        <v>676834</v>
      </c>
      <c r="F39" s="297">
        <v>677096</v>
      </c>
      <c r="G39" s="297">
        <v>677613</v>
      </c>
      <c r="H39" s="297">
        <v>677962</v>
      </c>
      <c r="I39" s="297">
        <v>678140</v>
      </c>
      <c r="J39" s="297">
        <v>678140</v>
      </c>
      <c r="K39" s="297">
        <v>678140</v>
      </c>
      <c r="L39" s="297">
        <v>678229</v>
      </c>
      <c r="M39" s="297">
        <v>678661</v>
      </c>
      <c r="N39" s="297">
        <v>678923</v>
      </c>
      <c r="O39" s="297">
        <v>679064</v>
      </c>
      <c r="P39" s="297">
        <v>679064</v>
      </c>
      <c r="Q39" s="297">
        <v>679064</v>
      </c>
      <c r="R39" s="297">
        <v>679064</v>
      </c>
      <c r="S39" s="297">
        <v>679496</v>
      </c>
      <c r="T39" s="297">
        <v>679587</v>
      </c>
      <c r="U39" s="297">
        <v>679976</v>
      </c>
      <c r="V39" s="297">
        <v>680541</v>
      </c>
      <c r="W39" s="297">
        <v>681145</v>
      </c>
      <c r="X39" s="297">
        <v>681666</v>
      </c>
      <c r="Y39" s="297">
        <v>681668</v>
      </c>
      <c r="Z39" s="297">
        <v>682230</v>
      </c>
      <c r="AA39" s="297">
        <v>682707</v>
      </c>
      <c r="AB39" s="297">
        <v>682849</v>
      </c>
      <c r="AC39" s="297">
        <v>683115</v>
      </c>
      <c r="AD39" s="297">
        <v>683461</v>
      </c>
      <c r="AE39" s="297">
        <v>683461</v>
      </c>
      <c r="AF39" s="297">
        <v>683461</v>
      </c>
    </row>
    <row r="40" spans="1:32" s="125" customFormat="1" ht="18" x14ac:dyDescent="0.25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</row>
    <row r="41" spans="1:32" ht="18" x14ac:dyDescent="0.25">
      <c r="A41" s="338" t="s">
        <v>31</v>
      </c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  <c r="AA41" s="338"/>
      <c r="AB41" s="338"/>
      <c r="AC41" s="338"/>
    </row>
    <row r="42" spans="1:32" x14ac:dyDescent="0.25">
      <c r="A42" s="9"/>
      <c r="B42" s="63">
        <v>45870</v>
      </c>
      <c r="C42" s="63">
        <v>45871</v>
      </c>
      <c r="D42" s="63">
        <v>45872</v>
      </c>
      <c r="E42" s="63">
        <v>45873</v>
      </c>
      <c r="F42" s="63">
        <v>45874</v>
      </c>
      <c r="G42" s="63">
        <v>45875</v>
      </c>
      <c r="H42" s="63">
        <v>45876</v>
      </c>
      <c r="I42" s="63">
        <v>45877</v>
      </c>
      <c r="J42" s="63">
        <v>45878</v>
      </c>
      <c r="K42" s="63">
        <v>45879</v>
      </c>
      <c r="L42" s="63">
        <v>45880</v>
      </c>
      <c r="M42" s="63">
        <v>45881</v>
      </c>
      <c r="N42" s="63">
        <v>45882</v>
      </c>
      <c r="O42" s="63">
        <v>45883</v>
      </c>
      <c r="P42" s="63">
        <v>45884</v>
      </c>
      <c r="Q42" s="63">
        <v>45885</v>
      </c>
      <c r="R42" s="63">
        <v>45886</v>
      </c>
      <c r="S42" s="63">
        <v>45887</v>
      </c>
      <c r="T42" s="63">
        <v>45888</v>
      </c>
      <c r="U42" s="63">
        <v>45889</v>
      </c>
      <c r="V42" s="63">
        <v>45890</v>
      </c>
      <c r="W42" s="63">
        <v>45891</v>
      </c>
      <c r="X42" s="63">
        <v>45892</v>
      </c>
      <c r="Y42" s="63">
        <v>45893</v>
      </c>
      <c r="Z42" s="63">
        <v>45894</v>
      </c>
      <c r="AA42" s="63">
        <v>45895</v>
      </c>
      <c r="AB42" s="63">
        <v>45896</v>
      </c>
      <c r="AC42" s="63">
        <v>45897</v>
      </c>
      <c r="AD42" s="63">
        <v>45898</v>
      </c>
      <c r="AE42" s="63">
        <v>45899</v>
      </c>
      <c r="AF42" s="63">
        <v>45900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31">
        <v>570</v>
      </c>
      <c r="C45" s="12">
        <f t="shared" ref="C45:D64" si="0">C5-B5</f>
        <v>560</v>
      </c>
      <c r="D45" s="12">
        <f t="shared" si="0"/>
        <v>474</v>
      </c>
      <c r="E45" s="12">
        <f t="shared" ref="E45:F64" si="1">E5-D5</f>
        <v>560</v>
      </c>
      <c r="F45" s="12">
        <f t="shared" si="1"/>
        <v>312</v>
      </c>
      <c r="G45" s="12">
        <f t="shared" ref="G45:P54" si="2">G5-F5</f>
        <v>560</v>
      </c>
      <c r="H45" s="12">
        <f t="shared" si="2"/>
        <v>603</v>
      </c>
      <c r="I45" s="12">
        <f t="shared" si="2"/>
        <v>564</v>
      </c>
      <c r="J45" s="12">
        <f t="shared" si="2"/>
        <v>43</v>
      </c>
      <c r="K45" s="12">
        <f t="shared" si="2"/>
        <v>476</v>
      </c>
      <c r="L45" s="12">
        <f t="shared" si="2"/>
        <v>560</v>
      </c>
      <c r="M45" s="12">
        <f t="shared" si="2"/>
        <v>200</v>
      </c>
      <c r="N45" s="12">
        <f t="shared" si="2"/>
        <v>132</v>
      </c>
      <c r="O45" s="12">
        <f>O5-N5</f>
        <v>373</v>
      </c>
      <c r="P45" s="12">
        <f>P5-O5</f>
        <v>0</v>
      </c>
      <c r="Q45" s="12">
        <f>Q5-P5</f>
        <v>0</v>
      </c>
      <c r="R45" s="12">
        <f>R5-Q5</f>
        <v>0</v>
      </c>
      <c r="S45" s="12">
        <f>S5-R5</f>
        <v>195</v>
      </c>
      <c r="T45" s="12">
        <f t="shared" ref="T45:AD45" si="3">T5-S5</f>
        <v>569</v>
      </c>
      <c r="U45" s="12">
        <f t="shared" si="3"/>
        <v>434</v>
      </c>
      <c r="V45" s="12">
        <f>V5-U5</f>
        <v>603</v>
      </c>
      <c r="W45" s="12">
        <f t="shared" si="3"/>
        <v>561</v>
      </c>
      <c r="X45" s="12">
        <f t="shared" si="3"/>
        <v>301</v>
      </c>
      <c r="Y45" s="12">
        <f t="shared" si="3"/>
        <v>345</v>
      </c>
      <c r="Z45" s="12">
        <f t="shared" si="3"/>
        <v>141</v>
      </c>
      <c r="AA45" s="12">
        <f t="shared" si="3"/>
        <v>433</v>
      </c>
      <c r="AB45" s="12">
        <f t="shared" si="3"/>
        <v>603</v>
      </c>
      <c r="AC45" s="12">
        <f t="shared" si="3"/>
        <v>563</v>
      </c>
      <c r="AD45" s="12">
        <f t="shared" si="3"/>
        <v>183</v>
      </c>
      <c r="AE45" s="12">
        <f>AE5-AD5</f>
        <v>0</v>
      </c>
      <c r="AF45" s="12">
        <f>AF5-AE5</f>
        <v>0</v>
      </c>
    </row>
    <row r="46" spans="1:32" x14ac:dyDescent="0.25">
      <c r="A46" s="11" t="s">
        <v>5</v>
      </c>
      <c r="B46" s="231">
        <v>562</v>
      </c>
      <c r="C46" s="12">
        <f t="shared" si="0"/>
        <v>45</v>
      </c>
      <c r="D46" s="12">
        <f t="shared" si="0"/>
        <v>5</v>
      </c>
      <c r="E46" s="12">
        <f t="shared" si="1"/>
        <v>203</v>
      </c>
      <c r="F46" s="12">
        <f t="shared" si="1"/>
        <v>587</v>
      </c>
      <c r="G46" s="12">
        <f t="shared" si="2"/>
        <v>521</v>
      </c>
      <c r="H46" s="12">
        <f t="shared" si="2"/>
        <v>561</v>
      </c>
      <c r="I46" s="12">
        <f t="shared" si="2"/>
        <v>183</v>
      </c>
      <c r="J46" s="12">
        <f t="shared" si="2"/>
        <v>0</v>
      </c>
      <c r="K46" s="12">
        <f t="shared" si="2"/>
        <v>51</v>
      </c>
      <c r="L46" s="12">
        <f t="shared" si="2"/>
        <v>216</v>
      </c>
      <c r="M46" s="12">
        <f t="shared" si="2"/>
        <v>129</v>
      </c>
      <c r="N46" s="12">
        <f t="shared" si="2"/>
        <v>251</v>
      </c>
      <c r="O46" s="12">
        <f t="shared" si="2"/>
        <v>250</v>
      </c>
      <c r="P46" s="12">
        <f t="shared" si="2"/>
        <v>0</v>
      </c>
      <c r="Q46" s="12">
        <f t="shared" ref="Q46:R79" si="4">Q6-P6</f>
        <v>0</v>
      </c>
      <c r="R46" s="12">
        <f t="shared" si="4"/>
        <v>0</v>
      </c>
      <c r="S46" s="12">
        <f t="shared" ref="S46:S79" si="5">S6-R6</f>
        <v>254</v>
      </c>
      <c r="T46" s="12">
        <f t="shared" ref="T46:AF46" si="6">T6-S6</f>
        <v>311</v>
      </c>
      <c r="U46" s="12">
        <f t="shared" si="6"/>
        <v>267</v>
      </c>
      <c r="V46" s="12">
        <f t="shared" si="6"/>
        <v>229</v>
      </c>
      <c r="W46" s="12">
        <f t="shared" si="6"/>
        <v>604</v>
      </c>
      <c r="X46" s="12">
        <f t="shared" si="6"/>
        <v>259</v>
      </c>
      <c r="Y46" s="12">
        <f t="shared" si="6"/>
        <v>518</v>
      </c>
      <c r="Z46" s="12">
        <f t="shared" si="6"/>
        <v>604</v>
      </c>
      <c r="AA46" s="12">
        <f t="shared" si="6"/>
        <v>350</v>
      </c>
      <c r="AB46" s="12">
        <f t="shared" si="6"/>
        <v>262</v>
      </c>
      <c r="AC46" s="12">
        <f t="shared" si="6"/>
        <v>450</v>
      </c>
      <c r="AD46" s="12">
        <f t="shared" si="6"/>
        <v>168</v>
      </c>
      <c r="AE46" s="12">
        <f t="shared" si="6"/>
        <v>561</v>
      </c>
      <c r="AF46" s="12">
        <f t="shared" si="6"/>
        <v>394</v>
      </c>
    </row>
    <row r="47" spans="1:32" x14ac:dyDescent="0.25">
      <c r="A47" s="11" t="s">
        <v>6</v>
      </c>
      <c r="B47" s="231">
        <v>0</v>
      </c>
      <c r="C47" s="12">
        <f t="shared" si="0"/>
        <v>0</v>
      </c>
      <c r="D47" s="12">
        <f t="shared" si="0"/>
        <v>0</v>
      </c>
      <c r="E47" s="12">
        <f t="shared" si="1"/>
        <v>215</v>
      </c>
      <c r="F47" s="12">
        <f t="shared" si="1"/>
        <v>234</v>
      </c>
      <c r="G47" s="12">
        <f t="shared" si="2"/>
        <v>90</v>
      </c>
      <c r="H47" s="12">
        <f t="shared" si="2"/>
        <v>250</v>
      </c>
      <c r="I47" s="12">
        <f t="shared" si="2"/>
        <v>192</v>
      </c>
      <c r="J47" s="12">
        <f t="shared" si="2"/>
        <v>0</v>
      </c>
      <c r="K47" s="12">
        <f t="shared" si="2"/>
        <v>19</v>
      </c>
      <c r="L47" s="12">
        <f t="shared" si="2"/>
        <v>433</v>
      </c>
      <c r="M47" s="12">
        <f t="shared" si="2"/>
        <v>204</v>
      </c>
      <c r="N47" s="12">
        <f t="shared" si="2"/>
        <v>252</v>
      </c>
      <c r="O47" s="12">
        <f t="shared" si="2"/>
        <v>259</v>
      </c>
      <c r="P47" s="12">
        <f t="shared" si="2"/>
        <v>43</v>
      </c>
      <c r="Q47" s="12">
        <f t="shared" si="4"/>
        <v>519</v>
      </c>
      <c r="R47" s="12">
        <f t="shared" si="4"/>
        <v>87</v>
      </c>
      <c r="S47" s="12">
        <f t="shared" si="5"/>
        <v>521</v>
      </c>
      <c r="T47" s="12">
        <f t="shared" ref="T47:AF47" si="7">T7-S7</f>
        <v>239</v>
      </c>
      <c r="U47" s="12">
        <f t="shared" si="7"/>
        <v>90</v>
      </c>
      <c r="V47" s="12">
        <f t="shared" si="7"/>
        <v>477</v>
      </c>
      <c r="W47" s="12">
        <f t="shared" si="7"/>
        <v>259</v>
      </c>
      <c r="X47" s="12">
        <f t="shared" si="7"/>
        <v>479</v>
      </c>
      <c r="Y47" s="12">
        <f t="shared" si="7"/>
        <v>44</v>
      </c>
      <c r="Z47" s="12">
        <f t="shared" si="7"/>
        <v>565</v>
      </c>
      <c r="AA47" s="12">
        <f t="shared" si="7"/>
        <v>485</v>
      </c>
      <c r="AB47" s="12">
        <f t="shared" si="7"/>
        <v>392</v>
      </c>
      <c r="AC47" s="12">
        <f t="shared" si="7"/>
        <v>565</v>
      </c>
      <c r="AD47" s="12">
        <f t="shared" si="7"/>
        <v>307</v>
      </c>
      <c r="AE47" s="12">
        <f t="shared" si="7"/>
        <v>605</v>
      </c>
      <c r="AF47" s="12">
        <f t="shared" si="7"/>
        <v>518</v>
      </c>
    </row>
    <row r="48" spans="1:32" x14ac:dyDescent="0.25">
      <c r="A48" s="13" t="s">
        <v>7</v>
      </c>
      <c r="B48" s="231">
        <v>216</v>
      </c>
      <c r="C48" s="12">
        <f t="shared" si="0"/>
        <v>0</v>
      </c>
      <c r="D48" s="12">
        <f t="shared" si="0"/>
        <v>0</v>
      </c>
      <c r="E48" s="12">
        <f t="shared" si="1"/>
        <v>195</v>
      </c>
      <c r="F48" s="12">
        <f t="shared" si="1"/>
        <v>432</v>
      </c>
      <c r="G48" s="12">
        <f t="shared" si="2"/>
        <v>273</v>
      </c>
      <c r="H48" s="12">
        <f t="shared" si="2"/>
        <v>562</v>
      </c>
      <c r="I48" s="12">
        <f t="shared" si="2"/>
        <v>434</v>
      </c>
      <c r="J48" s="12">
        <f t="shared" si="2"/>
        <v>565</v>
      </c>
      <c r="K48" s="12">
        <f t="shared" si="2"/>
        <v>43</v>
      </c>
      <c r="L48" s="12">
        <f t="shared" si="2"/>
        <v>368</v>
      </c>
      <c r="M48" s="12">
        <f t="shared" si="2"/>
        <v>250</v>
      </c>
      <c r="N48" s="12">
        <f t="shared" si="2"/>
        <v>255</v>
      </c>
      <c r="O48" s="12">
        <f t="shared" si="2"/>
        <v>204</v>
      </c>
      <c r="P48" s="12">
        <f t="shared" si="2"/>
        <v>0</v>
      </c>
      <c r="Q48" s="12">
        <f t="shared" si="4"/>
        <v>0</v>
      </c>
      <c r="R48" s="12">
        <f t="shared" si="4"/>
        <v>0</v>
      </c>
      <c r="S48" s="12">
        <f t="shared" si="5"/>
        <v>253</v>
      </c>
      <c r="T48" s="12">
        <f t="shared" ref="T48:AF48" si="8">T8-S8</f>
        <v>519</v>
      </c>
      <c r="U48" s="12">
        <f t="shared" si="8"/>
        <v>605</v>
      </c>
      <c r="V48" s="12">
        <f t="shared" si="8"/>
        <v>321</v>
      </c>
      <c r="W48" s="12">
        <f t="shared" si="8"/>
        <v>215</v>
      </c>
      <c r="X48" s="12">
        <f t="shared" si="8"/>
        <v>0</v>
      </c>
      <c r="Y48" s="12">
        <f t="shared" si="8"/>
        <v>131</v>
      </c>
      <c r="Z48" s="12">
        <f t="shared" si="8"/>
        <v>220</v>
      </c>
      <c r="AA48" s="12">
        <f t="shared" si="8"/>
        <v>454</v>
      </c>
      <c r="AB48" s="12">
        <f t="shared" si="8"/>
        <v>528</v>
      </c>
      <c r="AC48" s="12">
        <f t="shared" si="8"/>
        <v>245</v>
      </c>
      <c r="AD48" s="12">
        <f t="shared" si="8"/>
        <v>253</v>
      </c>
      <c r="AE48" s="12">
        <f t="shared" si="8"/>
        <v>0</v>
      </c>
      <c r="AF48" s="12">
        <f t="shared" si="8"/>
        <v>0</v>
      </c>
    </row>
    <row r="49" spans="1:32" x14ac:dyDescent="0.25">
      <c r="A49" s="13" t="s">
        <v>8</v>
      </c>
      <c r="B49" s="231">
        <v>162</v>
      </c>
      <c r="C49" s="12">
        <f t="shared" si="0"/>
        <v>518</v>
      </c>
      <c r="D49" s="12">
        <f t="shared" si="0"/>
        <v>518</v>
      </c>
      <c r="E49" s="12">
        <f t="shared" si="1"/>
        <v>284</v>
      </c>
      <c r="F49" s="12">
        <f t="shared" si="1"/>
        <v>251</v>
      </c>
      <c r="G49" s="12">
        <f t="shared" si="2"/>
        <v>271</v>
      </c>
      <c r="H49" s="12">
        <f t="shared" si="2"/>
        <v>475</v>
      </c>
      <c r="I49" s="12">
        <f t="shared" si="2"/>
        <v>346</v>
      </c>
      <c r="J49" s="12">
        <f t="shared" si="2"/>
        <v>518</v>
      </c>
      <c r="K49" s="12">
        <f t="shared" si="2"/>
        <v>517</v>
      </c>
      <c r="L49" s="12">
        <f t="shared" si="2"/>
        <v>560</v>
      </c>
      <c r="M49" s="12">
        <f t="shared" si="2"/>
        <v>407</v>
      </c>
      <c r="N49" s="12">
        <f t="shared" si="2"/>
        <v>194</v>
      </c>
      <c r="O49" s="12">
        <f t="shared" si="2"/>
        <v>252</v>
      </c>
      <c r="P49" s="12">
        <f t="shared" si="2"/>
        <v>431</v>
      </c>
      <c r="Q49" s="12">
        <f t="shared" si="4"/>
        <v>432</v>
      </c>
      <c r="R49" s="12">
        <f t="shared" si="4"/>
        <v>477</v>
      </c>
      <c r="S49" s="12">
        <f t="shared" si="5"/>
        <v>560</v>
      </c>
      <c r="T49" s="12">
        <f t="shared" ref="T49:AF49" si="9">T9-S9</f>
        <v>280</v>
      </c>
      <c r="U49" s="12">
        <f t="shared" si="9"/>
        <v>253</v>
      </c>
      <c r="V49" s="12">
        <f t="shared" si="9"/>
        <v>228</v>
      </c>
      <c r="W49" s="12">
        <f t="shared" si="9"/>
        <v>7</v>
      </c>
      <c r="X49" s="12">
        <f t="shared" si="9"/>
        <v>45</v>
      </c>
      <c r="Y49" s="12">
        <f t="shared" si="9"/>
        <v>2</v>
      </c>
      <c r="Z49" s="12">
        <f t="shared" si="9"/>
        <v>390</v>
      </c>
      <c r="AA49" s="12">
        <f t="shared" si="9"/>
        <v>170</v>
      </c>
      <c r="AB49" s="12">
        <f t="shared" si="9"/>
        <v>520</v>
      </c>
      <c r="AC49" s="12">
        <f t="shared" si="9"/>
        <v>261</v>
      </c>
      <c r="AD49" s="12">
        <f t="shared" si="9"/>
        <v>258</v>
      </c>
      <c r="AE49" s="12">
        <f t="shared" si="9"/>
        <v>0</v>
      </c>
      <c r="AF49" s="12">
        <f t="shared" si="9"/>
        <v>0</v>
      </c>
    </row>
    <row r="50" spans="1:32" x14ac:dyDescent="0.25">
      <c r="A50" s="13" t="s">
        <v>9</v>
      </c>
      <c r="B50" s="231">
        <v>133</v>
      </c>
      <c r="C50" s="12">
        <f t="shared" si="0"/>
        <v>0</v>
      </c>
      <c r="D50" s="12">
        <f t="shared" si="0"/>
        <v>6</v>
      </c>
      <c r="E50" s="12">
        <f t="shared" si="1"/>
        <v>175</v>
      </c>
      <c r="F50" s="12">
        <f t="shared" si="1"/>
        <v>450</v>
      </c>
      <c r="G50" s="12">
        <f t="shared" si="2"/>
        <v>72</v>
      </c>
      <c r="H50" s="12">
        <f t="shared" si="2"/>
        <v>434</v>
      </c>
      <c r="I50" s="12">
        <f t="shared" si="2"/>
        <v>453</v>
      </c>
      <c r="J50" s="12">
        <f t="shared" si="2"/>
        <v>0</v>
      </c>
      <c r="K50" s="12">
        <f t="shared" si="2"/>
        <v>0</v>
      </c>
      <c r="L50" s="12">
        <f t="shared" si="2"/>
        <v>306</v>
      </c>
      <c r="M50" s="12">
        <f t="shared" si="2"/>
        <v>178</v>
      </c>
      <c r="N50" s="12">
        <f t="shared" si="2"/>
        <v>520</v>
      </c>
      <c r="O50" s="12">
        <f t="shared" si="2"/>
        <v>451</v>
      </c>
      <c r="P50" s="12">
        <f t="shared" si="2"/>
        <v>0</v>
      </c>
      <c r="Q50" s="12">
        <f t="shared" si="4"/>
        <v>0</v>
      </c>
      <c r="R50" s="12">
        <f t="shared" si="4"/>
        <v>0</v>
      </c>
      <c r="S50" s="12">
        <f t="shared" si="5"/>
        <v>314</v>
      </c>
      <c r="T50" s="12">
        <f t="shared" ref="T50:AF50" si="10">T10-S10</f>
        <v>560</v>
      </c>
      <c r="U50" s="12">
        <f t="shared" si="10"/>
        <v>476</v>
      </c>
      <c r="V50" s="12">
        <f t="shared" si="10"/>
        <v>230</v>
      </c>
      <c r="W50" s="12">
        <f t="shared" si="10"/>
        <v>186</v>
      </c>
      <c r="X50" s="12">
        <f t="shared" si="10"/>
        <v>0</v>
      </c>
      <c r="Y50" s="12">
        <f t="shared" si="10"/>
        <v>0</v>
      </c>
      <c r="Z50" s="12">
        <f t="shared" si="10"/>
        <v>340</v>
      </c>
      <c r="AA50" s="12">
        <f t="shared" si="10"/>
        <v>452</v>
      </c>
      <c r="AB50" s="12">
        <f t="shared" si="10"/>
        <v>195</v>
      </c>
      <c r="AC50" s="12">
        <f t="shared" si="10"/>
        <v>485</v>
      </c>
      <c r="AD50" s="12">
        <f t="shared" si="10"/>
        <v>519</v>
      </c>
      <c r="AE50" s="12">
        <f t="shared" si="10"/>
        <v>518</v>
      </c>
      <c r="AF50" s="12">
        <f t="shared" si="10"/>
        <v>475</v>
      </c>
    </row>
    <row r="51" spans="1:32" x14ac:dyDescent="0.25">
      <c r="A51" s="13" t="s">
        <v>10</v>
      </c>
      <c r="B51" s="231">
        <v>0</v>
      </c>
      <c r="C51" s="12">
        <f t="shared" si="0"/>
        <v>578</v>
      </c>
      <c r="D51" s="12">
        <f t="shared" si="0"/>
        <v>521</v>
      </c>
      <c r="E51" s="12">
        <f t="shared" si="1"/>
        <v>521</v>
      </c>
      <c r="F51" s="12">
        <f t="shared" si="1"/>
        <v>437</v>
      </c>
      <c r="G51" s="12">
        <f t="shared" si="2"/>
        <v>176</v>
      </c>
      <c r="H51" s="12">
        <f t="shared" si="2"/>
        <v>179</v>
      </c>
      <c r="I51" s="12">
        <f t="shared" si="2"/>
        <v>439</v>
      </c>
      <c r="J51" s="12">
        <f t="shared" si="2"/>
        <v>0</v>
      </c>
      <c r="K51" s="12">
        <f t="shared" si="2"/>
        <v>0</v>
      </c>
      <c r="L51" s="12">
        <f t="shared" si="2"/>
        <v>610</v>
      </c>
      <c r="M51" s="12">
        <f t="shared" si="2"/>
        <v>439</v>
      </c>
      <c r="N51" s="12">
        <f t="shared" si="2"/>
        <v>523</v>
      </c>
      <c r="O51" s="12">
        <f t="shared" si="2"/>
        <v>273</v>
      </c>
      <c r="P51" s="12">
        <f t="shared" si="2"/>
        <v>0</v>
      </c>
      <c r="Q51" s="12">
        <f t="shared" si="4"/>
        <v>0</v>
      </c>
      <c r="R51" s="12">
        <f t="shared" si="4"/>
        <v>0</v>
      </c>
      <c r="S51" s="12">
        <f t="shared" si="5"/>
        <v>266</v>
      </c>
      <c r="T51" s="12">
        <f t="shared" ref="T51:AF51" si="11">T11-S11</f>
        <v>171</v>
      </c>
      <c r="U51" s="12">
        <f t="shared" si="11"/>
        <v>403</v>
      </c>
      <c r="V51" s="12">
        <f t="shared" si="11"/>
        <v>343</v>
      </c>
      <c r="W51" s="12">
        <f t="shared" si="11"/>
        <v>185</v>
      </c>
      <c r="X51" s="12">
        <f t="shared" si="11"/>
        <v>0</v>
      </c>
      <c r="Y51" s="12">
        <f t="shared" si="11"/>
        <v>0</v>
      </c>
      <c r="Z51" s="12">
        <f t="shared" si="11"/>
        <v>523</v>
      </c>
      <c r="AA51" s="12">
        <f t="shared" si="11"/>
        <v>231</v>
      </c>
      <c r="AB51" s="12">
        <f t="shared" si="11"/>
        <v>521</v>
      </c>
      <c r="AC51" s="12">
        <f t="shared" si="11"/>
        <v>523</v>
      </c>
      <c r="AD51" s="12">
        <f t="shared" si="11"/>
        <v>524</v>
      </c>
      <c r="AE51" s="12">
        <f t="shared" si="11"/>
        <v>564</v>
      </c>
      <c r="AF51" s="12">
        <f t="shared" si="11"/>
        <v>480</v>
      </c>
    </row>
    <row r="52" spans="1:32" x14ac:dyDescent="0.25">
      <c r="A52" s="11" t="s">
        <v>11</v>
      </c>
      <c r="B52" s="231">
        <v>232</v>
      </c>
      <c r="C52" s="12">
        <f t="shared" si="0"/>
        <v>0</v>
      </c>
      <c r="D52" s="12">
        <f t="shared" si="0"/>
        <v>0</v>
      </c>
      <c r="E52" s="12">
        <f t="shared" si="1"/>
        <v>253</v>
      </c>
      <c r="F52" s="12">
        <f t="shared" si="1"/>
        <v>271</v>
      </c>
      <c r="G52" s="12">
        <f t="shared" si="2"/>
        <v>192</v>
      </c>
      <c r="H52" s="12">
        <f t="shared" si="2"/>
        <v>250</v>
      </c>
      <c r="I52" s="12">
        <f t="shared" si="2"/>
        <v>192</v>
      </c>
      <c r="J52" s="12">
        <f t="shared" si="2"/>
        <v>0</v>
      </c>
      <c r="K52" s="12">
        <f t="shared" si="2"/>
        <v>0</v>
      </c>
      <c r="L52" s="12">
        <f t="shared" si="2"/>
        <v>194</v>
      </c>
      <c r="M52" s="12">
        <f t="shared" si="2"/>
        <v>250</v>
      </c>
      <c r="N52" s="12">
        <f t="shared" si="2"/>
        <v>251</v>
      </c>
      <c r="O52" s="12">
        <f t="shared" si="2"/>
        <v>251</v>
      </c>
      <c r="P52" s="12">
        <f t="shared" si="2"/>
        <v>0</v>
      </c>
      <c r="Q52" s="12">
        <f t="shared" si="4"/>
        <v>0</v>
      </c>
      <c r="R52" s="12">
        <f t="shared" si="4"/>
        <v>0</v>
      </c>
      <c r="S52" s="12">
        <f t="shared" si="5"/>
        <v>297</v>
      </c>
      <c r="T52" s="12">
        <f t="shared" ref="T52:AF52" si="12">T12-S12</f>
        <v>246</v>
      </c>
      <c r="U52" s="12">
        <f t="shared" si="12"/>
        <v>251</v>
      </c>
      <c r="V52" s="12">
        <f t="shared" si="12"/>
        <v>252</v>
      </c>
      <c r="W52" s="12">
        <f t="shared" si="12"/>
        <v>130</v>
      </c>
      <c r="X52" s="12">
        <f t="shared" si="12"/>
        <v>0</v>
      </c>
      <c r="Y52" s="12">
        <f t="shared" si="12"/>
        <v>0</v>
      </c>
      <c r="Z52" s="12">
        <f t="shared" si="12"/>
        <v>316</v>
      </c>
      <c r="AA52" s="12">
        <f t="shared" si="12"/>
        <v>562</v>
      </c>
      <c r="AB52" s="12">
        <f t="shared" si="12"/>
        <v>606</v>
      </c>
      <c r="AC52" s="12">
        <f t="shared" si="12"/>
        <v>563</v>
      </c>
      <c r="AD52" s="12">
        <f t="shared" si="12"/>
        <v>205</v>
      </c>
      <c r="AE52" s="12">
        <f t="shared" si="12"/>
        <v>0</v>
      </c>
      <c r="AF52" s="12">
        <f t="shared" si="12"/>
        <v>21</v>
      </c>
    </row>
    <row r="53" spans="1:32" x14ac:dyDescent="0.25">
      <c r="A53" s="11" t="s">
        <v>12</v>
      </c>
      <c r="B53" s="231">
        <v>2</v>
      </c>
      <c r="C53" s="12">
        <f t="shared" si="0"/>
        <v>0</v>
      </c>
      <c r="D53" s="12">
        <f t="shared" si="0"/>
        <v>0</v>
      </c>
      <c r="E53" s="12">
        <f t="shared" si="1"/>
        <v>0</v>
      </c>
      <c r="F53" s="12">
        <f t="shared" si="1"/>
        <v>40</v>
      </c>
      <c r="G53" s="12">
        <f t="shared" si="2"/>
        <v>315</v>
      </c>
      <c r="H53" s="12">
        <f t="shared" si="2"/>
        <v>177</v>
      </c>
      <c r="I53" s="12">
        <f t="shared" si="2"/>
        <v>562</v>
      </c>
      <c r="J53" s="12">
        <f t="shared" si="2"/>
        <v>517</v>
      </c>
      <c r="K53" s="12">
        <f t="shared" si="2"/>
        <v>478</v>
      </c>
      <c r="L53" s="12">
        <f t="shared" si="2"/>
        <v>560</v>
      </c>
      <c r="M53" s="12">
        <f t="shared" si="2"/>
        <v>520</v>
      </c>
      <c r="N53" s="12">
        <f t="shared" si="2"/>
        <v>441</v>
      </c>
      <c r="O53" s="12">
        <f t="shared" si="2"/>
        <v>603</v>
      </c>
      <c r="P53" s="12">
        <f t="shared" si="2"/>
        <v>2</v>
      </c>
      <c r="Q53" s="12">
        <f t="shared" si="4"/>
        <v>563</v>
      </c>
      <c r="R53" s="12">
        <f t="shared" si="4"/>
        <v>44</v>
      </c>
      <c r="S53" s="12">
        <f t="shared" si="5"/>
        <v>434</v>
      </c>
      <c r="T53" s="12">
        <f t="shared" ref="T53:AF53" si="13">T13-S13</f>
        <v>456</v>
      </c>
      <c r="U53" s="12">
        <f t="shared" si="13"/>
        <v>251</v>
      </c>
      <c r="V53" s="12">
        <f t="shared" si="13"/>
        <v>317</v>
      </c>
      <c r="W53" s="12">
        <f t="shared" si="13"/>
        <v>109</v>
      </c>
      <c r="X53" s="12">
        <f t="shared" si="13"/>
        <v>0</v>
      </c>
      <c r="Y53" s="12">
        <f t="shared" si="13"/>
        <v>0</v>
      </c>
      <c r="Z53" s="12">
        <f t="shared" si="13"/>
        <v>251</v>
      </c>
      <c r="AA53" s="12">
        <f t="shared" si="13"/>
        <v>312</v>
      </c>
      <c r="AB53" s="12">
        <f t="shared" si="13"/>
        <v>433</v>
      </c>
      <c r="AC53" s="12">
        <f t="shared" si="13"/>
        <v>563</v>
      </c>
      <c r="AD53" s="12">
        <f t="shared" si="13"/>
        <v>559</v>
      </c>
      <c r="AE53" s="12">
        <f t="shared" si="13"/>
        <v>518</v>
      </c>
      <c r="AF53" s="12">
        <f t="shared" si="13"/>
        <v>517</v>
      </c>
    </row>
    <row r="54" spans="1:32" x14ac:dyDescent="0.25">
      <c r="A54" s="11" t="s">
        <v>13</v>
      </c>
      <c r="B54" s="231">
        <v>174</v>
      </c>
      <c r="C54" s="12">
        <f t="shared" si="0"/>
        <v>0</v>
      </c>
      <c r="D54" s="12">
        <f t="shared" si="0"/>
        <v>1</v>
      </c>
      <c r="E54" s="12">
        <f t="shared" si="1"/>
        <v>0</v>
      </c>
      <c r="F54" s="12">
        <f t="shared" si="1"/>
        <v>0</v>
      </c>
      <c r="G54" s="12">
        <f t="shared" si="2"/>
        <v>0</v>
      </c>
      <c r="H54" s="12">
        <f t="shared" si="2"/>
        <v>0</v>
      </c>
      <c r="I54" s="12">
        <f t="shared" si="2"/>
        <v>0</v>
      </c>
      <c r="J54" s="12">
        <f t="shared" si="2"/>
        <v>0</v>
      </c>
      <c r="K54" s="12">
        <f t="shared" si="2"/>
        <v>0</v>
      </c>
      <c r="L54" s="12">
        <f t="shared" si="2"/>
        <v>0</v>
      </c>
      <c r="M54" s="12">
        <f t="shared" si="2"/>
        <v>0</v>
      </c>
      <c r="N54" s="12">
        <f t="shared" si="2"/>
        <v>0</v>
      </c>
      <c r="O54" s="12">
        <f t="shared" si="2"/>
        <v>107</v>
      </c>
      <c r="P54" s="12">
        <f t="shared" si="2"/>
        <v>0</v>
      </c>
      <c r="Q54" s="12">
        <f t="shared" si="4"/>
        <v>0</v>
      </c>
      <c r="R54" s="12">
        <f t="shared" si="4"/>
        <v>0</v>
      </c>
      <c r="S54" s="12">
        <f t="shared" si="5"/>
        <v>193</v>
      </c>
      <c r="T54" s="12">
        <f t="shared" ref="T54:AF54" si="14">T14-S14</f>
        <v>251</v>
      </c>
      <c r="U54" s="12">
        <f t="shared" si="14"/>
        <v>251</v>
      </c>
      <c r="V54" s="12">
        <f t="shared" si="14"/>
        <v>333</v>
      </c>
      <c r="W54" s="12">
        <f t="shared" si="14"/>
        <v>253</v>
      </c>
      <c r="X54" s="12">
        <f t="shared" si="14"/>
        <v>561</v>
      </c>
      <c r="Y54" s="12">
        <f t="shared" si="14"/>
        <v>474</v>
      </c>
      <c r="Z54" s="12">
        <f t="shared" si="14"/>
        <v>604</v>
      </c>
      <c r="AA54" s="12">
        <f t="shared" si="14"/>
        <v>452</v>
      </c>
      <c r="AB54" s="12">
        <f t="shared" si="14"/>
        <v>193</v>
      </c>
      <c r="AC54" s="12">
        <f t="shared" si="14"/>
        <v>251</v>
      </c>
      <c r="AD54" s="12">
        <f t="shared" si="14"/>
        <v>252</v>
      </c>
      <c r="AE54" s="12">
        <f t="shared" si="14"/>
        <v>0</v>
      </c>
      <c r="AF54" s="12">
        <f t="shared" si="14"/>
        <v>0</v>
      </c>
    </row>
    <row r="55" spans="1:32" x14ac:dyDescent="0.25">
      <c r="A55" s="13" t="s">
        <v>14</v>
      </c>
      <c r="B55" s="231">
        <v>530</v>
      </c>
      <c r="C55" s="12">
        <f t="shared" si="0"/>
        <v>521</v>
      </c>
      <c r="D55" s="12">
        <f t="shared" si="0"/>
        <v>478</v>
      </c>
      <c r="E55" s="12">
        <f t="shared" si="1"/>
        <v>272</v>
      </c>
      <c r="F55" s="12">
        <f t="shared" si="1"/>
        <v>253</v>
      </c>
      <c r="G55" s="12">
        <f t="shared" ref="G55:P64" si="15">G15-F15</f>
        <v>264</v>
      </c>
      <c r="H55" s="12">
        <f t="shared" si="15"/>
        <v>254</v>
      </c>
      <c r="I55" s="12">
        <f t="shared" si="15"/>
        <v>264</v>
      </c>
      <c r="J55" s="12">
        <f t="shared" si="15"/>
        <v>564</v>
      </c>
      <c r="K55" s="12">
        <f t="shared" si="15"/>
        <v>44</v>
      </c>
      <c r="L55" s="12">
        <f t="shared" si="15"/>
        <v>352</v>
      </c>
      <c r="M55" s="12">
        <f t="shared" si="15"/>
        <v>454</v>
      </c>
      <c r="N55" s="12">
        <f t="shared" si="15"/>
        <v>186</v>
      </c>
      <c r="O55" s="12">
        <f t="shared" si="15"/>
        <v>255</v>
      </c>
      <c r="P55" s="12">
        <f t="shared" si="15"/>
        <v>522</v>
      </c>
      <c r="Q55" s="12">
        <f t="shared" si="4"/>
        <v>523</v>
      </c>
      <c r="R55" s="12">
        <f t="shared" si="4"/>
        <v>474</v>
      </c>
      <c r="S55" s="12">
        <f t="shared" si="5"/>
        <v>311</v>
      </c>
      <c r="T55" s="12">
        <f t="shared" ref="T55:AF55" si="16">T15-S15</f>
        <v>478</v>
      </c>
      <c r="U55" s="12">
        <f t="shared" si="16"/>
        <v>411</v>
      </c>
      <c r="V55" s="12">
        <f t="shared" si="16"/>
        <v>245</v>
      </c>
      <c r="W55" s="12">
        <f t="shared" si="16"/>
        <v>239</v>
      </c>
      <c r="X55" s="12">
        <f t="shared" si="16"/>
        <v>0</v>
      </c>
      <c r="Y55" s="12">
        <f t="shared" si="16"/>
        <v>0</v>
      </c>
      <c r="Z55" s="12">
        <f t="shared" si="16"/>
        <v>253</v>
      </c>
      <c r="AA55" s="12">
        <f t="shared" si="16"/>
        <v>255</v>
      </c>
      <c r="AB55" s="12">
        <f t="shared" si="16"/>
        <v>284</v>
      </c>
      <c r="AC55" s="12">
        <f t="shared" si="16"/>
        <v>196</v>
      </c>
      <c r="AD55" s="12">
        <f t="shared" si="16"/>
        <v>253</v>
      </c>
      <c r="AE55" s="12">
        <f t="shared" si="16"/>
        <v>0</v>
      </c>
      <c r="AF55" s="12">
        <f t="shared" si="16"/>
        <v>21</v>
      </c>
    </row>
    <row r="56" spans="1:32" x14ac:dyDescent="0.25">
      <c r="A56" s="13" t="s">
        <v>15</v>
      </c>
      <c r="B56" s="231">
        <v>562</v>
      </c>
      <c r="C56" s="12">
        <f t="shared" si="0"/>
        <v>522</v>
      </c>
      <c r="D56" s="12">
        <f t="shared" si="0"/>
        <v>478</v>
      </c>
      <c r="E56" s="12">
        <f t="shared" si="1"/>
        <v>253</v>
      </c>
      <c r="F56" s="12">
        <f t="shared" si="1"/>
        <v>199</v>
      </c>
      <c r="G56" s="12">
        <f t="shared" si="15"/>
        <v>435</v>
      </c>
      <c r="H56" s="12">
        <f t="shared" si="15"/>
        <v>110</v>
      </c>
      <c r="I56" s="12">
        <f t="shared" si="15"/>
        <v>244</v>
      </c>
      <c r="J56" s="12">
        <f t="shared" si="15"/>
        <v>518</v>
      </c>
      <c r="K56" s="12">
        <f t="shared" si="15"/>
        <v>433</v>
      </c>
      <c r="L56" s="12">
        <f t="shared" si="15"/>
        <v>141</v>
      </c>
      <c r="M56" s="12">
        <f t="shared" si="15"/>
        <v>519</v>
      </c>
      <c r="N56" s="12">
        <f t="shared" si="15"/>
        <v>605</v>
      </c>
      <c r="O56" s="12">
        <f t="shared" si="15"/>
        <v>263</v>
      </c>
      <c r="P56" s="12">
        <f t="shared" si="15"/>
        <v>518</v>
      </c>
      <c r="Q56" s="12">
        <f t="shared" si="4"/>
        <v>562</v>
      </c>
      <c r="R56" s="12">
        <f t="shared" si="4"/>
        <v>43</v>
      </c>
      <c r="S56" s="12">
        <f t="shared" si="5"/>
        <v>370</v>
      </c>
      <c r="T56" s="12">
        <f t="shared" ref="T56:AF56" si="17">T16-S16</f>
        <v>375</v>
      </c>
      <c r="U56" s="12">
        <f t="shared" si="17"/>
        <v>607</v>
      </c>
      <c r="V56" s="12">
        <f t="shared" si="17"/>
        <v>459</v>
      </c>
      <c r="W56" s="12">
        <f t="shared" si="17"/>
        <v>312</v>
      </c>
      <c r="X56" s="12">
        <f t="shared" si="17"/>
        <v>519</v>
      </c>
      <c r="Y56" s="12">
        <f t="shared" si="17"/>
        <v>521</v>
      </c>
      <c r="Z56" s="12">
        <f t="shared" si="17"/>
        <v>271</v>
      </c>
      <c r="AA56" s="12">
        <f t="shared" si="17"/>
        <v>253</v>
      </c>
      <c r="AB56" s="12">
        <f t="shared" si="17"/>
        <v>252</v>
      </c>
      <c r="AC56" s="12">
        <f t="shared" si="17"/>
        <v>493</v>
      </c>
      <c r="AD56" s="12">
        <f t="shared" si="17"/>
        <v>305</v>
      </c>
      <c r="AE56" s="12">
        <f t="shared" si="17"/>
        <v>565</v>
      </c>
      <c r="AF56" s="12">
        <f t="shared" si="17"/>
        <v>44</v>
      </c>
    </row>
    <row r="57" spans="1:32" x14ac:dyDescent="0.25">
      <c r="A57" s="13" t="s">
        <v>16</v>
      </c>
      <c r="B57" s="231">
        <v>562</v>
      </c>
      <c r="C57" s="12">
        <f t="shared" si="0"/>
        <v>520</v>
      </c>
      <c r="D57" s="12">
        <f t="shared" si="0"/>
        <v>479</v>
      </c>
      <c r="E57" s="12">
        <f t="shared" si="1"/>
        <v>494</v>
      </c>
      <c r="F57" s="12">
        <f t="shared" si="1"/>
        <v>205</v>
      </c>
      <c r="G57" s="12">
        <f t="shared" si="15"/>
        <v>252</v>
      </c>
      <c r="H57" s="12">
        <f t="shared" si="15"/>
        <v>159</v>
      </c>
      <c r="I57" s="12">
        <f t="shared" si="15"/>
        <v>174</v>
      </c>
      <c r="J57" s="12">
        <f t="shared" si="15"/>
        <v>520</v>
      </c>
      <c r="K57" s="12">
        <f t="shared" si="15"/>
        <v>476</v>
      </c>
      <c r="L57" s="12">
        <f t="shared" si="15"/>
        <v>561</v>
      </c>
      <c r="M57" s="12">
        <f t="shared" si="15"/>
        <v>349</v>
      </c>
      <c r="N57" s="12">
        <f t="shared" si="15"/>
        <v>259</v>
      </c>
      <c r="O57" s="12">
        <f t="shared" si="15"/>
        <v>589</v>
      </c>
      <c r="P57" s="12">
        <f t="shared" si="15"/>
        <v>221</v>
      </c>
      <c r="Q57" s="12">
        <f t="shared" si="4"/>
        <v>45</v>
      </c>
      <c r="R57" s="12">
        <f t="shared" si="4"/>
        <v>520</v>
      </c>
      <c r="S57" s="12">
        <f t="shared" si="5"/>
        <v>271</v>
      </c>
      <c r="T57" s="12">
        <f t="shared" ref="T57:AF57" si="18">T17-S17</f>
        <v>419</v>
      </c>
      <c r="U57" s="12">
        <f t="shared" si="18"/>
        <v>392</v>
      </c>
      <c r="V57" s="12">
        <f t="shared" si="18"/>
        <v>468</v>
      </c>
      <c r="W57" s="12">
        <f t="shared" si="18"/>
        <v>356</v>
      </c>
      <c r="X57" s="12">
        <f t="shared" si="18"/>
        <v>302</v>
      </c>
      <c r="Y57" s="12">
        <f t="shared" si="18"/>
        <v>477</v>
      </c>
      <c r="Z57" s="12">
        <f t="shared" si="18"/>
        <v>245</v>
      </c>
      <c r="AA57" s="12">
        <f t="shared" si="18"/>
        <v>588</v>
      </c>
      <c r="AB57" s="12">
        <f t="shared" si="18"/>
        <v>454</v>
      </c>
      <c r="AC57" s="12">
        <f t="shared" si="18"/>
        <v>273</v>
      </c>
      <c r="AD57" s="12">
        <f t="shared" si="18"/>
        <v>245</v>
      </c>
      <c r="AE57" s="12">
        <f t="shared" si="18"/>
        <v>0</v>
      </c>
      <c r="AF57" s="12">
        <f t="shared" si="18"/>
        <v>0</v>
      </c>
    </row>
    <row r="58" spans="1:32" x14ac:dyDescent="0.25">
      <c r="A58" s="13" t="s">
        <v>17</v>
      </c>
      <c r="B58" s="231">
        <v>586</v>
      </c>
      <c r="C58" s="12">
        <f t="shared" si="0"/>
        <v>518</v>
      </c>
      <c r="D58" s="12">
        <f t="shared" si="0"/>
        <v>475</v>
      </c>
      <c r="E58" s="12">
        <f t="shared" si="1"/>
        <v>243</v>
      </c>
      <c r="F58" s="12">
        <f t="shared" si="1"/>
        <v>251</v>
      </c>
      <c r="G58" s="12">
        <f t="shared" si="15"/>
        <v>587</v>
      </c>
      <c r="H58" s="12">
        <f t="shared" si="15"/>
        <v>305</v>
      </c>
      <c r="I58" s="12">
        <f t="shared" si="15"/>
        <v>474</v>
      </c>
      <c r="J58" s="12">
        <f t="shared" si="15"/>
        <v>518</v>
      </c>
      <c r="K58" s="12">
        <f t="shared" si="15"/>
        <v>431</v>
      </c>
      <c r="L58" s="12">
        <f t="shared" si="15"/>
        <v>561</v>
      </c>
      <c r="M58" s="12">
        <f t="shared" si="15"/>
        <v>560</v>
      </c>
      <c r="N58" s="12">
        <f t="shared" si="15"/>
        <v>476</v>
      </c>
      <c r="O58" s="12">
        <f t="shared" si="15"/>
        <v>561</v>
      </c>
      <c r="P58" s="12">
        <f t="shared" si="15"/>
        <v>3</v>
      </c>
      <c r="Q58" s="12">
        <f t="shared" si="4"/>
        <v>0</v>
      </c>
      <c r="R58" s="12">
        <f t="shared" si="4"/>
        <v>0</v>
      </c>
      <c r="S58" s="12">
        <f t="shared" si="5"/>
        <v>108</v>
      </c>
      <c r="T58" s="12">
        <f t="shared" ref="T58:AF58" si="19">T18-S18</f>
        <v>158</v>
      </c>
      <c r="U58" s="12">
        <f t="shared" si="19"/>
        <v>193</v>
      </c>
      <c r="V58" s="12">
        <f t="shared" si="19"/>
        <v>252</v>
      </c>
      <c r="W58" s="12">
        <f t="shared" si="19"/>
        <v>614</v>
      </c>
      <c r="X58" s="12">
        <f t="shared" si="19"/>
        <v>0</v>
      </c>
      <c r="Y58" s="12">
        <f t="shared" si="19"/>
        <v>0</v>
      </c>
      <c r="Z58" s="12">
        <f t="shared" si="19"/>
        <v>162</v>
      </c>
      <c r="AA58" s="12">
        <f t="shared" si="19"/>
        <v>251</v>
      </c>
      <c r="AB58" s="12">
        <f t="shared" si="19"/>
        <v>273</v>
      </c>
      <c r="AC58" s="12">
        <f t="shared" si="19"/>
        <v>97</v>
      </c>
      <c r="AD58" s="12">
        <f t="shared" si="19"/>
        <v>63</v>
      </c>
      <c r="AE58" s="12">
        <f t="shared" si="19"/>
        <v>0</v>
      </c>
      <c r="AF58" s="12">
        <f t="shared" si="19"/>
        <v>37</v>
      </c>
    </row>
    <row r="59" spans="1:32" x14ac:dyDescent="0.25">
      <c r="A59" s="13" t="s">
        <v>18</v>
      </c>
      <c r="B59" s="231">
        <v>461</v>
      </c>
      <c r="C59" s="12">
        <f t="shared" si="0"/>
        <v>520</v>
      </c>
      <c r="D59" s="12">
        <f t="shared" si="0"/>
        <v>475</v>
      </c>
      <c r="E59" s="12">
        <f t="shared" si="1"/>
        <v>476</v>
      </c>
      <c r="F59" s="12">
        <f t="shared" si="1"/>
        <v>561</v>
      </c>
      <c r="G59" s="12">
        <f t="shared" si="15"/>
        <v>476</v>
      </c>
      <c r="H59" s="12">
        <f t="shared" si="15"/>
        <v>315</v>
      </c>
      <c r="I59" s="12">
        <f t="shared" si="15"/>
        <v>561</v>
      </c>
      <c r="J59" s="12">
        <f t="shared" si="15"/>
        <v>44</v>
      </c>
      <c r="K59" s="12">
        <f t="shared" si="15"/>
        <v>476</v>
      </c>
      <c r="L59" s="12">
        <f t="shared" si="15"/>
        <v>561</v>
      </c>
      <c r="M59" s="12">
        <f t="shared" si="15"/>
        <v>605</v>
      </c>
      <c r="N59" s="12">
        <f t="shared" si="15"/>
        <v>289</v>
      </c>
      <c r="O59" s="12">
        <f t="shared" si="15"/>
        <v>305</v>
      </c>
      <c r="P59" s="12">
        <f t="shared" si="15"/>
        <v>518</v>
      </c>
      <c r="Q59" s="12">
        <f t="shared" si="4"/>
        <v>561</v>
      </c>
      <c r="R59" s="12">
        <f t="shared" si="4"/>
        <v>474</v>
      </c>
      <c r="S59" s="12">
        <f t="shared" si="5"/>
        <v>521</v>
      </c>
      <c r="T59" s="12">
        <f t="shared" ref="T59:AF59" si="20">T19-S19</f>
        <v>392</v>
      </c>
      <c r="U59" s="12">
        <f t="shared" si="20"/>
        <v>476</v>
      </c>
      <c r="V59" s="12">
        <f t="shared" si="20"/>
        <v>269</v>
      </c>
      <c r="W59" s="12">
        <f t="shared" si="20"/>
        <v>197</v>
      </c>
      <c r="X59" s="12">
        <f t="shared" si="20"/>
        <v>0</v>
      </c>
      <c r="Y59" s="12">
        <f t="shared" si="20"/>
        <v>0</v>
      </c>
      <c r="Z59" s="12">
        <f t="shared" si="20"/>
        <v>99</v>
      </c>
      <c r="AA59" s="12">
        <f t="shared" si="20"/>
        <v>305</v>
      </c>
      <c r="AB59" s="12">
        <f t="shared" si="20"/>
        <v>435</v>
      </c>
      <c r="AC59" s="12">
        <f t="shared" si="20"/>
        <v>520</v>
      </c>
      <c r="AD59" s="12">
        <f t="shared" si="20"/>
        <v>477</v>
      </c>
      <c r="AE59" s="12">
        <f t="shared" si="20"/>
        <v>223</v>
      </c>
      <c r="AF59" s="12">
        <f t="shared" si="20"/>
        <v>474</v>
      </c>
    </row>
    <row r="60" spans="1:32" x14ac:dyDescent="0.25">
      <c r="A60" s="13" t="s">
        <v>19</v>
      </c>
      <c r="B60" s="231">
        <v>262</v>
      </c>
      <c r="C60" s="12">
        <f t="shared" si="0"/>
        <v>0</v>
      </c>
      <c r="D60" s="12">
        <f t="shared" si="0"/>
        <v>58</v>
      </c>
      <c r="E60" s="12">
        <f t="shared" si="1"/>
        <v>177</v>
      </c>
      <c r="F60" s="12">
        <f t="shared" si="1"/>
        <v>517</v>
      </c>
      <c r="G60" s="12">
        <f t="shared" si="15"/>
        <v>560</v>
      </c>
      <c r="H60" s="12">
        <f t="shared" si="15"/>
        <v>311</v>
      </c>
      <c r="I60" s="12">
        <f t="shared" si="15"/>
        <v>405</v>
      </c>
      <c r="J60" s="12">
        <f t="shared" si="15"/>
        <v>0</v>
      </c>
      <c r="K60" s="12">
        <f t="shared" si="15"/>
        <v>0</v>
      </c>
      <c r="L60" s="12">
        <f t="shared" si="15"/>
        <v>190</v>
      </c>
      <c r="M60" s="12">
        <f t="shared" si="15"/>
        <v>306</v>
      </c>
      <c r="N60" s="12">
        <f t="shared" si="15"/>
        <v>432</v>
      </c>
      <c r="O60" s="12">
        <f t="shared" si="15"/>
        <v>202</v>
      </c>
      <c r="P60" s="12">
        <f t="shared" si="15"/>
        <v>0</v>
      </c>
      <c r="Q60" s="12">
        <f t="shared" si="4"/>
        <v>0</v>
      </c>
      <c r="R60" s="12">
        <f t="shared" si="4"/>
        <v>18</v>
      </c>
      <c r="S60" s="12">
        <f t="shared" si="5"/>
        <v>517</v>
      </c>
      <c r="T60" s="12">
        <f t="shared" ref="T60:AF60" si="21">T20-S20</f>
        <v>365</v>
      </c>
      <c r="U60" s="12">
        <f t="shared" si="21"/>
        <v>262</v>
      </c>
      <c r="V60" s="12">
        <f t="shared" si="21"/>
        <v>465</v>
      </c>
      <c r="W60" s="12">
        <f t="shared" si="21"/>
        <v>450</v>
      </c>
      <c r="X60" s="12">
        <f t="shared" si="21"/>
        <v>517</v>
      </c>
      <c r="Y60" s="12">
        <f t="shared" si="21"/>
        <v>474</v>
      </c>
      <c r="Z60" s="12">
        <f t="shared" si="21"/>
        <v>559</v>
      </c>
      <c r="AA60" s="12">
        <f t="shared" si="21"/>
        <v>158</v>
      </c>
      <c r="AB60" s="12">
        <f t="shared" si="21"/>
        <v>199</v>
      </c>
      <c r="AC60" s="12">
        <f t="shared" si="21"/>
        <v>254</v>
      </c>
      <c r="AD60" s="12">
        <f t="shared" si="21"/>
        <v>603</v>
      </c>
      <c r="AE60" s="12">
        <f t="shared" si="21"/>
        <v>517</v>
      </c>
      <c r="AF60" s="12">
        <f t="shared" si="21"/>
        <v>474</v>
      </c>
    </row>
    <row r="61" spans="1:32" x14ac:dyDescent="0.25">
      <c r="A61" s="13" t="s">
        <v>20</v>
      </c>
      <c r="B61" s="231">
        <v>431</v>
      </c>
      <c r="C61" s="12">
        <f t="shared" si="0"/>
        <v>518</v>
      </c>
      <c r="D61" s="12">
        <f t="shared" si="0"/>
        <v>520</v>
      </c>
      <c r="E61" s="12">
        <f t="shared" si="1"/>
        <v>282</v>
      </c>
      <c r="F61" s="12">
        <f t="shared" si="1"/>
        <v>271</v>
      </c>
      <c r="G61" s="12">
        <f t="shared" si="15"/>
        <v>561</v>
      </c>
      <c r="H61" s="12">
        <f t="shared" si="15"/>
        <v>175</v>
      </c>
      <c r="I61" s="12">
        <f t="shared" si="15"/>
        <v>519</v>
      </c>
      <c r="J61" s="12">
        <f t="shared" si="15"/>
        <v>520</v>
      </c>
      <c r="K61" s="12">
        <f t="shared" si="15"/>
        <v>475</v>
      </c>
      <c r="L61" s="12">
        <f t="shared" si="15"/>
        <v>561</v>
      </c>
      <c r="M61" s="12">
        <f t="shared" si="15"/>
        <v>338</v>
      </c>
      <c r="N61" s="12">
        <f t="shared" si="15"/>
        <v>603</v>
      </c>
      <c r="O61" s="12">
        <f t="shared" si="15"/>
        <v>519</v>
      </c>
      <c r="P61" s="12">
        <f t="shared" si="15"/>
        <v>43</v>
      </c>
      <c r="Q61" s="12">
        <f t="shared" si="4"/>
        <v>517</v>
      </c>
      <c r="R61" s="12">
        <f t="shared" si="4"/>
        <v>432</v>
      </c>
      <c r="S61" s="12">
        <f t="shared" si="5"/>
        <v>40</v>
      </c>
      <c r="T61" s="12">
        <f t="shared" ref="T61:AF61" si="22">T21-S21</f>
        <v>194</v>
      </c>
      <c r="U61" s="12">
        <f t="shared" si="22"/>
        <v>254</v>
      </c>
      <c r="V61" s="12">
        <f t="shared" si="22"/>
        <v>407</v>
      </c>
      <c r="W61" s="12">
        <f t="shared" si="22"/>
        <v>0</v>
      </c>
      <c r="X61" s="12">
        <f t="shared" si="22"/>
        <v>0</v>
      </c>
      <c r="Y61" s="12">
        <f t="shared" si="22"/>
        <v>0</v>
      </c>
      <c r="Z61" s="12">
        <f t="shared" si="22"/>
        <v>312</v>
      </c>
      <c r="AA61" s="12">
        <f t="shared" si="22"/>
        <v>519</v>
      </c>
      <c r="AB61" s="12">
        <f t="shared" si="22"/>
        <v>351</v>
      </c>
      <c r="AC61" s="12">
        <f t="shared" si="22"/>
        <v>434</v>
      </c>
      <c r="AD61" s="12">
        <f t="shared" si="22"/>
        <v>269</v>
      </c>
      <c r="AE61" s="12">
        <f t="shared" si="22"/>
        <v>474</v>
      </c>
      <c r="AF61" s="12">
        <f t="shared" si="22"/>
        <v>518</v>
      </c>
    </row>
    <row r="62" spans="1:32" x14ac:dyDescent="0.25">
      <c r="A62" s="13" t="s">
        <v>21</v>
      </c>
      <c r="B62" s="231">
        <v>517</v>
      </c>
      <c r="C62" s="12">
        <f t="shared" si="0"/>
        <v>560</v>
      </c>
      <c r="D62" s="12">
        <f t="shared" si="0"/>
        <v>43</v>
      </c>
      <c r="E62" s="12">
        <f t="shared" si="1"/>
        <v>433</v>
      </c>
      <c r="F62" s="12">
        <f t="shared" si="1"/>
        <v>563</v>
      </c>
      <c r="G62" s="12">
        <f t="shared" si="15"/>
        <v>271</v>
      </c>
      <c r="H62" s="12">
        <f t="shared" si="15"/>
        <v>270</v>
      </c>
      <c r="I62" s="12">
        <f t="shared" si="15"/>
        <v>374</v>
      </c>
      <c r="J62" s="12">
        <f t="shared" si="15"/>
        <v>560</v>
      </c>
      <c r="K62" s="12">
        <f t="shared" si="15"/>
        <v>279</v>
      </c>
      <c r="L62" s="12">
        <f t="shared" si="15"/>
        <v>255</v>
      </c>
      <c r="M62" s="12">
        <f t="shared" si="15"/>
        <v>432</v>
      </c>
      <c r="N62" s="12">
        <f t="shared" si="15"/>
        <v>452</v>
      </c>
      <c r="O62" s="12">
        <f t="shared" si="15"/>
        <v>199</v>
      </c>
      <c r="P62" s="12">
        <f t="shared" si="15"/>
        <v>0</v>
      </c>
      <c r="Q62" s="12">
        <f t="shared" si="4"/>
        <v>0</v>
      </c>
      <c r="R62" s="12">
        <f t="shared" si="4"/>
        <v>0</v>
      </c>
      <c r="S62" s="12">
        <f t="shared" si="5"/>
        <v>244</v>
      </c>
      <c r="T62" s="12">
        <f t="shared" ref="T62:AF62" si="23">T22-S22</f>
        <v>169</v>
      </c>
      <c r="U62" s="12">
        <f t="shared" si="23"/>
        <v>302</v>
      </c>
      <c r="V62" s="12">
        <f t="shared" si="23"/>
        <v>223</v>
      </c>
      <c r="W62" s="12">
        <f t="shared" si="23"/>
        <v>265</v>
      </c>
      <c r="X62" s="12">
        <f t="shared" si="23"/>
        <v>517</v>
      </c>
      <c r="Y62" s="12">
        <f t="shared" si="23"/>
        <v>477</v>
      </c>
      <c r="Z62" s="12">
        <f t="shared" si="23"/>
        <v>474</v>
      </c>
      <c r="AA62" s="12">
        <f t="shared" si="23"/>
        <v>203</v>
      </c>
      <c r="AB62" s="12">
        <f t="shared" si="23"/>
        <v>415</v>
      </c>
      <c r="AC62" s="12">
        <f t="shared" si="23"/>
        <v>452</v>
      </c>
      <c r="AD62" s="12">
        <f t="shared" si="23"/>
        <v>169</v>
      </c>
      <c r="AE62" s="12">
        <f t="shared" si="23"/>
        <v>177</v>
      </c>
      <c r="AF62" s="12">
        <f t="shared" si="23"/>
        <v>3</v>
      </c>
    </row>
    <row r="63" spans="1:32" x14ac:dyDescent="0.25">
      <c r="A63" s="13" t="s">
        <v>22</v>
      </c>
      <c r="B63" s="231">
        <v>4</v>
      </c>
      <c r="C63" s="12">
        <f t="shared" si="0"/>
        <v>0</v>
      </c>
      <c r="D63" s="12">
        <f t="shared" si="0"/>
        <v>0</v>
      </c>
      <c r="E63" s="12">
        <f t="shared" si="1"/>
        <v>190</v>
      </c>
      <c r="F63" s="12">
        <f t="shared" si="1"/>
        <v>70</v>
      </c>
      <c r="G63" s="12">
        <f t="shared" si="15"/>
        <v>449</v>
      </c>
      <c r="H63" s="12">
        <f t="shared" si="15"/>
        <v>193</v>
      </c>
      <c r="I63" s="12">
        <f t="shared" si="15"/>
        <v>337</v>
      </c>
      <c r="J63" s="12">
        <f t="shared" si="15"/>
        <v>0</v>
      </c>
      <c r="K63" s="12">
        <f t="shared" si="15"/>
        <v>0</v>
      </c>
      <c r="L63" s="12">
        <f t="shared" si="15"/>
        <v>330</v>
      </c>
      <c r="M63" s="12">
        <f t="shared" si="15"/>
        <v>493</v>
      </c>
      <c r="N63" s="12">
        <f t="shared" si="15"/>
        <v>209</v>
      </c>
      <c r="O63" s="12">
        <f t="shared" si="15"/>
        <v>475</v>
      </c>
      <c r="P63" s="12">
        <f t="shared" si="15"/>
        <v>2</v>
      </c>
      <c r="Q63" s="12">
        <f t="shared" si="4"/>
        <v>0</v>
      </c>
      <c r="R63" s="12">
        <f t="shared" si="4"/>
        <v>0</v>
      </c>
      <c r="S63" s="12">
        <f t="shared" si="5"/>
        <v>521</v>
      </c>
      <c r="T63" s="12">
        <f t="shared" ref="T63:AF63" si="24">T23-S23</f>
        <v>210</v>
      </c>
      <c r="U63" s="12">
        <f t="shared" si="24"/>
        <v>452</v>
      </c>
      <c r="V63" s="12">
        <f t="shared" si="24"/>
        <v>79</v>
      </c>
      <c r="W63" s="12">
        <f t="shared" si="24"/>
        <v>0</v>
      </c>
      <c r="X63" s="12">
        <f t="shared" si="24"/>
        <v>0</v>
      </c>
      <c r="Y63" s="12">
        <f t="shared" si="24"/>
        <v>0</v>
      </c>
      <c r="Z63" s="12">
        <f t="shared" si="24"/>
        <v>181</v>
      </c>
      <c r="AA63" s="12">
        <f t="shared" si="24"/>
        <v>347</v>
      </c>
      <c r="AB63" s="12">
        <f t="shared" si="24"/>
        <v>149</v>
      </c>
      <c r="AC63" s="12">
        <f t="shared" si="24"/>
        <v>181</v>
      </c>
      <c r="AD63" s="12">
        <f t="shared" si="24"/>
        <v>564</v>
      </c>
      <c r="AE63" s="12">
        <f t="shared" si="24"/>
        <v>0</v>
      </c>
      <c r="AF63" s="12">
        <f t="shared" si="24"/>
        <v>0</v>
      </c>
    </row>
    <row r="64" spans="1:32" x14ac:dyDescent="0.25">
      <c r="A64" s="11" t="s">
        <v>23</v>
      </c>
      <c r="B64" s="231">
        <v>190</v>
      </c>
      <c r="C64" s="12">
        <f t="shared" si="0"/>
        <v>0</v>
      </c>
      <c r="D64" s="12">
        <f t="shared" si="0"/>
        <v>0</v>
      </c>
      <c r="E64" s="12">
        <f t="shared" si="1"/>
        <v>483</v>
      </c>
      <c r="F64" s="12">
        <f t="shared" si="1"/>
        <v>432</v>
      </c>
      <c r="G64" s="12">
        <f t="shared" si="15"/>
        <v>272</v>
      </c>
      <c r="H64" s="12">
        <f t="shared" si="15"/>
        <v>561</v>
      </c>
      <c r="I64" s="12">
        <f t="shared" si="15"/>
        <v>450</v>
      </c>
      <c r="J64" s="12">
        <f t="shared" si="15"/>
        <v>0</v>
      </c>
      <c r="K64" s="12">
        <f t="shared" si="15"/>
        <v>0</v>
      </c>
      <c r="L64" s="12">
        <f t="shared" si="15"/>
        <v>249</v>
      </c>
      <c r="M64" s="12">
        <f t="shared" si="15"/>
        <v>252</v>
      </c>
      <c r="N64" s="12">
        <f t="shared" si="15"/>
        <v>201</v>
      </c>
      <c r="O64" s="12">
        <f t="shared" si="15"/>
        <v>251</v>
      </c>
      <c r="P64" s="12">
        <f t="shared" si="15"/>
        <v>0</v>
      </c>
      <c r="Q64" s="12">
        <f t="shared" si="4"/>
        <v>0</v>
      </c>
      <c r="R64" s="12">
        <f t="shared" si="4"/>
        <v>0</v>
      </c>
      <c r="S64" s="12">
        <f t="shared" si="5"/>
        <v>339</v>
      </c>
      <c r="T64" s="12">
        <f t="shared" ref="T64:AF64" si="25">T24-S24</f>
        <v>563</v>
      </c>
      <c r="U64" s="12">
        <f t="shared" si="25"/>
        <v>474</v>
      </c>
      <c r="V64" s="12">
        <f t="shared" si="25"/>
        <v>316</v>
      </c>
      <c r="W64" s="12">
        <f t="shared" si="25"/>
        <v>537</v>
      </c>
      <c r="X64" s="12">
        <f t="shared" si="25"/>
        <v>0</v>
      </c>
      <c r="Y64" s="12">
        <f t="shared" si="25"/>
        <v>0</v>
      </c>
      <c r="Z64" s="12">
        <f t="shared" si="25"/>
        <v>98</v>
      </c>
      <c r="AA64" s="12">
        <f t="shared" si="25"/>
        <v>254</v>
      </c>
      <c r="AB64" s="12">
        <f t="shared" si="25"/>
        <v>392</v>
      </c>
      <c r="AC64" s="12">
        <f t="shared" si="25"/>
        <v>477</v>
      </c>
      <c r="AD64" s="12">
        <f t="shared" si="25"/>
        <v>454</v>
      </c>
      <c r="AE64" s="12">
        <f t="shared" si="25"/>
        <v>0</v>
      </c>
      <c r="AF64" s="12">
        <f t="shared" si="25"/>
        <v>0</v>
      </c>
    </row>
    <row r="65" spans="1:32" x14ac:dyDescent="0.25">
      <c r="A65" s="13" t="s">
        <v>24</v>
      </c>
      <c r="B65" s="231">
        <v>563</v>
      </c>
      <c r="C65" s="12">
        <f t="shared" ref="C65:D79" si="26">C25-B25</f>
        <v>519</v>
      </c>
      <c r="D65" s="12">
        <f t="shared" si="26"/>
        <v>43</v>
      </c>
      <c r="E65" s="12">
        <f t="shared" ref="E65:F79" si="27">E25-D25</f>
        <v>435</v>
      </c>
      <c r="F65" s="12">
        <f t="shared" si="27"/>
        <v>605</v>
      </c>
      <c r="G65" s="12">
        <f t="shared" ref="G65:P74" si="28">G25-F25</f>
        <v>89</v>
      </c>
      <c r="H65" s="12">
        <f t="shared" si="28"/>
        <v>520</v>
      </c>
      <c r="I65" s="12">
        <f t="shared" si="28"/>
        <v>605</v>
      </c>
      <c r="J65" s="12">
        <f t="shared" si="28"/>
        <v>519</v>
      </c>
      <c r="K65" s="12">
        <f t="shared" si="28"/>
        <v>518</v>
      </c>
      <c r="L65" s="12">
        <f t="shared" si="28"/>
        <v>271</v>
      </c>
      <c r="M65" s="12">
        <f t="shared" si="28"/>
        <v>252</v>
      </c>
      <c r="N65" s="12">
        <f t="shared" si="28"/>
        <v>588</v>
      </c>
      <c r="O65" s="12">
        <f t="shared" si="28"/>
        <v>452</v>
      </c>
      <c r="P65" s="12">
        <f t="shared" si="28"/>
        <v>0</v>
      </c>
      <c r="Q65" s="12">
        <f t="shared" si="4"/>
        <v>0</v>
      </c>
      <c r="R65" s="12">
        <f t="shared" si="4"/>
        <v>0</v>
      </c>
      <c r="S65" s="12">
        <f t="shared" si="5"/>
        <v>264</v>
      </c>
      <c r="T65" s="12">
        <f t="shared" ref="T65:AF65" si="29">T25-S25</f>
        <v>192</v>
      </c>
      <c r="U65" s="12">
        <f t="shared" si="29"/>
        <v>399</v>
      </c>
      <c r="V65" s="12">
        <f t="shared" si="29"/>
        <v>395</v>
      </c>
      <c r="W65" s="12">
        <f t="shared" si="29"/>
        <v>376</v>
      </c>
      <c r="X65" s="12">
        <f t="shared" si="29"/>
        <v>0</v>
      </c>
      <c r="Y65" s="12">
        <f t="shared" si="29"/>
        <v>0</v>
      </c>
      <c r="Z65" s="12">
        <f t="shared" si="29"/>
        <v>265</v>
      </c>
      <c r="AA65" s="12">
        <f t="shared" si="29"/>
        <v>551</v>
      </c>
      <c r="AB65" s="12">
        <f t="shared" si="29"/>
        <v>528</v>
      </c>
      <c r="AC65" s="12">
        <f t="shared" si="29"/>
        <v>252</v>
      </c>
      <c r="AD65" s="12">
        <f t="shared" si="29"/>
        <v>605</v>
      </c>
      <c r="AE65" s="12">
        <f t="shared" si="29"/>
        <v>522</v>
      </c>
      <c r="AF65" s="12">
        <f t="shared" si="29"/>
        <v>432</v>
      </c>
    </row>
    <row r="66" spans="1:32" x14ac:dyDescent="0.25">
      <c r="A66" s="13" t="s">
        <v>25</v>
      </c>
      <c r="B66" s="231">
        <v>71</v>
      </c>
      <c r="C66" s="12">
        <f t="shared" si="26"/>
        <v>0</v>
      </c>
      <c r="D66" s="12">
        <f t="shared" si="26"/>
        <v>0</v>
      </c>
      <c r="E66" s="12">
        <f t="shared" si="27"/>
        <v>0</v>
      </c>
      <c r="F66" s="12">
        <f t="shared" si="27"/>
        <v>125</v>
      </c>
      <c r="G66" s="12">
        <f t="shared" si="28"/>
        <v>253</v>
      </c>
      <c r="H66" s="12">
        <f t="shared" si="28"/>
        <v>131</v>
      </c>
      <c r="I66" s="12">
        <f t="shared" si="28"/>
        <v>98</v>
      </c>
      <c r="J66" s="12">
        <f t="shared" si="28"/>
        <v>0</v>
      </c>
      <c r="K66" s="12">
        <f t="shared" si="28"/>
        <v>0</v>
      </c>
      <c r="L66" s="12">
        <f t="shared" si="28"/>
        <v>251</v>
      </c>
      <c r="M66" s="12">
        <f t="shared" si="28"/>
        <v>250</v>
      </c>
      <c r="N66" s="12">
        <f t="shared" si="28"/>
        <v>133</v>
      </c>
      <c r="O66" s="12">
        <f t="shared" si="28"/>
        <v>433</v>
      </c>
      <c r="P66" s="12">
        <f t="shared" si="28"/>
        <v>2</v>
      </c>
      <c r="Q66" s="12">
        <f t="shared" si="4"/>
        <v>563</v>
      </c>
      <c r="R66" s="12">
        <f t="shared" si="4"/>
        <v>473</v>
      </c>
      <c r="S66" s="12">
        <f t="shared" si="5"/>
        <v>432</v>
      </c>
      <c r="T66" s="12">
        <f t="shared" ref="T66:AF66" si="30">T26-S26</f>
        <v>264</v>
      </c>
      <c r="U66" s="12">
        <f t="shared" si="30"/>
        <v>217</v>
      </c>
      <c r="V66" s="12">
        <f t="shared" si="30"/>
        <v>289</v>
      </c>
      <c r="W66" s="12">
        <f t="shared" si="30"/>
        <v>253</v>
      </c>
      <c r="X66" s="12">
        <f t="shared" si="30"/>
        <v>559</v>
      </c>
      <c r="Y66" s="12">
        <f t="shared" si="30"/>
        <v>46</v>
      </c>
      <c r="Z66" s="12">
        <f t="shared" si="30"/>
        <v>433</v>
      </c>
      <c r="AA66" s="12">
        <f t="shared" si="30"/>
        <v>560</v>
      </c>
      <c r="AB66" s="12">
        <f t="shared" si="30"/>
        <v>559</v>
      </c>
      <c r="AC66" s="12">
        <f t="shared" si="30"/>
        <v>179</v>
      </c>
      <c r="AD66" s="12">
        <f t="shared" si="30"/>
        <v>94</v>
      </c>
      <c r="AE66" s="12">
        <f t="shared" si="30"/>
        <v>520</v>
      </c>
      <c r="AF66" s="12">
        <f t="shared" si="30"/>
        <v>519</v>
      </c>
    </row>
    <row r="67" spans="1:32" x14ac:dyDescent="0.25">
      <c r="A67" s="13" t="s">
        <v>26</v>
      </c>
      <c r="B67" s="231">
        <v>376</v>
      </c>
      <c r="C67" s="12">
        <f t="shared" si="26"/>
        <v>86</v>
      </c>
      <c r="D67" s="12">
        <f t="shared" si="26"/>
        <v>38</v>
      </c>
      <c r="E67" s="12">
        <f t="shared" si="27"/>
        <v>562</v>
      </c>
      <c r="F67" s="12">
        <f t="shared" si="27"/>
        <v>389</v>
      </c>
      <c r="G67" s="12">
        <f t="shared" si="28"/>
        <v>517</v>
      </c>
      <c r="H67" s="12">
        <f t="shared" si="28"/>
        <v>603</v>
      </c>
      <c r="I67" s="12">
        <f t="shared" si="28"/>
        <v>196</v>
      </c>
      <c r="J67" s="12">
        <f t="shared" si="28"/>
        <v>0</v>
      </c>
      <c r="K67" s="12">
        <f t="shared" si="28"/>
        <v>0</v>
      </c>
      <c r="L67" s="12">
        <f t="shared" si="28"/>
        <v>194</v>
      </c>
      <c r="M67" s="12">
        <f t="shared" si="28"/>
        <v>251</v>
      </c>
      <c r="N67" s="12">
        <f t="shared" si="28"/>
        <v>250</v>
      </c>
      <c r="O67" s="12">
        <f t="shared" si="28"/>
        <v>251</v>
      </c>
      <c r="P67" s="12">
        <f t="shared" si="28"/>
        <v>0</v>
      </c>
      <c r="Q67" s="12">
        <f t="shared" si="4"/>
        <v>0</v>
      </c>
      <c r="R67" s="12">
        <f t="shared" si="4"/>
        <v>0</v>
      </c>
      <c r="S67" s="12">
        <f t="shared" si="5"/>
        <v>586</v>
      </c>
      <c r="T67" s="12">
        <f t="shared" ref="T67:AF67" si="31">T27-S27</f>
        <v>270</v>
      </c>
      <c r="U67" s="12">
        <f t="shared" si="31"/>
        <v>414</v>
      </c>
      <c r="V67" s="12">
        <f t="shared" si="31"/>
        <v>520</v>
      </c>
      <c r="W67" s="12">
        <f t="shared" si="31"/>
        <v>0</v>
      </c>
      <c r="X67" s="12">
        <f t="shared" si="31"/>
        <v>0</v>
      </c>
      <c r="Y67" s="12">
        <f t="shared" si="31"/>
        <v>0</v>
      </c>
      <c r="Z67" s="12">
        <f t="shared" si="31"/>
        <v>438</v>
      </c>
      <c r="AA67" s="12">
        <f t="shared" si="31"/>
        <v>560</v>
      </c>
      <c r="AB67" s="12">
        <f t="shared" si="31"/>
        <v>492</v>
      </c>
      <c r="AC67" s="12">
        <f t="shared" si="31"/>
        <v>167</v>
      </c>
      <c r="AD67" s="12">
        <f t="shared" si="31"/>
        <v>560</v>
      </c>
      <c r="AE67" s="12">
        <f t="shared" si="31"/>
        <v>217</v>
      </c>
      <c r="AF67" s="12">
        <f t="shared" si="31"/>
        <v>41</v>
      </c>
    </row>
    <row r="68" spans="1:32" x14ac:dyDescent="0.25">
      <c r="A68" s="13" t="s">
        <v>27</v>
      </c>
      <c r="B68" s="231">
        <v>166</v>
      </c>
      <c r="C68" s="12">
        <f t="shared" si="26"/>
        <v>2</v>
      </c>
      <c r="D68" s="12">
        <f t="shared" si="26"/>
        <v>0</v>
      </c>
      <c r="E68" s="12">
        <f t="shared" si="27"/>
        <v>56</v>
      </c>
      <c r="F68" s="12">
        <f t="shared" si="27"/>
        <v>183</v>
      </c>
      <c r="G68" s="12">
        <f t="shared" si="28"/>
        <v>251</v>
      </c>
      <c r="H68" s="12">
        <f t="shared" si="28"/>
        <v>98</v>
      </c>
      <c r="I68" s="12">
        <f t="shared" si="28"/>
        <v>249</v>
      </c>
      <c r="J68" s="12">
        <f t="shared" si="28"/>
        <v>0</v>
      </c>
      <c r="K68" s="12">
        <f t="shared" si="28"/>
        <v>19</v>
      </c>
      <c r="L68" s="12">
        <f t="shared" si="28"/>
        <v>279</v>
      </c>
      <c r="M68" s="12">
        <f t="shared" si="28"/>
        <v>297</v>
      </c>
      <c r="N68" s="12">
        <f t="shared" si="28"/>
        <v>518</v>
      </c>
      <c r="O68" s="12">
        <f t="shared" si="28"/>
        <v>411</v>
      </c>
      <c r="P68" s="12">
        <f t="shared" si="28"/>
        <v>0</v>
      </c>
      <c r="Q68" s="12">
        <f t="shared" si="4"/>
        <v>0</v>
      </c>
      <c r="R68" s="12">
        <f t="shared" si="4"/>
        <v>20</v>
      </c>
      <c r="S68" s="12">
        <f t="shared" si="5"/>
        <v>348</v>
      </c>
      <c r="T68" s="12">
        <f t="shared" ref="T68:AF68" si="32">T28-S28</f>
        <v>228</v>
      </c>
      <c r="U68" s="12">
        <f t="shared" si="32"/>
        <v>399</v>
      </c>
      <c r="V68" s="12">
        <f t="shared" si="32"/>
        <v>516</v>
      </c>
      <c r="W68" s="12">
        <f t="shared" si="32"/>
        <v>337</v>
      </c>
      <c r="X68" s="12">
        <f t="shared" si="32"/>
        <v>0</v>
      </c>
      <c r="Y68" s="12">
        <f t="shared" si="32"/>
        <v>0</v>
      </c>
      <c r="Z68" s="12">
        <f t="shared" si="32"/>
        <v>265</v>
      </c>
      <c r="AA68" s="12">
        <f t="shared" si="32"/>
        <v>617</v>
      </c>
      <c r="AB68" s="12">
        <f t="shared" si="32"/>
        <v>432</v>
      </c>
      <c r="AC68" s="12">
        <f t="shared" si="32"/>
        <v>254</v>
      </c>
      <c r="AD68" s="12">
        <f t="shared" si="32"/>
        <v>194</v>
      </c>
      <c r="AE68" s="12">
        <f t="shared" si="32"/>
        <v>0</v>
      </c>
      <c r="AF68" s="12">
        <f t="shared" si="32"/>
        <v>21</v>
      </c>
    </row>
    <row r="69" spans="1:32" x14ac:dyDescent="0.25">
      <c r="A69" s="11" t="s">
        <v>28</v>
      </c>
      <c r="B69" s="231">
        <v>295</v>
      </c>
      <c r="C69" s="12">
        <f t="shared" si="26"/>
        <v>44</v>
      </c>
      <c r="D69" s="12">
        <f t="shared" si="26"/>
        <v>37</v>
      </c>
      <c r="E69" s="12">
        <f t="shared" si="27"/>
        <v>437</v>
      </c>
      <c r="F69" s="12">
        <f t="shared" si="27"/>
        <v>604</v>
      </c>
      <c r="G69" s="12">
        <f t="shared" si="28"/>
        <v>141</v>
      </c>
      <c r="H69" s="12">
        <f t="shared" si="28"/>
        <v>607</v>
      </c>
      <c r="I69" s="12">
        <f t="shared" si="28"/>
        <v>259</v>
      </c>
      <c r="J69" s="12">
        <f t="shared" si="28"/>
        <v>0</v>
      </c>
      <c r="K69" s="12">
        <f t="shared" si="28"/>
        <v>0</v>
      </c>
      <c r="L69" s="12">
        <f t="shared" si="28"/>
        <v>185</v>
      </c>
      <c r="M69" s="12">
        <f t="shared" si="28"/>
        <v>193</v>
      </c>
      <c r="N69" s="12">
        <f t="shared" si="28"/>
        <v>202</v>
      </c>
      <c r="O69" s="12">
        <f t="shared" si="28"/>
        <v>307</v>
      </c>
      <c r="P69" s="12">
        <f t="shared" si="28"/>
        <v>265</v>
      </c>
      <c r="Q69" s="12">
        <f t="shared" si="4"/>
        <v>44</v>
      </c>
      <c r="R69" s="12">
        <f t="shared" si="4"/>
        <v>519</v>
      </c>
      <c r="S69" s="12">
        <f t="shared" si="5"/>
        <v>450</v>
      </c>
      <c r="T69" s="12">
        <f t="shared" ref="T69:AF69" si="33">T29-S29</f>
        <v>257</v>
      </c>
      <c r="U69" s="12">
        <f t="shared" si="33"/>
        <v>450</v>
      </c>
      <c r="V69" s="12">
        <f t="shared" si="33"/>
        <v>79</v>
      </c>
      <c r="W69" s="12">
        <f t="shared" si="33"/>
        <v>526</v>
      </c>
      <c r="X69" s="12">
        <f t="shared" si="33"/>
        <v>259</v>
      </c>
      <c r="Y69" s="12">
        <f t="shared" si="33"/>
        <v>517</v>
      </c>
      <c r="Z69" s="12">
        <f t="shared" si="33"/>
        <v>287</v>
      </c>
      <c r="AA69" s="12">
        <f t="shared" si="33"/>
        <v>271</v>
      </c>
      <c r="AB69" s="12">
        <f t="shared" si="33"/>
        <v>175</v>
      </c>
      <c r="AC69" s="12">
        <f t="shared" si="33"/>
        <v>606</v>
      </c>
      <c r="AD69" s="12">
        <f t="shared" si="33"/>
        <v>227</v>
      </c>
      <c r="AE69" s="12">
        <f t="shared" si="33"/>
        <v>0</v>
      </c>
      <c r="AF69" s="12">
        <f t="shared" si="33"/>
        <v>0</v>
      </c>
    </row>
    <row r="70" spans="1:32" x14ac:dyDescent="0.25">
      <c r="A70" s="13" t="s">
        <v>29</v>
      </c>
      <c r="B70" s="231">
        <v>159</v>
      </c>
      <c r="C70" s="12">
        <f t="shared" si="26"/>
        <v>0</v>
      </c>
      <c r="D70" s="12">
        <f t="shared" si="26"/>
        <v>0</v>
      </c>
      <c r="E70" s="12">
        <f t="shared" si="27"/>
        <v>526</v>
      </c>
      <c r="F70" s="12">
        <f t="shared" si="27"/>
        <v>219</v>
      </c>
      <c r="G70" s="12">
        <f t="shared" si="28"/>
        <v>522</v>
      </c>
      <c r="H70" s="12">
        <f t="shared" si="28"/>
        <v>561</v>
      </c>
      <c r="I70" s="12">
        <f t="shared" si="28"/>
        <v>306</v>
      </c>
      <c r="J70" s="12">
        <f t="shared" si="28"/>
        <v>561</v>
      </c>
      <c r="K70" s="12">
        <f t="shared" si="28"/>
        <v>305</v>
      </c>
      <c r="L70" s="12">
        <f t="shared" si="28"/>
        <v>518</v>
      </c>
      <c r="M70" s="12">
        <f t="shared" si="28"/>
        <v>390</v>
      </c>
      <c r="N70" s="12">
        <f t="shared" si="28"/>
        <v>561</v>
      </c>
      <c r="O70" s="12">
        <f t="shared" si="28"/>
        <v>605</v>
      </c>
      <c r="P70" s="12">
        <f t="shared" si="28"/>
        <v>2</v>
      </c>
      <c r="Q70" s="12">
        <f t="shared" si="4"/>
        <v>523</v>
      </c>
      <c r="R70" s="12">
        <f t="shared" si="4"/>
        <v>477</v>
      </c>
      <c r="S70" s="12">
        <f t="shared" si="5"/>
        <v>352</v>
      </c>
      <c r="T70" s="12">
        <f t="shared" ref="T70:AF70" si="34">T30-S30</f>
        <v>493</v>
      </c>
      <c r="U70" s="12">
        <f t="shared" si="34"/>
        <v>195</v>
      </c>
      <c r="V70" s="12">
        <f t="shared" si="34"/>
        <v>359</v>
      </c>
      <c r="W70" s="12">
        <f t="shared" si="34"/>
        <v>561</v>
      </c>
      <c r="X70" s="12">
        <f t="shared" si="34"/>
        <v>561</v>
      </c>
      <c r="Y70" s="12">
        <f t="shared" si="34"/>
        <v>44</v>
      </c>
      <c r="Z70" s="12">
        <f t="shared" si="34"/>
        <v>352</v>
      </c>
      <c r="AA70" s="12">
        <f t="shared" si="34"/>
        <v>91</v>
      </c>
      <c r="AB70" s="12">
        <f t="shared" si="34"/>
        <v>201</v>
      </c>
      <c r="AC70" s="12">
        <f t="shared" si="34"/>
        <v>252</v>
      </c>
      <c r="AD70" s="12">
        <f t="shared" si="34"/>
        <v>251</v>
      </c>
      <c r="AE70" s="12">
        <f t="shared" si="34"/>
        <v>0</v>
      </c>
      <c r="AF70" s="12">
        <f t="shared" si="34"/>
        <v>0</v>
      </c>
    </row>
    <row r="71" spans="1:32" x14ac:dyDescent="0.25">
      <c r="A71" s="11" t="s">
        <v>30</v>
      </c>
      <c r="B71" s="231">
        <v>271</v>
      </c>
      <c r="C71" s="12">
        <f t="shared" si="26"/>
        <v>0</v>
      </c>
      <c r="D71" s="12">
        <f t="shared" si="26"/>
        <v>0</v>
      </c>
      <c r="E71" s="12">
        <f t="shared" si="27"/>
        <v>587</v>
      </c>
      <c r="F71" s="12">
        <f t="shared" si="27"/>
        <v>196</v>
      </c>
      <c r="G71" s="12">
        <f t="shared" si="28"/>
        <v>251</v>
      </c>
      <c r="H71" s="12">
        <f t="shared" si="28"/>
        <v>133</v>
      </c>
      <c r="I71" s="12">
        <f t="shared" si="28"/>
        <v>251</v>
      </c>
      <c r="J71" s="12">
        <f t="shared" si="28"/>
        <v>0</v>
      </c>
      <c r="K71" s="12">
        <f t="shared" si="28"/>
        <v>20</v>
      </c>
      <c r="L71" s="12">
        <f t="shared" si="28"/>
        <v>606</v>
      </c>
      <c r="M71" s="12">
        <f t="shared" si="28"/>
        <v>519</v>
      </c>
      <c r="N71" s="12">
        <f t="shared" si="28"/>
        <v>432</v>
      </c>
      <c r="O71" s="12">
        <f t="shared" si="28"/>
        <v>357</v>
      </c>
      <c r="P71" s="12">
        <f t="shared" si="28"/>
        <v>477</v>
      </c>
      <c r="Q71" s="12">
        <f t="shared" si="4"/>
        <v>519</v>
      </c>
      <c r="R71" s="12">
        <f t="shared" si="4"/>
        <v>475</v>
      </c>
      <c r="S71" s="12">
        <f t="shared" si="5"/>
        <v>493</v>
      </c>
      <c r="T71" s="12">
        <f t="shared" ref="T71:AF71" si="35">T31-S31</f>
        <v>262</v>
      </c>
      <c r="U71" s="12">
        <f t="shared" si="35"/>
        <v>400</v>
      </c>
      <c r="V71" s="12">
        <f t="shared" si="35"/>
        <v>452</v>
      </c>
      <c r="W71" s="12">
        <f t="shared" si="35"/>
        <v>264</v>
      </c>
      <c r="X71" s="12">
        <f t="shared" si="35"/>
        <v>0</v>
      </c>
      <c r="Y71" s="12">
        <f t="shared" si="35"/>
        <v>0</v>
      </c>
      <c r="Z71" s="12">
        <f t="shared" si="35"/>
        <v>249</v>
      </c>
      <c r="AA71" s="12">
        <f t="shared" si="35"/>
        <v>250</v>
      </c>
      <c r="AB71" s="12">
        <f t="shared" si="35"/>
        <v>252</v>
      </c>
      <c r="AC71" s="12">
        <f t="shared" si="35"/>
        <v>194</v>
      </c>
      <c r="AD71" s="12">
        <f t="shared" si="35"/>
        <v>588</v>
      </c>
      <c r="AE71" s="12">
        <f t="shared" si="35"/>
        <v>435</v>
      </c>
      <c r="AF71" s="12">
        <f t="shared" si="35"/>
        <v>22</v>
      </c>
    </row>
    <row r="72" spans="1:32" s="125" customFormat="1" x14ac:dyDescent="0.25">
      <c r="A72" s="13" t="s">
        <v>111</v>
      </c>
      <c r="B72" s="231">
        <v>88</v>
      </c>
      <c r="C72" s="12">
        <f t="shared" si="26"/>
        <v>0</v>
      </c>
      <c r="D72" s="12">
        <f t="shared" si="26"/>
        <v>0</v>
      </c>
      <c r="E72" s="12">
        <f t="shared" si="27"/>
        <v>155</v>
      </c>
      <c r="F72" s="12">
        <f t="shared" si="27"/>
        <v>505</v>
      </c>
      <c r="G72" s="12">
        <f t="shared" si="28"/>
        <v>436</v>
      </c>
      <c r="H72" s="12">
        <f t="shared" si="28"/>
        <v>346</v>
      </c>
      <c r="I72" s="12">
        <f t="shared" si="28"/>
        <v>212</v>
      </c>
      <c r="J72" s="12">
        <f t="shared" si="28"/>
        <v>519</v>
      </c>
      <c r="K72" s="12">
        <f t="shared" si="28"/>
        <v>1</v>
      </c>
      <c r="L72" s="12">
        <f t="shared" si="28"/>
        <v>177</v>
      </c>
      <c r="M72" s="12">
        <f t="shared" si="28"/>
        <v>348</v>
      </c>
      <c r="N72" s="12">
        <f t="shared" si="28"/>
        <v>450</v>
      </c>
      <c r="O72" s="12">
        <f t="shared" si="28"/>
        <v>311</v>
      </c>
      <c r="P72" s="12">
        <f t="shared" si="28"/>
        <v>259</v>
      </c>
      <c r="Q72" s="12">
        <f t="shared" si="4"/>
        <v>0</v>
      </c>
      <c r="R72" s="12">
        <f t="shared" si="4"/>
        <v>2</v>
      </c>
      <c r="S72" s="12">
        <f t="shared" si="5"/>
        <v>0</v>
      </c>
      <c r="T72" s="12">
        <f t="shared" ref="T72:AF72" si="36">T32-S32</f>
        <v>347</v>
      </c>
      <c r="U72" s="12">
        <f t="shared" si="36"/>
        <v>203</v>
      </c>
      <c r="V72" s="12">
        <f t="shared" si="36"/>
        <v>211</v>
      </c>
      <c r="W72" s="12">
        <f t="shared" si="36"/>
        <v>561</v>
      </c>
      <c r="X72" s="12">
        <f t="shared" si="36"/>
        <v>561</v>
      </c>
      <c r="Y72" s="12">
        <f t="shared" si="36"/>
        <v>2</v>
      </c>
      <c r="Z72" s="12">
        <f t="shared" si="36"/>
        <v>563</v>
      </c>
      <c r="AA72" s="12">
        <f t="shared" si="36"/>
        <v>246</v>
      </c>
      <c r="AB72" s="12">
        <f t="shared" si="36"/>
        <v>168</v>
      </c>
      <c r="AC72" s="12">
        <f t="shared" si="36"/>
        <v>519</v>
      </c>
      <c r="AD72" s="12">
        <f t="shared" si="36"/>
        <v>431</v>
      </c>
      <c r="AE72" s="12">
        <f t="shared" si="36"/>
        <v>0</v>
      </c>
      <c r="AF72" s="12">
        <f t="shared" si="36"/>
        <v>0</v>
      </c>
    </row>
    <row r="73" spans="1:32" s="125" customFormat="1" x14ac:dyDescent="0.25">
      <c r="A73" s="11" t="s">
        <v>112</v>
      </c>
      <c r="B73" s="231">
        <v>493</v>
      </c>
      <c r="C73" s="12">
        <f t="shared" si="26"/>
        <v>0</v>
      </c>
      <c r="D73" s="12">
        <f t="shared" si="26"/>
        <v>0</v>
      </c>
      <c r="E73" s="12">
        <f t="shared" si="27"/>
        <v>397</v>
      </c>
      <c r="F73" s="12">
        <f t="shared" si="27"/>
        <v>262</v>
      </c>
      <c r="G73" s="12">
        <f t="shared" si="28"/>
        <v>259</v>
      </c>
      <c r="H73" s="12">
        <f t="shared" si="28"/>
        <v>249</v>
      </c>
      <c r="I73" s="12">
        <f t="shared" si="28"/>
        <v>338</v>
      </c>
      <c r="J73" s="12">
        <f t="shared" si="28"/>
        <v>0</v>
      </c>
      <c r="K73" s="12">
        <f t="shared" si="28"/>
        <v>0</v>
      </c>
      <c r="L73" s="12">
        <f t="shared" si="28"/>
        <v>587</v>
      </c>
      <c r="M73" s="12">
        <f t="shared" si="28"/>
        <v>521</v>
      </c>
      <c r="N73" s="12">
        <f t="shared" si="28"/>
        <v>196</v>
      </c>
      <c r="O73" s="12">
        <f t="shared" si="28"/>
        <v>252</v>
      </c>
      <c r="P73" s="12">
        <f t="shared" si="28"/>
        <v>477</v>
      </c>
      <c r="Q73" s="12">
        <f t="shared" si="4"/>
        <v>44</v>
      </c>
      <c r="R73" s="12">
        <f t="shared" si="4"/>
        <v>21</v>
      </c>
      <c r="S73" s="12">
        <f t="shared" si="5"/>
        <v>252</v>
      </c>
      <c r="T73" s="12">
        <f t="shared" ref="T73:AF73" si="37">T33-S33</f>
        <v>250</v>
      </c>
      <c r="U73" s="12">
        <f t="shared" si="37"/>
        <v>142</v>
      </c>
      <c r="V73" s="12">
        <f t="shared" si="37"/>
        <v>519</v>
      </c>
      <c r="W73" s="12">
        <f t="shared" si="37"/>
        <v>446</v>
      </c>
      <c r="X73" s="12">
        <f t="shared" si="37"/>
        <v>0</v>
      </c>
      <c r="Y73" s="12">
        <f t="shared" si="37"/>
        <v>10</v>
      </c>
      <c r="Z73" s="12">
        <f t="shared" si="37"/>
        <v>141</v>
      </c>
      <c r="AA73" s="12">
        <f t="shared" si="37"/>
        <v>176</v>
      </c>
      <c r="AB73" s="12">
        <f t="shared" si="37"/>
        <v>351</v>
      </c>
      <c r="AC73" s="12">
        <f t="shared" si="37"/>
        <v>265</v>
      </c>
      <c r="AD73" s="12">
        <f t="shared" si="37"/>
        <v>107</v>
      </c>
      <c r="AE73" s="12">
        <f t="shared" si="37"/>
        <v>0</v>
      </c>
      <c r="AF73" s="12">
        <f t="shared" si="37"/>
        <v>0</v>
      </c>
    </row>
    <row r="74" spans="1:32" s="125" customFormat="1" x14ac:dyDescent="0.25">
      <c r="A74" s="13" t="s">
        <v>113</v>
      </c>
      <c r="B74" s="231">
        <v>519</v>
      </c>
      <c r="C74" s="12">
        <f t="shared" si="26"/>
        <v>518</v>
      </c>
      <c r="D74" s="12">
        <f t="shared" si="26"/>
        <v>433</v>
      </c>
      <c r="E74" s="12">
        <f t="shared" si="27"/>
        <v>432</v>
      </c>
      <c r="F74" s="12">
        <f t="shared" si="27"/>
        <v>91</v>
      </c>
      <c r="G74" s="12">
        <f t="shared" si="28"/>
        <v>144</v>
      </c>
      <c r="H74" s="12">
        <f t="shared" si="28"/>
        <v>260</v>
      </c>
      <c r="I74" s="12">
        <f t="shared" si="28"/>
        <v>177</v>
      </c>
      <c r="J74" s="12">
        <f t="shared" si="28"/>
        <v>0</v>
      </c>
      <c r="K74" s="12">
        <f t="shared" si="28"/>
        <v>0</v>
      </c>
      <c r="L74" s="12">
        <f t="shared" si="28"/>
        <v>176</v>
      </c>
      <c r="M74" s="12">
        <f t="shared" si="28"/>
        <v>436</v>
      </c>
      <c r="N74" s="12">
        <f t="shared" si="28"/>
        <v>350</v>
      </c>
      <c r="O74" s="12">
        <f t="shared" si="28"/>
        <v>520</v>
      </c>
      <c r="P74" s="12">
        <f t="shared" si="28"/>
        <v>477</v>
      </c>
      <c r="Q74" s="12">
        <f t="shared" si="4"/>
        <v>561</v>
      </c>
      <c r="R74" s="12">
        <f t="shared" si="4"/>
        <v>0</v>
      </c>
      <c r="S74" s="12">
        <f t="shared" si="5"/>
        <v>435</v>
      </c>
      <c r="T74" s="12">
        <f t="shared" ref="T74:AF74" si="38">T34-S34</f>
        <v>518</v>
      </c>
      <c r="U74" s="12">
        <f t="shared" si="38"/>
        <v>371</v>
      </c>
      <c r="V74" s="12">
        <f t="shared" si="38"/>
        <v>258</v>
      </c>
      <c r="W74" s="12">
        <f t="shared" si="38"/>
        <v>559</v>
      </c>
      <c r="X74" s="12">
        <f t="shared" si="38"/>
        <v>477</v>
      </c>
      <c r="Y74" s="12">
        <f t="shared" si="38"/>
        <v>431</v>
      </c>
      <c r="Z74" s="12">
        <f t="shared" si="38"/>
        <v>431</v>
      </c>
      <c r="AA74" s="12">
        <f t="shared" si="38"/>
        <v>262</v>
      </c>
      <c r="AB74" s="12">
        <f t="shared" si="38"/>
        <v>269</v>
      </c>
      <c r="AC74" s="12">
        <f t="shared" si="38"/>
        <v>434</v>
      </c>
      <c r="AD74" s="12">
        <f t="shared" si="38"/>
        <v>431</v>
      </c>
      <c r="AE74" s="12">
        <f t="shared" si="38"/>
        <v>0</v>
      </c>
      <c r="AF74" s="12">
        <f t="shared" si="38"/>
        <v>87</v>
      </c>
    </row>
    <row r="75" spans="1:32" s="125" customFormat="1" x14ac:dyDescent="0.25">
      <c r="A75" s="11" t="s">
        <v>114</v>
      </c>
      <c r="B75" s="231">
        <v>144</v>
      </c>
      <c r="C75" s="12">
        <f t="shared" si="26"/>
        <v>0</v>
      </c>
      <c r="D75" s="12">
        <f t="shared" si="26"/>
        <v>0</v>
      </c>
      <c r="E75" s="12">
        <f t="shared" si="27"/>
        <v>433</v>
      </c>
      <c r="F75" s="12">
        <f t="shared" si="27"/>
        <v>366</v>
      </c>
      <c r="G75" s="12">
        <f t="shared" ref="G75:P79" si="39">G35-F35</f>
        <v>244</v>
      </c>
      <c r="H75" s="12">
        <f t="shared" si="39"/>
        <v>132</v>
      </c>
      <c r="I75" s="12">
        <f t="shared" si="39"/>
        <v>398</v>
      </c>
      <c r="J75" s="12">
        <f t="shared" si="39"/>
        <v>4</v>
      </c>
      <c r="K75" s="12">
        <f t="shared" si="39"/>
        <v>2</v>
      </c>
      <c r="L75" s="12">
        <f t="shared" si="39"/>
        <v>265</v>
      </c>
      <c r="M75" s="12">
        <f t="shared" si="39"/>
        <v>177</v>
      </c>
      <c r="N75" s="12">
        <f t="shared" si="39"/>
        <v>522</v>
      </c>
      <c r="O75" s="12">
        <f t="shared" si="39"/>
        <v>0</v>
      </c>
      <c r="P75" s="12">
        <f t="shared" si="39"/>
        <v>0</v>
      </c>
      <c r="Q75" s="12">
        <f t="shared" si="4"/>
        <v>0</v>
      </c>
      <c r="R75" s="12">
        <f t="shared" si="4"/>
        <v>3</v>
      </c>
      <c r="S75" s="12">
        <f t="shared" si="5"/>
        <v>381</v>
      </c>
      <c r="T75" s="12">
        <f t="shared" ref="T75:AF75" si="40">T35-S35</f>
        <v>397</v>
      </c>
      <c r="U75" s="12">
        <f t="shared" si="40"/>
        <v>193</v>
      </c>
      <c r="V75" s="12">
        <f t="shared" si="40"/>
        <v>162</v>
      </c>
      <c r="W75" s="12">
        <f t="shared" si="40"/>
        <v>252</v>
      </c>
      <c r="X75" s="12">
        <f t="shared" si="40"/>
        <v>0</v>
      </c>
      <c r="Y75" s="12">
        <f t="shared" si="40"/>
        <v>0</v>
      </c>
      <c r="Z75" s="12">
        <f t="shared" si="40"/>
        <v>203</v>
      </c>
      <c r="AA75" s="12">
        <f t="shared" si="40"/>
        <v>157</v>
      </c>
      <c r="AB75" s="12">
        <f t="shared" si="40"/>
        <v>255</v>
      </c>
      <c r="AC75" s="12">
        <f t="shared" si="40"/>
        <v>200</v>
      </c>
      <c r="AD75" s="12">
        <f t="shared" si="40"/>
        <v>252</v>
      </c>
      <c r="AE75" s="12">
        <f t="shared" si="40"/>
        <v>0</v>
      </c>
      <c r="AF75" s="12">
        <f t="shared" si="40"/>
        <v>0</v>
      </c>
    </row>
    <row r="76" spans="1:32" s="125" customFormat="1" x14ac:dyDescent="0.25">
      <c r="A76" s="13" t="s">
        <v>115</v>
      </c>
      <c r="B76" s="231">
        <v>200</v>
      </c>
      <c r="C76" s="12">
        <f t="shared" si="26"/>
        <v>0</v>
      </c>
      <c r="D76" s="12">
        <f t="shared" si="26"/>
        <v>0</v>
      </c>
      <c r="E76" s="12">
        <f t="shared" si="27"/>
        <v>250</v>
      </c>
      <c r="F76" s="12">
        <f t="shared" si="27"/>
        <v>251</v>
      </c>
      <c r="G76" s="12">
        <f t="shared" si="39"/>
        <v>244</v>
      </c>
      <c r="H76" s="12">
        <f t="shared" si="39"/>
        <v>228</v>
      </c>
      <c r="I76" s="12">
        <f t="shared" si="39"/>
        <v>108</v>
      </c>
      <c r="J76" s="12">
        <f t="shared" si="39"/>
        <v>0</v>
      </c>
      <c r="K76" s="12">
        <f t="shared" si="39"/>
        <v>0</v>
      </c>
      <c r="L76" s="12">
        <f t="shared" si="39"/>
        <v>252</v>
      </c>
      <c r="M76" s="12">
        <f t="shared" si="39"/>
        <v>503</v>
      </c>
      <c r="N76" s="12">
        <f t="shared" si="39"/>
        <v>347</v>
      </c>
      <c r="O76" s="12">
        <f t="shared" si="39"/>
        <v>348</v>
      </c>
      <c r="P76" s="12">
        <f t="shared" si="39"/>
        <v>0</v>
      </c>
      <c r="Q76" s="12">
        <f t="shared" si="4"/>
        <v>0</v>
      </c>
      <c r="R76" s="12">
        <f t="shared" si="4"/>
        <v>0</v>
      </c>
      <c r="S76" s="12">
        <f t="shared" si="5"/>
        <v>307</v>
      </c>
      <c r="T76" s="12">
        <f t="shared" ref="T76:AF76" si="41">T36-S36</f>
        <v>562</v>
      </c>
      <c r="U76" s="12">
        <f t="shared" si="41"/>
        <v>348</v>
      </c>
      <c r="V76" s="12">
        <f t="shared" si="41"/>
        <v>519</v>
      </c>
      <c r="W76" s="12">
        <f t="shared" si="41"/>
        <v>604</v>
      </c>
      <c r="X76" s="12">
        <f t="shared" si="41"/>
        <v>89</v>
      </c>
      <c r="Y76" s="12">
        <f t="shared" si="41"/>
        <v>432</v>
      </c>
      <c r="Z76" s="12">
        <f t="shared" si="41"/>
        <v>431</v>
      </c>
      <c r="AA76" s="12">
        <f t="shared" si="41"/>
        <v>287</v>
      </c>
      <c r="AB76" s="12">
        <f t="shared" si="41"/>
        <v>399</v>
      </c>
      <c r="AC76" s="12">
        <f t="shared" si="41"/>
        <v>210</v>
      </c>
      <c r="AD76" s="12">
        <f t="shared" si="41"/>
        <v>367</v>
      </c>
      <c r="AE76" s="12">
        <f t="shared" si="41"/>
        <v>0</v>
      </c>
      <c r="AF76" s="12">
        <f t="shared" si="41"/>
        <v>0</v>
      </c>
    </row>
    <row r="77" spans="1:32" s="125" customFormat="1" x14ac:dyDescent="0.25">
      <c r="A77" s="11" t="s">
        <v>116</v>
      </c>
      <c r="B77" s="231">
        <v>0</v>
      </c>
      <c r="C77" s="12">
        <f t="shared" si="26"/>
        <v>0</v>
      </c>
      <c r="D77" s="12">
        <f t="shared" si="26"/>
        <v>0</v>
      </c>
      <c r="E77" s="12">
        <f t="shared" si="27"/>
        <v>0</v>
      </c>
      <c r="F77" s="12">
        <f t="shared" si="27"/>
        <v>0</v>
      </c>
      <c r="G77" s="12">
        <f t="shared" si="39"/>
        <v>0</v>
      </c>
      <c r="H77" s="12">
        <f t="shared" si="39"/>
        <v>0</v>
      </c>
      <c r="I77" s="12">
        <f t="shared" si="39"/>
        <v>0</v>
      </c>
      <c r="J77" s="12">
        <f t="shared" si="39"/>
        <v>0</v>
      </c>
      <c r="K77" s="12">
        <f t="shared" si="39"/>
        <v>0</v>
      </c>
      <c r="L77" s="12">
        <f t="shared" si="39"/>
        <v>0</v>
      </c>
      <c r="M77" s="12">
        <f t="shared" si="39"/>
        <v>171</v>
      </c>
      <c r="N77" s="12">
        <f t="shared" si="39"/>
        <v>0</v>
      </c>
      <c r="O77" s="12">
        <f t="shared" si="39"/>
        <v>228</v>
      </c>
      <c r="P77" s="12">
        <f t="shared" si="39"/>
        <v>259</v>
      </c>
      <c r="Q77" s="12">
        <f t="shared" si="4"/>
        <v>0</v>
      </c>
      <c r="R77" s="12">
        <f t="shared" si="4"/>
        <v>1</v>
      </c>
      <c r="S77" s="12">
        <f t="shared" si="5"/>
        <v>435</v>
      </c>
      <c r="T77" s="12">
        <f t="shared" ref="T77:AF77" si="42">T37-S37</f>
        <v>518</v>
      </c>
      <c r="U77" s="12">
        <f t="shared" si="42"/>
        <v>436</v>
      </c>
      <c r="V77" s="12">
        <f t="shared" si="42"/>
        <v>517</v>
      </c>
      <c r="W77" s="12">
        <f t="shared" si="42"/>
        <v>172</v>
      </c>
      <c r="X77" s="12">
        <f t="shared" si="42"/>
        <v>0</v>
      </c>
      <c r="Y77" s="12">
        <f t="shared" si="42"/>
        <v>0</v>
      </c>
      <c r="Z77" s="12">
        <f t="shared" si="42"/>
        <v>349</v>
      </c>
      <c r="AA77" s="12">
        <f t="shared" si="42"/>
        <v>425</v>
      </c>
      <c r="AB77" s="12">
        <f t="shared" si="42"/>
        <v>254</v>
      </c>
      <c r="AC77" s="12">
        <f t="shared" si="42"/>
        <v>194</v>
      </c>
      <c r="AD77" s="12">
        <f t="shared" si="42"/>
        <v>305</v>
      </c>
      <c r="AE77" s="12">
        <f t="shared" si="42"/>
        <v>89</v>
      </c>
      <c r="AF77" s="12">
        <f t="shared" si="42"/>
        <v>22</v>
      </c>
    </row>
    <row r="78" spans="1:32" s="125" customFormat="1" x14ac:dyDescent="0.25">
      <c r="A78" s="13" t="s">
        <v>117</v>
      </c>
      <c r="B78" s="231">
        <v>2</v>
      </c>
      <c r="C78" s="12">
        <f t="shared" si="26"/>
        <v>0</v>
      </c>
      <c r="D78" s="12">
        <f t="shared" si="26"/>
        <v>0</v>
      </c>
      <c r="E78" s="12">
        <f t="shared" si="27"/>
        <v>203</v>
      </c>
      <c r="F78" s="12">
        <f t="shared" si="27"/>
        <v>257</v>
      </c>
      <c r="G78" s="12">
        <f t="shared" si="39"/>
        <v>21</v>
      </c>
      <c r="H78" s="12">
        <f t="shared" si="39"/>
        <v>250</v>
      </c>
      <c r="I78" s="12">
        <f t="shared" si="39"/>
        <v>132</v>
      </c>
      <c r="J78" s="12">
        <f t="shared" si="39"/>
        <v>0</v>
      </c>
      <c r="K78" s="12">
        <f t="shared" si="39"/>
        <v>0</v>
      </c>
      <c r="L78" s="12">
        <f t="shared" si="39"/>
        <v>249</v>
      </c>
      <c r="M78" s="12">
        <f t="shared" si="39"/>
        <v>168</v>
      </c>
      <c r="N78" s="12">
        <f t="shared" si="39"/>
        <v>143</v>
      </c>
      <c r="O78" s="12">
        <f t="shared" si="39"/>
        <v>348</v>
      </c>
      <c r="P78" s="12">
        <f t="shared" si="39"/>
        <v>433</v>
      </c>
      <c r="Q78" s="12">
        <f t="shared" si="4"/>
        <v>518</v>
      </c>
      <c r="R78" s="12">
        <f t="shared" si="4"/>
        <v>433</v>
      </c>
      <c r="S78" s="12">
        <f t="shared" si="5"/>
        <v>349</v>
      </c>
      <c r="T78" s="12">
        <f t="shared" ref="T78:AF78" si="43">T38-S38</f>
        <v>520</v>
      </c>
      <c r="U78" s="12">
        <f t="shared" si="43"/>
        <v>373</v>
      </c>
      <c r="V78" s="12">
        <f t="shared" si="43"/>
        <v>313</v>
      </c>
      <c r="W78" s="12">
        <f t="shared" si="43"/>
        <v>152</v>
      </c>
      <c r="X78" s="12">
        <f t="shared" si="43"/>
        <v>0</v>
      </c>
      <c r="Y78" s="12">
        <f t="shared" si="43"/>
        <v>0</v>
      </c>
      <c r="Z78" s="12">
        <f t="shared" si="43"/>
        <v>251</v>
      </c>
      <c r="AA78" s="12">
        <f t="shared" si="43"/>
        <v>169</v>
      </c>
      <c r="AB78" s="12">
        <f t="shared" si="43"/>
        <v>204</v>
      </c>
      <c r="AC78" s="12">
        <f t="shared" si="43"/>
        <v>226</v>
      </c>
      <c r="AD78" s="12">
        <f t="shared" si="43"/>
        <v>451</v>
      </c>
      <c r="AE78" s="12">
        <f t="shared" si="43"/>
        <v>0</v>
      </c>
      <c r="AF78" s="12">
        <f t="shared" si="43"/>
        <v>0</v>
      </c>
    </row>
    <row r="79" spans="1:32" s="125" customFormat="1" x14ac:dyDescent="0.25">
      <c r="A79" s="11" t="s">
        <v>118</v>
      </c>
      <c r="B79" s="231">
        <v>372</v>
      </c>
      <c r="C79" s="12">
        <f t="shared" si="26"/>
        <v>0</v>
      </c>
      <c r="D79" s="12">
        <f t="shared" si="26"/>
        <v>0</v>
      </c>
      <c r="E79" s="12">
        <f t="shared" si="27"/>
        <v>258</v>
      </c>
      <c r="F79" s="12">
        <f t="shared" si="27"/>
        <v>262</v>
      </c>
      <c r="G79" s="12">
        <f t="shared" si="39"/>
        <v>517</v>
      </c>
      <c r="H79" s="12">
        <f t="shared" si="39"/>
        <v>349</v>
      </c>
      <c r="I79" s="12">
        <f t="shared" si="39"/>
        <v>178</v>
      </c>
      <c r="J79" s="12">
        <f t="shared" si="39"/>
        <v>0</v>
      </c>
      <c r="K79" s="12">
        <f t="shared" si="39"/>
        <v>0</v>
      </c>
      <c r="L79" s="12">
        <f t="shared" si="39"/>
        <v>89</v>
      </c>
      <c r="M79" s="12">
        <f t="shared" si="39"/>
        <v>432</v>
      </c>
      <c r="N79" s="12">
        <f t="shared" si="39"/>
        <v>262</v>
      </c>
      <c r="O79" s="12">
        <f t="shared" si="39"/>
        <v>141</v>
      </c>
      <c r="P79" s="12">
        <f t="shared" si="39"/>
        <v>0</v>
      </c>
      <c r="Q79" s="12">
        <f t="shared" si="4"/>
        <v>0</v>
      </c>
      <c r="R79" s="12">
        <f t="shared" si="4"/>
        <v>0</v>
      </c>
      <c r="S79" s="12">
        <f t="shared" si="5"/>
        <v>432</v>
      </c>
      <c r="T79" s="12">
        <f t="shared" ref="T79:AF79" si="44">T39-S39</f>
        <v>91</v>
      </c>
      <c r="U79" s="12">
        <f t="shared" si="44"/>
        <v>389</v>
      </c>
      <c r="V79" s="12">
        <f t="shared" si="44"/>
        <v>565</v>
      </c>
      <c r="W79" s="12">
        <f t="shared" si="44"/>
        <v>604</v>
      </c>
      <c r="X79" s="12">
        <f t="shared" si="44"/>
        <v>521</v>
      </c>
      <c r="Y79" s="12">
        <f t="shared" si="44"/>
        <v>2</v>
      </c>
      <c r="Z79" s="12">
        <f t="shared" si="44"/>
        <v>562</v>
      </c>
      <c r="AA79" s="12">
        <f t="shared" si="44"/>
        <v>477</v>
      </c>
      <c r="AB79" s="12">
        <f t="shared" si="44"/>
        <v>142</v>
      </c>
      <c r="AC79" s="12">
        <f t="shared" si="44"/>
        <v>266</v>
      </c>
      <c r="AD79" s="12">
        <f t="shared" si="44"/>
        <v>346</v>
      </c>
      <c r="AE79" s="12">
        <f t="shared" si="44"/>
        <v>0</v>
      </c>
      <c r="AF79" s="12">
        <f t="shared" si="44"/>
        <v>0</v>
      </c>
    </row>
    <row r="80" spans="1:32" ht="15.75" thickBot="1" x14ac:dyDescent="0.3">
      <c r="A80" s="14"/>
      <c r="B80" s="173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F80" s="125"/>
    </row>
    <row r="81" spans="1:32" ht="15.75" thickBot="1" x14ac:dyDescent="0.3">
      <c r="A81" s="15" t="s">
        <v>34</v>
      </c>
      <c r="B81" s="16">
        <f>SUM(B45:B79)</f>
        <v>9875</v>
      </c>
      <c r="C81" s="16">
        <f t="shared" ref="C81:P81" si="45">SUM(C45:C79)</f>
        <v>6549</v>
      </c>
      <c r="D81" s="16">
        <f t="shared" si="45"/>
        <v>5082</v>
      </c>
      <c r="E81" s="16">
        <f t="shared" si="45"/>
        <v>10440</v>
      </c>
      <c r="F81" s="16">
        <f t="shared" si="45"/>
        <v>10651</v>
      </c>
      <c r="G81" s="16">
        <f t="shared" si="45"/>
        <v>10486</v>
      </c>
      <c r="H81" s="16">
        <f t="shared" si="45"/>
        <v>10611</v>
      </c>
      <c r="I81" s="16">
        <f t="shared" si="45"/>
        <v>10674</v>
      </c>
      <c r="J81" s="16">
        <f t="shared" si="45"/>
        <v>6490</v>
      </c>
      <c r="K81" s="16">
        <f t="shared" si="45"/>
        <v>5063</v>
      </c>
      <c r="L81" s="16">
        <f t="shared" si="45"/>
        <v>11667</v>
      </c>
      <c r="M81" s="16">
        <f t="shared" si="45"/>
        <v>11793</v>
      </c>
      <c r="N81" s="16">
        <f t="shared" si="45"/>
        <v>11485</v>
      </c>
      <c r="O81" s="16">
        <f t="shared" si="45"/>
        <v>11606</v>
      </c>
      <c r="P81" s="16">
        <f t="shared" si="45"/>
        <v>4954</v>
      </c>
      <c r="Q81" s="16">
        <f>SUM(Q45:Q79)</f>
        <v>6494</v>
      </c>
      <c r="R81" s="16">
        <f t="shared" ref="R81:AE81" si="46">SUM(R45:R79)</f>
        <v>4993</v>
      </c>
      <c r="S81" s="16">
        <f t="shared" si="46"/>
        <v>12045</v>
      </c>
      <c r="T81" s="16">
        <f t="shared" si="46"/>
        <v>12094</v>
      </c>
      <c r="U81" s="16">
        <f t="shared" si="46"/>
        <v>12033</v>
      </c>
      <c r="V81" s="16">
        <f t="shared" si="46"/>
        <v>12190</v>
      </c>
      <c r="W81" s="16">
        <f t="shared" si="46"/>
        <v>11146</v>
      </c>
      <c r="X81" s="16">
        <f t="shared" si="46"/>
        <v>6527</v>
      </c>
      <c r="Y81" s="16">
        <f t="shared" si="46"/>
        <v>4947</v>
      </c>
      <c r="Z81" s="16">
        <f t="shared" si="46"/>
        <v>11828</v>
      </c>
      <c r="AA81" s="16">
        <f t="shared" si="46"/>
        <v>12133</v>
      </c>
      <c r="AB81" s="16">
        <f t="shared" si="46"/>
        <v>12138</v>
      </c>
      <c r="AC81" s="16">
        <f t="shared" si="46"/>
        <v>12064</v>
      </c>
      <c r="AD81" s="16">
        <f t="shared" si="46"/>
        <v>11839</v>
      </c>
      <c r="AE81" s="16">
        <f t="shared" si="46"/>
        <v>6505</v>
      </c>
      <c r="AF81" s="16">
        <f t="shared" ref="AF81" si="47">SUM(AF45:AF79)</f>
        <v>5120</v>
      </c>
    </row>
    <row r="82" spans="1:32" s="125" customFormat="1" x14ac:dyDescent="0.25">
      <c r="A82" s="246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3"/>
  <sheetViews>
    <sheetView tabSelected="1" zoomScale="115" zoomScaleNormal="115" workbookViewId="0">
      <pane ySplit="4" topLeftCell="A209" activePane="bottomLeft" state="frozen"/>
      <selection pane="bottomLeft" activeCell="L232" sqref="L232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5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5" customWidth="1"/>
    <col min="20" max="20" width="8.140625" customWidth="1"/>
    <col min="21" max="21" width="5.28515625" customWidth="1"/>
    <col min="22" max="22" width="7.85546875" style="125" customWidth="1"/>
  </cols>
  <sheetData>
    <row r="1" spans="1:30" x14ac:dyDescent="0.25">
      <c r="A1" s="17"/>
      <c r="B1" s="18"/>
      <c r="C1" s="18"/>
      <c r="D1" s="18"/>
      <c r="E1" s="303" t="s">
        <v>162</v>
      </c>
      <c r="F1" s="303">
        <v>7.68</v>
      </c>
      <c r="H1" s="158" t="s">
        <v>125</v>
      </c>
      <c r="I1" s="158">
        <v>21.7</v>
      </c>
      <c r="J1" s="158" t="s">
        <v>35</v>
      </c>
      <c r="K1" s="158">
        <v>25.4</v>
      </c>
      <c r="L1" s="158" t="s">
        <v>36</v>
      </c>
      <c r="M1" s="158">
        <v>29.11</v>
      </c>
      <c r="N1" s="158" t="s">
        <v>119</v>
      </c>
      <c r="O1" s="158">
        <v>21.7</v>
      </c>
      <c r="P1" s="238" t="s">
        <v>153</v>
      </c>
      <c r="Q1" s="252">
        <v>8.3000000000000007</v>
      </c>
      <c r="R1" s="238" t="s">
        <v>154</v>
      </c>
      <c r="S1" s="252">
        <v>34.83</v>
      </c>
      <c r="T1" s="238" t="s">
        <v>159</v>
      </c>
      <c r="U1" s="292">
        <v>39.19</v>
      </c>
      <c r="W1" s="238" t="s">
        <v>157</v>
      </c>
      <c r="X1" s="267">
        <v>11.71</v>
      </c>
      <c r="Y1" s="238" t="s">
        <v>166</v>
      </c>
      <c r="Z1" s="310">
        <v>6</v>
      </c>
      <c r="AA1" s="238" t="s">
        <v>168</v>
      </c>
      <c r="AB1" s="310">
        <v>2.2000000000000002</v>
      </c>
      <c r="AC1" s="238" t="s">
        <v>171</v>
      </c>
      <c r="AD1" s="316">
        <v>20.81</v>
      </c>
    </row>
    <row r="2" spans="1:30" ht="15.75" thickBot="1" x14ac:dyDescent="0.3">
      <c r="A2" s="17"/>
      <c r="B2" s="340" t="s">
        <v>37</v>
      </c>
      <c r="C2" s="340"/>
      <c r="D2" s="341" t="s">
        <v>37</v>
      </c>
      <c r="E2" s="341"/>
      <c r="F2" s="238" t="s">
        <v>165</v>
      </c>
      <c r="G2" s="307">
        <f>M2-K1</f>
        <v>17.730000000000004</v>
      </c>
      <c r="H2" s="209" t="s">
        <v>147</v>
      </c>
      <c r="I2" s="209">
        <v>30.4</v>
      </c>
      <c r="J2" s="158" t="s">
        <v>121</v>
      </c>
      <c r="K2" s="158">
        <v>25.4</v>
      </c>
      <c r="L2" s="158" t="s">
        <v>38</v>
      </c>
      <c r="M2" s="158">
        <v>43.13</v>
      </c>
      <c r="N2" s="158" t="s">
        <v>110</v>
      </c>
      <c r="O2" s="158">
        <v>35.729999999999997</v>
      </c>
      <c r="P2" s="238" t="s">
        <v>152</v>
      </c>
      <c r="Q2" s="236">
        <v>33.97</v>
      </c>
      <c r="R2" s="238" t="s">
        <v>155</v>
      </c>
      <c r="S2" s="264">
        <v>7.4</v>
      </c>
      <c r="T2" s="238" t="s">
        <v>160</v>
      </c>
      <c r="U2" s="293">
        <v>12.72</v>
      </c>
      <c r="W2" s="238" t="s">
        <v>158</v>
      </c>
      <c r="X2" s="294">
        <v>21.7</v>
      </c>
      <c r="Y2" s="238" t="s">
        <v>167</v>
      </c>
      <c r="Z2" s="310">
        <v>3.9</v>
      </c>
      <c r="AA2" s="238" t="s">
        <v>170</v>
      </c>
      <c r="AB2" s="315">
        <f>(26.4-21.43)</f>
        <v>4.9699999999999989</v>
      </c>
      <c r="AC2" s="238" t="s">
        <v>179</v>
      </c>
      <c r="AD2" s="333">
        <v>10.55</v>
      </c>
    </row>
    <row r="3" spans="1:30" ht="14.1" customHeight="1" x14ac:dyDescent="0.25">
      <c r="A3" s="17"/>
      <c r="B3" s="340" t="s">
        <v>39</v>
      </c>
      <c r="C3" s="340"/>
      <c r="D3" s="341" t="s">
        <v>40</v>
      </c>
      <c r="E3" s="341"/>
      <c r="F3" s="351" t="s">
        <v>41</v>
      </c>
      <c r="G3" s="351" t="s">
        <v>42</v>
      </c>
      <c r="H3" s="351" t="s">
        <v>163</v>
      </c>
      <c r="I3" s="351" t="s">
        <v>43</v>
      </c>
      <c r="J3" s="351" t="s">
        <v>44</v>
      </c>
      <c r="K3" s="351" t="s">
        <v>45</v>
      </c>
      <c r="L3" s="351" t="s">
        <v>46</v>
      </c>
      <c r="M3" s="351" t="s">
        <v>47</v>
      </c>
      <c r="N3" s="358" t="s">
        <v>48</v>
      </c>
      <c r="O3" s="358" t="s">
        <v>49</v>
      </c>
      <c r="P3" s="363"/>
      <c r="Q3" s="364" t="s">
        <v>139</v>
      </c>
      <c r="R3" s="365"/>
      <c r="S3" s="366"/>
      <c r="T3" s="353" t="s">
        <v>142</v>
      </c>
      <c r="U3" s="354"/>
      <c r="V3" s="355"/>
      <c r="W3" s="359" t="s">
        <v>143</v>
      </c>
      <c r="X3" s="359" t="s">
        <v>164</v>
      </c>
    </row>
    <row r="4" spans="1:30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51"/>
      <c r="G4" s="352"/>
      <c r="H4" s="352"/>
      <c r="I4" s="351"/>
      <c r="J4" s="351"/>
      <c r="K4" s="351"/>
      <c r="L4" s="351"/>
      <c r="M4" s="351"/>
      <c r="N4" s="358"/>
      <c r="O4" s="358"/>
      <c r="P4" s="363"/>
      <c r="Q4" s="198" t="s">
        <v>140</v>
      </c>
      <c r="R4" s="199" t="s">
        <v>141</v>
      </c>
      <c r="S4" s="199" t="s">
        <v>146</v>
      </c>
      <c r="T4" s="200" t="s">
        <v>140</v>
      </c>
      <c r="U4" s="241" t="s">
        <v>141</v>
      </c>
      <c r="V4" s="242" t="s">
        <v>146</v>
      </c>
      <c r="W4" s="360"/>
      <c r="X4" s="360"/>
    </row>
    <row r="5" spans="1:30" x14ac:dyDescent="0.25">
      <c r="A5" s="61">
        <v>45870</v>
      </c>
      <c r="B5" s="313">
        <v>60</v>
      </c>
      <c r="C5" s="313">
        <v>19</v>
      </c>
      <c r="D5" s="139">
        <f>'Data Ocupacion'!D33</f>
        <v>68</v>
      </c>
      <c r="E5" s="139">
        <f>'Data Ocupacion'!E33</f>
        <v>11</v>
      </c>
      <c r="F5" s="126" t="s">
        <v>38</v>
      </c>
      <c r="G5" s="126">
        <f t="shared" ref="G5:G11" si="0">D5+E5*2</f>
        <v>90</v>
      </c>
      <c r="H5" s="126">
        <f>B5+C5*2</f>
        <v>98</v>
      </c>
      <c r="I5" s="126">
        <f t="shared" ref="I5:I11" si="1">D5+E5</f>
        <v>79</v>
      </c>
      <c r="J5" s="126">
        <f>G5*M$2</f>
        <v>3881.7000000000003</v>
      </c>
      <c r="K5" s="154">
        <f>I5*M$2</f>
        <v>3407.27</v>
      </c>
      <c r="L5" s="126">
        <f t="shared" ref="L5:L10" si="2">J5*104</f>
        <v>403696.80000000005</v>
      </c>
      <c r="M5" s="126">
        <f t="shared" ref="M5:M11" si="3">I5*104</f>
        <v>8216</v>
      </c>
      <c r="N5" s="19"/>
      <c r="O5" s="19"/>
      <c r="P5" s="147"/>
      <c r="Q5" s="186">
        <v>1</v>
      </c>
      <c r="R5" s="186"/>
      <c r="S5" s="210"/>
      <c r="T5" s="296"/>
      <c r="U5" s="195"/>
      <c r="V5" s="234"/>
      <c r="W5" s="185">
        <f>J5-(Q5*($M$2-$K$1))-(R5*($M$2-$M$1))- (S5*($M$2-$I$2))+ (T5*($G$2))</f>
        <v>3863.9700000000003</v>
      </c>
      <c r="X5" s="185">
        <f>H5*$M$2</f>
        <v>4226.7400000000007</v>
      </c>
    </row>
    <row r="6" spans="1:30" ht="15" customHeight="1" x14ac:dyDescent="0.25">
      <c r="A6" s="221"/>
      <c r="B6" s="313">
        <v>58</v>
      </c>
      <c r="C6" s="313">
        <v>20</v>
      </c>
      <c r="D6" s="139">
        <f>'Data Ocupacion'!D34</f>
        <v>66</v>
      </c>
      <c r="E6" s="139">
        <f>'Data Ocupacion'!E34</f>
        <v>12</v>
      </c>
      <c r="F6" s="126" t="s">
        <v>52</v>
      </c>
      <c r="G6" s="126">
        <f t="shared" si="0"/>
        <v>90</v>
      </c>
      <c r="H6" s="126">
        <f t="shared" ref="H6:H11" si="4">B6+C6*2</f>
        <v>98</v>
      </c>
      <c r="I6" s="126">
        <f t="shared" si="1"/>
        <v>78</v>
      </c>
      <c r="J6" s="126">
        <f>G6*M$2</f>
        <v>3881.7000000000003</v>
      </c>
      <c r="K6" s="154">
        <f>I6*M$2</f>
        <v>3364.1400000000003</v>
      </c>
      <c r="L6" s="126">
        <f t="shared" si="2"/>
        <v>403696.80000000005</v>
      </c>
      <c r="M6" s="126">
        <f t="shared" si="3"/>
        <v>8112</v>
      </c>
      <c r="N6" s="19"/>
      <c r="O6" s="19"/>
      <c r="P6" s="147"/>
      <c r="Q6" s="190"/>
      <c r="R6" s="190"/>
      <c r="S6" s="222"/>
      <c r="T6" s="186"/>
      <c r="U6" s="222"/>
      <c r="V6" s="235"/>
      <c r="W6" s="188">
        <f>J6-(T6*($M$2-$K$1)+(U6*($M$2-$M$1)))</f>
        <v>3881.7000000000003</v>
      </c>
      <c r="X6" s="185">
        <f>H6*$M$2</f>
        <v>4226.7400000000007</v>
      </c>
    </row>
    <row r="7" spans="1:30" ht="15" customHeight="1" x14ac:dyDescent="0.25">
      <c r="A7" s="342" t="s">
        <v>174</v>
      </c>
      <c r="B7" s="313">
        <v>33</v>
      </c>
      <c r="C7" s="313">
        <v>0</v>
      </c>
      <c r="D7" s="127">
        <f>'Data Ocupacion'!D35</f>
        <v>29</v>
      </c>
      <c r="E7" s="127">
        <f>'Data Ocupacion'!E35</f>
        <v>0</v>
      </c>
      <c r="F7" s="126" t="s">
        <v>36</v>
      </c>
      <c r="G7" s="126">
        <f t="shared" si="0"/>
        <v>29</v>
      </c>
      <c r="H7" s="126">
        <f t="shared" si="4"/>
        <v>33</v>
      </c>
      <c r="I7" s="126">
        <f t="shared" si="1"/>
        <v>29</v>
      </c>
      <c r="J7" s="126">
        <f>G7*M$1</f>
        <v>844.18999999999994</v>
      </c>
      <c r="K7" s="154">
        <f>I7*M$1</f>
        <v>844.18999999999994</v>
      </c>
      <c r="L7" s="126">
        <f t="shared" si="2"/>
        <v>87795.76</v>
      </c>
      <c r="M7" s="126">
        <f t="shared" si="3"/>
        <v>3016</v>
      </c>
      <c r="N7" s="19"/>
      <c r="O7" s="19"/>
      <c r="P7" s="147"/>
      <c r="Q7" s="189"/>
      <c r="R7" s="191"/>
      <c r="S7" s="211"/>
      <c r="T7" s="192"/>
      <c r="U7" s="193"/>
      <c r="V7" s="193"/>
      <c r="W7" s="185">
        <f>J7-(Q7*($M$1-$K$1))</f>
        <v>844.18999999999994</v>
      </c>
      <c r="X7" s="185">
        <f>H7*$M$1</f>
        <v>960.63</v>
      </c>
    </row>
    <row r="8" spans="1:30" ht="15" customHeight="1" x14ac:dyDescent="0.25">
      <c r="A8" s="342"/>
      <c r="B8" s="313">
        <v>32</v>
      </c>
      <c r="C8" s="313">
        <v>0</v>
      </c>
      <c r="D8" s="127">
        <f>'Data Ocupacion'!D36</f>
        <v>29</v>
      </c>
      <c r="E8" s="127">
        <f>'Data Ocupacion'!E36</f>
        <v>0</v>
      </c>
      <c r="F8" s="126" t="s">
        <v>53</v>
      </c>
      <c r="G8" s="126">
        <f t="shared" si="0"/>
        <v>29</v>
      </c>
      <c r="H8" s="126">
        <f t="shared" si="4"/>
        <v>32</v>
      </c>
      <c r="I8" s="126">
        <f t="shared" si="1"/>
        <v>29</v>
      </c>
      <c r="J8" s="126">
        <f>G8*M$1</f>
        <v>844.18999999999994</v>
      </c>
      <c r="K8" s="154">
        <f>I8*M$1</f>
        <v>844.18999999999994</v>
      </c>
      <c r="L8" s="126">
        <f t="shared" si="2"/>
        <v>87795.76</v>
      </c>
      <c r="M8" s="126">
        <f t="shared" si="3"/>
        <v>3016</v>
      </c>
      <c r="N8" s="19"/>
      <c r="O8" s="19"/>
      <c r="P8" s="147"/>
      <c r="Q8" s="193"/>
      <c r="R8" s="193"/>
      <c r="S8" s="193"/>
      <c r="T8" s="193"/>
      <c r="U8" s="193"/>
      <c r="V8" s="193"/>
      <c r="W8" s="185">
        <f>J8</f>
        <v>844.18999999999994</v>
      </c>
      <c r="X8" s="185">
        <f>H8*$M$1</f>
        <v>931.52</v>
      </c>
    </row>
    <row r="9" spans="1:30" s="125" customFormat="1" ht="15" customHeight="1" x14ac:dyDescent="0.25">
      <c r="A9" s="342"/>
      <c r="B9" s="313">
        <v>0</v>
      </c>
      <c r="C9" s="313">
        <v>0</v>
      </c>
      <c r="D9" s="127">
        <f>'Data Ocupacion'!D37</f>
        <v>0</v>
      </c>
      <c r="E9" s="127">
        <f>'Data Ocupacion'!E37</f>
        <v>0</v>
      </c>
      <c r="F9" s="126" t="s">
        <v>122</v>
      </c>
      <c r="G9" s="126">
        <f t="shared" si="0"/>
        <v>0</v>
      </c>
      <c r="H9" s="126">
        <f t="shared" si="4"/>
        <v>0</v>
      </c>
      <c r="I9" s="126">
        <f t="shared" si="1"/>
        <v>0</v>
      </c>
      <c r="J9" s="126">
        <f>G9*K$1</f>
        <v>0</v>
      </c>
      <c r="K9" s="154">
        <f>I9*K$1</f>
        <v>0</v>
      </c>
      <c r="L9" s="126">
        <f t="shared" si="2"/>
        <v>0</v>
      </c>
      <c r="M9" s="126">
        <f t="shared" si="3"/>
        <v>0</v>
      </c>
      <c r="N9" s="19"/>
      <c r="O9" s="19"/>
      <c r="P9" s="147"/>
      <c r="Q9" s="193"/>
      <c r="R9" s="193"/>
      <c r="S9" s="193"/>
      <c r="T9" s="193"/>
      <c r="U9" s="193"/>
      <c r="V9" s="193"/>
      <c r="W9" s="185">
        <f>J9</f>
        <v>0</v>
      </c>
      <c r="X9" s="185">
        <f>H9*$K$1</f>
        <v>0</v>
      </c>
    </row>
    <row r="10" spans="1:30" ht="15.95" customHeight="1" x14ac:dyDescent="0.25">
      <c r="A10" s="221"/>
      <c r="B10" s="313">
        <v>1</v>
      </c>
      <c r="C10" s="313">
        <v>0</v>
      </c>
      <c r="D10" s="127">
        <f>'Data Ocupacion'!D38</f>
        <v>1</v>
      </c>
      <c r="E10" s="127">
        <f>'Data Ocupacion'!E38</f>
        <v>0</v>
      </c>
      <c r="F10" s="126" t="s">
        <v>35</v>
      </c>
      <c r="G10" s="126">
        <f t="shared" si="0"/>
        <v>1</v>
      </c>
      <c r="H10" s="126">
        <f t="shared" si="4"/>
        <v>1</v>
      </c>
      <c r="I10" s="126">
        <f t="shared" si="1"/>
        <v>1</v>
      </c>
      <c r="J10" s="126">
        <f>G10*K$1</f>
        <v>25.4</v>
      </c>
      <c r="K10" s="154">
        <f>I10*K$1</f>
        <v>25.4</v>
      </c>
      <c r="L10" s="126">
        <f t="shared" si="2"/>
        <v>2641.6</v>
      </c>
      <c r="M10" s="126">
        <f t="shared" si="3"/>
        <v>104</v>
      </c>
      <c r="N10" s="19"/>
      <c r="O10" s="19"/>
      <c r="P10" s="147"/>
      <c r="Q10" s="193"/>
      <c r="R10" s="193"/>
      <c r="S10" s="193"/>
      <c r="T10" s="193"/>
      <c r="U10" s="193"/>
      <c r="V10" s="193"/>
      <c r="W10" s="185">
        <f>J10</f>
        <v>25.4</v>
      </c>
      <c r="X10" s="185">
        <f>H10*$K$1</f>
        <v>25.4</v>
      </c>
    </row>
    <row r="11" spans="1:30" s="125" customFormat="1" ht="15.95" customHeight="1" thickBot="1" x14ac:dyDescent="0.3">
      <c r="A11" s="221"/>
      <c r="B11" s="313">
        <v>0</v>
      </c>
      <c r="C11" s="313">
        <v>0</v>
      </c>
      <c r="D11" s="126">
        <f>'Data Ocupacion'!D39</f>
        <v>1</v>
      </c>
      <c r="E11" s="126">
        <f>'Data Ocupacion'!E39</f>
        <v>0</v>
      </c>
      <c r="F11" s="126" t="s">
        <v>179</v>
      </c>
      <c r="G11" s="126">
        <f t="shared" si="0"/>
        <v>1</v>
      </c>
      <c r="H11" s="126">
        <f t="shared" si="4"/>
        <v>0</v>
      </c>
      <c r="I11" s="126">
        <f t="shared" si="1"/>
        <v>1</v>
      </c>
      <c r="J11" s="126">
        <f>G11*AD$2</f>
        <v>10.55</v>
      </c>
      <c r="K11" s="154">
        <f>AD2</f>
        <v>10.55</v>
      </c>
      <c r="L11" s="126">
        <f>J11*104</f>
        <v>1097.2</v>
      </c>
      <c r="M11" s="126">
        <f t="shared" si="3"/>
        <v>104</v>
      </c>
      <c r="N11" s="19"/>
      <c r="O11" s="19"/>
      <c r="P11" s="147"/>
      <c r="Q11" s="193"/>
      <c r="R11" s="193"/>
      <c r="S11" s="193"/>
      <c r="T11" s="193"/>
      <c r="U11" s="193"/>
      <c r="V11" s="193"/>
      <c r="W11" s="185">
        <f>J11</f>
        <v>10.55</v>
      </c>
      <c r="X11" s="185">
        <f>H11*$K$1</f>
        <v>0</v>
      </c>
    </row>
    <row r="12" spans="1:30" ht="15.75" thickBot="1" x14ac:dyDescent="0.3">
      <c r="A12" s="20"/>
      <c r="B12" s="120">
        <f>SUM(B5:B11)</f>
        <v>184</v>
      </c>
      <c r="C12" s="120">
        <f>SUM(C5:C11)</f>
        <v>39</v>
      </c>
      <c r="D12" s="149">
        <f>SUM(D5:D11)</f>
        <v>194</v>
      </c>
      <c r="E12" s="149">
        <f>SUM(E5:E11)</f>
        <v>23</v>
      </c>
      <c r="F12" s="120"/>
      <c r="G12" s="120">
        <f>SUM(G5:G11)</f>
        <v>240</v>
      </c>
      <c r="H12" s="120">
        <f>SUM(H5:H11)</f>
        <v>262</v>
      </c>
      <c r="I12" s="120">
        <f>SUM(I5:I11)</f>
        <v>217</v>
      </c>
      <c r="J12" s="120">
        <f>SUM(J5:J11)</f>
        <v>9487.73</v>
      </c>
      <c r="K12" s="120">
        <f>SUM(K5:K11)</f>
        <v>8495.739999999998</v>
      </c>
      <c r="L12" s="120">
        <f>SUM(L5:L11)</f>
        <v>986723.92</v>
      </c>
      <c r="M12" s="120">
        <f>SUM(M5:M11)</f>
        <v>22568</v>
      </c>
      <c r="N12" s="124">
        <f>'Odometro-Kilometraje'!B81</f>
        <v>9875</v>
      </c>
      <c r="O12" s="21">
        <f>(W12/N12)*100</f>
        <v>95.898734177215189</v>
      </c>
      <c r="P12" s="196"/>
      <c r="Q12" s="184"/>
      <c r="R12" s="184"/>
      <c r="S12" s="184"/>
      <c r="T12" s="184"/>
      <c r="U12" s="184"/>
      <c r="V12" s="184"/>
      <c r="W12" s="197">
        <f>SUM(W5:W11)</f>
        <v>9470</v>
      </c>
      <c r="X12" s="197">
        <f>SUM(X5:X11)</f>
        <v>10371.030000000001</v>
      </c>
    </row>
    <row r="13" spans="1:30" x14ac:dyDescent="0.25">
      <c r="A13" s="61">
        <f>A5+1</f>
        <v>45871</v>
      </c>
      <c r="B13" s="117">
        <v>69</v>
      </c>
      <c r="C13" s="117">
        <v>3</v>
      </c>
      <c r="D13" s="148">
        <f>'Data Ocupacion'!F33</f>
        <v>69</v>
      </c>
      <c r="E13" s="148">
        <f>'Data Ocupacion'!G33</f>
        <v>3</v>
      </c>
      <c r="F13" s="117" t="s">
        <v>38</v>
      </c>
      <c r="G13" s="117">
        <f t="shared" ref="G13:G18" si="5">D13+E13*2</f>
        <v>75</v>
      </c>
      <c r="H13" s="117">
        <f>B13+C13*2</f>
        <v>75</v>
      </c>
      <c r="I13" s="117">
        <f t="shared" ref="I13:I18" si="6">D13+E13</f>
        <v>72</v>
      </c>
      <c r="J13" s="117">
        <f>G13*M$2</f>
        <v>3234.75</v>
      </c>
      <c r="K13" s="154">
        <f>I13*M$2</f>
        <v>3105.36</v>
      </c>
      <c r="L13" s="117">
        <f t="shared" ref="L13:L18" si="7">J13*104</f>
        <v>336414</v>
      </c>
      <c r="M13" s="117">
        <f t="shared" ref="M13:M18" si="8">I13*104</f>
        <v>7488</v>
      </c>
      <c r="N13" s="19"/>
      <c r="O13" s="19"/>
      <c r="P13" s="147"/>
      <c r="Q13" s="186"/>
      <c r="R13" s="186"/>
      <c r="S13" s="210"/>
      <c r="T13" s="186"/>
      <c r="U13" s="195"/>
      <c r="V13" s="234"/>
      <c r="W13" s="185">
        <f>J13-(Q13*($M$2-$K$1))-(R13*($M$2-$M$1))- (S13*($M$2-$I$2))+ (T13*($G$2))</f>
        <v>3234.75</v>
      </c>
      <c r="X13" s="185">
        <f>H13*$M$2</f>
        <v>3234.75</v>
      </c>
      <c r="Z13" s="125"/>
    </row>
    <row r="14" spans="1:30" ht="15" customHeight="1" x14ac:dyDescent="0.25">
      <c r="A14" s="221"/>
      <c r="B14" s="117">
        <v>75</v>
      </c>
      <c r="C14" s="117">
        <v>0</v>
      </c>
      <c r="D14" s="148">
        <f>'Data Ocupacion'!F34</f>
        <v>75</v>
      </c>
      <c r="E14" s="148">
        <f>'Data Ocupacion'!G34</f>
        <v>0</v>
      </c>
      <c r="F14" s="117" t="s">
        <v>52</v>
      </c>
      <c r="G14" s="117">
        <f t="shared" si="5"/>
        <v>75</v>
      </c>
      <c r="H14" s="117">
        <f t="shared" ref="H14:H18" si="9">B14+C14*2</f>
        <v>75</v>
      </c>
      <c r="I14" s="117">
        <f t="shared" si="6"/>
        <v>75</v>
      </c>
      <c r="J14" s="117">
        <f>G14*M$2</f>
        <v>3234.75</v>
      </c>
      <c r="K14" s="154">
        <f>I14*M$2</f>
        <v>3234.75</v>
      </c>
      <c r="L14" s="117">
        <f t="shared" si="7"/>
        <v>336414</v>
      </c>
      <c r="M14" s="117">
        <f t="shared" si="8"/>
        <v>7800</v>
      </c>
      <c r="N14" s="19"/>
      <c r="O14" s="19"/>
      <c r="P14" s="147"/>
      <c r="Q14" s="190"/>
      <c r="R14" s="190"/>
      <c r="S14" s="190"/>
      <c r="T14" s="186"/>
      <c r="U14" s="186"/>
      <c r="V14" s="210"/>
      <c r="W14" s="188">
        <f>J14-(T14*($M$2-$K$1)+(U14*($M$2-$M$1)))</f>
        <v>3234.75</v>
      </c>
      <c r="X14" s="185">
        <f>H14*$M$2</f>
        <v>3234.75</v>
      </c>
      <c r="Z14" s="125"/>
    </row>
    <row r="15" spans="1:30" ht="15.95" customHeight="1" x14ac:dyDescent="0.25">
      <c r="A15" s="221"/>
      <c r="B15" s="117">
        <v>0</v>
      </c>
      <c r="C15" s="117">
        <v>0</v>
      </c>
      <c r="D15" s="148">
        <f>'Data Ocupacion'!F35</f>
        <v>0</v>
      </c>
      <c r="E15" s="148">
        <f>'Data Ocupacion'!G35</f>
        <v>0</v>
      </c>
      <c r="F15" s="117" t="s">
        <v>36</v>
      </c>
      <c r="G15" s="117">
        <f t="shared" si="5"/>
        <v>0</v>
      </c>
      <c r="H15" s="117">
        <f t="shared" si="9"/>
        <v>0</v>
      </c>
      <c r="I15" s="117">
        <f t="shared" si="6"/>
        <v>0</v>
      </c>
      <c r="J15" s="117">
        <f>G15*M$1</f>
        <v>0</v>
      </c>
      <c r="K15" s="154">
        <f>I15*M$1</f>
        <v>0</v>
      </c>
      <c r="L15" s="117">
        <f t="shared" si="7"/>
        <v>0</v>
      </c>
      <c r="M15" s="117">
        <f t="shared" si="8"/>
        <v>0</v>
      </c>
      <c r="N15" s="19"/>
      <c r="O15" s="19"/>
      <c r="P15" s="147"/>
      <c r="Q15" s="189"/>
      <c r="R15" s="191"/>
      <c r="S15" s="211"/>
      <c r="T15" s="192"/>
      <c r="U15" s="193"/>
      <c r="V15" s="193"/>
      <c r="W15" s="185">
        <f>J15-(Q15*($M$1-$K$1))</f>
        <v>0</v>
      </c>
      <c r="X15" s="185">
        <f>H15*$M$1</f>
        <v>0</v>
      </c>
      <c r="Z15" s="125"/>
    </row>
    <row r="16" spans="1:30" ht="15" customHeight="1" x14ac:dyDescent="0.25">
      <c r="A16" s="221"/>
      <c r="B16" s="117">
        <v>0</v>
      </c>
      <c r="C16" s="117">
        <v>0</v>
      </c>
      <c r="D16" s="148">
        <f>'Data Ocupacion'!F36</f>
        <v>0</v>
      </c>
      <c r="E16" s="148">
        <f>'Data Ocupacion'!G36</f>
        <v>0</v>
      </c>
      <c r="F16" s="117" t="s">
        <v>53</v>
      </c>
      <c r="G16" s="117">
        <f t="shared" si="5"/>
        <v>0</v>
      </c>
      <c r="H16" s="117">
        <f t="shared" si="9"/>
        <v>0</v>
      </c>
      <c r="I16" s="117">
        <f t="shared" si="6"/>
        <v>0</v>
      </c>
      <c r="J16" s="117">
        <f>G16*M$1</f>
        <v>0</v>
      </c>
      <c r="K16" s="154">
        <f>I16*M$1</f>
        <v>0</v>
      </c>
      <c r="L16" s="117">
        <f t="shared" si="7"/>
        <v>0</v>
      </c>
      <c r="M16" s="117">
        <f t="shared" si="8"/>
        <v>0</v>
      </c>
      <c r="N16" s="166"/>
      <c r="O16" s="19"/>
      <c r="P16" s="147"/>
      <c r="Q16" s="193"/>
      <c r="R16" s="193"/>
      <c r="S16" s="193"/>
      <c r="T16" s="193"/>
      <c r="U16" s="193"/>
      <c r="V16" s="193"/>
      <c r="W16" s="185">
        <f>J16</f>
        <v>0</v>
      </c>
      <c r="X16" s="185">
        <f>H16*$M$1</f>
        <v>0</v>
      </c>
    </row>
    <row r="17" spans="1:24" s="125" customFormat="1" ht="15" customHeight="1" x14ac:dyDescent="0.25">
      <c r="A17" s="221"/>
      <c r="B17" s="117">
        <v>0</v>
      </c>
      <c r="C17" s="117">
        <v>0</v>
      </c>
      <c r="D17" s="148">
        <f>'Data Ocupacion'!F37</f>
        <v>0</v>
      </c>
      <c r="E17" s="148">
        <f>'Data Ocupacion'!G37</f>
        <v>0</v>
      </c>
      <c r="F17" s="117" t="s">
        <v>122</v>
      </c>
      <c r="G17" s="117">
        <f t="shared" si="5"/>
        <v>0</v>
      </c>
      <c r="H17" s="117">
        <f t="shared" si="9"/>
        <v>0</v>
      </c>
      <c r="I17" s="117">
        <f t="shared" si="6"/>
        <v>0</v>
      </c>
      <c r="J17" s="117">
        <f>G17*K$1</f>
        <v>0</v>
      </c>
      <c r="K17" s="154">
        <f>I17*K$1</f>
        <v>0</v>
      </c>
      <c r="L17" s="117">
        <f t="shared" si="7"/>
        <v>0</v>
      </c>
      <c r="M17" s="117">
        <f t="shared" si="8"/>
        <v>0</v>
      </c>
      <c r="N17" s="166"/>
      <c r="O17" s="19"/>
      <c r="P17" s="147"/>
      <c r="Q17" s="193"/>
      <c r="R17" s="193"/>
      <c r="S17" s="193"/>
      <c r="T17" s="193"/>
      <c r="U17" s="193"/>
      <c r="V17" s="193"/>
      <c r="W17" s="185">
        <f>J17</f>
        <v>0</v>
      </c>
      <c r="X17" s="185">
        <f>H17*$K$1</f>
        <v>0</v>
      </c>
    </row>
    <row r="18" spans="1:24" s="125" customFormat="1" ht="15" customHeight="1" thickBot="1" x14ac:dyDescent="0.3">
      <c r="A18" s="221"/>
      <c r="B18" s="117">
        <v>0</v>
      </c>
      <c r="C18" s="117">
        <v>0</v>
      </c>
      <c r="D18" s="148">
        <f>'Data Ocupacion'!F38</f>
        <v>0</v>
      </c>
      <c r="E18" s="148">
        <f>'Data Ocupacion'!G38</f>
        <v>0</v>
      </c>
      <c r="F18" s="117" t="s">
        <v>35</v>
      </c>
      <c r="G18" s="117">
        <f t="shared" si="5"/>
        <v>0</v>
      </c>
      <c r="H18" s="117">
        <f t="shared" si="9"/>
        <v>0</v>
      </c>
      <c r="I18" s="117">
        <f t="shared" si="6"/>
        <v>0</v>
      </c>
      <c r="J18" s="117">
        <f>G18*K$1</f>
        <v>0</v>
      </c>
      <c r="K18" s="154">
        <f>I18*K$1</f>
        <v>0</v>
      </c>
      <c r="L18" s="117">
        <f t="shared" si="7"/>
        <v>0</v>
      </c>
      <c r="M18" s="117">
        <f t="shared" si="8"/>
        <v>0</v>
      </c>
      <c r="N18" s="19"/>
      <c r="O18" s="19"/>
      <c r="P18" s="147"/>
      <c r="Q18" s="193"/>
      <c r="R18" s="193"/>
      <c r="S18" s="193"/>
      <c r="T18" s="193"/>
      <c r="U18" s="193"/>
      <c r="V18" s="193"/>
      <c r="W18" s="185">
        <f>J18</f>
        <v>0</v>
      </c>
      <c r="X18" s="185">
        <f>H18*$K$1</f>
        <v>0</v>
      </c>
    </row>
    <row r="19" spans="1:24" ht="15.75" thickBot="1" x14ac:dyDescent="0.3">
      <c r="A19" s="20"/>
      <c r="B19" s="120">
        <f>SUM(B13:B18)</f>
        <v>144</v>
      </c>
      <c r="C19" s="120">
        <f>SUM(C13:C18)</f>
        <v>3</v>
      </c>
      <c r="D19" s="149">
        <f>SUM(D13:D18)</f>
        <v>144</v>
      </c>
      <c r="E19" s="149">
        <f>SUM(E13:E18)</f>
        <v>3</v>
      </c>
      <c r="F19" s="120"/>
      <c r="G19" s="120">
        <f t="shared" ref="G19:M19" si="10">SUM(G13:G18)</f>
        <v>150</v>
      </c>
      <c r="H19" s="120">
        <f t="shared" si="10"/>
        <v>150</v>
      </c>
      <c r="I19" s="120">
        <f t="shared" si="10"/>
        <v>147</v>
      </c>
      <c r="J19" s="120">
        <f t="shared" si="10"/>
        <v>6469.5</v>
      </c>
      <c r="K19" s="120">
        <f t="shared" si="10"/>
        <v>6340.1100000000006</v>
      </c>
      <c r="L19" s="120">
        <f t="shared" si="10"/>
        <v>672828</v>
      </c>
      <c r="M19" s="120">
        <f t="shared" si="10"/>
        <v>15288</v>
      </c>
      <c r="N19" s="124">
        <f>'Odometro-Kilometraje'!C81</f>
        <v>6549</v>
      </c>
      <c r="O19" s="21">
        <f>(W19/N19)*100</f>
        <v>98.786074209803019</v>
      </c>
      <c r="P19" s="196"/>
      <c r="Q19" s="184"/>
      <c r="R19" s="184"/>
      <c r="S19" s="184"/>
      <c r="T19" s="184"/>
      <c r="U19" s="184"/>
      <c r="V19" s="184"/>
      <c r="W19" s="197">
        <f>SUM(W13:W18)</f>
        <v>6469.5</v>
      </c>
      <c r="X19" s="197">
        <f>SUM(X13:X18)</f>
        <v>6469.5</v>
      </c>
    </row>
    <row r="20" spans="1:24" x14ac:dyDescent="0.25">
      <c r="A20" s="61">
        <f>A13+1</f>
        <v>45872</v>
      </c>
      <c r="B20" s="224">
        <v>51</v>
      </c>
      <c r="C20" s="224">
        <v>3</v>
      </c>
      <c r="D20" s="139">
        <f>'Data Ocupacion'!H33</f>
        <v>51</v>
      </c>
      <c r="E20" s="139">
        <f>'Data Ocupacion'!I33</f>
        <v>3</v>
      </c>
      <c r="F20" s="224" t="s">
        <v>38</v>
      </c>
      <c r="G20" s="224">
        <f t="shared" ref="G20:G25" si="11">D20+E20*2</f>
        <v>57</v>
      </c>
      <c r="H20" s="224">
        <f>B20+C20*2</f>
        <v>57</v>
      </c>
      <c r="I20" s="224">
        <f t="shared" ref="I20:I25" si="12">D20+E20</f>
        <v>54</v>
      </c>
      <c r="J20" s="224">
        <f>G20*M$2</f>
        <v>2458.4100000000003</v>
      </c>
      <c r="K20" s="154">
        <f>I20*M$2</f>
        <v>2329.02</v>
      </c>
      <c r="L20" s="224">
        <f t="shared" ref="L20:L25" si="13">J20*104</f>
        <v>255674.64000000004</v>
      </c>
      <c r="M20" s="224">
        <f t="shared" ref="M20:M25" si="14">I20*104</f>
        <v>5616</v>
      </c>
      <c r="N20" s="19"/>
      <c r="O20" s="19"/>
      <c r="P20" s="147"/>
      <c r="Q20" s="186"/>
      <c r="R20" s="186"/>
      <c r="S20" s="210"/>
      <c r="T20" s="186"/>
      <c r="U20" s="195"/>
      <c r="V20" s="234"/>
      <c r="W20" s="185">
        <f>J20-(Q20*($M$2-$K$1))-(R20*($M$2-$M$1))- (S20*($M$2-$I$2))+ (T20*($G$2))</f>
        <v>2458.4100000000003</v>
      </c>
      <c r="X20" s="185">
        <f>H20*$M$2</f>
        <v>2458.4100000000003</v>
      </c>
    </row>
    <row r="21" spans="1:24" ht="15.95" customHeight="1" x14ac:dyDescent="0.25">
      <c r="A21" s="221"/>
      <c r="B21" s="224">
        <v>57</v>
      </c>
      <c r="C21" s="224">
        <v>0</v>
      </c>
      <c r="D21" s="139">
        <f>'Data Ocupacion'!H34</f>
        <v>57</v>
      </c>
      <c r="E21" s="139">
        <f>'Data Ocupacion'!I34</f>
        <v>0</v>
      </c>
      <c r="F21" s="224" t="s">
        <v>52</v>
      </c>
      <c r="G21" s="224">
        <f t="shared" si="11"/>
        <v>57</v>
      </c>
      <c r="H21" s="224">
        <f t="shared" ref="H21:H25" si="15">B21+C21*2</f>
        <v>57</v>
      </c>
      <c r="I21" s="224">
        <f t="shared" si="12"/>
        <v>57</v>
      </c>
      <c r="J21" s="224">
        <f>G21*M$2</f>
        <v>2458.4100000000003</v>
      </c>
      <c r="K21" s="154">
        <f>I21*M$2</f>
        <v>2458.4100000000003</v>
      </c>
      <c r="L21" s="224">
        <f t="shared" si="13"/>
        <v>255674.64000000004</v>
      </c>
      <c r="M21" s="224">
        <f t="shared" si="14"/>
        <v>5928</v>
      </c>
      <c r="N21" s="19"/>
      <c r="O21" s="19"/>
      <c r="P21" s="147"/>
      <c r="Q21" s="190"/>
      <c r="R21" s="190"/>
      <c r="S21" s="222"/>
      <c r="T21" s="186"/>
      <c r="U21" s="222"/>
      <c r="V21" s="235"/>
      <c r="W21" s="188">
        <f>J21-(T21*($M$2-$K$1)+(U21*($M$2-$M$1)))</f>
        <v>2458.4100000000003</v>
      </c>
      <c r="X21" s="185">
        <f>H21*$M$2</f>
        <v>2458.4100000000003</v>
      </c>
    </row>
    <row r="22" spans="1:24" ht="15" customHeight="1" x14ac:dyDescent="0.25">
      <c r="A22" s="221"/>
      <c r="B22" s="224">
        <v>0</v>
      </c>
      <c r="C22" s="224">
        <v>0</v>
      </c>
      <c r="D22" s="139">
        <f>'Data Ocupacion'!H35</f>
        <v>0</v>
      </c>
      <c r="E22" s="139">
        <f>'Data Ocupacion'!I35</f>
        <v>0</v>
      </c>
      <c r="F22" s="224" t="s">
        <v>36</v>
      </c>
      <c r="G22" s="224">
        <f t="shared" si="11"/>
        <v>0</v>
      </c>
      <c r="H22" s="224">
        <f t="shared" si="15"/>
        <v>0</v>
      </c>
      <c r="I22" s="224">
        <f t="shared" si="12"/>
        <v>0</v>
      </c>
      <c r="J22" s="224">
        <f>G22*M$1</f>
        <v>0</v>
      </c>
      <c r="K22" s="154">
        <f>I22*M$1</f>
        <v>0</v>
      </c>
      <c r="L22" s="224">
        <f t="shared" si="13"/>
        <v>0</v>
      </c>
      <c r="M22" s="224">
        <f t="shared" si="14"/>
        <v>0</v>
      </c>
      <c r="N22" s="19"/>
      <c r="O22" s="19"/>
      <c r="P22" s="147"/>
      <c r="Q22" s="189"/>
      <c r="R22" s="191"/>
      <c r="S22" s="211"/>
      <c r="T22" s="192"/>
      <c r="U22" s="193"/>
      <c r="V22" s="193"/>
      <c r="W22" s="185">
        <f>J22-(Q22*($M$1-$K$1))</f>
        <v>0</v>
      </c>
      <c r="X22" s="185">
        <f>H22*$M$1</f>
        <v>0</v>
      </c>
    </row>
    <row r="23" spans="1:24" ht="15" customHeight="1" x14ac:dyDescent="0.25">
      <c r="A23" s="221"/>
      <c r="B23" s="224">
        <v>0</v>
      </c>
      <c r="C23" s="224">
        <v>0</v>
      </c>
      <c r="D23" s="139">
        <f>'Data Ocupacion'!H36</f>
        <v>0</v>
      </c>
      <c r="E23" s="139">
        <f>'Data Ocupacion'!I36</f>
        <v>0</v>
      </c>
      <c r="F23" s="224" t="s">
        <v>53</v>
      </c>
      <c r="G23" s="224">
        <f t="shared" si="11"/>
        <v>0</v>
      </c>
      <c r="H23" s="224">
        <f t="shared" si="15"/>
        <v>0</v>
      </c>
      <c r="I23" s="224">
        <f t="shared" si="12"/>
        <v>0</v>
      </c>
      <c r="J23" s="224">
        <f>G23*M$1</f>
        <v>0</v>
      </c>
      <c r="K23" s="154">
        <f>I23*M$1</f>
        <v>0</v>
      </c>
      <c r="L23" s="224">
        <f t="shared" si="13"/>
        <v>0</v>
      </c>
      <c r="M23" s="224">
        <f t="shared" si="14"/>
        <v>0</v>
      </c>
      <c r="N23" s="19"/>
      <c r="O23" s="19"/>
      <c r="P23" s="147"/>
      <c r="Q23" s="193"/>
      <c r="R23" s="193"/>
      <c r="S23" s="193"/>
      <c r="T23" s="193"/>
      <c r="U23" s="193"/>
      <c r="V23" s="193"/>
      <c r="W23" s="185">
        <f>J23</f>
        <v>0</v>
      </c>
      <c r="X23" s="185">
        <f>H23*$M$1</f>
        <v>0</v>
      </c>
    </row>
    <row r="24" spans="1:24" s="125" customFormat="1" ht="15" customHeight="1" x14ac:dyDescent="0.25">
      <c r="A24" s="221"/>
      <c r="B24" s="224">
        <v>0</v>
      </c>
      <c r="C24" s="224">
        <v>0</v>
      </c>
      <c r="D24" s="139">
        <f>'Data Ocupacion'!H37</f>
        <v>0</v>
      </c>
      <c r="E24" s="139">
        <f>'Data Ocupacion'!I37</f>
        <v>0</v>
      </c>
      <c r="F24" s="224" t="s">
        <v>122</v>
      </c>
      <c r="G24" s="224">
        <f t="shared" si="11"/>
        <v>0</v>
      </c>
      <c r="H24" s="224">
        <f t="shared" si="15"/>
        <v>0</v>
      </c>
      <c r="I24" s="224">
        <f t="shared" si="12"/>
        <v>0</v>
      </c>
      <c r="J24" s="224">
        <f>G24*K$1</f>
        <v>0</v>
      </c>
      <c r="K24" s="154">
        <f>I24*K$1</f>
        <v>0</v>
      </c>
      <c r="L24" s="224">
        <f t="shared" si="13"/>
        <v>0</v>
      </c>
      <c r="M24" s="224">
        <f t="shared" si="14"/>
        <v>0</v>
      </c>
      <c r="N24" s="19"/>
      <c r="O24" s="19"/>
      <c r="P24" s="147"/>
      <c r="Q24" s="193"/>
      <c r="R24" s="193"/>
      <c r="S24" s="193"/>
      <c r="T24" s="193"/>
      <c r="U24" s="193"/>
      <c r="V24" s="193"/>
      <c r="W24" s="185">
        <f>J24</f>
        <v>0</v>
      </c>
      <c r="X24" s="185">
        <f>H24*$K$1</f>
        <v>0</v>
      </c>
    </row>
    <row r="25" spans="1:24" s="125" customFormat="1" ht="15" customHeight="1" thickBot="1" x14ac:dyDescent="0.3">
      <c r="A25" s="221"/>
      <c r="B25" s="224">
        <v>0</v>
      </c>
      <c r="C25" s="224">
        <v>0</v>
      </c>
      <c r="D25" s="139">
        <f>'Data Ocupacion'!H38</f>
        <v>0</v>
      </c>
      <c r="E25" s="139">
        <f>'Data Ocupacion'!I38</f>
        <v>0</v>
      </c>
      <c r="F25" s="224" t="s">
        <v>35</v>
      </c>
      <c r="G25" s="224">
        <f t="shared" si="11"/>
        <v>0</v>
      </c>
      <c r="H25" s="224">
        <f t="shared" si="15"/>
        <v>0</v>
      </c>
      <c r="I25" s="224">
        <f t="shared" si="12"/>
        <v>0</v>
      </c>
      <c r="J25" s="224">
        <f>G25*K$1</f>
        <v>0</v>
      </c>
      <c r="K25" s="154">
        <f>I25*K$1</f>
        <v>0</v>
      </c>
      <c r="L25" s="224">
        <f t="shared" si="13"/>
        <v>0</v>
      </c>
      <c r="M25" s="224">
        <f t="shared" si="14"/>
        <v>0</v>
      </c>
      <c r="N25" s="19"/>
      <c r="O25" s="19"/>
      <c r="P25" s="147"/>
      <c r="Q25" s="193"/>
      <c r="R25" s="193"/>
      <c r="S25" s="193"/>
      <c r="T25" s="193"/>
      <c r="U25" s="193"/>
      <c r="V25" s="193"/>
      <c r="W25" s="185">
        <f>J25</f>
        <v>0</v>
      </c>
      <c r="X25" s="185">
        <f>H25*$K$1</f>
        <v>0</v>
      </c>
    </row>
    <row r="26" spans="1:24" ht="15.95" customHeight="1" thickBot="1" x14ac:dyDescent="0.3">
      <c r="A26" s="20"/>
      <c r="B26" s="120">
        <f>SUM(B20:B25)</f>
        <v>108</v>
      </c>
      <c r="C26" s="120">
        <f>SUM(C20:C25)</f>
        <v>3</v>
      </c>
      <c r="D26" s="153">
        <f>SUM(D20:D25)</f>
        <v>108</v>
      </c>
      <c r="E26" s="153">
        <f>SUM(E20:E25)</f>
        <v>3</v>
      </c>
      <c r="F26" s="120"/>
      <c r="G26" s="120">
        <f t="shared" ref="G26:M26" si="16">SUM(G20:G25)</f>
        <v>114</v>
      </c>
      <c r="H26" s="120">
        <f t="shared" si="16"/>
        <v>114</v>
      </c>
      <c r="I26" s="120">
        <f t="shared" si="16"/>
        <v>111</v>
      </c>
      <c r="J26" s="121">
        <f t="shared" si="16"/>
        <v>4916.8200000000006</v>
      </c>
      <c r="K26" s="120">
        <f t="shared" si="16"/>
        <v>4787.43</v>
      </c>
      <c r="L26" s="119">
        <f t="shared" si="16"/>
        <v>511349.28000000009</v>
      </c>
      <c r="M26" s="152">
        <f t="shared" si="16"/>
        <v>11544</v>
      </c>
      <c r="N26" s="183">
        <f>'Odometro-Kilometraje'!D81</f>
        <v>5082</v>
      </c>
      <c r="O26" s="21">
        <f>(W26/N26)*100</f>
        <v>96.749704840613944</v>
      </c>
      <c r="P26" s="196"/>
      <c r="Q26" s="184"/>
      <c r="R26" s="184"/>
      <c r="S26" s="184"/>
      <c r="T26" s="184"/>
      <c r="U26" s="184"/>
      <c r="V26" s="184"/>
      <c r="W26" s="197">
        <f>SUM(W20:W25)</f>
        <v>4916.8200000000006</v>
      </c>
      <c r="X26" s="197">
        <f>SUM(X20:X25)</f>
        <v>4916.8200000000006</v>
      </c>
    </row>
    <row r="27" spans="1:24" x14ac:dyDescent="0.25">
      <c r="A27" s="61">
        <f>A20+1</f>
        <v>45873</v>
      </c>
      <c r="B27" s="313">
        <v>60</v>
      </c>
      <c r="C27" s="313">
        <v>19</v>
      </c>
      <c r="D27" s="127">
        <f>'Data Ocupacion'!J33</f>
        <v>61</v>
      </c>
      <c r="E27" s="127">
        <f>'Data Ocupacion'!K33</f>
        <v>18</v>
      </c>
      <c r="F27" s="126" t="s">
        <v>38</v>
      </c>
      <c r="G27" s="126">
        <f t="shared" ref="G27:G32" si="17">D27+E27*2</f>
        <v>97</v>
      </c>
      <c r="H27" s="126">
        <f>B27+C27*2</f>
        <v>98</v>
      </c>
      <c r="I27" s="126">
        <f t="shared" ref="I27:I32" si="18">D27+E27</f>
        <v>79</v>
      </c>
      <c r="J27" s="126">
        <f>G27*M$2</f>
        <v>4183.6100000000006</v>
      </c>
      <c r="K27" s="154">
        <f>I27*M$2</f>
        <v>3407.27</v>
      </c>
      <c r="L27" s="126">
        <f t="shared" ref="L27:L32" si="19">J27*104</f>
        <v>435095.44000000006</v>
      </c>
      <c r="M27" s="126">
        <f t="shared" ref="M27:M32" si="20">I27*104</f>
        <v>8216</v>
      </c>
      <c r="N27" s="19"/>
      <c r="O27" s="19"/>
      <c r="P27" s="147"/>
      <c r="Q27" s="186">
        <v>4</v>
      </c>
      <c r="R27" s="186"/>
      <c r="S27" s="210"/>
      <c r="T27" s="186"/>
      <c r="U27" s="195"/>
      <c r="V27" s="234"/>
      <c r="W27" s="185">
        <f>J27-(Q27*($M$2-$K$1))-(R27*($M$2-$M$1))- (S27*($M$2-$I$2))+ (T27*($G$2))</f>
        <v>4112.6900000000005</v>
      </c>
      <c r="X27" s="185">
        <f>H27*$M$2</f>
        <v>4226.7400000000007</v>
      </c>
    </row>
    <row r="28" spans="1:24" ht="17.25" customHeight="1" x14ac:dyDescent="0.25">
      <c r="A28" s="221"/>
      <c r="B28" s="313">
        <v>58</v>
      </c>
      <c r="C28" s="313">
        <v>20</v>
      </c>
      <c r="D28" s="127">
        <f>'Data Ocupacion'!J34</f>
        <v>59</v>
      </c>
      <c r="E28" s="127">
        <f>'Data Ocupacion'!K34</f>
        <v>19</v>
      </c>
      <c r="F28" s="126" t="s">
        <v>52</v>
      </c>
      <c r="G28" s="126">
        <f t="shared" si="17"/>
        <v>97</v>
      </c>
      <c r="H28" s="126">
        <f t="shared" ref="H28:H32" si="21">B28+C28*2</f>
        <v>98</v>
      </c>
      <c r="I28" s="126">
        <f t="shared" si="18"/>
        <v>78</v>
      </c>
      <c r="J28" s="126">
        <f>G28*M$2</f>
        <v>4183.6100000000006</v>
      </c>
      <c r="K28" s="154">
        <f>I28*M$2</f>
        <v>3364.1400000000003</v>
      </c>
      <c r="L28" s="126">
        <f t="shared" si="19"/>
        <v>435095.44000000006</v>
      </c>
      <c r="M28" s="126">
        <f t="shared" si="20"/>
        <v>8112</v>
      </c>
      <c r="N28" s="19"/>
      <c r="O28" s="19"/>
      <c r="P28" s="147"/>
      <c r="Q28" s="190"/>
      <c r="R28" s="190"/>
      <c r="S28" s="222"/>
      <c r="T28" s="186">
        <v>1</v>
      </c>
      <c r="U28" s="222"/>
      <c r="V28" s="235"/>
      <c r="W28" s="188">
        <f>J28-(T28*($M$2-$K$1)+(U28*($M$2-$M$1))+(V28*($M$2-$I$2)))</f>
        <v>4165.880000000001</v>
      </c>
      <c r="X28" s="185">
        <f>H28*$M$2</f>
        <v>4226.7400000000007</v>
      </c>
    </row>
    <row r="29" spans="1:24" ht="15" customHeight="1" x14ac:dyDescent="0.25">
      <c r="A29" s="221"/>
      <c r="B29" s="313">
        <v>33</v>
      </c>
      <c r="C29" s="313">
        <v>0</v>
      </c>
      <c r="D29" s="127">
        <f>'Data Ocupacion'!J35</f>
        <v>33</v>
      </c>
      <c r="E29" s="127">
        <f>'Data Ocupacion'!K35</f>
        <v>0</v>
      </c>
      <c r="F29" s="126" t="s">
        <v>36</v>
      </c>
      <c r="G29" s="126">
        <f t="shared" si="17"/>
        <v>33</v>
      </c>
      <c r="H29" s="126">
        <f t="shared" si="21"/>
        <v>33</v>
      </c>
      <c r="I29" s="126">
        <f t="shared" si="18"/>
        <v>33</v>
      </c>
      <c r="J29" s="126">
        <f>G29*M$1</f>
        <v>960.63</v>
      </c>
      <c r="K29" s="154">
        <f>I29*M$1</f>
        <v>960.63</v>
      </c>
      <c r="L29" s="126">
        <f t="shared" si="19"/>
        <v>99905.52</v>
      </c>
      <c r="M29" s="126">
        <f t="shared" si="20"/>
        <v>3432</v>
      </c>
      <c r="N29" s="19"/>
      <c r="O29" s="19"/>
      <c r="P29" s="147"/>
      <c r="Q29" s="189"/>
      <c r="R29" s="191"/>
      <c r="S29" s="211"/>
      <c r="T29" s="192"/>
      <c r="U29" s="193"/>
      <c r="V29" s="193"/>
      <c r="W29" s="185">
        <f>J29-(Q29*($M$1-$K$1))</f>
        <v>960.63</v>
      </c>
      <c r="X29" s="185">
        <f>H29*$M$1</f>
        <v>960.63</v>
      </c>
    </row>
    <row r="30" spans="1:24" ht="15" customHeight="1" x14ac:dyDescent="0.25">
      <c r="A30" s="221"/>
      <c r="B30" s="313">
        <v>32</v>
      </c>
      <c r="C30" s="313">
        <v>0</v>
      </c>
      <c r="D30" s="127">
        <f>'Data Ocupacion'!J36</f>
        <v>32</v>
      </c>
      <c r="E30" s="127">
        <f>'Data Ocupacion'!K36</f>
        <v>0</v>
      </c>
      <c r="F30" s="126" t="s">
        <v>53</v>
      </c>
      <c r="G30" s="126">
        <f t="shared" si="17"/>
        <v>32</v>
      </c>
      <c r="H30" s="126">
        <f t="shared" si="21"/>
        <v>32</v>
      </c>
      <c r="I30" s="126">
        <f t="shared" si="18"/>
        <v>32</v>
      </c>
      <c r="J30" s="126">
        <f>G30*M$1</f>
        <v>931.52</v>
      </c>
      <c r="K30" s="154">
        <f>I30*M$1</f>
        <v>931.52</v>
      </c>
      <c r="L30" s="126">
        <f t="shared" si="19"/>
        <v>96878.080000000002</v>
      </c>
      <c r="M30" s="126">
        <f t="shared" si="20"/>
        <v>3328</v>
      </c>
      <c r="N30" s="19"/>
      <c r="O30" s="19"/>
      <c r="P30" s="147"/>
      <c r="Q30" s="193"/>
      <c r="R30" s="193"/>
      <c r="S30" s="193"/>
      <c r="T30" s="193"/>
      <c r="U30" s="193"/>
      <c r="V30" s="193"/>
      <c r="W30" s="185">
        <f>J30</f>
        <v>931.52</v>
      </c>
      <c r="X30" s="185">
        <f>H30*$M$1</f>
        <v>931.52</v>
      </c>
    </row>
    <row r="31" spans="1:24" s="125" customFormat="1" ht="15" customHeight="1" x14ac:dyDescent="0.25">
      <c r="A31" s="221"/>
      <c r="B31" s="313">
        <v>0</v>
      </c>
      <c r="C31" s="313">
        <v>0</v>
      </c>
      <c r="D31" s="127">
        <f>'Data Ocupacion'!J37</f>
        <v>0</v>
      </c>
      <c r="E31" s="127">
        <f>'Data Ocupacion'!K37</f>
        <v>0</v>
      </c>
      <c r="F31" s="126" t="s">
        <v>122</v>
      </c>
      <c r="G31" s="126">
        <f t="shared" si="17"/>
        <v>0</v>
      </c>
      <c r="H31" s="126">
        <f t="shared" si="21"/>
        <v>0</v>
      </c>
      <c r="I31" s="126">
        <f t="shared" si="18"/>
        <v>0</v>
      </c>
      <c r="J31" s="126">
        <f>G31*K$1</f>
        <v>0</v>
      </c>
      <c r="K31" s="154">
        <f>I31*K$1</f>
        <v>0</v>
      </c>
      <c r="L31" s="126">
        <f t="shared" si="19"/>
        <v>0</v>
      </c>
      <c r="M31" s="126">
        <f t="shared" si="20"/>
        <v>0</v>
      </c>
      <c r="N31" s="19"/>
      <c r="P31" s="147"/>
      <c r="Q31" s="193"/>
      <c r="R31" s="193"/>
      <c r="S31" s="193"/>
      <c r="T31" s="193"/>
      <c r="U31" s="193"/>
      <c r="V31" s="193"/>
      <c r="W31" s="185">
        <f>J31</f>
        <v>0</v>
      </c>
      <c r="X31" s="185">
        <f>H31*$K$1</f>
        <v>0</v>
      </c>
    </row>
    <row r="32" spans="1:24" ht="15.95" customHeight="1" thickBot="1" x14ac:dyDescent="0.3">
      <c r="A32" s="221"/>
      <c r="B32" s="313">
        <v>1</v>
      </c>
      <c r="C32" s="313">
        <v>0</v>
      </c>
      <c r="D32" s="127">
        <f>'Data Ocupacion'!J38</f>
        <v>1</v>
      </c>
      <c r="E32" s="127">
        <f>'Data Ocupacion'!K38</f>
        <v>0</v>
      </c>
      <c r="F32" s="126" t="s">
        <v>35</v>
      </c>
      <c r="G32" s="126">
        <f t="shared" si="17"/>
        <v>1</v>
      </c>
      <c r="H32" s="126">
        <f t="shared" si="21"/>
        <v>1</v>
      </c>
      <c r="I32" s="126">
        <f t="shared" si="18"/>
        <v>1</v>
      </c>
      <c r="J32" s="126">
        <f>G32*K$1</f>
        <v>25.4</v>
      </c>
      <c r="K32" s="154">
        <f>I32*K$1</f>
        <v>25.4</v>
      </c>
      <c r="L32" s="126">
        <f t="shared" si="19"/>
        <v>2641.6</v>
      </c>
      <c r="M32" s="126">
        <f t="shared" si="20"/>
        <v>104</v>
      </c>
      <c r="N32" s="19"/>
      <c r="P32" s="147"/>
      <c r="Q32" s="193"/>
      <c r="R32" s="193"/>
      <c r="S32" s="193"/>
      <c r="T32" s="193"/>
      <c r="U32" s="193"/>
      <c r="V32" s="193"/>
      <c r="W32" s="185">
        <f>J32</f>
        <v>25.4</v>
      </c>
      <c r="X32" s="185">
        <f>H32*$K$1</f>
        <v>25.4</v>
      </c>
    </row>
    <row r="33" spans="1:32" ht="15.75" thickBot="1" x14ac:dyDescent="0.3">
      <c r="A33" s="20"/>
      <c r="B33" s="120">
        <f>SUM(B27:B32)</f>
        <v>184</v>
      </c>
      <c r="C33" s="120">
        <f>SUM(C27:C32)</f>
        <v>39</v>
      </c>
      <c r="D33" s="153">
        <f>SUM(D27:D32)</f>
        <v>186</v>
      </c>
      <c r="E33" s="153">
        <f>SUM(E27:E32)</f>
        <v>37</v>
      </c>
      <c r="F33" s="120"/>
      <c r="G33" s="120">
        <f t="shared" ref="G33:M33" si="22">SUM(G27:G32)</f>
        <v>260</v>
      </c>
      <c r="H33" s="120">
        <f t="shared" si="22"/>
        <v>262</v>
      </c>
      <c r="I33" s="120">
        <f t="shared" si="22"/>
        <v>223</v>
      </c>
      <c r="J33" s="121">
        <f t="shared" si="22"/>
        <v>10284.77</v>
      </c>
      <c r="K33" s="120">
        <f t="shared" si="22"/>
        <v>8688.9599999999991</v>
      </c>
      <c r="L33" s="119">
        <f t="shared" si="22"/>
        <v>1069616.0800000003</v>
      </c>
      <c r="M33" s="152">
        <f t="shared" si="22"/>
        <v>23192</v>
      </c>
      <c r="N33" s="124">
        <f>'Odometro-Kilometraje'!E81</f>
        <v>10440</v>
      </c>
      <c r="O33" s="21">
        <f>(W33/N33)*100</f>
        <v>97.663984674329512</v>
      </c>
      <c r="P33" s="196"/>
      <c r="Q33" s="184"/>
      <c r="R33" s="184"/>
      <c r="S33" s="184"/>
      <c r="T33" s="184"/>
      <c r="U33" s="184"/>
      <c r="V33" s="184"/>
      <c r="W33" s="197">
        <f>SUM(W27:W32)</f>
        <v>10196.120000000001</v>
      </c>
      <c r="X33" s="197">
        <f>SUM(X27:X32)</f>
        <v>10371.030000000001</v>
      </c>
    </row>
    <row r="34" spans="1:32" x14ac:dyDescent="0.25">
      <c r="A34" s="61">
        <f>A27+1</f>
        <v>45874</v>
      </c>
      <c r="B34" s="313">
        <v>60</v>
      </c>
      <c r="C34" s="313">
        <v>19</v>
      </c>
      <c r="D34" s="127">
        <f>'Data Ocupacion'!L33</f>
        <v>60</v>
      </c>
      <c r="E34" s="127">
        <f>'Data Ocupacion'!M33</f>
        <v>19</v>
      </c>
      <c r="F34" s="126" t="s">
        <v>38</v>
      </c>
      <c r="G34" s="126">
        <f t="shared" ref="G34:G39" si="23">D34+E34*2</f>
        <v>98</v>
      </c>
      <c r="H34" s="126">
        <f>B34+C34*2</f>
        <v>98</v>
      </c>
      <c r="I34" s="126">
        <f t="shared" ref="I34:I39" si="24">D34+E34</f>
        <v>79</v>
      </c>
      <c r="J34" s="126">
        <f>G34*M$2</f>
        <v>4226.7400000000007</v>
      </c>
      <c r="K34" s="154">
        <f>I34*M$2</f>
        <v>3407.27</v>
      </c>
      <c r="L34" s="126">
        <f t="shared" ref="L34:L39" si="25">J34*104</f>
        <v>439580.96000000008</v>
      </c>
      <c r="M34" s="126">
        <f t="shared" ref="M34:M39" si="26">I34*104</f>
        <v>8216</v>
      </c>
      <c r="N34" s="19"/>
      <c r="O34" s="19"/>
      <c r="P34" s="147"/>
      <c r="Q34" s="186">
        <v>2</v>
      </c>
      <c r="R34" s="186"/>
      <c r="S34" s="210"/>
      <c r="T34" s="296"/>
      <c r="U34" s="195"/>
      <c r="V34" s="234"/>
      <c r="W34" s="185">
        <f>J34-(Q34*($M$2-$K$1))-(R34*($M$2-$M$1))- (S34*($M$2-$I$2))+ (T34*($G$2))</f>
        <v>4191.2800000000007</v>
      </c>
      <c r="X34" s="185">
        <f>H34*$M$2</f>
        <v>4226.7400000000007</v>
      </c>
    </row>
    <row r="35" spans="1:32" ht="15" customHeight="1" x14ac:dyDescent="0.25">
      <c r="A35" s="261"/>
      <c r="B35" s="313">
        <v>58</v>
      </c>
      <c r="C35" s="313">
        <v>20</v>
      </c>
      <c r="D35" s="127">
        <f>'Data Ocupacion'!L34</f>
        <v>58</v>
      </c>
      <c r="E35" s="127">
        <f>'Data Ocupacion'!M34</f>
        <v>20</v>
      </c>
      <c r="F35" s="126" t="s">
        <v>52</v>
      </c>
      <c r="G35" s="126">
        <f t="shared" si="23"/>
        <v>98</v>
      </c>
      <c r="H35" s="126">
        <f t="shared" ref="H35:H39" si="27">B35+C35*2</f>
        <v>98</v>
      </c>
      <c r="I35" s="126">
        <f t="shared" si="24"/>
        <v>78</v>
      </c>
      <c r="J35" s="126">
        <f>G35*M$2</f>
        <v>4226.7400000000007</v>
      </c>
      <c r="K35" s="154">
        <f>I35*M$2</f>
        <v>3364.1400000000003</v>
      </c>
      <c r="L35" s="126">
        <f t="shared" si="25"/>
        <v>439580.96000000008</v>
      </c>
      <c r="M35" s="126">
        <f t="shared" si="26"/>
        <v>8112</v>
      </c>
      <c r="N35" s="19"/>
      <c r="O35" s="19"/>
      <c r="P35" s="147"/>
      <c r="Q35" s="190"/>
      <c r="R35" s="190"/>
      <c r="S35" s="222"/>
      <c r="T35" s="186">
        <v>3</v>
      </c>
      <c r="U35" s="222"/>
      <c r="V35" s="235"/>
      <c r="W35" s="188">
        <f>J35-(T35*($M$2-$K$1)+(U35*($M$2-$M$1)))</f>
        <v>4173.5500000000011</v>
      </c>
      <c r="X35" s="185">
        <f>H35*$M$2</f>
        <v>4226.7400000000007</v>
      </c>
    </row>
    <row r="36" spans="1:32" ht="15" customHeight="1" x14ac:dyDescent="0.25">
      <c r="A36" s="261"/>
      <c r="B36" s="313">
        <v>33</v>
      </c>
      <c r="C36" s="313">
        <v>0</v>
      </c>
      <c r="D36" s="127">
        <f>'Data Ocupacion'!L35</f>
        <v>33</v>
      </c>
      <c r="E36" s="127">
        <f>'Data Ocupacion'!M35</f>
        <v>0</v>
      </c>
      <c r="F36" s="126" t="s">
        <v>36</v>
      </c>
      <c r="G36" s="126">
        <f t="shared" si="23"/>
        <v>33</v>
      </c>
      <c r="H36" s="126">
        <f t="shared" si="27"/>
        <v>33</v>
      </c>
      <c r="I36" s="126">
        <f t="shared" si="24"/>
        <v>33</v>
      </c>
      <c r="J36" s="126">
        <f>G36*M$1</f>
        <v>960.63</v>
      </c>
      <c r="K36" s="154">
        <f>I36*M$1</f>
        <v>960.63</v>
      </c>
      <c r="L36" s="126">
        <f t="shared" si="25"/>
        <v>99905.52</v>
      </c>
      <c r="M36" s="126">
        <f t="shared" si="26"/>
        <v>3432</v>
      </c>
      <c r="N36" s="19"/>
      <c r="O36" s="19"/>
      <c r="P36" s="147"/>
      <c r="Q36" s="189"/>
      <c r="R36" s="191"/>
      <c r="S36" s="211"/>
      <c r="T36" s="192"/>
      <c r="U36" s="193"/>
      <c r="V36" s="193"/>
      <c r="W36" s="185">
        <f>J36-(Q36*($M$1-$K$1))</f>
        <v>960.63</v>
      </c>
      <c r="X36" s="185">
        <f>H36*$M$1</f>
        <v>960.63</v>
      </c>
    </row>
    <row r="37" spans="1:32" ht="15" customHeight="1" x14ac:dyDescent="0.25">
      <c r="A37" s="261"/>
      <c r="B37" s="313">
        <v>32</v>
      </c>
      <c r="C37" s="313">
        <v>0</v>
      </c>
      <c r="D37" s="127">
        <f>'Data Ocupacion'!L36</f>
        <v>32</v>
      </c>
      <c r="E37" s="127">
        <f>'Data Ocupacion'!M36</f>
        <v>0</v>
      </c>
      <c r="F37" s="126" t="s">
        <v>53</v>
      </c>
      <c r="G37" s="126">
        <f t="shared" si="23"/>
        <v>32</v>
      </c>
      <c r="H37" s="126">
        <f t="shared" si="27"/>
        <v>32</v>
      </c>
      <c r="I37" s="126">
        <f t="shared" si="24"/>
        <v>32</v>
      </c>
      <c r="J37" s="126">
        <f>G37*M$1</f>
        <v>931.52</v>
      </c>
      <c r="K37" s="154">
        <f>I37*M$1</f>
        <v>931.52</v>
      </c>
      <c r="L37" s="126">
        <f t="shared" si="25"/>
        <v>96878.080000000002</v>
      </c>
      <c r="M37" s="126">
        <f t="shared" si="26"/>
        <v>3328</v>
      </c>
      <c r="N37" s="19"/>
      <c r="O37" s="19"/>
      <c r="P37" s="147"/>
      <c r="Q37" s="193"/>
      <c r="R37" s="193"/>
      <c r="S37" s="193"/>
      <c r="T37" s="193"/>
      <c r="U37" s="193"/>
      <c r="V37" s="193"/>
      <c r="W37" s="185">
        <f>J37</f>
        <v>931.52</v>
      </c>
      <c r="X37" s="185">
        <f>H37*$M$1</f>
        <v>931.52</v>
      </c>
    </row>
    <row r="38" spans="1:32" s="125" customFormat="1" ht="15" customHeight="1" x14ac:dyDescent="0.25">
      <c r="A38" s="261"/>
      <c r="B38" s="313">
        <v>0</v>
      </c>
      <c r="C38" s="313">
        <v>0</v>
      </c>
      <c r="D38" s="127">
        <f>'Data Ocupacion'!L37</f>
        <v>0</v>
      </c>
      <c r="E38" s="127">
        <f>'Data Ocupacion'!M37</f>
        <v>0</v>
      </c>
      <c r="F38" s="126" t="s">
        <v>122</v>
      </c>
      <c r="G38" s="126">
        <f t="shared" si="23"/>
        <v>0</v>
      </c>
      <c r="H38" s="126">
        <f t="shared" si="27"/>
        <v>0</v>
      </c>
      <c r="I38" s="126">
        <f t="shared" si="24"/>
        <v>0</v>
      </c>
      <c r="J38" s="126">
        <f>G38*K$1</f>
        <v>0</v>
      </c>
      <c r="K38" s="154">
        <f>I38*K$1</f>
        <v>0</v>
      </c>
      <c r="L38" s="126">
        <f t="shared" si="25"/>
        <v>0</v>
      </c>
      <c r="M38" s="126">
        <f t="shared" si="26"/>
        <v>0</v>
      </c>
      <c r="N38" s="19"/>
      <c r="O38" s="19"/>
      <c r="P38" s="147"/>
      <c r="Q38" s="193"/>
      <c r="R38" s="193"/>
      <c r="S38" s="193"/>
      <c r="T38" s="193"/>
      <c r="U38" s="193"/>
      <c r="V38" s="193"/>
      <c r="W38" s="185">
        <f>J38</f>
        <v>0</v>
      </c>
      <c r="X38" s="185">
        <f>H38*$K$1</f>
        <v>0</v>
      </c>
    </row>
    <row r="39" spans="1:32" ht="15.95" customHeight="1" thickBot="1" x14ac:dyDescent="0.3">
      <c r="A39" s="261"/>
      <c r="B39" s="313">
        <v>1</v>
      </c>
      <c r="C39" s="313">
        <v>0</v>
      </c>
      <c r="D39" s="127">
        <f>'Data Ocupacion'!L38</f>
        <v>1</v>
      </c>
      <c r="E39" s="127">
        <f>'Data Ocupacion'!M38</f>
        <v>0</v>
      </c>
      <c r="F39" s="126" t="s">
        <v>35</v>
      </c>
      <c r="G39" s="126">
        <f t="shared" si="23"/>
        <v>1</v>
      </c>
      <c r="H39" s="126">
        <f t="shared" si="27"/>
        <v>1</v>
      </c>
      <c r="I39" s="126">
        <f t="shared" si="24"/>
        <v>1</v>
      </c>
      <c r="J39" s="126">
        <f>G39*K$1</f>
        <v>25.4</v>
      </c>
      <c r="K39" s="154">
        <f>I39*K$1</f>
        <v>25.4</v>
      </c>
      <c r="L39" s="126">
        <f t="shared" si="25"/>
        <v>2641.6</v>
      </c>
      <c r="M39" s="126">
        <f t="shared" si="26"/>
        <v>104</v>
      </c>
      <c r="N39" s="19"/>
      <c r="O39" s="19"/>
      <c r="P39" s="147"/>
      <c r="Q39" s="193"/>
      <c r="R39" s="193"/>
      <c r="S39" s="193"/>
      <c r="T39" s="193"/>
      <c r="U39" s="193"/>
      <c r="V39" s="193"/>
      <c r="W39" s="185">
        <f>J39</f>
        <v>25.4</v>
      </c>
      <c r="X39" s="185">
        <f>H39*$K$1</f>
        <v>25.4</v>
      </c>
    </row>
    <row r="40" spans="1:32" ht="15.75" thickBot="1" x14ac:dyDescent="0.3">
      <c r="A40" s="20"/>
      <c r="B40" s="223">
        <f>SUM(B34:B39)</f>
        <v>184</v>
      </c>
      <c r="C40" s="223">
        <f>SUM(C34:C39)</f>
        <v>39</v>
      </c>
      <c r="D40" s="153">
        <f>SUM(D34:D39)</f>
        <v>184</v>
      </c>
      <c r="E40" s="153">
        <f>SUM(E34:E39)</f>
        <v>39</v>
      </c>
      <c r="F40" s="120"/>
      <c r="G40" s="120">
        <f t="shared" ref="G40:M40" si="28">SUM(G34:G39)</f>
        <v>262</v>
      </c>
      <c r="H40" s="120">
        <f t="shared" si="28"/>
        <v>262</v>
      </c>
      <c r="I40" s="120">
        <f t="shared" si="28"/>
        <v>223</v>
      </c>
      <c r="J40" s="121">
        <f t="shared" si="28"/>
        <v>10371.030000000001</v>
      </c>
      <c r="K40" s="120">
        <f t="shared" si="28"/>
        <v>8688.9599999999991</v>
      </c>
      <c r="L40" s="119">
        <f t="shared" si="28"/>
        <v>1078587.1200000003</v>
      </c>
      <c r="M40" s="152">
        <f t="shared" si="28"/>
        <v>23192</v>
      </c>
      <c r="N40" s="124">
        <f>'Odometro-Kilometraje'!F81</f>
        <v>10651</v>
      </c>
      <c r="O40" s="21">
        <f>(W40/N40)*100</f>
        <v>96.539104309454515</v>
      </c>
      <c r="P40" s="196"/>
      <c r="Q40" s="184"/>
      <c r="R40" s="184"/>
      <c r="S40" s="184"/>
      <c r="T40" s="184"/>
      <c r="U40" s="184"/>
      <c r="V40" s="184"/>
      <c r="W40" s="197">
        <f>SUM(W34:W39)</f>
        <v>10282.380000000001</v>
      </c>
      <c r="X40" s="197">
        <f>SUM(X34:X39)</f>
        <v>10371.030000000001</v>
      </c>
    </row>
    <row r="41" spans="1:32" x14ac:dyDescent="0.25">
      <c r="A41" s="61">
        <f>A34+1</f>
        <v>45875</v>
      </c>
      <c r="B41" s="313">
        <v>60</v>
      </c>
      <c r="C41" s="313">
        <v>19</v>
      </c>
      <c r="D41" s="127">
        <f>'Data Ocupacion'!N33</f>
        <v>60</v>
      </c>
      <c r="E41" s="127">
        <f>'Data Ocupacion'!O33</f>
        <v>19</v>
      </c>
      <c r="F41" s="126" t="s">
        <v>38</v>
      </c>
      <c r="G41" s="126">
        <f t="shared" ref="G41:G46" si="29">D41+E41*2</f>
        <v>98</v>
      </c>
      <c r="H41" s="126">
        <f>B41+C41*2</f>
        <v>98</v>
      </c>
      <c r="I41" s="126">
        <f t="shared" ref="I41:I46" si="30">D41+E41</f>
        <v>79</v>
      </c>
      <c r="J41" s="126">
        <f>G41*M$2</f>
        <v>4226.7400000000007</v>
      </c>
      <c r="K41" s="154">
        <f>I41*M$2</f>
        <v>3407.27</v>
      </c>
      <c r="L41" s="126">
        <f t="shared" ref="L41:L46" si="31">J41*104</f>
        <v>439580.96000000008</v>
      </c>
      <c r="M41" s="126">
        <f t="shared" ref="M41:M46" si="32">I41*104</f>
        <v>8216</v>
      </c>
      <c r="N41" s="19"/>
      <c r="O41" s="19"/>
      <c r="P41" s="147"/>
      <c r="Q41" s="186">
        <v>5</v>
      </c>
      <c r="R41" s="186"/>
      <c r="S41" s="210"/>
      <c r="T41" s="296"/>
      <c r="U41" s="195"/>
      <c r="V41" s="234"/>
      <c r="W41" s="185">
        <f>J41-(Q41*($M$2-$K$1))-(R41*($M$2-$M$1))- (S41*($M$2-$I$2))+ (T41*($G$2))</f>
        <v>4138.0900000000011</v>
      </c>
      <c r="X41" s="185">
        <f>H41*$M$2</f>
        <v>4226.7400000000007</v>
      </c>
    </row>
    <row r="42" spans="1:32" ht="15" customHeight="1" x14ac:dyDescent="0.25">
      <c r="A42" s="261"/>
      <c r="B42" s="313">
        <v>58</v>
      </c>
      <c r="C42" s="313">
        <v>20</v>
      </c>
      <c r="D42" s="127">
        <f>'Data Ocupacion'!N34</f>
        <v>58</v>
      </c>
      <c r="E42" s="127">
        <f>'Data Ocupacion'!O34</f>
        <v>20</v>
      </c>
      <c r="F42" s="126" t="s">
        <v>52</v>
      </c>
      <c r="G42" s="126">
        <f t="shared" si="29"/>
        <v>98</v>
      </c>
      <c r="H42" s="126">
        <f t="shared" ref="H42:H46" si="33">B42+C42*2</f>
        <v>98</v>
      </c>
      <c r="I42" s="126">
        <f t="shared" si="30"/>
        <v>78</v>
      </c>
      <c r="J42" s="126">
        <f>G42*M$2</f>
        <v>4226.7400000000007</v>
      </c>
      <c r="K42" s="154">
        <f>I42*M$2</f>
        <v>3364.1400000000003</v>
      </c>
      <c r="L42" s="126">
        <f t="shared" si="31"/>
        <v>439580.96000000008</v>
      </c>
      <c r="M42" s="126">
        <f t="shared" si="32"/>
        <v>8112</v>
      </c>
      <c r="N42" s="19"/>
      <c r="O42" s="19"/>
      <c r="P42" s="147"/>
      <c r="Q42" s="190"/>
      <c r="R42" s="190"/>
      <c r="S42" s="222"/>
      <c r="T42" s="186">
        <v>9</v>
      </c>
      <c r="U42" s="222"/>
      <c r="V42" s="235"/>
      <c r="W42" s="188">
        <f>J42-(T42*($M$2-$K$1)+(U42*($M$2-$M$1)))</f>
        <v>4067.1700000000005</v>
      </c>
      <c r="X42" s="185">
        <f>H42*$M$2</f>
        <v>4226.7400000000007</v>
      </c>
    </row>
    <row r="43" spans="1:32" ht="15" customHeight="1" x14ac:dyDescent="0.25">
      <c r="A43" s="261"/>
      <c r="B43" s="313">
        <v>33</v>
      </c>
      <c r="C43" s="313">
        <v>0</v>
      </c>
      <c r="D43" s="127">
        <f>'Data Ocupacion'!N35</f>
        <v>33</v>
      </c>
      <c r="E43" s="127">
        <f>'Data Ocupacion'!O35</f>
        <v>0</v>
      </c>
      <c r="F43" s="126" t="s">
        <v>36</v>
      </c>
      <c r="G43" s="126">
        <f t="shared" si="29"/>
        <v>33</v>
      </c>
      <c r="H43" s="126">
        <f t="shared" si="33"/>
        <v>33</v>
      </c>
      <c r="I43" s="126">
        <f t="shared" si="30"/>
        <v>33</v>
      </c>
      <c r="J43" s="126">
        <f>G43*M$1</f>
        <v>960.63</v>
      </c>
      <c r="K43" s="154">
        <f>I43*M$1</f>
        <v>960.63</v>
      </c>
      <c r="L43" s="126">
        <f t="shared" si="31"/>
        <v>99905.52</v>
      </c>
      <c r="M43" s="126">
        <f t="shared" si="32"/>
        <v>3432</v>
      </c>
      <c r="N43" s="19"/>
      <c r="O43" s="19"/>
      <c r="P43" s="147"/>
      <c r="Q43" s="189"/>
      <c r="R43" s="191"/>
      <c r="S43" s="211"/>
      <c r="T43" s="192"/>
      <c r="U43" s="193"/>
      <c r="V43" s="193"/>
      <c r="W43" s="185">
        <f>J43-(Q43*($M$1-$K$1))</f>
        <v>960.63</v>
      </c>
      <c r="X43" s="185">
        <f>H43*$M$1</f>
        <v>960.63</v>
      </c>
      <c r="Z43" s="263"/>
      <c r="AA43" s="263"/>
      <c r="AB43" s="263"/>
      <c r="AC43" s="263"/>
      <c r="AD43" s="263"/>
      <c r="AE43" s="263"/>
      <c r="AF43" s="263"/>
    </row>
    <row r="44" spans="1:32" x14ac:dyDescent="0.25">
      <c r="A44" s="261"/>
      <c r="B44" s="313">
        <v>32</v>
      </c>
      <c r="C44" s="313">
        <v>0</v>
      </c>
      <c r="D44" s="127">
        <f>'Data Ocupacion'!N36</f>
        <v>32</v>
      </c>
      <c r="E44" s="127">
        <f>'Data Ocupacion'!O36</f>
        <v>0</v>
      </c>
      <c r="F44" s="126" t="s">
        <v>53</v>
      </c>
      <c r="G44" s="126">
        <f t="shared" si="29"/>
        <v>32</v>
      </c>
      <c r="H44" s="126">
        <f t="shared" si="33"/>
        <v>32</v>
      </c>
      <c r="I44" s="126">
        <f t="shared" si="30"/>
        <v>32</v>
      </c>
      <c r="J44" s="126">
        <f>G44*M$1</f>
        <v>931.52</v>
      </c>
      <c r="K44" s="154">
        <f>I44*M$1</f>
        <v>931.52</v>
      </c>
      <c r="L44" s="126">
        <f t="shared" si="31"/>
        <v>96878.080000000002</v>
      </c>
      <c r="M44" s="126">
        <f t="shared" si="32"/>
        <v>3328</v>
      </c>
      <c r="N44" s="19"/>
      <c r="O44" s="19"/>
      <c r="P44" s="147"/>
      <c r="Q44" s="193"/>
      <c r="R44" s="193"/>
      <c r="S44" s="193"/>
      <c r="T44" s="193"/>
      <c r="U44" s="193"/>
      <c r="V44" s="193"/>
      <c r="W44" s="185">
        <f>J44</f>
        <v>931.52</v>
      </c>
      <c r="X44" s="185">
        <f>H44*$M$1</f>
        <v>931.52</v>
      </c>
      <c r="Z44" s="263"/>
      <c r="AA44" s="263"/>
      <c r="AB44" s="263"/>
      <c r="AC44" s="263"/>
      <c r="AD44" s="263"/>
      <c r="AE44" s="263"/>
      <c r="AF44" s="263"/>
    </row>
    <row r="45" spans="1:32" s="125" customFormat="1" x14ac:dyDescent="0.25">
      <c r="A45" s="261"/>
      <c r="B45" s="313">
        <v>0</v>
      </c>
      <c r="C45" s="313">
        <v>0</v>
      </c>
      <c r="D45" s="127">
        <f>'Data Ocupacion'!N37</f>
        <v>0</v>
      </c>
      <c r="E45" s="127">
        <f>'Data Ocupacion'!O37</f>
        <v>0</v>
      </c>
      <c r="F45" s="126" t="s">
        <v>122</v>
      </c>
      <c r="G45" s="126">
        <f t="shared" si="29"/>
        <v>0</v>
      </c>
      <c r="H45" s="126">
        <f t="shared" si="33"/>
        <v>0</v>
      </c>
      <c r="I45" s="126">
        <f t="shared" si="30"/>
        <v>0</v>
      </c>
      <c r="J45" s="126">
        <f>G45*K$1</f>
        <v>0</v>
      </c>
      <c r="K45" s="154">
        <f>I45*K$1</f>
        <v>0</v>
      </c>
      <c r="L45" s="126">
        <f t="shared" si="31"/>
        <v>0</v>
      </c>
      <c r="M45" s="126">
        <f t="shared" si="32"/>
        <v>0</v>
      </c>
      <c r="N45" s="19"/>
      <c r="O45" s="19"/>
      <c r="P45" s="147"/>
      <c r="Q45" s="193"/>
      <c r="R45" s="193"/>
      <c r="S45" s="193"/>
      <c r="T45" s="193"/>
      <c r="U45" s="193"/>
      <c r="V45" s="193"/>
      <c r="W45" s="185">
        <f>J45</f>
        <v>0</v>
      </c>
      <c r="X45" s="185">
        <f>H45*$K$1</f>
        <v>0</v>
      </c>
      <c r="Z45" s="263"/>
      <c r="AA45" s="263"/>
      <c r="AB45" s="263"/>
      <c r="AC45" s="263"/>
      <c r="AD45" s="263"/>
      <c r="AE45" s="263"/>
      <c r="AF45" s="263"/>
    </row>
    <row r="46" spans="1:32" ht="15.75" thickBot="1" x14ac:dyDescent="0.3">
      <c r="A46" s="261"/>
      <c r="B46" s="313">
        <v>1</v>
      </c>
      <c r="C46" s="313">
        <v>0</v>
      </c>
      <c r="D46" s="127">
        <f>'Data Ocupacion'!N38</f>
        <v>1</v>
      </c>
      <c r="E46" s="127">
        <f>'Data Ocupacion'!O38</f>
        <v>0</v>
      </c>
      <c r="F46" s="126" t="s">
        <v>35</v>
      </c>
      <c r="G46" s="126">
        <f t="shared" si="29"/>
        <v>1</v>
      </c>
      <c r="H46" s="126">
        <f t="shared" si="33"/>
        <v>1</v>
      </c>
      <c r="I46" s="126">
        <f t="shared" si="30"/>
        <v>1</v>
      </c>
      <c r="J46" s="126">
        <f>G46*K$1</f>
        <v>25.4</v>
      </c>
      <c r="K46" s="154">
        <f>I46*K$1</f>
        <v>25.4</v>
      </c>
      <c r="L46" s="126">
        <f t="shared" si="31"/>
        <v>2641.6</v>
      </c>
      <c r="M46" s="126">
        <f t="shared" si="32"/>
        <v>104</v>
      </c>
      <c r="N46" s="19"/>
      <c r="O46" s="19"/>
      <c r="P46" s="147"/>
      <c r="Q46" s="193"/>
      <c r="R46" s="193"/>
      <c r="S46" s="193"/>
      <c r="T46" s="193"/>
      <c r="U46" s="193"/>
      <c r="V46" s="193"/>
      <c r="W46" s="185">
        <f>J46</f>
        <v>25.4</v>
      </c>
      <c r="X46" s="185">
        <f>H46*$K$1</f>
        <v>25.4</v>
      </c>
      <c r="Z46" s="263"/>
      <c r="AA46" s="263"/>
      <c r="AB46" s="263"/>
      <c r="AC46" s="263"/>
      <c r="AD46" s="263"/>
      <c r="AE46" s="263"/>
      <c r="AF46" s="263"/>
    </row>
    <row r="47" spans="1:32" ht="15.75" thickBot="1" x14ac:dyDescent="0.3">
      <c r="A47" s="204"/>
      <c r="B47" s="223">
        <f>SUM(B41:B46)</f>
        <v>184</v>
      </c>
      <c r="C47" s="223">
        <f>SUM(C41:C46)</f>
        <v>39</v>
      </c>
      <c r="D47" s="153">
        <f>SUM(D41:D46)</f>
        <v>184</v>
      </c>
      <c r="E47" s="153">
        <f>SUM(E41:E46)</f>
        <v>39</v>
      </c>
      <c r="F47" s="120"/>
      <c r="G47" s="120">
        <f t="shared" ref="G47:M47" si="34">SUM(G41:G46)</f>
        <v>262</v>
      </c>
      <c r="H47" s="120">
        <f t="shared" si="34"/>
        <v>262</v>
      </c>
      <c r="I47" s="120">
        <f t="shared" si="34"/>
        <v>223</v>
      </c>
      <c r="J47" s="121">
        <f t="shared" si="34"/>
        <v>10371.030000000001</v>
      </c>
      <c r="K47" s="120">
        <f t="shared" si="34"/>
        <v>8688.9599999999991</v>
      </c>
      <c r="L47" s="119">
        <f t="shared" si="34"/>
        <v>1078587.1200000003</v>
      </c>
      <c r="M47" s="152">
        <f t="shared" si="34"/>
        <v>23192</v>
      </c>
      <c r="N47" s="124">
        <f>'Odometro-Kilometraje'!G81</f>
        <v>10486</v>
      </c>
      <c r="O47" s="21">
        <f>(W47/N47)*100</f>
        <v>96.536429525081076</v>
      </c>
      <c r="P47" s="196"/>
      <c r="Q47" s="184"/>
      <c r="R47" s="184"/>
      <c r="S47" s="184"/>
      <c r="T47" s="184"/>
      <c r="U47" s="184"/>
      <c r="V47" s="184"/>
      <c r="W47" s="197">
        <f>SUM(W41:W46)</f>
        <v>10122.810000000001</v>
      </c>
      <c r="X47" s="197">
        <f>SUM(X41:X46)</f>
        <v>10371.030000000001</v>
      </c>
      <c r="Z47" s="263"/>
      <c r="AA47" s="263"/>
      <c r="AB47" s="263"/>
      <c r="AC47" s="263"/>
      <c r="AD47" s="263"/>
      <c r="AE47" s="263"/>
      <c r="AF47" s="263"/>
    </row>
    <row r="48" spans="1:32" x14ac:dyDescent="0.25">
      <c r="A48" s="61">
        <f>A41+1</f>
        <v>45876</v>
      </c>
      <c r="B48" s="313">
        <v>60</v>
      </c>
      <c r="C48" s="313">
        <v>19</v>
      </c>
      <c r="D48" s="127">
        <f>'Data Ocupacion'!P33</f>
        <v>60</v>
      </c>
      <c r="E48" s="127">
        <f>'Data Ocupacion'!Q33</f>
        <v>19</v>
      </c>
      <c r="F48" s="126" t="s">
        <v>38</v>
      </c>
      <c r="G48" s="126">
        <f t="shared" ref="G48:G53" si="35">D48+E48*2</f>
        <v>98</v>
      </c>
      <c r="H48" s="126">
        <f>B48+C48*2</f>
        <v>98</v>
      </c>
      <c r="I48" s="126">
        <f t="shared" ref="I48:I53" si="36">D48+E48</f>
        <v>79</v>
      </c>
      <c r="J48" s="126">
        <f>G48*M$2</f>
        <v>4226.7400000000007</v>
      </c>
      <c r="K48" s="154">
        <f>I48*M$2</f>
        <v>3407.27</v>
      </c>
      <c r="L48" s="126">
        <f t="shared" ref="L48:L53" si="37">J48*104</f>
        <v>439580.96000000008</v>
      </c>
      <c r="M48" s="126">
        <f t="shared" ref="M48:M53" si="38">I48*104</f>
        <v>8216</v>
      </c>
      <c r="N48" s="19"/>
      <c r="O48" s="19"/>
      <c r="P48" s="147"/>
      <c r="Q48" s="186">
        <v>2</v>
      </c>
      <c r="R48" s="186"/>
      <c r="S48" s="210"/>
      <c r="T48" s="186"/>
      <c r="U48" s="195"/>
      <c r="V48" s="234"/>
      <c r="W48" s="185">
        <f>J48-(Q48*($M$2-$K$1))-(R48*($M$2-$M$1))- (S48*($M$2-$I$2))+ (T48*($G$2))</f>
        <v>4191.2800000000007</v>
      </c>
      <c r="X48" s="185">
        <f>H48*$M$2</f>
        <v>4226.7400000000007</v>
      </c>
      <c r="Z48" s="263"/>
      <c r="AA48" s="263"/>
      <c r="AB48" s="263"/>
      <c r="AC48" s="263"/>
      <c r="AD48" s="263"/>
      <c r="AE48" s="263"/>
      <c r="AF48" s="263"/>
    </row>
    <row r="49" spans="1:65" ht="15" customHeight="1" x14ac:dyDescent="0.25">
      <c r="A49" s="182"/>
      <c r="B49" s="313">
        <v>58</v>
      </c>
      <c r="C49" s="313">
        <v>20</v>
      </c>
      <c r="D49" s="127">
        <f>'Data Ocupacion'!P34</f>
        <v>58</v>
      </c>
      <c r="E49" s="127">
        <f>'Data Ocupacion'!Q34</f>
        <v>20</v>
      </c>
      <c r="F49" s="126" t="s">
        <v>52</v>
      </c>
      <c r="G49" s="126">
        <f t="shared" si="35"/>
        <v>98</v>
      </c>
      <c r="H49" s="126">
        <f t="shared" ref="H49:H53" si="39">B49+C49*2</f>
        <v>98</v>
      </c>
      <c r="I49" s="126">
        <f t="shared" si="36"/>
        <v>78</v>
      </c>
      <c r="J49" s="126">
        <f>G49*M$2</f>
        <v>4226.7400000000007</v>
      </c>
      <c r="K49" s="154">
        <f>I49*M$2</f>
        <v>3364.1400000000003</v>
      </c>
      <c r="L49" s="126">
        <f t="shared" si="37"/>
        <v>439580.96000000008</v>
      </c>
      <c r="M49" s="126">
        <f t="shared" si="38"/>
        <v>8112</v>
      </c>
      <c r="N49" s="19"/>
      <c r="O49" s="19"/>
      <c r="P49" s="147"/>
      <c r="Q49" s="190"/>
      <c r="R49" s="190"/>
      <c r="S49" s="222"/>
      <c r="T49" s="186">
        <v>2</v>
      </c>
      <c r="U49" s="222"/>
      <c r="V49" s="235"/>
      <c r="W49" s="188">
        <f>J49-(T49*($M$2-$K$1)+(U49*($M$2-$M$1)))</f>
        <v>4191.2800000000007</v>
      </c>
      <c r="X49" s="185">
        <f>H49*$M$2</f>
        <v>4226.7400000000007</v>
      </c>
    </row>
    <row r="50" spans="1:65" ht="16.5" customHeight="1" x14ac:dyDescent="0.25">
      <c r="A50" s="182"/>
      <c r="B50" s="313">
        <v>33</v>
      </c>
      <c r="C50" s="313">
        <v>0</v>
      </c>
      <c r="D50" s="127">
        <f>'Data Ocupacion'!P35</f>
        <v>33</v>
      </c>
      <c r="E50" s="127">
        <f>'Data Ocupacion'!Q35</f>
        <v>0</v>
      </c>
      <c r="F50" s="126" t="s">
        <v>36</v>
      </c>
      <c r="G50" s="126">
        <f t="shared" si="35"/>
        <v>33</v>
      </c>
      <c r="H50" s="126">
        <f t="shared" si="39"/>
        <v>33</v>
      </c>
      <c r="I50" s="126">
        <f t="shared" si="36"/>
        <v>33</v>
      </c>
      <c r="J50" s="126">
        <f>G50*M$1</f>
        <v>960.63</v>
      </c>
      <c r="K50" s="154">
        <f>I50*M$1</f>
        <v>960.63</v>
      </c>
      <c r="L50" s="126">
        <f t="shared" si="37"/>
        <v>99905.52</v>
      </c>
      <c r="M50" s="126">
        <f t="shared" si="38"/>
        <v>3432</v>
      </c>
      <c r="N50" s="19"/>
      <c r="O50" s="19"/>
      <c r="P50" s="147"/>
      <c r="Q50" s="189"/>
      <c r="R50" s="191"/>
      <c r="S50" s="211"/>
      <c r="T50" s="192"/>
      <c r="U50" s="193"/>
      <c r="V50" s="193"/>
      <c r="W50" s="185">
        <f>J50-(Q50*($M$1-$K$1))</f>
        <v>960.63</v>
      </c>
      <c r="X50" s="185">
        <f>H50*$M$1</f>
        <v>960.63</v>
      </c>
    </row>
    <row r="51" spans="1:65" x14ac:dyDescent="0.25">
      <c r="A51" s="182"/>
      <c r="B51" s="313">
        <v>32</v>
      </c>
      <c r="C51" s="313">
        <v>0</v>
      </c>
      <c r="D51" s="127">
        <f>'Data Ocupacion'!P36</f>
        <v>32</v>
      </c>
      <c r="E51" s="127">
        <f>'Data Ocupacion'!Q36</f>
        <v>0</v>
      </c>
      <c r="F51" s="126" t="s">
        <v>53</v>
      </c>
      <c r="G51" s="126">
        <f t="shared" si="35"/>
        <v>32</v>
      </c>
      <c r="H51" s="126">
        <f t="shared" si="39"/>
        <v>32</v>
      </c>
      <c r="I51" s="126">
        <f t="shared" si="36"/>
        <v>32</v>
      </c>
      <c r="J51" s="126">
        <f>G51*M$1</f>
        <v>931.52</v>
      </c>
      <c r="K51" s="154">
        <f>I51*M$1</f>
        <v>931.52</v>
      </c>
      <c r="L51" s="126">
        <f t="shared" si="37"/>
        <v>96878.080000000002</v>
      </c>
      <c r="M51" s="126">
        <f t="shared" si="38"/>
        <v>3328</v>
      </c>
      <c r="N51" s="19"/>
      <c r="O51" s="19"/>
      <c r="P51" s="147"/>
      <c r="Q51" s="193"/>
      <c r="R51" s="193"/>
      <c r="S51" s="193"/>
      <c r="T51" s="193"/>
      <c r="U51" s="193"/>
      <c r="V51" s="193"/>
      <c r="W51" s="185">
        <f>J51</f>
        <v>931.52</v>
      </c>
      <c r="X51" s="185">
        <f>H51*$M$1</f>
        <v>931.52</v>
      </c>
    </row>
    <row r="52" spans="1:65" s="125" customFormat="1" x14ac:dyDescent="0.25">
      <c r="A52" s="182"/>
      <c r="B52" s="313">
        <v>0</v>
      </c>
      <c r="C52" s="313">
        <v>0</v>
      </c>
      <c r="D52" s="127">
        <f>'Data Ocupacion'!P37</f>
        <v>0</v>
      </c>
      <c r="E52" s="127">
        <f>'Data Ocupacion'!Q37</f>
        <v>0</v>
      </c>
      <c r="F52" s="126" t="s">
        <v>122</v>
      </c>
      <c r="G52" s="126">
        <f t="shared" si="35"/>
        <v>0</v>
      </c>
      <c r="H52" s="126">
        <f t="shared" si="39"/>
        <v>0</v>
      </c>
      <c r="I52" s="126">
        <f t="shared" si="36"/>
        <v>0</v>
      </c>
      <c r="J52" s="126">
        <f>G52*K$1</f>
        <v>0</v>
      </c>
      <c r="K52" s="154">
        <f>I52*K$1</f>
        <v>0</v>
      </c>
      <c r="L52" s="126">
        <f t="shared" si="37"/>
        <v>0</v>
      </c>
      <c r="M52" s="126">
        <f t="shared" si="38"/>
        <v>0</v>
      </c>
      <c r="N52" s="19"/>
      <c r="O52" s="19"/>
      <c r="P52" s="147"/>
      <c r="Q52" s="193"/>
      <c r="R52" s="193"/>
      <c r="S52" s="193"/>
      <c r="T52" s="193"/>
      <c r="U52" s="193"/>
      <c r="V52" s="193"/>
      <c r="W52" s="185">
        <f>J52</f>
        <v>0</v>
      </c>
      <c r="X52" s="185">
        <f>H52*$K$1</f>
        <v>0</v>
      </c>
    </row>
    <row r="53" spans="1:65" ht="15.75" thickBot="1" x14ac:dyDescent="0.3">
      <c r="A53" s="182"/>
      <c r="B53" s="313">
        <v>1</v>
      </c>
      <c r="C53" s="313">
        <v>0</v>
      </c>
      <c r="D53" s="262">
        <f>'Data Ocupacion'!P38</f>
        <v>1</v>
      </c>
      <c r="E53" s="127">
        <f>'Data Ocupacion'!Q38</f>
        <v>0</v>
      </c>
      <c r="F53" s="126" t="s">
        <v>35</v>
      </c>
      <c r="G53" s="126">
        <f t="shared" si="35"/>
        <v>1</v>
      </c>
      <c r="H53" s="126">
        <f t="shared" si="39"/>
        <v>1</v>
      </c>
      <c r="I53" s="126">
        <f t="shared" si="36"/>
        <v>1</v>
      </c>
      <c r="J53" s="126">
        <f>G53*K$1</f>
        <v>25.4</v>
      </c>
      <c r="K53" s="154">
        <f>I53*K$1</f>
        <v>25.4</v>
      </c>
      <c r="L53" s="126">
        <f t="shared" si="37"/>
        <v>2641.6</v>
      </c>
      <c r="M53" s="126">
        <f t="shared" si="38"/>
        <v>104</v>
      </c>
      <c r="N53" s="19"/>
      <c r="O53" s="19"/>
      <c r="P53" s="147"/>
      <c r="Q53" s="193"/>
      <c r="R53" s="193"/>
      <c r="S53" s="193"/>
      <c r="T53" s="193"/>
      <c r="U53" s="193"/>
      <c r="V53" s="193"/>
      <c r="W53" s="185">
        <f>J53</f>
        <v>25.4</v>
      </c>
      <c r="X53" s="185">
        <f>H53*$K$1</f>
        <v>25.4</v>
      </c>
    </row>
    <row r="54" spans="1:65" ht="18" customHeight="1" thickBot="1" x14ac:dyDescent="0.3">
      <c r="A54" s="20"/>
      <c r="B54" s="120">
        <f>SUM(B48:B53)</f>
        <v>184</v>
      </c>
      <c r="C54" s="120">
        <f>SUM(C48:C53)</f>
        <v>39</v>
      </c>
      <c r="D54" s="153">
        <f>SUM(D48:D53)</f>
        <v>184</v>
      </c>
      <c r="E54" s="153">
        <f>SUM(E48:E53)</f>
        <v>39</v>
      </c>
      <c r="F54" s="120"/>
      <c r="G54" s="120">
        <f t="shared" ref="G54:M54" si="40">SUM(G48:G53)</f>
        <v>262</v>
      </c>
      <c r="H54" s="120">
        <f t="shared" si="40"/>
        <v>262</v>
      </c>
      <c r="I54" s="120">
        <f t="shared" si="40"/>
        <v>223</v>
      </c>
      <c r="J54" s="121">
        <f t="shared" si="40"/>
        <v>10371.030000000001</v>
      </c>
      <c r="K54" s="120">
        <f t="shared" si="40"/>
        <v>8688.9599999999991</v>
      </c>
      <c r="L54" s="119">
        <f t="shared" si="40"/>
        <v>1078587.1200000003</v>
      </c>
      <c r="M54" s="152">
        <f t="shared" si="40"/>
        <v>23192</v>
      </c>
      <c r="N54" s="124">
        <f>'Odometro-Kilometraje'!H81</f>
        <v>10611</v>
      </c>
      <c r="O54" s="21">
        <f>(W54/N54)*100</f>
        <v>97.07011591744417</v>
      </c>
      <c r="P54" s="196"/>
      <c r="Q54" s="184"/>
      <c r="R54" s="184"/>
      <c r="S54" s="184"/>
      <c r="T54" s="184"/>
      <c r="U54" s="184"/>
      <c r="V54" s="184"/>
      <c r="W54" s="197">
        <f>SUM(W48:W53)</f>
        <v>10300.11</v>
      </c>
      <c r="X54" s="197">
        <f>SUM(X48:X53)</f>
        <v>10371.030000000001</v>
      </c>
    </row>
    <row r="55" spans="1:65" x14ac:dyDescent="0.25">
      <c r="A55" s="61">
        <f>A48+1</f>
        <v>45877</v>
      </c>
      <c r="B55" s="313">
        <v>60</v>
      </c>
      <c r="C55" s="313">
        <v>19</v>
      </c>
      <c r="D55" s="127">
        <f>'Data Ocupacion'!R33</f>
        <v>60</v>
      </c>
      <c r="E55" s="127">
        <f>'Data Ocupacion'!S33</f>
        <v>19</v>
      </c>
      <c r="F55" s="126" t="s">
        <v>38</v>
      </c>
      <c r="G55" s="126">
        <f t="shared" ref="G55:G60" si="41">D55+E55*2</f>
        <v>98</v>
      </c>
      <c r="H55" s="126">
        <f>B55+C55*2</f>
        <v>98</v>
      </c>
      <c r="I55" s="126">
        <f t="shared" ref="I55:I60" si="42">D55+E55</f>
        <v>79</v>
      </c>
      <c r="J55" s="126">
        <f>G55*M$2</f>
        <v>4226.7400000000007</v>
      </c>
      <c r="K55" s="154">
        <f>I55*M$2</f>
        <v>3407.27</v>
      </c>
      <c r="L55" s="126">
        <f t="shared" ref="L55:L60" si="43">J55*104</f>
        <v>439580.96000000008</v>
      </c>
      <c r="M55" s="126">
        <f t="shared" ref="M55:M60" si="44">I55*104</f>
        <v>8216</v>
      </c>
      <c r="N55" s="19"/>
      <c r="O55" s="19"/>
      <c r="P55" s="147"/>
      <c r="Q55" s="250">
        <v>2</v>
      </c>
      <c r="R55" s="186"/>
      <c r="S55" s="210"/>
      <c r="T55" s="207"/>
      <c r="U55" s="195"/>
      <c r="V55" s="234"/>
      <c r="W55" s="185">
        <f>J55-(Q55*($M$2-$K$1))-(R55*($M$2-$M$1))- (S55*($M$2-$I$2))+ (T55*($G$2))</f>
        <v>4191.2800000000007</v>
      </c>
      <c r="X55" s="185">
        <f>H55*$M$2</f>
        <v>4226.7400000000007</v>
      </c>
    </row>
    <row r="56" spans="1:65" ht="15" customHeight="1" x14ac:dyDescent="0.25">
      <c r="A56" s="182"/>
      <c r="B56" s="313">
        <v>58</v>
      </c>
      <c r="C56" s="313">
        <v>20</v>
      </c>
      <c r="D56" s="127">
        <f>'Data Ocupacion'!R34</f>
        <v>58</v>
      </c>
      <c r="E56" s="127">
        <f>'Data Ocupacion'!S34</f>
        <v>20</v>
      </c>
      <c r="F56" s="126" t="s">
        <v>52</v>
      </c>
      <c r="G56" s="126">
        <f t="shared" si="41"/>
        <v>98</v>
      </c>
      <c r="H56" s="126">
        <f t="shared" ref="H56:H60" si="45">B56+C56*2</f>
        <v>98</v>
      </c>
      <c r="I56" s="126">
        <f t="shared" si="42"/>
        <v>78</v>
      </c>
      <c r="J56" s="126">
        <f>G56*M$2</f>
        <v>4226.7400000000007</v>
      </c>
      <c r="K56" s="154">
        <f>I56*M$2</f>
        <v>3364.1400000000003</v>
      </c>
      <c r="L56" s="126">
        <f t="shared" si="43"/>
        <v>439580.96000000008</v>
      </c>
      <c r="M56" s="126">
        <f t="shared" si="44"/>
        <v>8112</v>
      </c>
      <c r="N56" s="19"/>
      <c r="O56" s="19"/>
      <c r="P56" s="147"/>
      <c r="Q56" s="190"/>
      <c r="R56" s="190"/>
      <c r="S56" s="190"/>
      <c r="T56" s="186">
        <v>4</v>
      </c>
      <c r="U56" s="187"/>
      <c r="V56" s="235"/>
      <c r="W56" s="188">
        <f>J56-(T56*($M$2-$K$1)+(U56*($M$2-$M$1)))</f>
        <v>4155.8200000000006</v>
      </c>
      <c r="X56" s="185">
        <f>H56*$M$2</f>
        <v>4226.7400000000007</v>
      </c>
    </row>
    <row r="57" spans="1:65" ht="15" customHeight="1" x14ac:dyDescent="0.25">
      <c r="A57" s="182"/>
      <c r="B57" s="313">
        <v>33</v>
      </c>
      <c r="C57" s="313">
        <v>0</v>
      </c>
      <c r="D57" s="127">
        <f>'Data Ocupacion'!R35</f>
        <v>33</v>
      </c>
      <c r="E57" s="127">
        <f>'Data Ocupacion'!S35</f>
        <v>0</v>
      </c>
      <c r="F57" s="126" t="s">
        <v>36</v>
      </c>
      <c r="G57" s="126">
        <f t="shared" si="41"/>
        <v>33</v>
      </c>
      <c r="H57" s="126">
        <f t="shared" si="45"/>
        <v>33</v>
      </c>
      <c r="I57" s="126">
        <f t="shared" si="42"/>
        <v>33</v>
      </c>
      <c r="J57" s="126">
        <f>G57*M$1</f>
        <v>960.63</v>
      </c>
      <c r="K57" s="154">
        <f>I57*M$1</f>
        <v>960.63</v>
      </c>
      <c r="L57" s="126">
        <f t="shared" si="43"/>
        <v>99905.52</v>
      </c>
      <c r="M57" s="126">
        <f t="shared" si="44"/>
        <v>3432</v>
      </c>
      <c r="N57" s="19"/>
      <c r="O57" s="19"/>
      <c r="P57" s="147"/>
      <c r="Q57" s="189"/>
      <c r="R57" s="191"/>
      <c r="S57" s="211"/>
      <c r="T57" s="192"/>
      <c r="U57" s="193"/>
      <c r="V57" s="193"/>
      <c r="W57" s="185">
        <f>J57-(Q57*($M$1-$K$1))</f>
        <v>960.63</v>
      </c>
      <c r="X57" s="185">
        <f>H57*$M$1</f>
        <v>960.63</v>
      </c>
    </row>
    <row r="58" spans="1:65" ht="15" customHeight="1" x14ac:dyDescent="0.25">
      <c r="A58" s="182"/>
      <c r="B58" s="313">
        <v>32</v>
      </c>
      <c r="C58" s="313">
        <v>0</v>
      </c>
      <c r="D58" s="127">
        <f>'Data Ocupacion'!R36</f>
        <v>32</v>
      </c>
      <c r="E58" s="127">
        <f>'Data Ocupacion'!S36</f>
        <v>0</v>
      </c>
      <c r="F58" s="126" t="s">
        <v>53</v>
      </c>
      <c r="G58" s="126">
        <f t="shared" si="41"/>
        <v>32</v>
      </c>
      <c r="H58" s="126">
        <f t="shared" si="45"/>
        <v>32</v>
      </c>
      <c r="I58" s="126">
        <f t="shared" si="42"/>
        <v>32</v>
      </c>
      <c r="J58" s="126">
        <f>G58*M$1</f>
        <v>931.52</v>
      </c>
      <c r="K58" s="154">
        <f>I58*M$1</f>
        <v>931.52</v>
      </c>
      <c r="L58" s="126">
        <f t="shared" si="43"/>
        <v>96878.080000000002</v>
      </c>
      <c r="M58" s="126">
        <f t="shared" si="44"/>
        <v>3328</v>
      </c>
      <c r="N58" s="19"/>
      <c r="O58" s="19"/>
      <c r="P58" s="147"/>
      <c r="Q58" s="193"/>
      <c r="R58" s="193"/>
      <c r="S58" s="193"/>
      <c r="T58" s="193"/>
      <c r="U58" s="193"/>
      <c r="V58" s="193"/>
      <c r="W58" s="185">
        <f>J58</f>
        <v>931.52</v>
      </c>
      <c r="X58" s="185">
        <f>H58*$M$1</f>
        <v>931.52</v>
      </c>
      <c r="BM58" t="s">
        <v>120</v>
      </c>
    </row>
    <row r="59" spans="1:65" s="125" customFormat="1" ht="15" customHeight="1" x14ac:dyDescent="0.25">
      <c r="A59" s="182"/>
      <c r="B59" s="313">
        <v>0</v>
      </c>
      <c r="C59" s="313">
        <v>0</v>
      </c>
      <c r="D59" s="127">
        <f>'Data Ocupacion'!R37</f>
        <v>0</v>
      </c>
      <c r="E59" s="127">
        <f>'Data Ocupacion'!S37</f>
        <v>0</v>
      </c>
      <c r="F59" s="126" t="s">
        <v>122</v>
      </c>
      <c r="G59" s="126">
        <f t="shared" si="41"/>
        <v>0</v>
      </c>
      <c r="H59" s="126">
        <f t="shared" si="45"/>
        <v>0</v>
      </c>
      <c r="I59" s="126">
        <f t="shared" si="42"/>
        <v>0</v>
      </c>
      <c r="J59" s="126">
        <f>G59*K$1</f>
        <v>0</v>
      </c>
      <c r="K59" s="154">
        <f>I59*K$1</f>
        <v>0</v>
      </c>
      <c r="L59" s="126">
        <f t="shared" si="43"/>
        <v>0</v>
      </c>
      <c r="M59" s="126">
        <f t="shared" si="44"/>
        <v>0</v>
      </c>
      <c r="N59" s="19"/>
      <c r="O59" s="19"/>
      <c r="P59" s="147"/>
      <c r="Q59" s="193"/>
      <c r="R59" s="193"/>
      <c r="S59" s="193"/>
      <c r="T59" s="193"/>
      <c r="U59" s="193"/>
      <c r="V59" s="193"/>
      <c r="W59" s="185">
        <f>J59</f>
        <v>0</v>
      </c>
      <c r="X59" s="185">
        <f>H59*$K$1</f>
        <v>0</v>
      </c>
    </row>
    <row r="60" spans="1:65" ht="15.75" customHeight="1" thickBot="1" x14ac:dyDescent="0.3">
      <c r="A60" s="182"/>
      <c r="B60" s="313">
        <v>1</v>
      </c>
      <c r="C60" s="313">
        <v>0</v>
      </c>
      <c r="D60" s="262">
        <f>'Data Ocupacion'!R38</f>
        <v>1</v>
      </c>
      <c r="E60" s="127">
        <f>'Data Ocupacion'!S38</f>
        <v>0</v>
      </c>
      <c r="F60" s="126" t="s">
        <v>35</v>
      </c>
      <c r="G60" s="126">
        <f t="shared" si="41"/>
        <v>1</v>
      </c>
      <c r="H60" s="126">
        <f t="shared" si="45"/>
        <v>1</v>
      </c>
      <c r="I60" s="126">
        <f t="shared" si="42"/>
        <v>1</v>
      </c>
      <c r="J60" s="126">
        <f>G60*K$1</f>
        <v>25.4</v>
      </c>
      <c r="K60" s="154">
        <f>I60*K$1</f>
        <v>25.4</v>
      </c>
      <c r="L60" s="126">
        <f t="shared" si="43"/>
        <v>2641.6</v>
      </c>
      <c r="M60" s="126">
        <f t="shared" si="44"/>
        <v>104</v>
      </c>
      <c r="N60" s="19"/>
      <c r="O60" s="19"/>
      <c r="P60" s="147"/>
      <c r="Q60" s="193"/>
      <c r="R60" s="193"/>
      <c r="S60" s="193"/>
      <c r="T60" s="193"/>
      <c r="U60" s="193"/>
      <c r="V60" s="193"/>
      <c r="W60" s="185">
        <f>J60</f>
        <v>25.4</v>
      </c>
      <c r="X60" s="185">
        <f>H60*$K$1</f>
        <v>25.4</v>
      </c>
    </row>
    <row r="61" spans="1:65" ht="15.75" thickBot="1" x14ac:dyDescent="0.3">
      <c r="A61" s="20"/>
      <c r="B61" s="120">
        <f>SUM(B55:B60)</f>
        <v>184</v>
      </c>
      <c r="C61" s="120">
        <f>SUM(C55:C60)</f>
        <v>39</v>
      </c>
      <c r="D61" s="153">
        <f>SUM(D55:D60)</f>
        <v>184</v>
      </c>
      <c r="E61" s="153">
        <f>SUM(E55:E60)</f>
        <v>39</v>
      </c>
      <c r="F61" s="120"/>
      <c r="G61" s="120">
        <f t="shared" ref="G61:M61" si="46">SUM(G55:G60)</f>
        <v>262</v>
      </c>
      <c r="H61" s="120">
        <f t="shared" si="46"/>
        <v>262</v>
      </c>
      <c r="I61" s="120">
        <f t="shared" si="46"/>
        <v>223</v>
      </c>
      <c r="J61" s="121">
        <f t="shared" si="46"/>
        <v>10371.030000000001</v>
      </c>
      <c r="K61" s="120">
        <f t="shared" si="46"/>
        <v>8688.9599999999991</v>
      </c>
      <c r="L61" s="119">
        <f t="shared" si="46"/>
        <v>1078587.1200000003</v>
      </c>
      <c r="M61" s="152">
        <f t="shared" si="46"/>
        <v>23192</v>
      </c>
      <c r="N61" s="124">
        <f>'Odometro-Kilometraje'!I81</f>
        <v>10674</v>
      </c>
      <c r="O61" s="21">
        <f>(W61/N61)*100</f>
        <v>96.164980326025869</v>
      </c>
      <c r="P61" s="196"/>
      <c r="Q61" s="184"/>
      <c r="R61" s="184"/>
      <c r="S61" s="184"/>
      <c r="T61" s="184"/>
      <c r="U61" s="184"/>
      <c r="V61" s="184"/>
      <c r="W61" s="197">
        <f>SUM(W55:W60)</f>
        <v>10264.650000000001</v>
      </c>
      <c r="X61" s="197">
        <f>SUM(X55:X60)</f>
        <v>10371.030000000001</v>
      </c>
    </row>
    <row r="62" spans="1:65" x14ac:dyDescent="0.25">
      <c r="A62" s="61">
        <f>A55+1</f>
        <v>45878</v>
      </c>
      <c r="B62" s="117">
        <v>69</v>
      </c>
      <c r="C62" s="117">
        <v>3</v>
      </c>
      <c r="D62" s="148">
        <f>'Data Ocupacion'!T33</f>
        <v>69</v>
      </c>
      <c r="E62" s="148">
        <f>'Data Ocupacion'!U33</f>
        <v>3</v>
      </c>
      <c r="F62" s="117" t="s">
        <v>38</v>
      </c>
      <c r="G62" s="117">
        <f t="shared" ref="G62:G67" si="47">D62+E62*2</f>
        <v>75</v>
      </c>
      <c r="H62" s="117">
        <f>B62+C62*2</f>
        <v>75</v>
      </c>
      <c r="I62" s="117">
        <f t="shared" ref="I62:I67" si="48">D62+E62</f>
        <v>72</v>
      </c>
      <c r="J62" s="117">
        <f>G62*M$2</f>
        <v>3234.75</v>
      </c>
      <c r="K62" s="154">
        <f>I62*M$2</f>
        <v>3105.36</v>
      </c>
      <c r="L62" s="117">
        <f t="shared" ref="L62:L67" si="49">J62*104</f>
        <v>336414</v>
      </c>
      <c r="M62" s="117">
        <f t="shared" ref="M62:M67" si="50">I62*104</f>
        <v>7488</v>
      </c>
      <c r="N62" s="19"/>
      <c r="O62" s="19"/>
      <c r="P62" s="147"/>
      <c r="Q62" s="186"/>
      <c r="R62" s="186"/>
      <c r="S62" s="210"/>
      <c r="T62" s="207"/>
      <c r="U62" s="195"/>
      <c r="V62" s="234"/>
      <c r="W62" s="185">
        <f>J62-(Q62*($M$2-$K$1))-(R62*($M$2-$M$1))- (S62*($M$2-$I$2))+ (T62*($G$2))</f>
        <v>3234.75</v>
      </c>
      <c r="X62" s="185">
        <f>H62*$M$2</f>
        <v>3234.75</v>
      </c>
    </row>
    <row r="63" spans="1:65" ht="15" customHeight="1" x14ac:dyDescent="0.25">
      <c r="A63" s="287"/>
      <c r="B63" s="117">
        <v>75</v>
      </c>
      <c r="C63" s="117">
        <v>0</v>
      </c>
      <c r="D63" s="148">
        <f>'Data Ocupacion'!T34</f>
        <v>75</v>
      </c>
      <c r="E63" s="148">
        <f>'Data Ocupacion'!U34</f>
        <v>0</v>
      </c>
      <c r="F63" s="117" t="s">
        <v>52</v>
      </c>
      <c r="G63" s="117">
        <f t="shared" si="47"/>
        <v>75</v>
      </c>
      <c r="H63" s="117">
        <f t="shared" ref="H63:H67" si="51">B63+C63*2</f>
        <v>75</v>
      </c>
      <c r="I63" s="117">
        <f t="shared" si="48"/>
        <v>75</v>
      </c>
      <c r="J63" s="117">
        <f>G63*M$2</f>
        <v>3234.75</v>
      </c>
      <c r="K63" s="154">
        <f>I63*M$2</f>
        <v>3234.75</v>
      </c>
      <c r="L63" s="117">
        <f t="shared" si="49"/>
        <v>336414</v>
      </c>
      <c r="M63" s="117">
        <f t="shared" si="50"/>
        <v>7800</v>
      </c>
      <c r="N63" s="19"/>
      <c r="O63" s="19"/>
      <c r="P63" s="147"/>
      <c r="Q63" s="190"/>
      <c r="R63" s="190"/>
      <c r="S63" s="190"/>
      <c r="T63" s="207"/>
      <c r="U63" s="186"/>
      <c r="V63" s="235"/>
      <c r="W63" s="188">
        <f>J63-(T63*($M$2-$K$1)+(U63*($M$2-$M$1)))</f>
        <v>3234.75</v>
      </c>
      <c r="X63" s="185">
        <f>H63*$M$2</f>
        <v>3234.75</v>
      </c>
      <c r="Y63" s="243"/>
      <c r="AA63" s="125"/>
      <c r="AB63" s="125"/>
    </row>
    <row r="64" spans="1:65" x14ac:dyDescent="0.25">
      <c r="A64" s="261"/>
      <c r="B64" s="117">
        <v>0</v>
      </c>
      <c r="C64" s="117">
        <v>0</v>
      </c>
      <c r="D64" s="148">
        <f>'Data Ocupacion'!T35</f>
        <v>0</v>
      </c>
      <c r="E64" s="148">
        <f>'Data Ocupacion'!U35</f>
        <v>0</v>
      </c>
      <c r="F64" s="117" t="s">
        <v>36</v>
      </c>
      <c r="G64" s="117">
        <f t="shared" si="47"/>
        <v>0</v>
      </c>
      <c r="H64" s="117">
        <f t="shared" si="51"/>
        <v>0</v>
      </c>
      <c r="I64" s="117">
        <f t="shared" si="48"/>
        <v>0</v>
      </c>
      <c r="J64" s="117">
        <f>G64*M$1</f>
        <v>0</v>
      </c>
      <c r="K64" s="154">
        <f>I64*M$1</f>
        <v>0</v>
      </c>
      <c r="L64" s="117">
        <f t="shared" si="49"/>
        <v>0</v>
      </c>
      <c r="M64" s="117">
        <f t="shared" si="50"/>
        <v>0</v>
      </c>
      <c r="N64" s="19"/>
      <c r="O64" s="19"/>
      <c r="P64" s="147"/>
      <c r="Q64" s="189"/>
      <c r="R64" s="191"/>
      <c r="S64" s="211"/>
      <c r="T64" s="192"/>
      <c r="U64" s="193"/>
      <c r="V64" s="193"/>
      <c r="W64" s="185">
        <f>J64-(Q64*($M$1-$K$1))</f>
        <v>0</v>
      </c>
      <c r="X64" s="185">
        <f>H64*$M$1</f>
        <v>0</v>
      </c>
      <c r="Y64" s="243"/>
    </row>
    <row r="65" spans="1:27" x14ac:dyDescent="0.25">
      <c r="A65" s="261"/>
      <c r="B65" s="117">
        <v>0</v>
      </c>
      <c r="C65" s="117">
        <v>0</v>
      </c>
      <c r="D65" s="148">
        <f>'Data Ocupacion'!T36</f>
        <v>0</v>
      </c>
      <c r="E65" s="148">
        <f>'Data Ocupacion'!U36</f>
        <v>0</v>
      </c>
      <c r="F65" s="117" t="s">
        <v>53</v>
      </c>
      <c r="G65" s="117">
        <f t="shared" si="47"/>
        <v>0</v>
      </c>
      <c r="H65" s="117">
        <f t="shared" si="51"/>
        <v>0</v>
      </c>
      <c r="I65" s="117">
        <f t="shared" si="48"/>
        <v>0</v>
      </c>
      <c r="J65" s="117">
        <f>G65*M$1</f>
        <v>0</v>
      </c>
      <c r="K65" s="154">
        <f>I65*M$1</f>
        <v>0</v>
      </c>
      <c r="L65" s="117">
        <f t="shared" si="49"/>
        <v>0</v>
      </c>
      <c r="M65" s="117">
        <f t="shared" si="50"/>
        <v>0</v>
      </c>
      <c r="N65" s="19"/>
      <c r="O65" s="19"/>
      <c r="P65" s="147"/>
      <c r="Q65" s="193"/>
      <c r="R65" s="193"/>
      <c r="S65" s="193"/>
      <c r="T65" s="193"/>
      <c r="U65" s="193"/>
      <c r="V65" s="193"/>
      <c r="W65" s="185">
        <f>J65</f>
        <v>0</v>
      </c>
      <c r="X65" s="185">
        <f>H65*$M$1</f>
        <v>0</v>
      </c>
    </row>
    <row r="66" spans="1:27" s="125" customFormat="1" x14ac:dyDescent="0.25">
      <c r="A66" s="261"/>
      <c r="B66" s="117">
        <v>0</v>
      </c>
      <c r="C66" s="117">
        <v>0</v>
      </c>
      <c r="D66" s="148">
        <f>'Data Ocupacion'!T37</f>
        <v>0</v>
      </c>
      <c r="E66" s="148">
        <f>'Data Ocupacion'!U37</f>
        <v>0</v>
      </c>
      <c r="F66" s="117" t="s">
        <v>122</v>
      </c>
      <c r="G66" s="117">
        <f t="shared" si="47"/>
        <v>0</v>
      </c>
      <c r="H66" s="117">
        <f t="shared" si="51"/>
        <v>0</v>
      </c>
      <c r="I66" s="117">
        <f t="shared" si="48"/>
        <v>0</v>
      </c>
      <c r="J66" s="117">
        <f>G66*K$1</f>
        <v>0</v>
      </c>
      <c r="K66" s="154">
        <f>I66*K$1</f>
        <v>0</v>
      </c>
      <c r="L66" s="117">
        <f t="shared" si="49"/>
        <v>0</v>
      </c>
      <c r="M66" s="117">
        <f t="shared" si="50"/>
        <v>0</v>
      </c>
      <c r="N66" s="19"/>
      <c r="O66" s="19"/>
      <c r="P66" s="147"/>
      <c r="Q66" s="193"/>
      <c r="R66" s="193"/>
      <c r="S66" s="193"/>
      <c r="T66" s="193"/>
      <c r="U66" s="193"/>
      <c r="V66" s="193"/>
      <c r="W66" s="185">
        <f>J66</f>
        <v>0</v>
      </c>
      <c r="X66" s="185">
        <f>H66*$K$1</f>
        <v>0</v>
      </c>
    </row>
    <row r="67" spans="1:27" ht="15.75" thickBot="1" x14ac:dyDescent="0.3">
      <c r="A67" s="261"/>
      <c r="B67" s="117">
        <v>0</v>
      </c>
      <c r="C67" s="117">
        <v>0</v>
      </c>
      <c r="D67" s="319">
        <f>'Data Ocupacion'!T38</f>
        <v>0</v>
      </c>
      <c r="E67" s="148">
        <f>'Data Ocupacion'!U38</f>
        <v>0</v>
      </c>
      <c r="F67" s="117" t="s">
        <v>35</v>
      </c>
      <c r="G67" s="117">
        <f t="shared" si="47"/>
        <v>0</v>
      </c>
      <c r="H67" s="117">
        <f t="shared" si="51"/>
        <v>0</v>
      </c>
      <c r="I67" s="117">
        <f t="shared" si="48"/>
        <v>0</v>
      </c>
      <c r="J67" s="117">
        <f>G67*K$1</f>
        <v>0</v>
      </c>
      <c r="K67" s="154">
        <f>I67*K$1</f>
        <v>0</v>
      </c>
      <c r="L67" s="117">
        <f t="shared" si="49"/>
        <v>0</v>
      </c>
      <c r="M67" s="117">
        <f t="shared" si="50"/>
        <v>0</v>
      </c>
      <c r="N67" s="19"/>
      <c r="O67" s="19"/>
      <c r="P67" s="147"/>
      <c r="Q67" s="193"/>
      <c r="R67" s="193"/>
      <c r="S67" s="193"/>
      <c r="T67" s="193"/>
      <c r="U67" s="193"/>
      <c r="V67" s="193"/>
      <c r="W67" s="185">
        <f>J67</f>
        <v>0</v>
      </c>
      <c r="X67" s="185">
        <f>H67*$K$1</f>
        <v>0</v>
      </c>
    </row>
    <row r="68" spans="1:27" s="125" customFormat="1" ht="18.75" customHeight="1" thickBot="1" x14ac:dyDescent="0.3">
      <c r="A68" s="20"/>
      <c r="B68" s="120">
        <f>SUM(B62:B67)</f>
        <v>144</v>
      </c>
      <c r="C68" s="120">
        <f>SUM(C62:C67)</f>
        <v>3</v>
      </c>
      <c r="D68" s="153">
        <f>SUM(D62:D67)</f>
        <v>144</v>
      </c>
      <c r="E68" s="153">
        <f>SUM(E62:E67)</f>
        <v>3</v>
      </c>
      <c r="F68" s="120"/>
      <c r="G68" s="120">
        <f t="shared" ref="G68:M68" si="52">SUM(G62:G67)</f>
        <v>150</v>
      </c>
      <c r="H68" s="120">
        <f t="shared" si="52"/>
        <v>150</v>
      </c>
      <c r="I68" s="120">
        <f t="shared" si="52"/>
        <v>147</v>
      </c>
      <c r="J68" s="121">
        <f t="shared" si="52"/>
        <v>6469.5</v>
      </c>
      <c r="K68" s="120">
        <f t="shared" si="52"/>
        <v>6340.1100000000006</v>
      </c>
      <c r="L68" s="119">
        <f t="shared" si="52"/>
        <v>672828</v>
      </c>
      <c r="M68" s="152">
        <f t="shared" si="52"/>
        <v>15288</v>
      </c>
      <c r="N68" s="124">
        <f>'Odometro-Kilometraje'!J81</f>
        <v>6490</v>
      </c>
      <c r="O68" s="21">
        <f>(W68/N68)*100</f>
        <v>99.684129429892138</v>
      </c>
      <c r="P68" s="196"/>
      <c r="Q68" s="184"/>
      <c r="R68" s="184"/>
      <c r="S68" s="184"/>
      <c r="T68" s="184"/>
      <c r="U68" s="184"/>
      <c r="V68" s="184"/>
      <c r="W68" s="197">
        <f>SUM(W62:W67)</f>
        <v>6469.5</v>
      </c>
      <c r="X68" s="197">
        <f>SUM(X62:X67)</f>
        <v>6469.5</v>
      </c>
      <c r="Y68" s="244"/>
    </row>
    <row r="69" spans="1:27" s="125" customFormat="1" x14ac:dyDescent="0.25">
      <c r="A69" s="61">
        <f>A62+1</f>
        <v>45879</v>
      </c>
      <c r="B69" s="224">
        <v>51</v>
      </c>
      <c r="C69" s="224">
        <v>3</v>
      </c>
      <c r="D69" s="139">
        <f>'Data Ocupacion'!V33</f>
        <v>51</v>
      </c>
      <c r="E69" s="139">
        <f>'Data Ocupacion'!W33</f>
        <v>3</v>
      </c>
      <c r="F69" s="325" t="s">
        <v>38</v>
      </c>
      <c r="G69" s="314">
        <f t="shared" ref="G69:G76" si="53">D69+E69*2</f>
        <v>57</v>
      </c>
      <c r="H69" s="224">
        <f>B69+C69*2</f>
        <v>57</v>
      </c>
      <c r="I69" s="326">
        <f t="shared" ref="I69:I74" si="54">D69+E69</f>
        <v>54</v>
      </c>
      <c r="J69" s="326">
        <f>G69*M$2</f>
        <v>2458.4100000000003</v>
      </c>
      <c r="K69" s="154">
        <f>I69*M$2</f>
        <v>2329.02</v>
      </c>
      <c r="L69" s="224">
        <f t="shared" ref="L69:L74" si="55">J69*104</f>
        <v>255674.64000000004</v>
      </c>
      <c r="M69" s="224">
        <f t="shared" ref="M69:M74" si="56">I69*104</f>
        <v>5616</v>
      </c>
      <c r="N69" s="19"/>
      <c r="O69" s="19"/>
      <c r="P69" s="147"/>
      <c r="Q69" s="186"/>
      <c r="R69" s="186"/>
      <c r="S69" s="210"/>
      <c r="T69" s="186"/>
      <c r="U69" s="195"/>
      <c r="V69" s="234"/>
      <c r="W69" s="185">
        <f>J69-(Q69*($M$2-$K$1))-(R69*($M$2-$M$1))- (S69*($M$2-$I$2))+ (T69*($G$2))</f>
        <v>2458.4100000000003</v>
      </c>
      <c r="X69" s="185">
        <f>H69*$M$2</f>
        <v>2458.4100000000003</v>
      </c>
    </row>
    <row r="70" spans="1:27" ht="14.45" customHeight="1" x14ac:dyDescent="0.25">
      <c r="A70" s="287"/>
      <c r="B70" s="224">
        <v>57</v>
      </c>
      <c r="C70" s="224">
        <v>0</v>
      </c>
      <c r="D70" s="139">
        <f>'Data Ocupacion'!V34</f>
        <v>57</v>
      </c>
      <c r="E70" s="139">
        <f>'Data Ocupacion'!W34</f>
        <v>0</v>
      </c>
      <c r="F70" s="325" t="s">
        <v>52</v>
      </c>
      <c r="G70" s="314">
        <f t="shared" si="53"/>
        <v>57</v>
      </c>
      <c r="H70" s="224">
        <f t="shared" ref="H70:H74" si="57">B70+C70*2</f>
        <v>57</v>
      </c>
      <c r="I70" s="224">
        <f t="shared" si="54"/>
        <v>57</v>
      </c>
      <c r="J70" s="224">
        <f>G70*M$2</f>
        <v>2458.4100000000003</v>
      </c>
      <c r="K70" s="154">
        <f>I70*M$2</f>
        <v>2458.4100000000003</v>
      </c>
      <c r="L70" s="224">
        <f t="shared" si="55"/>
        <v>255674.64000000004</v>
      </c>
      <c r="M70" s="224">
        <f t="shared" si="56"/>
        <v>5928</v>
      </c>
      <c r="N70" s="19"/>
      <c r="O70" s="19"/>
      <c r="P70" s="147"/>
      <c r="Q70" s="190"/>
      <c r="R70" s="190"/>
      <c r="S70" s="222"/>
      <c r="T70" s="186"/>
      <c r="U70" s="222"/>
      <c r="V70" s="235"/>
      <c r="W70" s="188">
        <f>J70-(T70*($M$2-$K$1)+(U70*($M$2-$M$1))+(V70*($U$2)))</f>
        <v>2458.4100000000003</v>
      </c>
      <c r="X70" s="185">
        <f>H70*$M$2</f>
        <v>2458.4100000000003</v>
      </c>
    </row>
    <row r="71" spans="1:27" ht="15" customHeight="1" x14ac:dyDescent="0.25">
      <c r="A71" s="261"/>
      <c r="B71" s="224">
        <v>0</v>
      </c>
      <c r="C71" s="224">
        <v>0</v>
      </c>
      <c r="D71" s="139">
        <f>'Data Ocupacion'!V35</f>
        <v>0</v>
      </c>
      <c r="E71" s="139">
        <f>'Data Ocupacion'!W35</f>
        <v>0</v>
      </c>
      <c r="F71" s="325" t="s">
        <v>36</v>
      </c>
      <c r="G71" s="314">
        <f t="shared" si="53"/>
        <v>0</v>
      </c>
      <c r="H71" s="224">
        <f t="shared" si="57"/>
        <v>0</v>
      </c>
      <c r="I71" s="224">
        <f t="shared" si="54"/>
        <v>0</v>
      </c>
      <c r="J71" s="224">
        <f>G71*M$1</f>
        <v>0</v>
      </c>
      <c r="K71" s="154">
        <f>I71*M$1</f>
        <v>0</v>
      </c>
      <c r="L71" s="224">
        <f t="shared" si="55"/>
        <v>0</v>
      </c>
      <c r="M71" s="224">
        <f t="shared" si="56"/>
        <v>0</v>
      </c>
      <c r="N71" s="19"/>
      <c r="O71" s="19"/>
      <c r="P71" s="147"/>
      <c r="Q71" s="189"/>
      <c r="R71" s="191"/>
      <c r="S71" s="211"/>
      <c r="T71" s="192"/>
      <c r="U71" s="193"/>
      <c r="V71" s="193"/>
      <c r="W71" s="185">
        <f>J71-(Q71*($M$1-$K$1))</f>
        <v>0</v>
      </c>
      <c r="X71" s="185">
        <f>H71*$M$1</f>
        <v>0</v>
      </c>
    </row>
    <row r="72" spans="1:27" ht="15" customHeight="1" x14ac:dyDescent="0.25">
      <c r="A72" s="261"/>
      <c r="B72" s="224">
        <v>0</v>
      </c>
      <c r="C72" s="224">
        <v>0</v>
      </c>
      <c r="D72" s="139">
        <f>'Data Ocupacion'!V36</f>
        <v>0</v>
      </c>
      <c r="E72" s="139">
        <f>'Data Ocupacion'!W36</f>
        <v>0</v>
      </c>
      <c r="F72" s="325" t="s">
        <v>53</v>
      </c>
      <c r="G72" s="314">
        <f t="shared" si="53"/>
        <v>0</v>
      </c>
      <c r="H72" s="224">
        <f t="shared" si="57"/>
        <v>0</v>
      </c>
      <c r="I72" s="224">
        <f t="shared" si="54"/>
        <v>0</v>
      </c>
      <c r="J72" s="224">
        <f>G72*M$1</f>
        <v>0</v>
      </c>
      <c r="K72" s="154">
        <f>I72*M$1</f>
        <v>0</v>
      </c>
      <c r="L72" s="224">
        <f t="shared" si="55"/>
        <v>0</v>
      </c>
      <c r="M72" s="224">
        <f t="shared" si="56"/>
        <v>0</v>
      </c>
      <c r="N72" s="19"/>
      <c r="O72" s="19"/>
      <c r="P72" s="147"/>
      <c r="Q72" s="193"/>
      <c r="R72" s="193"/>
      <c r="S72" s="193"/>
      <c r="T72" s="193"/>
      <c r="U72" s="193"/>
      <c r="V72" s="193"/>
      <c r="W72" s="185">
        <f>J72</f>
        <v>0</v>
      </c>
      <c r="X72" s="185">
        <f>H72*$M$1</f>
        <v>0</v>
      </c>
    </row>
    <row r="73" spans="1:27" ht="15" customHeight="1" x14ac:dyDescent="0.25">
      <c r="A73" s="261"/>
      <c r="B73" s="224">
        <v>0</v>
      </c>
      <c r="C73" s="224">
        <v>0</v>
      </c>
      <c r="D73" s="139">
        <f>'Data Ocupacion'!V37</f>
        <v>0</v>
      </c>
      <c r="E73" s="139">
        <f>'Data Ocupacion'!W37</f>
        <v>0</v>
      </c>
      <c r="F73" s="325" t="s">
        <v>122</v>
      </c>
      <c r="G73" s="314">
        <f t="shared" si="53"/>
        <v>0</v>
      </c>
      <c r="H73" s="224">
        <f t="shared" si="57"/>
        <v>0</v>
      </c>
      <c r="I73" s="224">
        <f t="shared" si="54"/>
        <v>0</v>
      </c>
      <c r="J73" s="327">
        <f>G73*K$1</f>
        <v>0</v>
      </c>
      <c r="K73" s="154">
        <f>I73*K$1</f>
        <v>0</v>
      </c>
      <c r="L73" s="224">
        <f t="shared" si="55"/>
        <v>0</v>
      </c>
      <c r="M73" s="224">
        <f t="shared" si="56"/>
        <v>0</v>
      </c>
      <c r="N73" s="19"/>
      <c r="O73" s="19"/>
      <c r="P73" s="147"/>
      <c r="Q73" s="193"/>
      <c r="R73" s="193"/>
      <c r="S73" s="193"/>
      <c r="T73" s="193"/>
      <c r="U73" s="193"/>
      <c r="V73" s="193"/>
      <c r="W73" s="185">
        <f>J73</f>
        <v>0</v>
      </c>
      <c r="X73" s="185">
        <f>H73*$K$1</f>
        <v>0</v>
      </c>
    </row>
    <row r="74" spans="1:27" ht="14.25" customHeight="1" thickBot="1" x14ac:dyDescent="0.3">
      <c r="A74" s="261"/>
      <c r="B74" s="224">
        <v>0</v>
      </c>
      <c r="C74" s="224">
        <v>0</v>
      </c>
      <c r="D74" s="139">
        <f>'Data Ocupacion'!V38</f>
        <v>0</v>
      </c>
      <c r="E74" s="139">
        <f>'Data Ocupacion'!W38</f>
        <v>0</v>
      </c>
      <c r="F74" s="325" t="s">
        <v>35</v>
      </c>
      <c r="G74" s="314">
        <f t="shared" si="53"/>
        <v>0</v>
      </c>
      <c r="H74" s="224">
        <f t="shared" si="57"/>
        <v>0</v>
      </c>
      <c r="I74" s="328">
        <f t="shared" si="54"/>
        <v>0</v>
      </c>
      <c r="J74" s="328">
        <f>G74*K$1</f>
        <v>0</v>
      </c>
      <c r="K74" s="154">
        <f>I74*K$1</f>
        <v>0</v>
      </c>
      <c r="L74" s="224">
        <f t="shared" si="55"/>
        <v>0</v>
      </c>
      <c r="M74" s="224">
        <f t="shared" si="56"/>
        <v>0</v>
      </c>
      <c r="N74" s="19"/>
      <c r="O74" s="19"/>
      <c r="P74" s="147"/>
      <c r="Q74" s="193"/>
      <c r="R74" s="193"/>
      <c r="S74" s="193"/>
      <c r="T74" s="193"/>
      <c r="U74" s="193"/>
      <c r="V74" s="193"/>
      <c r="W74" s="185">
        <f>J74</f>
        <v>0</v>
      </c>
      <c r="X74" s="185">
        <f>H74*$K$1</f>
        <v>0</v>
      </c>
      <c r="Y74" s="263"/>
      <c r="Z74" s="263"/>
      <c r="AA74" s="263"/>
    </row>
    <row r="75" spans="1:27" s="125" customFormat="1" ht="15.75" thickBot="1" x14ac:dyDescent="0.3">
      <c r="A75" s="20"/>
      <c r="B75" s="120">
        <f>SUM(B69:B74)</f>
        <v>108</v>
      </c>
      <c r="C75" s="120">
        <f>SUM(C69:C74)</f>
        <v>3</v>
      </c>
      <c r="D75" s="149">
        <f>SUM(D69:D74)</f>
        <v>108</v>
      </c>
      <c r="E75" s="149">
        <f>SUM(E69:E74)</f>
        <v>3</v>
      </c>
      <c r="F75" s="120"/>
      <c r="G75" s="120">
        <f t="shared" ref="G75:M75" si="58">SUM(G69:G74)</f>
        <v>114</v>
      </c>
      <c r="H75" s="120">
        <f t="shared" si="58"/>
        <v>114</v>
      </c>
      <c r="I75" s="120">
        <f t="shared" si="58"/>
        <v>111</v>
      </c>
      <c r="J75" s="121">
        <f t="shared" si="58"/>
        <v>4916.8200000000006</v>
      </c>
      <c r="K75" s="120">
        <f t="shared" si="58"/>
        <v>4787.43</v>
      </c>
      <c r="L75" s="120">
        <f t="shared" si="58"/>
        <v>511349.28000000009</v>
      </c>
      <c r="M75" s="120">
        <f t="shared" si="58"/>
        <v>11544</v>
      </c>
      <c r="N75" s="124">
        <f>'Odometro-Kilometraje'!K81</f>
        <v>5063</v>
      </c>
      <c r="O75" s="21">
        <f>(W75/N75)*100</f>
        <v>97.112778984791632</v>
      </c>
      <c r="P75" s="196"/>
      <c r="Q75" s="184"/>
      <c r="R75" s="184"/>
      <c r="S75" s="184"/>
      <c r="T75" s="184"/>
      <c r="U75" s="184"/>
      <c r="V75" s="184"/>
      <c r="W75" s="197">
        <f>SUM(W69:W74)</f>
        <v>4916.8200000000006</v>
      </c>
      <c r="X75" s="197">
        <f>SUM(X69:X74)</f>
        <v>4916.8200000000006</v>
      </c>
      <c r="Y75" s="263"/>
      <c r="Z75" s="263"/>
      <c r="AA75" s="263"/>
    </row>
    <row r="76" spans="1:27" x14ac:dyDescent="0.25">
      <c r="A76" s="61">
        <f>A69+1</f>
        <v>45880</v>
      </c>
      <c r="B76" s="313">
        <v>50</v>
      </c>
      <c r="C76" s="313">
        <v>29</v>
      </c>
      <c r="D76" s="127">
        <f>'Data Ocupacion'!X33</f>
        <v>50</v>
      </c>
      <c r="E76" s="127">
        <f>'Data Ocupacion'!Y33</f>
        <v>29</v>
      </c>
      <c r="F76" s="126" t="s">
        <v>38</v>
      </c>
      <c r="G76" s="227">
        <f t="shared" si="53"/>
        <v>108</v>
      </c>
      <c r="H76" s="126">
        <f>B76+C76*2</f>
        <v>108</v>
      </c>
      <c r="I76" s="126">
        <f t="shared" ref="I76:I81" si="59">D76+E76</f>
        <v>79</v>
      </c>
      <c r="J76" s="126">
        <f>G76*M$2</f>
        <v>4658.04</v>
      </c>
      <c r="K76" s="154">
        <f>I76*M$2</f>
        <v>3407.27</v>
      </c>
      <c r="L76" s="126">
        <f t="shared" ref="L76:L81" si="60">J76*104</f>
        <v>484436.16</v>
      </c>
      <c r="M76" s="126">
        <f t="shared" ref="M76:M81" si="61">I76*104</f>
        <v>8216</v>
      </c>
      <c r="N76" s="19"/>
      <c r="O76" s="19"/>
      <c r="P76" s="147"/>
      <c r="Q76" s="186">
        <v>2</v>
      </c>
      <c r="R76" s="186"/>
      <c r="S76" s="210"/>
      <c r="T76" s="186"/>
      <c r="U76" s="195"/>
      <c r="V76" s="234"/>
      <c r="W76" s="185">
        <f>J76-(Q76*($M$2-$K$1))-(R76*($M$2-$M$1))- (S76*($M$2-$I$2))+ (T76*($G$2))</f>
        <v>4622.58</v>
      </c>
      <c r="X76" s="185">
        <f>H76*$M$2</f>
        <v>4658.04</v>
      </c>
      <c r="Y76" s="263"/>
      <c r="Z76" s="263"/>
      <c r="AA76" s="263"/>
    </row>
    <row r="77" spans="1:27" ht="15" customHeight="1" x14ac:dyDescent="0.25">
      <c r="A77" s="339" t="s">
        <v>175</v>
      </c>
      <c r="B77" s="313">
        <v>48</v>
      </c>
      <c r="C77" s="313">
        <v>30</v>
      </c>
      <c r="D77" s="127">
        <f>'Data Ocupacion'!X34</f>
        <v>48</v>
      </c>
      <c r="E77" s="127">
        <f>'Data Ocupacion'!Y34</f>
        <v>30</v>
      </c>
      <c r="F77" s="126" t="s">
        <v>52</v>
      </c>
      <c r="G77" s="126">
        <f t="shared" ref="G77:G81" si="62">D77+E77*2</f>
        <v>108</v>
      </c>
      <c r="H77" s="126">
        <f t="shared" ref="H77:H81" si="63">B77+C77*2</f>
        <v>108</v>
      </c>
      <c r="I77" s="126">
        <f t="shared" si="59"/>
        <v>78</v>
      </c>
      <c r="J77" s="126">
        <f>G77*M$2</f>
        <v>4658.04</v>
      </c>
      <c r="K77" s="154">
        <f>I77*M$2</f>
        <v>3364.1400000000003</v>
      </c>
      <c r="L77" s="126">
        <f t="shared" si="60"/>
        <v>484436.16</v>
      </c>
      <c r="M77" s="126">
        <f t="shared" si="61"/>
        <v>8112</v>
      </c>
      <c r="N77" s="19"/>
      <c r="O77" s="19"/>
      <c r="P77" s="147"/>
      <c r="Q77" s="190"/>
      <c r="R77" s="190"/>
      <c r="S77" s="190"/>
      <c r="T77" s="186">
        <v>3</v>
      </c>
      <c r="U77" s="186"/>
      <c r="V77" s="235"/>
      <c r="W77" s="188">
        <f>J77-(T77*($M$2-$K$1)+(U77*($M$2-$M$1)))</f>
        <v>4604.8500000000004</v>
      </c>
      <c r="X77" s="185">
        <f>H77*$M$2</f>
        <v>4658.04</v>
      </c>
      <c r="Y77" s="263"/>
      <c r="Z77" s="263"/>
      <c r="AA77" s="263"/>
    </row>
    <row r="78" spans="1:27" ht="15" customHeight="1" x14ac:dyDescent="0.25">
      <c r="A78" s="339"/>
      <c r="B78" s="313">
        <v>30</v>
      </c>
      <c r="C78" s="313">
        <v>3</v>
      </c>
      <c r="D78" s="127">
        <f>'Data Ocupacion'!X35</f>
        <v>30</v>
      </c>
      <c r="E78" s="127">
        <f>'Data Ocupacion'!Y35</f>
        <v>3</v>
      </c>
      <c r="F78" s="126" t="s">
        <v>36</v>
      </c>
      <c r="G78" s="126">
        <f t="shared" si="62"/>
        <v>36</v>
      </c>
      <c r="H78" s="126">
        <f t="shared" si="63"/>
        <v>36</v>
      </c>
      <c r="I78" s="126">
        <f t="shared" si="59"/>
        <v>33</v>
      </c>
      <c r="J78" s="126">
        <f>G78*M$1</f>
        <v>1047.96</v>
      </c>
      <c r="K78" s="154">
        <f>I78*M$1</f>
        <v>960.63</v>
      </c>
      <c r="L78" s="126">
        <f t="shared" si="60"/>
        <v>108987.84</v>
      </c>
      <c r="M78" s="126">
        <f t="shared" si="61"/>
        <v>3432</v>
      </c>
      <c r="N78" s="19"/>
      <c r="O78" s="19" t="s">
        <v>144</v>
      </c>
      <c r="P78" s="147"/>
      <c r="Q78" s="189"/>
      <c r="R78" s="191"/>
      <c r="S78" s="211"/>
      <c r="T78" s="192"/>
      <c r="U78" s="193"/>
      <c r="V78" s="193"/>
      <c r="W78" s="185">
        <f>J78-(Q78*($M$1-$K$1))</f>
        <v>1047.96</v>
      </c>
      <c r="X78" s="185">
        <f>H78*$M$1</f>
        <v>1047.96</v>
      </c>
      <c r="Y78" s="263"/>
      <c r="Z78" s="263"/>
      <c r="AA78" s="263"/>
    </row>
    <row r="79" spans="1:27" ht="13.5" customHeight="1" x14ac:dyDescent="0.25">
      <c r="A79" s="339"/>
      <c r="B79" s="313">
        <v>29</v>
      </c>
      <c r="C79" s="313">
        <v>3</v>
      </c>
      <c r="D79" s="127">
        <f>'Data Ocupacion'!X36</f>
        <v>29</v>
      </c>
      <c r="E79" s="127">
        <f>'Data Ocupacion'!Y36</f>
        <v>3</v>
      </c>
      <c r="F79" s="126" t="s">
        <v>53</v>
      </c>
      <c r="G79" s="126">
        <f t="shared" si="62"/>
        <v>35</v>
      </c>
      <c r="H79" s="126">
        <f t="shared" si="63"/>
        <v>35</v>
      </c>
      <c r="I79" s="126">
        <f t="shared" si="59"/>
        <v>32</v>
      </c>
      <c r="J79" s="126">
        <f>G79*M$1</f>
        <v>1018.85</v>
      </c>
      <c r="K79" s="154">
        <f>I79*M$1</f>
        <v>931.52</v>
      </c>
      <c r="L79" s="126">
        <f t="shared" si="60"/>
        <v>105960.40000000001</v>
      </c>
      <c r="M79" s="126">
        <f t="shared" si="61"/>
        <v>3328</v>
      </c>
      <c r="N79" s="19"/>
      <c r="O79" s="19" t="s">
        <v>144</v>
      </c>
      <c r="P79" s="147"/>
      <c r="Q79" s="193"/>
      <c r="R79" s="193"/>
      <c r="S79" s="193"/>
      <c r="T79" s="193"/>
      <c r="U79" s="193"/>
      <c r="V79" s="193"/>
      <c r="W79" s="185">
        <f>J79</f>
        <v>1018.85</v>
      </c>
      <c r="X79" s="185">
        <f>H79*$M$1</f>
        <v>1018.85</v>
      </c>
      <c r="Y79" s="263"/>
      <c r="Z79" s="263"/>
      <c r="AA79" s="263"/>
    </row>
    <row r="80" spans="1:27" s="125" customFormat="1" ht="13.5" customHeight="1" x14ac:dyDescent="0.25">
      <c r="A80" s="339"/>
      <c r="B80" s="313">
        <v>0</v>
      </c>
      <c r="C80" s="313">
        <v>0</v>
      </c>
      <c r="D80" s="127">
        <f>'Data Ocupacion'!X37</f>
        <v>0</v>
      </c>
      <c r="E80" s="127">
        <f>'Data Ocupacion'!Y37</f>
        <v>0</v>
      </c>
      <c r="F80" s="126" t="s">
        <v>122</v>
      </c>
      <c r="G80" s="126">
        <f t="shared" si="62"/>
        <v>0</v>
      </c>
      <c r="H80" s="126">
        <f t="shared" si="63"/>
        <v>0</v>
      </c>
      <c r="I80" s="126">
        <f t="shared" si="59"/>
        <v>0</v>
      </c>
      <c r="J80" s="126">
        <f>G80*K$1</f>
        <v>0</v>
      </c>
      <c r="K80" s="154">
        <f>I80*K$1</f>
        <v>0</v>
      </c>
      <c r="L80" s="126">
        <f t="shared" si="60"/>
        <v>0</v>
      </c>
      <c r="M80" s="126">
        <f t="shared" si="61"/>
        <v>0</v>
      </c>
      <c r="N80" s="19"/>
      <c r="O80" s="19"/>
      <c r="P80" s="147"/>
      <c r="Q80" s="193"/>
      <c r="R80" s="193"/>
      <c r="S80" s="193"/>
      <c r="T80" s="193"/>
      <c r="U80" s="193"/>
      <c r="V80" s="193"/>
      <c r="W80" s="185">
        <f>J80</f>
        <v>0</v>
      </c>
      <c r="X80" s="185">
        <f>H80*$K$1</f>
        <v>0</v>
      </c>
      <c r="Y80" s="263"/>
      <c r="Z80" s="263"/>
      <c r="AA80" s="263"/>
    </row>
    <row r="81" spans="1:27" s="125" customFormat="1" ht="15" customHeight="1" thickBot="1" x14ac:dyDescent="0.3">
      <c r="A81" s="339"/>
      <c r="B81" s="313">
        <v>1</v>
      </c>
      <c r="C81" s="313">
        <v>0</v>
      </c>
      <c r="D81" s="127">
        <f>'Data Ocupacion'!X38</f>
        <v>1</v>
      </c>
      <c r="E81" s="127">
        <f>'Data Ocupacion'!Y38</f>
        <v>0</v>
      </c>
      <c r="F81" s="126" t="s">
        <v>35</v>
      </c>
      <c r="G81" s="126">
        <f t="shared" si="62"/>
        <v>1</v>
      </c>
      <c r="H81" s="126">
        <f t="shared" si="63"/>
        <v>1</v>
      </c>
      <c r="I81" s="126">
        <f t="shared" si="59"/>
        <v>1</v>
      </c>
      <c r="J81" s="126">
        <f>G81*K$1</f>
        <v>25.4</v>
      </c>
      <c r="K81" s="154">
        <f>I81*K$1</f>
        <v>25.4</v>
      </c>
      <c r="L81" s="126">
        <f t="shared" si="60"/>
        <v>2641.6</v>
      </c>
      <c r="M81" s="126">
        <f t="shared" si="61"/>
        <v>104</v>
      </c>
      <c r="N81" s="19"/>
      <c r="O81" s="19"/>
      <c r="P81" s="147"/>
      <c r="Q81" s="193"/>
      <c r="R81" s="193"/>
      <c r="S81" s="193"/>
      <c r="T81" s="193"/>
      <c r="U81" s="193"/>
      <c r="V81" s="193"/>
      <c r="W81" s="185">
        <f>J81</f>
        <v>25.4</v>
      </c>
      <c r="X81" s="185">
        <f>H81*$K$1</f>
        <v>25.4</v>
      </c>
      <c r="Y81" s="263"/>
      <c r="Z81" s="263"/>
      <c r="AA81" s="263"/>
    </row>
    <row r="82" spans="1:27" ht="15" customHeight="1" thickBot="1" x14ac:dyDescent="0.3">
      <c r="A82" s="20"/>
      <c r="B82" s="120">
        <f>SUM(B76:B81)</f>
        <v>158</v>
      </c>
      <c r="C82" s="120">
        <f>SUM(C76:C81)</f>
        <v>65</v>
      </c>
      <c r="D82" s="149">
        <f>SUM(D76:D81)</f>
        <v>158</v>
      </c>
      <c r="E82" s="149">
        <f>SUM(E76:E81)</f>
        <v>65</v>
      </c>
      <c r="F82" s="120"/>
      <c r="G82" s="120">
        <f t="shared" ref="G82:M82" si="64">SUM(G76:G81)</f>
        <v>288</v>
      </c>
      <c r="H82" s="120">
        <f t="shared" si="64"/>
        <v>288</v>
      </c>
      <c r="I82" s="120">
        <f t="shared" si="64"/>
        <v>223</v>
      </c>
      <c r="J82" s="120">
        <f t="shared" si="64"/>
        <v>11408.29</v>
      </c>
      <c r="K82" s="120">
        <f t="shared" si="64"/>
        <v>8688.9599999999991</v>
      </c>
      <c r="L82" s="120">
        <f t="shared" si="64"/>
        <v>1186462.1599999999</v>
      </c>
      <c r="M82" s="120">
        <f t="shared" si="64"/>
        <v>23192</v>
      </c>
      <c r="N82" s="124">
        <f>'Odometro-Kilometraje'!L81</f>
        <v>11667</v>
      </c>
      <c r="O82" s="21">
        <f>(W82/N82)*100</f>
        <v>97.022713636753238</v>
      </c>
      <c r="P82" s="196"/>
      <c r="Q82" s="184"/>
      <c r="R82" s="184"/>
      <c r="S82" s="184"/>
      <c r="T82" s="184"/>
      <c r="U82" s="184"/>
      <c r="V82" s="184"/>
      <c r="W82" s="197">
        <f>SUM(W76:W81)</f>
        <v>11319.64</v>
      </c>
      <c r="X82" s="197">
        <f>SUM(X76:X81)</f>
        <v>11408.29</v>
      </c>
      <c r="Y82" s="263"/>
      <c r="Z82" s="263"/>
      <c r="AA82" s="263"/>
    </row>
    <row r="83" spans="1:27" ht="15.95" customHeight="1" x14ac:dyDescent="0.25">
      <c r="A83" s="61">
        <f>A76+1</f>
        <v>45881</v>
      </c>
      <c r="B83" s="313">
        <v>50</v>
      </c>
      <c r="C83" s="313">
        <v>29</v>
      </c>
      <c r="D83" s="127">
        <f>'Data Ocupacion'!Z33</f>
        <v>50</v>
      </c>
      <c r="E83" s="127">
        <f>'Data Ocupacion'!AA33</f>
        <v>29</v>
      </c>
      <c r="F83" s="126" t="s">
        <v>38</v>
      </c>
      <c r="G83" s="126">
        <f t="shared" ref="G83:G88" si="65">D83+E83*2</f>
        <v>108</v>
      </c>
      <c r="H83" s="126">
        <f>B83+C83*2</f>
        <v>108</v>
      </c>
      <c r="I83" s="126">
        <f t="shared" ref="I83:I88" si="66">D83+E83</f>
        <v>79</v>
      </c>
      <c r="J83" s="126">
        <f>G83*M$2</f>
        <v>4658.04</v>
      </c>
      <c r="K83" s="154">
        <f>I83*M$2</f>
        <v>3407.27</v>
      </c>
      <c r="L83" s="126">
        <f t="shared" ref="L83:L88" si="67">J83*104</f>
        <v>484436.16</v>
      </c>
      <c r="M83" s="126">
        <f t="shared" ref="M83:M88" si="68">I83*104</f>
        <v>8216</v>
      </c>
      <c r="N83" s="19"/>
      <c r="O83" s="19"/>
      <c r="P83" s="147"/>
      <c r="Q83" s="250">
        <v>3</v>
      </c>
      <c r="R83" s="186"/>
      <c r="S83" s="210"/>
      <c r="T83" s="250"/>
      <c r="U83" s="195"/>
      <c r="V83" s="234"/>
      <c r="W83" s="185">
        <f>J83-(Q83*($M$2-$K$1))-(R83*($M$2-$M$1))- (S83*($M$2-$I$2))+ (T83*($G$2))</f>
        <v>4604.8500000000004</v>
      </c>
      <c r="X83" s="185">
        <f>H83*$M$2</f>
        <v>4658.04</v>
      </c>
      <c r="Y83" s="263"/>
      <c r="Z83" s="263"/>
      <c r="AA83" s="263"/>
    </row>
    <row r="84" spans="1:27" ht="15" customHeight="1" x14ac:dyDescent="0.25">
      <c r="A84" s="287"/>
      <c r="B84" s="313">
        <v>48</v>
      </c>
      <c r="C84" s="313">
        <v>30</v>
      </c>
      <c r="D84" s="127">
        <f>'Data Ocupacion'!Z34</f>
        <v>48</v>
      </c>
      <c r="E84" s="127">
        <f>'Data Ocupacion'!AA34</f>
        <v>30</v>
      </c>
      <c r="F84" s="126" t="s">
        <v>52</v>
      </c>
      <c r="G84" s="126">
        <f t="shared" si="65"/>
        <v>108</v>
      </c>
      <c r="H84" s="126">
        <f t="shared" ref="H84:H88" si="69">B84+C84*2</f>
        <v>108</v>
      </c>
      <c r="I84" s="126">
        <f t="shared" si="66"/>
        <v>78</v>
      </c>
      <c r="J84" s="126">
        <f>G84*M$2</f>
        <v>4658.04</v>
      </c>
      <c r="K84" s="154">
        <f>I84*M$2</f>
        <v>3364.1400000000003</v>
      </c>
      <c r="L84" s="126">
        <f t="shared" si="67"/>
        <v>484436.16</v>
      </c>
      <c r="M84" s="126">
        <f t="shared" si="68"/>
        <v>8112</v>
      </c>
      <c r="N84" s="19"/>
      <c r="O84" s="19"/>
      <c r="P84" s="147"/>
      <c r="Q84" s="190"/>
      <c r="R84" s="190"/>
      <c r="S84" s="190"/>
      <c r="T84" s="250">
        <v>4</v>
      </c>
      <c r="U84" s="186"/>
      <c r="V84" s="210"/>
      <c r="W84" s="188">
        <f>J84-(T84*($M$2-$K$1)+(U84*($M$2-$M$1)))</f>
        <v>4587.12</v>
      </c>
      <c r="X84" s="185">
        <f>H84*$M$2</f>
        <v>4658.04</v>
      </c>
      <c r="Y84" s="263"/>
      <c r="Z84" s="263"/>
      <c r="AA84" s="263"/>
    </row>
    <row r="85" spans="1:27" ht="15" customHeight="1" x14ac:dyDescent="0.25">
      <c r="A85" s="261"/>
      <c r="B85" s="313">
        <v>30</v>
      </c>
      <c r="C85" s="313">
        <v>3</v>
      </c>
      <c r="D85" s="127">
        <f>'Data Ocupacion'!Z35</f>
        <v>30</v>
      </c>
      <c r="E85" s="127">
        <f>'Data Ocupacion'!AA35</f>
        <v>3</v>
      </c>
      <c r="F85" s="126" t="s">
        <v>36</v>
      </c>
      <c r="G85" s="126">
        <f t="shared" si="65"/>
        <v>36</v>
      </c>
      <c r="H85" s="126">
        <f t="shared" si="69"/>
        <v>36</v>
      </c>
      <c r="I85" s="126">
        <f t="shared" si="66"/>
        <v>33</v>
      </c>
      <c r="J85" s="126">
        <f>G85*M$1</f>
        <v>1047.96</v>
      </c>
      <c r="K85" s="154">
        <f>I85*M$1</f>
        <v>960.63</v>
      </c>
      <c r="L85" s="126">
        <f t="shared" si="67"/>
        <v>108987.84</v>
      </c>
      <c r="M85" s="126">
        <f t="shared" si="68"/>
        <v>3432</v>
      </c>
      <c r="N85" s="19"/>
      <c r="O85" s="19"/>
      <c r="P85" s="147"/>
      <c r="Q85" s="189"/>
      <c r="R85" s="191"/>
      <c r="S85" s="211"/>
      <c r="T85" s="192"/>
      <c r="U85" s="193"/>
      <c r="V85" s="193"/>
      <c r="W85" s="185">
        <f>J85-(Q85*($M$1-$K$1))</f>
        <v>1047.96</v>
      </c>
      <c r="X85" s="185">
        <f>H85*$M$1</f>
        <v>1047.96</v>
      </c>
      <c r="Y85" s="263"/>
      <c r="Z85" s="263"/>
      <c r="AA85" s="263"/>
    </row>
    <row r="86" spans="1:27" ht="15" customHeight="1" x14ac:dyDescent="0.25">
      <c r="A86" s="261"/>
      <c r="B86" s="313">
        <v>29</v>
      </c>
      <c r="C86" s="313">
        <v>3</v>
      </c>
      <c r="D86" s="127">
        <f>'Data Ocupacion'!Z36</f>
        <v>29</v>
      </c>
      <c r="E86" s="127">
        <f>'Data Ocupacion'!AA36</f>
        <v>3</v>
      </c>
      <c r="F86" s="126" t="s">
        <v>53</v>
      </c>
      <c r="G86" s="126">
        <f t="shared" si="65"/>
        <v>35</v>
      </c>
      <c r="H86" s="126">
        <f t="shared" si="69"/>
        <v>35</v>
      </c>
      <c r="I86" s="126">
        <f t="shared" si="66"/>
        <v>32</v>
      </c>
      <c r="J86" s="126">
        <f>G86*M$1</f>
        <v>1018.85</v>
      </c>
      <c r="K86" s="154">
        <f>I86*M$1</f>
        <v>931.52</v>
      </c>
      <c r="L86" s="126">
        <f t="shared" si="67"/>
        <v>105960.40000000001</v>
      </c>
      <c r="M86" s="126">
        <f t="shared" si="68"/>
        <v>3328</v>
      </c>
      <c r="N86" s="19"/>
      <c r="O86" s="19"/>
      <c r="P86" s="147"/>
      <c r="Q86" s="193"/>
      <c r="R86" s="193"/>
      <c r="S86" s="193"/>
      <c r="T86" s="193"/>
      <c r="U86" s="193"/>
      <c r="V86" s="193"/>
      <c r="W86" s="185">
        <f>J86</f>
        <v>1018.85</v>
      </c>
      <c r="X86" s="185">
        <f>H86*$M$1</f>
        <v>1018.85</v>
      </c>
      <c r="Y86" s="263"/>
      <c r="Z86" s="263"/>
      <c r="AA86" s="263"/>
    </row>
    <row r="87" spans="1:27" ht="15" customHeight="1" x14ac:dyDescent="0.25">
      <c r="A87" s="261"/>
      <c r="B87" s="313">
        <v>0</v>
      </c>
      <c r="C87" s="313">
        <v>0</v>
      </c>
      <c r="D87" s="127">
        <f>'Data Ocupacion'!Z37</f>
        <v>0</v>
      </c>
      <c r="E87" s="127">
        <f>'Data Ocupacion'!AA37</f>
        <v>0</v>
      </c>
      <c r="F87" s="126" t="s">
        <v>122</v>
      </c>
      <c r="G87" s="126">
        <f t="shared" si="65"/>
        <v>0</v>
      </c>
      <c r="H87" s="126">
        <f t="shared" si="69"/>
        <v>0</v>
      </c>
      <c r="I87" s="126">
        <f t="shared" si="66"/>
        <v>0</v>
      </c>
      <c r="J87" s="126">
        <f>G87*K$1</f>
        <v>0</v>
      </c>
      <c r="K87" s="154">
        <f>I87*K$1</f>
        <v>0</v>
      </c>
      <c r="L87" s="126">
        <f t="shared" si="67"/>
        <v>0</v>
      </c>
      <c r="M87" s="126">
        <f t="shared" si="68"/>
        <v>0</v>
      </c>
      <c r="N87" s="19"/>
      <c r="O87" s="19"/>
      <c r="P87" s="147"/>
      <c r="Q87" s="193"/>
      <c r="R87" s="193"/>
      <c r="S87" s="193"/>
      <c r="T87" s="193"/>
      <c r="U87" s="193"/>
      <c r="V87" s="193"/>
      <c r="W87" s="185">
        <f>J87</f>
        <v>0</v>
      </c>
      <c r="X87" s="185">
        <f>H87*$K$1</f>
        <v>0</v>
      </c>
      <c r="Y87" s="263"/>
      <c r="Z87" s="263"/>
      <c r="AA87" s="263"/>
    </row>
    <row r="88" spans="1:27" ht="15.75" thickBot="1" x14ac:dyDescent="0.3">
      <c r="A88" s="261"/>
      <c r="B88" s="313">
        <v>1</v>
      </c>
      <c r="C88" s="313">
        <v>0</v>
      </c>
      <c r="D88" s="127">
        <f>'Data Ocupacion'!Z38</f>
        <v>1</v>
      </c>
      <c r="E88" s="127">
        <f>'Data Ocupacion'!AA38</f>
        <v>0</v>
      </c>
      <c r="F88" s="126" t="s">
        <v>35</v>
      </c>
      <c r="G88" s="126">
        <f t="shared" si="65"/>
        <v>1</v>
      </c>
      <c r="H88" s="126">
        <f t="shared" si="69"/>
        <v>1</v>
      </c>
      <c r="I88" s="126">
        <f t="shared" si="66"/>
        <v>1</v>
      </c>
      <c r="J88" s="126">
        <f>G88*K$1</f>
        <v>25.4</v>
      </c>
      <c r="K88" s="154">
        <f>I88*K$1</f>
        <v>25.4</v>
      </c>
      <c r="L88" s="126">
        <f t="shared" si="67"/>
        <v>2641.6</v>
      </c>
      <c r="M88" s="126">
        <f t="shared" si="68"/>
        <v>104</v>
      </c>
      <c r="N88" s="19"/>
      <c r="O88" s="19"/>
      <c r="P88" s="147"/>
      <c r="Q88" s="193"/>
      <c r="R88" s="193"/>
      <c r="S88" s="193"/>
      <c r="T88" s="193"/>
      <c r="U88" s="193"/>
      <c r="V88" s="193"/>
      <c r="W88" s="185">
        <f>J88</f>
        <v>25.4</v>
      </c>
      <c r="X88" s="185">
        <f>H88*$K$1</f>
        <v>25.4</v>
      </c>
    </row>
    <row r="89" spans="1:27" s="125" customFormat="1" ht="15.75" thickBot="1" x14ac:dyDescent="0.3">
      <c r="A89" s="123"/>
      <c r="B89" s="223">
        <f>SUM(B83:B88)</f>
        <v>158</v>
      </c>
      <c r="C89" s="223">
        <f>SUM(C83:C88)</f>
        <v>65</v>
      </c>
      <c r="D89" s="153">
        <f>SUM(D83:D88)</f>
        <v>158</v>
      </c>
      <c r="E89" s="153">
        <f>SUM(E83:E88)</f>
        <v>65</v>
      </c>
      <c r="F89" s="120"/>
      <c r="G89" s="120">
        <f t="shared" ref="G89:M89" si="70">SUM(G83:G88)</f>
        <v>288</v>
      </c>
      <c r="H89" s="120">
        <f t="shared" si="70"/>
        <v>288</v>
      </c>
      <c r="I89" s="120">
        <f t="shared" si="70"/>
        <v>223</v>
      </c>
      <c r="J89" s="121">
        <f t="shared" si="70"/>
        <v>11408.29</v>
      </c>
      <c r="K89" s="120">
        <f t="shared" si="70"/>
        <v>8688.9599999999991</v>
      </c>
      <c r="L89" s="119">
        <f t="shared" si="70"/>
        <v>1186462.1599999999</v>
      </c>
      <c r="M89" s="152">
        <f t="shared" si="70"/>
        <v>23192</v>
      </c>
      <c r="N89" s="124">
        <f>'Odometro-Kilometraje'!M81</f>
        <v>11793</v>
      </c>
      <c r="O89" s="21">
        <f>(W89/N89)*100</f>
        <v>95.685406597133891</v>
      </c>
      <c r="P89" s="196"/>
      <c r="Q89" s="184"/>
      <c r="R89" s="184"/>
      <c r="S89" s="184"/>
      <c r="T89" s="184"/>
      <c r="U89" s="184"/>
      <c r="V89" s="184"/>
      <c r="W89" s="197">
        <f>SUM(W83:W88)</f>
        <v>11284.18</v>
      </c>
      <c r="X89" s="197">
        <f>SUM(X83:X88)</f>
        <v>11408.29</v>
      </c>
    </row>
    <row r="90" spans="1:27" x14ac:dyDescent="0.25">
      <c r="A90" s="122">
        <f>A83+1</f>
        <v>45882</v>
      </c>
      <c r="B90" s="313">
        <v>50</v>
      </c>
      <c r="C90" s="313">
        <v>29</v>
      </c>
      <c r="D90" s="127">
        <f>'Data Ocupacion'!AB33</f>
        <v>53</v>
      </c>
      <c r="E90" s="127">
        <f>'Data Ocupacion'!AC33</f>
        <v>27</v>
      </c>
      <c r="F90" s="126" t="s">
        <v>38</v>
      </c>
      <c r="G90" s="126">
        <f t="shared" ref="G90:G95" si="71">D90+E90*2</f>
        <v>107</v>
      </c>
      <c r="H90" s="126">
        <f>B90+C90*2</f>
        <v>108</v>
      </c>
      <c r="I90" s="126">
        <f t="shared" ref="I90:I95" si="72">D90+E90</f>
        <v>80</v>
      </c>
      <c r="J90" s="126">
        <f>G90*M$2</f>
        <v>4614.91</v>
      </c>
      <c r="K90" s="154">
        <f>I90*M$2</f>
        <v>3450.4</v>
      </c>
      <c r="L90" s="126">
        <f t="shared" ref="L90:L95" si="73">J90*104</f>
        <v>479950.64</v>
      </c>
      <c r="M90" s="126">
        <f t="shared" ref="M90:M95" si="74">I90*104</f>
        <v>8320</v>
      </c>
      <c r="N90" s="19"/>
      <c r="O90" s="19"/>
      <c r="P90" s="147"/>
      <c r="Q90" s="250">
        <v>4</v>
      </c>
      <c r="R90" s="186"/>
      <c r="S90" s="210"/>
      <c r="T90" s="250"/>
      <c r="U90" s="195"/>
      <c r="V90" s="234"/>
      <c r="W90" s="185">
        <f>J90-(Q90*($M$2-$K$1))-(R90*($M$2-$M$1))- (S90*($M$2-$I$2))+ (T90*($G$2))</f>
        <v>4543.99</v>
      </c>
      <c r="X90" s="185">
        <f>H90*$M$2</f>
        <v>4658.04</v>
      </c>
    </row>
    <row r="91" spans="1:27" ht="17.25" customHeight="1" x14ac:dyDescent="0.25">
      <c r="A91" s="287"/>
      <c r="B91" s="313">
        <v>48</v>
      </c>
      <c r="C91" s="313">
        <v>30</v>
      </c>
      <c r="D91" s="127">
        <f>'Data Ocupacion'!AB34</f>
        <v>49</v>
      </c>
      <c r="E91" s="127">
        <f>'Data Ocupacion'!AC34</f>
        <v>29</v>
      </c>
      <c r="F91" s="126" t="s">
        <v>52</v>
      </c>
      <c r="G91" s="126">
        <f t="shared" si="71"/>
        <v>107</v>
      </c>
      <c r="H91" s="126">
        <f t="shared" ref="H91:H95" si="75">B91+C91*2</f>
        <v>108</v>
      </c>
      <c r="I91" s="126">
        <f t="shared" si="72"/>
        <v>78</v>
      </c>
      <c r="J91" s="126">
        <f>G91*M$2</f>
        <v>4614.91</v>
      </c>
      <c r="K91" s="154">
        <f>I91*M$2</f>
        <v>3364.1400000000003</v>
      </c>
      <c r="L91" s="126">
        <f t="shared" si="73"/>
        <v>479950.64</v>
      </c>
      <c r="M91" s="126">
        <f t="shared" si="74"/>
        <v>8112</v>
      </c>
      <c r="N91" s="19"/>
      <c r="O91" s="19"/>
      <c r="P91" s="147"/>
      <c r="Q91" s="190"/>
      <c r="R91" s="190"/>
      <c r="S91" s="190"/>
      <c r="T91" s="250">
        <v>4</v>
      </c>
      <c r="U91" s="187"/>
      <c r="V91" s="235"/>
      <c r="W91" s="188">
        <f>J91-(T91*($M$2-$K$1)+(U91*($M$2-$M$1)))</f>
        <v>4543.99</v>
      </c>
      <c r="X91" s="185">
        <f>H91*$M$2</f>
        <v>4658.04</v>
      </c>
    </row>
    <row r="92" spans="1:27" x14ac:dyDescent="0.25">
      <c r="A92" s="345" t="s">
        <v>176</v>
      </c>
      <c r="B92" s="313">
        <v>30</v>
      </c>
      <c r="C92" s="313">
        <v>3</v>
      </c>
      <c r="D92" s="127">
        <f>'Data Ocupacion'!AB35</f>
        <v>29</v>
      </c>
      <c r="E92" s="127">
        <f>'Data Ocupacion'!AC35</f>
        <v>3</v>
      </c>
      <c r="F92" s="126" t="s">
        <v>36</v>
      </c>
      <c r="G92" s="126">
        <f t="shared" si="71"/>
        <v>35</v>
      </c>
      <c r="H92" s="126">
        <f t="shared" si="75"/>
        <v>36</v>
      </c>
      <c r="I92" s="126">
        <f t="shared" si="72"/>
        <v>32</v>
      </c>
      <c r="J92" s="126">
        <f>G92*M$1</f>
        <v>1018.85</v>
      </c>
      <c r="K92" s="154">
        <f>I92*M$1</f>
        <v>931.52</v>
      </c>
      <c r="L92" s="126">
        <f t="shared" si="73"/>
        <v>105960.40000000001</v>
      </c>
      <c r="M92" s="126">
        <f t="shared" si="74"/>
        <v>3328</v>
      </c>
      <c r="N92" s="19"/>
      <c r="O92" s="19"/>
      <c r="P92" s="147"/>
      <c r="Q92" s="250"/>
      <c r="R92" s="194"/>
      <c r="S92" s="234"/>
      <c r="T92" s="190"/>
      <c r="U92" s="193"/>
      <c r="V92" s="193"/>
      <c r="W92" s="185">
        <f>J92-(Q92*($M$1-$K$1))</f>
        <v>1018.85</v>
      </c>
      <c r="X92" s="185">
        <f>H92*$M$1</f>
        <v>1047.96</v>
      </c>
    </row>
    <row r="93" spans="1:27" ht="15" customHeight="1" x14ac:dyDescent="0.25">
      <c r="A93" s="345"/>
      <c r="B93" s="313">
        <v>29</v>
      </c>
      <c r="C93" s="313">
        <v>3</v>
      </c>
      <c r="D93" s="127">
        <f>'Data Ocupacion'!AB36</f>
        <v>28</v>
      </c>
      <c r="E93" s="127">
        <f>'Data Ocupacion'!AC36</f>
        <v>3</v>
      </c>
      <c r="F93" s="126" t="s">
        <v>53</v>
      </c>
      <c r="G93" s="126">
        <f t="shared" si="71"/>
        <v>34</v>
      </c>
      <c r="H93" s="126">
        <f t="shared" si="75"/>
        <v>35</v>
      </c>
      <c r="I93" s="126">
        <f t="shared" si="72"/>
        <v>31</v>
      </c>
      <c r="J93" s="126">
        <f>G93*M$1</f>
        <v>989.74</v>
      </c>
      <c r="K93" s="154">
        <f>I93*M$1</f>
        <v>902.41</v>
      </c>
      <c r="L93" s="126">
        <f t="shared" si="73"/>
        <v>102932.96</v>
      </c>
      <c r="M93" s="126">
        <f t="shared" si="74"/>
        <v>3224</v>
      </c>
      <c r="N93" s="19"/>
      <c r="O93" s="19"/>
      <c r="P93" s="147"/>
      <c r="Q93" s="256"/>
      <c r="R93" s="256"/>
      <c r="S93" s="256"/>
      <c r="T93" s="256"/>
      <c r="U93" s="193"/>
      <c r="V93" s="193"/>
      <c r="W93" s="185">
        <f>J93</f>
        <v>989.74</v>
      </c>
      <c r="X93" s="185">
        <f>H93*$M$1</f>
        <v>1018.85</v>
      </c>
    </row>
    <row r="94" spans="1:27" ht="15" customHeight="1" x14ac:dyDescent="0.25">
      <c r="A94" s="345"/>
      <c r="B94" s="313">
        <v>0</v>
      </c>
      <c r="C94" s="313">
        <v>0</v>
      </c>
      <c r="D94" s="127">
        <f>'Data Ocupacion'!AB37</f>
        <v>0</v>
      </c>
      <c r="E94" s="127">
        <f>'Data Ocupacion'!AC37</f>
        <v>0</v>
      </c>
      <c r="F94" s="126" t="s">
        <v>122</v>
      </c>
      <c r="G94" s="126">
        <f t="shared" si="71"/>
        <v>0</v>
      </c>
      <c r="H94" s="126">
        <f t="shared" si="75"/>
        <v>0</v>
      </c>
      <c r="I94" s="126">
        <f t="shared" si="72"/>
        <v>0</v>
      </c>
      <c r="J94" s="126">
        <f>G94*K$1</f>
        <v>0</v>
      </c>
      <c r="K94" s="154">
        <f>I94*K$1</f>
        <v>0</v>
      </c>
      <c r="L94" s="126">
        <f t="shared" si="73"/>
        <v>0</v>
      </c>
      <c r="M94" s="126">
        <f t="shared" si="74"/>
        <v>0</v>
      </c>
      <c r="N94" s="19"/>
      <c r="O94" s="19"/>
      <c r="P94" s="147"/>
      <c r="Q94" s="256"/>
      <c r="R94" s="256"/>
      <c r="S94" s="256"/>
      <c r="T94" s="256"/>
      <c r="U94" s="193"/>
      <c r="V94" s="193"/>
      <c r="W94" s="185">
        <f>J94</f>
        <v>0</v>
      </c>
      <c r="X94" s="185">
        <f>H94*$K$1</f>
        <v>0</v>
      </c>
    </row>
    <row r="95" spans="1:27" ht="15.75" thickBot="1" x14ac:dyDescent="0.3">
      <c r="A95" s="261"/>
      <c r="B95" s="313">
        <v>1</v>
      </c>
      <c r="C95" s="313">
        <v>0</v>
      </c>
      <c r="D95" s="127">
        <f>'Data Ocupacion'!AB38</f>
        <v>1</v>
      </c>
      <c r="E95" s="127">
        <f>'Data Ocupacion'!AC38</f>
        <v>0</v>
      </c>
      <c r="F95" s="126" t="s">
        <v>35</v>
      </c>
      <c r="G95" s="126">
        <f t="shared" si="71"/>
        <v>1</v>
      </c>
      <c r="H95" s="126">
        <f t="shared" si="75"/>
        <v>1</v>
      </c>
      <c r="I95" s="126">
        <f t="shared" si="72"/>
        <v>1</v>
      </c>
      <c r="J95" s="126">
        <f>G95*K$1</f>
        <v>25.4</v>
      </c>
      <c r="K95" s="154">
        <f>I95*K$1</f>
        <v>25.4</v>
      </c>
      <c r="L95" s="126">
        <f t="shared" si="73"/>
        <v>2641.6</v>
      </c>
      <c r="M95" s="126">
        <f t="shared" si="74"/>
        <v>104</v>
      </c>
      <c r="N95" s="19"/>
      <c r="O95" s="19"/>
      <c r="P95" s="147"/>
      <c r="Q95" s="256"/>
      <c r="R95" s="256"/>
      <c r="S95" s="256"/>
      <c r="T95" s="256"/>
      <c r="U95" s="193"/>
      <c r="V95" s="193"/>
      <c r="W95" s="185">
        <f>J95</f>
        <v>25.4</v>
      </c>
      <c r="X95" s="185">
        <f>H95*$K$1</f>
        <v>25.4</v>
      </c>
    </row>
    <row r="96" spans="1:27" s="125" customFormat="1" ht="15.75" thickBot="1" x14ac:dyDescent="0.3">
      <c r="A96" s="20"/>
      <c r="B96" s="223">
        <f>SUM(B90:B95)</f>
        <v>158</v>
      </c>
      <c r="C96" s="223">
        <f>SUM(C90:C95)</f>
        <v>65</v>
      </c>
      <c r="D96" s="153">
        <f>SUM(D90:D95)</f>
        <v>160</v>
      </c>
      <c r="E96" s="153">
        <f>SUM(E90:E95)</f>
        <v>62</v>
      </c>
      <c r="F96" s="120"/>
      <c r="G96" s="120">
        <f t="shared" ref="G96:M96" si="76">SUM(G90:G95)</f>
        <v>284</v>
      </c>
      <c r="H96" s="120">
        <f t="shared" si="76"/>
        <v>288</v>
      </c>
      <c r="I96" s="120">
        <f t="shared" si="76"/>
        <v>222</v>
      </c>
      <c r="J96" s="121">
        <f t="shared" si="76"/>
        <v>11263.81</v>
      </c>
      <c r="K96" s="120">
        <f t="shared" si="76"/>
        <v>8673.8700000000008</v>
      </c>
      <c r="L96" s="119">
        <f t="shared" si="76"/>
        <v>1171436.24</v>
      </c>
      <c r="M96" s="152">
        <f t="shared" si="76"/>
        <v>23088</v>
      </c>
      <c r="N96" s="124">
        <f>'Odometro-Kilometraje'!N81</f>
        <v>11485</v>
      </c>
      <c r="O96" s="21">
        <f>(W96/N96)*100</f>
        <v>96.839094471049194</v>
      </c>
      <c r="P96" s="196"/>
      <c r="Q96" s="257"/>
      <c r="R96" s="257"/>
      <c r="S96" s="257"/>
      <c r="T96" s="257"/>
      <c r="U96" s="184"/>
      <c r="V96" s="184"/>
      <c r="W96" s="197">
        <f>SUM(W90:W95)</f>
        <v>11121.97</v>
      </c>
      <c r="X96" s="197">
        <f>SUM(X90:X95)</f>
        <v>11408.29</v>
      </c>
    </row>
    <row r="97" spans="1:25" ht="17.25" customHeight="1" x14ac:dyDescent="0.25">
      <c r="A97" s="61">
        <f>A90+1</f>
        <v>45883</v>
      </c>
      <c r="B97" s="313">
        <v>50</v>
      </c>
      <c r="C97" s="313">
        <v>29</v>
      </c>
      <c r="D97" s="127">
        <f>'Data Ocupacion'!AD33</f>
        <v>51</v>
      </c>
      <c r="E97" s="127">
        <f>'Data Ocupacion'!AE33</f>
        <v>28</v>
      </c>
      <c r="F97" s="126" t="s">
        <v>38</v>
      </c>
      <c r="G97" s="227">
        <f t="shared" ref="G97:G102" si="77">D97+E97*2</f>
        <v>107</v>
      </c>
      <c r="H97" s="126">
        <f>B97+C97*2</f>
        <v>108</v>
      </c>
      <c r="I97" s="126">
        <f t="shared" ref="I97:I102" si="78">D97+E97</f>
        <v>79</v>
      </c>
      <c r="J97" s="126">
        <f>G97*M$2</f>
        <v>4614.91</v>
      </c>
      <c r="K97" s="154">
        <f>I97*M$2</f>
        <v>3407.27</v>
      </c>
      <c r="L97" s="126">
        <f t="shared" ref="L97:L102" si="79">J97*104</f>
        <v>479950.64</v>
      </c>
      <c r="M97" s="126">
        <f t="shared" ref="M97:M102" si="80">I97*104</f>
        <v>8216</v>
      </c>
      <c r="N97" s="19"/>
      <c r="O97" s="19"/>
      <c r="P97" s="147"/>
      <c r="Q97" s="250">
        <v>4</v>
      </c>
      <c r="R97" s="186"/>
      <c r="S97" s="210"/>
      <c r="T97" s="250"/>
      <c r="U97" s="195"/>
      <c r="V97" s="234"/>
      <c r="W97" s="185">
        <f>J97-(Q97*($M$2-$K$1))-(R97*($M$2-$M$1))- (S97*($M$2-$I$2))+ (T97*($G$2))</f>
        <v>4543.99</v>
      </c>
      <c r="X97" s="185">
        <f>H97*$M$2</f>
        <v>4658.04</v>
      </c>
    </row>
    <row r="98" spans="1:25" ht="15" customHeight="1" x14ac:dyDescent="0.25">
      <c r="A98" s="287"/>
      <c r="B98" s="313">
        <v>48</v>
      </c>
      <c r="C98" s="313">
        <v>30</v>
      </c>
      <c r="D98" s="127">
        <f>'Data Ocupacion'!AD34</f>
        <v>49</v>
      </c>
      <c r="E98" s="127">
        <f>'Data Ocupacion'!AE34</f>
        <v>29</v>
      </c>
      <c r="F98" s="126" t="s">
        <v>52</v>
      </c>
      <c r="G98" s="126">
        <f t="shared" si="77"/>
        <v>107</v>
      </c>
      <c r="H98" s="126">
        <f t="shared" ref="H98:H102" si="81">B98+C98*2</f>
        <v>108</v>
      </c>
      <c r="I98" s="126">
        <f t="shared" si="78"/>
        <v>78</v>
      </c>
      <c r="J98" s="126">
        <f>G98*M$2</f>
        <v>4614.91</v>
      </c>
      <c r="K98" s="154">
        <f>I98*M$2</f>
        <v>3364.1400000000003</v>
      </c>
      <c r="L98" s="126">
        <f t="shared" si="79"/>
        <v>479950.64</v>
      </c>
      <c r="M98" s="126">
        <f t="shared" si="80"/>
        <v>8112</v>
      </c>
      <c r="N98" s="19"/>
      <c r="O98" s="19"/>
      <c r="P98" s="147"/>
      <c r="Q98" s="190"/>
      <c r="R98" s="190"/>
      <c r="S98" s="190"/>
      <c r="T98" s="250">
        <v>5</v>
      </c>
      <c r="U98" s="208"/>
      <c r="V98" s="210"/>
      <c r="W98" s="188">
        <f>J98-(T98*($M$2-$K$1)+(U98*($M$2-$M$1)))</f>
        <v>4526.26</v>
      </c>
      <c r="X98" s="185">
        <f>H98*$M$2</f>
        <v>4658.04</v>
      </c>
    </row>
    <row r="99" spans="1:25" ht="15" customHeight="1" x14ac:dyDescent="0.25">
      <c r="A99" s="261"/>
      <c r="B99" s="313">
        <v>30</v>
      </c>
      <c r="C99" s="313">
        <v>3</v>
      </c>
      <c r="D99" s="127">
        <f>'Data Ocupacion'!AD35</f>
        <v>30</v>
      </c>
      <c r="E99" s="127">
        <f>'Data Ocupacion'!AE35</f>
        <v>3</v>
      </c>
      <c r="F99" s="126" t="s">
        <v>36</v>
      </c>
      <c r="G99" s="126">
        <f t="shared" si="77"/>
        <v>36</v>
      </c>
      <c r="H99" s="126">
        <f t="shared" si="81"/>
        <v>36</v>
      </c>
      <c r="I99" s="126">
        <f t="shared" si="78"/>
        <v>33</v>
      </c>
      <c r="J99" s="126">
        <f>G99*M$1</f>
        <v>1047.96</v>
      </c>
      <c r="K99" s="154">
        <f>I99*M$1</f>
        <v>960.63</v>
      </c>
      <c r="L99" s="126">
        <f t="shared" si="79"/>
        <v>108987.84</v>
      </c>
      <c r="M99" s="126">
        <f t="shared" si="80"/>
        <v>3432</v>
      </c>
      <c r="N99" s="19"/>
      <c r="O99" s="19"/>
      <c r="P99" s="147"/>
      <c r="Q99" s="189"/>
      <c r="R99" s="191"/>
      <c r="S99" s="211"/>
      <c r="T99" s="192"/>
      <c r="U99" s="193"/>
      <c r="V99" s="193"/>
      <c r="W99" s="185">
        <f>J99-(Q99*($M$1-$K$1))</f>
        <v>1047.96</v>
      </c>
      <c r="X99" s="185">
        <f>H99*$M$1</f>
        <v>1047.96</v>
      </c>
    </row>
    <row r="100" spans="1:25" ht="15" customHeight="1" x14ac:dyDescent="0.25">
      <c r="A100" s="261"/>
      <c r="B100" s="313">
        <v>29</v>
      </c>
      <c r="C100" s="313">
        <v>3</v>
      </c>
      <c r="D100" s="127">
        <f>'Data Ocupacion'!AD36</f>
        <v>29</v>
      </c>
      <c r="E100" s="127">
        <f>'Data Ocupacion'!AE36</f>
        <v>3</v>
      </c>
      <c r="F100" s="126" t="s">
        <v>53</v>
      </c>
      <c r="G100" s="126">
        <f t="shared" si="77"/>
        <v>35</v>
      </c>
      <c r="H100" s="126">
        <f t="shared" si="81"/>
        <v>35</v>
      </c>
      <c r="I100" s="126">
        <f t="shared" si="78"/>
        <v>32</v>
      </c>
      <c r="J100" s="126">
        <f>G100*M$1</f>
        <v>1018.85</v>
      </c>
      <c r="K100" s="154">
        <f>I100*M$1</f>
        <v>931.52</v>
      </c>
      <c r="L100" s="126">
        <f t="shared" si="79"/>
        <v>105960.40000000001</v>
      </c>
      <c r="M100" s="126">
        <f t="shared" si="80"/>
        <v>3328</v>
      </c>
      <c r="N100" s="19"/>
      <c r="O100" s="19"/>
      <c r="P100" s="147"/>
      <c r="Q100" s="193"/>
      <c r="R100" s="193"/>
      <c r="S100" s="193"/>
      <c r="T100" s="193"/>
      <c r="U100" s="193"/>
      <c r="V100" s="193"/>
      <c r="W100" s="185">
        <f>J100</f>
        <v>1018.85</v>
      </c>
      <c r="X100" s="185">
        <f>H100*$M$1</f>
        <v>1018.85</v>
      </c>
    </row>
    <row r="101" spans="1:25" ht="15" customHeight="1" x14ac:dyDescent="0.25">
      <c r="A101" s="261"/>
      <c r="B101" s="313">
        <v>0</v>
      </c>
      <c r="C101" s="313">
        <v>0</v>
      </c>
      <c r="D101" s="127">
        <f>'Data Ocupacion'!AD37</f>
        <v>0</v>
      </c>
      <c r="E101" s="127">
        <f>'Data Ocupacion'!AE37</f>
        <v>0</v>
      </c>
      <c r="F101" s="126" t="s">
        <v>122</v>
      </c>
      <c r="G101" s="126">
        <f t="shared" si="77"/>
        <v>0</v>
      </c>
      <c r="H101" s="126">
        <f t="shared" si="81"/>
        <v>0</v>
      </c>
      <c r="I101" s="126">
        <f t="shared" si="78"/>
        <v>0</v>
      </c>
      <c r="J101" s="126">
        <f>G101*K$1</f>
        <v>0</v>
      </c>
      <c r="K101" s="154">
        <f>I101*K$1</f>
        <v>0</v>
      </c>
      <c r="L101" s="126">
        <f t="shared" si="79"/>
        <v>0</v>
      </c>
      <c r="M101" s="126">
        <f t="shared" si="80"/>
        <v>0</v>
      </c>
      <c r="N101" s="19"/>
      <c r="O101" s="19"/>
      <c r="P101" s="147"/>
      <c r="Q101" s="193"/>
      <c r="R101" s="193"/>
      <c r="S101" s="193"/>
      <c r="T101" s="193"/>
      <c r="U101" s="193"/>
      <c r="V101" s="193"/>
      <c r="W101" s="185">
        <f>J101</f>
        <v>0</v>
      </c>
      <c r="X101" s="185">
        <f>H101*$K$1</f>
        <v>0</v>
      </c>
    </row>
    <row r="102" spans="1:25" ht="15" customHeight="1" thickBot="1" x14ac:dyDescent="0.3">
      <c r="A102" s="261"/>
      <c r="B102" s="313">
        <v>1</v>
      </c>
      <c r="C102" s="313">
        <v>0</v>
      </c>
      <c r="D102" s="127">
        <f>'Data Ocupacion'!AD38</f>
        <v>1</v>
      </c>
      <c r="E102" s="127">
        <f>'Data Ocupacion'!AE38</f>
        <v>0</v>
      </c>
      <c r="F102" s="126" t="s">
        <v>35</v>
      </c>
      <c r="G102" s="126">
        <f t="shared" si="77"/>
        <v>1</v>
      </c>
      <c r="H102" s="126">
        <f t="shared" si="81"/>
        <v>1</v>
      </c>
      <c r="I102" s="126">
        <f t="shared" si="78"/>
        <v>1</v>
      </c>
      <c r="J102" s="126">
        <f>G102*K$1</f>
        <v>25.4</v>
      </c>
      <c r="K102" s="154">
        <f>I102*K$1</f>
        <v>25.4</v>
      </c>
      <c r="L102" s="126">
        <f t="shared" si="79"/>
        <v>2641.6</v>
      </c>
      <c r="M102" s="126">
        <f t="shared" si="80"/>
        <v>104</v>
      </c>
      <c r="N102" s="19"/>
      <c r="O102" s="19"/>
      <c r="P102" s="147"/>
      <c r="Q102" s="193"/>
      <c r="R102" s="193"/>
      <c r="S102" s="193"/>
      <c r="T102" s="193"/>
      <c r="U102" s="193"/>
      <c r="V102" s="193"/>
      <c r="W102" s="185">
        <f>J102</f>
        <v>25.4</v>
      </c>
      <c r="X102" s="185">
        <f>H102*$K$1</f>
        <v>25.4</v>
      </c>
    </row>
    <row r="103" spans="1:25" s="125" customFormat="1" ht="15" customHeight="1" thickBot="1" x14ac:dyDescent="0.3">
      <c r="A103" s="20"/>
      <c r="B103" s="120">
        <f>SUM(B97:B102)</f>
        <v>158</v>
      </c>
      <c r="C103" s="120">
        <f>SUM(C97:C102)</f>
        <v>65</v>
      </c>
      <c r="D103" s="149">
        <f>SUM(D97:D102)</f>
        <v>160</v>
      </c>
      <c r="E103" s="149">
        <f>SUM(E97:E102)</f>
        <v>63</v>
      </c>
      <c r="F103" s="120"/>
      <c r="G103" s="120">
        <f t="shared" ref="G103:M103" si="82">SUM(G97:G102)</f>
        <v>286</v>
      </c>
      <c r="H103" s="120">
        <f t="shared" si="82"/>
        <v>288</v>
      </c>
      <c r="I103" s="120">
        <f t="shared" si="82"/>
        <v>223</v>
      </c>
      <c r="J103" s="120">
        <f t="shared" si="82"/>
        <v>11322.029999999999</v>
      </c>
      <c r="K103" s="120">
        <f t="shared" si="82"/>
        <v>8688.9599999999991</v>
      </c>
      <c r="L103" s="120">
        <f t="shared" si="82"/>
        <v>1177491.1200000001</v>
      </c>
      <c r="M103" s="120">
        <f t="shared" si="82"/>
        <v>23192</v>
      </c>
      <c r="N103" s="124">
        <f>'Odometro-Kilometraje'!O81</f>
        <v>11606</v>
      </c>
      <c r="O103" s="21">
        <f>(W103/N103)*100</f>
        <v>96.17835602274684</v>
      </c>
      <c r="P103" s="196"/>
      <c r="Q103" s="184"/>
      <c r="R103" s="184"/>
      <c r="S103" s="184"/>
      <c r="T103" s="184"/>
      <c r="U103" s="184"/>
      <c r="V103" s="184"/>
      <c r="W103" s="197">
        <f>SUM(W97:W102)</f>
        <v>11162.46</v>
      </c>
      <c r="X103" s="197">
        <f>SUM(X97:X102)</f>
        <v>11408.29</v>
      </c>
    </row>
    <row r="104" spans="1:25" ht="15.95" customHeight="1" x14ac:dyDescent="0.25">
      <c r="A104" s="61">
        <f>A97+1</f>
        <v>45884</v>
      </c>
      <c r="B104" s="224">
        <v>51</v>
      </c>
      <c r="C104" s="224">
        <v>3</v>
      </c>
      <c r="D104" s="139">
        <f>'Data Ocupacion'!AF33</f>
        <v>51</v>
      </c>
      <c r="E104" s="139">
        <f>'Data Ocupacion'!AG33</f>
        <v>3</v>
      </c>
      <c r="F104" s="224" t="s">
        <v>38</v>
      </c>
      <c r="G104" s="314">
        <f t="shared" ref="G104:G109" si="83">D104+E104*2</f>
        <v>57</v>
      </c>
      <c r="H104" s="224">
        <f>B104+C104*2</f>
        <v>57</v>
      </c>
      <c r="I104" s="224">
        <f t="shared" ref="I104:I109" si="84">D104+E104</f>
        <v>54</v>
      </c>
      <c r="J104" s="224">
        <f>G104*M$2</f>
        <v>2458.4100000000003</v>
      </c>
      <c r="K104" s="154">
        <f>I104*M$2</f>
        <v>2329.02</v>
      </c>
      <c r="L104" s="224">
        <f t="shared" ref="L104:L109" si="85">J104*104</f>
        <v>255674.64000000004</v>
      </c>
      <c r="M104" s="224">
        <f t="shared" ref="M104:M109" si="86">I104*104</f>
        <v>5616</v>
      </c>
      <c r="N104" s="19"/>
      <c r="O104" s="19"/>
      <c r="P104" s="147"/>
      <c r="Q104" s="250"/>
      <c r="R104" s="186"/>
      <c r="S104" s="210"/>
      <c r="T104" s="194"/>
      <c r="U104" s="195"/>
      <c r="V104" s="234"/>
      <c r="W104" s="185">
        <f>J104-(Q104*($M$2-$K$1))-(R104*($M$2-$M$1))- (S104*($M$2-$I$2))+ (T104*($G$2))</f>
        <v>2458.4100000000003</v>
      </c>
      <c r="X104" s="185">
        <f>H104*$M$2</f>
        <v>2458.4100000000003</v>
      </c>
    </row>
    <row r="105" spans="1:25" ht="15" customHeight="1" x14ac:dyDescent="0.25">
      <c r="A105" s="261"/>
      <c r="B105" s="224">
        <v>57</v>
      </c>
      <c r="C105" s="224">
        <v>0</v>
      </c>
      <c r="D105" s="139">
        <f>'Data Ocupacion'!AF34</f>
        <v>57</v>
      </c>
      <c r="E105" s="139">
        <f>'Data Ocupacion'!AG34</f>
        <v>0</v>
      </c>
      <c r="F105" s="224" t="s">
        <v>52</v>
      </c>
      <c r="G105" s="224">
        <f t="shared" si="83"/>
        <v>57</v>
      </c>
      <c r="H105" s="224">
        <f t="shared" ref="H105:H109" si="87">B105+C105*2</f>
        <v>57</v>
      </c>
      <c r="I105" s="224">
        <f t="shared" si="84"/>
        <v>57</v>
      </c>
      <c r="J105" s="224">
        <f>G105*M$2</f>
        <v>2458.4100000000003</v>
      </c>
      <c r="K105" s="154">
        <f>I105*M$2</f>
        <v>2458.4100000000003</v>
      </c>
      <c r="L105" s="224">
        <f t="shared" si="85"/>
        <v>255674.64000000004</v>
      </c>
      <c r="M105" s="224">
        <f t="shared" si="86"/>
        <v>5928</v>
      </c>
      <c r="N105" s="19"/>
      <c r="O105" s="19"/>
      <c r="P105" s="147"/>
      <c r="Q105" s="190"/>
      <c r="R105" s="190"/>
      <c r="S105" s="190"/>
      <c r="T105" s="245"/>
      <c r="U105" s="187"/>
      <c r="V105" s="235"/>
      <c r="W105" s="188">
        <f>J105-(T105*($M$2-$K$1)+(U105*($M$2-$M$1)))</f>
        <v>2458.4100000000003</v>
      </c>
      <c r="X105" s="185">
        <f>H105*$M$2</f>
        <v>2458.4100000000003</v>
      </c>
    </row>
    <row r="106" spans="1:25" ht="14.25" customHeight="1" x14ac:dyDescent="0.25">
      <c r="A106" s="261"/>
      <c r="B106" s="224">
        <v>0</v>
      </c>
      <c r="C106" s="224">
        <v>0</v>
      </c>
      <c r="D106" s="139">
        <f>'Data Ocupacion'!AF35</f>
        <v>0</v>
      </c>
      <c r="E106" s="139">
        <f>'Data Ocupacion'!AG35</f>
        <v>0</v>
      </c>
      <c r="F106" s="224" t="s">
        <v>36</v>
      </c>
      <c r="G106" s="224">
        <f t="shared" si="83"/>
        <v>0</v>
      </c>
      <c r="H106" s="224">
        <f t="shared" si="87"/>
        <v>0</v>
      </c>
      <c r="I106" s="224">
        <f t="shared" si="84"/>
        <v>0</v>
      </c>
      <c r="J106" s="224">
        <f>G106*M$1</f>
        <v>0</v>
      </c>
      <c r="K106" s="154">
        <f>I106*M$1</f>
        <v>0</v>
      </c>
      <c r="L106" s="224">
        <f t="shared" si="85"/>
        <v>0</v>
      </c>
      <c r="M106" s="224">
        <f t="shared" si="86"/>
        <v>0</v>
      </c>
      <c r="N106" s="19"/>
      <c r="O106" s="19"/>
      <c r="P106" s="147"/>
      <c r="Q106" s="189"/>
      <c r="R106" s="191"/>
      <c r="S106" s="211"/>
      <c r="T106" s="192"/>
      <c r="U106" s="193"/>
      <c r="V106" s="193"/>
      <c r="W106" s="185">
        <f>J106-(Q106*($M$1-$K$1))</f>
        <v>0</v>
      </c>
      <c r="X106" s="185">
        <f>H106*$M$1</f>
        <v>0</v>
      </c>
    </row>
    <row r="107" spans="1:25" ht="15" customHeight="1" x14ac:dyDescent="0.25">
      <c r="A107" s="261"/>
      <c r="B107" s="224">
        <v>0</v>
      </c>
      <c r="C107" s="224">
        <v>0</v>
      </c>
      <c r="D107" s="139">
        <f>'Data Ocupacion'!AF36</f>
        <v>0</v>
      </c>
      <c r="E107" s="139">
        <f>'Data Ocupacion'!AG36</f>
        <v>0</v>
      </c>
      <c r="F107" s="224" t="s">
        <v>53</v>
      </c>
      <c r="G107" s="224">
        <f t="shared" si="83"/>
        <v>0</v>
      </c>
      <c r="H107" s="224">
        <f t="shared" si="87"/>
        <v>0</v>
      </c>
      <c r="I107" s="224">
        <f t="shared" si="84"/>
        <v>0</v>
      </c>
      <c r="J107" s="224">
        <f>G107*M$1</f>
        <v>0</v>
      </c>
      <c r="K107" s="154">
        <f>I107*M$1</f>
        <v>0</v>
      </c>
      <c r="L107" s="224">
        <f t="shared" si="85"/>
        <v>0</v>
      </c>
      <c r="M107" s="224">
        <f t="shared" si="86"/>
        <v>0</v>
      </c>
      <c r="N107" s="19"/>
      <c r="O107" s="19"/>
      <c r="P107" s="147"/>
      <c r="Q107" s="193"/>
      <c r="R107" s="193"/>
      <c r="S107" s="193"/>
      <c r="T107" s="193"/>
      <c r="U107" s="193"/>
      <c r="V107" s="193"/>
      <c r="W107" s="185">
        <f>J107</f>
        <v>0</v>
      </c>
      <c r="X107" s="185">
        <f>H107*$M$1</f>
        <v>0</v>
      </c>
    </row>
    <row r="108" spans="1:25" ht="15" customHeight="1" x14ac:dyDescent="0.25">
      <c r="A108" s="261"/>
      <c r="B108" s="224">
        <v>0</v>
      </c>
      <c r="C108" s="224">
        <v>0</v>
      </c>
      <c r="D108" s="139">
        <f>'Data Ocupacion'!AF37</f>
        <v>0</v>
      </c>
      <c r="E108" s="139">
        <f>'Data Ocupacion'!AG37</f>
        <v>0</v>
      </c>
      <c r="F108" s="224" t="s">
        <v>122</v>
      </c>
      <c r="G108" s="224">
        <f t="shared" si="83"/>
        <v>0</v>
      </c>
      <c r="H108" s="224">
        <f t="shared" si="87"/>
        <v>0</v>
      </c>
      <c r="I108" s="224">
        <f t="shared" si="84"/>
        <v>0</v>
      </c>
      <c r="J108" s="224">
        <f>G108*K$1</f>
        <v>0</v>
      </c>
      <c r="K108" s="154">
        <f>I108*K$1</f>
        <v>0</v>
      </c>
      <c r="L108" s="224">
        <f t="shared" si="85"/>
        <v>0</v>
      </c>
      <c r="M108" s="224">
        <f t="shared" si="86"/>
        <v>0</v>
      </c>
      <c r="N108" s="19"/>
      <c r="O108" s="19"/>
      <c r="P108" s="147"/>
      <c r="Q108" s="193"/>
      <c r="R108" s="193"/>
      <c r="S108" s="193"/>
      <c r="T108" s="193"/>
      <c r="U108" s="193"/>
      <c r="V108" s="193"/>
      <c r="W108" s="185">
        <f>J108</f>
        <v>0</v>
      </c>
      <c r="X108" s="185">
        <f>H108*$K$1</f>
        <v>0</v>
      </c>
    </row>
    <row r="109" spans="1:25" ht="15" customHeight="1" thickBot="1" x14ac:dyDescent="0.3">
      <c r="A109" s="261"/>
      <c r="B109" s="224">
        <v>0</v>
      </c>
      <c r="C109" s="224">
        <v>0</v>
      </c>
      <c r="D109" s="139">
        <f>'Data Ocupacion'!AF38</f>
        <v>0</v>
      </c>
      <c r="E109" s="139">
        <f>'Data Ocupacion'!AG38</f>
        <v>0</v>
      </c>
      <c r="F109" s="224" t="s">
        <v>35</v>
      </c>
      <c r="G109" s="224">
        <f t="shared" si="83"/>
        <v>0</v>
      </c>
      <c r="H109" s="224">
        <f t="shared" si="87"/>
        <v>0</v>
      </c>
      <c r="I109" s="224">
        <f t="shared" si="84"/>
        <v>0</v>
      </c>
      <c r="J109" s="224">
        <f>G109*K$1</f>
        <v>0</v>
      </c>
      <c r="K109" s="154">
        <f>I109*K$1</f>
        <v>0</v>
      </c>
      <c r="L109" s="224">
        <f t="shared" si="85"/>
        <v>0</v>
      </c>
      <c r="M109" s="224">
        <f t="shared" si="86"/>
        <v>0</v>
      </c>
      <c r="N109" s="19"/>
      <c r="O109" s="19"/>
      <c r="P109" s="147"/>
      <c r="Q109" s="193"/>
      <c r="R109" s="193"/>
      <c r="S109" s="193"/>
      <c r="T109" s="193"/>
      <c r="U109" s="193"/>
      <c r="V109" s="193"/>
      <c r="W109" s="185">
        <f>J109</f>
        <v>0</v>
      </c>
      <c r="X109" s="185">
        <f>H109*$K$1</f>
        <v>0</v>
      </c>
    </row>
    <row r="110" spans="1:25" s="125" customFormat="1" ht="15" customHeight="1" thickBot="1" x14ac:dyDescent="0.3">
      <c r="A110" s="20"/>
      <c r="B110" s="120">
        <f>SUM(B104:B109)</f>
        <v>108</v>
      </c>
      <c r="C110" s="120">
        <f>SUM(C104:C109)</f>
        <v>3</v>
      </c>
      <c r="D110" s="149">
        <f>SUM(D104:D109)</f>
        <v>108</v>
      </c>
      <c r="E110" s="149">
        <f>SUM(E104:E109)</f>
        <v>3</v>
      </c>
      <c r="F110" s="120"/>
      <c r="G110" s="120">
        <f t="shared" ref="G110:M110" si="88">SUM(G104:G109)</f>
        <v>114</v>
      </c>
      <c r="H110" s="120">
        <f t="shared" si="88"/>
        <v>114</v>
      </c>
      <c r="I110" s="120">
        <f t="shared" si="88"/>
        <v>111</v>
      </c>
      <c r="J110" s="120">
        <f t="shared" si="88"/>
        <v>4916.8200000000006</v>
      </c>
      <c r="K110" s="120">
        <f t="shared" si="88"/>
        <v>4787.43</v>
      </c>
      <c r="L110" s="120">
        <f t="shared" si="88"/>
        <v>511349.28000000009</v>
      </c>
      <c r="M110" s="120">
        <f t="shared" si="88"/>
        <v>11544</v>
      </c>
      <c r="N110" s="124">
        <f>'Odometro-Kilometraje'!P81</f>
        <v>4954</v>
      </c>
      <c r="O110" s="21">
        <f>(W110/N110)*100</f>
        <v>99.24949535728706</v>
      </c>
      <c r="P110" s="196"/>
      <c r="Q110" s="184"/>
      <c r="R110" s="184"/>
      <c r="S110" s="184"/>
      <c r="T110" s="184"/>
      <c r="U110" s="184"/>
      <c r="V110" s="184"/>
      <c r="W110" s="197">
        <f>SUM(W104:W109)</f>
        <v>4916.8200000000006</v>
      </c>
      <c r="X110" s="197">
        <f>SUM(X104:X109)</f>
        <v>4916.8200000000006</v>
      </c>
    </row>
    <row r="111" spans="1:25" ht="15.95" customHeight="1" x14ac:dyDescent="0.25">
      <c r="A111" s="61">
        <f>A104+1</f>
        <v>45885</v>
      </c>
      <c r="B111" s="117">
        <v>69</v>
      </c>
      <c r="C111" s="117">
        <v>3</v>
      </c>
      <c r="D111" s="148">
        <f>'Data Ocupacion'!AH33</f>
        <v>69</v>
      </c>
      <c r="E111" s="148">
        <f>'Data Ocupacion'!AI33</f>
        <v>3</v>
      </c>
      <c r="F111" s="117" t="s">
        <v>38</v>
      </c>
      <c r="G111" s="320">
        <f t="shared" ref="G111:G116" si="89">D111+E111*2</f>
        <v>75</v>
      </c>
      <c r="H111" s="117">
        <f>B111+C111*2</f>
        <v>75</v>
      </c>
      <c r="I111" s="117">
        <f t="shared" ref="I111:I116" si="90">D111+E111</f>
        <v>72</v>
      </c>
      <c r="J111" s="117">
        <f>G111*M$2</f>
        <v>3234.75</v>
      </c>
      <c r="K111" s="154">
        <f>I111*M$2</f>
        <v>3105.36</v>
      </c>
      <c r="L111" s="117">
        <f t="shared" ref="L111:L116" si="91">J111*104</f>
        <v>336414</v>
      </c>
      <c r="M111" s="117">
        <f t="shared" ref="M111:M116" si="92">I111*104</f>
        <v>7488</v>
      </c>
      <c r="N111" s="19"/>
      <c r="O111" s="19"/>
      <c r="P111" s="147"/>
      <c r="Q111" s="186"/>
      <c r="R111" s="186"/>
      <c r="S111" s="210"/>
      <c r="T111" s="250"/>
      <c r="U111" s="195"/>
      <c r="V111" s="234"/>
      <c r="W111" s="185">
        <f>J111-(Q111*($M$2-$K$1))-(R111*($M$2-$M$1))- (S111*($M$2-$I$2))+ (T111*($G$2))</f>
        <v>3234.75</v>
      </c>
      <c r="X111" s="185">
        <f>H111*$M$2</f>
        <v>3234.75</v>
      </c>
    </row>
    <row r="112" spans="1:25" ht="15" customHeight="1" x14ac:dyDescent="0.25">
      <c r="A112" s="221"/>
      <c r="B112" s="117">
        <v>75</v>
      </c>
      <c r="C112" s="117">
        <v>0</v>
      </c>
      <c r="D112" s="148">
        <f>'Data Ocupacion'!AH34</f>
        <v>75</v>
      </c>
      <c r="E112" s="148">
        <f>'Data Ocupacion'!AI34</f>
        <v>0</v>
      </c>
      <c r="F112" s="117" t="s">
        <v>52</v>
      </c>
      <c r="G112" s="117">
        <f t="shared" si="89"/>
        <v>75</v>
      </c>
      <c r="H112" s="117">
        <f t="shared" ref="H112:H116" si="93">B112+C112*2</f>
        <v>75</v>
      </c>
      <c r="I112" s="117">
        <f t="shared" si="90"/>
        <v>75</v>
      </c>
      <c r="J112" s="117">
        <f>G112*M$2</f>
        <v>3234.75</v>
      </c>
      <c r="K112" s="154">
        <f>I112*M$2</f>
        <v>3234.75</v>
      </c>
      <c r="L112" s="117">
        <f t="shared" si="91"/>
        <v>336414</v>
      </c>
      <c r="M112" s="117">
        <f t="shared" si="92"/>
        <v>7800</v>
      </c>
      <c r="N112" s="19"/>
      <c r="O112" s="19"/>
      <c r="P112" s="147"/>
      <c r="Q112" s="190"/>
      <c r="R112" s="190"/>
      <c r="S112" s="190"/>
      <c r="T112" s="186"/>
      <c r="U112" s="208"/>
      <c r="V112" s="235"/>
      <c r="W112" s="188">
        <f>J112-(T112*($M$2-$K$1)+(U112*($M$2-$M$1)))</f>
        <v>3234.75</v>
      </c>
      <c r="X112" s="185">
        <f>H112*$M$2</f>
        <v>3234.75</v>
      </c>
      <c r="Y112" s="173"/>
    </row>
    <row r="113" spans="1:26" ht="18" customHeight="1" x14ac:dyDescent="0.25">
      <c r="A113" s="221"/>
      <c r="B113" s="117">
        <v>0</v>
      </c>
      <c r="C113" s="117">
        <v>0</v>
      </c>
      <c r="D113" s="148">
        <f>'Data Ocupacion'!AH35</f>
        <v>0</v>
      </c>
      <c r="E113" s="148">
        <f>'Data Ocupacion'!AI35</f>
        <v>0</v>
      </c>
      <c r="F113" s="117" t="s">
        <v>36</v>
      </c>
      <c r="G113" s="117">
        <f t="shared" si="89"/>
        <v>0</v>
      </c>
      <c r="H113" s="117">
        <f t="shared" si="93"/>
        <v>0</v>
      </c>
      <c r="I113" s="117">
        <f t="shared" si="90"/>
        <v>0</v>
      </c>
      <c r="J113" s="117">
        <f>G113*M$1</f>
        <v>0</v>
      </c>
      <c r="K113" s="154">
        <f>I113*M$1</f>
        <v>0</v>
      </c>
      <c r="L113" s="117">
        <f t="shared" si="91"/>
        <v>0</v>
      </c>
      <c r="M113" s="117">
        <f t="shared" si="92"/>
        <v>0</v>
      </c>
      <c r="N113" s="19"/>
      <c r="O113" s="19"/>
      <c r="P113" s="147"/>
      <c r="Q113" s="189"/>
      <c r="R113" s="191"/>
      <c r="S113" s="211"/>
      <c r="T113" s="192"/>
      <c r="U113" s="193"/>
      <c r="V113" s="193"/>
      <c r="W113" s="185">
        <f>J113-(Q113*($M$1-$K$1))</f>
        <v>0</v>
      </c>
      <c r="X113" s="185">
        <f>H113*$M$1</f>
        <v>0</v>
      </c>
    </row>
    <row r="114" spans="1:26" ht="15.95" customHeight="1" x14ac:dyDescent="0.25">
      <c r="A114" s="221"/>
      <c r="B114" s="117">
        <v>0</v>
      </c>
      <c r="C114" s="117">
        <v>0</v>
      </c>
      <c r="D114" s="148">
        <f>'Data Ocupacion'!AH36</f>
        <v>0</v>
      </c>
      <c r="E114" s="148">
        <f>'Data Ocupacion'!AI36</f>
        <v>0</v>
      </c>
      <c r="F114" s="117" t="s">
        <v>53</v>
      </c>
      <c r="G114" s="117">
        <f t="shared" si="89"/>
        <v>0</v>
      </c>
      <c r="H114" s="117">
        <f t="shared" si="93"/>
        <v>0</v>
      </c>
      <c r="I114" s="117">
        <f t="shared" si="90"/>
        <v>0</v>
      </c>
      <c r="J114" s="117">
        <f>G114*M$1</f>
        <v>0</v>
      </c>
      <c r="K114" s="154">
        <f>I114*M$1</f>
        <v>0</v>
      </c>
      <c r="L114" s="117">
        <f t="shared" si="91"/>
        <v>0</v>
      </c>
      <c r="M114" s="117">
        <f t="shared" si="92"/>
        <v>0</v>
      </c>
      <c r="N114" s="19"/>
      <c r="O114" s="19"/>
      <c r="P114" s="147"/>
      <c r="Q114" s="193"/>
      <c r="R114" s="193"/>
      <c r="S114" s="193"/>
      <c r="T114" s="193"/>
      <c r="U114" s="193"/>
      <c r="V114" s="193"/>
      <c r="W114" s="185">
        <f>J114</f>
        <v>0</v>
      </c>
      <c r="X114" s="185">
        <f>H114*$M$1</f>
        <v>0</v>
      </c>
    </row>
    <row r="115" spans="1:26" ht="15" customHeight="1" x14ac:dyDescent="0.25">
      <c r="A115" s="221"/>
      <c r="B115" s="117">
        <v>0</v>
      </c>
      <c r="C115" s="117">
        <v>0</v>
      </c>
      <c r="D115" s="148">
        <f>'Data Ocupacion'!AH37</f>
        <v>0</v>
      </c>
      <c r="E115" s="148">
        <f>'Data Ocupacion'!AI37</f>
        <v>0</v>
      </c>
      <c r="F115" s="117" t="s">
        <v>122</v>
      </c>
      <c r="G115" s="117">
        <f t="shared" si="89"/>
        <v>0</v>
      </c>
      <c r="H115" s="117">
        <f t="shared" si="93"/>
        <v>0</v>
      </c>
      <c r="I115" s="117">
        <f t="shared" si="90"/>
        <v>0</v>
      </c>
      <c r="J115" s="117">
        <f>G115*K$1</f>
        <v>0</v>
      </c>
      <c r="K115" s="154">
        <f>I115*K$1</f>
        <v>0</v>
      </c>
      <c r="L115" s="117">
        <f t="shared" si="91"/>
        <v>0</v>
      </c>
      <c r="M115" s="117">
        <f t="shared" si="92"/>
        <v>0</v>
      </c>
      <c r="N115" s="19"/>
      <c r="O115" s="19"/>
      <c r="P115" s="147"/>
      <c r="Q115" s="193"/>
      <c r="R115" s="193"/>
      <c r="S115" s="193"/>
      <c r="T115" s="193"/>
      <c r="U115" s="193"/>
      <c r="V115" s="193"/>
      <c r="W115" s="185">
        <f>J115</f>
        <v>0</v>
      </c>
      <c r="X115" s="185">
        <f>H115*$K$1</f>
        <v>0</v>
      </c>
    </row>
    <row r="116" spans="1:26" ht="15" customHeight="1" thickBot="1" x14ac:dyDescent="0.3">
      <c r="A116" s="221"/>
      <c r="B116" s="117">
        <v>0</v>
      </c>
      <c r="C116" s="117">
        <v>0</v>
      </c>
      <c r="D116" s="148">
        <f>'Data Ocupacion'!AH38</f>
        <v>0</v>
      </c>
      <c r="E116" s="148">
        <f>'Data Ocupacion'!AI38</f>
        <v>0</v>
      </c>
      <c r="F116" s="117" t="s">
        <v>35</v>
      </c>
      <c r="G116" s="117">
        <f t="shared" si="89"/>
        <v>0</v>
      </c>
      <c r="H116" s="117">
        <f t="shared" si="93"/>
        <v>0</v>
      </c>
      <c r="I116" s="117">
        <f t="shared" si="90"/>
        <v>0</v>
      </c>
      <c r="J116" s="117">
        <f>G116*K$1</f>
        <v>0</v>
      </c>
      <c r="K116" s="154">
        <f>I116*K$1</f>
        <v>0</v>
      </c>
      <c r="L116" s="117">
        <f t="shared" si="91"/>
        <v>0</v>
      </c>
      <c r="M116" s="117">
        <f t="shared" si="92"/>
        <v>0</v>
      </c>
      <c r="N116" s="19"/>
      <c r="O116" s="19"/>
      <c r="P116" s="147"/>
      <c r="Q116" s="193"/>
      <c r="R116" s="193"/>
      <c r="S116" s="193"/>
      <c r="T116" s="193"/>
      <c r="U116" s="193"/>
      <c r="V116" s="193"/>
      <c r="W116" s="185">
        <f>J116</f>
        <v>0</v>
      </c>
      <c r="X116" s="185">
        <f>H116*$K$1</f>
        <v>0</v>
      </c>
    </row>
    <row r="117" spans="1:26" s="125" customFormat="1" ht="15" customHeight="1" thickBot="1" x14ac:dyDescent="0.3">
      <c r="A117" s="20"/>
      <c r="B117" s="223">
        <f>SUM(B111:B116)</f>
        <v>144</v>
      </c>
      <c r="C117" s="223">
        <f>SUM(C111:C116)</f>
        <v>3</v>
      </c>
      <c r="D117" s="149">
        <f>SUM(D111:D116)</f>
        <v>144</v>
      </c>
      <c r="E117" s="149">
        <f>SUM(E111:E116)</f>
        <v>3</v>
      </c>
      <c r="F117" s="120"/>
      <c r="G117" s="120">
        <f t="shared" ref="G117:M117" si="94">SUM(G111:G116)</f>
        <v>150</v>
      </c>
      <c r="H117" s="120">
        <f t="shared" si="94"/>
        <v>150</v>
      </c>
      <c r="I117" s="120">
        <f t="shared" si="94"/>
        <v>147</v>
      </c>
      <c r="J117" s="120">
        <f t="shared" si="94"/>
        <v>6469.5</v>
      </c>
      <c r="K117" s="120">
        <f t="shared" si="94"/>
        <v>6340.1100000000006</v>
      </c>
      <c r="L117" s="120">
        <f t="shared" si="94"/>
        <v>672828</v>
      </c>
      <c r="M117" s="120">
        <f t="shared" si="94"/>
        <v>15288</v>
      </c>
      <c r="N117" s="124">
        <f>'Odometro-Kilometraje'!Q81</f>
        <v>6494</v>
      </c>
      <c r="O117" s="21">
        <f>(W117/N117)*100</f>
        <v>99.62272867262088</v>
      </c>
      <c r="P117" s="196"/>
      <c r="Q117" s="184"/>
      <c r="R117" s="184"/>
      <c r="S117" s="184"/>
      <c r="T117" s="184"/>
      <c r="U117" s="184"/>
      <c r="V117" s="184"/>
      <c r="W117" s="197">
        <f>SUM(W111:W116)</f>
        <v>6469.5</v>
      </c>
      <c r="X117" s="197">
        <f>SUM(X111:X116)</f>
        <v>6469.5</v>
      </c>
    </row>
    <row r="118" spans="1:26" ht="15.95" customHeight="1" x14ac:dyDescent="0.25">
      <c r="A118" s="61">
        <f>A111+1</f>
        <v>45886</v>
      </c>
      <c r="B118" s="224">
        <v>51</v>
      </c>
      <c r="C118" s="224">
        <v>3</v>
      </c>
      <c r="D118" s="139">
        <f>'Data Ocupacion'!AJ33</f>
        <v>51</v>
      </c>
      <c r="E118" s="139">
        <f>'Data Ocupacion'!AK33</f>
        <v>3</v>
      </c>
      <c r="F118" s="325" t="s">
        <v>38</v>
      </c>
      <c r="G118" s="314">
        <f t="shared" ref="G118:G123" si="95">D118+E118*2</f>
        <v>57</v>
      </c>
      <c r="H118" s="224">
        <f>B118+C118*2</f>
        <v>57</v>
      </c>
      <c r="I118" s="326">
        <f t="shared" ref="I118:I123" si="96">D118+E118</f>
        <v>54</v>
      </c>
      <c r="J118" s="326">
        <f>G118*M$2</f>
        <v>2458.4100000000003</v>
      </c>
      <c r="K118" s="154">
        <f>I118*M$2</f>
        <v>2329.02</v>
      </c>
      <c r="L118" s="224">
        <f t="shared" ref="L118:L123" si="97">J118*104</f>
        <v>255674.64000000004</v>
      </c>
      <c r="M118" s="224">
        <f t="shared" ref="M118:M123" si="98">I118*104</f>
        <v>5616</v>
      </c>
      <c r="N118" s="19"/>
      <c r="O118" s="19"/>
      <c r="P118" s="147"/>
      <c r="Q118" s="186"/>
      <c r="R118" s="186"/>
      <c r="S118" s="210"/>
      <c r="T118" s="194"/>
      <c r="U118" s="195"/>
      <c r="V118" s="234"/>
      <c r="W118" s="185">
        <f>J118-(Q118*($M$2-$K$1))-(R118*($M$2-$M$1))- (S118*($M$2-$I$2))+ (T118*($G$2))</f>
        <v>2458.4100000000003</v>
      </c>
      <c r="X118" s="185">
        <f>H118*$M$2</f>
        <v>2458.4100000000003</v>
      </c>
    </row>
    <row r="119" spans="1:26" ht="15" customHeight="1" x14ac:dyDescent="0.25">
      <c r="A119" s="261"/>
      <c r="B119" s="224">
        <v>57</v>
      </c>
      <c r="C119" s="224">
        <v>0</v>
      </c>
      <c r="D119" s="139">
        <f>'Data Ocupacion'!AJ34</f>
        <v>57</v>
      </c>
      <c r="E119" s="139">
        <f>'Data Ocupacion'!AK34</f>
        <v>0</v>
      </c>
      <c r="F119" s="325" t="s">
        <v>52</v>
      </c>
      <c r="G119" s="314">
        <f t="shared" si="95"/>
        <v>57</v>
      </c>
      <c r="H119" s="224">
        <f t="shared" ref="H119:H123" si="99">B119+C119*2</f>
        <v>57</v>
      </c>
      <c r="I119" s="224">
        <f t="shared" si="96"/>
        <v>57</v>
      </c>
      <c r="J119" s="224">
        <f>G119*M$2</f>
        <v>2458.4100000000003</v>
      </c>
      <c r="K119" s="154">
        <f>I119*M$2</f>
        <v>2458.4100000000003</v>
      </c>
      <c r="L119" s="224">
        <f t="shared" si="97"/>
        <v>255674.64000000004</v>
      </c>
      <c r="M119" s="224">
        <f t="shared" si="98"/>
        <v>5928</v>
      </c>
      <c r="N119" s="19"/>
      <c r="O119" s="19"/>
      <c r="P119" s="147"/>
      <c r="Q119" s="190"/>
      <c r="R119" s="190"/>
      <c r="S119" s="222"/>
      <c r="T119" s="186"/>
      <c r="U119" s="222"/>
      <c r="V119" s="235"/>
      <c r="W119" s="188">
        <f>J119-(T119*($M$2-$K$1)+(U119*($M$2-$M$1)))</f>
        <v>2458.4100000000003</v>
      </c>
      <c r="X119" s="185">
        <f>H119*$M$2</f>
        <v>2458.4100000000003</v>
      </c>
      <c r="Y119" s="173"/>
    </row>
    <row r="120" spans="1:26" ht="15" customHeight="1" x14ac:dyDescent="0.25">
      <c r="A120" s="261"/>
      <c r="B120" s="224">
        <v>0</v>
      </c>
      <c r="C120" s="224">
        <v>0</v>
      </c>
      <c r="D120" s="139">
        <f>'Data Ocupacion'!AJ35</f>
        <v>0</v>
      </c>
      <c r="E120" s="139">
        <f>'Data Ocupacion'!AK35</f>
        <v>0</v>
      </c>
      <c r="F120" s="325" t="s">
        <v>36</v>
      </c>
      <c r="G120" s="314">
        <f t="shared" si="95"/>
        <v>0</v>
      </c>
      <c r="H120" s="224">
        <f t="shared" si="99"/>
        <v>0</v>
      </c>
      <c r="I120" s="224">
        <f t="shared" si="96"/>
        <v>0</v>
      </c>
      <c r="J120" s="224">
        <f>G120*M$1</f>
        <v>0</v>
      </c>
      <c r="K120" s="154">
        <f>I120*M$1</f>
        <v>0</v>
      </c>
      <c r="L120" s="224">
        <f t="shared" si="97"/>
        <v>0</v>
      </c>
      <c r="M120" s="224">
        <f t="shared" si="98"/>
        <v>0</v>
      </c>
      <c r="N120" s="19"/>
      <c r="O120" s="19"/>
      <c r="P120" s="147"/>
      <c r="Q120" s="189"/>
      <c r="R120" s="191"/>
      <c r="S120" s="211"/>
      <c r="T120" s="192"/>
      <c r="U120" s="193"/>
      <c r="V120" s="193"/>
      <c r="W120" s="185">
        <f>J120-(Q120*($M$1-$K$1))</f>
        <v>0</v>
      </c>
      <c r="X120" s="185">
        <f>H120*$M$1</f>
        <v>0</v>
      </c>
    </row>
    <row r="121" spans="1:26" ht="15" customHeight="1" x14ac:dyDescent="0.25">
      <c r="A121" s="261"/>
      <c r="B121" s="224">
        <v>0</v>
      </c>
      <c r="C121" s="224">
        <v>0</v>
      </c>
      <c r="D121" s="139">
        <f>'Data Ocupacion'!AJ36</f>
        <v>0</v>
      </c>
      <c r="E121" s="139">
        <f>'Data Ocupacion'!AK36</f>
        <v>0</v>
      </c>
      <c r="F121" s="325" t="s">
        <v>53</v>
      </c>
      <c r="G121" s="314">
        <f t="shared" si="95"/>
        <v>0</v>
      </c>
      <c r="H121" s="224">
        <f t="shared" si="99"/>
        <v>0</v>
      </c>
      <c r="I121" s="224">
        <f t="shared" si="96"/>
        <v>0</v>
      </c>
      <c r="J121" s="224">
        <f>G121*M$1</f>
        <v>0</v>
      </c>
      <c r="K121" s="154">
        <f>I121*M$1</f>
        <v>0</v>
      </c>
      <c r="L121" s="224">
        <f t="shared" si="97"/>
        <v>0</v>
      </c>
      <c r="M121" s="224">
        <f t="shared" si="98"/>
        <v>0</v>
      </c>
      <c r="N121" s="19"/>
      <c r="O121" s="19"/>
      <c r="P121" s="147"/>
      <c r="Q121" s="193"/>
      <c r="R121" s="193"/>
      <c r="S121" s="193"/>
      <c r="T121" s="193"/>
      <c r="U121" s="193"/>
      <c r="V121" s="193"/>
      <c r="W121" s="185">
        <f>J121</f>
        <v>0</v>
      </c>
      <c r="X121" s="185">
        <f>H121*$M$1</f>
        <v>0</v>
      </c>
      <c r="Z121" s="202"/>
    </row>
    <row r="122" spans="1:26" ht="15" customHeight="1" x14ac:dyDescent="0.25">
      <c r="A122" s="261"/>
      <c r="B122" s="224">
        <v>0</v>
      </c>
      <c r="C122" s="224">
        <v>0</v>
      </c>
      <c r="D122" s="139">
        <f>'Data Ocupacion'!AJ37</f>
        <v>0</v>
      </c>
      <c r="E122" s="139">
        <f>'Data Ocupacion'!AK37</f>
        <v>0</v>
      </c>
      <c r="F122" s="325" t="s">
        <v>122</v>
      </c>
      <c r="G122" s="314">
        <f t="shared" si="95"/>
        <v>0</v>
      </c>
      <c r="H122" s="224">
        <f t="shared" si="99"/>
        <v>0</v>
      </c>
      <c r="I122" s="224">
        <f t="shared" si="96"/>
        <v>0</v>
      </c>
      <c r="J122" s="327">
        <f>G122*K$1</f>
        <v>0</v>
      </c>
      <c r="K122" s="154">
        <f>I122*K$1</f>
        <v>0</v>
      </c>
      <c r="L122" s="224">
        <f t="shared" si="97"/>
        <v>0</v>
      </c>
      <c r="M122" s="224">
        <f t="shared" si="98"/>
        <v>0</v>
      </c>
      <c r="N122" s="19"/>
      <c r="O122" s="19"/>
      <c r="P122" s="147"/>
      <c r="Q122" s="193"/>
      <c r="R122" s="193"/>
      <c r="S122" s="193"/>
      <c r="T122" s="193"/>
      <c r="U122" s="193"/>
      <c r="V122" s="193"/>
      <c r="W122" s="185">
        <f>J122</f>
        <v>0</v>
      </c>
      <c r="X122" s="185">
        <f>H122*$K$1</f>
        <v>0</v>
      </c>
    </row>
    <row r="123" spans="1:26" ht="14.25" customHeight="1" thickBot="1" x14ac:dyDescent="0.3">
      <c r="A123" s="261"/>
      <c r="B123" s="224">
        <v>0</v>
      </c>
      <c r="C123" s="224">
        <v>0</v>
      </c>
      <c r="D123" s="139">
        <f>'Data Ocupacion'!AJ38</f>
        <v>0</v>
      </c>
      <c r="E123" s="139">
        <f>'Data Ocupacion'!AK38</f>
        <v>0</v>
      </c>
      <c r="F123" s="325" t="s">
        <v>35</v>
      </c>
      <c r="G123" s="314">
        <f t="shared" si="95"/>
        <v>0</v>
      </c>
      <c r="H123" s="224">
        <f t="shared" si="99"/>
        <v>0</v>
      </c>
      <c r="I123" s="328">
        <f t="shared" si="96"/>
        <v>0</v>
      </c>
      <c r="J123" s="328">
        <f>G123*K$1</f>
        <v>0</v>
      </c>
      <c r="K123" s="154">
        <f>I123*K$1</f>
        <v>0</v>
      </c>
      <c r="L123" s="224">
        <f t="shared" si="97"/>
        <v>0</v>
      </c>
      <c r="M123" s="224">
        <f t="shared" si="98"/>
        <v>0</v>
      </c>
      <c r="N123" s="19"/>
      <c r="O123" s="19"/>
      <c r="P123" s="147"/>
      <c r="Q123" s="193"/>
      <c r="R123" s="193"/>
      <c r="S123" s="193"/>
      <c r="T123" s="193"/>
      <c r="U123" s="193"/>
      <c r="V123" s="193"/>
      <c r="W123" s="185">
        <f>J123</f>
        <v>0</v>
      </c>
      <c r="X123" s="185">
        <f>H123*$K$1</f>
        <v>0</v>
      </c>
    </row>
    <row r="124" spans="1:26" s="125" customFormat="1" ht="15" customHeight="1" thickBot="1" x14ac:dyDescent="0.3">
      <c r="A124" s="20"/>
      <c r="B124" s="120">
        <f>SUM(B118:B123)</f>
        <v>108</v>
      </c>
      <c r="C124" s="120">
        <f>SUM(C118:C123)</f>
        <v>3</v>
      </c>
      <c r="D124" s="149">
        <f>SUM(D118:D123)</f>
        <v>108</v>
      </c>
      <c r="E124" s="149">
        <f>SUM(E118:E123)</f>
        <v>3</v>
      </c>
      <c r="F124" s="120"/>
      <c r="G124" s="120">
        <f t="shared" ref="G124:M124" si="100">SUM(G118:G123)</f>
        <v>114</v>
      </c>
      <c r="H124" s="120">
        <f t="shared" si="100"/>
        <v>114</v>
      </c>
      <c r="I124" s="120">
        <f t="shared" si="100"/>
        <v>111</v>
      </c>
      <c r="J124" s="121">
        <f>SUM(J118:J123)</f>
        <v>4916.8200000000006</v>
      </c>
      <c r="K124" s="120">
        <f t="shared" si="100"/>
        <v>4787.43</v>
      </c>
      <c r="L124" s="120">
        <f t="shared" si="100"/>
        <v>511349.28000000009</v>
      </c>
      <c r="M124" s="120">
        <f t="shared" si="100"/>
        <v>11544</v>
      </c>
      <c r="N124" s="124">
        <f>'Odometro-Kilometraje'!R81</f>
        <v>4993</v>
      </c>
      <c r="O124" s="21">
        <f>(W124/N124)*100</f>
        <v>98.474263969557398</v>
      </c>
      <c r="P124" s="196"/>
      <c r="Q124" s="184"/>
      <c r="R124" s="184"/>
      <c r="S124" s="184"/>
      <c r="T124" s="184"/>
      <c r="U124" s="184"/>
      <c r="V124" s="184"/>
      <c r="W124" s="197">
        <f>SUM(W118:W123)</f>
        <v>4916.8200000000006</v>
      </c>
      <c r="X124" s="197">
        <f>SUM(X118:X123)</f>
        <v>4916.8200000000006</v>
      </c>
    </row>
    <row r="125" spans="1:26" ht="15.95" customHeight="1" x14ac:dyDescent="0.25">
      <c r="A125" s="61">
        <f>A118+1</f>
        <v>45887</v>
      </c>
      <c r="B125" s="313">
        <v>47</v>
      </c>
      <c r="C125" s="313">
        <v>32</v>
      </c>
      <c r="D125" s="127">
        <f>'Data Ocupacion'!AL33</f>
        <v>47</v>
      </c>
      <c r="E125" s="127">
        <f>'Data Ocupacion'!AM33</f>
        <v>31</v>
      </c>
      <c r="F125" s="126" t="s">
        <v>38</v>
      </c>
      <c r="G125" s="126">
        <f t="shared" ref="G125:G130" si="101">D125+E125*2</f>
        <v>109</v>
      </c>
      <c r="H125" s="126">
        <f>B125+C125*2</f>
        <v>111</v>
      </c>
      <c r="I125" s="126">
        <f t="shared" ref="I125:I130" si="102">D125+E125</f>
        <v>78</v>
      </c>
      <c r="J125" s="126">
        <f>G125*M$2</f>
        <v>4701.17</v>
      </c>
      <c r="K125" s="154">
        <f>I125*M$2</f>
        <v>3364.1400000000003</v>
      </c>
      <c r="L125" s="126">
        <f t="shared" ref="L125:L130" si="103">J125*104</f>
        <v>488921.68</v>
      </c>
      <c r="M125" s="126">
        <f t="shared" ref="M125:M130" si="104">I125*104</f>
        <v>8112</v>
      </c>
      <c r="N125" s="19"/>
      <c r="O125" s="19"/>
      <c r="P125" s="147"/>
      <c r="Q125" s="186"/>
      <c r="R125" s="186"/>
      <c r="S125" s="210"/>
      <c r="T125" s="296"/>
      <c r="U125" s="195"/>
      <c r="V125" s="234"/>
      <c r="W125" s="185">
        <f>J125-(Q125*($M$2-$K$1))-(R125*($M$2-$M$1))- (S125*($M$2-$I$2))+ (T125*($G$2))</f>
        <v>4701.17</v>
      </c>
      <c r="X125" s="185">
        <f>H125*$M$2</f>
        <v>4787.43</v>
      </c>
    </row>
    <row r="126" spans="1:26" ht="15" customHeight="1" x14ac:dyDescent="0.25">
      <c r="A126" s="344" t="s">
        <v>177</v>
      </c>
      <c r="B126" s="313">
        <v>45</v>
      </c>
      <c r="C126" s="313">
        <v>33</v>
      </c>
      <c r="D126" s="127">
        <f>'Data Ocupacion'!AL34</f>
        <v>44</v>
      </c>
      <c r="E126" s="127">
        <f>'Data Ocupacion'!AM34</f>
        <v>34</v>
      </c>
      <c r="F126" s="126" t="s">
        <v>52</v>
      </c>
      <c r="G126" s="126">
        <f t="shared" si="101"/>
        <v>112</v>
      </c>
      <c r="H126" s="126">
        <f t="shared" ref="H126:H130" si="105">B126+C126*2</f>
        <v>111</v>
      </c>
      <c r="I126" s="126">
        <f t="shared" si="102"/>
        <v>78</v>
      </c>
      <c r="J126" s="126">
        <f>G126*M$2</f>
        <v>4830.5600000000004</v>
      </c>
      <c r="K126" s="154">
        <f>I126*M$2</f>
        <v>3364.1400000000003</v>
      </c>
      <c r="L126" s="126">
        <f t="shared" si="103"/>
        <v>502378.24000000005</v>
      </c>
      <c r="M126" s="126">
        <f t="shared" si="104"/>
        <v>8112</v>
      </c>
      <c r="N126" s="19"/>
      <c r="O126" s="19"/>
      <c r="P126" s="147"/>
      <c r="Q126" s="222">
        <v>1</v>
      </c>
      <c r="R126" s="190"/>
      <c r="S126" s="222"/>
      <c r="T126" s="296">
        <v>1</v>
      </c>
      <c r="U126" s="222"/>
      <c r="V126" s="235"/>
      <c r="W126" s="185">
        <f>J126-(Q126*($K$1)+(T126*($M$2-$K$1))+(U126*($M$2-$M$1)))</f>
        <v>4787.43</v>
      </c>
      <c r="X126" s="185">
        <f>H126*$M$2</f>
        <v>4787.43</v>
      </c>
    </row>
    <row r="127" spans="1:26" ht="15" customHeight="1" x14ac:dyDescent="0.25">
      <c r="A127" s="344"/>
      <c r="B127" s="313">
        <v>29</v>
      </c>
      <c r="C127" s="313">
        <v>4</v>
      </c>
      <c r="D127" s="127">
        <f>'Data Ocupacion'!AL35</f>
        <v>29</v>
      </c>
      <c r="E127" s="127">
        <f>'Data Ocupacion'!AM35</f>
        <v>4</v>
      </c>
      <c r="F127" s="126" t="s">
        <v>36</v>
      </c>
      <c r="G127" s="126">
        <f t="shared" si="101"/>
        <v>37</v>
      </c>
      <c r="H127" s="126">
        <f t="shared" si="105"/>
        <v>37</v>
      </c>
      <c r="I127" s="126">
        <f t="shared" si="102"/>
        <v>33</v>
      </c>
      <c r="J127" s="126">
        <f>G127*M$1</f>
        <v>1077.07</v>
      </c>
      <c r="K127" s="154">
        <f>I127*M$1</f>
        <v>960.63</v>
      </c>
      <c r="L127" s="126">
        <f t="shared" si="103"/>
        <v>112015.28</v>
      </c>
      <c r="M127" s="126">
        <f t="shared" si="104"/>
        <v>3432</v>
      </c>
      <c r="N127" s="19"/>
      <c r="O127" s="19"/>
      <c r="P127" s="147"/>
      <c r="Q127" s="189"/>
      <c r="R127" s="191"/>
      <c r="S127" s="211"/>
      <c r="T127" s="192"/>
      <c r="U127" s="193"/>
      <c r="V127" s="193"/>
      <c r="W127" s="185">
        <f>J127-(Q127*($M$1-$K$1))</f>
        <v>1077.07</v>
      </c>
      <c r="X127" s="185">
        <f>H127*$M$1</f>
        <v>1077.07</v>
      </c>
    </row>
    <row r="128" spans="1:26" ht="15" customHeight="1" x14ac:dyDescent="0.25">
      <c r="A128" s="344"/>
      <c r="B128" s="313">
        <v>28</v>
      </c>
      <c r="C128" s="313">
        <v>4</v>
      </c>
      <c r="D128" s="127">
        <f>'Data Ocupacion'!AL36</f>
        <v>28</v>
      </c>
      <c r="E128" s="127">
        <f>'Data Ocupacion'!AM36</f>
        <v>4</v>
      </c>
      <c r="F128" s="126" t="s">
        <v>53</v>
      </c>
      <c r="G128" s="126">
        <f t="shared" si="101"/>
        <v>36</v>
      </c>
      <c r="H128" s="126">
        <f t="shared" si="105"/>
        <v>36</v>
      </c>
      <c r="I128" s="126">
        <f t="shared" si="102"/>
        <v>32</v>
      </c>
      <c r="J128" s="126">
        <f>G128*M$1</f>
        <v>1047.96</v>
      </c>
      <c r="K128" s="154">
        <f>I128*M$1</f>
        <v>931.52</v>
      </c>
      <c r="L128" s="126">
        <f t="shared" si="103"/>
        <v>108987.84</v>
      </c>
      <c r="M128" s="126">
        <f t="shared" si="104"/>
        <v>3328</v>
      </c>
      <c r="N128" s="19"/>
      <c r="O128" s="19"/>
      <c r="P128" s="147"/>
      <c r="Q128" s="193"/>
      <c r="R128" s="193"/>
      <c r="S128" s="193"/>
      <c r="T128" s="193"/>
      <c r="U128" s="193"/>
      <c r="V128" s="193"/>
      <c r="W128" s="185">
        <f>J128</f>
        <v>1047.96</v>
      </c>
      <c r="X128" s="185">
        <f>H128*$M$1</f>
        <v>1047.96</v>
      </c>
    </row>
    <row r="129" spans="1:24" s="125" customFormat="1" ht="15" customHeight="1" x14ac:dyDescent="0.25">
      <c r="A129" s="344"/>
      <c r="B129" s="313">
        <v>0</v>
      </c>
      <c r="C129" s="313">
        <v>0</v>
      </c>
      <c r="D129" s="127">
        <f>'Data Ocupacion'!AL37</f>
        <v>0</v>
      </c>
      <c r="E129" s="127">
        <f>'Data Ocupacion'!AM37</f>
        <v>0</v>
      </c>
      <c r="F129" s="126" t="s">
        <v>122</v>
      </c>
      <c r="G129" s="126">
        <f t="shared" si="101"/>
        <v>0</v>
      </c>
      <c r="H129" s="126">
        <f t="shared" si="105"/>
        <v>0</v>
      </c>
      <c r="I129" s="126">
        <f t="shared" si="102"/>
        <v>0</v>
      </c>
      <c r="J129" s="126">
        <f>G129*K$1</f>
        <v>0</v>
      </c>
      <c r="K129" s="154">
        <f>I129*K$1</f>
        <v>0</v>
      </c>
      <c r="L129" s="126">
        <f t="shared" si="103"/>
        <v>0</v>
      </c>
      <c r="M129" s="126">
        <f t="shared" si="104"/>
        <v>0</v>
      </c>
      <c r="N129" s="19"/>
      <c r="O129" s="19"/>
      <c r="P129" s="147"/>
      <c r="Q129" s="193"/>
      <c r="R129" s="193"/>
      <c r="S129" s="193"/>
      <c r="T129" s="193"/>
      <c r="U129" s="193"/>
      <c r="V129" s="193"/>
      <c r="W129" s="185">
        <f>J129</f>
        <v>0</v>
      </c>
      <c r="X129" s="185">
        <f>H129*$K$1</f>
        <v>0</v>
      </c>
    </row>
    <row r="130" spans="1:24" s="125" customFormat="1" ht="15" customHeight="1" thickBot="1" x14ac:dyDescent="0.3">
      <c r="A130" s="344"/>
      <c r="B130" s="313">
        <v>1</v>
      </c>
      <c r="C130" s="313">
        <v>0</v>
      </c>
      <c r="D130" s="127">
        <f>'Data Ocupacion'!AL38</f>
        <v>1</v>
      </c>
      <c r="E130" s="127">
        <f>'Data Ocupacion'!AM38</f>
        <v>0</v>
      </c>
      <c r="F130" s="126" t="s">
        <v>35</v>
      </c>
      <c r="G130" s="126">
        <f t="shared" si="101"/>
        <v>1</v>
      </c>
      <c r="H130" s="126">
        <f t="shared" si="105"/>
        <v>1</v>
      </c>
      <c r="I130" s="126">
        <f t="shared" si="102"/>
        <v>1</v>
      </c>
      <c r="J130" s="126">
        <f>G130*K$1</f>
        <v>25.4</v>
      </c>
      <c r="K130" s="154">
        <f>I130*K$1</f>
        <v>25.4</v>
      </c>
      <c r="L130" s="126">
        <f t="shared" si="103"/>
        <v>2641.6</v>
      </c>
      <c r="M130" s="126">
        <f t="shared" si="104"/>
        <v>104</v>
      </c>
      <c r="N130" s="19"/>
      <c r="O130" s="19"/>
      <c r="P130" s="147"/>
      <c r="Q130" s="193"/>
      <c r="R130" s="193"/>
      <c r="S130" s="193"/>
      <c r="T130" s="193"/>
      <c r="U130" s="193"/>
      <c r="V130" s="193"/>
      <c r="W130" s="185">
        <f>J130</f>
        <v>25.4</v>
      </c>
      <c r="X130" s="185">
        <f>H130*$K$1</f>
        <v>25.4</v>
      </c>
    </row>
    <row r="131" spans="1:24" s="125" customFormat="1" ht="15" customHeight="1" thickBot="1" x14ac:dyDescent="0.3">
      <c r="A131" s="20"/>
      <c r="B131" s="120">
        <f>SUM(B125:B130)</f>
        <v>150</v>
      </c>
      <c r="C131" s="120">
        <f>SUM(C125:C130)</f>
        <v>73</v>
      </c>
      <c r="D131" s="153">
        <f>SUM(D125:D130)</f>
        <v>149</v>
      </c>
      <c r="E131" s="153">
        <f>SUM(E125:E130)</f>
        <v>73</v>
      </c>
      <c r="F131" s="120"/>
      <c r="G131" s="120">
        <f t="shared" ref="G131:M131" si="106">SUM(G125:G130)</f>
        <v>295</v>
      </c>
      <c r="H131" s="120">
        <f t="shared" si="106"/>
        <v>296</v>
      </c>
      <c r="I131" s="120">
        <f t="shared" si="106"/>
        <v>222</v>
      </c>
      <c r="J131" s="121">
        <f t="shared" si="106"/>
        <v>11682.159999999998</v>
      </c>
      <c r="K131" s="120">
        <f t="shared" si="106"/>
        <v>8645.83</v>
      </c>
      <c r="L131" s="119">
        <f t="shared" si="106"/>
        <v>1214944.6400000001</v>
      </c>
      <c r="M131" s="152">
        <f t="shared" si="106"/>
        <v>23088</v>
      </c>
      <c r="N131" s="124">
        <f>'Odometro-Kilometraje'!S81</f>
        <v>12045</v>
      </c>
      <c r="O131" s="21">
        <f>(W131/N131)*100</f>
        <v>96.629555832295566</v>
      </c>
      <c r="P131" s="196"/>
      <c r="Q131" s="184"/>
      <c r="R131" s="184"/>
      <c r="S131" s="184"/>
      <c r="T131" s="184"/>
      <c r="U131" s="184"/>
      <c r="V131" s="184"/>
      <c r="W131" s="197">
        <f>SUM(W125:W130)</f>
        <v>11639.03</v>
      </c>
      <c r="X131" s="197">
        <f>SUM(X125:X130)</f>
        <v>11725.289999999999</v>
      </c>
    </row>
    <row r="132" spans="1:24" ht="15" customHeight="1" x14ac:dyDescent="0.25">
      <c r="A132" s="61">
        <f>A125+1</f>
        <v>45888</v>
      </c>
      <c r="B132" s="313">
        <v>47</v>
      </c>
      <c r="C132" s="313">
        <v>32</v>
      </c>
      <c r="D132" s="127">
        <f>'Data Ocupacion'!AN33</f>
        <v>47</v>
      </c>
      <c r="E132" s="127">
        <f>'Data Ocupacion'!AO33</f>
        <v>32</v>
      </c>
      <c r="F132" s="126" t="s">
        <v>38</v>
      </c>
      <c r="G132" s="126">
        <f t="shared" ref="G132:G137" si="107">D132+E132*2</f>
        <v>111</v>
      </c>
      <c r="H132" s="126">
        <f>B132+C132*2</f>
        <v>111</v>
      </c>
      <c r="I132" s="126">
        <f t="shared" ref="I132:I137" si="108">D132+E132</f>
        <v>79</v>
      </c>
      <c r="J132" s="126">
        <f>G132*M$2</f>
        <v>4787.43</v>
      </c>
      <c r="K132" s="154">
        <f>I132*M$2</f>
        <v>3407.27</v>
      </c>
      <c r="L132" s="126">
        <f t="shared" ref="L132:L137" si="109">J132*104</f>
        <v>497892.72000000003</v>
      </c>
      <c r="M132" s="126">
        <f t="shared" ref="M132:M137" si="110">I132*104</f>
        <v>8216</v>
      </c>
      <c r="N132" s="19"/>
      <c r="O132" s="19"/>
      <c r="P132" s="147"/>
      <c r="Q132" s="186">
        <v>4</v>
      </c>
      <c r="R132" s="186"/>
      <c r="S132" s="210"/>
      <c r="T132" s="296"/>
      <c r="U132" s="195"/>
      <c r="V132" s="234"/>
      <c r="W132" s="185">
        <f>J132-(Q132*($M$2-$K$1))-(R132*($M$2-$M$1))- (S132*($M$2-$I$2))+ (T132*($G$2))</f>
        <v>4716.51</v>
      </c>
      <c r="X132" s="185">
        <f>H132*$M$2</f>
        <v>4787.43</v>
      </c>
    </row>
    <row r="133" spans="1:24" ht="15" customHeight="1" x14ac:dyDescent="0.25">
      <c r="A133" s="261"/>
      <c r="B133" s="313">
        <v>45</v>
      </c>
      <c r="C133" s="313">
        <v>33</v>
      </c>
      <c r="D133" s="127">
        <f>'Data Ocupacion'!AN34</f>
        <v>45</v>
      </c>
      <c r="E133" s="127">
        <f>'Data Ocupacion'!AO34</f>
        <v>33</v>
      </c>
      <c r="F133" s="126" t="s">
        <v>52</v>
      </c>
      <c r="G133" s="126">
        <f t="shared" si="107"/>
        <v>111</v>
      </c>
      <c r="H133" s="126">
        <f t="shared" ref="H133:H137" si="111">B133+C133*2</f>
        <v>111</v>
      </c>
      <c r="I133" s="126">
        <f t="shared" si="108"/>
        <v>78</v>
      </c>
      <c r="J133" s="126">
        <f>G133*M$2</f>
        <v>4787.43</v>
      </c>
      <c r="K133" s="154">
        <f>I133*M$2</f>
        <v>3364.1400000000003</v>
      </c>
      <c r="L133" s="126">
        <f t="shared" si="109"/>
        <v>497892.72000000003</v>
      </c>
      <c r="M133" s="126">
        <f t="shared" si="110"/>
        <v>8112</v>
      </c>
      <c r="N133" s="19"/>
      <c r="O133" s="19"/>
      <c r="P133" s="147"/>
      <c r="Q133" s="190"/>
      <c r="R133" s="190"/>
      <c r="S133" s="222"/>
      <c r="T133" s="186">
        <v>2</v>
      </c>
      <c r="U133" s="222"/>
      <c r="V133" s="235"/>
      <c r="W133" s="188">
        <f>J133-(T133*($M$2-$K$1)+(U133*($M$2-$M$1)))</f>
        <v>4751.97</v>
      </c>
      <c r="X133" s="185">
        <f>H133*$M$2</f>
        <v>4787.43</v>
      </c>
    </row>
    <row r="134" spans="1:24" ht="15" customHeight="1" x14ac:dyDescent="0.25">
      <c r="A134" s="261"/>
      <c r="B134" s="313">
        <v>29</v>
      </c>
      <c r="C134" s="313">
        <v>4</v>
      </c>
      <c r="D134" s="127">
        <f>'Data Ocupacion'!AN35</f>
        <v>29</v>
      </c>
      <c r="E134" s="127">
        <f>'Data Ocupacion'!AO35</f>
        <v>4</v>
      </c>
      <c r="F134" s="126" t="s">
        <v>36</v>
      </c>
      <c r="G134" s="126">
        <f t="shared" si="107"/>
        <v>37</v>
      </c>
      <c r="H134" s="126">
        <f t="shared" si="111"/>
        <v>37</v>
      </c>
      <c r="I134" s="126">
        <f t="shared" si="108"/>
        <v>33</v>
      </c>
      <c r="J134" s="126">
        <f>G134*M$1</f>
        <v>1077.07</v>
      </c>
      <c r="K134" s="154">
        <f>I134*M$1</f>
        <v>960.63</v>
      </c>
      <c r="L134" s="126">
        <f t="shared" si="109"/>
        <v>112015.28</v>
      </c>
      <c r="M134" s="126">
        <f t="shared" si="110"/>
        <v>3432</v>
      </c>
      <c r="N134" s="19"/>
      <c r="O134" s="19"/>
      <c r="P134" s="147"/>
      <c r="Q134" s="189"/>
      <c r="R134" s="191"/>
      <c r="S134" s="211"/>
      <c r="T134" s="192"/>
      <c r="U134" s="193"/>
      <c r="V134" s="193"/>
      <c r="W134" s="185">
        <f>J134-(Q134*($M$1-$K$1))</f>
        <v>1077.07</v>
      </c>
      <c r="X134" s="185">
        <f>H134*$M$1</f>
        <v>1077.07</v>
      </c>
    </row>
    <row r="135" spans="1:24" ht="15" customHeight="1" x14ac:dyDescent="0.25">
      <c r="A135" s="261"/>
      <c r="B135" s="313">
        <v>28</v>
      </c>
      <c r="C135" s="313">
        <v>4</v>
      </c>
      <c r="D135" s="127">
        <f>'Data Ocupacion'!AN36</f>
        <v>28</v>
      </c>
      <c r="E135" s="127">
        <f>'Data Ocupacion'!AO36</f>
        <v>4</v>
      </c>
      <c r="F135" s="126" t="s">
        <v>53</v>
      </c>
      <c r="G135" s="126">
        <f t="shared" si="107"/>
        <v>36</v>
      </c>
      <c r="H135" s="126">
        <f t="shared" si="111"/>
        <v>36</v>
      </c>
      <c r="I135" s="126">
        <f t="shared" si="108"/>
        <v>32</v>
      </c>
      <c r="J135" s="126">
        <f>G135*M$1</f>
        <v>1047.96</v>
      </c>
      <c r="K135" s="154">
        <f>I135*M$1</f>
        <v>931.52</v>
      </c>
      <c r="L135" s="126">
        <f t="shared" si="109"/>
        <v>108987.84</v>
      </c>
      <c r="M135" s="126">
        <f t="shared" si="110"/>
        <v>3328</v>
      </c>
      <c r="N135" s="19"/>
      <c r="O135" s="19"/>
      <c r="P135" s="147"/>
      <c r="Q135" s="193"/>
      <c r="R135" s="193"/>
      <c r="S135" s="193"/>
      <c r="T135" s="193"/>
      <c r="U135" s="193"/>
      <c r="V135" s="193"/>
      <c r="W135" s="185">
        <f>J135</f>
        <v>1047.96</v>
      </c>
      <c r="X135" s="185">
        <f>H135*$M$1</f>
        <v>1047.96</v>
      </c>
    </row>
    <row r="136" spans="1:24" ht="15" customHeight="1" x14ac:dyDescent="0.25">
      <c r="A136" s="261"/>
      <c r="B136" s="313">
        <v>0</v>
      </c>
      <c r="C136" s="313">
        <v>0</v>
      </c>
      <c r="D136" s="127">
        <f>'Data Ocupacion'!AN37</f>
        <v>0</v>
      </c>
      <c r="E136" s="127">
        <f>'Data Ocupacion'!AO37</f>
        <v>0</v>
      </c>
      <c r="F136" s="126" t="s">
        <v>122</v>
      </c>
      <c r="G136" s="126">
        <f t="shared" si="107"/>
        <v>0</v>
      </c>
      <c r="H136" s="126">
        <f t="shared" si="111"/>
        <v>0</v>
      </c>
      <c r="I136" s="126">
        <f t="shared" si="108"/>
        <v>0</v>
      </c>
      <c r="J136" s="126">
        <f>G136*K$1</f>
        <v>0</v>
      </c>
      <c r="K136" s="154">
        <f>I136*K$1</f>
        <v>0</v>
      </c>
      <c r="L136" s="126">
        <f t="shared" si="109"/>
        <v>0</v>
      </c>
      <c r="M136" s="126">
        <f t="shared" si="110"/>
        <v>0</v>
      </c>
      <c r="N136" s="19"/>
      <c r="O136" s="19"/>
      <c r="P136" s="147"/>
      <c r="Q136" s="193"/>
      <c r="R136" s="193"/>
      <c r="S136" s="193"/>
      <c r="T136" s="193"/>
      <c r="U136" s="193"/>
      <c r="V136" s="193"/>
      <c r="W136" s="185">
        <f>J136</f>
        <v>0</v>
      </c>
      <c r="X136" s="185">
        <f>H136*$K$1</f>
        <v>0</v>
      </c>
    </row>
    <row r="137" spans="1:24" ht="15" customHeight="1" thickBot="1" x14ac:dyDescent="0.3">
      <c r="A137" s="261"/>
      <c r="B137" s="313">
        <v>1</v>
      </c>
      <c r="C137" s="313">
        <v>0</v>
      </c>
      <c r="D137" s="127">
        <f>'Data Ocupacion'!AN38</f>
        <v>1</v>
      </c>
      <c r="E137" s="127">
        <f>'Data Ocupacion'!AO38</f>
        <v>0</v>
      </c>
      <c r="F137" s="126" t="s">
        <v>35</v>
      </c>
      <c r="G137" s="126">
        <f t="shared" si="107"/>
        <v>1</v>
      </c>
      <c r="H137" s="126">
        <f t="shared" si="111"/>
        <v>1</v>
      </c>
      <c r="I137" s="126">
        <f t="shared" si="108"/>
        <v>1</v>
      </c>
      <c r="J137" s="126">
        <f>G137*K$1</f>
        <v>25.4</v>
      </c>
      <c r="K137" s="154">
        <f>I137*K$1</f>
        <v>25.4</v>
      </c>
      <c r="L137" s="126">
        <f t="shared" si="109"/>
        <v>2641.6</v>
      </c>
      <c r="M137" s="126">
        <f t="shared" si="110"/>
        <v>104</v>
      </c>
      <c r="N137" s="19"/>
      <c r="O137" s="19"/>
      <c r="P137" s="147"/>
      <c r="Q137" s="193"/>
      <c r="R137" s="193"/>
      <c r="S137" s="193"/>
      <c r="T137" s="193"/>
      <c r="U137" s="193"/>
      <c r="V137" s="193"/>
      <c r="W137" s="185">
        <f>J137</f>
        <v>25.4</v>
      </c>
      <c r="X137" s="185">
        <f>H137*$K$1</f>
        <v>25.4</v>
      </c>
    </row>
    <row r="138" spans="1:24" s="125" customFormat="1" ht="15" customHeight="1" thickBot="1" x14ac:dyDescent="0.3">
      <c r="A138" s="20"/>
      <c r="B138" s="120">
        <f>SUM(B132:B137)</f>
        <v>150</v>
      </c>
      <c r="C138" s="120">
        <f>SUM(C132:C137)</f>
        <v>73</v>
      </c>
      <c r="D138" s="153">
        <f>SUM(D132:D137)</f>
        <v>150</v>
      </c>
      <c r="E138" s="153">
        <f>SUM(E132:E137)</f>
        <v>73</v>
      </c>
      <c r="F138" s="120"/>
      <c r="G138" s="120">
        <f t="shared" ref="G138:M138" si="112">SUM(G132:G137)</f>
        <v>296</v>
      </c>
      <c r="H138" s="120">
        <f t="shared" si="112"/>
        <v>296</v>
      </c>
      <c r="I138" s="120">
        <f t="shared" si="112"/>
        <v>223</v>
      </c>
      <c r="J138" s="121">
        <f t="shared" si="112"/>
        <v>11725.289999999999</v>
      </c>
      <c r="K138" s="120">
        <f t="shared" si="112"/>
        <v>8688.9599999999991</v>
      </c>
      <c r="L138" s="119">
        <f t="shared" si="112"/>
        <v>1219430.1600000001</v>
      </c>
      <c r="M138" s="152">
        <f t="shared" si="112"/>
        <v>23192</v>
      </c>
      <c r="N138" s="124">
        <f>'Odometro-Kilometraje'!T81</f>
        <v>12094</v>
      </c>
      <c r="O138" s="21">
        <f>(W138/N138)*100</f>
        <v>96.071688440549025</v>
      </c>
      <c r="P138" s="196"/>
      <c r="Q138" s="184"/>
      <c r="R138" s="184"/>
      <c r="S138" s="184"/>
      <c r="T138" s="184"/>
      <c r="U138" s="184"/>
      <c r="V138" s="184"/>
      <c r="W138" s="197">
        <f>SUM(W132:W137)</f>
        <v>11618.909999999998</v>
      </c>
      <c r="X138" s="197">
        <f>SUM(X132:X137)</f>
        <v>11725.289999999999</v>
      </c>
    </row>
    <row r="139" spans="1:24" ht="15.95" customHeight="1" x14ac:dyDescent="0.25">
      <c r="A139" s="61">
        <f>A132+1</f>
        <v>45889</v>
      </c>
      <c r="B139" s="313">
        <v>47</v>
      </c>
      <c r="C139" s="313">
        <v>32</v>
      </c>
      <c r="D139" s="139">
        <f>'Data Ocupacion'!AP33</f>
        <v>45</v>
      </c>
      <c r="E139" s="139">
        <f>'Data Ocupacion'!AQ33</f>
        <v>34</v>
      </c>
      <c r="F139" s="126" t="s">
        <v>38</v>
      </c>
      <c r="G139" s="126">
        <f t="shared" ref="G139:G144" si="113">D139+E139*2</f>
        <v>113</v>
      </c>
      <c r="H139" s="126">
        <f>B139+C139*2</f>
        <v>111</v>
      </c>
      <c r="I139" s="126">
        <f t="shared" ref="I139:I144" si="114">D139+E139</f>
        <v>79</v>
      </c>
      <c r="J139" s="126">
        <f>G139*M$2</f>
        <v>4873.6900000000005</v>
      </c>
      <c r="K139" s="154">
        <f>I139*M$2</f>
        <v>3407.27</v>
      </c>
      <c r="L139" s="126">
        <f t="shared" ref="L139:L144" si="115">J139*104</f>
        <v>506863.76000000007</v>
      </c>
      <c r="M139" s="126">
        <f t="shared" ref="M139:M144" si="116">I139*104</f>
        <v>8216</v>
      </c>
      <c r="N139" s="19"/>
      <c r="O139" s="19"/>
      <c r="P139" s="147"/>
      <c r="Q139" s="186">
        <v>3</v>
      </c>
      <c r="R139" s="186"/>
      <c r="S139" s="210"/>
      <c r="T139" s="296"/>
      <c r="U139" s="195"/>
      <c r="V139" s="234"/>
      <c r="W139" s="185">
        <f>J139-(Q139*($M$2-$K$1))-(R139*($M$2-$M$1))- (S139*($M$2-$I$2))+ (T139*($G$2))</f>
        <v>4820.5000000000009</v>
      </c>
      <c r="X139" s="185">
        <f>H139*$M$2</f>
        <v>4787.43</v>
      </c>
    </row>
    <row r="140" spans="1:24" ht="15" customHeight="1" x14ac:dyDescent="0.25">
      <c r="A140" s="343" t="s">
        <v>178</v>
      </c>
      <c r="B140" s="313">
        <v>45</v>
      </c>
      <c r="C140" s="313">
        <v>33</v>
      </c>
      <c r="D140" s="139">
        <f>'Data Ocupacion'!AP34</f>
        <v>43</v>
      </c>
      <c r="E140" s="139">
        <f>'Data Ocupacion'!AQ34</f>
        <v>35</v>
      </c>
      <c r="F140" s="126" t="s">
        <v>52</v>
      </c>
      <c r="G140" s="126">
        <f t="shared" si="113"/>
        <v>113</v>
      </c>
      <c r="H140" s="126">
        <f t="shared" ref="H140:H144" si="117">B140+C140*2</f>
        <v>111</v>
      </c>
      <c r="I140" s="126">
        <f t="shared" si="114"/>
        <v>78</v>
      </c>
      <c r="J140" s="126">
        <f>G140*M$2</f>
        <v>4873.6900000000005</v>
      </c>
      <c r="K140" s="154">
        <f>I140*M$2</f>
        <v>3364.1400000000003</v>
      </c>
      <c r="L140" s="126">
        <f t="shared" si="115"/>
        <v>506863.76000000007</v>
      </c>
      <c r="M140" s="126">
        <f t="shared" si="116"/>
        <v>8112</v>
      </c>
      <c r="N140" s="19"/>
      <c r="O140" s="19"/>
      <c r="P140" s="147"/>
      <c r="Q140" s="190"/>
      <c r="R140" s="190"/>
      <c r="S140" s="222"/>
      <c r="T140" s="186"/>
      <c r="U140" s="222"/>
      <c r="V140" s="235"/>
      <c r="W140" s="188">
        <f>J140-(T140*($M$2-$K$1)+(U140*($M$2-$M$1)))</f>
        <v>4873.6900000000005</v>
      </c>
      <c r="X140" s="185">
        <f>H140*$M$2</f>
        <v>4787.43</v>
      </c>
    </row>
    <row r="141" spans="1:24" ht="15" customHeight="1" x14ac:dyDescent="0.25">
      <c r="A141" s="343"/>
      <c r="B141" s="313">
        <v>30</v>
      </c>
      <c r="C141" s="313">
        <v>3</v>
      </c>
      <c r="D141" s="127">
        <f>'Data Ocupacion'!AP35</f>
        <v>30</v>
      </c>
      <c r="E141" s="127">
        <f>'Data Ocupacion'!AQ35</f>
        <v>3</v>
      </c>
      <c r="F141" s="126" t="s">
        <v>36</v>
      </c>
      <c r="G141" s="126">
        <f t="shared" si="113"/>
        <v>36</v>
      </c>
      <c r="H141" s="126">
        <f t="shared" si="117"/>
        <v>36</v>
      </c>
      <c r="I141" s="126">
        <f t="shared" si="114"/>
        <v>33</v>
      </c>
      <c r="J141" s="126">
        <f>G141*M$1</f>
        <v>1047.96</v>
      </c>
      <c r="K141" s="154">
        <f>I141*M$1</f>
        <v>960.63</v>
      </c>
      <c r="L141" s="126">
        <f t="shared" si="115"/>
        <v>108987.84</v>
      </c>
      <c r="M141" s="126">
        <f t="shared" si="116"/>
        <v>3432</v>
      </c>
      <c r="N141" s="19"/>
      <c r="O141" s="19"/>
      <c r="P141" s="147"/>
      <c r="Q141" s="189"/>
      <c r="R141" s="191"/>
      <c r="S141" s="211"/>
      <c r="T141" s="192"/>
      <c r="U141" s="193"/>
      <c r="V141" s="193"/>
      <c r="W141" s="185">
        <f>J141-(Q141*($M$1-$K$1))</f>
        <v>1047.96</v>
      </c>
      <c r="X141" s="185">
        <f>H141*$M$1</f>
        <v>1047.96</v>
      </c>
    </row>
    <row r="142" spans="1:24" ht="15" customHeight="1" x14ac:dyDescent="0.25">
      <c r="A142" s="343"/>
      <c r="B142" s="313">
        <v>29</v>
      </c>
      <c r="C142" s="313">
        <v>3</v>
      </c>
      <c r="D142" s="127">
        <f>'Data Ocupacion'!AP36</f>
        <v>29</v>
      </c>
      <c r="E142" s="127">
        <f>'Data Ocupacion'!AQ36</f>
        <v>3</v>
      </c>
      <c r="F142" s="126" t="s">
        <v>53</v>
      </c>
      <c r="G142" s="126">
        <f t="shared" si="113"/>
        <v>35</v>
      </c>
      <c r="H142" s="126">
        <f t="shared" si="117"/>
        <v>35</v>
      </c>
      <c r="I142" s="126">
        <f t="shared" si="114"/>
        <v>32</v>
      </c>
      <c r="J142" s="126">
        <f>G142*M$1</f>
        <v>1018.85</v>
      </c>
      <c r="K142" s="154">
        <f>I142*M$1</f>
        <v>931.52</v>
      </c>
      <c r="L142" s="126">
        <f t="shared" si="115"/>
        <v>105960.40000000001</v>
      </c>
      <c r="M142" s="126">
        <f t="shared" si="116"/>
        <v>3328</v>
      </c>
      <c r="N142" s="19"/>
      <c r="O142" s="19"/>
      <c r="P142" s="147"/>
      <c r="Q142" s="193"/>
      <c r="R142" s="193"/>
      <c r="S142" s="193"/>
      <c r="T142" s="193"/>
      <c r="U142" s="193"/>
      <c r="V142" s="193"/>
      <c r="W142" s="185">
        <f>J142</f>
        <v>1018.85</v>
      </c>
      <c r="X142" s="185">
        <f>H142*$M$1</f>
        <v>1018.85</v>
      </c>
    </row>
    <row r="143" spans="1:24" ht="15" customHeight="1" x14ac:dyDescent="0.25">
      <c r="A143" s="343"/>
      <c r="B143" s="313">
        <v>0</v>
      </c>
      <c r="C143" s="313">
        <v>0</v>
      </c>
      <c r="D143" s="127">
        <f>'Data Ocupacion'!AP37</f>
        <v>0</v>
      </c>
      <c r="E143" s="127">
        <f>'Data Ocupacion'!AQ37</f>
        <v>0</v>
      </c>
      <c r="F143" s="126" t="s">
        <v>122</v>
      </c>
      <c r="G143" s="126">
        <f t="shared" si="113"/>
        <v>0</v>
      </c>
      <c r="H143" s="126">
        <f t="shared" si="117"/>
        <v>0</v>
      </c>
      <c r="I143" s="126">
        <f t="shared" si="114"/>
        <v>0</v>
      </c>
      <c r="J143" s="126">
        <f>G143*K$1</f>
        <v>0</v>
      </c>
      <c r="K143" s="154">
        <f>I143*K$1</f>
        <v>0</v>
      </c>
      <c r="L143" s="126">
        <f t="shared" si="115"/>
        <v>0</v>
      </c>
      <c r="M143" s="126">
        <f t="shared" si="116"/>
        <v>0</v>
      </c>
      <c r="N143" s="19"/>
      <c r="O143" s="19"/>
      <c r="P143" s="147"/>
      <c r="Q143" s="193"/>
      <c r="R143" s="193"/>
      <c r="S143" s="193"/>
      <c r="T143" s="193"/>
      <c r="U143" s="193"/>
      <c r="V143" s="193"/>
      <c r="W143" s="185">
        <f>J143</f>
        <v>0</v>
      </c>
      <c r="X143" s="185">
        <f>H143*$K$1</f>
        <v>0</v>
      </c>
    </row>
    <row r="144" spans="1:24" ht="15" customHeight="1" thickBot="1" x14ac:dyDescent="0.3">
      <c r="A144" s="343"/>
      <c r="B144" s="313">
        <v>1</v>
      </c>
      <c r="C144" s="313">
        <v>0</v>
      </c>
      <c r="D144" s="127">
        <f>'Data Ocupacion'!AP38</f>
        <v>1</v>
      </c>
      <c r="E144" s="127">
        <f>'Data Ocupacion'!AQ38</f>
        <v>0</v>
      </c>
      <c r="F144" s="126" t="s">
        <v>35</v>
      </c>
      <c r="G144" s="126">
        <f t="shared" si="113"/>
        <v>1</v>
      </c>
      <c r="H144" s="126">
        <f t="shared" si="117"/>
        <v>1</v>
      </c>
      <c r="I144" s="126">
        <f t="shared" si="114"/>
        <v>1</v>
      </c>
      <c r="J144" s="126">
        <f>G144*K$1</f>
        <v>25.4</v>
      </c>
      <c r="K144" s="154">
        <f>I144*K$1</f>
        <v>25.4</v>
      </c>
      <c r="L144" s="126">
        <f t="shared" si="115"/>
        <v>2641.6</v>
      </c>
      <c r="M144" s="126">
        <f t="shared" si="116"/>
        <v>104</v>
      </c>
      <c r="N144" s="19"/>
      <c r="O144" s="19"/>
      <c r="P144" s="147"/>
      <c r="Q144" s="193"/>
      <c r="R144" s="193"/>
      <c r="S144" s="193"/>
      <c r="T144" s="193"/>
      <c r="U144" s="193"/>
      <c r="V144" s="193"/>
      <c r="W144" s="185">
        <f>J144</f>
        <v>25.4</v>
      </c>
      <c r="X144" s="185">
        <f>H144*$K$1</f>
        <v>25.4</v>
      </c>
    </row>
    <row r="145" spans="1:26" s="125" customFormat="1" ht="15" customHeight="1" thickBot="1" x14ac:dyDescent="0.3">
      <c r="A145" s="20"/>
      <c r="B145" s="120">
        <f>SUM(B139:B144)</f>
        <v>152</v>
      </c>
      <c r="C145" s="120">
        <f>SUM(C139:C144)</f>
        <v>71</v>
      </c>
      <c r="D145" s="153">
        <f>SUM(D139:D144)</f>
        <v>148</v>
      </c>
      <c r="E145" s="153">
        <f>SUM(E139:E144)</f>
        <v>75</v>
      </c>
      <c r="F145" s="120"/>
      <c r="G145" s="120">
        <f t="shared" ref="G145:M145" si="118">SUM(G139:G144)</f>
        <v>298</v>
      </c>
      <c r="H145" s="120">
        <f t="shared" si="118"/>
        <v>294</v>
      </c>
      <c r="I145" s="120">
        <f t="shared" si="118"/>
        <v>223</v>
      </c>
      <c r="J145" s="121">
        <f t="shared" si="118"/>
        <v>11839.59</v>
      </c>
      <c r="K145" s="120">
        <f t="shared" si="118"/>
        <v>8688.9599999999991</v>
      </c>
      <c r="L145" s="119">
        <f t="shared" si="118"/>
        <v>1231317.3600000001</v>
      </c>
      <c r="M145" s="152">
        <f t="shared" si="118"/>
        <v>23192</v>
      </c>
      <c r="N145" s="124">
        <f>'Odometro-Kilometraje'!U81</f>
        <v>12033</v>
      </c>
      <c r="O145" s="21">
        <f>(W145/N145)*100</f>
        <v>97.950635751682881</v>
      </c>
      <c r="P145" s="196"/>
      <c r="Q145" s="184"/>
      <c r="R145" s="184"/>
      <c r="S145" s="184"/>
      <c r="T145" s="184"/>
      <c r="U145" s="184"/>
      <c r="V145" s="184"/>
      <c r="W145" s="197">
        <f>SUM(W139:W144)</f>
        <v>11786.400000000001</v>
      </c>
      <c r="X145" s="197">
        <f>SUM(X139:X144)</f>
        <v>11667.07</v>
      </c>
    </row>
    <row r="146" spans="1:26" x14ac:dyDescent="0.25">
      <c r="A146" s="61">
        <f>A139+1</f>
        <v>45890</v>
      </c>
      <c r="B146" s="313">
        <v>47</v>
      </c>
      <c r="C146" s="313">
        <v>32</v>
      </c>
      <c r="D146" s="127">
        <f>'Data Ocupacion'!AR33</f>
        <v>49</v>
      </c>
      <c r="E146" s="127">
        <f>'Data Ocupacion'!AS33</f>
        <v>31</v>
      </c>
      <c r="F146" s="226" t="s">
        <v>38</v>
      </c>
      <c r="G146" s="227">
        <f t="shared" ref="G146:G151" si="119">D146+E146*2</f>
        <v>111</v>
      </c>
      <c r="H146" s="126">
        <f>B146+C146*2</f>
        <v>111</v>
      </c>
      <c r="I146" s="228">
        <f t="shared" ref="I146:I151" si="120">D146+E146</f>
        <v>80</v>
      </c>
      <c r="J146" s="228">
        <f>G146*M$2</f>
        <v>4787.43</v>
      </c>
      <c r="K146" s="154">
        <f>I146*M$2</f>
        <v>3450.4</v>
      </c>
      <c r="L146" s="126">
        <f t="shared" ref="L146:L151" si="121">J146*104</f>
        <v>497892.72000000003</v>
      </c>
      <c r="M146" s="126">
        <f t="shared" ref="M146:M151" si="122">I146*104</f>
        <v>8320</v>
      </c>
      <c r="N146" s="19"/>
      <c r="O146" s="19"/>
      <c r="P146" s="147"/>
      <c r="Q146" s="186">
        <v>5</v>
      </c>
      <c r="R146" s="186"/>
      <c r="S146" s="210"/>
      <c r="T146" s="210"/>
      <c r="U146" s="195"/>
      <c r="V146" s="234"/>
      <c r="W146" s="185">
        <f>J146-(Q146*($M$2-$K$1))-(R146*($M$2-$M$1))- (S146*($M$2-$I$2))+ (T146*($G$2))</f>
        <v>4698.7800000000007</v>
      </c>
      <c r="X146" s="185">
        <f>H146*$M$2</f>
        <v>4787.43</v>
      </c>
    </row>
    <row r="147" spans="1:26" ht="15" customHeight="1" x14ac:dyDescent="0.25">
      <c r="A147" s="261"/>
      <c r="B147" s="313">
        <v>45</v>
      </c>
      <c r="C147" s="313">
        <v>33</v>
      </c>
      <c r="D147" s="127">
        <f>'Data Ocupacion'!AR34</f>
        <v>44</v>
      </c>
      <c r="E147" s="127">
        <f>'Data Ocupacion'!AS34</f>
        <v>34</v>
      </c>
      <c r="F147" s="226" t="s">
        <v>52</v>
      </c>
      <c r="G147" s="227">
        <f t="shared" si="119"/>
        <v>112</v>
      </c>
      <c r="H147" s="126">
        <f t="shared" ref="H147:H151" si="123">B147+C147*2</f>
        <v>111</v>
      </c>
      <c r="I147" s="126">
        <f t="shared" si="120"/>
        <v>78</v>
      </c>
      <c r="J147" s="126">
        <f>G147*M$2</f>
        <v>4830.5600000000004</v>
      </c>
      <c r="K147" s="154">
        <f>I147*M$2</f>
        <v>3364.1400000000003</v>
      </c>
      <c r="L147" s="126">
        <f t="shared" si="121"/>
        <v>502378.24000000005</v>
      </c>
      <c r="M147" s="126">
        <f t="shared" si="122"/>
        <v>8112</v>
      </c>
      <c r="N147" s="19"/>
      <c r="O147" s="19"/>
      <c r="P147" s="147"/>
      <c r="Q147" s="190"/>
      <c r="R147" s="190"/>
      <c r="S147" s="222"/>
      <c r="T147" s="186">
        <v>3</v>
      </c>
      <c r="U147" s="222"/>
      <c r="V147" s="235"/>
      <c r="W147" s="188">
        <f>J147-(T147*($M$2-$K$1)+(U147*($M$2-$M$1)))</f>
        <v>4777.3700000000008</v>
      </c>
      <c r="X147" s="185">
        <f>H147*$M$2</f>
        <v>4787.43</v>
      </c>
    </row>
    <row r="148" spans="1:26" x14ac:dyDescent="0.25">
      <c r="A148" s="261"/>
      <c r="B148" s="313">
        <v>30</v>
      </c>
      <c r="C148" s="313">
        <v>3</v>
      </c>
      <c r="D148" s="127">
        <f>'Data Ocupacion'!AR35</f>
        <v>27</v>
      </c>
      <c r="E148" s="127">
        <f>'Data Ocupacion'!AS35</f>
        <v>3</v>
      </c>
      <c r="F148" s="226" t="s">
        <v>36</v>
      </c>
      <c r="G148" s="227">
        <f t="shared" si="119"/>
        <v>33</v>
      </c>
      <c r="H148" s="126">
        <f t="shared" si="123"/>
        <v>36</v>
      </c>
      <c r="I148" s="126">
        <f t="shared" si="120"/>
        <v>30</v>
      </c>
      <c r="J148" s="126">
        <f>G148*M$1</f>
        <v>960.63</v>
      </c>
      <c r="K148" s="154">
        <f>I148*M$1</f>
        <v>873.3</v>
      </c>
      <c r="L148" s="126">
        <f t="shared" si="121"/>
        <v>99905.52</v>
      </c>
      <c r="M148" s="126">
        <f t="shared" si="122"/>
        <v>3120</v>
      </c>
      <c r="N148" s="19"/>
      <c r="O148" s="19"/>
      <c r="P148" s="147"/>
      <c r="Q148" s="189"/>
      <c r="R148" s="191"/>
      <c r="S148" s="211"/>
      <c r="T148" s="192"/>
      <c r="U148" s="193"/>
      <c r="V148" s="193"/>
      <c r="W148" s="185">
        <f>J148-(Q148*($M$1-$K$1))</f>
        <v>960.63</v>
      </c>
      <c r="X148" s="185">
        <f>H148*$M$1</f>
        <v>1047.96</v>
      </c>
    </row>
    <row r="149" spans="1:26" x14ac:dyDescent="0.25">
      <c r="A149" s="261"/>
      <c r="B149" s="313">
        <v>29</v>
      </c>
      <c r="C149" s="313">
        <v>3</v>
      </c>
      <c r="D149" s="127">
        <f>'Data Ocupacion'!AR36</f>
        <v>29</v>
      </c>
      <c r="E149" s="127">
        <f>'Data Ocupacion'!AS36</f>
        <v>3</v>
      </c>
      <c r="F149" s="226" t="s">
        <v>53</v>
      </c>
      <c r="G149" s="227">
        <f t="shared" si="119"/>
        <v>35</v>
      </c>
      <c r="H149" s="126">
        <f t="shared" si="123"/>
        <v>35</v>
      </c>
      <c r="I149" s="126">
        <f t="shared" si="120"/>
        <v>32</v>
      </c>
      <c r="J149" s="126">
        <f>G149*M$1</f>
        <v>1018.85</v>
      </c>
      <c r="K149" s="154">
        <f>I149*M$1</f>
        <v>931.52</v>
      </c>
      <c r="L149" s="126">
        <f t="shared" si="121"/>
        <v>105960.40000000001</v>
      </c>
      <c r="M149" s="126">
        <f t="shared" si="122"/>
        <v>3328</v>
      </c>
      <c r="N149" s="19"/>
      <c r="O149" s="19"/>
      <c r="P149" s="248"/>
      <c r="Q149" s="193"/>
      <c r="R149" s="193"/>
      <c r="S149" s="193"/>
      <c r="T149" s="193"/>
      <c r="U149" s="193"/>
      <c r="V149" s="193"/>
      <c r="W149" s="185">
        <f>J149</f>
        <v>1018.85</v>
      </c>
      <c r="X149" s="185">
        <f>H149*$M$1</f>
        <v>1018.85</v>
      </c>
    </row>
    <row r="150" spans="1:26" ht="15" customHeight="1" x14ac:dyDescent="0.25">
      <c r="A150" s="261"/>
      <c r="B150" s="313">
        <v>0</v>
      </c>
      <c r="C150" s="313">
        <v>0</v>
      </c>
      <c r="D150" s="127">
        <f>'Data Ocupacion'!AR37</f>
        <v>0</v>
      </c>
      <c r="E150" s="127">
        <f>'Data Ocupacion'!AS37</f>
        <v>0</v>
      </c>
      <c r="F150" s="226" t="s">
        <v>122</v>
      </c>
      <c r="G150" s="227">
        <f t="shared" si="119"/>
        <v>0</v>
      </c>
      <c r="H150" s="126">
        <f t="shared" si="123"/>
        <v>0</v>
      </c>
      <c r="I150" s="126">
        <f t="shared" si="120"/>
        <v>0</v>
      </c>
      <c r="J150" s="229">
        <f>G150*K$1</f>
        <v>0</v>
      </c>
      <c r="K150" s="154">
        <f>I150*K$1</f>
        <v>0</v>
      </c>
      <c r="L150" s="126">
        <f t="shared" si="121"/>
        <v>0</v>
      </c>
      <c r="M150" s="126">
        <f t="shared" si="122"/>
        <v>0</v>
      </c>
      <c r="N150" s="19"/>
      <c r="O150" s="19"/>
      <c r="P150" s="147"/>
      <c r="Q150" s="193"/>
      <c r="R150" s="193"/>
      <c r="S150" s="193"/>
      <c r="T150" s="193"/>
      <c r="U150" s="193"/>
      <c r="V150" s="193"/>
      <c r="W150" s="185">
        <f>J150</f>
        <v>0</v>
      </c>
      <c r="X150" s="185">
        <f>H150*$K$1</f>
        <v>0</v>
      </c>
    </row>
    <row r="151" spans="1:26" ht="15.75" thickBot="1" x14ac:dyDescent="0.3">
      <c r="A151" s="261"/>
      <c r="B151" s="313">
        <v>1</v>
      </c>
      <c r="C151" s="313">
        <v>0</v>
      </c>
      <c r="D151" s="127">
        <f>'Data Ocupacion'!AR38</f>
        <v>1</v>
      </c>
      <c r="E151" s="127">
        <f>'Data Ocupacion'!AS38</f>
        <v>0</v>
      </c>
      <c r="F151" s="226" t="s">
        <v>35</v>
      </c>
      <c r="G151" s="227">
        <f t="shared" si="119"/>
        <v>1</v>
      </c>
      <c r="H151" s="126">
        <f t="shared" si="123"/>
        <v>1</v>
      </c>
      <c r="I151" s="230">
        <f t="shared" si="120"/>
        <v>1</v>
      </c>
      <c r="J151" s="230">
        <f>G151*K$1</f>
        <v>25.4</v>
      </c>
      <c r="K151" s="154">
        <f>I151*K$1</f>
        <v>25.4</v>
      </c>
      <c r="L151" s="126">
        <f t="shared" si="121"/>
        <v>2641.6</v>
      </c>
      <c r="M151" s="126">
        <f t="shared" si="122"/>
        <v>104</v>
      </c>
      <c r="N151" s="19"/>
      <c r="O151" s="19"/>
      <c r="P151" s="147"/>
      <c r="Q151" s="193"/>
      <c r="R151" s="193"/>
      <c r="S151" s="193"/>
      <c r="T151" s="193"/>
      <c r="U151" s="193"/>
      <c r="V151" s="193"/>
      <c r="W151" s="185">
        <f>J151</f>
        <v>25.4</v>
      </c>
      <c r="X151" s="185">
        <f>H151*$K$1</f>
        <v>25.4</v>
      </c>
    </row>
    <row r="152" spans="1:26" s="125" customFormat="1" ht="15.75" thickBot="1" x14ac:dyDescent="0.3">
      <c r="A152" s="20"/>
      <c r="B152" s="120">
        <f>SUM(B146:B151)</f>
        <v>152</v>
      </c>
      <c r="C152" s="120">
        <f>SUM(C146:C151)</f>
        <v>71</v>
      </c>
      <c r="D152" s="149">
        <f>SUM(D146:D151)</f>
        <v>150</v>
      </c>
      <c r="E152" s="149">
        <f>SUM(E146:E151)</f>
        <v>71</v>
      </c>
      <c r="F152" s="120"/>
      <c r="G152" s="120">
        <f t="shared" ref="G152:M152" si="124">SUM(G146:G151)</f>
        <v>292</v>
      </c>
      <c r="H152" s="120">
        <f t="shared" si="124"/>
        <v>294</v>
      </c>
      <c r="I152" s="120">
        <f t="shared" si="124"/>
        <v>221</v>
      </c>
      <c r="J152" s="121">
        <f>SUM(J146:J151)</f>
        <v>11622.87</v>
      </c>
      <c r="K152" s="120">
        <f t="shared" si="124"/>
        <v>8644.76</v>
      </c>
      <c r="L152" s="120">
        <f t="shared" si="124"/>
        <v>1208778.48</v>
      </c>
      <c r="M152" s="120">
        <f t="shared" si="124"/>
        <v>22984</v>
      </c>
      <c r="N152" s="124">
        <f>'Odometro-Kilometraje'!V81</f>
        <v>12190</v>
      </c>
      <c r="O152" s="21">
        <f>(W152/N152)*100</f>
        <v>94.184003281378182</v>
      </c>
      <c r="P152" s="196"/>
      <c r="Q152" s="184"/>
      <c r="R152" s="184"/>
      <c r="S152" s="184"/>
      <c r="T152" s="184"/>
      <c r="U152" s="184"/>
      <c r="V152" s="184"/>
      <c r="W152" s="197">
        <f>SUM(W146:W151)</f>
        <v>11481.03</v>
      </c>
      <c r="X152" s="197">
        <f>SUM(X146:X151)</f>
        <v>11667.07</v>
      </c>
    </row>
    <row r="153" spans="1:26" x14ac:dyDescent="0.25">
      <c r="A153" s="61">
        <f>A146+1</f>
        <v>45891</v>
      </c>
      <c r="B153" s="313">
        <v>47</v>
      </c>
      <c r="C153" s="313">
        <v>32</v>
      </c>
      <c r="D153" s="127">
        <f>'Data Ocupacion'!AT33</f>
        <v>55</v>
      </c>
      <c r="E153" s="127">
        <f>'Data Ocupacion'!AU33</f>
        <v>24</v>
      </c>
      <c r="F153" s="226" t="s">
        <v>38</v>
      </c>
      <c r="G153" s="227">
        <f t="shared" ref="G153:G158" si="125">D153+E153*2</f>
        <v>103</v>
      </c>
      <c r="H153" s="126">
        <f>B153+C153*2</f>
        <v>111</v>
      </c>
      <c r="I153" s="228">
        <f t="shared" ref="I153:I158" si="126">D153+E153</f>
        <v>79</v>
      </c>
      <c r="J153" s="228">
        <f>G153*M$2</f>
        <v>4442.3900000000003</v>
      </c>
      <c r="K153" s="154">
        <f>I153*M$2</f>
        <v>3407.27</v>
      </c>
      <c r="L153" s="126">
        <f t="shared" ref="L153:L158" si="127">J153*104</f>
        <v>462008.56000000006</v>
      </c>
      <c r="M153" s="126">
        <f t="shared" ref="M153:M158" si="128">I153*104</f>
        <v>8216</v>
      </c>
      <c r="N153" s="19"/>
      <c r="O153" s="19"/>
      <c r="P153" s="147"/>
      <c r="Q153" s="250">
        <v>1</v>
      </c>
      <c r="R153" s="186"/>
      <c r="S153" s="210"/>
      <c r="T153" s="250"/>
      <c r="U153" s="195"/>
      <c r="V153" s="234"/>
      <c r="W153" s="185">
        <f>J153-(Q153*($M$2-$K$1))-(R153*($M$2-$M$1))- (S153*($M$2-$I$2))+ (T153*($G$2))</f>
        <v>4424.6600000000008</v>
      </c>
      <c r="X153" s="185">
        <f>H153*$M$2</f>
        <v>4787.43</v>
      </c>
    </row>
    <row r="154" spans="1:26" ht="15" customHeight="1" x14ac:dyDescent="0.25">
      <c r="A154" s="261"/>
      <c r="B154" s="313">
        <v>45</v>
      </c>
      <c r="C154" s="313">
        <v>33</v>
      </c>
      <c r="D154" s="127">
        <f>'Data Ocupacion'!AT34</f>
        <v>53</v>
      </c>
      <c r="E154" s="127">
        <f>'Data Ocupacion'!AU34</f>
        <v>25</v>
      </c>
      <c r="F154" s="226" t="s">
        <v>52</v>
      </c>
      <c r="G154" s="227">
        <f t="shared" si="125"/>
        <v>103</v>
      </c>
      <c r="H154" s="126">
        <f t="shared" ref="H154:H158" si="129">B154+C154*2</f>
        <v>111</v>
      </c>
      <c r="I154" s="126">
        <f t="shared" si="126"/>
        <v>78</v>
      </c>
      <c r="J154" s="126">
        <f>G154*M$2</f>
        <v>4442.3900000000003</v>
      </c>
      <c r="K154" s="154">
        <f>I154*M$2</f>
        <v>3364.1400000000003</v>
      </c>
      <c r="L154" s="126">
        <f t="shared" si="127"/>
        <v>462008.56000000006</v>
      </c>
      <c r="M154" s="126">
        <f t="shared" si="128"/>
        <v>8112</v>
      </c>
      <c r="N154" s="19"/>
      <c r="O154" s="19"/>
      <c r="P154" s="147"/>
      <c r="Q154" s="190"/>
      <c r="R154" s="190"/>
      <c r="S154" s="190"/>
      <c r="T154" s="250">
        <v>1</v>
      </c>
      <c r="U154" s="208"/>
      <c r="V154" s="235"/>
      <c r="W154" s="188">
        <f>J154-(T154*($M$2-$K$1)+(U154*($M$2-$M$1)))</f>
        <v>4424.6600000000008</v>
      </c>
      <c r="X154" s="185">
        <f>H154*$M$2</f>
        <v>4787.43</v>
      </c>
      <c r="Y154" s="125"/>
      <c r="Z154" s="125"/>
    </row>
    <row r="155" spans="1:26" ht="14.45" customHeight="1" x14ac:dyDescent="0.25">
      <c r="A155" s="261"/>
      <c r="B155" s="313">
        <v>30</v>
      </c>
      <c r="C155" s="313">
        <v>3</v>
      </c>
      <c r="D155" s="127">
        <f>'Data Ocupacion'!AT35</f>
        <v>33</v>
      </c>
      <c r="E155" s="127">
        <f>'Data Ocupacion'!AU35</f>
        <v>0</v>
      </c>
      <c r="F155" s="226" t="s">
        <v>36</v>
      </c>
      <c r="G155" s="227">
        <f t="shared" si="125"/>
        <v>33</v>
      </c>
      <c r="H155" s="126">
        <f t="shared" si="129"/>
        <v>36</v>
      </c>
      <c r="I155" s="126">
        <f t="shared" si="126"/>
        <v>33</v>
      </c>
      <c r="J155" s="126">
        <f>G155*M$1</f>
        <v>960.63</v>
      </c>
      <c r="K155" s="154">
        <f>I155*M$1</f>
        <v>960.63</v>
      </c>
      <c r="L155" s="126">
        <f t="shared" si="127"/>
        <v>99905.52</v>
      </c>
      <c r="M155" s="126">
        <f t="shared" si="128"/>
        <v>3432</v>
      </c>
      <c r="N155" s="19"/>
      <c r="O155" s="19"/>
      <c r="P155" s="147"/>
      <c r="Q155" s="189"/>
      <c r="R155" s="191"/>
      <c r="S155" s="211"/>
      <c r="T155" s="192"/>
      <c r="U155" s="193"/>
      <c r="V155" s="193"/>
      <c r="W155" s="185">
        <f>J155-(Q155*($M$1-$K$1))</f>
        <v>960.63</v>
      </c>
      <c r="X155" s="185">
        <f>H155*$M$1</f>
        <v>1047.96</v>
      </c>
      <c r="Y155" s="125"/>
      <c r="Z155" s="125"/>
    </row>
    <row r="156" spans="1:26" ht="15" customHeight="1" x14ac:dyDescent="0.25">
      <c r="A156" s="261"/>
      <c r="B156" s="313">
        <v>29</v>
      </c>
      <c r="C156" s="313">
        <v>3</v>
      </c>
      <c r="D156" s="127">
        <f>'Data Ocupacion'!AT36</f>
        <v>32</v>
      </c>
      <c r="E156" s="127">
        <f>'Data Ocupacion'!AU36</f>
        <v>0</v>
      </c>
      <c r="F156" s="226" t="s">
        <v>53</v>
      </c>
      <c r="G156" s="227">
        <f t="shared" si="125"/>
        <v>32</v>
      </c>
      <c r="H156" s="126">
        <f t="shared" si="129"/>
        <v>35</v>
      </c>
      <c r="I156" s="126">
        <f t="shared" si="126"/>
        <v>32</v>
      </c>
      <c r="J156" s="126">
        <f>G156*M$1</f>
        <v>931.52</v>
      </c>
      <c r="K156" s="154">
        <f>I156*M$1</f>
        <v>931.52</v>
      </c>
      <c r="L156" s="126">
        <f t="shared" si="127"/>
        <v>96878.080000000002</v>
      </c>
      <c r="M156" s="126">
        <f t="shared" si="128"/>
        <v>3328</v>
      </c>
      <c r="N156" s="19"/>
      <c r="O156" s="19"/>
      <c r="P156" s="147"/>
      <c r="Q156" s="193"/>
      <c r="R156" s="193"/>
      <c r="S156" s="193"/>
      <c r="T156" s="193"/>
      <c r="U156" s="193"/>
      <c r="V156" s="193"/>
      <c r="W156" s="185">
        <f>J156</f>
        <v>931.52</v>
      </c>
      <c r="X156" s="185">
        <f>H156*$M$1</f>
        <v>1018.85</v>
      </c>
      <c r="Y156" s="125"/>
      <c r="Z156" s="125"/>
    </row>
    <row r="157" spans="1:26" ht="13.5" customHeight="1" x14ac:dyDescent="0.25">
      <c r="A157" s="261"/>
      <c r="B157" s="313">
        <v>0</v>
      </c>
      <c r="C157" s="313">
        <v>0</v>
      </c>
      <c r="D157" s="127">
        <f>'Data Ocupacion'!AT37</f>
        <v>0</v>
      </c>
      <c r="E157" s="127">
        <f>'Data Ocupacion'!AU37</f>
        <v>0</v>
      </c>
      <c r="F157" s="226" t="s">
        <v>122</v>
      </c>
      <c r="G157" s="227">
        <f t="shared" si="125"/>
        <v>0</v>
      </c>
      <c r="H157" s="126">
        <f t="shared" si="129"/>
        <v>0</v>
      </c>
      <c r="I157" s="126">
        <f t="shared" si="126"/>
        <v>0</v>
      </c>
      <c r="J157" s="229">
        <f>G157*K$1</f>
        <v>0</v>
      </c>
      <c r="K157" s="154">
        <f>I157*M$1</f>
        <v>0</v>
      </c>
      <c r="L157" s="126">
        <f t="shared" si="127"/>
        <v>0</v>
      </c>
      <c r="M157" s="126">
        <f t="shared" si="128"/>
        <v>0</v>
      </c>
      <c r="N157" s="19"/>
      <c r="O157" s="19"/>
      <c r="P157" s="147"/>
      <c r="Q157" s="193"/>
      <c r="R157" s="193"/>
      <c r="S157" s="193"/>
      <c r="T157" s="193"/>
      <c r="U157" s="193"/>
      <c r="V157" s="193"/>
      <c r="W157" s="185">
        <f>J157</f>
        <v>0</v>
      </c>
      <c r="X157" s="185">
        <f>H157*$K$1</f>
        <v>0</v>
      </c>
      <c r="Y157" s="125"/>
      <c r="Z157" s="125"/>
    </row>
    <row r="158" spans="1:26" ht="15.75" thickBot="1" x14ac:dyDescent="0.3">
      <c r="A158" s="261"/>
      <c r="B158" s="313">
        <v>1</v>
      </c>
      <c r="C158" s="313">
        <v>0</v>
      </c>
      <c r="D158" s="127">
        <f>'Data Ocupacion'!AT38</f>
        <v>1</v>
      </c>
      <c r="E158" s="127">
        <f>'Data Ocupacion'!AU38</f>
        <v>0</v>
      </c>
      <c r="F158" s="226" t="s">
        <v>35</v>
      </c>
      <c r="G158" s="227">
        <f t="shared" si="125"/>
        <v>1</v>
      </c>
      <c r="H158" s="126">
        <f t="shared" si="129"/>
        <v>1</v>
      </c>
      <c r="I158" s="230">
        <f t="shared" si="126"/>
        <v>1</v>
      </c>
      <c r="J158" s="230">
        <f>G158*K$1</f>
        <v>25.4</v>
      </c>
      <c r="K158" s="154">
        <f>I158*K$1</f>
        <v>25.4</v>
      </c>
      <c r="L158" s="126">
        <f t="shared" si="127"/>
        <v>2641.6</v>
      </c>
      <c r="M158" s="126">
        <f t="shared" si="128"/>
        <v>104</v>
      </c>
      <c r="N158" s="19"/>
      <c r="O158" s="19"/>
      <c r="P158" s="147"/>
      <c r="Q158" s="193"/>
      <c r="R158" s="193"/>
      <c r="S158" s="193"/>
      <c r="T158" s="193"/>
      <c r="U158" s="193"/>
      <c r="V158" s="193"/>
      <c r="W158" s="185">
        <f>J158</f>
        <v>25.4</v>
      </c>
      <c r="X158" s="185">
        <f>H158*$K$1</f>
        <v>25.4</v>
      </c>
    </row>
    <row r="159" spans="1:26" s="125" customFormat="1" ht="15.75" thickBot="1" x14ac:dyDescent="0.3">
      <c r="A159" s="20"/>
      <c r="B159" s="120">
        <f>SUM(B153:B158)</f>
        <v>152</v>
      </c>
      <c r="C159" s="120">
        <f>SUM(C153:C158)</f>
        <v>71</v>
      </c>
      <c r="D159" s="149">
        <f>SUM(D153:D158)</f>
        <v>174</v>
      </c>
      <c r="E159" s="149">
        <f>SUM(E153:E158)</f>
        <v>49</v>
      </c>
      <c r="F159" s="120"/>
      <c r="G159" s="120">
        <f t="shared" ref="G159:M159" si="130">SUM(G153:G158)</f>
        <v>272</v>
      </c>
      <c r="H159" s="120">
        <f t="shared" si="130"/>
        <v>294</v>
      </c>
      <c r="I159" s="120">
        <f t="shared" si="130"/>
        <v>223</v>
      </c>
      <c r="J159" s="121">
        <f t="shared" si="130"/>
        <v>10802.33</v>
      </c>
      <c r="K159" s="120">
        <f t="shared" si="130"/>
        <v>8688.9599999999991</v>
      </c>
      <c r="L159" s="120">
        <f t="shared" si="130"/>
        <v>1123442.3200000003</v>
      </c>
      <c r="M159" s="120">
        <f t="shared" si="130"/>
        <v>23192</v>
      </c>
      <c r="N159" s="124">
        <f>'Odometro-Kilometraje'!W81</f>
        <v>11146</v>
      </c>
      <c r="O159" s="21">
        <f>(W159/N159)*100</f>
        <v>96.598510676475868</v>
      </c>
      <c r="P159" s="196"/>
      <c r="Q159" s="184"/>
      <c r="R159" s="184"/>
      <c r="S159" s="184"/>
      <c r="T159" s="184"/>
      <c r="U159" s="184"/>
      <c r="V159" s="184"/>
      <c r="W159" s="197">
        <f>SUM(W153:W158)</f>
        <v>10766.87</v>
      </c>
      <c r="X159" s="197">
        <f>SUM(X153:X158)</f>
        <v>11667.07</v>
      </c>
    </row>
    <row r="160" spans="1:26" s="125" customFormat="1" x14ac:dyDescent="0.25">
      <c r="A160" s="61">
        <f>A153+1</f>
        <v>45892</v>
      </c>
      <c r="B160" s="117">
        <v>69</v>
      </c>
      <c r="C160" s="117">
        <v>3</v>
      </c>
      <c r="D160" s="148">
        <f>'Data Ocupacion'!AV33</f>
        <v>69</v>
      </c>
      <c r="E160" s="148">
        <f>'Data Ocupacion'!AW33</f>
        <v>3</v>
      </c>
      <c r="F160" s="321" t="s">
        <v>38</v>
      </c>
      <c r="G160" s="320">
        <f t="shared" ref="G160:G165" si="131">D160+E160*2</f>
        <v>75</v>
      </c>
      <c r="H160" s="117">
        <f>B160+C160*2</f>
        <v>75</v>
      </c>
      <c r="I160" s="322">
        <f t="shared" ref="I160:I165" si="132">D160+E160</f>
        <v>72</v>
      </c>
      <c r="J160" s="322">
        <f>G160*M$2</f>
        <v>3234.75</v>
      </c>
      <c r="K160" s="154">
        <f>I160*M$2</f>
        <v>3105.36</v>
      </c>
      <c r="L160" s="117">
        <f t="shared" ref="L160:L165" si="133">J160*104</f>
        <v>336414</v>
      </c>
      <c r="M160" s="117">
        <f t="shared" ref="M160:M165" si="134">I160*104</f>
        <v>7488</v>
      </c>
      <c r="N160" s="19"/>
      <c r="O160" s="19"/>
      <c r="P160" s="147"/>
      <c r="Q160" s="186"/>
      <c r="R160" s="186"/>
      <c r="S160" s="210"/>
      <c r="T160" s="250"/>
      <c r="U160" s="195"/>
      <c r="V160" s="234"/>
      <c r="W160" s="185">
        <f>J160-(Q160*($M$2-$K$1))-(R160*($M$2-$M$1))- (S160*($M$2-$I$2))+ (T160*($G$2))</f>
        <v>3234.75</v>
      </c>
      <c r="X160" s="185">
        <f>H160*$M$2</f>
        <v>3234.75</v>
      </c>
    </row>
    <row r="161" spans="1:25" ht="15" customHeight="1" x14ac:dyDescent="0.25">
      <c r="A161" s="221"/>
      <c r="B161" s="117">
        <v>75</v>
      </c>
      <c r="C161" s="117">
        <v>0</v>
      </c>
      <c r="D161" s="148">
        <f>'Data Ocupacion'!AV34</f>
        <v>75</v>
      </c>
      <c r="E161" s="148">
        <f>'Data Ocupacion'!AW34</f>
        <v>0</v>
      </c>
      <c r="F161" s="321" t="s">
        <v>52</v>
      </c>
      <c r="G161" s="320">
        <f t="shared" si="131"/>
        <v>75</v>
      </c>
      <c r="H161" s="117">
        <f t="shared" ref="H161:H165" si="135">B161+C161*2</f>
        <v>75</v>
      </c>
      <c r="I161" s="117">
        <f t="shared" si="132"/>
        <v>75</v>
      </c>
      <c r="J161" s="117">
        <f>G161*M$2</f>
        <v>3234.75</v>
      </c>
      <c r="K161" s="154">
        <f>I161*M$2</f>
        <v>3234.75</v>
      </c>
      <c r="L161" s="117">
        <f t="shared" si="133"/>
        <v>336414</v>
      </c>
      <c r="M161" s="117">
        <f t="shared" si="134"/>
        <v>7800</v>
      </c>
      <c r="N161" s="19"/>
      <c r="O161" s="19"/>
      <c r="P161" s="147"/>
      <c r="Q161" s="190"/>
      <c r="R161" s="190"/>
      <c r="S161" s="222"/>
      <c r="T161" s="186"/>
      <c r="U161" s="222"/>
      <c r="V161" s="235"/>
      <c r="W161" s="188">
        <f>J161-(T161*($M$2-$K$1)+(U161*($M$2-$M$1)))</f>
        <v>3234.75</v>
      </c>
      <c r="X161" s="185">
        <f>H161*$M$2</f>
        <v>3234.75</v>
      </c>
      <c r="Y161" s="173"/>
    </row>
    <row r="162" spans="1:25" ht="15" customHeight="1" x14ac:dyDescent="0.25">
      <c r="A162" s="221"/>
      <c r="B162" s="117">
        <v>0</v>
      </c>
      <c r="C162" s="117">
        <v>0</v>
      </c>
      <c r="D162" s="148">
        <f>'Data Ocupacion'!AV35</f>
        <v>0</v>
      </c>
      <c r="E162" s="148">
        <f>'Data Ocupacion'!AW35</f>
        <v>0</v>
      </c>
      <c r="F162" s="321" t="s">
        <v>36</v>
      </c>
      <c r="G162" s="320">
        <f t="shared" si="131"/>
        <v>0</v>
      </c>
      <c r="H162" s="117">
        <f t="shared" si="135"/>
        <v>0</v>
      </c>
      <c r="I162" s="117">
        <f t="shared" si="132"/>
        <v>0</v>
      </c>
      <c r="J162" s="117">
        <f>G162*M$1</f>
        <v>0</v>
      </c>
      <c r="K162" s="154">
        <f>I162*M$1</f>
        <v>0</v>
      </c>
      <c r="L162" s="117">
        <f t="shared" si="133"/>
        <v>0</v>
      </c>
      <c r="M162" s="117">
        <f t="shared" si="134"/>
        <v>0</v>
      </c>
      <c r="N162" s="19"/>
      <c r="O162" s="19"/>
      <c r="P162" s="147"/>
      <c r="Q162" s="189"/>
      <c r="R162" s="191"/>
      <c r="S162" s="211"/>
      <c r="T162" s="192"/>
      <c r="U162" s="193"/>
      <c r="V162" s="193"/>
      <c r="W162" s="185">
        <f>J162-(Q162*($M$1-$K$1))</f>
        <v>0</v>
      </c>
      <c r="X162" s="185">
        <f>H162*$M$1</f>
        <v>0</v>
      </c>
    </row>
    <row r="163" spans="1:25" ht="15" customHeight="1" x14ac:dyDescent="0.25">
      <c r="A163" s="221"/>
      <c r="B163" s="117">
        <v>0</v>
      </c>
      <c r="C163" s="117">
        <v>0</v>
      </c>
      <c r="D163" s="148">
        <f>'Data Ocupacion'!AV36</f>
        <v>0</v>
      </c>
      <c r="E163" s="148">
        <f>'Data Ocupacion'!AW36</f>
        <v>0</v>
      </c>
      <c r="F163" s="321" t="s">
        <v>53</v>
      </c>
      <c r="G163" s="320">
        <f t="shared" si="131"/>
        <v>0</v>
      </c>
      <c r="H163" s="117">
        <f t="shared" si="135"/>
        <v>0</v>
      </c>
      <c r="I163" s="117">
        <f t="shared" si="132"/>
        <v>0</v>
      </c>
      <c r="J163" s="117">
        <f>G163*M$1</f>
        <v>0</v>
      </c>
      <c r="K163" s="154">
        <f>I163*M$1</f>
        <v>0</v>
      </c>
      <c r="L163" s="117">
        <f t="shared" si="133"/>
        <v>0</v>
      </c>
      <c r="M163" s="117">
        <f t="shared" si="134"/>
        <v>0</v>
      </c>
      <c r="N163" s="19"/>
      <c r="O163" s="19"/>
      <c r="P163" s="147"/>
      <c r="Q163" s="193"/>
      <c r="R163" s="193"/>
      <c r="S163" s="193"/>
      <c r="T163" s="193"/>
      <c r="U163" s="193"/>
      <c r="V163" s="193"/>
      <c r="W163" s="185">
        <f>J163</f>
        <v>0</v>
      </c>
      <c r="X163" s="185">
        <f>H163*$M$1</f>
        <v>0</v>
      </c>
    </row>
    <row r="164" spans="1:25" ht="13.5" customHeight="1" x14ac:dyDescent="0.25">
      <c r="A164" s="221"/>
      <c r="B164" s="117">
        <v>0</v>
      </c>
      <c r="C164" s="117">
        <v>0</v>
      </c>
      <c r="D164" s="148">
        <f>'Data Ocupacion'!AV37</f>
        <v>0</v>
      </c>
      <c r="E164" s="148">
        <f>'Data Ocupacion'!AW37</f>
        <v>0</v>
      </c>
      <c r="F164" s="321" t="s">
        <v>122</v>
      </c>
      <c r="G164" s="320">
        <f t="shared" si="131"/>
        <v>0</v>
      </c>
      <c r="H164" s="117">
        <f t="shared" si="135"/>
        <v>0</v>
      </c>
      <c r="I164" s="117">
        <f t="shared" si="132"/>
        <v>0</v>
      </c>
      <c r="J164" s="323">
        <f>G164*K$1</f>
        <v>0</v>
      </c>
      <c r="K164" s="154">
        <f>I164*K$1</f>
        <v>0</v>
      </c>
      <c r="L164" s="117">
        <f t="shared" si="133"/>
        <v>0</v>
      </c>
      <c r="M164" s="117">
        <f t="shared" si="134"/>
        <v>0</v>
      </c>
      <c r="N164" s="19"/>
      <c r="O164" s="19"/>
      <c r="P164" s="147"/>
      <c r="Q164" s="193"/>
      <c r="R164" s="193"/>
      <c r="S164" s="193"/>
      <c r="T164" s="193"/>
      <c r="U164" s="193"/>
      <c r="V164" s="193"/>
      <c r="W164" s="185">
        <f>J164</f>
        <v>0</v>
      </c>
      <c r="X164" s="185">
        <f>H164*$K$1</f>
        <v>0</v>
      </c>
    </row>
    <row r="165" spans="1:25" ht="12.6" customHeight="1" thickBot="1" x14ac:dyDescent="0.3">
      <c r="A165" s="221"/>
      <c r="B165" s="117">
        <v>0</v>
      </c>
      <c r="C165" s="117">
        <v>0</v>
      </c>
      <c r="D165" s="148">
        <f>'Data Ocupacion'!AV38</f>
        <v>0</v>
      </c>
      <c r="E165" s="148">
        <f>'Data Ocupacion'!AW38</f>
        <v>0</v>
      </c>
      <c r="F165" s="321" t="s">
        <v>35</v>
      </c>
      <c r="G165" s="320">
        <f t="shared" si="131"/>
        <v>0</v>
      </c>
      <c r="H165" s="117">
        <f t="shared" si="135"/>
        <v>0</v>
      </c>
      <c r="I165" s="117">
        <f t="shared" si="132"/>
        <v>0</v>
      </c>
      <c r="J165" s="117">
        <f>G165*K$1</f>
        <v>0</v>
      </c>
      <c r="K165" s="154">
        <f>I165*K$1</f>
        <v>0</v>
      </c>
      <c r="L165" s="117">
        <f t="shared" si="133"/>
        <v>0</v>
      </c>
      <c r="M165" s="117">
        <f t="shared" si="134"/>
        <v>0</v>
      </c>
      <c r="N165" s="19"/>
      <c r="O165" s="19"/>
      <c r="P165" s="147"/>
      <c r="Q165" s="193"/>
      <c r="R165" s="193"/>
      <c r="S165" s="193"/>
      <c r="T165" s="193"/>
      <c r="U165" s="193"/>
      <c r="V165" s="193"/>
      <c r="W165" s="185">
        <f>J165</f>
        <v>0</v>
      </c>
      <c r="X165" s="185">
        <f>H165*$K$1</f>
        <v>0</v>
      </c>
    </row>
    <row r="166" spans="1:25" s="125" customFormat="1" ht="15" customHeight="1" thickBot="1" x14ac:dyDescent="0.3">
      <c r="A166" s="20"/>
      <c r="B166" s="120">
        <f>SUM(B160:B165)</f>
        <v>144</v>
      </c>
      <c r="C166" s="120">
        <f>SUM(C160:C165)</f>
        <v>3</v>
      </c>
      <c r="D166" s="149">
        <f>SUM(D160:D165)</f>
        <v>144</v>
      </c>
      <c r="E166" s="149">
        <f>SUM(E160:E165)</f>
        <v>3</v>
      </c>
      <c r="F166" s="120"/>
      <c r="G166" s="120">
        <f t="shared" ref="G166:M166" si="136">SUM(G160:G165)</f>
        <v>150</v>
      </c>
      <c r="H166" s="120">
        <f t="shared" si="136"/>
        <v>150</v>
      </c>
      <c r="I166" s="120">
        <f t="shared" si="136"/>
        <v>147</v>
      </c>
      <c r="J166" s="121">
        <f t="shared" si="136"/>
        <v>6469.5</v>
      </c>
      <c r="K166" s="120">
        <f t="shared" si="136"/>
        <v>6340.1100000000006</v>
      </c>
      <c r="L166" s="120">
        <f t="shared" si="136"/>
        <v>672828</v>
      </c>
      <c r="M166" s="120">
        <f t="shared" si="136"/>
        <v>15288</v>
      </c>
      <c r="N166" s="124">
        <f>'Odometro-Kilometraje'!X81</f>
        <v>6527</v>
      </c>
      <c r="O166" s="21">
        <f>(W166/N166)*100</f>
        <v>99.119043971196561</v>
      </c>
      <c r="P166" s="196"/>
      <c r="Q166" s="184"/>
      <c r="R166" s="184"/>
      <c r="S166" s="184"/>
      <c r="T166" s="184"/>
      <c r="U166" s="184"/>
      <c r="V166" s="184"/>
      <c r="W166" s="197">
        <f>SUM(W160:W165)</f>
        <v>6469.5</v>
      </c>
      <c r="X166" s="197">
        <f>SUM(X160:X165)</f>
        <v>6469.5</v>
      </c>
    </row>
    <row r="167" spans="1:25" x14ac:dyDescent="0.25">
      <c r="A167" s="61">
        <f>A160+1</f>
        <v>45893</v>
      </c>
      <c r="B167" s="224">
        <v>51</v>
      </c>
      <c r="C167" s="224">
        <v>3</v>
      </c>
      <c r="D167" s="139">
        <f>'Data Ocupacion'!AX33</f>
        <v>51</v>
      </c>
      <c r="E167" s="139">
        <f>'Data Ocupacion'!AY33</f>
        <v>3</v>
      </c>
      <c r="F167" s="224" t="s">
        <v>38</v>
      </c>
      <c r="G167" s="224">
        <f t="shared" ref="G167:G172" si="137">D167+E167*2</f>
        <v>57</v>
      </c>
      <c r="H167" s="224">
        <f>B167+C167*2</f>
        <v>57</v>
      </c>
      <c r="I167" s="224">
        <f t="shared" ref="I167:I172" si="138">D167+E167</f>
        <v>54</v>
      </c>
      <c r="J167" s="224">
        <f>G167*M$2</f>
        <v>2458.4100000000003</v>
      </c>
      <c r="K167" s="154">
        <f>I167*M$2</f>
        <v>2329.02</v>
      </c>
      <c r="L167" s="224">
        <f t="shared" ref="L167:L172" si="139">J167*104</f>
        <v>255674.64000000004</v>
      </c>
      <c r="M167" s="224">
        <f t="shared" ref="M167:M172" si="140">I167*104</f>
        <v>5616</v>
      </c>
      <c r="N167" s="19"/>
      <c r="O167" s="19"/>
      <c r="P167" s="147"/>
      <c r="Q167" s="186"/>
      <c r="R167" s="186"/>
      <c r="S167" s="210"/>
      <c r="T167" s="250"/>
      <c r="U167" s="195"/>
      <c r="V167" s="234"/>
      <c r="W167" s="185">
        <f>J167-(Q167*($M$2-$K$1))-(R167*($M$2-$M$1))- (S167*($M$2-$I$2))+ (T167*($G$2))</f>
        <v>2458.4100000000003</v>
      </c>
      <c r="X167" s="185">
        <f>H167*$M$2</f>
        <v>2458.4100000000003</v>
      </c>
    </row>
    <row r="168" spans="1:25" ht="15" customHeight="1" x14ac:dyDescent="0.25">
      <c r="A168" s="261"/>
      <c r="B168" s="224">
        <v>57</v>
      </c>
      <c r="C168" s="224">
        <v>0</v>
      </c>
      <c r="D168" s="139">
        <f>'Data Ocupacion'!AX34</f>
        <v>57</v>
      </c>
      <c r="E168" s="139">
        <f>'Data Ocupacion'!AY34</f>
        <v>0</v>
      </c>
      <c r="F168" s="224" t="s">
        <v>52</v>
      </c>
      <c r="G168" s="224">
        <f t="shared" si="137"/>
        <v>57</v>
      </c>
      <c r="H168" s="224">
        <f t="shared" ref="H168:H172" si="141">B168+C168*2</f>
        <v>57</v>
      </c>
      <c r="I168" s="224">
        <f t="shared" si="138"/>
        <v>57</v>
      </c>
      <c r="J168" s="224">
        <f>G168*M$2</f>
        <v>2458.4100000000003</v>
      </c>
      <c r="K168" s="154">
        <f>I168*M$2</f>
        <v>2458.4100000000003</v>
      </c>
      <c r="L168" s="224">
        <f t="shared" si="139"/>
        <v>255674.64000000004</v>
      </c>
      <c r="M168" s="224">
        <f t="shared" si="140"/>
        <v>5928</v>
      </c>
      <c r="N168" s="19"/>
      <c r="O168" s="19"/>
      <c r="P168" s="147"/>
      <c r="Q168" s="190"/>
      <c r="R168" s="190"/>
      <c r="S168" s="222"/>
      <c r="T168" s="186"/>
      <c r="U168" s="222"/>
      <c r="V168" s="235"/>
      <c r="W168" s="188">
        <f>J168-(T168*($M$2-$K$1)+(U168*($M$2-$M$1)))</f>
        <v>2458.4100000000003</v>
      </c>
      <c r="X168" s="185">
        <f>H168*$M$2</f>
        <v>2458.4100000000003</v>
      </c>
      <c r="Y168" s="173"/>
    </row>
    <row r="169" spans="1:25" ht="15" customHeight="1" x14ac:dyDescent="0.25">
      <c r="A169" s="261"/>
      <c r="B169" s="224">
        <v>0</v>
      </c>
      <c r="C169" s="224">
        <v>0</v>
      </c>
      <c r="D169" s="139">
        <f>'Data Ocupacion'!AX35</f>
        <v>0</v>
      </c>
      <c r="E169" s="139">
        <f>'Data Ocupacion'!AY35</f>
        <v>0</v>
      </c>
      <c r="F169" s="224" t="s">
        <v>36</v>
      </c>
      <c r="G169" s="224">
        <f t="shared" si="137"/>
        <v>0</v>
      </c>
      <c r="H169" s="224">
        <f t="shared" si="141"/>
        <v>0</v>
      </c>
      <c r="I169" s="224">
        <f t="shared" si="138"/>
        <v>0</v>
      </c>
      <c r="J169" s="224">
        <f>G169*M$1</f>
        <v>0</v>
      </c>
      <c r="K169" s="154">
        <f>I169*M$1</f>
        <v>0</v>
      </c>
      <c r="L169" s="224">
        <f t="shared" si="139"/>
        <v>0</v>
      </c>
      <c r="M169" s="224">
        <f t="shared" si="140"/>
        <v>0</v>
      </c>
      <c r="N169" s="19"/>
      <c r="O169" s="19"/>
      <c r="P169" s="147"/>
      <c r="Q169" s="189"/>
      <c r="R169" s="191"/>
      <c r="S169" s="211"/>
      <c r="T169" s="192"/>
      <c r="U169" s="193"/>
      <c r="V169" s="193"/>
      <c r="W169" s="185">
        <f>J169-(Q169*($M$1-$K$1))</f>
        <v>0</v>
      </c>
      <c r="X169" s="185">
        <f>H169*$M$1</f>
        <v>0</v>
      </c>
    </row>
    <row r="170" spans="1:25" ht="15" customHeight="1" x14ac:dyDescent="0.25">
      <c r="A170" s="261"/>
      <c r="B170" s="224">
        <v>0</v>
      </c>
      <c r="C170" s="224">
        <v>0</v>
      </c>
      <c r="D170" s="139">
        <f>'Data Ocupacion'!AX36</f>
        <v>0</v>
      </c>
      <c r="E170" s="139">
        <f>'Data Ocupacion'!AY36</f>
        <v>0</v>
      </c>
      <c r="F170" s="224" t="s">
        <v>53</v>
      </c>
      <c r="G170" s="224">
        <f t="shared" si="137"/>
        <v>0</v>
      </c>
      <c r="H170" s="224">
        <f t="shared" si="141"/>
        <v>0</v>
      </c>
      <c r="I170" s="224">
        <f t="shared" si="138"/>
        <v>0</v>
      </c>
      <c r="J170" s="224">
        <f>G170*M$1</f>
        <v>0</v>
      </c>
      <c r="K170" s="154">
        <f>I170*M$1</f>
        <v>0</v>
      </c>
      <c r="L170" s="224">
        <f t="shared" si="139"/>
        <v>0</v>
      </c>
      <c r="M170" s="224">
        <f t="shared" si="140"/>
        <v>0</v>
      </c>
      <c r="N170" s="19"/>
      <c r="O170" s="19"/>
      <c r="P170" s="147"/>
      <c r="Q170" s="193"/>
      <c r="R170" s="193"/>
      <c r="S170" s="193"/>
      <c r="T170" s="193"/>
      <c r="U170" s="193"/>
      <c r="V170" s="193"/>
      <c r="W170" s="185">
        <f>J170</f>
        <v>0</v>
      </c>
      <c r="X170" s="185">
        <f>H170*$M$1</f>
        <v>0</v>
      </c>
    </row>
    <row r="171" spans="1:25" ht="15" customHeight="1" x14ac:dyDescent="0.25">
      <c r="A171" s="261"/>
      <c r="B171" s="224">
        <v>0</v>
      </c>
      <c r="C171" s="224">
        <v>0</v>
      </c>
      <c r="D171" s="139">
        <f>'Data Ocupacion'!AX37</f>
        <v>0</v>
      </c>
      <c r="E171" s="139">
        <f>'Data Ocupacion'!AY37</f>
        <v>0</v>
      </c>
      <c r="F171" s="224" t="s">
        <v>122</v>
      </c>
      <c r="G171" s="224">
        <f t="shared" si="137"/>
        <v>0</v>
      </c>
      <c r="H171" s="224">
        <f t="shared" si="141"/>
        <v>0</v>
      </c>
      <c r="I171" s="224">
        <f t="shared" si="138"/>
        <v>0</v>
      </c>
      <c r="J171" s="224">
        <f>G171*K$1</f>
        <v>0</v>
      </c>
      <c r="K171" s="154">
        <f>I171*K$1</f>
        <v>0</v>
      </c>
      <c r="L171" s="224">
        <f t="shared" si="139"/>
        <v>0</v>
      </c>
      <c r="M171" s="224">
        <f t="shared" si="140"/>
        <v>0</v>
      </c>
      <c r="N171" s="19"/>
      <c r="O171" s="19"/>
      <c r="P171" s="147"/>
      <c r="Q171" s="193"/>
      <c r="R171" s="193"/>
      <c r="S171" s="193"/>
      <c r="T171" s="193"/>
      <c r="U171" s="193"/>
      <c r="V171" s="193"/>
      <c r="W171" s="185">
        <f>J171</f>
        <v>0</v>
      </c>
      <c r="X171" s="185">
        <f>H171*$K$1</f>
        <v>0</v>
      </c>
    </row>
    <row r="172" spans="1:25" ht="15.75" thickBot="1" x14ac:dyDescent="0.3">
      <c r="A172" s="261"/>
      <c r="B172" s="224">
        <v>0</v>
      </c>
      <c r="C172" s="224">
        <v>0</v>
      </c>
      <c r="D172" s="139">
        <f>'Data Ocupacion'!AX38</f>
        <v>0</v>
      </c>
      <c r="E172" s="139">
        <f>'Data Ocupacion'!AY38</f>
        <v>0</v>
      </c>
      <c r="F172" s="224" t="s">
        <v>35</v>
      </c>
      <c r="G172" s="224">
        <f t="shared" si="137"/>
        <v>0</v>
      </c>
      <c r="H172" s="224">
        <f t="shared" si="141"/>
        <v>0</v>
      </c>
      <c r="I172" s="224">
        <f t="shared" si="138"/>
        <v>0</v>
      </c>
      <c r="J172" s="224">
        <f>G172*K$1</f>
        <v>0</v>
      </c>
      <c r="K172" s="154">
        <f>I172*K$1</f>
        <v>0</v>
      </c>
      <c r="L172" s="224">
        <f t="shared" si="139"/>
        <v>0</v>
      </c>
      <c r="M172" s="224">
        <f t="shared" si="140"/>
        <v>0</v>
      </c>
      <c r="N172" s="19"/>
      <c r="O172" s="19"/>
      <c r="P172" s="147"/>
      <c r="Q172" s="193"/>
      <c r="R172" s="193"/>
      <c r="S172" s="193"/>
      <c r="T172" s="193"/>
      <c r="U172" s="193"/>
      <c r="V172" s="193"/>
      <c r="W172" s="185">
        <f>J172</f>
        <v>0</v>
      </c>
      <c r="X172" s="185">
        <f>H172*$K$1</f>
        <v>0</v>
      </c>
    </row>
    <row r="173" spans="1:25" s="125" customFormat="1" ht="15.75" thickBot="1" x14ac:dyDescent="0.3">
      <c r="A173" s="20"/>
      <c r="B173" s="120">
        <f>SUM(B167:B172)</f>
        <v>108</v>
      </c>
      <c r="C173" s="120">
        <f>SUM(C167:C172)</f>
        <v>3</v>
      </c>
      <c r="D173" s="149">
        <f>SUM(D167:D172)</f>
        <v>108</v>
      </c>
      <c r="E173" s="149">
        <f>SUM(E167:E172)</f>
        <v>3</v>
      </c>
      <c r="F173" s="120"/>
      <c r="G173" s="120">
        <f t="shared" ref="G173:M173" si="142">SUM(G167:G172)</f>
        <v>114</v>
      </c>
      <c r="H173" s="120">
        <f t="shared" si="142"/>
        <v>114</v>
      </c>
      <c r="I173" s="120">
        <f t="shared" si="142"/>
        <v>111</v>
      </c>
      <c r="J173" s="120">
        <f t="shared" si="142"/>
        <v>4916.8200000000006</v>
      </c>
      <c r="K173" s="120">
        <f t="shared" si="142"/>
        <v>4787.43</v>
      </c>
      <c r="L173" s="120">
        <f t="shared" si="142"/>
        <v>511349.28000000009</v>
      </c>
      <c r="M173" s="120">
        <f t="shared" si="142"/>
        <v>11544</v>
      </c>
      <c r="N173" s="124">
        <f>'Odometro-Kilometraje'!Y81</f>
        <v>4947</v>
      </c>
      <c r="O173" s="21">
        <f>(W173/N173)*100</f>
        <v>99.389933292904814</v>
      </c>
      <c r="P173" s="196"/>
      <c r="Q173" s="184"/>
      <c r="R173" s="184"/>
      <c r="S173" s="184"/>
      <c r="T173" s="184"/>
      <c r="U173" s="184"/>
      <c r="V173" s="184"/>
      <c r="W173" s="197">
        <f>SUM(W167:W172)</f>
        <v>4916.8200000000006</v>
      </c>
      <c r="X173" s="197">
        <f>SUM(X167:X172)</f>
        <v>4916.8200000000006</v>
      </c>
    </row>
    <row r="174" spans="1:25" x14ac:dyDescent="0.25">
      <c r="A174" s="61">
        <f>A167+1</f>
        <v>45894</v>
      </c>
      <c r="B174" s="313">
        <v>47</v>
      </c>
      <c r="C174" s="313">
        <v>32</v>
      </c>
      <c r="D174" s="127">
        <f>'Data Ocupacion'!AZ33</f>
        <v>47</v>
      </c>
      <c r="E174" s="127">
        <f>'Data Ocupacion'!BA33</f>
        <v>32</v>
      </c>
      <c r="F174" s="126" t="s">
        <v>38</v>
      </c>
      <c r="G174" s="126">
        <f t="shared" ref="G174:G179" si="143">D174+E174*2</f>
        <v>111</v>
      </c>
      <c r="H174" s="126">
        <f>B174+C174*2</f>
        <v>111</v>
      </c>
      <c r="I174" s="126">
        <f t="shared" ref="I174:I179" si="144">D174+E174</f>
        <v>79</v>
      </c>
      <c r="J174" s="126">
        <f>G174*M$2</f>
        <v>4787.43</v>
      </c>
      <c r="K174" s="154">
        <f>I174*M$2</f>
        <v>3407.27</v>
      </c>
      <c r="L174" s="126">
        <f t="shared" ref="L174:L179" si="145">J174*104</f>
        <v>497892.72000000003</v>
      </c>
      <c r="M174" s="126">
        <f t="shared" ref="M174:M179" si="146">I174*104</f>
        <v>8216</v>
      </c>
      <c r="N174" s="19"/>
      <c r="O174" s="19"/>
      <c r="P174" s="147"/>
      <c r="Q174" s="186">
        <v>4</v>
      </c>
      <c r="R174" s="186"/>
      <c r="S174" s="210"/>
      <c r="T174" s="250"/>
      <c r="U174" s="195"/>
      <c r="V174" s="234"/>
      <c r="W174" s="185">
        <f>J174-(Q174*($M$2-$K$1))-(R174*($M$2-$M$1))- (S174*($M$2-$I$2))+ (T174*($G$2))</f>
        <v>4716.51</v>
      </c>
      <c r="X174" s="185">
        <f>H174*$M$2</f>
        <v>4787.43</v>
      </c>
    </row>
    <row r="175" spans="1:25" ht="18" customHeight="1" x14ac:dyDescent="0.25">
      <c r="A175" s="206"/>
      <c r="B175" s="313">
        <v>45</v>
      </c>
      <c r="C175" s="313">
        <v>33</v>
      </c>
      <c r="D175" s="127">
        <f>'Data Ocupacion'!AZ34</f>
        <v>45</v>
      </c>
      <c r="E175" s="127">
        <f>'Data Ocupacion'!BA34</f>
        <v>33</v>
      </c>
      <c r="F175" s="126" t="s">
        <v>52</v>
      </c>
      <c r="G175" s="126">
        <f t="shared" si="143"/>
        <v>111</v>
      </c>
      <c r="H175" s="126">
        <f t="shared" ref="H175:H179" si="147">B175+C175*2</f>
        <v>111</v>
      </c>
      <c r="I175" s="126">
        <f t="shared" si="144"/>
        <v>78</v>
      </c>
      <c r="J175" s="126">
        <f>G175*M$2</f>
        <v>4787.43</v>
      </c>
      <c r="K175" s="154">
        <f>I175*M$2</f>
        <v>3364.1400000000003</v>
      </c>
      <c r="L175" s="126">
        <f t="shared" si="145"/>
        <v>497892.72000000003</v>
      </c>
      <c r="M175" s="126">
        <f t="shared" si="146"/>
        <v>8112</v>
      </c>
      <c r="N175" s="19"/>
      <c r="O175" s="19"/>
      <c r="P175" s="147"/>
      <c r="Q175" s="190"/>
      <c r="R175" s="190"/>
      <c r="S175" s="222"/>
      <c r="T175" s="186">
        <v>4</v>
      </c>
      <c r="U175" s="222"/>
      <c r="V175" s="235"/>
      <c r="W175" s="188">
        <f>J175-(T175*($M$2-$K$1)+(U175*($M$2-$M$1)))</f>
        <v>4716.51</v>
      </c>
      <c r="X175" s="185">
        <f>H175*$M$2</f>
        <v>4787.43</v>
      </c>
      <c r="Y175" s="173"/>
    </row>
    <row r="176" spans="1:25" x14ac:dyDescent="0.25">
      <c r="A176" s="206"/>
      <c r="B176" s="313">
        <v>30</v>
      </c>
      <c r="C176" s="313">
        <v>3</v>
      </c>
      <c r="D176" s="127">
        <f>'Data Ocupacion'!AZ35</f>
        <v>30</v>
      </c>
      <c r="E176" s="127">
        <f>'Data Ocupacion'!BA35</f>
        <v>3</v>
      </c>
      <c r="F176" s="126" t="s">
        <v>36</v>
      </c>
      <c r="G176" s="126">
        <f t="shared" si="143"/>
        <v>36</v>
      </c>
      <c r="H176" s="126">
        <f t="shared" si="147"/>
        <v>36</v>
      </c>
      <c r="I176" s="126">
        <f t="shared" si="144"/>
        <v>33</v>
      </c>
      <c r="J176" s="126">
        <f>G176*M$1</f>
        <v>1047.96</v>
      </c>
      <c r="K176" s="154">
        <f>I176*M$1</f>
        <v>960.63</v>
      </c>
      <c r="L176" s="126">
        <f t="shared" si="145"/>
        <v>108987.84</v>
      </c>
      <c r="M176" s="126">
        <f t="shared" si="146"/>
        <v>3432</v>
      </c>
      <c r="N176" s="19"/>
      <c r="O176" s="19"/>
      <c r="P176" s="147"/>
      <c r="Q176" s="189"/>
      <c r="R176" s="191"/>
      <c r="S176" s="211"/>
      <c r="T176" s="192"/>
      <c r="U176" s="193"/>
      <c r="V176" s="193"/>
      <c r="W176" s="185">
        <f>J176-(Q176*($M$1-$K$1))</f>
        <v>1047.96</v>
      </c>
      <c r="X176" s="185">
        <f>H176*$M$1</f>
        <v>1047.96</v>
      </c>
    </row>
    <row r="177" spans="1:30" ht="15" customHeight="1" x14ac:dyDescent="0.25">
      <c r="A177" s="206"/>
      <c r="B177" s="313">
        <v>29</v>
      </c>
      <c r="C177" s="313">
        <v>3</v>
      </c>
      <c r="D177" s="127">
        <f>'Data Ocupacion'!AZ36</f>
        <v>29</v>
      </c>
      <c r="E177" s="127">
        <f>'Data Ocupacion'!BA36</f>
        <v>3</v>
      </c>
      <c r="F177" s="126" t="s">
        <v>53</v>
      </c>
      <c r="G177" s="126">
        <f t="shared" si="143"/>
        <v>35</v>
      </c>
      <c r="H177" s="126">
        <f t="shared" si="147"/>
        <v>35</v>
      </c>
      <c r="I177" s="126">
        <f t="shared" si="144"/>
        <v>32</v>
      </c>
      <c r="J177" s="126">
        <f>G177*M$1</f>
        <v>1018.85</v>
      </c>
      <c r="K177" s="154">
        <f>I177*M$1</f>
        <v>931.52</v>
      </c>
      <c r="L177" s="126">
        <f t="shared" si="145"/>
        <v>105960.40000000001</v>
      </c>
      <c r="M177" s="126">
        <f t="shared" si="146"/>
        <v>3328</v>
      </c>
      <c r="N177" s="19"/>
      <c r="O177" s="19"/>
      <c r="P177" s="147"/>
      <c r="Q177" s="193"/>
      <c r="R177" s="193"/>
      <c r="S177" s="193"/>
      <c r="T177" s="193"/>
      <c r="U177" s="193"/>
      <c r="V177" s="193"/>
      <c r="W177" s="185">
        <f>J177</f>
        <v>1018.85</v>
      </c>
      <c r="X177" s="185">
        <f>H177*$M$1</f>
        <v>1018.85</v>
      </c>
    </row>
    <row r="178" spans="1:30" ht="15.95" customHeight="1" x14ac:dyDescent="0.25">
      <c r="A178" s="206"/>
      <c r="B178" s="313">
        <v>0</v>
      </c>
      <c r="C178" s="313">
        <v>0</v>
      </c>
      <c r="D178" s="127">
        <f>'Data Ocupacion'!AZ37</f>
        <v>0</v>
      </c>
      <c r="E178" s="127">
        <f>'Data Ocupacion'!BA37</f>
        <v>0</v>
      </c>
      <c r="F178" s="126" t="s">
        <v>122</v>
      </c>
      <c r="G178" s="126">
        <f t="shared" si="143"/>
        <v>0</v>
      </c>
      <c r="H178" s="126">
        <f t="shared" si="147"/>
        <v>0</v>
      </c>
      <c r="I178" s="126">
        <f t="shared" si="144"/>
        <v>0</v>
      </c>
      <c r="J178" s="126">
        <f>G178*K$1</f>
        <v>0</v>
      </c>
      <c r="K178" s="154">
        <f>I178*K$1</f>
        <v>0</v>
      </c>
      <c r="L178" s="126">
        <f t="shared" si="145"/>
        <v>0</v>
      </c>
      <c r="M178" s="126">
        <f t="shared" si="146"/>
        <v>0</v>
      </c>
      <c r="N178" s="19"/>
      <c r="O178" s="19"/>
      <c r="P178" s="147"/>
      <c r="Q178" s="193"/>
      <c r="R178" s="193"/>
      <c r="S178" s="193"/>
      <c r="T178" s="193"/>
      <c r="U178" s="193"/>
      <c r="V178" s="193"/>
      <c r="W178" s="185">
        <f>J178</f>
        <v>0</v>
      </c>
      <c r="X178" s="185">
        <f>H178*$K$1</f>
        <v>0</v>
      </c>
    </row>
    <row r="179" spans="1:30" ht="15.75" thickBot="1" x14ac:dyDescent="0.3">
      <c r="A179" s="206"/>
      <c r="B179" s="313">
        <v>1</v>
      </c>
      <c r="C179" s="313">
        <v>0</v>
      </c>
      <c r="D179" s="127">
        <f>'Data Ocupacion'!AZ38</f>
        <v>1</v>
      </c>
      <c r="E179" s="127">
        <f>'Data Ocupacion'!BA38</f>
        <v>0</v>
      </c>
      <c r="F179" s="126" t="s">
        <v>35</v>
      </c>
      <c r="G179" s="126">
        <f t="shared" si="143"/>
        <v>1</v>
      </c>
      <c r="H179" s="126">
        <f t="shared" si="147"/>
        <v>1</v>
      </c>
      <c r="I179" s="126">
        <f t="shared" si="144"/>
        <v>1</v>
      </c>
      <c r="J179" s="126">
        <f>G179*K$1</f>
        <v>25.4</v>
      </c>
      <c r="K179" s="154">
        <f>I179*K$1</f>
        <v>25.4</v>
      </c>
      <c r="L179" s="126">
        <f t="shared" si="145"/>
        <v>2641.6</v>
      </c>
      <c r="M179" s="126">
        <f t="shared" si="146"/>
        <v>104</v>
      </c>
      <c r="N179" s="19"/>
      <c r="O179" s="19"/>
      <c r="P179" s="147"/>
      <c r="Q179" s="193"/>
      <c r="R179" s="193"/>
      <c r="S179" s="193"/>
      <c r="T179" s="193"/>
      <c r="U179" s="193"/>
      <c r="V179" s="193"/>
      <c r="W179" s="185">
        <f>J179</f>
        <v>25.4</v>
      </c>
      <c r="X179" s="185">
        <f>H179*$K$1</f>
        <v>25.4</v>
      </c>
    </row>
    <row r="180" spans="1:30" s="125" customFormat="1" ht="15.75" thickBot="1" x14ac:dyDescent="0.3">
      <c r="A180" s="205"/>
      <c r="B180" s="120">
        <f>SUM(B174:B179)</f>
        <v>152</v>
      </c>
      <c r="C180" s="120">
        <f>SUM(C174:C179)</f>
        <v>71</v>
      </c>
      <c r="D180" s="153">
        <f>SUM(D174:D179)</f>
        <v>152</v>
      </c>
      <c r="E180" s="153">
        <f>SUM(E174:E179)</f>
        <v>71</v>
      </c>
      <c r="F180" s="120"/>
      <c r="G180" s="120">
        <f t="shared" ref="G180:M180" si="148">SUM(G174:G179)</f>
        <v>294</v>
      </c>
      <c r="H180" s="120">
        <f t="shared" si="148"/>
        <v>294</v>
      </c>
      <c r="I180" s="120">
        <f t="shared" si="148"/>
        <v>223</v>
      </c>
      <c r="J180" s="121">
        <f t="shared" si="148"/>
        <v>11667.07</v>
      </c>
      <c r="K180" s="120">
        <f t="shared" si="148"/>
        <v>8688.9599999999991</v>
      </c>
      <c r="L180" s="119">
        <f t="shared" si="148"/>
        <v>1213375.28</v>
      </c>
      <c r="M180" s="152">
        <f t="shared" si="148"/>
        <v>23192</v>
      </c>
      <c r="N180" s="124">
        <f>'Odometro-Kilometraje'!Z81</f>
        <v>11828</v>
      </c>
      <c r="O180" s="21">
        <f>(W180/N180)*100</f>
        <v>97.440226580994249</v>
      </c>
      <c r="P180" s="196"/>
      <c r="Q180" s="184"/>
      <c r="R180" s="184"/>
      <c r="S180" s="184"/>
      <c r="T180" s="184"/>
      <c r="U180" s="184"/>
      <c r="V180" s="184"/>
      <c r="W180" s="197">
        <f>SUM(W174:W179)</f>
        <v>11525.23</v>
      </c>
      <c r="X180" s="197">
        <f>SUM(X174:X179)</f>
        <v>11667.07</v>
      </c>
    </row>
    <row r="181" spans="1:30" x14ac:dyDescent="0.25">
      <c r="A181" s="61">
        <f>A174+1</f>
        <v>45895</v>
      </c>
      <c r="B181" s="313">
        <v>47</v>
      </c>
      <c r="C181" s="313">
        <v>32</v>
      </c>
      <c r="D181" s="127">
        <f>'Data Ocupacion'!BB33</f>
        <v>49</v>
      </c>
      <c r="E181" s="127">
        <f>'Data Ocupacion'!BC33</f>
        <v>31</v>
      </c>
      <c r="F181" s="126" t="s">
        <v>38</v>
      </c>
      <c r="G181" s="126">
        <f t="shared" ref="G181:G186" si="149">D181+E181*2</f>
        <v>111</v>
      </c>
      <c r="H181" s="126">
        <f>B181+C181*2</f>
        <v>111</v>
      </c>
      <c r="I181" s="126">
        <f t="shared" ref="I181:I186" si="150">D181+E181</f>
        <v>80</v>
      </c>
      <c r="J181" s="126">
        <f>G181*M$2</f>
        <v>4787.43</v>
      </c>
      <c r="K181" s="154">
        <f>I181*M$2</f>
        <v>3450.4</v>
      </c>
      <c r="L181" s="126">
        <f t="shared" ref="L181:L186" si="151">J181*104</f>
        <v>497892.72000000003</v>
      </c>
      <c r="M181" s="126">
        <f t="shared" ref="M181:M186" si="152">I181*104</f>
        <v>8320</v>
      </c>
      <c r="N181" s="19"/>
      <c r="O181" s="19"/>
      <c r="P181" s="147"/>
      <c r="Q181" s="336">
        <v>1</v>
      </c>
      <c r="R181" s="186"/>
      <c r="S181" s="210"/>
      <c r="T181" s="250"/>
      <c r="U181" s="195"/>
      <c r="V181" s="234"/>
      <c r="W181" s="185">
        <f>J181-(Q181*($M$2-$K$1))-(R181*($M$2-$M$1))- (S181*($M$2-$I$2))+ (T181*($G$2))</f>
        <v>4769.7000000000007</v>
      </c>
      <c r="X181" s="185">
        <f>H181*$M$2</f>
        <v>4787.43</v>
      </c>
      <c r="Z181" s="125"/>
      <c r="AA181" s="125"/>
      <c r="AB181" s="125"/>
      <c r="AC181" s="125"/>
      <c r="AD181" s="125"/>
    </row>
    <row r="182" spans="1:30" ht="15" customHeight="1" x14ac:dyDescent="0.25">
      <c r="A182" s="261"/>
      <c r="B182" s="313">
        <v>45</v>
      </c>
      <c r="C182" s="313">
        <v>33</v>
      </c>
      <c r="D182" s="127">
        <f>'Data Ocupacion'!BB34</f>
        <v>46</v>
      </c>
      <c r="E182" s="127">
        <f>'Data Ocupacion'!BC34</f>
        <v>32</v>
      </c>
      <c r="F182" s="126" t="s">
        <v>52</v>
      </c>
      <c r="G182" s="126">
        <f t="shared" si="149"/>
        <v>110</v>
      </c>
      <c r="H182" s="126">
        <f t="shared" ref="H182:H186" si="153">B182+C182*2</f>
        <v>111</v>
      </c>
      <c r="I182" s="126">
        <f t="shared" si="150"/>
        <v>78</v>
      </c>
      <c r="J182" s="126">
        <f>G182*M$2</f>
        <v>4744.3</v>
      </c>
      <c r="K182" s="154">
        <f>I182*M$2</f>
        <v>3364.1400000000003</v>
      </c>
      <c r="L182" s="126">
        <f t="shared" si="151"/>
        <v>493407.2</v>
      </c>
      <c r="M182" s="126">
        <f t="shared" si="152"/>
        <v>8112</v>
      </c>
      <c r="N182" s="19"/>
      <c r="O182" s="19"/>
      <c r="P182" s="147"/>
      <c r="Q182" s="222">
        <v>1</v>
      </c>
      <c r="R182" s="190"/>
      <c r="S182" s="222"/>
      <c r="T182" s="337">
        <v>2</v>
      </c>
      <c r="U182" s="336">
        <v>1</v>
      </c>
      <c r="V182" s="210"/>
      <c r="W182" s="185">
        <f>J182-(Q182*($K$1)+(T182*($M$2-$K$1))+(U182*($M$2-$M$1)))</f>
        <v>4669.42</v>
      </c>
      <c r="X182" s="185">
        <f>H182*$M$2</f>
        <v>4787.43</v>
      </c>
      <c r="Z182" s="125"/>
      <c r="AA182" s="125"/>
      <c r="AB182" s="125"/>
      <c r="AC182" s="125"/>
      <c r="AD182" s="125"/>
    </row>
    <row r="183" spans="1:30" x14ac:dyDescent="0.25">
      <c r="A183" s="261"/>
      <c r="B183" s="313">
        <v>30</v>
      </c>
      <c r="C183" s="313">
        <v>3</v>
      </c>
      <c r="D183" s="127">
        <f>'Data Ocupacion'!BB35</f>
        <v>26</v>
      </c>
      <c r="E183" s="127">
        <f>'Data Ocupacion'!BC35</f>
        <v>4</v>
      </c>
      <c r="F183" s="126" t="s">
        <v>36</v>
      </c>
      <c r="G183" s="126">
        <f t="shared" si="149"/>
        <v>34</v>
      </c>
      <c r="H183" s="126">
        <f t="shared" si="153"/>
        <v>36</v>
      </c>
      <c r="I183" s="126">
        <f t="shared" si="150"/>
        <v>30</v>
      </c>
      <c r="J183" s="126">
        <f>G183*M$1</f>
        <v>989.74</v>
      </c>
      <c r="K183" s="154">
        <f>I183*M$1</f>
        <v>873.3</v>
      </c>
      <c r="L183" s="126">
        <f t="shared" si="151"/>
        <v>102932.96</v>
      </c>
      <c r="M183" s="126">
        <f t="shared" si="152"/>
        <v>3120</v>
      </c>
      <c r="N183" s="19"/>
      <c r="O183" s="19" t="s">
        <v>144</v>
      </c>
      <c r="P183" s="147"/>
      <c r="Q183" s="189"/>
      <c r="R183" s="191"/>
      <c r="S183" s="211"/>
      <c r="T183" s="192"/>
      <c r="U183" s="193"/>
      <c r="V183" s="193"/>
      <c r="W183" s="185">
        <f>J183-(Q183*($M$1-$K$1))</f>
        <v>989.74</v>
      </c>
      <c r="X183" s="185">
        <f>H183*$M$1</f>
        <v>1047.96</v>
      </c>
    </row>
    <row r="184" spans="1:30" ht="15" customHeight="1" x14ac:dyDescent="0.25">
      <c r="A184" s="261"/>
      <c r="B184" s="313">
        <v>29</v>
      </c>
      <c r="C184" s="313">
        <v>3</v>
      </c>
      <c r="D184" s="127">
        <f>'Data Ocupacion'!BB36</f>
        <v>27</v>
      </c>
      <c r="E184" s="127">
        <f>'Data Ocupacion'!BC36</f>
        <v>4</v>
      </c>
      <c r="F184" s="126" t="s">
        <v>53</v>
      </c>
      <c r="G184" s="126">
        <f t="shared" si="149"/>
        <v>35</v>
      </c>
      <c r="H184" s="126">
        <f t="shared" si="153"/>
        <v>35</v>
      </c>
      <c r="I184" s="126">
        <f t="shared" si="150"/>
        <v>31</v>
      </c>
      <c r="J184" s="126">
        <f>G184*M$1</f>
        <v>1018.85</v>
      </c>
      <c r="K184" s="154">
        <f>I184*M$1</f>
        <v>902.41</v>
      </c>
      <c r="L184" s="126">
        <f t="shared" si="151"/>
        <v>105960.40000000001</v>
      </c>
      <c r="M184" s="126">
        <f t="shared" si="152"/>
        <v>3224</v>
      </c>
      <c r="N184" s="19"/>
      <c r="O184" s="19"/>
      <c r="P184" s="147"/>
      <c r="Q184" s="193"/>
      <c r="R184" s="193"/>
      <c r="S184" s="193"/>
      <c r="T184" s="193"/>
      <c r="U184" s="193"/>
      <c r="V184" s="193"/>
      <c r="W184" s="185">
        <f>J184</f>
        <v>1018.85</v>
      </c>
      <c r="X184" s="185">
        <f>H184*$M$1</f>
        <v>1018.85</v>
      </c>
    </row>
    <row r="185" spans="1:30" ht="15" customHeight="1" x14ac:dyDescent="0.25">
      <c r="A185" s="261"/>
      <c r="B185" s="313">
        <v>0</v>
      </c>
      <c r="C185" s="313">
        <v>0</v>
      </c>
      <c r="D185" s="127">
        <f>'Data Ocupacion'!BB37</f>
        <v>0</v>
      </c>
      <c r="E185" s="127">
        <f>'Data Ocupacion'!BC37</f>
        <v>0</v>
      </c>
      <c r="F185" s="126" t="s">
        <v>122</v>
      </c>
      <c r="G185" s="126">
        <f t="shared" si="149"/>
        <v>0</v>
      </c>
      <c r="H185" s="126">
        <f t="shared" si="153"/>
        <v>0</v>
      </c>
      <c r="I185" s="126">
        <f t="shared" si="150"/>
        <v>0</v>
      </c>
      <c r="J185" s="126">
        <f>G185*K$1</f>
        <v>0</v>
      </c>
      <c r="K185" s="154">
        <f>I185*K$1</f>
        <v>0</v>
      </c>
      <c r="L185" s="126">
        <f t="shared" si="151"/>
        <v>0</v>
      </c>
      <c r="M185" s="126">
        <f t="shared" si="152"/>
        <v>0</v>
      </c>
      <c r="N185" s="19"/>
      <c r="O185" s="19"/>
      <c r="P185" s="147"/>
      <c r="Q185" s="193"/>
      <c r="R185" s="193"/>
      <c r="S185" s="193"/>
      <c r="T185" s="193"/>
      <c r="U185" s="193"/>
      <c r="V185" s="193"/>
      <c r="W185" s="185">
        <f>J185</f>
        <v>0</v>
      </c>
      <c r="X185" s="185">
        <f>H185*$K$1</f>
        <v>0</v>
      </c>
    </row>
    <row r="186" spans="1:30" ht="15" customHeight="1" thickBot="1" x14ac:dyDescent="0.3">
      <c r="A186" s="261"/>
      <c r="B186" s="313">
        <v>1</v>
      </c>
      <c r="C186" s="313">
        <v>0</v>
      </c>
      <c r="D186" s="127">
        <f>'Data Ocupacion'!BB38</f>
        <v>1</v>
      </c>
      <c r="E186" s="127">
        <f>'Data Ocupacion'!BC38</f>
        <v>0</v>
      </c>
      <c r="F186" s="126" t="s">
        <v>35</v>
      </c>
      <c r="G186" s="126">
        <f t="shared" si="149"/>
        <v>1</v>
      </c>
      <c r="H186" s="126">
        <f t="shared" si="153"/>
        <v>1</v>
      </c>
      <c r="I186" s="126">
        <f t="shared" si="150"/>
        <v>1</v>
      </c>
      <c r="J186" s="126">
        <f>G186*K$1</f>
        <v>25.4</v>
      </c>
      <c r="K186" s="154">
        <f>I186*K$1</f>
        <v>25.4</v>
      </c>
      <c r="L186" s="126">
        <f t="shared" si="151"/>
        <v>2641.6</v>
      </c>
      <c r="M186" s="126">
        <f t="shared" si="152"/>
        <v>104</v>
      </c>
      <c r="N186" s="19"/>
      <c r="O186" s="19"/>
      <c r="P186" s="147"/>
      <c r="Q186" s="193"/>
      <c r="R186" s="193"/>
      <c r="S186" s="193"/>
      <c r="T186" s="193"/>
      <c r="U186" s="193"/>
      <c r="V186" s="193"/>
      <c r="W186" s="185">
        <f>J186</f>
        <v>25.4</v>
      </c>
      <c r="X186" s="185">
        <f>H186*$K$1</f>
        <v>25.4</v>
      </c>
    </row>
    <row r="187" spans="1:30" s="125" customFormat="1" ht="15.75" thickBot="1" x14ac:dyDescent="0.3">
      <c r="A187" s="20"/>
      <c r="B187" s="120">
        <f>SUM(B181:B186)</f>
        <v>152</v>
      </c>
      <c r="C187" s="120">
        <f>SUM(C181:C186)</f>
        <v>71</v>
      </c>
      <c r="D187" s="153">
        <f>SUM(D181:D186)</f>
        <v>149</v>
      </c>
      <c r="E187" s="153">
        <f>SUM(E181:E186)</f>
        <v>71</v>
      </c>
      <c r="F187" s="120"/>
      <c r="G187" s="120">
        <f t="shared" ref="G187:M187" si="154">SUM(G181:G186)</f>
        <v>291</v>
      </c>
      <c r="H187" s="120">
        <f t="shared" si="154"/>
        <v>294</v>
      </c>
      <c r="I187" s="120">
        <f t="shared" si="154"/>
        <v>220</v>
      </c>
      <c r="J187" s="121">
        <f t="shared" si="154"/>
        <v>11565.72</v>
      </c>
      <c r="K187" s="120">
        <f t="shared" si="154"/>
        <v>8615.6500000000015</v>
      </c>
      <c r="L187" s="119">
        <f t="shared" si="154"/>
        <v>1202834.8800000001</v>
      </c>
      <c r="M187" s="152">
        <f t="shared" si="154"/>
        <v>22880</v>
      </c>
      <c r="N187" s="124">
        <f>'Odometro-Kilometraje'!AA81</f>
        <v>12133</v>
      </c>
      <c r="O187" s="21">
        <f>(W187/N187)*100</f>
        <v>94.561196736174082</v>
      </c>
      <c r="P187" s="196"/>
      <c r="Q187" s="184"/>
      <c r="R187" s="184"/>
      <c r="S187" s="184"/>
      <c r="T187" s="184"/>
      <c r="U187" s="184"/>
      <c r="V187" s="184"/>
      <c r="W187" s="197">
        <f>SUM(W181:W186)</f>
        <v>11473.11</v>
      </c>
      <c r="X187" s="197">
        <f>SUM(X181:X186)</f>
        <v>11667.07</v>
      </c>
    </row>
    <row r="188" spans="1:30" x14ac:dyDescent="0.25">
      <c r="A188" s="61">
        <f>A181+1</f>
        <v>45896</v>
      </c>
      <c r="B188" s="313">
        <v>47</v>
      </c>
      <c r="C188" s="313">
        <v>32</v>
      </c>
      <c r="D188" s="127">
        <f>'Data Ocupacion'!BD33</f>
        <v>46</v>
      </c>
      <c r="E188" s="127">
        <f>'Data Ocupacion'!BE33</f>
        <v>33</v>
      </c>
      <c r="F188" s="126" t="s">
        <v>38</v>
      </c>
      <c r="G188" s="126">
        <f t="shared" ref="G188:G193" si="155">D188+E188*2</f>
        <v>112</v>
      </c>
      <c r="H188" s="126">
        <f>B188+C188*2</f>
        <v>111</v>
      </c>
      <c r="I188" s="126">
        <f t="shared" ref="I188:I193" si="156">D188+E188</f>
        <v>79</v>
      </c>
      <c r="J188" s="126">
        <f>G188*M$2</f>
        <v>4830.5600000000004</v>
      </c>
      <c r="K188" s="154">
        <f>I188*M$2</f>
        <v>3407.27</v>
      </c>
      <c r="L188" s="126">
        <f t="shared" ref="L188:L193" si="157">J188*104</f>
        <v>502378.24000000005</v>
      </c>
      <c r="M188" s="126">
        <f t="shared" ref="M188:M193" si="158">I188*104</f>
        <v>8216</v>
      </c>
      <c r="N188" s="19"/>
      <c r="O188" s="19"/>
      <c r="P188" s="147"/>
      <c r="Q188" s="186"/>
      <c r="R188" s="186"/>
      <c r="S188" s="210"/>
      <c r="T188" s="250"/>
      <c r="U188" s="195"/>
      <c r="V188" s="234"/>
      <c r="W188" s="185">
        <f>J188-(Q188*($M$2-$K$1))-(R188*($M$2-$M$1))- (S188*($M$2-$I$2))+ (T188*($G$2))</f>
        <v>4830.5600000000004</v>
      </c>
      <c r="X188" s="185">
        <f>H188*$M$2</f>
        <v>4787.43</v>
      </c>
    </row>
    <row r="189" spans="1:30" ht="18" customHeight="1" x14ac:dyDescent="0.25">
      <c r="A189" s="261"/>
      <c r="B189" s="313">
        <v>45</v>
      </c>
      <c r="C189" s="313">
        <v>33</v>
      </c>
      <c r="D189" s="127">
        <f>'Data Ocupacion'!BD34</f>
        <v>45</v>
      </c>
      <c r="E189" s="127">
        <f>'Data Ocupacion'!BE34</f>
        <v>33</v>
      </c>
      <c r="F189" s="126" t="s">
        <v>52</v>
      </c>
      <c r="G189" s="126">
        <f t="shared" si="155"/>
        <v>111</v>
      </c>
      <c r="H189" s="126">
        <f t="shared" ref="H189:H193" si="159">B189+C189*2</f>
        <v>111</v>
      </c>
      <c r="I189" s="126">
        <f t="shared" si="156"/>
        <v>78</v>
      </c>
      <c r="J189" s="126">
        <f>G189*M$2</f>
        <v>4787.43</v>
      </c>
      <c r="K189" s="154">
        <f>I189*M$2</f>
        <v>3364.1400000000003</v>
      </c>
      <c r="L189" s="126">
        <f t="shared" si="157"/>
        <v>497892.72000000003</v>
      </c>
      <c r="M189" s="126">
        <f t="shared" si="158"/>
        <v>8112</v>
      </c>
      <c r="N189" s="19"/>
      <c r="O189" s="19"/>
      <c r="P189" s="147"/>
      <c r="Q189" s="190"/>
      <c r="R189" s="190"/>
      <c r="S189" s="222"/>
      <c r="T189" s="250">
        <v>2</v>
      </c>
      <c r="U189" s="222"/>
      <c r="V189" s="235"/>
      <c r="W189" s="188">
        <f>J189-(T189*($M$2-$K$1)+(U189*($M$2-$M$1)))</f>
        <v>4751.97</v>
      </c>
      <c r="X189" s="185">
        <f>H189*$M$2</f>
        <v>4787.43</v>
      </c>
    </row>
    <row r="190" spans="1:30" ht="15" customHeight="1" x14ac:dyDescent="0.25">
      <c r="A190" s="261"/>
      <c r="B190" s="313">
        <v>30</v>
      </c>
      <c r="C190" s="313">
        <v>3</v>
      </c>
      <c r="D190" s="127">
        <f>'Data Ocupacion'!BD35</f>
        <v>29</v>
      </c>
      <c r="E190" s="127">
        <f>'Data Ocupacion'!BE35</f>
        <v>4</v>
      </c>
      <c r="F190" s="126" t="s">
        <v>36</v>
      </c>
      <c r="G190" s="126">
        <f t="shared" si="155"/>
        <v>37</v>
      </c>
      <c r="H190" s="126">
        <f t="shared" si="159"/>
        <v>36</v>
      </c>
      <c r="I190" s="126">
        <f t="shared" si="156"/>
        <v>33</v>
      </c>
      <c r="J190" s="126">
        <f>G190*M$1</f>
        <v>1077.07</v>
      </c>
      <c r="K190" s="154">
        <f>I190*M$1</f>
        <v>960.63</v>
      </c>
      <c r="L190" s="126">
        <f t="shared" si="157"/>
        <v>112015.28</v>
      </c>
      <c r="M190" s="126">
        <f t="shared" si="158"/>
        <v>3432</v>
      </c>
      <c r="N190" s="19"/>
      <c r="O190" s="19"/>
      <c r="P190" s="147"/>
      <c r="Q190" s="189"/>
      <c r="R190" s="191"/>
      <c r="S190" s="211"/>
      <c r="T190" s="192"/>
      <c r="U190" s="193"/>
      <c r="V190" s="193"/>
      <c r="W190" s="185">
        <f>J190-(Q190*($M$1-$K$1))</f>
        <v>1077.07</v>
      </c>
      <c r="X190" s="185">
        <f>H190*$M$1</f>
        <v>1047.96</v>
      </c>
    </row>
    <row r="191" spans="1:30" ht="15" customHeight="1" x14ac:dyDescent="0.25">
      <c r="A191" s="261"/>
      <c r="B191" s="313">
        <v>29</v>
      </c>
      <c r="C191" s="313">
        <v>3</v>
      </c>
      <c r="D191" s="127">
        <f>'Data Ocupacion'!BD36</f>
        <v>28</v>
      </c>
      <c r="E191" s="127">
        <f>'Data Ocupacion'!BE36</f>
        <v>4</v>
      </c>
      <c r="F191" s="126" t="s">
        <v>53</v>
      </c>
      <c r="G191" s="126">
        <f t="shared" si="155"/>
        <v>36</v>
      </c>
      <c r="H191" s="126">
        <f t="shared" si="159"/>
        <v>35</v>
      </c>
      <c r="I191" s="126">
        <f t="shared" si="156"/>
        <v>32</v>
      </c>
      <c r="J191" s="126">
        <f>G191*M$1</f>
        <v>1047.96</v>
      </c>
      <c r="K191" s="154">
        <f>I191*M$1</f>
        <v>931.52</v>
      </c>
      <c r="L191" s="126">
        <f t="shared" si="157"/>
        <v>108987.84</v>
      </c>
      <c r="M191" s="126">
        <f t="shared" si="158"/>
        <v>3328</v>
      </c>
      <c r="N191" s="19"/>
      <c r="O191" s="19"/>
      <c r="P191" s="147"/>
      <c r="Q191" s="193"/>
      <c r="R191" s="193"/>
      <c r="S191" s="193"/>
      <c r="T191" s="193"/>
      <c r="U191" s="193"/>
      <c r="V191" s="193"/>
      <c r="W191" s="185">
        <f>J191</f>
        <v>1047.96</v>
      </c>
      <c r="X191" s="185">
        <f>H191*$M$1</f>
        <v>1018.85</v>
      </c>
    </row>
    <row r="192" spans="1:30" ht="15" customHeight="1" x14ac:dyDescent="0.25">
      <c r="A192" s="261"/>
      <c r="B192" s="313">
        <v>0</v>
      </c>
      <c r="C192" s="313">
        <v>0</v>
      </c>
      <c r="D192" s="127">
        <f>'Data Ocupacion'!BD37</f>
        <v>0</v>
      </c>
      <c r="E192" s="127">
        <f>'Data Ocupacion'!BE37</f>
        <v>0</v>
      </c>
      <c r="F192" s="126" t="s">
        <v>122</v>
      </c>
      <c r="G192" s="126">
        <f t="shared" si="155"/>
        <v>0</v>
      </c>
      <c r="H192" s="126">
        <f t="shared" si="159"/>
        <v>0</v>
      </c>
      <c r="I192" s="126">
        <f t="shared" si="156"/>
        <v>0</v>
      </c>
      <c r="J192" s="126">
        <f>G192*K$1</f>
        <v>0</v>
      </c>
      <c r="K192" s="154">
        <f>I192*K$1</f>
        <v>0</v>
      </c>
      <c r="L192" s="126">
        <f t="shared" si="157"/>
        <v>0</v>
      </c>
      <c r="M192" s="126">
        <f t="shared" si="158"/>
        <v>0</v>
      </c>
      <c r="N192" s="19"/>
      <c r="O192" s="19"/>
      <c r="P192" s="147"/>
      <c r="Q192" s="193"/>
      <c r="R192" s="193"/>
      <c r="S192" s="193"/>
      <c r="T192" s="193"/>
      <c r="U192" s="193"/>
      <c r="V192" s="193"/>
      <c r="W192" s="185">
        <f>J192</f>
        <v>0</v>
      </c>
      <c r="X192" s="185">
        <f>H192*$K$1</f>
        <v>0</v>
      </c>
    </row>
    <row r="193" spans="1:25" ht="15.75" customHeight="1" thickBot="1" x14ac:dyDescent="0.3">
      <c r="A193" s="261"/>
      <c r="B193" s="313">
        <v>1</v>
      </c>
      <c r="C193" s="313">
        <v>0</v>
      </c>
      <c r="D193" s="127">
        <f>'Data Ocupacion'!BD38</f>
        <v>1</v>
      </c>
      <c r="E193" s="127">
        <f>'Data Ocupacion'!BE38</f>
        <v>0</v>
      </c>
      <c r="F193" s="126" t="s">
        <v>35</v>
      </c>
      <c r="G193" s="126">
        <f t="shared" si="155"/>
        <v>1</v>
      </c>
      <c r="H193" s="126">
        <f t="shared" si="159"/>
        <v>1</v>
      </c>
      <c r="I193" s="126">
        <f t="shared" si="156"/>
        <v>1</v>
      </c>
      <c r="J193" s="126">
        <f>G193*K$1</f>
        <v>25.4</v>
      </c>
      <c r="K193" s="154">
        <f>I193*K$1</f>
        <v>25.4</v>
      </c>
      <c r="L193" s="126">
        <f t="shared" si="157"/>
        <v>2641.6</v>
      </c>
      <c r="M193" s="126">
        <f t="shared" si="158"/>
        <v>104</v>
      </c>
      <c r="N193" s="19"/>
      <c r="O193" s="19"/>
      <c r="P193" s="147"/>
      <c r="Q193" s="193"/>
      <c r="R193" s="193"/>
      <c r="S193" s="193"/>
      <c r="T193" s="193"/>
      <c r="U193" s="193"/>
      <c r="V193" s="193"/>
      <c r="W193" s="185">
        <f>J193</f>
        <v>25.4</v>
      </c>
      <c r="X193" s="185">
        <f>H193*$K$1</f>
        <v>25.4</v>
      </c>
    </row>
    <row r="194" spans="1:25" s="125" customFormat="1" ht="15.75" thickBot="1" x14ac:dyDescent="0.3">
      <c r="A194" s="20"/>
      <c r="B194" s="120">
        <f>SUM(B188:B193)</f>
        <v>152</v>
      </c>
      <c r="C194" s="120">
        <f>SUM(C188:C193)</f>
        <v>71</v>
      </c>
      <c r="D194" s="153">
        <f>SUM(D188:D193)</f>
        <v>149</v>
      </c>
      <c r="E194" s="153">
        <f>SUM(E188:E193)</f>
        <v>74</v>
      </c>
      <c r="F194" s="120"/>
      <c r="G194" s="120">
        <f t="shared" ref="G194:M194" si="160">SUM(G188:G193)</f>
        <v>297</v>
      </c>
      <c r="H194" s="120">
        <f t="shared" si="160"/>
        <v>294</v>
      </c>
      <c r="I194" s="120">
        <f t="shared" si="160"/>
        <v>223</v>
      </c>
      <c r="J194" s="121">
        <f t="shared" si="160"/>
        <v>11768.42</v>
      </c>
      <c r="K194" s="120">
        <f t="shared" si="160"/>
        <v>8688.9599999999991</v>
      </c>
      <c r="L194" s="119">
        <f t="shared" si="160"/>
        <v>1223915.6800000002</v>
      </c>
      <c r="M194" s="152">
        <f t="shared" si="160"/>
        <v>23192</v>
      </c>
      <c r="N194" s="124">
        <f>'Odometro-Kilometraje'!AB81</f>
        <v>12138</v>
      </c>
      <c r="O194" s="21">
        <f>(W194/N194)*100</f>
        <v>96.663041687263146</v>
      </c>
      <c r="P194" s="196"/>
      <c r="Q194" s="184"/>
      <c r="R194" s="184"/>
      <c r="S194" s="184"/>
      <c r="T194" s="184"/>
      <c r="U194" s="184"/>
      <c r="V194" s="184"/>
      <c r="W194" s="197">
        <f>SUM(W188:W193)</f>
        <v>11732.960000000001</v>
      </c>
      <c r="X194" s="197">
        <f>SUM(X188:X193)</f>
        <v>11667.07</v>
      </c>
    </row>
    <row r="195" spans="1:25" x14ac:dyDescent="0.25">
      <c r="A195" s="61">
        <f>A188+1</f>
        <v>45897</v>
      </c>
      <c r="B195" s="313">
        <v>47</v>
      </c>
      <c r="C195" s="313">
        <v>32</v>
      </c>
      <c r="D195" s="127">
        <f>'Data Ocupacion'!BF33</f>
        <v>47</v>
      </c>
      <c r="E195" s="127">
        <f>'Data Ocupacion'!BG33</f>
        <v>32</v>
      </c>
      <c r="F195" s="226" t="s">
        <v>38</v>
      </c>
      <c r="G195" s="227">
        <f t="shared" ref="G195:G200" si="161">D195+E195*2</f>
        <v>111</v>
      </c>
      <c r="H195" s="126">
        <f>B195+C195*2</f>
        <v>111</v>
      </c>
      <c r="I195" s="228">
        <f t="shared" ref="I195:I200" si="162">D195+E195</f>
        <v>79</v>
      </c>
      <c r="J195" s="228">
        <f>G195*M$2</f>
        <v>4787.43</v>
      </c>
      <c r="K195" s="154">
        <f>I195*M$2</f>
        <v>3407.27</v>
      </c>
      <c r="L195" s="126">
        <f t="shared" ref="L195:L200" si="163">J195*104</f>
        <v>497892.72000000003</v>
      </c>
      <c r="M195" s="126">
        <f t="shared" ref="M195:M200" si="164">I195*104</f>
        <v>8216</v>
      </c>
      <c r="N195" s="19"/>
      <c r="O195" s="19"/>
      <c r="P195" s="147"/>
      <c r="Q195" s="186"/>
      <c r="R195" s="186"/>
      <c r="S195" s="210"/>
      <c r="T195" s="186"/>
      <c r="U195" s="195"/>
      <c r="V195" s="234"/>
      <c r="W195" s="185">
        <f>J195-(Q195*($M$2-$K$1))-(R195*($M$2-$M$1))- (S195*($M$2-$I$2))+ (T195*($G$2))</f>
        <v>4787.43</v>
      </c>
      <c r="X195" s="185">
        <f>H195*$M$2</f>
        <v>4787.43</v>
      </c>
    </row>
    <row r="196" spans="1:25" ht="15" customHeight="1" x14ac:dyDescent="0.25">
      <c r="A196" s="206"/>
      <c r="B196" s="313">
        <v>45</v>
      </c>
      <c r="C196" s="313">
        <v>33</v>
      </c>
      <c r="D196" s="127">
        <f>'Data Ocupacion'!BF34</f>
        <v>47</v>
      </c>
      <c r="E196" s="127">
        <f>'Data Ocupacion'!BG34</f>
        <v>31</v>
      </c>
      <c r="F196" s="226" t="s">
        <v>52</v>
      </c>
      <c r="G196" s="227">
        <f t="shared" si="161"/>
        <v>109</v>
      </c>
      <c r="H196" s="126">
        <f t="shared" ref="H196:H200" si="165">B196+C196*2</f>
        <v>111</v>
      </c>
      <c r="I196" s="126">
        <f t="shared" si="162"/>
        <v>78</v>
      </c>
      <c r="J196" s="126">
        <f>G196*M$2</f>
        <v>4701.17</v>
      </c>
      <c r="K196" s="154">
        <f>I196*M$2</f>
        <v>3364.1400000000003</v>
      </c>
      <c r="L196" s="126">
        <f t="shared" si="163"/>
        <v>488921.68</v>
      </c>
      <c r="M196" s="126">
        <f t="shared" si="164"/>
        <v>8112</v>
      </c>
      <c r="N196" s="19"/>
      <c r="O196" s="19"/>
      <c r="P196" s="147"/>
      <c r="Q196" s="190"/>
      <c r="R196" s="190"/>
      <c r="S196" s="222"/>
      <c r="T196" s="186"/>
      <c r="U196" s="222"/>
      <c r="V196" s="235"/>
      <c r="W196" s="188">
        <f>J196-(T196*($M$2-$K$1)+(U196*($M$2-$M$1)))</f>
        <v>4701.17</v>
      </c>
      <c r="X196" s="185">
        <f>H196*$M$2</f>
        <v>4787.43</v>
      </c>
    </row>
    <row r="197" spans="1:25" ht="15" customHeight="1" x14ac:dyDescent="0.25">
      <c r="A197" s="206"/>
      <c r="B197" s="313">
        <v>30</v>
      </c>
      <c r="C197" s="313">
        <v>3</v>
      </c>
      <c r="D197" s="127">
        <f>'Data Ocupacion'!BF35</f>
        <v>30</v>
      </c>
      <c r="E197" s="127">
        <f>'Data Ocupacion'!BG35</f>
        <v>3</v>
      </c>
      <c r="F197" s="226" t="s">
        <v>36</v>
      </c>
      <c r="G197" s="227">
        <f t="shared" si="161"/>
        <v>36</v>
      </c>
      <c r="H197" s="126">
        <f t="shared" si="165"/>
        <v>36</v>
      </c>
      <c r="I197" s="126">
        <f t="shared" si="162"/>
        <v>33</v>
      </c>
      <c r="J197" s="126">
        <f>G197*M$1</f>
        <v>1047.96</v>
      </c>
      <c r="K197" s="154">
        <f>I197*M$1</f>
        <v>960.63</v>
      </c>
      <c r="L197" s="126">
        <f t="shared" si="163"/>
        <v>108987.84</v>
      </c>
      <c r="M197" s="126">
        <f t="shared" si="164"/>
        <v>3432</v>
      </c>
      <c r="N197" s="19"/>
      <c r="O197" s="19" t="s">
        <v>144</v>
      </c>
      <c r="P197" s="147"/>
      <c r="Q197" s="189"/>
      <c r="R197" s="191"/>
      <c r="S197" s="211"/>
      <c r="T197" s="192"/>
      <c r="U197" s="193"/>
      <c r="V197" s="193"/>
      <c r="W197" s="185">
        <f>J197-(Q197*($M$1-$K$1))</f>
        <v>1047.96</v>
      </c>
      <c r="X197" s="185">
        <f>H197*$M$1</f>
        <v>1047.96</v>
      </c>
    </row>
    <row r="198" spans="1:25" ht="15" customHeight="1" x14ac:dyDescent="0.25">
      <c r="A198" s="206"/>
      <c r="B198" s="313">
        <v>29</v>
      </c>
      <c r="C198" s="313">
        <v>3</v>
      </c>
      <c r="D198" s="127">
        <f>'Data Ocupacion'!BF36</f>
        <v>29</v>
      </c>
      <c r="E198" s="127">
        <f>'Data Ocupacion'!BG36</f>
        <v>3</v>
      </c>
      <c r="F198" s="226" t="s">
        <v>53</v>
      </c>
      <c r="G198" s="227">
        <f t="shared" si="161"/>
        <v>35</v>
      </c>
      <c r="H198" s="126">
        <f t="shared" si="165"/>
        <v>35</v>
      </c>
      <c r="I198" s="126">
        <f t="shared" si="162"/>
        <v>32</v>
      </c>
      <c r="J198" s="126">
        <f>G198*M$1</f>
        <v>1018.85</v>
      </c>
      <c r="K198" s="154">
        <f>I198*M$1</f>
        <v>931.52</v>
      </c>
      <c r="L198" s="126">
        <f t="shared" si="163"/>
        <v>105960.40000000001</v>
      </c>
      <c r="M198" s="126">
        <f t="shared" si="164"/>
        <v>3328</v>
      </c>
      <c r="N198" s="19"/>
      <c r="O198" s="19" t="s">
        <v>144</v>
      </c>
      <c r="P198" s="147"/>
      <c r="Q198" s="193"/>
      <c r="R198" s="193"/>
      <c r="S198" s="193"/>
      <c r="T198" s="193"/>
      <c r="U198" s="193"/>
      <c r="V198" s="193"/>
      <c r="W198" s="185">
        <f>J198</f>
        <v>1018.85</v>
      </c>
      <c r="X198" s="185">
        <f>H198*$M$1</f>
        <v>1018.85</v>
      </c>
    </row>
    <row r="199" spans="1:25" ht="15" customHeight="1" x14ac:dyDescent="0.25">
      <c r="A199" s="206"/>
      <c r="B199" s="313">
        <v>0</v>
      </c>
      <c r="C199" s="313">
        <v>0</v>
      </c>
      <c r="D199" s="127">
        <f>'Data Ocupacion'!BF37</f>
        <v>0</v>
      </c>
      <c r="E199" s="127">
        <f>'Data Ocupacion'!BG37</f>
        <v>0</v>
      </c>
      <c r="F199" s="226" t="s">
        <v>122</v>
      </c>
      <c r="G199" s="227">
        <f t="shared" si="161"/>
        <v>0</v>
      </c>
      <c r="H199" s="126">
        <f t="shared" si="165"/>
        <v>0</v>
      </c>
      <c r="I199" s="126">
        <f t="shared" si="162"/>
        <v>0</v>
      </c>
      <c r="J199" s="229">
        <f>G199*K$1</f>
        <v>0</v>
      </c>
      <c r="K199" s="154">
        <f>I199*K$1</f>
        <v>0</v>
      </c>
      <c r="L199" s="126">
        <f t="shared" si="163"/>
        <v>0</v>
      </c>
      <c r="M199" s="126">
        <f t="shared" si="164"/>
        <v>0</v>
      </c>
      <c r="N199" s="19"/>
      <c r="O199" s="19"/>
      <c r="P199" s="147"/>
      <c r="Q199" s="193"/>
      <c r="R199" s="193"/>
      <c r="S199" s="193"/>
      <c r="T199" s="193"/>
      <c r="U199" s="193"/>
      <c r="V199" s="193"/>
      <c r="W199" s="185">
        <f>J199</f>
        <v>0</v>
      </c>
      <c r="X199" s="185">
        <f>H199*$K$1</f>
        <v>0</v>
      </c>
    </row>
    <row r="200" spans="1:25" ht="15.75" customHeight="1" thickBot="1" x14ac:dyDescent="0.3">
      <c r="A200" s="206"/>
      <c r="B200" s="313">
        <v>1</v>
      </c>
      <c r="C200" s="313">
        <v>0</v>
      </c>
      <c r="D200" s="127">
        <f>'Data Ocupacion'!BF38</f>
        <v>1</v>
      </c>
      <c r="E200" s="127">
        <f>'Data Ocupacion'!BG38</f>
        <v>0</v>
      </c>
      <c r="F200" s="226" t="s">
        <v>35</v>
      </c>
      <c r="G200" s="227">
        <f t="shared" si="161"/>
        <v>1</v>
      </c>
      <c r="H200" s="126">
        <f t="shared" si="165"/>
        <v>1</v>
      </c>
      <c r="I200" s="230">
        <f t="shared" si="162"/>
        <v>1</v>
      </c>
      <c r="J200" s="230">
        <f>G200*K$1</f>
        <v>25.4</v>
      </c>
      <c r="K200" s="154">
        <f>I200*K$1</f>
        <v>25.4</v>
      </c>
      <c r="L200" s="126">
        <f t="shared" si="163"/>
        <v>2641.6</v>
      </c>
      <c r="M200" s="126">
        <f t="shared" si="164"/>
        <v>104</v>
      </c>
      <c r="N200" s="19"/>
      <c r="O200" s="19"/>
      <c r="P200" s="147"/>
      <c r="Q200" s="193"/>
      <c r="R200" s="193"/>
      <c r="S200" s="193"/>
      <c r="T200" s="193"/>
      <c r="U200" s="193"/>
      <c r="V200" s="193"/>
      <c r="W200" s="185">
        <f>J200</f>
        <v>25.4</v>
      </c>
      <c r="X200" s="185">
        <f>H200*$K$1</f>
        <v>25.4</v>
      </c>
    </row>
    <row r="201" spans="1:25" s="125" customFormat="1" ht="15.75" thickBot="1" x14ac:dyDescent="0.3">
      <c r="A201" s="20"/>
      <c r="B201" s="120">
        <f>SUM(B195:B200)</f>
        <v>152</v>
      </c>
      <c r="C201" s="120">
        <f>SUM(C195:C200)</f>
        <v>71</v>
      </c>
      <c r="D201" s="149">
        <f>SUM(D195:D200)</f>
        <v>154</v>
      </c>
      <c r="E201" s="149">
        <f>SUM(E195:E200)</f>
        <v>69</v>
      </c>
      <c r="F201" s="120"/>
      <c r="G201" s="120">
        <f t="shared" ref="G201:M201" si="166">SUM(G195:G200)</f>
        <v>292</v>
      </c>
      <c r="H201" s="120">
        <f t="shared" si="166"/>
        <v>294</v>
      </c>
      <c r="I201" s="120">
        <f t="shared" si="166"/>
        <v>223</v>
      </c>
      <c r="J201" s="120">
        <f t="shared" si="166"/>
        <v>11580.810000000001</v>
      </c>
      <c r="K201" s="120">
        <f t="shared" si="166"/>
        <v>8688.9599999999991</v>
      </c>
      <c r="L201" s="120">
        <f t="shared" si="166"/>
        <v>1204404.24</v>
      </c>
      <c r="M201" s="120">
        <f t="shared" si="166"/>
        <v>23192</v>
      </c>
      <c r="N201" s="124">
        <f>'Odometro-Kilometraje'!AC81</f>
        <v>12064</v>
      </c>
      <c r="O201" s="21">
        <f>(W201/N201)*100</f>
        <v>95.994777851458906</v>
      </c>
      <c r="P201" s="196"/>
      <c r="Q201" s="184"/>
      <c r="R201" s="184"/>
      <c r="S201" s="184"/>
      <c r="T201" s="184"/>
      <c r="U201" s="184"/>
      <c r="V201" s="184"/>
      <c r="W201" s="197">
        <f>SUM(W195:W200)</f>
        <v>11580.810000000001</v>
      </c>
      <c r="X201" s="197">
        <f>SUM(X195:X200)</f>
        <v>11667.07</v>
      </c>
    </row>
    <row r="202" spans="1:25" x14ac:dyDescent="0.25">
      <c r="A202" s="61">
        <f>A195+1</f>
        <v>45898</v>
      </c>
      <c r="B202" s="313">
        <v>47</v>
      </c>
      <c r="C202" s="313">
        <v>32</v>
      </c>
      <c r="D202" s="127">
        <f>'Data Ocupacion'!BH33</f>
        <v>47</v>
      </c>
      <c r="E202" s="127">
        <f>'Data Ocupacion'!BI33</f>
        <v>32</v>
      </c>
      <c r="F202" s="226" t="s">
        <v>38</v>
      </c>
      <c r="G202" s="227">
        <f t="shared" ref="G202:G207" si="167">D202+E202*2</f>
        <v>111</v>
      </c>
      <c r="H202" s="126">
        <f>B202+C202*2</f>
        <v>111</v>
      </c>
      <c r="I202" s="228">
        <f t="shared" ref="I202:I207" si="168">D202+E202</f>
        <v>79</v>
      </c>
      <c r="J202" s="228">
        <f>G202*M$2</f>
        <v>4787.43</v>
      </c>
      <c r="K202" s="154">
        <f>I202*M$2</f>
        <v>3407.27</v>
      </c>
      <c r="L202" s="126">
        <f t="shared" ref="L202:L207" si="169">J202*104</f>
        <v>497892.72000000003</v>
      </c>
      <c r="M202" s="126">
        <f t="shared" ref="M202:M207" si="170">I202*104</f>
        <v>8216</v>
      </c>
      <c r="N202" s="19"/>
      <c r="O202" s="19"/>
      <c r="P202" s="147"/>
      <c r="Q202" s="186">
        <v>5</v>
      </c>
      <c r="R202" s="186"/>
      <c r="S202" s="210"/>
      <c r="T202" s="250"/>
      <c r="U202" s="195"/>
      <c r="V202" s="234"/>
      <c r="W202" s="185">
        <f>J202-(Q202*($M$2-$K$1))-(R202*($M$2-$M$1))- (S202*($M$2-$I$2))+ (T202*($G$2))</f>
        <v>4698.7800000000007</v>
      </c>
      <c r="X202" s="185">
        <f>H202*$M$2</f>
        <v>4787.43</v>
      </c>
    </row>
    <row r="203" spans="1:25" ht="15" customHeight="1" x14ac:dyDescent="0.25">
      <c r="A203" s="206"/>
      <c r="B203" s="313">
        <v>45</v>
      </c>
      <c r="C203" s="313">
        <v>33</v>
      </c>
      <c r="D203" s="127">
        <f>'Data Ocupacion'!BH34</f>
        <v>45</v>
      </c>
      <c r="E203" s="127">
        <f>'Data Ocupacion'!BI34</f>
        <v>33</v>
      </c>
      <c r="F203" s="226" t="s">
        <v>52</v>
      </c>
      <c r="G203" s="227">
        <f t="shared" si="167"/>
        <v>111</v>
      </c>
      <c r="H203" s="126">
        <f t="shared" ref="H203:H207" si="171">B203+C203*2</f>
        <v>111</v>
      </c>
      <c r="I203" s="126">
        <f t="shared" si="168"/>
        <v>78</v>
      </c>
      <c r="J203" s="126">
        <f>G203*M$2</f>
        <v>4787.43</v>
      </c>
      <c r="K203" s="154">
        <f>I203*M$2</f>
        <v>3364.1400000000003</v>
      </c>
      <c r="L203" s="126">
        <f t="shared" si="169"/>
        <v>497892.72000000003</v>
      </c>
      <c r="M203" s="126">
        <f t="shared" si="170"/>
        <v>8112</v>
      </c>
      <c r="N203" s="19"/>
      <c r="O203" s="19"/>
      <c r="P203" s="147"/>
      <c r="Q203" s="190"/>
      <c r="R203" s="190"/>
      <c r="S203" s="222"/>
      <c r="T203" s="186">
        <v>5</v>
      </c>
      <c r="U203" s="222"/>
      <c r="V203" s="235"/>
      <c r="W203" s="188">
        <f>J203-(T203*($M$2-$K$1)+(U203*($M$2-$M$1)))</f>
        <v>4698.7800000000007</v>
      </c>
      <c r="X203" s="185">
        <f>H203*$M$2</f>
        <v>4787.43</v>
      </c>
    </row>
    <row r="204" spans="1:25" s="125" customFormat="1" ht="16.149999999999999" customHeight="1" x14ac:dyDescent="0.25">
      <c r="A204" s="206"/>
      <c r="B204" s="313">
        <v>30</v>
      </c>
      <c r="C204" s="313">
        <v>3</v>
      </c>
      <c r="D204" s="127">
        <f>'Data Ocupacion'!BH35</f>
        <v>30</v>
      </c>
      <c r="E204" s="127">
        <f>'Data Ocupacion'!BI35</f>
        <v>3</v>
      </c>
      <c r="F204" s="226" t="s">
        <v>36</v>
      </c>
      <c r="G204" s="227">
        <f t="shared" si="167"/>
        <v>36</v>
      </c>
      <c r="H204" s="126">
        <f t="shared" si="171"/>
        <v>36</v>
      </c>
      <c r="I204" s="126">
        <f t="shared" si="168"/>
        <v>33</v>
      </c>
      <c r="J204" s="126">
        <f>G204*M$1</f>
        <v>1047.96</v>
      </c>
      <c r="K204" s="154">
        <f>I204*M$1</f>
        <v>960.63</v>
      </c>
      <c r="L204" s="126">
        <f t="shared" si="169"/>
        <v>108987.84</v>
      </c>
      <c r="M204" s="126">
        <f t="shared" si="170"/>
        <v>3432</v>
      </c>
      <c r="N204" s="19"/>
      <c r="O204" s="19" t="s">
        <v>144</v>
      </c>
      <c r="P204" s="147"/>
      <c r="Q204" s="189"/>
      <c r="R204" s="191"/>
      <c r="S204" s="211"/>
      <c r="T204" s="192"/>
      <c r="U204" s="193"/>
      <c r="V204" s="193"/>
      <c r="W204" s="185">
        <f>J204-(Q204*($M$1-$K$1))</f>
        <v>1047.96</v>
      </c>
      <c r="X204" s="185">
        <f>H204*$M$1</f>
        <v>1047.96</v>
      </c>
    </row>
    <row r="205" spans="1:25" s="125" customFormat="1" ht="15" customHeight="1" x14ac:dyDescent="0.25">
      <c r="A205" s="206"/>
      <c r="B205" s="313">
        <v>29</v>
      </c>
      <c r="C205" s="313">
        <v>3</v>
      </c>
      <c r="D205" s="127">
        <f>'Data Ocupacion'!BH36</f>
        <v>29</v>
      </c>
      <c r="E205" s="127">
        <f>'Data Ocupacion'!BI36</f>
        <v>3</v>
      </c>
      <c r="F205" s="226" t="s">
        <v>53</v>
      </c>
      <c r="G205" s="227">
        <f t="shared" si="167"/>
        <v>35</v>
      </c>
      <c r="H205" s="126">
        <f t="shared" si="171"/>
        <v>35</v>
      </c>
      <c r="I205" s="126">
        <f t="shared" si="168"/>
        <v>32</v>
      </c>
      <c r="J205" s="126">
        <f>G205*M$1</f>
        <v>1018.85</v>
      </c>
      <c r="K205" s="154">
        <f>I205*M$1</f>
        <v>931.52</v>
      </c>
      <c r="L205" s="126">
        <f t="shared" si="169"/>
        <v>105960.40000000001</v>
      </c>
      <c r="M205" s="126">
        <f t="shared" si="170"/>
        <v>3328</v>
      </c>
      <c r="N205" s="19"/>
      <c r="O205" s="19" t="s">
        <v>144</v>
      </c>
      <c r="P205" s="147"/>
      <c r="Q205" s="193"/>
      <c r="R205" s="193"/>
      <c r="S205" s="193"/>
      <c r="T205" s="193"/>
      <c r="U205" s="193"/>
      <c r="V205" s="193"/>
      <c r="W205" s="185">
        <f>J205</f>
        <v>1018.85</v>
      </c>
      <c r="X205" s="185">
        <f>H205*$M$1</f>
        <v>1018.85</v>
      </c>
    </row>
    <row r="206" spans="1:25" s="125" customFormat="1" x14ac:dyDescent="0.25">
      <c r="A206" s="206"/>
      <c r="B206" s="313">
        <v>0</v>
      </c>
      <c r="C206" s="313">
        <v>0</v>
      </c>
      <c r="D206" s="127">
        <f>'Data Ocupacion'!BH37</f>
        <v>0</v>
      </c>
      <c r="E206" s="127">
        <f>'Data Ocupacion'!BI37</f>
        <v>0</v>
      </c>
      <c r="F206" s="226" t="s">
        <v>122</v>
      </c>
      <c r="G206" s="227">
        <f t="shared" si="167"/>
        <v>0</v>
      </c>
      <c r="H206" s="126">
        <f t="shared" si="171"/>
        <v>0</v>
      </c>
      <c r="I206" s="126">
        <f t="shared" si="168"/>
        <v>0</v>
      </c>
      <c r="J206" s="229">
        <f>G206*K$1</f>
        <v>0</v>
      </c>
      <c r="K206" s="154">
        <f>I206*K$1</f>
        <v>0</v>
      </c>
      <c r="L206" s="126">
        <f t="shared" si="169"/>
        <v>0</v>
      </c>
      <c r="M206" s="126">
        <f t="shared" si="170"/>
        <v>0</v>
      </c>
      <c r="N206" s="19"/>
      <c r="O206" s="19"/>
      <c r="P206" s="147"/>
      <c r="Q206" s="193"/>
      <c r="R206" s="193"/>
      <c r="S206" s="193"/>
      <c r="T206" s="193"/>
      <c r="U206" s="193"/>
      <c r="V206" s="193"/>
      <c r="W206" s="185">
        <f>J206</f>
        <v>0</v>
      </c>
      <c r="X206" s="185">
        <f>H206*$K$1</f>
        <v>0</v>
      </c>
    </row>
    <row r="207" spans="1:25" s="125" customFormat="1" ht="15.75" thickBot="1" x14ac:dyDescent="0.3">
      <c r="A207" s="206"/>
      <c r="B207" s="313">
        <v>1</v>
      </c>
      <c r="C207" s="313">
        <v>0</v>
      </c>
      <c r="D207" s="127">
        <f>'Data Ocupacion'!BH38</f>
        <v>1</v>
      </c>
      <c r="E207" s="127">
        <f>'Data Ocupacion'!BI38</f>
        <v>0</v>
      </c>
      <c r="F207" s="226" t="s">
        <v>35</v>
      </c>
      <c r="G207" s="227">
        <f t="shared" si="167"/>
        <v>1</v>
      </c>
      <c r="H207" s="126">
        <f t="shared" si="171"/>
        <v>1</v>
      </c>
      <c r="I207" s="230">
        <f t="shared" si="168"/>
        <v>1</v>
      </c>
      <c r="J207" s="230">
        <f>G207*K$1</f>
        <v>25.4</v>
      </c>
      <c r="K207" s="154">
        <f>I207*K$1</f>
        <v>25.4</v>
      </c>
      <c r="L207" s="126">
        <f t="shared" si="169"/>
        <v>2641.6</v>
      </c>
      <c r="M207" s="126">
        <f t="shared" si="170"/>
        <v>104</v>
      </c>
      <c r="N207" s="19"/>
      <c r="O207" s="19"/>
      <c r="P207" s="147"/>
      <c r="Q207" s="193"/>
      <c r="R207" s="193"/>
      <c r="S207" s="193"/>
      <c r="T207" s="193"/>
      <c r="U207" s="193"/>
      <c r="V207" s="193"/>
      <c r="W207" s="185">
        <f>J207</f>
        <v>25.4</v>
      </c>
      <c r="X207" s="185">
        <f>H207*$K$1</f>
        <v>25.4</v>
      </c>
    </row>
    <row r="208" spans="1:25" s="125" customFormat="1" ht="14.25" customHeight="1" thickBot="1" x14ac:dyDescent="0.3">
      <c r="A208" s="20"/>
      <c r="B208" s="120">
        <f>SUM(B202:B207)</f>
        <v>152</v>
      </c>
      <c r="C208" s="120">
        <f>SUM(C202:C207)</f>
        <v>71</v>
      </c>
      <c r="D208" s="149">
        <f>SUM(D202:D207)</f>
        <v>152</v>
      </c>
      <c r="E208" s="149">
        <f>SUM(E202:E207)</f>
        <v>71</v>
      </c>
      <c r="F208" s="120"/>
      <c r="G208" s="120">
        <f t="shared" ref="G208:M208" si="172">SUM(G202:G207)</f>
        <v>294</v>
      </c>
      <c r="H208" s="120">
        <f t="shared" si="172"/>
        <v>294</v>
      </c>
      <c r="I208" s="120">
        <f t="shared" si="172"/>
        <v>223</v>
      </c>
      <c r="J208" s="120">
        <f t="shared" si="172"/>
        <v>11667.07</v>
      </c>
      <c r="K208" s="120">
        <f t="shared" si="172"/>
        <v>8688.9599999999991</v>
      </c>
      <c r="L208" s="120">
        <f t="shared" si="172"/>
        <v>1213375.28</v>
      </c>
      <c r="M208" s="120">
        <f t="shared" si="172"/>
        <v>23192</v>
      </c>
      <c r="N208" s="124">
        <f>'Odometro-Kilometraje'!AD81</f>
        <v>11839</v>
      </c>
      <c r="O208" s="21">
        <f>(W208/N208)*100</f>
        <v>97.050173156516607</v>
      </c>
      <c r="P208" s="196"/>
      <c r="Q208" s="184"/>
      <c r="R208" s="184"/>
      <c r="S208" s="184"/>
      <c r="T208" s="184"/>
      <c r="U208" s="184"/>
      <c r="V208" s="184"/>
      <c r="W208" s="197">
        <f>SUM(W202:W207)</f>
        <v>11489.77</v>
      </c>
      <c r="X208" s="197">
        <f>SUM(X202:X207)</f>
        <v>11667.07</v>
      </c>
      <c r="Y208" s="249"/>
    </row>
    <row r="209" spans="1:25" s="125" customFormat="1" x14ac:dyDescent="0.25">
      <c r="A209" s="61">
        <f>A202+1</f>
        <v>45899</v>
      </c>
      <c r="B209" s="117">
        <v>69</v>
      </c>
      <c r="C209" s="117">
        <v>3</v>
      </c>
      <c r="D209" s="148">
        <f>'Data Ocupacion'!BJ33</f>
        <v>69</v>
      </c>
      <c r="E209" s="148">
        <f>'Data Ocupacion'!BK33</f>
        <v>3</v>
      </c>
      <c r="F209" s="321" t="s">
        <v>38</v>
      </c>
      <c r="G209" s="320">
        <f t="shared" ref="G209:G214" si="173">D209+E209*2</f>
        <v>75</v>
      </c>
      <c r="H209" s="117">
        <f>B209+C209*2</f>
        <v>75</v>
      </c>
      <c r="I209" s="322">
        <f t="shared" ref="I209:I214" si="174">D209+E209</f>
        <v>72</v>
      </c>
      <c r="J209" s="322">
        <f>G209*M$2</f>
        <v>3234.75</v>
      </c>
      <c r="K209" s="154">
        <f>I209*M$2</f>
        <v>3105.36</v>
      </c>
      <c r="L209" s="117">
        <f t="shared" ref="L209:L214" si="175">J209*104</f>
        <v>336414</v>
      </c>
      <c r="M209" s="117">
        <f t="shared" ref="M209:M214" si="176">I209*104</f>
        <v>7488</v>
      </c>
      <c r="N209" s="19"/>
      <c r="O209" s="19"/>
      <c r="P209" s="147"/>
      <c r="Q209" s="186"/>
      <c r="R209" s="186"/>
      <c r="S209" s="210"/>
      <c r="T209" s="250"/>
      <c r="U209" s="195"/>
      <c r="V209" s="234"/>
      <c r="W209" s="185">
        <f>J209-(Q209*($M$2-$K$1))-(R209*($M$2-$M$1))- (S209*($M$2-$I$2))+ (T209*($G$2))</f>
        <v>3234.75</v>
      </c>
      <c r="X209" s="185">
        <f>H209*$M$2</f>
        <v>3234.75</v>
      </c>
    </row>
    <row r="210" spans="1:25" s="125" customFormat="1" x14ac:dyDescent="0.25">
      <c r="A210" s="206"/>
      <c r="B210" s="117">
        <v>75</v>
      </c>
      <c r="C210" s="117">
        <v>0</v>
      </c>
      <c r="D210" s="148">
        <f>'Data Ocupacion'!BJ34</f>
        <v>75</v>
      </c>
      <c r="E210" s="148">
        <f>'Data Ocupacion'!BK34</f>
        <v>0</v>
      </c>
      <c r="F210" s="321" t="s">
        <v>52</v>
      </c>
      <c r="G210" s="320">
        <f t="shared" si="173"/>
        <v>75</v>
      </c>
      <c r="H210" s="117">
        <f t="shared" ref="H210:H214" si="177">B210+C210*2</f>
        <v>75</v>
      </c>
      <c r="I210" s="117">
        <f t="shared" si="174"/>
        <v>75</v>
      </c>
      <c r="J210" s="117">
        <f>G210*M$2</f>
        <v>3234.75</v>
      </c>
      <c r="K210" s="154">
        <f>I210*M$2</f>
        <v>3234.75</v>
      </c>
      <c r="L210" s="117">
        <f t="shared" si="175"/>
        <v>336414</v>
      </c>
      <c r="M210" s="117">
        <f t="shared" si="176"/>
        <v>7800</v>
      </c>
      <c r="N210" s="19"/>
      <c r="O210" s="19"/>
      <c r="P210" s="147"/>
      <c r="Q210" s="190"/>
      <c r="R210" s="190"/>
      <c r="S210" s="190"/>
      <c r="T210" s="186"/>
      <c r="U210" s="186"/>
      <c r="V210" s="210"/>
      <c r="W210" s="188">
        <f>J210-(T210*($M$2-$K$1)+(U210*($M$2-$M$1)))</f>
        <v>3234.75</v>
      </c>
      <c r="X210" s="185">
        <f>H210*$M$2</f>
        <v>3234.75</v>
      </c>
    </row>
    <row r="211" spans="1:25" s="125" customFormat="1" x14ac:dyDescent="0.25">
      <c r="A211" s="206"/>
      <c r="B211" s="117">
        <v>0</v>
      </c>
      <c r="C211" s="117">
        <v>0</v>
      </c>
      <c r="D211" s="148">
        <f>'Data Ocupacion'!BJ35</f>
        <v>0</v>
      </c>
      <c r="E211" s="148">
        <f>'Data Ocupacion'!BK35</f>
        <v>0</v>
      </c>
      <c r="F211" s="321" t="s">
        <v>36</v>
      </c>
      <c r="G211" s="320">
        <f t="shared" si="173"/>
        <v>0</v>
      </c>
      <c r="H211" s="117">
        <f t="shared" si="177"/>
        <v>0</v>
      </c>
      <c r="I211" s="117">
        <f t="shared" si="174"/>
        <v>0</v>
      </c>
      <c r="J211" s="117">
        <f>G211*M$1</f>
        <v>0</v>
      </c>
      <c r="K211" s="154">
        <f>I211*M$1</f>
        <v>0</v>
      </c>
      <c r="L211" s="117">
        <f t="shared" si="175"/>
        <v>0</v>
      </c>
      <c r="M211" s="117">
        <f t="shared" si="176"/>
        <v>0</v>
      </c>
      <c r="N211" s="19"/>
      <c r="O211" s="19" t="s">
        <v>144</v>
      </c>
      <c r="P211" s="147"/>
      <c r="Q211" s="189"/>
      <c r="R211" s="191"/>
      <c r="S211" s="211"/>
      <c r="T211" s="192"/>
      <c r="U211" s="193"/>
      <c r="V211" s="193"/>
      <c r="W211" s="185">
        <f>J211-(Q211*($M$1-$K$1))</f>
        <v>0</v>
      </c>
      <c r="X211" s="185">
        <f>H211*$M$1</f>
        <v>0</v>
      </c>
    </row>
    <row r="212" spans="1:25" s="125" customFormat="1" x14ac:dyDescent="0.25">
      <c r="A212" s="206"/>
      <c r="B212" s="117">
        <v>0</v>
      </c>
      <c r="C212" s="117">
        <v>0</v>
      </c>
      <c r="D212" s="148">
        <f>'Data Ocupacion'!BJ36</f>
        <v>0</v>
      </c>
      <c r="E212" s="148">
        <f>'Data Ocupacion'!BK36</f>
        <v>0</v>
      </c>
      <c r="F212" s="321" t="s">
        <v>53</v>
      </c>
      <c r="G212" s="320">
        <f t="shared" si="173"/>
        <v>0</v>
      </c>
      <c r="H212" s="117">
        <f t="shared" si="177"/>
        <v>0</v>
      </c>
      <c r="I212" s="117">
        <f t="shared" si="174"/>
        <v>0</v>
      </c>
      <c r="J212" s="117">
        <f>G212*M$1</f>
        <v>0</v>
      </c>
      <c r="K212" s="154">
        <f>I212*M$1</f>
        <v>0</v>
      </c>
      <c r="L212" s="117">
        <f t="shared" si="175"/>
        <v>0</v>
      </c>
      <c r="M212" s="117">
        <f t="shared" si="176"/>
        <v>0</v>
      </c>
      <c r="N212" s="19"/>
      <c r="O212" s="19" t="s">
        <v>144</v>
      </c>
      <c r="P212" s="147"/>
      <c r="Q212" s="193"/>
      <c r="R212" s="193"/>
      <c r="S212" s="193"/>
      <c r="T212" s="193"/>
      <c r="U212" s="193"/>
      <c r="V212" s="193"/>
      <c r="W212" s="185">
        <f>J212</f>
        <v>0</v>
      </c>
      <c r="X212" s="185">
        <f>H212*$M$1</f>
        <v>0</v>
      </c>
    </row>
    <row r="213" spans="1:25" s="125" customFormat="1" x14ac:dyDescent="0.25">
      <c r="A213" s="206"/>
      <c r="B213" s="117">
        <v>0</v>
      </c>
      <c r="C213" s="117">
        <v>0</v>
      </c>
      <c r="D213" s="148">
        <f>'Data Ocupacion'!BJ37</f>
        <v>0</v>
      </c>
      <c r="E213" s="148">
        <f>'Data Ocupacion'!BK37</f>
        <v>0</v>
      </c>
      <c r="F213" s="321" t="s">
        <v>122</v>
      </c>
      <c r="G213" s="320">
        <f t="shared" si="173"/>
        <v>0</v>
      </c>
      <c r="H213" s="117">
        <f t="shared" si="177"/>
        <v>0</v>
      </c>
      <c r="I213" s="117">
        <f t="shared" si="174"/>
        <v>0</v>
      </c>
      <c r="J213" s="323">
        <f>G213*K$1</f>
        <v>0</v>
      </c>
      <c r="K213" s="154">
        <f>I213*K$1</f>
        <v>0</v>
      </c>
      <c r="L213" s="117">
        <f t="shared" si="175"/>
        <v>0</v>
      </c>
      <c r="M213" s="117">
        <f t="shared" si="176"/>
        <v>0</v>
      </c>
      <c r="N213" s="19"/>
      <c r="O213" s="19"/>
      <c r="P213" s="147"/>
      <c r="Q213" s="193"/>
      <c r="R213" s="193"/>
      <c r="S213" s="193"/>
      <c r="T213" s="193"/>
      <c r="U213" s="193"/>
      <c r="V213" s="193"/>
      <c r="W213" s="185">
        <f>J213</f>
        <v>0</v>
      </c>
      <c r="X213" s="185">
        <f>H213*$K$1</f>
        <v>0</v>
      </c>
    </row>
    <row r="214" spans="1:25" s="125" customFormat="1" ht="15.75" thickBot="1" x14ac:dyDescent="0.3">
      <c r="A214" s="206"/>
      <c r="B214" s="117">
        <v>0</v>
      </c>
      <c r="C214" s="117">
        <v>0</v>
      </c>
      <c r="D214" s="148">
        <f>'Data Ocupacion'!BJ38</f>
        <v>0</v>
      </c>
      <c r="E214" s="148">
        <f>'Data Ocupacion'!BK38</f>
        <v>0</v>
      </c>
      <c r="F214" s="321" t="s">
        <v>35</v>
      </c>
      <c r="G214" s="320">
        <f t="shared" si="173"/>
        <v>0</v>
      </c>
      <c r="H214" s="117">
        <f t="shared" si="177"/>
        <v>0</v>
      </c>
      <c r="I214" s="324">
        <f t="shared" si="174"/>
        <v>0</v>
      </c>
      <c r="J214" s="324">
        <f>G214*K$1</f>
        <v>0</v>
      </c>
      <c r="K214" s="154">
        <f>I214*K$1</f>
        <v>0</v>
      </c>
      <c r="L214" s="117">
        <f t="shared" si="175"/>
        <v>0</v>
      </c>
      <c r="M214" s="117">
        <f t="shared" si="176"/>
        <v>0</v>
      </c>
      <c r="N214" s="19"/>
      <c r="O214" s="19"/>
      <c r="P214" s="147"/>
      <c r="Q214" s="193"/>
      <c r="R214" s="193"/>
      <c r="S214" s="193"/>
      <c r="T214" s="193"/>
      <c r="U214" s="193"/>
      <c r="V214" s="193"/>
      <c r="W214" s="185">
        <f>J214</f>
        <v>0</v>
      </c>
      <c r="X214" s="185">
        <f>H214*$K$1</f>
        <v>0</v>
      </c>
    </row>
    <row r="215" spans="1:25" s="125" customFormat="1" ht="15.75" thickBot="1" x14ac:dyDescent="0.3">
      <c r="A215" s="20"/>
      <c r="B215" s="120">
        <f>SUM(B209:B214)</f>
        <v>144</v>
      </c>
      <c r="C215" s="120">
        <f>SUM(C209:C214)</f>
        <v>3</v>
      </c>
      <c r="D215" s="149">
        <f>SUM(D209:D214)</f>
        <v>144</v>
      </c>
      <c r="E215" s="149">
        <f>SUM(E209:E214)</f>
        <v>3</v>
      </c>
      <c r="F215" s="120"/>
      <c r="G215" s="120">
        <f t="shared" ref="G215:M215" si="178">SUM(G209:G214)</f>
        <v>150</v>
      </c>
      <c r="H215" s="120">
        <f t="shared" si="178"/>
        <v>150</v>
      </c>
      <c r="I215" s="120">
        <f t="shared" si="178"/>
        <v>147</v>
      </c>
      <c r="J215" s="120">
        <f t="shared" si="178"/>
        <v>6469.5</v>
      </c>
      <c r="K215" s="120">
        <f t="shared" si="178"/>
        <v>6340.1100000000006</v>
      </c>
      <c r="L215" s="120">
        <f t="shared" si="178"/>
        <v>672828</v>
      </c>
      <c r="M215" s="120">
        <f t="shared" si="178"/>
        <v>15288</v>
      </c>
      <c r="N215" s="124">
        <f>'Odometro-Kilometraje'!AE81</f>
        <v>6505</v>
      </c>
      <c r="O215" s="21">
        <f>(W215/N215)*100</f>
        <v>99.454265949269796</v>
      </c>
      <c r="P215" s="196"/>
      <c r="Q215" s="184"/>
      <c r="R215" s="184"/>
      <c r="S215" s="184"/>
      <c r="T215" s="184"/>
      <c r="U215" s="184"/>
      <c r="V215" s="184"/>
      <c r="W215" s="197">
        <f>SUM(W209:W214)</f>
        <v>6469.5</v>
      </c>
      <c r="X215" s="197">
        <f>SUM(X209:X214)</f>
        <v>6469.5</v>
      </c>
      <c r="Y215" s="265"/>
    </row>
    <row r="216" spans="1:25" s="125" customFormat="1" x14ac:dyDescent="0.25">
      <c r="A216" s="61">
        <f>A209+1</f>
        <v>45900</v>
      </c>
      <c r="B216" s="224">
        <v>51</v>
      </c>
      <c r="C216" s="224">
        <v>3</v>
      </c>
      <c r="D216" s="139">
        <f>'Data Ocupacion'!BL33</f>
        <v>51</v>
      </c>
      <c r="E216" s="139">
        <f>'Data Ocupacion'!BM33</f>
        <v>3</v>
      </c>
      <c r="F216" s="325" t="s">
        <v>38</v>
      </c>
      <c r="G216" s="314">
        <f t="shared" ref="G216:G221" si="179">D216+E216*2</f>
        <v>57</v>
      </c>
      <c r="H216" s="224">
        <f>B216+C216*2</f>
        <v>57</v>
      </c>
      <c r="I216" s="326">
        <f t="shared" ref="I216:I221" si="180">D216+E216</f>
        <v>54</v>
      </c>
      <c r="J216" s="326">
        <f>G216*M$2</f>
        <v>2458.4100000000003</v>
      </c>
      <c r="K216" s="154">
        <f>I216*M$2</f>
        <v>2329.02</v>
      </c>
      <c r="L216" s="224">
        <f t="shared" ref="L216:L221" si="181">J216*104</f>
        <v>255674.64000000004</v>
      </c>
      <c r="M216" s="224">
        <f t="shared" ref="M216:M221" si="182">I216*104</f>
        <v>5616</v>
      </c>
      <c r="N216" s="19"/>
      <c r="O216" s="19"/>
      <c r="P216" s="147"/>
      <c r="Q216" s="186"/>
      <c r="R216" s="186"/>
      <c r="S216" s="210"/>
      <c r="T216" s="250"/>
      <c r="U216" s="195"/>
      <c r="V216" s="234"/>
      <c r="W216" s="185">
        <f>J216-(Q216*($M$2-$K$1))-(R216*($M$2-$M$1))- (S216*($M$2-$I$2))+ (T216*($G$2))</f>
        <v>2458.4100000000003</v>
      </c>
      <c r="X216" s="185">
        <f>H216*$M$2</f>
        <v>2458.4100000000003</v>
      </c>
      <c r="Y216" s="301"/>
    </row>
    <row r="217" spans="1:25" s="125" customFormat="1" x14ac:dyDescent="0.25">
      <c r="A217" s="206"/>
      <c r="B217" s="224">
        <v>57</v>
      </c>
      <c r="C217" s="224">
        <v>0</v>
      </c>
      <c r="D217" s="139">
        <f>'Data Ocupacion'!BL34</f>
        <v>57</v>
      </c>
      <c r="E217" s="139">
        <f>'Data Ocupacion'!BM34</f>
        <v>0</v>
      </c>
      <c r="F217" s="325" t="s">
        <v>52</v>
      </c>
      <c r="G217" s="314">
        <f t="shared" si="179"/>
        <v>57</v>
      </c>
      <c r="H217" s="224">
        <f t="shared" ref="H217:H221" si="183">B217+C217*2</f>
        <v>57</v>
      </c>
      <c r="I217" s="224">
        <f t="shared" si="180"/>
        <v>57</v>
      </c>
      <c r="J217" s="224">
        <f>G217*M$2</f>
        <v>2458.4100000000003</v>
      </c>
      <c r="K217" s="154">
        <f>I217*M$2</f>
        <v>2458.4100000000003</v>
      </c>
      <c r="L217" s="224">
        <f t="shared" si="181"/>
        <v>255674.64000000004</v>
      </c>
      <c r="M217" s="224">
        <f t="shared" si="182"/>
        <v>5928</v>
      </c>
      <c r="N217" s="19"/>
      <c r="O217" s="19"/>
      <c r="P217" s="147"/>
      <c r="Q217" s="190"/>
      <c r="R217" s="190"/>
      <c r="S217" s="190"/>
      <c r="T217" s="186"/>
      <c r="U217" s="186"/>
      <c r="V217" s="210"/>
      <c r="W217" s="188">
        <f>J217-(T217*($M$2-$K$1)+(U217*($M$2-$M$1)))</f>
        <v>2458.4100000000003</v>
      </c>
      <c r="X217" s="185">
        <f>H217*$M$2</f>
        <v>2458.4100000000003</v>
      </c>
      <c r="Y217" s="301"/>
    </row>
    <row r="218" spans="1:25" s="125" customFormat="1" x14ac:dyDescent="0.25">
      <c r="A218" s="206"/>
      <c r="B218" s="224">
        <v>0</v>
      </c>
      <c r="C218" s="224">
        <v>0</v>
      </c>
      <c r="D218" s="139">
        <f>'Data Ocupacion'!BL35</f>
        <v>0</v>
      </c>
      <c r="E218" s="139">
        <f>'Data Ocupacion'!BM35</f>
        <v>0</v>
      </c>
      <c r="F218" s="325" t="s">
        <v>36</v>
      </c>
      <c r="G218" s="314">
        <f t="shared" si="179"/>
        <v>0</v>
      </c>
      <c r="H218" s="224">
        <f t="shared" si="183"/>
        <v>0</v>
      </c>
      <c r="I218" s="224">
        <f t="shared" si="180"/>
        <v>0</v>
      </c>
      <c r="J218" s="224">
        <f>G218*M$1</f>
        <v>0</v>
      </c>
      <c r="K218" s="154">
        <f>I218*M$1</f>
        <v>0</v>
      </c>
      <c r="L218" s="224">
        <f t="shared" si="181"/>
        <v>0</v>
      </c>
      <c r="M218" s="224">
        <f t="shared" si="182"/>
        <v>0</v>
      </c>
      <c r="N218" s="19"/>
      <c r="O218" s="19" t="s">
        <v>144</v>
      </c>
      <c r="P218" s="147"/>
      <c r="Q218" s="189"/>
      <c r="R218" s="191"/>
      <c r="S218" s="211"/>
      <c r="T218" s="192"/>
      <c r="U218" s="193"/>
      <c r="V218" s="193"/>
      <c r="W218" s="185">
        <f>J218-(Q218*($M$1-$K$1))</f>
        <v>0</v>
      </c>
      <c r="X218" s="185">
        <f>H218*$M$1</f>
        <v>0</v>
      </c>
      <c r="Y218" s="301"/>
    </row>
    <row r="219" spans="1:25" s="125" customFormat="1" x14ac:dyDescent="0.25">
      <c r="A219" s="206"/>
      <c r="B219" s="224">
        <v>0</v>
      </c>
      <c r="C219" s="224">
        <v>0</v>
      </c>
      <c r="D219" s="139">
        <f>'Data Ocupacion'!BL36</f>
        <v>0</v>
      </c>
      <c r="E219" s="139">
        <f>'Data Ocupacion'!BM36</f>
        <v>0</v>
      </c>
      <c r="F219" s="325" t="s">
        <v>53</v>
      </c>
      <c r="G219" s="314">
        <f t="shared" si="179"/>
        <v>0</v>
      </c>
      <c r="H219" s="224">
        <f t="shared" si="183"/>
        <v>0</v>
      </c>
      <c r="I219" s="224">
        <f t="shared" si="180"/>
        <v>0</v>
      </c>
      <c r="J219" s="224">
        <f>G219*M$1</f>
        <v>0</v>
      </c>
      <c r="K219" s="154">
        <f>I219*M$1</f>
        <v>0</v>
      </c>
      <c r="L219" s="224">
        <f t="shared" si="181"/>
        <v>0</v>
      </c>
      <c r="M219" s="224">
        <f t="shared" si="182"/>
        <v>0</v>
      </c>
      <c r="N219" s="19"/>
      <c r="O219" s="19" t="s">
        <v>144</v>
      </c>
      <c r="P219" s="147"/>
      <c r="Q219" s="193"/>
      <c r="R219" s="193"/>
      <c r="S219" s="193"/>
      <c r="T219" s="193"/>
      <c r="U219" s="193"/>
      <c r="V219" s="193"/>
      <c r="W219" s="185">
        <f>J219</f>
        <v>0</v>
      </c>
      <c r="X219" s="185">
        <f>H219*$M$1</f>
        <v>0</v>
      </c>
      <c r="Y219" s="301"/>
    </row>
    <row r="220" spans="1:25" s="125" customFormat="1" x14ac:dyDescent="0.25">
      <c r="A220" s="206"/>
      <c r="B220" s="224">
        <v>0</v>
      </c>
      <c r="C220" s="224">
        <v>0</v>
      </c>
      <c r="D220" s="139">
        <f>'Data Ocupacion'!BL37</f>
        <v>0</v>
      </c>
      <c r="E220" s="139">
        <f>'Data Ocupacion'!BM37</f>
        <v>0</v>
      </c>
      <c r="F220" s="325" t="s">
        <v>122</v>
      </c>
      <c r="G220" s="314">
        <f t="shared" si="179"/>
        <v>0</v>
      </c>
      <c r="H220" s="224">
        <f t="shared" si="183"/>
        <v>0</v>
      </c>
      <c r="I220" s="224">
        <f t="shared" si="180"/>
        <v>0</v>
      </c>
      <c r="J220" s="327">
        <f>G220*K$1</f>
        <v>0</v>
      </c>
      <c r="K220" s="154">
        <f>I220*K$1</f>
        <v>0</v>
      </c>
      <c r="L220" s="224">
        <f t="shared" si="181"/>
        <v>0</v>
      </c>
      <c r="M220" s="224">
        <f t="shared" si="182"/>
        <v>0</v>
      </c>
      <c r="N220" s="19"/>
      <c r="O220" s="19"/>
      <c r="P220" s="147"/>
      <c r="Q220" s="193"/>
      <c r="R220" s="193"/>
      <c r="S220" s="193"/>
      <c r="T220" s="193"/>
      <c r="U220" s="193"/>
      <c r="V220" s="193"/>
      <c r="W220" s="185">
        <f>J220</f>
        <v>0</v>
      </c>
      <c r="X220" s="185">
        <f>H220*$K$1</f>
        <v>0</v>
      </c>
      <c r="Y220" s="301"/>
    </row>
    <row r="221" spans="1:25" s="125" customFormat="1" ht="15.75" thickBot="1" x14ac:dyDescent="0.3">
      <c r="A221" s="206"/>
      <c r="B221" s="224">
        <v>0</v>
      </c>
      <c r="C221" s="224">
        <v>0</v>
      </c>
      <c r="D221" s="139">
        <f>'Data Ocupacion'!BL38</f>
        <v>0</v>
      </c>
      <c r="E221" s="139">
        <f>'Data Ocupacion'!BM38</f>
        <v>0</v>
      </c>
      <c r="F221" s="325" t="s">
        <v>35</v>
      </c>
      <c r="G221" s="314">
        <f t="shared" si="179"/>
        <v>0</v>
      </c>
      <c r="H221" s="224">
        <f t="shared" si="183"/>
        <v>0</v>
      </c>
      <c r="I221" s="328">
        <f t="shared" si="180"/>
        <v>0</v>
      </c>
      <c r="J221" s="328">
        <f>G221*K$1</f>
        <v>0</v>
      </c>
      <c r="K221" s="154">
        <f>I221*K$1</f>
        <v>0</v>
      </c>
      <c r="L221" s="224">
        <f t="shared" si="181"/>
        <v>0</v>
      </c>
      <c r="M221" s="224">
        <f t="shared" si="182"/>
        <v>0</v>
      </c>
      <c r="N221" s="19"/>
      <c r="O221" s="19"/>
      <c r="P221" s="147"/>
      <c r="Q221" s="193"/>
      <c r="R221" s="193"/>
      <c r="S221" s="193"/>
      <c r="T221" s="193"/>
      <c r="U221" s="193"/>
      <c r="V221" s="193"/>
      <c r="W221" s="185">
        <f>J221</f>
        <v>0</v>
      </c>
      <c r="X221" s="185">
        <f>H221*$K$1</f>
        <v>0</v>
      </c>
      <c r="Y221" s="301"/>
    </row>
    <row r="222" spans="1:25" s="125" customFormat="1" ht="15.75" thickBot="1" x14ac:dyDescent="0.3">
      <c r="A222" s="20"/>
      <c r="B222" s="120">
        <f>SUM(B216:B221)</f>
        <v>108</v>
      </c>
      <c r="C222" s="120">
        <f>SUM(C216:C221)</f>
        <v>3</v>
      </c>
      <c r="D222" s="149">
        <f>SUM(D216:D221)</f>
        <v>108</v>
      </c>
      <c r="E222" s="149">
        <f>SUM(E216:E221)</f>
        <v>3</v>
      </c>
      <c r="F222" s="120"/>
      <c r="G222" s="120">
        <f t="shared" ref="G222:M222" si="184">SUM(G216:G221)</f>
        <v>114</v>
      </c>
      <c r="H222" s="120">
        <f t="shared" si="184"/>
        <v>114</v>
      </c>
      <c r="I222" s="120">
        <f t="shared" si="184"/>
        <v>111</v>
      </c>
      <c r="J222" s="120">
        <f t="shared" si="184"/>
        <v>4916.8200000000006</v>
      </c>
      <c r="K222" s="120">
        <f t="shared" si="184"/>
        <v>4787.43</v>
      </c>
      <c r="L222" s="120">
        <f t="shared" si="184"/>
        <v>511349.28000000009</v>
      </c>
      <c r="M222" s="120">
        <f t="shared" si="184"/>
        <v>11544</v>
      </c>
      <c r="N222" s="124">
        <f>'Odometro-Kilometraje'!AF81</f>
        <v>5120</v>
      </c>
      <c r="O222" s="21">
        <f>(W222/N222)*100</f>
        <v>96.031640625000009</v>
      </c>
      <c r="P222" s="196"/>
      <c r="Q222" s="184"/>
      <c r="R222" s="184"/>
      <c r="S222" s="184"/>
      <c r="T222" s="184"/>
      <c r="U222" s="184"/>
      <c r="V222" s="184"/>
      <c r="W222" s="197">
        <f>SUM(W216:W221)</f>
        <v>4916.8200000000006</v>
      </c>
      <c r="X222" s="197">
        <f>SUM(X216:X221)</f>
        <v>4916.8200000000006</v>
      </c>
      <c r="Y222" s="301"/>
    </row>
    <row r="223" spans="1:25" s="125" customFormat="1" ht="15.75" thickBot="1" x14ac:dyDescent="0.3"/>
    <row r="224" spans="1:25" s="125" customFormat="1" ht="15.75" thickBot="1" x14ac:dyDescent="0.3">
      <c r="A224"/>
      <c r="B224" s="348" t="s">
        <v>56</v>
      </c>
      <c r="C224" s="349"/>
      <c r="D224" s="349"/>
      <c r="E224" s="349"/>
      <c r="F224" s="349"/>
      <c r="G224" s="350"/>
      <c r="H224" s="304"/>
      <c r="I224" s="348" t="s">
        <v>57</v>
      </c>
      <c r="J224" s="349"/>
      <c r="K224" s="349"/>
      <c r="L224" s="349"/>
      <c r="M224" s="349"/>
      <c r="N224" s="350"/>
      <c r="P224" s="356" t="s">
        <v>139</v>
      </c>
      <c r="Q224" s="356"/>
      <c r="R224" s="356"/>
      <c r="S224" s="357"/>
      <c r="T224" s="353" t="s">
        <v>142</v>
      </c>
      <c r="U224" s="354"/>
      <c r="V224" s="355"/>
      <c r="W224" s="361" t="s">
        <v>143</v>
      </c>
      <c r="X224" s="361" t="s">
        <v>164</v>
      </c>
    </row>
    <row r="225" spans="1:29" s="125" customFormat="1" ht="24.75" thickBot="1" x14ac:dyDescent="0.3">
      <c r="A225" s="22" t="s">
        <v>56</v>
      </c>
      <c r="B225" s="181" t="s">
        <v>58</v>
      </c>
      <c r="C225" s="181" t="s">
        <v>59</v>
      </c>
      <c r="D225" s="181" t="s">
        <v>60</v>
      </c>
      <c r="E225" s="181" t="s">
        <v>61</v>
      </c>
      <c r="F225" s="181" t="s">
        <v>62</v>
      </c>
      <c r="G225" s="181" t="s">
        <v>63</v>
      </c>
      <c r="H225" s="181"/>
      <c r="I225" s="181" t="s">
        <v>58</v>
      </c>
      <c r="J225" s="181" t="s">
        <v>59</v>
      </c>
      <c r="K225" s="181" t="s">
        <v>60</v>
      </c>
      <c r="L225" s="181" t="s">
        <v>61</v>
      </c>
      <c r="M225" s="181" t="s">
        <v>62</v>
      </c>
      <c r="N225" s="181" t="s">
        <v>63</v>
      </c>
      <c r="P225" s="218" t="s">
        <v>140</v>
      </c>
      <c r="Q225" s="199" t="s">
        <v>141</v>
      </c>
      <c r="R225" s="217" t="s">
        <v>148</v>
      </c>
      <c r="S225" s="219" t="s">
        <v>146</v>
      </c>
      <c r="T225" s="200" t="s">
        <v>140</v>
      </c>
      <c r="U225" s="201" t="s">
        <v>141</v>
      </c>
      <c r="V225" s="233" t="s">
        <v>146</v>
      </c>
      <c r="W225" s="362"/>
      <c r="X225" s="362"/>
    </row>
    <row r="226" spans="1:29" ht="15.95" customHeight="1" x14ac:dyDescent="0.25">
      <c r="A226" s="23" t="s">
        <v>38</v>
      </c>
      <c r="B226" s="115">
        <f t="shared" ref="B226:C228" si="185">B5+B13+B20+B27+B34+B41+B48+B55+B62+B69+B76+B83+B90+B97+B104+B111+B118+B125+B132+B139+B146+B153+B160+B167+B174+B181+B188+B195+B202+B209+B216</f>
        <v>1681</v>
      </c>
      <c r="C226" s="115">
        <f t="shared" si="185"/>
        <v>583</v>
      </c>
      <c r="D226" s="115">
        <f t="shared" ref="D226:D232" si="186">B226+C226</f>
        <v>2264</v>
      </c>
      <c r="E226" s="140">
        <f>D226*43.13</f>
        <v>97646.32</v>
      </c>
      <c r="F226" s="140">
        <f>B226*43.13+C226*86.26</f>
        <v>122791.11</v>
      </c>
      <c r="G226" s="140">
        <f t="shared" ref="G226:G232" si="187">F226*104</f>
        <v>12770275.439999999</v>
      </c>
      <c r="H226" s="140"/>
      <c r="I226" s="115">
        <f t="shared" ref="I226:J230" si="188">D5+D13+D27+D34+D41+D48+D55+D62+D69+D76+D83+D90+D97+D104+D111+D118+D125+D132+D139+D146+D153+D160+D167+D174+D181+D188+D195+D202+D209+D216+D20</f>
        <v>1703</v>
      </c>
      <c r="J226" s="115">
        <f t="shared" si="188"/>
        <v>563</v>
      </c>
      <c r="K226" s="115">
        <f t="shared" ref="K226:K232" si="189">I226+J226</f>
        <v>2266</v>
      </c>
      <c r="L226" s="140">
        <f>K226*43.13</f>
        <v>97732.58</v>
      </c>
      <c r="M226" s="140">
        <f>I226*43.13+J226*86.26</f>
        <v>122014.77</v>
      </c>
      <c r="N226" s="140">
        <f t="shared" ref="N226:N231" si="190">M226*104</f>
        <v>12689536.08</v>
      </c>
      <c r="O226" s="125"/>
      <c r="P226" s="213">
        <f>SUM(Q195,Q188,Q181,Q182,Q174,Q167,Q160,Q153,Q146,Q139,Q132,Q125,Q118,Q111,Q104,Q97,Q90,Q83,Q76,Q69,Q62,Q55,Q48,Q41,Q34,Q27,Q20,Q13,Q5,Q202,Q209,Q216)</f>
        <v>53</v>
      </c>
      <c r="Q226" s="213">
        <f>SUM(R195,R188,R181,R174,R167,R160,R153,R146,R139,R132,R125,R118,R111,R104,R97,R90,R83,R76,R69,R62,R55,R48,R41,R34,R27,R20,R13,R5,R202,R209,R216)</f>
        <v>0</v>
      </c>
      <c r="R226" s="213">
        <f>SUM(S195,S188,S181,S174,S167,S160,S153,S146,S139,S132,S125,S118,S111,S104,S97,S90,S83,S76,S69,S62,S55,S48,S41,S34,S27,S20,S13,S5,S202,S209,S216)</f>
        <v>0</v>
      </c>
      <c r="S226" s="213">
        <f>SUM(S195,S188,S181,S174,S167,S160,S153,S146,S139,S132,S125,S118,S111,S104,S97,S90,S83,S76,S69,S62,S55,S48,S41,S34,S27,S20,S13,S5,S202,S209,S216)</f>
        <v>0</v>
      </c>
      <c r="T226" s="213">
        <f>SUM(T195,T188,T181,T174,T167,T160,T153,T146,T139,T132,T125,T118,T111,T104,T97,T90,T83,T76,T69,T62,T55,T48,T41,T34,T27,T20,T13,T5,T202,T209,T216)+T6+T14+T21+T28+T35+T42+T49+T56+T63+T70+T77+T84+T91+T98+T105+T112+T119+T126+T133+T140+T147+T154+T161+T168+T175+T182+T189+T196+T203+T210+T217</f>
        <v>55</v>
      </c>
      <c r="U226" s="213">
        <f>SUM(U195,U188,U181,U182,U174,U167,U160,U153,U146,U139,U132,U125,U118,U111,U104,U97,U90,U83,U76,U69,U62,U55,U48,U41,U34,U27,U20,U13,U5,U202,U209,U217)</f>
        <v>1</v>
      </c>
      <c r="V226" s="213">
        <f>SUM(V195,V188,V181,V174,V167,V160,V153,V146,V139,V132,V125,V118,V111,V104,V97,V90,V83,V76,V69,V62,V55,V48,V41,V34,V27,V20,V13,V5,V202,V209,V217)</f>
        <v>0</v>
      </c>
      <c r="W226" s="237">
        <f>W12+W19+W26+W33+W40+W47+W54+W61+W68+W75+W82+W89+W96+W103+W110+W117+W124+W131+W138+W145+W152+W159+W166+W173+W180+W187+W194+W201+W208+W215+W222</f>
        <v>282466.86000000004</v>
      </c>
      <c r="X226" s="237">
        <f>X12+X19+X26+X33+X40+X47+X54+X61+X68+X75+X82+X89+X96+X103+X110+X117+X124+X131+X138+X145+X152+X159+X166+X173+X180+X187+X194+X201+X208+X215+X222</f>
        <v>286494.90000000014</v>
      </c>
    </row>
    <row r="227" spans="1:29" ht="17.25" customHeight="1" x14ac:dyDescent="0.25">
      <c r="A227" s="23" t="s">
        <v>52</v>
      </c>
      <c r="B227" s="115">
        <f t="shared" si="185"/>
        <v>1707</v>
      </c>
      <c r="C227" s="115">
        <f t="shared" si="185"/>
        <v>570</v>
      </c>
      <c r="D227" s="115">
        <f t="shared" si="186"/>
        <v>2277</v>
      </c>
      <c r="E227" s="140">
        <f>D227*43.13</f>
        <v>98207.010000000009</v>
      </c>
      <c r="F227" s="140">
        <f>B227*43.13+C227*86.26</f>
        <v>122791.11000000002</v>
      </c>
      <c r="G227" s="140">
        <f t="shared" si="187"/>
        <v>12770275.440000001</v>
      </c>
      <c r="H227" s="140"/>
      <c r="I227" s="115">
        <f t="shared" si="188"/>
        <v>1725</v>
      </c>
      <c r="J227" s="115">
        <f t="shared" si="188"/>
        <v>552</v>
      </c>
      <c r="K227" s="115">
        <f t="shared" si="189"/>
        <v>2277</v>
      </c>
      <c r="L227" s="140">
        <f t="shared" ref="L227" si="191">K227*43.13</f>
        <v>98207.010000000009</v>
      </c>
      <c r="M227" s="140">
        <f>I227*43.13+J227*86.26</f>
        <v>122014.77</v>
      </c>
      <c r="N227" s="140">
        <f t="shared" si="190"/>
        <v>12689536.08</v>
      </c>
      <c r="O227" s="125"/>
      <c r="W227" s="125"/>
      <c r="AA227" s="8"/>
    </row>
    <row r="228" spans="1:29" x14ac:dyDescent="0.25">
      <c r="A228" s="23" t="s">
        <v>36</v>
      </c>
      <c r="B228" s="115">
        <f t="shared" si="185"/>
        <v>616</v>
      </c>
      <c r="C228" s="115">
        <f t="shared" si="185"/>
        <v>44</v>
      </c>
      <c r="D228" s="115">
        <f t="shared" si="186"/>
        <v>660</v>
      </c>
      <c r="E228" s="140">
        <f>D228*29.11</f>
        <v>19212.599999999999</v>
      </c>
      <c r="F228" s="140">
        <f>B228*29.11+C228*58.22</f>
        <v>20493.439999999999</v>
      </c>
      <c r="G228" s="140">
        <f t="shared" si="187"/>
        <v>2131317.7599999998</v>
      </c>
      <c r="H228" s="140"/>
      <c r="I228" s="115">
        <f t="shared" si="188"/>
        <v>606</v>
      </c>
      <c r="J228" s="115">
        <f t="shared" si="188"/>
        <v>43</v>
      </c>
      <c r="K228" s="115">
        <f t="shared" si="189"/>
        <v>649</v>
      </c>
      <c r="L228" s="140">
        <f>K228*29.11</f>
        <v>18892.39</v>
      </c>
      <c r="M228" s="140">
        <f>I228*29.11+J228*58.22</f>
        <v>20144.12</v>
      </c>
      <c r="N228" s="140">
        <f t="shared" si="190"/>
        <v>2094988.48</v>
      </c>
      <c r="O228" s="125"/>
      <c r="W228" s="125"/>
    </row>
    <row r="229" spans="1:29" x14ac:dyDescent="0.25">
      <c r="A229" s="23" t="s">
        <v>53</v>
      </c>
      <c r="B229" s="115">
        <f>B8+B16+B23+B30+B37+B44+B51+B58+B65+B72+B79+B86+B93+B100+B107+B114+B121+B128+B135+B142+B149+B156+B163+B170+B177+B184+B191+B198+B205+B212+B219</f>
        <v>596</v>
      </c>
      <c r="C229" s="115">
        <f>C8+C16+C23+C30+C37+C44+C51+C58+C65+C72+C79+C86+C93+C100+C107+C114+C121+C128+C135+C142+C149+C156+C163+C170+C177+C184+C191+C198+C205+C212+C220</f>
        <v>44</v>
      </c>
      <c r="D229" s="115">
        <f t="shared" si="186"/>
        <v>640</v>
      </c>
      <c r="E229" s="140">
        <f>D229*29.11</f>
        <v>18630.400000000001</v>
      </c>
      <c r="F229" s="140">
        <f>B229*29.11+C229*58.22</f>
        <v>19911.240000000002</v>
      </c>
      <c r="G229" s="140">
        <f t="shared" si="187"/>
        <v>2070768.9600000002</v>
      </c>
      <c r="H229" s="140"/>
      <c r="I229" s="115">
        <f t="shared" si="188"/>
        <v>592</v>
      </c>
      <c r="J229" s="115">
        <f t="shared" si="188"/>
        <v>43</v>
      </c>
      <c r="K229" s="115">
        <f t="shared" si="189"/>
        <v>635</v>
      </c>
      <c r="L229" s="140">
        <f>K229*29.11</f>
        <v>18484.849999999999</v>
      </c>
      <c r="M229" s="140">
        <f>I229*29.11+J229*58.22</f>
        <v>19736.579999999998</v>
      </c>
      <c r="N229" s="140">
        <f t="shared" si="190"/>
        <v>2052604.3199999998</v>
      </c>
      <c r="O229" s="125"/>
      <c r="W229" s="125"/>
      <c r="AA229" s="102"/>
      <c r="AB229" s="102"/>
      <c r="AC229" s="102"/>
    </row>
    <row r="230" spans="1:29" x14ac:dyDescent="0.25">
      <c r="A230" s="23" t="s">
        <v>122</v>
      </c>
      <c r="B230" s="115">
        <f>B9+B17+B24+B31+B38+B45+B52+B59+B66+B73+B80+B87+B94+B101+B108+B115+B122+B129+B136+B143+B150+B157+B164+B171+B178+B185+B192+B199+B206+B213+B220</f>
        <v>0</v>
      </c>
      <c r="C230" s="115">
        <f>C9+C17+C24+C31+C38+C45+C52+C59+C66+C73+C80+C87+C94+C101+C108+C115+C122+C129+C136+C143+C150+C157+C164+C171+C178+C185+C192+C199+C206+C213+C221</f>
        <v>0</v>
      </c>
      <c r="D230" s="115">
        <f t="shared" si="186"/>
        <v>0</v>
      </c>
      <c r="E230" s="140">
        <f>D230*25.4</f>
        <v>0</v>
      </c>
      <c r="F230" s="140">
        <f>B230*25.4+C230*50.8</f>
        <v>0</v>
      </c>
      <c r="G230" s="140">
        <f t="shared" si="187"/>
        <v>0</v>
      </c>
      <c r="H230" s="140"/>
      <c r="I230" s="115">
        <f t="shared" si="188"/>
        <v>0</v>
      </c>
      <c r="J230" s="115">
        <f>E9+E17+E31+E38+E45+E52+E59+E66+E73+E80+E87+E94+E101+E108+E115+E122+E129+E136+E143+E150+E157+E164+E171+E178+E185+E192+E199+E206+E213+E220</f>
        <v>0</v>
      </c>
      <c r="K230" s="115">
        <f t="shared" si="189"/>
        <v>0</v>
      </c>
      <c r="L230" s="140">
        <f>K230*25.4</f>
        <v>0</v>
      </c>
      <c r="M230" s="140">
        <f>I230*25.4+J230*50.8</f>
        <v>0</v>
      </c>
      <c r="N230" s="140">
        <f t="shared" si="190"/>
        <v>0</v>
      </c>
      <c r="O230" s="125"/>
      <c r="W230" s="125"/>
    </row>
    <row r="231" spans="1:29" x14ac:dyDescent="0.25">
      <c r="A231" s="23" t="s">
        <v>35</v>
      </c>
      <c r="B231" s="115">
        <f>B10+B18+B25+B32+B39+B46+B53+B60+B67+B74+B81+B88+B95+B102+B109+B116+B123+B130+B137+B144+B151+B158+B165+B172+B179+B186+B193+B200+B207+B214+B221</f>
        <v>20</v>
      </c>
      <c r="C231" s="115">
        <f>C10+C18+C25+C32+C39+C46+C53+C60+C67+C74+C81+C88+C95+C102+C109+C116+C123+C130+C137+C144+C151+C158+C165+C172+C179+C186+C193+C200+C207+C214+C221</f>
        <v>0</v>
      </c>
      <c r="D231" s="115">
        <f t="shared" si="186"/>
        <v>20</v>
      </c>
      <c r="E231" s="140">
        <f>D231*25.4</f>
        <v>508</v>
      </c>
      <c r="F231" s="140">
        <f>B231*25.4+C231*50.8</f>
        <v>508</v>
      </c>
      <c r="G231" s="140">
        <f t="shared" si="187"/>
        <v>52832</v>
      </c>
      <c r="H231" s="140"/>
      <c r="I231" s="115">
        <f>D10+D18+D32+D39+D46+D53+D60+D67+D74+D81+D88+D95+D102+D109+D116+D123+D130+D137+D144+D151+D158+D165+D172+D179+D186+D193+D200+D207+D214+D221+D25</f>
        <v>20</v>
      </c>
      <c r="J231" s="115">
        <f>E10+E18+E32+E39+E46+E53+E60+E67+E74+E81+E88+E95+E102+E109+E116+E123+E130+E137+E144+E151+E158+E165+E172+E179+E186+E193+E200+E207+E214+E221</f>
        <v>0</v>
      </c>
      <c r="K231" s="115">
        <f t="shared" si="189"/>
        <v>20</v>
      </c>
      <c r="L231" s="140">
        <f>K231*25.4</f>
        <v>508</v>
      </c>
      <c r="M231" s="140">
        <f>I231*25.4+J231*50.8</f>
        <v>508</v>
      </c>
      <c r="N231" s="140">
        <f t="shared" si="190"/>
        <v>52832</v>
      </c>
      <c r="O231" s="125"/>
      <c r="P231" s="125"/>
      <c r="Q231" s="125"/>
      <c r="R231" s="125"/>
      <c r="T231" s="125"/>
      <c r="U231" s="125"/>
      <c r="W231" s="125"/>
      <c r="AA231" s="102"/>
      <c r="AB231" s="102"/>
      <c r="AC231" s="102"/>
    </row>
    <row r="232" spans="1:29" s="125" customFormat="1" x14ac:dyDescent="0.25">
      <c r="A232" s="23" t="s">
        <v>179</v>
      </c>
      <c r="B232" s="115">
        <f>B11</f>
        <v>0</v>
      </c>
      <c r="C232" s="115">
        <f>C11</f>
        <v>0</v>
      </c>
      <c r="D232" s="115">
        <f t="shared" si="186"/>
        <v>0</v>
      </c>
      <c r="E232" s="140">
        <f>D232*25.4</f>
        <v>0</v>
      </c>
      <c r="F232" s="140">
        <f>B232*25.4+C232*50.8</f>
        <v>0</v>
      </c>
      <c r="G232" s="140">
        <f t="shared" si="187"/>
        <v>0</v>
      </c>
      <c r="H232" s="140"/>
      <c r="I232" s="115">
        <f>D11</f>
        <v>1</v>
      </c>
      <c r="J232" s="115">
        <f>E11</f>
        <v>0</v>
      </c>
      <c r="K232" s="115">
        <f t="shared" si="189"/>
        <v>1</v>
      </c>
      <c r="L232" s="140">
        <f>K232*AD2</f>
        <v>10.55</v>
      </c>
      <c r="M232" s="140">
        <f>I232*10.55+J232*21.1</f>
        <v>10.55</v>
      </c>
      <c r="N232" s="140">
        <f>M232*104</f>
        <v>1097.2</v>
      </c>
      <c r="AA232" s="102"/>
      <c r="AB232" s="102"/>
      <c r="AC232" s="102"/>
    </row>
    <row r="233" spans="1:29" s="125" customForma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P233"/>
      <c r="Q233"/>
      <c r="R233"/>
      <c r="T233"/>
      <c r="U233"/>
    </row>
    <row r="234" spans="1:29" s="125" customFormat="1" x14ac:dyDescent="0.25">
      <c r="A234" s="180" t="s">
        <v>64</v>
      </c>
      <c r="B234" s="295">
        <f>SUM(B226:B233)</f>
        <v>4620</v>
      </c>
      <c r="C234" s="295">
        <f>SUM(C226:C233)</f>
        <v>1241</v>
      </c>
      <c r="D234" s="295">
        <f>SUM(D226:D233)</f>
        <v>5861</v>
      </c>
      <c r="E234" s="295">
        <f>SUM(E226:E231)</f>
        <v>234204.33000000002</v>
      </c>
      <c r="F234" s="295">
        <f>SUM(F226:F231)</f>
        <v>286494.90000000002</v>
      </c>
      <c r="G234" s="295">
        <f>SUM(G226:G231)</f>
        <v>29795469.600000001</v>
      </c>
      <c r="H234" s="295"/>
      <c r="I234" s="295">
        <f>SUM(I226:I232)</f>
        <v>4647</v>
      </c>
      <c r="J234" s="295">
        <f t="shared" ref="J234:N234" si="192">SUM(J226:J232)</f>
        <v>1201</v>
      </c>
      <c r="K234" s="295">
        <f t="shared" si="192"/>
        <v>5848</v>
      </c>
      <c r="L234" s="295">
        <f t="shared" si="192"/>
        <v>233835.38000000003</v>
      </c>
      <c r="M234" s="295">
        <f t="shared" si="192"/>
        <v>284428.79000000004</v>
      </c>
      <c r="N234" s="295">
        <f t="shared" si="192"/>
        <v>29580594.16</v>
      </c>
      <c r="P234"/>
      <c r="Q234"/>
      <c r="R234"/>
      <c r="T234"/>
      <c r="U234"/>
    </row>
    <row r="235" spans="1:29" x14ac:dyDescent="0.25">
      <c r="A235" s="125"/>
      <c r="B235" s="125"/>
      <c r="C235" s="125"/>
      <c r="D235" s="125"/>
      <c r="E235" s="125"/>
      <c r="F235" s="125"/>
      <c r="G235" s="125"/>
      <c r="I235" s="125"/>
      <c r="J235" s="125"/>
      <c r="K235" s="125"/>
      <c r="L235" s="125"/>
      <c r="M235" s="213"/>
      <c r="N235" s="125"/>
      <c r="O235" s="125"/>
      <c r="W235" s="125"/>
    </row>
    <row r="236" spans="1:29" ht="42" customHeight="1" thickBot="1" x14ac:dyDescent="0.3">
      <c r="B236" s="125" t="s">
        <v>65</v>
      </c>
      <c r="C236" s="125">
        <f>(B234)+(C234*2)</f>
        <v>7102</v>
      </c>
      <c r="D236" s="125"/>
      <c r="E236" s="125"/>
      <c r="F236" s="125" t="s">
        <v>65</v>
      </c>
      <c r="G236" s="125">
        <f>(I234)+(J234*2)</f>
        <v>7049</v>
      </c>
      <c r="I236" s="125"/>
      <c r="J236" s="202"/>
      <c r="K236" s="125"/>
      <c r="L236" s="125"/>
      <c r="M236" s="213"/>
      <c r="N236" s="125"/>
      <c r="O236" s="125"/>
      <c r="W236" s="125"/>
    </row>
    <row r="237" spans="1:29" x14ac:dyDescent="0.25">
      <c r="A237" s="24"/>
      <c r="B237" s="346" t="s">
        <v>55</v>
      </c>
      <c r="C237" s="347"/>
      <c r="D237" s="25" t="s">
        <v>65</v>
      </c>
      <c r="E237" s="26"/>
      <c r="F237" s="27" t="s">
        <v>61</v>
      </c>
      <c r="G237" s="27" t="s">
        <v>66</v>
      </c>
      <c r="H237" s="25"/>
      <c r="I237" s="28" t="s">
        <v>67</v>
      </c>
      <c r="J237" s="125"/>
      <c r="K237" s="125"/>
      <c r="L237" s="125"/>
      <c r="M237" s="125"/>
      <c r="N237" s="125"/>
      <c r="O237" s="125"/>
      <c r="W237" s="125"/>
    </row>
    <row r="238" spans="1:29" x14ac:dyDescent="0.25">
      <c r="A238" s="29"/>
      <c r="B238" s="30" t="s">
        <v>58</v>
      </c>
      <c r="C238" s="30" t="s">
        <v>68</v>
      </c>
      <c r="D238" s="31"/>
      <c r="E238" s="32"/>
      <c r="F238" s="30"/>
      <c r="G238" s="30"/>
      <c r="H238" s="31"/>
      <c r="I238" s="33"/>
      <c r="J238" s="125"/>
      <c r="K238" s="125"/>
      <c r="L238" s="125"/>
      <c r="M238" s="125"/>
      <c r="N238" s="125"/>
      <c r="O238" s="125"/>
      <c r="W238" s="125"/>
    </row>
    <row r="239" spans="1:29" ht="15" hidden="1" customHeight="1" x14ac:dyDescent="0.25">
      <c r="A239" s="34" t="s">
        <v>69</v>
      </c>
      <c r="B239" s="145" t="e">
        <f>+#REF!</f>
        <v>#REF!</v>
      </c>
      <c r="C239" s="145" t="e">
        <f>+#REF!</f>
        <v>#REF!</v>
      </c>
      <c r="D239" s="145" t="e">
        <f>+B239+2*C239</f>
        <v>#REF!</v>
      </c>
      <c r="E239" s="35" t="s">
        <v>69</v>
      </c>
      <c r="F239" s="36">
        <f>+E234</f>
        <v>234204.33000000002</v>
      </c>
      <c r="G239" s="36">
        <f>+F234</f>
        <v>286494.90000000002</v>
      </c>
      <c r="H239" s="305"/>
      <c r="I239" s="37">
        <f>+G234</f>
        <v>29795469.600000001</v>
      </c>
      <c r="J239" s="125"/>
      <c r="K239" s="125"/>
      <c r="L239" s="125"/>
      <c r="M239" s="125"/>
      <c r="N239" s="125"/>
      <c r="O239" s="125"/>
      <c r="W239" s="212"/>
    </row>
    <row r="240" spans="1:29" ht="15.75" hidden="1" customHeight="1" thickBot="1" x14ac:dyDescent="0.3">
      <c r="A240" s="38" t="s">
        <v>70</v>
      </c>
      <c r="B240" s="179" t="e">
        <f>+#REF!</f>
        <v>#REF!</v>
      </c>
      <c r="C240" s="179" t="e">
        <f>+#REF!</f>
        <v>#REF!</v>
      </c>
      <c r="D240" s="145" t="e">
        <f>+B240+2*C240</f>
        <v>#REF!</v>
      </c>
      <c r="E240" s="38" t="s">
        <v>70</v>
      </c>
      <c r="F240" s="39" t="e">
        <f>+#REF!</f>
        <v>#REF!</v>
      </c>
      <c r="G240" s="39" t="e">
        <f>+#REF!</f>
        <v>#REF!</v>
      </c>
      <c r="H240" s="306"/>
      <c r="I240" s="40" t="e">
        <f>+#REF!</f>
        <v>#REF!</v>
      </c>
      <c r="J240" s="125"/>
      <c r="K240" s="125"/>
      <c r="L240" s="125"/>
      <c r="M240" s="125"/>
      <c r="N240" s="125"/>
      <c r="O240" s="125"/>
      <c r="W240" s="212"/>
    </row>
    <row r="241" spans="3:23" ht="15" hidden="1" customHeight="1" x14ac:dyDescent="0.25">
      <c r="C241" s="125"/>
      <c r="D241" s="125"/>
      <c r="E241" s="125"/>
      <c r="F241" s="125"/>
      <c r="G241" s="125"/>
      <c r="I241" s="125" t="s">
        <v>65</v>
      </c>
      <c r="J241" s="225">
        <f>(I234)+(J234*2)</f>
        <v>7049</v>
      </c>
      <c r="K241" s="125"/>
      <c r="L241" s="125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</row>
    <row r="242" spans="3:23" ht="15" hidden="1" customHeight="1" x14ac:dyDescent="0.25">
      <c r="C242" s="125"/>
      <c r="D242" s="125"/>
      <c r="E242" s="125"/>
      <c r="F242" s="125"/>
      <c r="G242" s="125"/>
      <c r="I242" s="125"/>
      <c r="J242" s="125"/>
      <c r="K242" s="125"/>
      <c r="L242" s="125"/>
      <c r="M242" s="125"/>
      <c r="N242" s="125"/>
      <c r="O242" s="125"/>
    </row>
    <row r="243" spans="3:23" x14ac:dyDescent="0.25">
      <c r="C243" s="125"/>
    </row>
  </sheetData>
  <dataConsolidate>
    <dataRefs count="1">
      <dataRef name="=suma($G$5:$G$9)" r:id="rId1"/>
    </dataRefs>
  </dataConsolidate>
  <mergeCells count="31">
    <mergeCell ref="X3:X4"/>
    <mergeCell ref="H3:H4"/>
    <mergeCell ref="X224:X225"/>
    <mergeCell ref="W224:W225"/>
    <mergeCell ref="W3:W4"/>
    <mergeCell ref="P3:P4"/>
    <mergeCell ref="O3:O4"/>
    <mergeCell ref="Q3:S3"/>
    <mergeCell ref="I224:N224"/>
    <mergeCell ref="I3:I4"/>
    <mergeCell ref="K3:K4"/>
    <mergeCell ref="L3:L4"/>
    <mergeCell ref="J3:J4"/>
    <mergeCell ref="F3:F4"/>
    <mergeCell ref="G3:G4"/>
    <mergeCell ref="T224:V224"/>
    <mergeCell ref="T3:V3"/>
    <mergeCell ref="P224:S224"/>
    <mergeCell ref="M3:M4"/>
    <mergeCell ref="N3:N4"/>
    <mergeCell ref="A140:A144"/>
    <mergeCell ref="A126:A130"/>
    <mergeCell ref="A92:A94"/>
    <mergeCell ref="B237:C237"/>
    <mergeCell ref="B224:G224"/>
    <mergeCell ref="A77:A81"/>
    <mergeCell ref="B2:C2"/>
    <mergeCell ref="D2:E2"/>
    <mergeCell ref="B3:C3"/>
    <mergeCell ref="D3:E3"/>
    <mergeCell ref="A7:A9"/>
  </mergeCells>
  <conditionalFormatting sqref="D195:E200 D174:E179 D160:E165 D209:E214 D216:E221">
    <cfRule type="expression" dxfId="41" priority="317">
      <formula>AND($B160&lt;&gt;$D160)</formula>
    </cfRule>
  </conditionalFormatting>
  <conditionalFormatting sqref="D146:E151">
    <cfRule type="expression" dxfId="40" priority="107">
      <formula>AND($B146&lt;&gt;$D146)</formula>
    </cfRule>
  </conditionalFormatting>
  <conditionalFormatting sqref="D118:E123">
    <cfRule type="expression" dxfId="39" priority="78">
      <formula>AND($B118&lt;&gt;$D118)</formula>
    </cfRule>
  </conditionalFormatting>
  <conditionalFormatting sqref="D5:E11">
    <cfRule type="expression" dxfId="38" priority="49">
      <formula>AND($B5&lt;&gt;$D5)</formula>
    </cfRule>
  </conditionalFormatting>
  <conditionalFormatting sqref="D69:E74">
    <cfRule type="expression" dxfId="37" priority="63">
      <formula>AND($B69&lt;&gt;$D69)</formula>
    </cfRule>
  </conditionalFormatting>
  <conditionalFormatting sqref="D34:E39">
    <cfRule type="expression" dxfId="36" priority="47">
      <formula>AND($B34&lt;&gt;$D34)</formula>
    </cfRule>
  </conditionalFormatting>
  <conditionalFormatting sqref="D62:D67">
    <cfRule type="expression" dxfId="35" priority="39">
      <formula>AND($B62&lt;&gt;$D62)</formula>
    </cfRule>
  </conditionalFormatting>
  <conditionalFormatting sqref="D13:E18">
    <cfRule type="expression" dxfId="34" priority="48">
      <formula>AND($B13&lt;&gt;$D13)</formula>
    </cfRule>
  </conditionalFormatting>
  <conditionalFormatting sqref="D41:E46">
    <cfRule type="expression" dxfId="33" priority="46">
      <formula>AND($B41&lt;&gt;$D41)</formula>
    </cfRule>
  </conditionalFormatting>
  <conditionalFormatting sqref="D41:E46">
    <cfRule type="expression" dxfId="32" priority="45">
      <formula>AND($B41&lt;&gt;$D41)</formula>
    </cfRule>
  </conditionalFormatting>
  <conditionalFormatting sqref="D34:E39">
    <cfRule type="expression" dxfId="31" priority="44">
      <formula>AND($B34&lt;&gt;$D34)</formula>
    </cfRule>
  </conditionalFormatting>
  <conditionalFormatting sqref="E62:E67">
    <cfRule type="expression" dxfId="30" priority="38">
      <formula>AND($C62&lt;&gt;$E62)</formula>
    </cfRule>
  </conditionalFormatting>
  <conditionalFormatting sqref="E48:E53">
    <cfRule type="expression" dxfId="29" priority="42">
      <formula>AND($C48&lt;&gt;$E48)</formula>
    </cfRule>
  </conditionalFormatting>
  <conditionalFormatting sqref="D48:D53">
    <cfRule type="expression" dxfId="28" priority="43">
      <formula>AND($B48&lt;&gt;$D48)</formula>
    </cfRule>
  </conditionalFormatting>
  <conditionalFormatting sqref="D83:E88">
    <cfRule type="expression" dxfId="27" priority="37">
      <formula>AND($B83&lt;&gt;$D83)</formula>
    </cfRule>
  </conditionalFormatting>
  <conditionalFormatting sqref="D83:E88">
    <cfRule type="expression" dxfId="26" priority="34">
      <formula>AND($B83&lt;&gt;$D83)</formula>
    </cfRule>
  </conditionalFormatting>
  <conditionalFormatting sqref="D97:D102">
    <cfRule type="expression" dxfId="25" priority="33">
      <formula>AND($B97&lt;&gt;$D97)</formula>
    </cfRule>
  </conditionalFormatting>
  <conditionalFormatting sqref="E97:E102">
    <cfRule type="expression" dxfId="24" priority="32">
      <formula>AND($B97&lt;&gt;$D97)</formula>
    </cfRule>
  </conditionalFormatting>
  <conditionalFormatting sqref="D104:D109">
    <cfRule type="expression" dxfId="23" priority="31">
      <formula>AND($B104&lt;&gt;$D104)</formula>
    </cfRule>
  </conditionalFormatting>
  <conditionalFormatting sqref="E104:E109">
    <cfRule type="expression" dxfId="22" priority="30">
      <formula>AND($B104&lt;&gt;$D104)</formula>
    </cfRule>
  </conditionalFormatting>
  <conditionalFormatting sqref="D111:D116">
    <cfRule type="expression" dxfId="21" priority="29">
      <formula>AND($B111&lt;&gt;$D111)</formula>
    </cfRule>
  </conditionalFormatting>
  <conditionalFormatting sqref="E111:E116">
    <cfRule type="expression" dxfId="20" priority="28">
      <formula>AND($B111&lt;&gt;$D111)</formula>
    </cfRule>
  </conditionalFormatting>
  <conditionalFormatting sqref="D125:E130">
    <cfRule type="expression" dxfId="19" priority="27">
      <formula>AND($B125&lt;&gt;$D125)</formula>
    </cfRule>
  </conditionalFormatting>
  <conditionalFormatting sqref="D125:E130">
    <cfRule type="expression" dxfId="18" priority="26">
      <formula>AND($B125&lt;&gt;$D125)</formula>
    </cfRule>
  </conditionalFormatting>
  <conditionalFormatting sqref="D132:E137">
    <cfRule type="expression" dxfId="17" priority="25">
      <formula>AND($B132&lt;&gt;$D132)</formula>
    </cfRule>
  </conditionalFormatting>
  <conditionalFormatting sqref="D132:E137">
    <cfRule type="expression" dxfId="16" priority="24">
      <formula>AND($B132&lt;&gt;$D132)</formula>
    </cfRule>
  </conditionalFormatting>
  <conditionalFormatting sqref="D139:E144">
    <cfRule type="expression" dxfId="15" priority="23">
      <formula>AND($B139&lt;&gt;$D139)</formula>
    </cfRule>
  </conditionalFormatting>
  <conditionalFormatting sqref="D139:E144">
    <cfRule type="expression" dxfId="14" priority="22">
      <formula>AND($B139&lt;&gt;$D139)</formula>
    </cfRule>
  </conditionalFormatting>
  <conditionalFormatting sqref="D181:E186">
    <cfRule type="expression" dxfId="13" priority="19">
      <formula>AND($B181&lt;&gt;$D181)</formula>
    </cfRule>
  </conditionalFormatting>
  <conditionalFormatting sqref="D188:E193">
    <cfRule type="expression" dxfId="12" priority="18">
      <formula>AND($B188&lt;&gt;$D188)</formula>
    </cfRule>
  </conditionalFormatting>
  <conditionalFormatting sqref="D188:E193">
    <cfRule type="expression" dxfId="11" priority="17">
      <formula>AND($B188&lt;&gt;$D188)</formula>
    </cfRule>
  </conditionalFormatting>
  <conditionalFormatting sqref="D181:E186">
    <cfRule type="expression" dxfId="10" priority="16">
      <formula>AND($B181&lt;&gt;$D181)</formula>
    </cfRule>
  </conditionalFormatting>
  <conditionalFormatting sqref="D202:E207">
    <cfRule type="expression" dxfId="9" priority="15">
      <formula>AND($B202&lt;&gt;$D202)</formula>
    </cfRule>
  </conditionalFormatting>
  <conditionalFormatting sqref="D167:E172">
    <cfRule type="expression" dxfId="8" priority="11">
      <formula>AND($B167&lt;&gt;$D167)</formula>
    </cfRule>
  </conditionalFormatting>
  <conditionalFormatting sqref="D20:E25">
    <cfRule type="expression" dxfId="7" priority="9">
      <formula>AND($B20&lt;&gt;$D20)</formula>
    </cfRule>
  </conditionalFormatting>
  <conditionalFormatting sqref="D27:E32">
    <cfRule type="expression" dxfId="6" priority="8">
      <formula>AND($B27&lt;&gt;$D27)</formula>
    </cfRule>
  </conditionalFormatting>
  <conditionalFormatting sqref="D55:D60">
    <cfRule type="expression" dxfId="5" priority="6">
      <formula>AND($B55&lt;&gt;$D55)</formula>
    </cfRule>
  </conditionalFormatting>
  <conditionalFormatting sqref="E55:E60">
    <cfRule type="expression" dxfId="4" priority="5">
      <formula>AND($C55&lt;&gt;$E55)</formula>
    </cfRule>
  </conditionalFormatting>
  <conditionalFormatting sqref="D76:E81">
    <cfRule type="expression" dxfId="3" priority="4">
      <formula>AND($B76&lt;&gt;$D76)</formula>
    </cfRule>
  </conditionalFormatting>
  <conditionalFormatting sqref="D153:E158">
    <cfRule type="expression" dxfId="2" priority="3">
      <formula>AND($B153&lt;&gt;$D153)</formula>
    </cfRule>
  </conditionalFormatting>
  <conditionalFormatting sqref="D90:E95">
    <cfRule type="expression" dxfId="1" priority="2">
      <formula>AND($B90&lt;&gt;$D90)</formula>
    </cfRule>
  </conditionalFormatting>
  <conditionalFormatting sqref="D90:E95">
    <cfRule type="expression" dxfId="0" priority="1">
      <formula>AND($B90&lt;&gt;$D90)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G6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48" sqref="D48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67">
        <v>45870</v>
      </c>
      <c r="E1" s="367"/>
      <c r="F1" s="367">
        <v>45871</v>
      </c>
      <c r="G1" s="367"/>
      <c r="H1" s="367">
        <v>45872</v>
      </c>
      <c r="I1" s="367"/>
      <c r="J1" s="367">
        <v>45873</v>
      </c>
      <c r="K1" s="367"/>
      <c r="L1" s="367">
        <v>45874</v>
      </c>
      <c r="M1" s="367"/>
      <c r="N1" s="367">
        <v>45875</v>
      </c>
      <c r="O1" s="367"/>
      <c r="P1" s="367">
        <v>45876</v>
      </c>
      <c r="Q1" s="367"/>
      <c r="R1" s="367">
        <v>45877</v>
      </c>
      <c r="S1" s="367"/>
      <c r="T1" s="367">
        <v>45878</v>
      </c>
      <c r="U1" s="367"/>
      <c r="V1" s="367">
        <v>45879</v>
      </c>
      <c r="W1" s="367"/>
      <c r="X1" s="367">
        <v>45880</v>
      </c>
      <c r="Y1" s="367"/>
      <c r="Z1" s="367">
        <v>45881</v>
      </c>
      <c r="AA1" s="367"/>
      <c r="AB1" s="367">
        <v>45882</v>
      </c>
      <c r="AC1" s="367"/>
      <c r="AD1" s="367">
        <v>45883</v>
      </c>
      <c r="AE1" s="367"/>
      <c r="AF1" s="367">
        <v>45884</v>
      </c>
      <c r="AG1" s="367"/>
      <c r="AH1" s="367">
        <v>45885</v>
      </c>
      <c r="AI1" s="367"/>
      <c r="AJ1" s="367">
        <v>45886</v>
      </c>
      <c r="AK1" s="367"/>
      <c r="AL1" s="367">
        <v>45887</v>
      </c>
      <c r="AM1" s="367"/>
      <c r="AN1" s="367">
        <v>45888</v>
      </c>
      <c r="AO1" s="367"/>
      <c r="AP1" s="367">
        <v>45889</v>
      </c>
      <c r="AQ1" s="367"/>
      <c r="AR1" s="367">
        <v>45890</v>
      </c>
      <c r="AS1" s="367"/>
      <c r="AT1" s="367">
        <v>45891</v>
      </c>
      <c r="AU1" s="367"/>
      <c r="AV1" s="367">
        <v>45892</v>
      </c>
      <c r="AW1" s="367"/>
      <c r="AX1" s="367">
        <v>45893</v>
      </c>
      <c r="AY1" s="367"/>
      <c r="AZ1" s="367">
        <v>45894</v>
      </c>
      <c r="BA1" s="367"/>
      <c r="BB1" s="367">
        <v>45895</v>
      </c>
      <c r="BC1" s="367"/>
      <c r="BD1" s="367">
        <v>45896</v>
      </c>
      <c r="BE1" s="367"/>
      <c r="BF1" s="367">
        <v>45897</v>
      </c>
      <c r="BG1" s="367"/>
      <c r="BH1" s="367">
        <v>45898</v>
      </c>
      <c r="BI1" s="367"/>
      <c r="BJ1" s="367">
        <v>45899</v>
      </c>
      <c r="BK1" s="367"/>
      <c r="BL1" s="367">
        <v>45900</v>
      </c>
      <c r="BM1" s="367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5" ht="15.75" thickBot="1" x14ac:dyDescent="0.3">
      <c r="A3" s="66" t="s">
        <v>73</v>
      </c>
      <c r="B3" s="67"/>
      <c r="C3" s="8"/>
      <c r="D3" s="157">
        <v>10</v>
      </c>
      <c r="E3" s="157">
        <v>0</v>
      </c>
      <c r="F3" s="136">
        <v>0</v>
      </c>
      <c r="G3" s="136">
        <v>0</v>
      </c>
      <c r="H3" s="137">
        <v>0</v>
      </c>
      <c r="I3" s="329">
        <v>0</v>
      </c>
      <c r="J3" s="157">
        <v>10</v>
      </c>
      <c r="K3" s="157">
        <v>0</v>
      </c>
      <c r="L3" s="157">
        <v>10</v>
      </c>
      <c r="M3" s="157">
        <v>0</v>
      </c>
      <c r="N3" s="157">
        <v>10</v>
      </c>
      <c r="O3" s="157">
        <v>0</v>
      </c>
      <c r="P3" s="157">
        <v>10</v>
      </c>
      <c r="Q3" s="157">
        <v>0</v>
      </c>
      <c r="R3" s="157">
        <v>10</v>
      </c>
      <c r="S3" s="157">
        <v>0</v>
      </c>
      <c r="T3" s="136">
        <v>0</v>
      </c>
      <c r="U3" s="331">
        <v>0</v>
      </c>
      <c r="V3" s="137">
        <v>0</v>
      </c>
      <c r="W3" s="137">
        <v>0</v>
      </c>
      <c r="X3" s="157">
        <v>7</v>
      </c>
      <c r="Y3" s="157">
        <v>3</v>
      </c>
      <c r="Z3" s="157">
        <v>7</v>
      </c>
      <c r="AA3" s="157">
        <v>3</v>
      </c>
      <c r="AB3" s="157">
        <v>7</v>
      </c>
      <c r="AC3" s="157">
        <v>3</v>
      </c>
      <c r="AD3" s="157">
        <v>7</v>
      </c>
      <c r="AE3" s="157">
        <v>3</v>
      </c>
      <c r="AF3" s="137">
        <v>0</v>
      </c>
      <c r="AG3" s="137">
        <v>0</v>
      </c>
      <c r="AH3" s="136">
        <v>0</v>
      </c>
      <c r="AI3" s="136">
        <v>0</v>
      </c>
      <c r="AJ3" s="137">
        <v>0</v>
      </c>
      <c r="AK3" s="137">
        <v>0</v>
      </c>
      <c r="AL3" s="157">
        <v>7</v>
      </c>
      <c r="AM3" s="157">
        <v>3</v>
      </c>
      <c r="AN3" s="157">
        <v>7</v>
      </c>
      <c r="AO3" s="157">
        <v>3</v>
      </c>
      <c r="AP3" s="157">
        <v>7</v>
      </c>
      <c r="AQ3" s="157">
        <v>3</v>
      </c>
      <c r="AR3" s="157">
        <v>7</v>
      </c>
      <c r="AS3" s="157">
        <v>3</v>
      </c>
      <c r="AT3" s="157">
        <v>10</v>
      </c>
      <c r="AU3" s="157">
        <v>0</v>
      </c>
      <c r="AV3" s="136">
        <v>0</v>
      </c>
      <c r="AW3" s="331">
        <v>0</v>
      </c>
      <c r="AX3" s="137">
        <v>0</v>
      </c>
      <c r="AY3" s="137">
        <v>0</v>
      </c>
      <c r="AZ3" s="157">
        <v>7</v>
      </c>
      <c r="BA3" s="157">
        <v>3</v>
      </c>
      <c r="BB3" s="157">
        <v>7</v>
      </c>
      <c r="BC3" s="157">
        <v>3</v>
      </c>
      <c r="BD3" s="157">
        <v>7</v>
      </c>
      <c r="BE3" s="157">
        <v>3</v>
      </c>
      <c r="BF3" s="157">
        <v>7</v>
      </c>
      <c r="BG3" s="157">
        <v>3</v>
      </c>
      <c r="BH3" s="157">
        <v>7</v>
      </c>
      <c r="BI3" s="157">
        <v>3</v>
      </c>
      <c r="BJ3" s="136">
        <v>0</v>
      </c>
      <c r="BK3" s="136">
        <v>0</v>
      </c>
      <c r="BL3" s="137">
        <v>0</v>
      </c>
      <c r="BM3" s="137">
        <v>0</v>
      </c>
    </row>
    <row r="4" spans="1:65" s="125" customFormat="1" x14ac:dyDescent="0.25">
      <c r="A4" s="66" t="s">
        <v>123</v>
      </c>
      <c r="B4" s="156"/>
      <c r="C4" s="8"/>
      <c r="D4" s="157">
        <v>0</v>
      </c>
      <c r="E4" s="157">
        <v>0</v>
      </c>
      <c r="F4" s="136">
        <v>0</v>
      </c>
      <c r="G4" s="136">
        <v>0</v>
      </c>
      <c r="H4" s="137">
        <v>0</v>
      </c>
      <c r="I4" s="329">
        <v>0</v>
      </c>
      <c r="J4" s="157">
        <v>0</v>
      </c>
      <c r="K4" s="157">
        <v>0</v>
      </c>
      <c r="L4" s="157">
        <v>0</v>
      </c>
      <c r="M4" s="157">
        <v>0</v>
      </c>
      <c r="N4" s="157">
        <v>0</v>
      </c>
      <c r="O4" s="157">
        <v>0</v>
      </c>
      <c r="P4" s="157">
        <v>0</v>
      </c>
      <c r="Q4" s="157">
        <v>0</v>
      </c>
      <c r="R4" s="157">
        <v>0</v>
      </c>
      <c r="S4" s="157">
        <v>0</v>
      </c>
      <c r="T4" s="136">
        <v>0</v>
      </c>
      <c r="U4" s="331">
        <v>0</v>
      </c>
      <c r="V4" s="137">
        <v>0</v>
      </c>
      <c r="W4" s="137">
        <v>0</v>
      </c>
      <c r="X4" s="157">
        <v>0</v>
      </c>
      <c r="Y4" s="157">
        <v>0</v>
      </c>
      <c r="Z4" s="157">
        <v>0</v>
      </c>
      <c r="AA4" s="157">
        <v>0</v>
      </c>
      <c r="AB4" s="157">
        <v>0</v>
      </c>
      <c r="AC4" s="157">
        <v>0</v>
      </c>
      <c r="AD4" s="157">
        <v>0</v>
      </c>
      <c r="AE4" s="157">
        <v>0</v>
      </c>
      <c r="AF4" s="137">
        <v>0</v>
      </c>
      <c r="AG4" s="137">
        <v>0</v>
      </c>
      <c r="AH4" s="136">
        <v>0</v>
      </c>
      <c r="AI4" s="136">
        <v>0</v>
      </c>
      <c r="AJ4" s="137">
        <v>0</v>
      </c>
      <c r="AK4" s="137">
        <v>0</v>
      </c>
      <c r="AL4" s="157">
        <v>0</v>
      </c>
      <c r="AM4" s="157">
        <v>0</v>
      </c>
      <c r="AN4" s="157">
        <v>0</v>
      </c>
      <c r="AO4" s="157">
        <v>0</v>
      </c>
      <c r="AP4" s="157">
        <v>0</v>
      </c>
      <c r="AQ4" s="157">
        <v>0</v>
      </c>
      <c r="AR4" s="157">
        <v>0</v>
      </c>
      <c r="AS4" s="157">
        <v>0</v>
      </c>
      <c r="AT4" s="157">
        <v>0</v>
      </c>
      <c r="AU4" s="157">
        <v>0</v>
      </c>
      <c r="AV4" s="136">
        <v>0</v>
      </c>
      <c r="AW4" s="331">
        <v>0</v>
      </c>
      <c r="AX4" s="137">
        <v>0</v>
      </c>
      <c r="AY4" s="137">
        <v>0</v>
      </c>
      <c r="AZ4" s="157">
        <v>0</v>
      </c>
      <c r="BA4" s="157">
        <v>0</v>
      </c>
      <c r="BB4" s="157">
        <v>0</v>
      </c>
      <c r="BC4" s="157">
        <v>0</v>
      </c>
      <c r="BD4" s="157">
        <v>0</v>
      </c>
      <c r="BE4" s="157">
        <v>0</v>
      </c>
      <c r="BF4" s="157">
        <v>0</v>
      </c>
      <c r="BG4" s="157">
        <v>0</v>
      </c>
      <c r="BH4" s="157">
        <v>0</v>
      </c>
      <c r="BI4" s="157">
        <v>0</v>
      </c>
      <c r="BJ4" s="136">
        <v>0</v>
      </c>
      <c r="BK4" s="136">
        <v>0</v>
      </c>
      <c r="BL4" s="137">
        <v>0</v>
      </c>
      <c r="BM4" s="137">
        <v>0</v>
      </c>
    </row>
    <row r="5" spans="1:65" x14ac:dyDescent="0.25">
      <c r="A5" s="68" t="s">
        <v>74</v>
      </c>
      <c r="B5" s="69"/>
      <c r="C5" s="8"/>
      <c r="D5" s="157">
        <v>2</v>
      </c>
      <c r="E5" s="157">
        <v>8</v>
      </c>
      <c r="F5" s="136">
        <v>0</v>
      </c>
      <c r="G5" s="136">
        <v>0</v>
      </c>
      <c r="H5" s="137">
        <v>0</v>
      </c>
      <c r="I5" s="329">
        <v>0</v>
      </c>
      <c r="J5" s="157">
        <v>2</v>
      </c>
      <c r="K5" s="157">
        <v>8</v>
      </c>
      <c r="L5" s="157">
        <v>1</v>
      </c>
      <c r="M5" s="157">
        <v>9</v>
      </c>
      <c r="N5" s="157">
        <v>1</v>
      </c>
      <c r="O5" s="157">
        <v>9</v>
      </c>
      <c r="P5" s="157">
        <v>1</v>
      </c>
      <c r="Q5" s="157">
        <v>9</v>
      </c>
      <c r="R5" s="157">
        <v>1</v>
      </c>
      <c r="S5" s="157">
        <v>9</v>
      </c>
      <c r="T5" s="136">
        <v>0</v>
      </c>
      <c r="U5" s="331">
        <v>0</v>
      </c>
      <c r="V5" s="137">
        <v>0</v>
      </c>
      <c r="W5" s="137">
        <v>0</v>
      </c>
      <c r="X5" s="157">
        <v>1</v>
      </c>
      <c r="Y5" s="157">
        <v>9</v>
      </c>
      <c r="Z5" s="157">
        <v>1</v>
      </c>
      <c r="AA5" s="157">
        <v>9</v>
      </c>
      <c r="AB5" s="157">
        <v>1</v>
      </c>
      <c r="AC5" s="157">
        <v>9</v>
      </c>
      <c r="AD5" s="157">
        <v>2</v>
      </c>
      <c r="AE5" s="157">
        <v>8</v>
      </c>
      <c r="AF5" s="137">
        <v>0</v>
      </c>
      <c r="AG5" s="137">
        <v>0</v>
      </c>
      <c r="AH5" s="136">
        <v>0</v>
      </c>
      <c r="AI5" s="136">
        <v>0</v>
      </c>
      <c r="AJ5" s="137">
        <v>0</v>
      </c>
      <c r="AK5" s="137">
        <v>0</v>
      </c>
      <c r="AL5" s="157">
        <v>2</v>
      </c>
      <c r="AM5" s="157">
        <v>8</v>
      </c>
      <c r="AN5" s="157">
        <v>1</v>
      </c>
      <c r="AO5" s="157">
        <v>9</v>
      </c>
      <c r="AP5" s="157">
        <v>1</v>
      </c>
      <c r="AQ5" s="157">
        <v>9</v>
      </c>
      <c r="AR5" s="157">
        <v>1</v>
      </c>
      <c r="AS5" s="157">
        <v>9</v>
      </c>
      <c r="AT5" s="157">
        <v>4</v>
      </c>
      <c r="AU5" s="157">
        <v>6</v>
      </c>
      <c r="AV5" s="136">
        <v>0</v>
      </c>
      <c r="AW5" s="331">
        <v>0</v>
      </c>
      <c r="AX5" s="137">
        <v>0</v>
      </c>
      <c r="AY5" s="137">
        <v>0</v>
      </c>
      <c r="AZ5" s="157">
        <v>1</v>
      </c>
      <c r="BA5" s="157">
        <v>9</v>
      </c>
      <c r="BB5" s="157">
        <v>1</v>
      </c>
      <c r="BC5" s="157">
        <v>9</v>
      </c>
      <c r="BD5" s="157">
        <v>1</v>
      </c>
      <c r="BE5" s="157">
        <v>9</v>
      </c>
      <c r="BF5" s="157">
        <v>1</v>
      </c>
      <c r="BG5" s="157">
        <v>9</v>
      </c>
      <c r="BH5" s="157">
        <v>1</v>
      </c>
      <c r="BI5" s="157">
        <v>9</v>
      </c>
      <c r="BJ5" s="136">
        <v>0</v>
      </c>
      <c r="BK5" s="136">
        <v>0</v>
      </c>
      <c r="BL5" s="137">
        <v>0</v>
      </c>
      <c r="BM5" s="137">
        <v>0</v>
      </c>
    </row>
    <row r="6" spans="1:65" x14ac:dyDescent="0.25">
      <c r="A6" s="68" t="s">
        <v>75</v>
      </c>
      <c r="B6" s="69"/>
      <c r="C6" s="8"/>
      <c r="D6" s="157">
        <v>10</v>
      </c>
      <c r="E6" s="157">
        <v>0</v>
      </c>
      <c r="F6" s="136">
        <v>0</v>
      </c>
      <c r="G6" s="136">
        <v>0</v>
      </c>
      <c r="H6" s="137">
        <v>0</v>
      </c>
      <c r="I6" s="329">
        <v>0</v>
      </c>
      <c r="J6" s="157">
        <v>10</v>
      </c>
      <c r="K6" s="157">
        <v>0</v>
      </c>
      <c r="L6" s="157">
        <v>10</v>
      </c>
      <c r="M6" s="157">
        <v>0</v>
      </c>
      <c r="N6" s="157">
        <v>10</v>
      </c>
      <c r="O6" s="157">
        <v>0</v>
      </c>
      <c r="P6" s="157">
        <v>10</v>
      </c>
      <c r="Q6" s="157">
        <v>0</v>
      </c>
      <c r="R6" s="157">
        <v>10</v>
      </c>
      <c r="S6" s="157">
        <v>0</v>
      </c>
      <c r="T6" s="136">
        <v>0</v>
      </c>
      <c r="U6" s="331">
        <v>0</v>
      </c>
      <c r="V6" s="137">
        <v>0</v>
      </c>
      <c r="W6" s="137">
        <v>0</v>
      </c>
      <c r="X6" s="157">
        <v>10</v>
      </c>
      <c r="Y6" s="157">
        <v>0</v>
      </c>
      <c r="Z6" s="157">
        <v>10</v>
      </c>
      <c r="AA6" s="157">
        <v>0</v>
      </c>
      <c r="AB6" s="157">
        <v>10</v>
      </c>
      <c r="AC6" s="157">
        <v>0</v>
      </c>
      <c r="AD6" s="157">
        <v>10</v>
      </c>
      <c r="AE6" s="157">
        <v>0</v>
      </c>
      <c r="AF6" s="137">
        <v>0</v>
      </c>
      <c r="AG6" s="137">
        <v>0</v>
      </c>
      <c r="AH6" s="136">
        <v>0</v>
      </c>
      <c r="AI6" s="136">
        <v>0</v>
      </c>
      <c r="AJ6" s="137">
        <v>0</v>
      </c>
      <c r="AK6" s="137">
        <v>0</v>
      </c>
      <c r="AL6" s="157">
        <v>9</v>
      </c>
      <c r="AM6" s="157">
        <v>1</v>
      </c>
      <c r="AN6" s="157">
        <v>9</v>
      </c>
      <c r="AO6" s="157">
        <v>1</v>
      </c>
      <c r="AP6" s="157">
        <v>10</v>
      </c>
      <c r="AQ6" s="157">
        <v>0</v>
      </c>
      <c r="AR6" s="157">
        <v>10</v>
      </c>
      <c r="AS6" s="157">
        <v>0</v>
      </c>
      <c r="AT6" s="157">
        <v>10</v>
      </c>
      <c r="AU6" s="157">
        <v>0</v>
      </c>
      <c r="AV6" s="136">
        <v>0</v>
      </c>
      <c r="AW6" s="331">
        <v>0</v>
      </c>
      <c r="AX6" s="137">
        <v>0</v>
      </c>
      <c r="AY6" s="137">
        <v>0</v>
      </c>
      <c r="AZ6" s="157">
        <v>10</v>
      </c>
      <c r="BA6" s="157">
        <v>0</v>
      </c>
      <c r="BB6" s="157">
        <v>9</v>
      </c>
      <c r="BC6" s="157">
        <v>1</v>
      </c>
      <c r="BD6" s="157">
        <v>9</v>
      </c>
      <c r="BE6" s="157">
        <v>1</v>
      </c>
      <c r="BF6" s="157">
        <v>10</v>
      </c>
      <c r="BG6" s="157">
        <v>0</v>
      </c>
      <c r="BH6" s="157">
        <v>10</v>
      </c>
      <c r="BI6" s="157">
        <v>0</v>
      </c>
      <c r="BJ6" s="136">
        <v>0</v>
      </c>
      <c r="BK6" s="136">
        <v>0</v>
      </c>
      <c r="BL6" s="137">
        <v>0</v>
      </c>
      <c r="BM6" s="137">
        <v>0</v>
      </c>
    </row>
    <row r="7" spans="1:65" x14ac:dyDescent="0.25">
      <c r="A7" s="68" t="s">
        <v>76</v>
      </c>
      <c r="B7" s="69"/>
      <c r="C7" s="8"/>
      <c r="D7" s="157">
        <v>0</v>
      </c>
      <c r="E7" s="157">
        <v>0</v>
      </c>
      <c r="F7" s="136">
        <v>0</v>
      </c>
      <c r="G7" s="136">
        <v>0</v>
      </c>
      <c r="H7" s="137">
        <v>0</v>
      </c>
      <c r="I7" s="329">
        <v>0</v>
      </c>
      <c r="J7" s="157">
        <v>0</v>
      </c>
      <c r="K7" s="157">
        <v>0</v>
      </c>
      <c r="L7" s="157">
        <v>0</v>
      </c>
      <c r="M7" s="157">
        <v>0</v>
      </c>
      <c r="N7" s="157">
        <v>0</v>
      </c>
      <c r="O7" s="157">
        <v>0</v>
      </c>
      <c r="P7" s="157">
        <v>0</v>
      </c>
      <c r="Q7" s="157">
        <v>0</v>
      </c>
      <c r="R7" s="157">
        <v>0</v>
      </c>
      <c r="S7" s="157">
        <v>0</v>
      </c>
      <c r="T7" s="136">
        <v>0</v>
      </c>
      <c r="U7" s="331">
        <v>0</v>
      </c>
      <c r="V7" s="137">
        <v>0</v>
      </c>
      <c r="W7" s="137">
        <v>0</v>
      </c>
      <c r="X7" s="157">
        <v>0</v>
      </c>
      <c r="Y7" s="157">
        <v>0</v>
      </c>
      <c r="Z7" s="157">
        <v>0</v>
      </c>
      <c r="AA7" s="157">
        <v>0</v>
      </c>
      <c r="AB7" s="157">
        <v>0</v>
      </c>
      <c r="AC7" s="157">
        <v>0</v>
      </c>
      <c r="AD7" s="157">
        <v>0</v>
      </c>
      <c r="AE7" s="157">
        <v>0</v>
      </c>
      <c r="AF7" s="137">
        <v>0</v>
      </c>
      <c r="AG7" s="137">
        <v>0</v>
      </c>
      <c r="AH7" s="136">
        <v>0</v>
      </c>
      <c r="AI7" s="136">
        <v>0</v>
      </c>
      <c r="AJ7" s="137">
        <v>0</v>
      </c>
      <c r="AK7" s="137">
        <v>0</v>
      </c>
      <c r="AL7" s="157">
        <v>0</v>
      </c>
      <c r="AM7" s="157">
        <v>0</v>
      </c>
      <c r="AN7" s="157">
        <v>0</v>
      </c>
      <c r="AO7" s="157">
        <v>0</v>
      </c>
      <c r="AP7" s="157">
        <v>0</v>
      </c>
      <c r="AQ7" s="157">
        <v>0</v>
      </c>
      <c r="AR7" s="157">
        <v>0</v>
      </c>
      <c r="AS7" s="157">
        <v>0</v>
      </c>
      <c r="AT7" s="157">
        <v>0</v>
      </c>
      <c r="AU7" s="157">
        <v>0</v>
      </c>
      <c r="AV7" s="136">
        <v>0</v>
      </c>
      <c r="AW7" s="331">
        <v>0</v>
      </c>
      <c r="AX7" s="137">
        <v>0</v>
      </c>
      <c r="AY7" s="137">
        <v>0</v>
      </c>
      <c r="AZ7" s="157">
        <v>0</v>
      </c>
      <c r="BA7" s="157">
        <v>0</v>
      </c>
      <c r="BB7" s="157">
        <v>0</v>
      </c>
      <c r="BC7" s="157">
        <v>0</v>
      </c>
      <c r="BD7" s="157">
        <v>0</v>
      </c>
      <c r="BE7" s="157">
        <v>0</v>
      </c>
      <c r="BF7" s="157">
        <v>0</v>
      </c>
      <c r="BG7" s="157">
        <v>0</v>
      </c>
      <c r="BH7" s="157">
        <v>0</v>
      </c>
      <c r="BI7" s="157">
        <v>0</v>
      </c>
      <c r="BJ7" s="136">
        <v>0</v>
      </c>
      <c r="BK7" s="136">
        <v>0</v>
      </c>
      <c r="BL7" s="137">
        <v>0</v>
      </c>
      <c r="BM7" s="137">
        <v>0</v>
      </c>
    </row>
    <row r="8" spans="1:65" ht="15.75" thickBot="1" x14ac:dyDescent="0.3">
      <c r="A8" s="68" t="s">
        <v>77</v>
      </c>
      <c r="B8" s="70"/>
      <c r="C8" s="8"/>
      <c r="D8" s="157">
        <v>7</v>
      </c>
      <c r="E8" s="157">
        <v>3</v>
      </c>
      <c r="F8" s="136">
        <v>0</v>
      </c>
      <c r="G8" s="136">
        <v>0</v>
      </c>
      <c r="H8" s="137">
        <v>0</v>
      </c>
      <c r="I8" s="329">
        <v>0</v>
      </c>
      <c r="J8" s="157">
        <v>7</v>
      </c>
      <c r="K8" s="157">
        <v>3</v>
      </c>
      <c r="L8" s="157">
        <v>6</v>
      </c>
      <c r="M8" s="157">
        <v>4</v>
      </c>
      <c r="N8" s="157">
        <v>6</v>
      </c>
      <c r="O8" s="157">
        <v>4</v>
      </c>
      <c r="P8" s="157">
        <v>6</v>
      </c>
      <c r="Q8" s="157">
        <v>4</v>
      </c>
      <c r="R8" s="157">
        <v>6</v>
      </c>
      <c r="S8" s="157">
        <v>4</v>
      </c>
      <c r="T8" s="136">
        <v>0</v>
      </c>
      <c r="U8" s="331">
        <v>0</v>
      </c>
      <c r="V8" s="137">
        <v>0</v>
      </c>
      <c r="W8" s="137">
        <v>0</v>
      </c>
      <c r="X8" s="157">
        <v>4</v>
      </c>
      <c r="Y8" s="157">
        <v>6</v>
      </c>
      <c r="Z8" s="157">
        <v>4</v>
      </c>
      <c r="AA8" s="157">
        <v>6</v>
      </c>
      <c r="AB8" s="157">
        <v>4</v>
      </c>
      <c r="AC8" s="157">
        <v>6</v>
      </c>
      <c r="AD8" s="157">
        <v>5</v>
      </c>
      <c r="AE8" s="157">
        <v>5</v>
      </c>
      <c r="AF8" s="137">
        <v>0</v>
      </c>
      <c r="AG8" s="137">
        <v>0</v>
      </c>
      <c r="AH8" s="136">
        <v>0</v>
      </c>
      <c r="AI8" s="136">
        <v>0</v>
      </c>
      <c r="AJ8" s="137">
        <v>0</v>
      </c>
      <c r="AK8" s="137">
        <v>0</v>
      </c>
      <c r="AL8" s="157">
        <v>4</v>
      </c>
      <c r="AM8" s="157">
        <v>6</v>
      </c>
      <c r="AN8" s="157">
        <v>4</v>
      </c>
      <c r="AO8" s="157">
        <v>6</v>
      </c>
      <c r="AP8" s="157">
        <v>4</v>
      </c>
      <c r="AQ8" s="157">
        <v>6</v>
      </c>
      <c r="AR8" s="157">
        <v>4</v>
      </c>
      <c r="AS8" s="157">
        <v>6</v>
      </c>
      <c r="AT8" s="157">
        <v>5</v>
      </c>
      <c r="AU8" s="157">
        <v>5</v>
      </c>
      <c r="AV8" s="136">
        <v>0</v>
      </c>
      <c r="AW8" s="331">
        <v>0</v>
      </c>
      <c r="AX8" s="137">
        <v>0</v>
      </c>
      <c r="AY8" s="137">
        <v>0</v>
      </c>
      <c r="AZ8" s="157">
        <v>4</v>
      </c>
      <c r="BA8" s="157">
        <v>6</v>
      </c>
      <c r="BB8" s="157">
        <v>4</v>
      </c>
      <c r="BC8" s="157">
        <v>6</v>
      </c>
      <c r="BD8" s="157">
        <v>4</v>
      </c>
      <c r="BE8" s="157">
        <v>6</v>
      </c>
      <c r="BF8" s="157">
        <v>4</v>
      </c>
      <c r="BG8" s="157">
        <v>6</v>
      </c>
      <c r="BH8" s="157">
        <v>4</v>
      </c>
      <c r="BI8" s="157">
        <v>6</v>
      </c>
      <c r="BJ8" s="136">
        <v>0</v>
      </c>
      <c r="BK8" s="136">
        <v>0</v>
      </c>
      <c r="BL8" s="137">
        <v>0</v>
      </c>
      <c r="BM8" s="137">
        <v>0</v>
      </c>
    </row>
    <row r="9" spans="1:65" x14ac:dyDescent="0.25">
      <c r="A9" s="54"/>
      <c r="B9" s="54"/>
      <c r="C9" s="8"/>
      <c r="D9" s="270"/>
      <c r="E9" s="270"/>
      <c r="F9" s="270"/>
      <c r="G9" s="270"/>
      <c r="H9" s="270"/>
      <c r="I9" s="270"/>
      <c r="J9" s="270"/>
      <c r="K9" s="270"/>
      <c r="L9" s="270" t="s">
        <v>144</v>
      </c>
      <c r="M9" s="270" t="s">
        <v>144</v>
      </c>
      <c r="N9" s="270" t="s">
        <v>144</v>
      </c>
      <c r="O9" s="270" t="s">
        <v>144</v>
      </c>
      <c r="P9" s="270" t="s">
        <v>144</v>
      </c>
      <c r="Q9" s="270" t="s">
        <v>144</v>
      </c>
      <c r="R9" s="270" t="s">
        <v>144</v>
      </c>
      <c r="S9" s="270" t="s">
        <v>144</v>
      </c>
      <c r="T9" s="270"/>
      <c r="U9" s="270"/>
      <c r="V9" s="270"/>
      <c r="W9" s="270"/>
      <c r="X9" s="270"/>
      <c r="Y9" s="270"/>
      <c r="Z9" s="270"/>
      <c r="AA9" s="270"/>
      <c r="AB9" s="270"/>
      <c r="AC9" s="270"/>
      <c r="AD9" s="270"/>
      <c r="AE9" s="270"/>
      <c r="AF9" s="270"/>
      <c r="AG9" s="270"/>
      <c r="AH9" s="270"/>
      <c r="AI9" s="270"/>
      <c r="AJ9" s="270"/>
      <c r="AK9" s="270"/>
      <c r="AL9" s="270" t="s">
        <v>144</v>
      </c>
      <c r="AM9" s="270" t="s">
        <v>144</v>
      </c>
      <c r="AN9" s="270" t="s">
        <v>144</v>
      </c>
      <c r="AO9" s="270" t="s">
        <v>144</v>
      </c>
      <c r="AP9" s="270" t="s">
        <v>144</v>
      </c>
      <c r="AQ9" s="270" t="s">
        <v>144</v>
      </c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0"/>
      <c r="BD9" s="270"/>
      <c r="BE9" s="270"/>
      <c r="BF9" s="270"/>
      <c r="BG9" s="270"/>
      <c r="BH9" s="270" t="s">
        <v>144</v>
      </c>
      <c r="BI9" s="270" t="s">
        <v>144</v>
      </c>
      <c r="BJ9" s="270" t="s">
        <v>144</v>
      </c>
      <c r="BK9" s="270" t="s">
        <v>144</v>
      </c>
      <c r="BL9" s="270" t="s">
        <v>144</v>
      </c>
      <c r="BM9" s="270" t="s">
        <v>144</v>
      </c>
    </row>
    <row r="10" spans="1:65" x14ac:dyDescent="0.25">
      <c r="A10" s="71" t="s">
        <v>73</v>
      </c>
      <c r="B10" s="72"/>
      <c r="C10" s="8"/>
      <c r="D10" s="157">
        <v>12</v>
      </c>
      <c r="E10" s="157">
        <v>0</v>
      </c>
      <c r="F10" s="136">
        <v>0</v>
      </c>
      <c r="G10" s="136">
        <v>0</v>
      </c>
      <c r="H10" s="137">
        <v>0</v>
      </c>
      <c r="I10" s="329">
        <v>0</v>
      </c>
      <c r="J10" s="157">
        <v>16</v>
      </c>
      <c r="K10" s="157">
        <v>0</v>
      </c>
      <c r="L10" s="157">
        <v>16</v>
      </c>
      <c r="M10" s="157">
        <v>0</v>
      </c>
      <c r="N10" s="157">
        <v>16</v>
      </c>
      <c r="O10" s="157">
        <v>0</v>
      </c>
      <c r="P10" s="157">
        <v>16</v>
      </c>
      <c r="Q10" s="157">
        <v>0</v>
      </c>
      <c r="R10" s="157">
        <v>16</v>
      </c>
      <c r="S10" s="157">
        <v>0</v>
      </c>
      <c r="T10" s="136">
        <v>0</v>
      </c>
      <c r="U10" s="331">
        <v>0</v>
      </c>
      <c r="V10" s="137">
        <v>0</v>
      </c>
      <c r="W10" s="137">
        <v>0</v>
      </c>
      <c r="X10" s="157">
        <v>16</v>
      </c>
      <c r="Y10" s="157">
        <v>0</v>
      </c>
      <c r="Z10" s="157">
        <v>16</v>
      </c>
      <c r="AA10" s="157">
        <v>0</v>
      </c>
      <c r="AB10" s="157">
        <v>16</v>
      </c>
      <c r="AC10" s="157">
        <v>0</v>
      </c>
      <c r="AD10" s="157">
        <v>16</v>
      </c>
      <c r="AE10" s="157">
        <v>0</v>
      </c>
      <c r="AF10" s="137">
        <v>0</v>
      </c>
      <c r="AG10" s="137">
        <v>0</v>
      </c>
      <c r="AH10" s="136">
        <v>0</v>
      </c>
      <c r="AI10" s="136">
        <v>0</v>
      </c>
      <c r="AJ10" s="137">
        <v>0</v>
      </c>
      <c r="AK10" s="137">
        <v>0</v>
      </c>
      <c r="AL10" s="157">
        <v>15</v>
      </c>
      <c r="AM10" s="157">
        <v>1</v>
      </c>
      <c r="AN10" s="157">
        <v>15</v>
      </c>
      <c r="AO10" s="157">
        <v>1</v>
      </c>
      <c r="AP10" s="157">
        <v>16</v>
      </c>
      <c r="AQ10" s="157">
        <v>0</v>
      </c>
      <c r="AR10" s="157">
        <v>14</v>
      </c>
      <c r="AS10" s="157">
        <v>0</v>
      </c>
      <c r="AT10" s="157">
        <v>16</v>
      </c>
      <c r="AU10" s="157">
        <v>0</v>
      </c>
      <c r="AV10" s="136">
        <v>0</v>
      </c>
      <c r="AW10" s="331">
        <v>0</v>
      </c>
      <c r="AX10" s="137">
        <v>0</v>
      </c>
      <c r="AY10" s="137">
        <v>0</v>
      </c>
      <c r="AZ10" s="157">
        <v>16</v>
      </c>
      <c r="BA10" s="157">
        <v>0</v>
      </c>
      <c r="BB10" s="157">
        <v>12</v>
      </c>
      <c r="BC10" s="157">
        <v>1</v>
      </c>
      <c r="BD10" s="157">
        <v>15</v>
      </c>
      <c r="BE10" s="157">
        <v>1</v>
      </c>
      <c r="BF10" s="157">
        <v>16</v>
      </c>
      <c r="BG10" s="157">
        <v>0</v>
      </c>
      <c r="BH10" s="157">
        <v>16</v>
      </c>
      <c r="BI10" s="157">
        <v>0</v>
      </c>
      <c r="BJ10" s="136">
        <v>0</v>
      </c>
      <c r="BK10" s="136">
        <v>0</v>
      </c>
      <c r="BL10" s="137">
        <v>0</v>
      </c>
      <c r="BM10" s="137">
        <v>0</v>
      </c>
    </row>
    <row r="11" spans="1:65" s="125" customFormat="1" x14ac:dyDescent="0.25">
      <c r="A11" s="71" t="s">
        <v>123</v>
      </c>
      <c r="B11" s="72"/>
      <c r="C11" s="8"/>
      <c r="D11" s="157">
        <v>0</v>
      </c>
      <c r="E11" s="157">
        <v>0</v>
      </c>
      <c r="F11" s="136">
        <v>0</v>
      </c>
      <c r="G11" s="136">
        <v>0</v>
      </c>
      <c r="H11" s="137">
        <v>0</v>
      </c>
      <c r="I11" s="329">
        <v>0</v>
      </c>
      <c r="J11" s="157">
        <v>0</v>
      </c>
      <c r="K11" s="157">
        <v>0</v>
      </c>
      <c r="L11" s="157">
        <v>0</v>
      </c>
      <c r="M11" s="157">
        <v>0</v>
      </c>
      <c r="N11" s="157">
        <v>0</v>
      </c>
      <c r="O11" s="157">
        <v>0</v>
      </c>
      <c r="P11" s="157">
        <v>0</v>
      </c>
      <c r="Q11" s="157">
        <v>0</v>
      </c>
      <c r="R11" s="157">
        <v>0</v>
      </c>
      <c r="S11" s="157">
        <v>0</v>
      </c>
      <c r="T11" s="136">
        <v>0</v>
      </c>
      <c r="U11" s="331">
        <v>0</v>
      </c>
      <c r="V11" s="137">
        <v>0</v>
      </c>
      <c r="W11" s="137">
        <v>0</v>
      </c>
      <c r="X11" s="157">
        <v>0</v>
      </c>
      <c r="Y11" s="157">
        <v>0</v>
      </c>
      <c r="Z11" s="157">
        <v>0</v>
      </c>
      <c r="AA11" s="157">
        <v>0</v>
      </c>
      <c r="AB11" s="157">
        <v>0</v>
      </c>
      <c r="AC11" s="157">
        <v>0</v>
      </c>
      <c r="AD11" s="157">
        <v>0</v>
      </c>
      <c r="AE11" s="157">
        <v>0</v>
      </c>
      <c r="AF11" s="137">
        <v>0</v>
      </c>
      <c r="AG11" s="137">
        <v>0</v>
      </c>
      <c r="AH11" s="136">
        <v>0</v>
      </c>
      <c r="AI11" s="136">
        <v>0</v>
      </c>
      <c r="AJ11" s="137">
        <v>0</v>
      </c>
      <c r="AK11" s="137">
        <v>0</v>
      </c>
      <c r="AL11" s="157">
        <v>0</v>
      </c>
      <c r="AM11" s="157">
        <v>0</v>
      </c>
      <c r="AN11" s="157">
        <v>0</v>
      </c>
      <c r="AO11" s="157">
        <v>0</v>
      </c>
      <c r="AP11" s="157">
        <v>0</v>
      </c>
      <c r="AQ11" s="157">
        <v>0</v>
      </c>
      <c r="AR11" s="157">
        <v>0</v>
      </c>
      <c r="AS11" s="157">
        <v>0</v>
      </c>
      <c r="AT11" s="157">
        <v>0</v>
      </c>
      <c r="AU11" s="157">
        <v>0</v>
      </c>
      <c r="AV11" s="136">
        <v>0</v>
      </c>
      <c r="AW11" s="331">
        <v>0</v>
      </c>
      <c r="AX11" s="137">
        <v>0</v>
      </c>
      <c r="AY11" s="137">
        <v>0</v>
      </c>
      <c r="AZ11" s="157">
        <v>0</v>
      </c>
      <c r="BA11" s="157">
        <v>0</v>
      </c>
      <c r="BB11" s="157">
        <v>0</v>
      </c>
      <c r="BC11" s="157">
        <v>0</v>
      </c>
      <c r="BD11" s="157">
        <v>0</v>
      </c>
      <c r="BE11" s="157">
        <v>0</v>
      </c>
      <c r="BF11" s="157">
        <v>0</v>
      </c>
      <c r="BG11" s="157">
        <v>0</v>
      </c>
      <c r="BH11" s="157">
        <v>0</v>
      </c>
      <c r="BI11" s="157">
        <v>0</v>
      </c>
      <c r="BJ11" s="136">
        <v>0</v>
      </c>
      <c r="BK11" s="136">
        <v>0</v>
      </c>
      <c r="BL11" s="137">
        <v>0</v>
      </c>
      <c r="BM11" s="137">
        <v>0</v>
      </c>
    </row>
    <row r="12" spans="1:65" x14ac:dyDescent="0.25">
      <c r="A12" s="73" t="s">
        <v>74</v>
      </c>
      <c r="B12" s="74"/>
      <c r="C12" s="8"/>
      <c r="D12" s="157">
        <v>60</v>
      </c>
      <c r="E12" s="157">
        <v>1</v>
      </c>
      <c r="F12" s="136">
        <v>69</v>
      </c>
      <c r="G12" s="136">
        <v>3</v>
      </c>
      <c r="H12" s="137">
        <v>51</v>
      </c>
      <c r="I12" s="329">
        <v>3</v>
      </c>
      <c r="J12" s="157">
        <v>55</v>
      </c>
      <c r="K12" s="157">
        <v>6</v>
      </c>
      <c r="L12" s="157">
        <v>55</v>
      </c>
      <c r="M12" s="157">
        <v>6</v>
      </c>
      <c r="N12" s="157">
        <v>55</v>
      </c>
      <c r="O12" s="157">
        <v>6</v>
      </c>
      <c r="P12" s="157">
        <v>55</v>
      </c>
      <c r="Q12" s="157">
        <v>6</v>
      </c>
      <c r="R12" s="157">
        <v>55</v>
      </c>
      <c r="S12" s="157">
        <v>6</v>
      </c>
      <c r="T12" s="136">
        <v>69</v>
      </c>
      <c r="U12" s="331">
        <v>3</v>
      </c>
      <c r="V12" s="137">
        <v>51</v>
      </c>
      <c r="W12" s="137">
        <v>3</v>
      </c>
      <c r="X12" s="157">
        <v>47</v>
      </c>
      <c r="Y12" s="157">
        <v>14</v>
      </c>
      <c r="Z12" s="157">
        <v>47</v>
      </c>
      <c r="AA12" s="157">
        <v>14</v>
      </c>
      <c r="AB12" s="157">
        <v>47</v>
      </c>
      <c r="AC12" s="157">
        <v>14</v>
      </c>
      <c r="AD12" s="157">
        <v>47</v>
      </c>
      <c r="AE12" s="157">
        <v>14</v>
      </c>
      <c r="AF12" s="137">
        <v>51</v>
      </c>
      <c r="AG12" s="137">
        <v>3</v>
      </c>
      <c r="AH12" s="136">
        <v>69</v>
      </c>
      <c r="AI12" s="136">
        <v>3</v>
      </c>
      <c r="AJ12" s="137">
        <v>51</v>
      </c>
      <c r="AK12" s="137">
        <v>3</v>
      </c>
      <c r="AL12" s="157">
        <v>43</v>
      </c>
      <c r="AM12" s="157">
        <v>17</v>
      </c>
      <c r="AN12" s="157">
        <v>44</v>
      </c>
      <c r="AO12" s="157">
        <v>17</v>
      </c>
      <c r="AP12" s="157">
        <v>42</v>
      </c>
      <c r="AQ12" s="157">
        <v>19</v>
      </c>
      <c r="AR12" s="157">
        <v>44</v>
      </c>
      <c r="AS12" s="157">
        <v>17</v>
      </c>
      <c r="AT12" s="157">
        <v>49</v>
      </c>
      <c r="AU12" s="157">
        <v>12</v>
      </c>
      <c r="AV12" s="136">
        <v>69</v>
      </c>
      <c r="AW12" s="331">
        <v>3</v>
      </c>
      <c r="AX12" s="137">
        <v>51</v>
      </c>
      <c r="AY12" s="137">
        <v>3</v>
      </c>
      <c r="AZ12" s="157">
        <v>44</v>
      </c>
      <c r="BA12" s="157">
        <v>17</v>
      </c>
      <c r="BB12" s="157">
        <v>45</v>
      </c>
      <c r="BC12" s="157">
        <v>17</v>
      </c>
      <c r="BD12" s="157">
        <v>43</v>
      </c>
      <c r="BE12" s="157">
        <v>18</v>
      </c>
      <c r="BF12" s="157">
        <v>44</v>
      </c>
      <c r="BG12" s="157">
        <v>17</v>
      </c>
      <c r="BH12" s="157">
        <v>44</v>
      </c>
      <c r="BI12" s="157">
        <v>17</v>
      </c>
      <c r="BJ12" s="136">
        <v>69</v>
      </c>
      <c r="BK12" s="136">
        <v>3</v>
      </c>
      <c r="BL12" s="137">
        <v>51</v>
      </c>
      <c r="BM12" s="137">
        <v>3</v>
      </c>
    </row>
    <row r="13" spans="1:65" x14ac:dyDescent="0.25">
      <c r="A13" s="73" t="s">
        <v>75</v>
      </c>
      <c r="B13" s="74"/>
      <c r="C13" s="8"/>
      <c r="D13" s="157">
        <v>15</v>
      </c>
      <c r="E13" s="157">
        <v>0</v>
      </c>
      <c r="F13" s="136">
        <v>0</v>
      </c>
      <c r="G13" s="136">
        <v>0</v>
      </c>
      <c r="H13" s="137">
        <v>0</v>
      </c>
      <c r="I13" s="329">
        <v>0</v>
      </c>
      <c r="J13" s="157">
        <v>16</v>
      </c>
      <c r="K13" s="157">
        <v>0</v>
      </c>
      <c r="L13" s="157">
        <v>16</v>
      </c>
      <c r="M13" s="157">
        <v>0</v>
      </c>
      <c r="N13" s="157">
        <v>16</v>
      </c>
      <c r="O13" s="157">
        <v>0</v>
      </c>
      <c r="P13" s="157">
        <v>16</v>
      </c>
      <c r="Q13" s="157">
        <v>0</v>
      </c>
      <c r="R13" s="157">
        <v>16</v>
      </c>
      <c r="S13" s="157">
        <v>0</v>
      </c>
      <c r="T13" s="136">
        <v>0</v>
      </c>
      <c r="U13" s="331">
        <v>0</v>
      </c>
      <c r="V13" s="137">
        <v>0</v>
      </c>
      <c r="W13" s="137">
        <v>0</v>
      </c>
      <c r="X13" s="157">
        <v>13</v>
      </c>
      <c r="Y13" s="157">
        <v>3</v>
      </c>
      <c r="Z13" s="157">
        <v>13</v>
      </c>
      <c r="AA13" s="157">
        <v>3</v>
      </c>
      <c r="AB13" s="157">
        <v>12</v>
      </c>
      <c r="AC13" s="157">
        <v>3</v>
      </c>
      <c r="AD13" s="157">
        <v>13</v>
      </c>
      <c r="AE13" s="157">
        <v>3</v>
      </c>
      <c r="AF13" s="137">
        <v>0</v>
      </c>
      <c r="AG13" s="137">
        <v>0</v>
      </c>
      <c r="AH13" s="136">
        <v>0</v>
      </c>
      <c r="AI13" s="136">
        <v>0</v>
      </c>
      <c r="AJ13" s="137">
        <v>0</v>
      </c>
      <c r="AK13" s="137">
        <v>0</v>
      </c>
      <c r="AL13" s="157">
        <v>13</v>
      </c>
      <c r="AM13" s="157">
        <v>3</v>
      </c>
      <c r="AN13" s="157">
        <v>13</v>
      </c>
      <c r="AO13" s="157">
        <v>3</v>
      </c>
      <c r="AP13" s="157">
        <v>13</v>
      </c>
      <c r="AQ13" s="157">
        <v>3</v>
      </c>
      <c r="AR13" s="157">
        <v>13</v>
      </c>
      <c r="AS13" s="157">
        <v>3</v>
      </c>
      <c r="AT13" s="157">
        <v>16</v>
      </c>
      <c r="AU13" s="157">
        <v>0</v>
      </c>
      <c r="AV13" s="136">
        <v>0</v>
      </c>
      <c r="AW13" s="331">
        <v>0</v>
      </c>
      <c r="AX13" s="137">
        <v>0</v>
      </c>
      <c r="AY13" s="137">
        <v>0</v>
      </c>
      <c r="AZ13" s="157">
        <v>13</v>
      </c>
      <c r="BA13" s="157">
        <v>3</v>
      </c>
      <c r="BB13" s="157">
        <v>12</v>
      </c>
      <c r="BC13" s="157">
        <v>3</v>
      </c>
      <c r="BD13" s="157">
        <v>13</v>
      </c>
      <c r="BE13" s="157">
        <v>3</v>
      </c>
      <c r="BF13" s="157">
        <v>13</v>
      </c>
      <c r="BG13" s="157">
        <v>3</v>
      </c>
      <c r="BH13" s="157">
        <v>13</v>
      </c>
      <c r="BI13" s="157">
        <v>3</v>
      </c>
      <c r="BJ13" s="136">
        <v>0</v>
      </c>
      <c r="BK13" s="136">
        <v>0</v>
      </c>
      <c r="BL13" s="137">
        <v>0</v>
      </c>
      <c r="BM13" s="137">
        <v>0</v>
      </c>
    </row>
    <row r="14" spans="1:65" ht="15.75" thickBot="1" x14ac:dyDescent="0.3">
      <c r="A14" s="75" t="s">
        <v>76</v>
      </c>
      <c r="B14" s="76"/>
      <c r="C14" s="8"/>
      <c r="D14" s="157">
        <v>1</v>
      </c>
      <c r="E14" s="157">
        <v>0</v>
      </c>
      <c r="F14" s="136">
        <v>0</v>
      </c>
      <c r="G14" s="136">
        <v>0</v>
      </c>
      <c r="H14" s="137">
        <v>0</v>
      </c>
      <c r="I14" s="329">
        <v>0</v>
      </c>
      <c r="J14" s="157">
        <v>1</v>
      </c>
      <c r="K14" s="157">
        <v>0</v>
      </c>
      <c r="L14" s="157">
        <v>1</v>
      </c>
      <c r="M14" s="157">
        <v>0</v>
      </c>
      <c r="N14" s="157">
        <v>1</v>
      </c>
      <c r="O14" s="157">
        <v>0</v>
      </c>
      <c r="P14" s="157">
        <v>1</v>
      </c>
      <c r="Q14" s="157">
        <v>0</v>
      </c>
      <c r="R14" s="157">
        <v>1</v>
      </c>
      <c r="S14" s="157">
        <v>0</v>
      </c>
      <c r="T14" s="136">
        <v>0</v>
      </c>
      <c r="U14" s="331">
        <v>0</v>
      </c>
      <c r="V14" s="137">
        <v>0</v>
      </c>
      <c r="W14" s="137">
        <v>0</v>
      </c>
      <c r="X14" s="157">
        <v>1</v>
      </c>
      <c r="Y14" s="157">
        <v>0</v>
      </c>
      <c r="Z14" s="157">
        <v>1</v>
      </c>
      <c r="AA14" s="157">
        <v>0</v>
      </c>
      <c r="AB14" s="157">
        <v>1</v>
      </c>
      <c r="AC14" s="157">
        <v>0</v>
      </c>
      <c r="AD14" s="157">
        <v>1</v>
      </c>
      <c r="AE14" s="157">
        <v>0</v>
      </c>
      <c r="AF14" s="137">
        <v>0</v>
      </c>
      <c r="AG14" s="137">
        <v>0</v>
      </c>
      <c r="AH14" s="136">
        <v>0</v>
      </c>
      <c r="AI14" s="136">
        <v>0</v>
      </c>
      <c r="AJ14" s="137">
        <v>0</v>
      </c>
      <c r="AK14" s="137">
        <v>0</v>
      </c>
      <c r="AL14" s="157">
        <v>1</v>
      </c>
      <c r="AM14" s="157">
        <v>0</v>
      </c>
      <c r="AN14" s="157">
        <v>1</v>
      </c>
      <c r="AO14" s="157">
        <v>0</v>
      </c>
      <c r="AP14" s="157">
        <v>1</v>
      </c>
      <c r="AQ14" s="157">
        <v>0</v>
      </c>
      <c r="AR14" s="157">
        <v>1</v>
      </c>
      <c r="AS14" s="157">
        <v>0</v>
      </c>
      <c r="AT14" s="157">
        <v>1</v>
      </c>
      <c r="AU14" s="157">
        <v>0</v>
      </c>
      <c r="AV14" s="136">
        <v>0</v>
      </c>
      <c r="AW14" s="331">
        <v>0</v>
      </c>
      <c r="AX14" s="137">
        <v>0</v>
      </c>
      <c r="AY14" s="137">
        <v>0</v>
      </c>
      <c r="AZ14" s="157">
        <v>1</v>
      </c>
      <c r="BA14" s="157">
        <v>0</v>
      </c>
      <c r="BB14" s="157">
        <v>1</v>
      </c>
      <c r="BC14" s="157">
        <v>0</v>
      </c>
      <c r="BD14" s="157">
        <v>1</v>
      </c>
      <c r="BE14" s="157">
        <v>0</v>
      </c>
      <c r="BF14" s="157">
        <v>1</v>
      </c>
      <c r="BG14" s="157">
        <v>0</v>
      </c>
      <c r="BH14" s="157">
        <v>1</v>
      </c>
      <c r="BI14" s="157">
        <v>0</v>
      </c>
      <c r="BJ14" s="136">
        <v>0</v>
      </c>
      <c r="BK14" s="136">
        <v>0</v>
      </c>
      <c r="BL14" s="137">
        <v>0</v>
      </c>
      <c r="BM14" s="137">
        <v>0</v>
      </c>
    </row>
    <row r="15" spans="1:65" ht="15.75" thickBot="1" x14ac:dyDescent="0.3">
      <c r="A15" s="269" t="s">
        <v>77</v>
      </c>
      <c r="B15" s="269"/>
      <c r="C15" s="8"/>
      <c r="D15" s="157">
        <v>52</v>
      </c>
      <c r="E15" s="157">
        <v>9</v>
      </c>
      <c r="F15" s="136">
        <v>75</v>
      </c>
      <c r="G15" s="136">
        <v>0</v>
      </c>
      <c r="H15" s="137">
        <v>57</v>
      </c>
      <c r="I15" s="329">
        <v>0</v>
      </c>
      <c r="J15" s="157">
        <v>45</v>
      </c>
      <c r="K15" s="157">
        <v>16</v>
      </c>
      <c r="L15" s="157">
        <v>45</v>
      </c>
      <c r="M15" s="157">
        <v>16</v>
      </c>
      <c r="N15" s="157">
        <v>45</v>
      </c>
      <c r="O15" s="157">
        <v>16</v>
      </c>
      <c r="P15" s="157">
        <v>45</v>
      </c>
      <c r="Q15" s="157">
        <v>16</v>
      </c>
      <c r="R15" s="157">
        <v>45</v>
      </c>
      <c r="S15" s="157">
        <v>16</v>
      </c>
      <c r="T15" s="136">
        <v>75</v>
      </c>
      <c r="U15" s="331">
        <v>0</v>
      </c>
      <c r="V15" s="137">
        <v>57</v>
      </c>
      <c r="W15" s="137">
        <v>0</v>
      </c>
      <c r="X15" s="157">
        <v>39</v>
      </c>
      <c r="Y15" s="157">
        <v>22</v>
      </c>
      <c r="Z15" s="157">
        <v>39</v>
      </c>
      <c r="AA15" s="157">
        <v>22</v>
      </c>
      <c r="AB15" s="157">
        <v>40</v>
      </c>
      <c r="AC15" s="157">
        <v>21</v>
      </c>
      <c r="AD15" s="157">
        <v>39</v>
      </c>
      <c r="AE15" s="157">
        <v>22</v>
      </c>
      <c r="AF15" s="137">
        <v>57</v>
      </c>
      <c r="AG15" s="137">
        <v>0</v>
      </c>
      <c r="AH15" s="136">
        <v>75</v>
      </c>
      <c r="AI15" s="136">
        <v>0</v>
      </c>
      <c r="AJ15" s="137">
        <v>57</v>
      </c>
      <c r="AK15" s="137">
        <v>0</v>
      </c>
      <c r="AL15" s="157">
        <v>34</v>
      </c>
      <c r="AM15" s="157">
        <v>27</v>
      </c>
      <c r="AN15" s="157">
        <v>35</v>
      </c>
      <c r="AO15" s="157">
        <v>26</v>
      </c>
      <c r="AP15" s="157">
        <v>33</v>
      </c>
      <c r="AQ15" s="157">
        <v>28</v>
      </c>
      <c r="AR15" s="157">
        <v>34</v>
      </c>
      <c r="AS15" s="157">
        <v>27</v>
      </c>
      <c r="AT15" s="157">
        <v>42</v>
      </c>
      <c r="AU15" s="157">
        <v>19</v>
      </c>
      <c r="AV15" s="136">
        <v>75</v>
      </c>
      <c r="AW15" s="331">
        <v>0</v>
      </c>
      <c r="AX15" s="137">
        <v>57</v>
      </c>
      <c r="AY15" s="137">
        <v>0</v>
      </c>
      <c r="AZ15" s="157">
        <v>35</v>
      </c>
      <c r="BA15" s="157">
        <v>26</v>
      </c>
      <c r="BB15" s="157">
        <v>36</v>
      </c>
      <c r="BC15" s="157">
        <v>25</v>
      </c>
      <c r="BD15" s="157">
        <v>35</v>
      </c>
      <c r="BE15" s="157">
        <v>26</v>
      </c>
      <c r="BF15" s="157">
        <v>37</v>
      </c>
      <c r="BG15" s="157">
        <v>24</v>
      </c>
      <c r="BH15" s="157">
        <v>35</v>
      </c>
      <c r="BI15" s="157">
        <v>26</v>
      </c>
      <c r="BJ15" s="136">
        <v>75</v>
      </c>
      <c r="BK15" s="136">
        <v>0</v>
      </c>
      <c r="BL15" s="137">
        <v>57</v>
      </c>
      <c r="BM15" s="137">
        <v>0</v>
      </c>
    </row>
    <row r="16" spans="1:65" s="125" customFormat="1" x14ac:dyDescent="0.25">
      <c r="A16" s="54"/>
      <c r="B16" s="54"/>
      <c r="C16" s="8"/>
      <c r="D16" s="270"/>
      <c r="E16" s="270"/>
      <c r="F16" s="270"/>
      <c r="G16" s="270"/>
      <c r="H16" s="270"/>
      <c r="I16" s="270"/>
      <c r="J16" s="270"/>
      <c r="K16" s="270"/>
      <c r="L16" s="270" t="s">
        <v>144</v>
      </c>
      <c r="M16" s="270" t="s">
        <v>144</v>
      </c>
      <c r="N16" s="270" t="s">
        <v>144</v>
      </c>
      <c r="O16" s="270" t="s">
        <v>144</v>
      </c>
      <c r="P16" s="270" t="s">
        <v>144</v>
      </c>
      <c r="Q16" s="270" t="s">
        <v>144</v>
      </c>
      <c r="R16" s="270" t="s">
        <v>144</v>
      </c>
      <c r="S16" s="270" t="s">
        <v>144</v>
      </c>
      <c r="T16" s="270"/>
      <c r="U16" s="270"/>
      <c r="V16" s="270"/>
      <c r="W16" s="270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 t="s">
        <v>144</v>
      </c>
      <c r="AM16" s="270" t="s">
        <v>144</v>
      </c>
      <c r="AN16" s="270" t="s">
        <v>144</v>
      </c>
      <c r="AO16" s="270" t="s">
        <v>144</v>
      </c>
      <c r="AP16" s="270" t="s">
        <v>144</v>
      </c>
      <c r="AQ16" s="270" t="s">
        <v>144</v>
      </c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0"/>
      <c r="BD16" s="270"/>
      <c r="BE16" s="270"/>
      <c r="BF16" s="270"/>
      <c r="BG16" s="270"/>
      <c r="BH16" s="270" t="s">
        <v>144</v>
      </c>
      <c r="BI16" s="270" t="s">
        <v>144</v>
      </c>
      <c r="BJ16" s="270" t="s">
        <v>144</v>
      </c>
      <c r="BK16" s="270" t="s">
        <v>144</v>
      </c>
      <c r="BL16" s="270" t="s">
        <v>144</v>
      </c>
      <c r="BM16" s="270" t="s">
        <v>144</v>
      </c>
    </row>
    <row r="17" spans="1:65 16309:16309" x14ac:dyDescent="0.25">
      <c r="A17" s="68" t="s">
        <v>73</v>
      </c>
      <c r="B17" s="69"/>
      <c r="C17" s="8"/>
      <c r="D17" s="278">
        <v>7</v>
      </c>
      <c r="E17" s="278">
        <v>0</v>
      </c>
      <c r="F17" s="312">
        <v>0</v>
      </c>
      <c r="G17" s="312">
        <v>0</v>
      </c>
      <c r="H17" s="137">
        <v>0</v>
      </c>
      <c r="I17" s="329">
        <v>0</v>
      </c>
      <c r="J17" s="278">
        <v>7</v>
      </c>
      <c r="K17" s="278">
        <v>0</v>
      </c>
      <c r="L17" s="157">
        <v>7</v>
      </c>
      <c r="M17" s="157">
        <v>0</v>
      </c>
      <c r="N17" s="157">
        <v>7</v>
      </c>
      <c r="O17" s="157">
        <v>0</v>
      </c>
      <c r="P17" s="298">
        <v>7</v>
      </c>
      <c r="Q17" s="298">
        <v>0</v>
      </c>
      <c r="R17" s="298">
        <v>7</v>
      </c>
      <c r="S17" s="299">
        <v>0</v>
      </c>
      <c r="T17" s="309">
        <v>0</v>
      </c>
      <c r="U17" s="311">
        <v>0</v>
      </c>
      <c r="V17" s="330">
        <v>0</v>
      </c>
      <c r="W17" s="330">
        <v>0</v>
      </c>
      <c r="X17" s="278">
        <v>7</v>
      </c>
      <c r="Y17" s="278">
        <v>0</v>
      </c>
      <c r="Z17" s="298">
        <v>7</v>
      </c>
      <c r="AA17" s="299">
        <v>0</v>
      </c>
      <c r="AB17" s="157">
        <v>6</v>
      </c>
      <c r="AC17" s="157">
        <v>0</v>
      </c>
      <c r="AD17" s="157">
        <v>7</v>
      </c>
      <c r="AE17" s="157">
        <v>0</v>
      </c>
      <c r="AF17" s="137">
        <v>0</v>
      </c>
      <c r="AG17" s="137">
        <v>0</v>
      </c>
      <c r="AH17" s="136">
        <v>0</v>
      </c>
      <c r="AI17" s="136">
        <v>0</v>
      </c>
      <c r="AJ17" s="330">
        <v>0</v>
      </c>
      <c r="AK17" s="330">
        <v>0</v>
      </c>
      <c r="AL17" s="298">
        <v>7</v>
      </c>
      <c r="AM17" s="298">
        <v>0</v>
      </c>
      <c r="AN17" s="157">
        <v>7</v>
      </c>
      <c r="AO17" s="157">
        <v>0</v>
      </c>
      <c r="AP17" s="157">
        <v>7</v>
      </c>
      <c r="AQ17" s="157">
        <v>0</v>
      </c>
      <c r="AR17" s="298">
        <v>6</v>
      </c>
      <c r="AS17" s="298">
        <v>0</v>
      </c>
      <c r="AT17" s="278">
        <v>7</v>
      </c>
      <c r="AU17" s="278">
        <v>0</v>
      </c>
      <c r="AV17" s="312">
        <v>0</v>
      </c>
      <c r="AW17" s="312">
        <v>0</v>
      </c>
      <c r="AX17" s="300">
        <v>0</v>
      </c>
      <c r="AY17" s="300">
        <v>0</v>
      </c>
      <c r="AZ17" s="278">
        <v>7</v>
      </c>
      <c r="BA17" s="278">
        <v>0</v>
      </c>
      <c r="BB17" s="278">
        <v>7</v>
      </c>
      <c r="BC17" s="278">
        <v>0</v>
      </c>
      <c r="BD17" s="157">
        <v>7</v>
      </c>
      <c r="BE17" s="157">
        <v>0</v>
      </c>
      <c r="BF17" s="298">
        <v>7</v>
      </c>
      <c r="BG17" s="298">
        <v>0</v>
      </c>
      <c r="BH17" s="278">
        <v>7</v>
      </c>
      <c r="BI17" s="278">
        <v>0</v>
      </c>
      <c r="BJ17" s="136">
        <v>0</v>
      </c>
      <c r="BK17" s="136">
        <v>0</v>
      </c>
      <c r="BL17" s="137">
        <v>0</v>
      </c>
      <c r="BM17" s="137">
        <v>0</v>
      </c>
    </row>
    <row r="18" spans="1:65 16309:16309" s="125" customFormat="1" x14ac:dyDescent="0.25">
      <c r="A18" s="68" t="s">
        <v>123</v>
      </c>
      <c r="B18" s="69"/>
      <c r="C18" s="8"/>
      <c r="D18" s="278">
        <v>0</v>
      </c>
      <c r="E18" s="278">
        <v>0</v>
      </c>
      <c r="F18" s="312">
        <v>0</v>
      </c>
      <c r="G18" s="312">
        <v>0</v>
      </c>
      <c r="H18" s="137">
        <v>0</v>
      </c>
      <c r="I18" s="329">
        <v>0</v>
      </c>
      <c r="J18" s="278">
        <v>0</v>
      </c>
      <c r="K18" s="278">
        <v>0</v>
      </c>
      <c r="L18" s="157">
        <v>0</v>
      </c>
      <c r="M18" s="157">
        <v>0</v>
      </c>
      <c r="N18" s="157">
        <v>0</v>
      </c>
      <c r="O18" s="157">
        <v>0</v>
      </c>
      <c r="P18" s="298">
        <v>0</v>
      </c>
      <c r="Q18" s="298">
        <v>0</v>
      </c>
      <c r="R18" s="298">
        <v>0</v>
      </c>
      <c r="S18" s="299">
        <v>0</v>
      </c>
      <c r="T18" s="309">
        <v>0</v>
      </c>
      <c r="U18" s="311">
        <v>0</v>
      </c>
      <c r="V18" s="330">
        <v>0</v>
      </c>
      <c r="W18" s="330">
        <v>0</v>
      </c>
      <c r="X18" s="278">
        <v>0</v>
      </c>
      <c r="Y18" s="278">
        <v>0</v>
      </c>
      <c r="Z18" s="298">
        <v>0</v>
      </c>
      <c r="AA18" s="299">
        <v>0</v>
      </c>
      <c r="AB18" s="157">
        <v>0</v>
      </c>
      <c r="AC18" s="157">
        <v>0</v>
      </c>
      <c r="AD18" s="157">
        <v>0</v>
      </c>
      <c r="AE18" s="157">
        <v>0</v>
      </c>
      <c r="AF18" s="137">
        <v>0</v>
      </c>
      <c r="AG18" s="137">
        <v>0</v>
      </c>
      <c r="AH18" s="136">
        <v>0</v>
      </c>
      <c r="AI18" s="136">
        <v>0</v>
      </c>
      <c r="AJ18" s="330">
        <v>0</v>
      </c>
      <c r="AK18" s="330">
        <v>0</v>
      </c>
      <c r="AL18" s="298">
        <v>0</v>
      </c>
      <c r="AM18" s="298">
        <v>0</v>
      </c>
      <c r="AN18" s="157">
        <v>0</v>
      </c>
      <c r="AO18" s="157">
        <v>0</v>
      </c>
      <c r="AP18" s="157">
        <v>0</v>
      </c>
      <c r="AQ18" s="157">
        <v>0</v>
      </c>
      <c r="AR18" s="298">
        <v>0</v>
      </c>
      <c r="AS18" s="298">
        <v>0</v>
      </c>
      <c r="AT18" s="278">
        <v>0</v>
      </c>
      <c r="AU18" s="278">
        <v>0</v>
      </c>
      <c r="AV18" s="312">
        <v>0</v>
      </c>
      <c r="AW18" s="312">
        <v>0</v>
      </c>
      <c r="AX18" s="300">
        <v>0</v>
      </c>
      <c r="AY18" s="300">
        <v>0</v>
      </c>
      <c r="AZ18" s="278">
        <v>0</v>
      </c>
      <c r="BA18" s="278">
        <v>0</v>
      </c>
      <c r="BB18" s="278">
        <v>0</v>
      </c>
      <c r="BC18" s="278">
        <v>0</v>
      </c>
      <c r="BD18" s="157">
        <v>0</v>
      </c>
      <c r="BE18" s="157">
        <v>0</v>
      </c>
      <c r="BF18" s="298">
        <v>0</v>
      </c>
      <c r="BG18" s="298">
        <v>0</v>
      </c>
      <c r="BH18" s="278">
        <v>0</v>
      </c>
      <c r="BI18" s="278">
        <v>0</v>
      </c>
      <c r="BJ18" s="136">
        <v>0</v>
      </c>
      <c r="BK18" s="136">
        <v>0</v>
      </c>
      <c r="BL18" s="137">
        <v>0</v>
      </c>
      <c r="BM18" s="137">
        <v>0</v>
      </c>
    </row>
    <row r="19" spans="1:65 16309:16309" x14ac:dyDescent="0.25">
      <c r="A19" s="68" t="s">
        <v>74</v>
      </c>
      <c r="B19" s="69"/>
      <c r="C19" s="8"/>
      <c r="D19" s="278">
        <v>6</v>
      </c>
      <c r="E19" s="278">
        <v>2</v>
      </c>
      <c r="F19" s="312">
        <v>0</v>
      </c>
      <c r="G19" s="312">
        <v>0</v>
      </c>
      <c r="H19" s="137">
        <v>0</v>
      </c>
      <c r="I19" s="329">
        <v>0</v>
      </c>
      <c r="J19" s="278">
        <v>4</v>
      </c>
      <c r="K19" s="278">
        <v>4</v>
      </c>
      <c r="L19" s="157">
        <v>4</v>
      </c>
      <c r="M19" s="157">
        <v>4</v>
      </c>
      <c r="N19" s="157">
        <v>4</v>
      </c>
      <c r="O19" s="157">
        <v>4</v>
      </c>
      <c r="P19" s="298">
        <v>4</v>
      </c>
      <c r="Q19" s="298">
        <v>4</v>
      </c>
      <c r="R19" s="298">
        <v>4</v>
      </c>
      <c r="S19" s="299">
        <v>4</v>
      </c>
      <c r="T19" s="309">
        <v>0</v>
      </c>
      <c r="U19" s="311">
        <v>0</v>
      </c>
      <c r="V19" s="330">
        <v>0</v>
      </c>
      <c r="W19" s="330">
        <v>0</v>
      </c>
      <c r="X19" s="278">
        <v>2</v>
      </c>
      <c r="Y19" s="278">
        <v>6</v>
      </c>
      <c r="Z19" s="298">
        <v>2</v>
      </c>
      <c r="AA19" s="299">
        <v>6</v>
      </c>
      <c r="AB19" s="157">
        <v>5</v>
      </c>
      <c r="AC19" s="157">
        <v>4</v>
      </c>
      <c r="AD19" s="157">
        <v>2</v>
      </c>
      <c r="AE19" s="157">
        <v>6</v>
      </c>
      <c r="AF19" s="137">
        <v>0</v>
      </c>
      <c r="AG19" s="137">
        <v>0</v>
      </c>
      <c r="AH19" s="136">
        <v>0</v>
      </c>
      <c r="AI19" s="136">
        <v>0</v>
      </c>
      <c r="AJ19" s="330">
        <v>0</v>
      </c>
      <c r="AK19" s="330">
        <v>0</v>
      </c>
      <c r="AL19" s="298">
        <v>2</v>
      </c>
      <c r="AM19" s="298">
        <v>6</v>
      </c>
      <c r="AN19" s="157">
        <v>2</v>
      </c>
      <c r="AO19" s="157">
        <v>6</v>
      </c>
      <c r="AP19" s="157">
        <v>2</v>
      </c>
      <c r="AQ19" s="157">
        <v>6</v>
      </c>
      <c r="AR19" s="298">
        <v>4</v>
      </c>
      <c r="AS19" s="298">
        <v>5</v>
      </c>
      <c r="AT19" s="278">
        <v>2</v>
      </c>
      <c r="AU19" s="278">
        <v>6</v>
      </c>
      <c r="AV19" s="312">
        <v>0</v>
      </c>
      <c r="AW19" s="312">
        <v>0</v>
      </c>
      <c r="AX19" s="330">
        <v>0</v>
      </c>
      <c r="AY19" s="330">
        <v>0</v>
      </c>
      <c r="AZ19" s="278">
        <v>2</v>
      </c>
      <c r="BA19" s="278">
        <v>6</v>
      </c>
      <c r="BB19" s="278">
        <v>3</v>
      </c>
      <c r="BC19" s="278">
        <v>5</v>
      </c>
      <c r="BD19" s="157">
        <v>2</v>
      </c>
      <c r="BE19" s="157">
        <v>6</v>
      </c>
      <c r="BF19" s="298">
        <v>2</v>
      </c>
      <c r="BG19" s="298">
        <v>6</v>
      </c>
      <c r="BH19" s="278">
        <v>2</v>
      </c>
      <c r="BI19" s="278">
        <v>6</v>
      </c>
      <c r="BJ19" s="136">
        <v>0</v>
      </c>
      <c r="BK19" s="136">
        <v>0</v>
      </c>
      <c r="BL19" s="137">
        <v>0</v>
      </c>
      <c r="BM19" s="137">
        <v>0</v>
      </c>
    </row>
    <row r="20" spans="1:65 16309:16309" x14ac:dyDescent="0.25">
      <c r="A20" s="68" t="s">
        <v>75</v>
      </c>
      <c r="B20" s="69"/>
      <c r="C20" s="8"/>
      <c r="D20" s="278">
        <v>4</v>
      </c>
      <c r="E20" s="278">
        <v>0</v>
      </c>
      <c r="F20" s="312">
        <v>0</v>
      </c>
      <c r="G20" s="312">
        <v>0</v>
      </c>
      <c r="H20" s="137">
        <v>0</v>
      </c>
      <c r="I20" s="329">
        <v>0</v>
      </c>
      <c r="J20" s="278">
        <v>6</v>
      </c>
      <c r="K20" s="278">
        <v>0</v>
      </c>
      <c r="L20" s="157">
        <v>6</v>
      </c>
      <c r="M20" s="157">
        <v>0</v>
      </c>
      <c r="N20" s="157">
        <v>6</v>
      </c>
      <c r="O20" s="157">
        <v>0</v>
      </c>
      <c r="P20" s="298">
        <v>6</v>
      </c>
      <c r="Q20" s="298">
        <v>0</v>
      </c>
      <c r="R20" s="298">
        <v>6</v>
      </c>
      <c r="S20" s="299">
        <v>0</v>
      </c>
      <c r="T20" s="309">
        <v>0</v>
      </c>
      <c r="U20" s="311">
        <v>0</v>
      </c>
      <c r="V20" s="330">
        <v>0</v>
      </c>
      <c r="W20" s="330">
        <v>0</v>
      </c>
      <c r="X20" s="278">
        <v>6</v>
      </c>
      <c r="Y20" s="278">
        <v>0</v>
      </c>
      <c r="Z20" s="298">
        <v>6</v>
      </c>
      <c r="AA20" s="299">
        <v>0</v>
      </c>
      <c r="AB20" s="157">
        <v>6</v>
      </c>
      <c r="AC20" s="157">
        <v>0</v>
      </c>
      <c r="AD20" s="157">
        <v>6</v>
      </c>
      <c r="AE20" s="157">
        <v>0</v>
      </c>
      <c r="AF20" s="137">
        <v>0</v>
      </c>
      <c r="AG20" s="137">
        <v>0</v>
      </c>
      <c r="AH20" s="136">
        <v>0</v>
      </c>
      <c r="AI20" s="136">
        <v>0</v>
      </c>
      <c r="AJ20" s="330">
        <v>0</v>
      </c>
      <c r="AK20" s="330">
        <v>0</v>
      </c>
      <c r="AL20" s="298">
        <v>6</v>
      </c>
      <c r="AM20" s="298">
        <v>0</v>
      </c>
      <c r="AN20" s="157">
        <v>6</v>
      </c>
      <c r="AO20" s="157">
        <v>0</v>
      </c>
      <c r="AP20" s="157">
        <v>6</v>
      </c>
      <c r="AQ20" s="157">
        <v>0</v>
      </c>
      <c r="AR20" s="298">
        <v>6</v>
      </c>
      <c r="AS20" s="298">
        <v>0</v>
      </c>
      <c r="AT20" s="278">
        <v>6</v>
      </c>
      <c r="AU20" s="278">
        <v>0</v>
      </c>
      <c r="AV20" s="312">
        <v>0</v>
      </c>
      <c r="AW20" s="312">
        <v>0</v>
      </c>
      <c r="AX20" s="330">
        <v>0</v>
      </c>
      <c r="AY20" s="330">
        <v>0</v>
      </c>
      <c r="AZ20" s="278">
        <v>6</v>
      </c>
      <c r="BA20" s="278">
        <v>0</v>
      </c>
      <c r="BB20" s="278">
        <v>6</v>
      </c>
      <c r="BC20" s="278">
        <v>0</v>
      </c>
      <c r="BD20" s="157">
        <v>6</v>
      </c>
      <c r="BE20" s="157">
        <v>0</v>
      </c>
      <c r="BF20" s="298">
        <v>6</v>
      </c>
      <c r="BG20" s="298">
        <v>0</v>
      </c>
      <c r="BH20" s="278">
        <v>6</v>
      </c>
      <c r="BI20" s="278">
        <v>0</v>
      </c>
      <c r="BJ20" s="136">
        <v>0</v>
      </c>
      <c r="BK20" s="136">
        <v>0</v>
      </c>
      <c r="BL20" s="137">
        <v>0</v>
      </c>
      <c r="BM20" s="137">
        <v>0</v>
      </c>
    </row>
    <row r="21" spans="1:65 16309:16309" x14ac:dyDescent="0.25">
      <c r="A21" s="68" t="s">
        <v>76</v>
      </c>
      <c r="B21" s="69"/>
      <c r="C21" s="8"/>
      <c r="D21" s="278">
        <v>0</v>
      </c>
      <c r="E21" s="278">
        <v>0</v>
      </c>
      <c r="F21" s="312">
        <v>0</v>
      </c>
      <c r="G21" s="312">
        <v>0</v>
      </c>
      <c r="H21" s="137">
        <v>0</v>
      </c>
      <c r="I21" s="329">
        <v>0</v>
      </c>
      <c r="J21" s="254">
        <v>0</v>
      </c>
      <c r="K21" s="254">
        <v>0</v>
      </c>
      <c r="L21" s="157">
        <v>0</v>
      </c>
      <c r="M21" s="157">
        <v>0</v>
      </c>
      <c r="N21" s="157">
        <v>0</v>
      </c>
      <c r="O21" s="157">
        <v>0</v>
      </c>
      <c r="P21" s="298">
        <v>0</v>
      </c>
      <c r="Q21" s="298">
        <v>0</v>
      </c>
      <c r="R21" s="298">
        <v>0</v>
      </c>
      <c r="S21" s="299">
        <v>0</v>
      </c>
      <c r="T21" s="309">
        <v>0</v>
      </c>
      <c r="U21" s="311">
        <v>0</v>
      </c>
      <c r="V21" s="330">
        <v>0</v>
      </c>
      <c r="W21" s="330">
        <v>0</v>
      </c>
      <c r="X21" s="254">
        <v>0</v>
      </c>
      <c r="Y21" s="254">
        <v>0</v>
      </c>
      <c r="Z21" s="298">
        <v>0</v>
      </c>
      <c r="AA21" s="299">
        <v>0</v>
      </c>
      <c r="AB21" s="157">
        <v>0</v>
      </c>
      <c r="AC21" s="157">
        <v>0</v>
      </c>
      <c r="AD21" s="157">
        <v>0</v>
      </c>
      <c r="AE21" s="157">
        <v>0</v>
      </c>
      <c r="AF21" s="137">
        <v>0</v>
      </c>
      <c r="AG21" s="137">
        <v>0</v>
      </c>
      <c r="AH21" s="136">
        <v>0</v>
      </c>
      <c r="AI21" s="136">
        <v>0</v>
      </c>
      <c r="AJ21" s="330">
        <v>0</v>
      </c>
      <c r="AK21" s="330">
        <v>0</v>
      </c>
      <c r="AL21" s="298">
        <v>0</v>
      </c>
      <c r="AM21" s="298">
        <v>0</v>
      </c>
      <c r="AN21" s="278">
        <v>0</v>
      </c>
      <c r="AO21" s="278">
        <v>0</v>
      </c>
      <c r="AP21" s="278">
        <v>0</v>
      </c>
      <c r="AQ21" s="278">
        <v>0</v>
      </c>
      <c r="AR21" s="298">
        <v>0</v>
      </c>
      <c r="AS21" s="298">
        <v>0</v>
      </c>
      <c r="AT21" s="254">
        <v>0</v>
      </c>
      <c r="AU21" s="254">
        <v>0</v>
      </c>
      <c r="AV21" s="332">
        <v>0</v>
      </c>
      <c r="AW21" s="332">
        <v>0</v>
      </c>
      <c r="AX21" s="330">
        <v>0</v>
      </c>
      <c r="AY21" s="330">
        <v>0</v>
      </c>
      <c r="AZ21" s="278">
        <v>0</v>
      </c>
      <c r="BA21" s="278">
        <v>0</v>
      </c>
      <c r="BB21" s="278">
        <v>0</v>
      </c>
      <c r="BC21" s="278">
        <v>0</v>
      </c>
      <c r="BD21" s="157">
        <v>0</v>
      </c>
      <c r="BE21" s="157">
        <v>0</v>
      </c>
      <c r="BF21" s="298">
        <v>0</v>
      </c>
      <c r="BG21" s="298">
        <v>0</v>
      </c>
      <c r="BH21" s="254">
        <v>0</v>
      </c>
      <c r="BI21" s="254">
        <v>0</v>
      </c>
      <c r="BJ21" s="312">
        <v>0</v>
      </c>
      <c r="BK21" s="312">
        <v>0</v>
      </c>
      <c r="BL21" s="300">
        <v>0</v>
      </c>
      <c r="BM21" s="300">
        <v>0</v>
      </c>
    </row>
    <row r="22" spans="1:65 16309:16309" ht="15.75" thickBot="1" x14ac:dyDescent="0.3">
      <c r="A22" s="68" t="s">
        <v>77</v>
      </c>
      <c r="B22" s="77"/>
      <c r="C22" s="8"/>
      <c r="D22" s="278">
        <v>7</v>
      </c>
      <c r="E22" s="278">
        <v>0</v>
      </c>
      <c r="F22" s="312">
        <v>0</v>
      </c>
      <c r="G22" s="312">
        <v>0</v>
      </c>
      <c r="H22" s="137">
        <v>0</v>
      </c>
      <c r="I22" s="329">
        <v>0</v>
      </c>
      <c r="J22" s="254">
        <v>7</v>
      </c>
      <c r="K22" s="254">
        <v>0</v>
      </c>
      <c r="L22" s="157">
        <v>7</v>
      </c>
      <c r="M22" s="157">
        <v>0</v>
      </c>
      <c r="N22" s="157">
        <v>7</v>
      </c>
      <c r="O22" s="157">
        <v>0</v>
      </c>
      <c r="P22" s="298">
        <v>7</v>
      </c>
      <c r="Q22" s="298">
        <v>0</v>
      </c>
      <c r="R22" s="298">
        <v>7</v>
      </c>
      <c r="S22" s="299">
        <v>0</v>
      </c>
      <c r="T22" s="309">
        <v>0</v>
      </c>
      <c r="U22" s="311">
        <v>0</v>
      </c>
      <c r="V22" s="330">
        <v>0</v>
      </c>
      <c r="W22" s="330">
        <v>0</v>
      </c>
      <c r="X22" s="254">
        <v>5</v>
      </c>
      <c r="Y22" s="254">
        <v>2</v>
      </c>
      <c r="Z22" s="298">
        <v>5</v>
      </c>
      <c r="AA22" s="299">
        <v>2</v>
      </c>
      <c r="AB22" s="157">
        <v>5</v>
      </c>
      <c r="AC22" s="157">
        <v>2</v>
      </c>
      <c r="AD22" s="157">
        <v>5</v>
      </c>
      <c r="AE22" s="157">
        <v>2</v>
      </c>
      <c r="AF22" s="137">
        <v>0</v>
      </c>
      <c r="AG22" s="137">
        <v>0</v>
      </c>
      <c r="AH22" s="136">
        <v>0</v>
      </c>
      <c r="AI22" s="136">
        <v>0</v>
      </c>
      <c r="AJ22" s="330">
        <v>0</v>
      </c>
      <c r="AK22" s="330">
        <v>0</v>
      </c>
      <c r="AL22" s="298">
        <v>6</v>
      </c>
      <c r="AM22" s="298">
        <v>1</v>
      </c>
      <c r="AN22" s="157">
        <v>6</v>
      </c>
      <c r="AO22" s="157">
        <v>1</v>
      </c>
      <c r="AP22" s="157">
        <v>6</v>
      </c>
      <c r="AQ22" s="157">
        <v>1</v>
      </c>
      <c r="AR22" s="298">
        <v>6</v>
      </c>
      <c r="AS22" s="298">
        <v>1</v>
      </c>
      <c r="AT22" s="254">
        <v>6</v>
      </c>
      <c r="AU22" s="254">
        <v>1</v>
      </c>
      <c r="AV22" s="332">
        <v>0</v>
      </c>
      <c r="AW22" s="332">
        <v>0</v>
      </c>
      <c r="AX22" s="330">
        <v>0</v>
      </c>
      <c r="AY22" s="330">
        <v>0</v>
      </c>
      <c r="AZ22" s="157">
        <v>6</v>
      </c>
      <c r="BA22" s="157">
        <v>1</v>
      </c>
      <c r="BB22" s="157">
        <v>6</v>
      </c>
      <c r="BC22" s="157">
        <v>1</v>
      </c>
      <c r="BD22" s="157">
        <v>6</v>
      </c>
      <c r="BE22" s="157">
        <v>1</v>
      </c>
      <c r="BF22" s="298">
        <v>6</v>
      </c>
      <c r="BG22" s="298">
        <v>1</v>
      </c>
      <c r="BH22" s="254">
        <v>6</v>
      </c>
      <c r="BI22" s="254">
        <v>1</v>
      </c>
      <c r="BJ22" s="136">
        <v>0</v>
      </c>
      <c r="BK22" s="136">
        <v>0</v>
      </c>
      <c r="BL22" s="137">
        <v>0</v>
      </c>
      <c r="BM22" s="137">
        <v>0</v>
      </c>
    </row>
    <row r="23" spans="1:65 16309:16309" x14ac:dyDescent="0.25">
      <c r="A23" s="54"/>
      <c r="B23" s="54"/>
      <c r="C23" s="8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spans="1:65 16309:16309" s="125" customFormat="1" x14ac:dyDescent="0.25">
      <c r="A24" s="71" t="s">
        <v>180</v>
      </c>
      <c r="B24" s="72"/>
      <c r="C24" s="8"/>
      <c r="D24" s="157">
        <v>1</v>
      </c>
      <c r="E24" s="157">
        <v>0</v>
      </c>
      <c r="F24" s="136"/>
      <c r="G24" s="136"/>
      <c r="H24" s="137"/>
      <c r="I24" s="329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36"/>
      <c r="U24" s="331"/>
      <c r="V24" s="137"/>
      <c r="W24" s="137"/>
      <c r="X24" s="157"/>
      <c r="Y24" s="157"/>
      <c r="Z24" s="157"/>
      <c r="AA24" s="157"/>
      <c r="AB24" s="157"/>
      <c r="AC24" s="157"/>
      <c r="AD24" s="157"/>
      <c r="AE24" s="157"/>
      <c r="AF24" s="137"/>
      <c r="AG24" s="137"/>
      <c r="AH24" s="136"/>
      <c r="AI24" s="136"/>
      <c r="AJ24" s="137"/>
      <c r="AK24" s="13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36"/>
      <c r="AW24" s="331"/>
      <c r="AX24" s="137"/>
      <c r="AY24" s="13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136"/>
      <c r="BK24" s="136"/>
      <c r="BL24" s="137"/>
      <c r="BM24" s="137"/>
    </row>
    <row r="25" spans="1:65 16309:16309" ht="15.75" thickBot="1" x14ac:dyDescent="0.3">
      <c r="C25" s="8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</row>
    <row r="26" spans="1:65 16309:16309" ht="15.75" thickBot="1" x14ac:dyDescent="0.3">
      <c r="C26" s="8"/>
      <c r="D26" s="138">
        <f>SUM(D3:D24)</f>
        <v>194</v>
      </c>
      <c r="E26" s="138">
        <f>SUM(E3:E24)</f>
        <v>23</v>
      </c>
      <c r="F26" s="174">
        <f t="shared" ref="F26:AI26" si="0">SUM(F3:F22)</f>
        <v>144</v>
      </c>
      <c r="G26" s="174">
        <f t="shared" si="0"/>
        <v>3</v>
      </c>
      <c r="H26" s="64">
        <f t="shared" si="0"/>
        <v>108</v>
      </c>
      <c r="I26" s="64">
        <f t="shared" si="0"/>
        <v>3</v>
      </c>
      <c r="J26" s="138">
        <f t="shared" si="0"/>
        <v>186</v>
      </c>
      <c r="K26" s="138">
        <f t="shared" si="0"/>
        <v>37</v>
      </c>
      <c r="L26" s="138">
        <f t="shared" si="0"/>
        <v>184</v>
      </c>
      <c r="M26" s="138">
        <f t="shared" si="0"/>
        <v>39</v>
      </c>
      <c r="N26" s="138">
        <f t="shared" si="0"/>
        <v>184</v>
      </c>
      <c r="O26" s="138">
        <f t="shared" si="0"/>
        <v>39</v>
      </c>
      <c r="P26" s="138">
        <f t="shared" si="0"/>
        <v>184</v>
      </c>
      <c r="Q26" s="138">
        <f t="shared" si="0"/>
        <v>39</v>
      </c>
      <c r="R26" s="138">
        <f t="shared" si="0"/>
        <v>184</v>
      </c>
      <c r="S26" s="138">
        <f t="shared" si="0"/>
        <v>39</v>
      </c>
      <c r="T26" s="174">
        <f t="shared" si="0"/>
        <v>144</v>
      </c>
      <c r="U26" s="174">
        <f t="shared" si="0"/>
        <v>3</v>
      </c>
      <c r="V26" s="64">
        <f t="shared" si="0"/>
        <v>108</v>
      </c>
      <c r="W26" s="64">
        <f t="shared" si="0"/>
        <v>3</v>
      </c>
      <c r="X26" s="138">
        <f t="shared" si="0"/>
        <v>158</v>
      </c>
      <c r="Y26" s="138">
        <f t="shared" si="0"/>
        <v>65</v>
      </c>
      <c r="Z26" s="138">
        <f t="shared" si="0"/>
        <v>158</v>
      </c>
      <c r="AA26" s="138">
        <f t="shared" si="0"/>
        <v>65</v>
      </c>
      <c r="AB26" s="138">
        <f t="shared" si="0"/>
        <v>160</v>
      </c>
      <c r="AC26" s="138">
        <f t="shared" si="0"/>
        <v>62</v>
      </c>
      <c r="AD26" s="138">
        <f t="shared" si="0"/>
        <v>160</v>
      </c>
      <c r="AE26" s="138">
        <f t="shared" si="0"/>
        <v>63</v>
      </c>
      <c r="AF26" s="64">
        <f t="shared" si="0"/>
        <v>108</v>
      </c>
      <c r="AG26" s="64">
        <f t="shared" si="0"/>
        <v>3</v>
      </c>
      <c r="AH26" s="174">
        <f t="shared" si="0"/>
        <v>144</v>
      </c>
      <c r="AI26" s="174">
        <f t="shared" si="0"/>
        <v>3</v>
      </c>
      <c r="AJ26" s="64">
        <f t="shared" ref="AJ26:BK26" si="1">SUM(AJ3:AJ22)</f>
        <v>108</v>
      </c>
      <c r="AK26" s="64">
        <f t="shared" si="1"/>
        <v>3</v>
      </c>
      <c r="AL26" s="138">
        <f t="shared" si="1"/>
        <v>149</v>
      </c>
      <c r="AM26" s="138">
        <f t="shared" si="1"/>
        <v>73</v>
      </c>
      <c r="AN26" s="138">
        <f t="shared" si="1"/>
        <v>150</v>
      </c>
      <c r="AO26" s="138">
        <f t="shared" si="1"/>
        <v>73</v>
      </c>
      <c r="AP26" s="138">
        <f t="shared" si="1"/>
        <v>148</v>
      </c>
      <c r="AQ26" s="138">
        <f t="shared" si="1"/>
        <v>75</v>
      </c>
      <c r="AR26" s="138">
        <f t="shared" si="1"/>
        <v>150</v>
      </c>
      <c r="AS26" s="138">
        <f t="shared" si="1"/>
        <v>71</v>
      </c>
      <c r="AT26" s="138">
        <f t="shared" si="1"/>
        <v>174</v>
      </c>
      <c r="AU26" s="138">
        <f t="shared" si="1"/>
        <v>49</v>
      </c>
      <c r="AV26" s="174">
        <f t="shared" si="1"/>
        <v>144</v>
      </c>
      <c r="AW26" s="174">
        <f t="shared" si="1"/>
        <v>3</v>
      </c>
      <c r="AX26" s="64">
        <f t="shared" si="1"/>
        <v>108</v>
      </c>
      <c r="AY26" s="64">
        <f t="shared" si="1"/>
        <v>3</v>
      </c>
      <c r="AZ26" s="138">
        <f t="shared" si="1"/>
        <v>152</v>
      </c>
      <c r="BA26" s="138">
        <f t="shared" si="1"/>
        <v>71</v>
      </c>
      <c r="BB26" s="138">
        <f t="shared" si="1"/>
        <v>149</v>
      </c>
      <c r="BC26" s="138">
        <f t="shared" si="1"/>
        <v>71</v>
      </c>
      <c r="BD26" s="138">
        <f t="shared" si="1"/>
        <v>149</v>
      </c>
      <c r="BE26" s="138">
        <f t="shared" si="1"/>
        <v>74</v>
      </c>
      <c r="BF26" s="138">
        <f t="shared" si="1"/>
        <v>154</v>
      </c>
      <c r="BG26" s="138">
        <f t="shared" si="1"/>
        <v>69</v>
      </c>
      <c r="BH26" s="138">
        <f t="shared" si="1"/>
        <v>152</v>
      </c>
      <c r="BI26" s="138">
        <f t="shared" si="1"/>
        <v>71</v>
      </c>
      <c r="BJ26" s="174">
        <f t="shared" si="1"/>
        <v>144</v>
      </c>
      <c r="BK26" s="174">
        <f t="shared" si="1"/>
        <v>3</v>
      </c>
      <c r="BL26" s="64">
        <f t="shared" ref="BL26:BM26" si="2">SUM(BL3:BL22)</f>
        <v>108</v>
      </c>
      <c r="BM26" s="64">
        <f t="shared" si="2"/>
        <v>3</v>
      </c>
      <c r="XCG26" s="65"/>
    </row>
    <row r="27" spans="1:65 16309:16309" x14ac:dyDescent="0.25">
      <c r="C27" s="8"/>
      <c r="L27" s="125"/>
      <c r="Z27" s="125"/>
      <c r="AA27" s="125"/>
      <c r="AB27" s="125"/>
      <c r="AC27" s="125"/>
      <c r="AG27" s="125"/>
      <c r="AH27" s="125"/>
      <c r="AI27" s="125"/>
      <c r="AR27" s="55"/>
      <c r="AS27" s="55"/>
      <c r="AT27" s="55"/>
      <c r="AU27" s="55"/>
      <c r="AV27" s="55"/>
      <c r="AW27" s="55"/>
      <c r="AX27" s="55"/>
      <c r="AY27" s="55"/>
      <c r="AZ27" s="55"/>
      <c r="BH27" s="55"/>
      <c r="BI27" s="55"/>
      <c r="BJ27" s="55"/>
      <c r="BK27" s="55"/>
      <c r="BL27" s="55"/>
      <c r="BM27" s="55"/>
    </row>
    <row r="28" spans="1:65 16309:16309" ht="18" x14ac:dyDescent="0.25">
      <c r="C28" s="8"/>
      <c r="L28" s="125"/>
      <c r="Z28" s="56"/>
      <c r="AR28" s="55"/>
      <c r="AS28" s="55"/>
      <c r="AT28" s="55"/>
      <c r="AU28" s="55"/>
      <c r="AV28" s="55"/>
      <c r="AW28" s="55"/>
      <c r="AX28" s="55"/>
      <c r="AY28" s="55"/>
      <c r="AZ28" s="55"/>
      <c r="BH28" s="55"/>
      <c r="BI28" s="55"/>
      <c r="BJ28" s="55"/>
      <c r="BK28" s="55"/>
      <c r="BL28" s="55"/>
      <c r="BM28" s="55"/>
    </row>
    <row r="29" spans="1:65 16309:16309" x14ac:dyDescent="0.25">
      <c r="C29" s="8"/>
      <c r="F29" s="125"/>
      <c r="G29" s="125"/>
      <c r="H29" s="125"/>
      <c r="I29" s="125"/>
      <c r="J29" s="8"/>
      <c r="K29" s="8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</row>
    <row r="30" spans="1:65 16309:16309" x14ac:dyDescent="0.25">
      <c r="C30" s="8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</row>
    <row r="31" spans="1:65 16309:16309" x14ac:dyDescent="0.25">
      <c r="C31" s="8"/>
      <c r="L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</row>
    <row r="32" spans="1:65 16309:16309" x14ac:dyDescent="0.25">
      <c r="A32" s="57" t="s">
        <v>78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</row>
    <row r="33" spans="1:65" x14ac:dyDescent="0.25">
      <c r="A33" t="s">
        <v>79</v>
      </c>
      <c r="C33" s="8"/>
      <c r="D33" s="58">
        <f t="shared" ref="D33:AI33" si="3">D5+D12+D19</f>
        <v>68</v>
      </c>
      <c r="E33" s="58">
        <f t="shared" si="3"/>
        <v>11</v>
      </c>
      <c r="F33" s="58">
        <f t="shared" si="3"/>
        <v>69</v>
      </c>
      <c r="G33" s="58">
        <f t="shared" si="3"/>
        <v>3</v>
      </c>
      <c r="H33" s="58">
        <f t="shared" si="3"/>
        <v>51</v>
      </c>
      <c r="I33" s="58">
        <f t="shared" si="3"/>
        <v>3</v>
      </c>
      <c r="J33" s="58">
        <f t="shared" si="3"/>
        <v>61</v>
      </c>
      <c r="K33" s="58">
        <f t="shared" si="3"/>
        <v>18</v>
      </c>
      <c r="L33" s="151">
        <f t="shared" si="3"/>
        <v>60</v>
      </c>
      <c r="M33" s="58">
        <f t="shared" si="3"/>
        <v>19</v>
      </c>
      <c r="N33" s="288">
        <f t="shared" si="3"/>
        <v>60</v>
      </c>
      <c r="O33" s="288">
        <f t="shared" si="3"/>
        <v>19</v>
      </c>
      <c r="P33" s="289">
        <f t="shared" si="3"/>
        <v>60</v>
      </c>
      <c r="Q33" s="289">
        <f t="shared" si="3"/>
        <v>19</v>
      </c>
      <c r="R33" s="266">
        <f t="shared" si="3"/>
        <v>60</v>
      </c>
      <c r="S33" s="266">
        <f t="shared" si="3"/>
        <v>19</v>
      </c>
      <c r="T33" s="58">
        <f t="shared" si="3"/>
        <v>69</v>
      </c>
      <c r="U33" s="58">
        <f t="shared" si="3"/>
        <v>3</v>
      </c>
      <c r="V33" s="276">
        <f t="shared" si="3"/>
        <v>51</v>
      </c>
      <c r="W33" s="276">
        <f t="shared" si="3"/>
        <v>3</v>
      </c>
      <c r="X33" s="277">
        <f t="shared" si="3"/>
        <v>50</v>
      </c>
      <c r="Y33" s="277">
        <f t="shared" si="3"/>
        <v>29</v>
      </c>
      <c r="Z33" s="279">
        <f t="shared" si="3"/>
        <v>50</v>
      </c>
      <c r="AA33" s="279">
        <f t="shared" si="3"/>
        <v>29</v>
      </c>
      <c r="AB33" s="280">
        <f t="shared" si="3"/>
        <v>53</v>
      </c>
      <c r="AC33" s="280">
        <f t="shared" si="3"/>
        <v>27</v>
      </c>
      <c r="AD33" s="58">
        <f t="shared" si="3"/>
        <v>51</v>
      </c>
      <c r="AE33" s="58">
        <f t="shared" si="3"/>
        <v>28</v>
      </c>
      <c r="AF33" s="58">
        <f t="shared" si="3"/>
        <v>51</v>
      </c>
      <c r="AG33" s="255">
        <f t="shared" si="3"/>
        <v>3</v>
      </c>
      <c r="AH33" s="58">
        <f t="shared" si="3"/>
        <v>69</v>
      </c>
      <c r="AI33" s="58">
        <f t="shared" si="3"/>
        <v>3</v>
      </c>
      <c r="AJ33" s="271">
        <f t="shared" ref="AJ33:BK33" si="4">AJ5+AJ12+AJ19</f>
        <v>51</v>
      </c>
      <c r="AK33" s="271">
        <f t="shared" si="4"/>
        <v>3</v>
      </c>
      <c r="AL33" s="291">
        <f t="shared" si="4"/>
        <v>47</v>
      </c>
      <c r="AM33" s="291">
        <f t="shared" si="4"/>
        <v>31</v>
      </c>
      <c r="AN33" s="282">
        <f t="shared" si="4"/>
        <v>47</v>
      </c>
      <c r="AO33" s="282">
        <f t="shared" si="4"/>
        <v>32</v>
      </c>
      <c r="AP33" s="291">
        <f t="shared" si="4"/>
        <v>45</v>
      </c>
      <c r="AQ33" s="291">
        <f t="shared" si="4"/>
        <v>34</v>
      </c>
      <c r="AR33" s="283">
        <f t="shared" si="4"/>
        <v>49</v>
      </c>
      <c r="AS33" s="283">
        <f t="shared" si="4"/>
        <v>31</v>
      </c>
      <c r="AT33" s="284">
        <f t="shared" si="4"/>
        <v>55</v>
      </c>
      <c r="AU33" s="284">
        <f t="shared" si="4"/>
        <v>24</v>
      </c>
      <c r="AV33" s="285">
        <f t="shared" si="4"/>
        <v>69</v>
      </c>
      <c r="AW33" s="285">
        <f t="shared" si="4"/>
        <v>3</v>
      </c>
      <c r="AX33" s="286">
        <f t="shared" si="4"/>
        <v>51</v>
      </c>
      <c r="AY33" s="286">
        <f t="shared" si="4"/>
        <v>3</v>
      </c>
      <c r="AZ33" s="58">
        <f t="shared" si="4"/>
        <v>47</v>
      </c>
      <c r="BA33" s="258">
        <f t="shared" si="4"/>
        <v>32</v>
      </c>
      <c r="BB33" s="116">
        <f t="shared" si="4"/>
        <v>49</v>
      </c>
      <c r="BC33" s="259">
        <f t="shared" si="4"/>
        <v>31</v>
      </c>
      <c r="BD33" s="272">
        <f t="shared" si="4"/>
        <v>46</v>
      </c>
      <c r="BE33" s="272">
        <f t="shared" si="4"/>
        <v>33</v>
      </c>
      <c r="BF33" s="175">
        <f t="shared" si="4"/>
        <v>47</v>
      </c>
      <c r="BG33" s="175">
        <f t="shared" si="4"/>
        <v>32</v>
      </c>
      <c r="BH33" s="273">
        <f t="shared" si="4"/>
        <v>47</v>
      </c>
      <c r="BI33" s="273">
        <f t="shared" si="4"/>
        <v>32</v>
      </c>
      <c r="BJ33" s="274">
        <f t="shared" si="4"/>
        <v>69</v>
      </c>
      <c r="BK33" s="274">
        <f t="shared" si="4"/>
        <v>3</v>
      </c>
      <c r="BL33" s="318">
        <f t="shared" ref="BL33:BM33" si="5">BL5+BL12+BL19</f>
        <v>51</v>
      </c>
      <c r="BM33" s="318">
        <f t="shared" si="5"/>
        <v>3</v>
      </c>
    </row>
    <row r="34" spans="1:65" x14ac:dyDescent="0.25">
      <c r="A34" t="s">
        <v>80</v>
      </c>
      <c r="C34" s="8"/>
      <c r="D34" s="58">
        <f t="shared" ref="D34:AI34" si="6">D8+D15+D22</f>
        <v>66</v>
      </c>
      <c r="E34" s="58">
        <f t="shared" si="6"/>
        <v>12</v>
      </c>
      <c r="F34" s="58">
        <f t="shared" si="6"/>
        <v>75</v>
      </c>
      <c r="G34" s="58">
        <f t="shared" si="6"/>
        <v>0</v>
      </c>
      <c r="H34" s="58">
        <f t="shared" si="6"/>
        <v>57</v>
      </c>
      <c r="I34" s="58">
        <f t="shared" si="6"/>
        <v>0</v>
      </c>
      <c r="J34" s="58">
        <f t="shared" si="6"/>
        <v>59</v>
      </c>
      <c r="K34" s="58">
        <f t="shared" si="6"/>
        <v>19</v>
      </c>
      <c r="L34" s="151">
        <f t="shared" si="6"/>
        <v>58</v>
      </c>
      <c r="M34" s="58">
        <f t="shared" si="6"/>
        <v>20</v>
      </c>
      <c r="N34" s="288">
        <f t="shared" si="6"/>
        <v>58</v>
      </c>
      <c r="O34" s="288">
        <f t="shared" si="6"/>
        <v>20</v>
      </c>
      <c r="P34" s="289">
        <f t="shared" si="6"/>
        <v>58</v>
      </c>
      <c r="Q34" s="289">
        <f t="shared" si="6"/>
        <v>20</v>
      </c>
      <c r="R34" s="266">
        <f t="shared" si="6"/>
        <v>58</v>
      </c>
      <c r="S34" s="266">
        <f t="shared" si="6"/>
        <v>20</v>
      </c>
      <c r="T34" s="58">
        <f t="shared" si="6"/>
        <v>75</v>
      </c>
      <c r="U34" s="58">
        <f t="shared" si="6"/>
        <v>0</v>
      </c>
      <c r="V34" s="276">
        <f t="shared" si="6"/>
        <v>57</v>
      </c>
      <c r="W34" s="276">
        <f t="shared" si="6"/>
        <v>0</v>
      </c>
      <c r="X34" s="277">
        <f t="shared" si="6"/>
        <v>48</v>
      </c>
      <c r="Y34" s="277">
        <f t="shared" si="6"/>
        <v>30</v>
      </c>
      <c r="Z34" s="279">
        <f t="shared" si="6"/>
        <v>48</v>
      </c>
      <c r="AA34" s="279">
        <f t="shared" si="6"/>
        <v>30</v>
      </c>
      <c r="AB34" s="280">
        <f t="shared" si="6"/>
        <v>49</v>
      </c>
      <c r="AC34" s="280">
        <f t="shared" si="6"/>
        <v>29</v>
      </c>
      <c r="AD34" s="58">
        <f t="shared" si="6"/>
        <v>49</v>
      </c>
      <c r="AE34" s="253">
        <f t="shared" si="6"/>
        <v>29</v>
      </c>
      <c r="AF34" s="255">
        <f t="shared" si="6"/>
        <v>57</v>
      </c>
      <c r="AG34" s="255">
        <f t="shared" si="6"/>
        <v>0</v>
      </c>
      <c r="AH34" s="58">
        <f t="shared" si="6"/>
        <v>75</v>
      </c>
      <c r="AI34" s="58">
        <f t="shared" si="6"/>
        <v>0</v>
      </c>
      <c r="AJ34" s="271">
        <f t="shared" ref="AJ34:BK34" si="7">AJ8+AJ15+AJ22</f>
        <v>57</v>
      </c>
      <c r="AK34" s="271">
        <f t="shared" si="7"/>
        <v>0</v>
      </c>
      <c r="AL34" s="291">
        <f t="shared" si="7"/>
        <v>44</v>
      </c>
      <c r="AM34" s="291">
        <f t="shared" si="7"/>
        <v>34</v>
      </c>
      <c r="AN34" s="282">
        <f t="shared" si="7"/>
        <v>45</v>
      </c>
      <c r="AO34" s="282">
        <f t="shared" si="7"/>
        <v>33</v>
      </c>
      <c r="AP34" s="291">
        <f t="shared" si="7"/>
        <v>43</v>
      </c>
      <c r="AQ34" s="291">
        <f t="shared" si="7"/>
        <v>35</v>
      </c>
      <c r="AR34" s="283">
        <f t="shared" si="7"/>
        <v>44</v>
      </c>
      <c r="AS34" s="283">
        <f t="shared" si="7"/>
        <v>34</v>
      </c>
      <c r="AT34" s="284">
        <f t="shared" si="7"/>
        <v>53</v>
      </c>
      <c r="AU34" s="284">
        <f t="shared" si="7"/>
        <v>25</v>
      </c>
      <c r="AV34" s="285">
        <f t="shared" si="7"/>
        <v>75</v>
      </c>
      <c r="AW34" s="285">
        <f t="shared" si="7"/>
        <v>0</v>
      </c>
      <c r="AX34" s="286">
        <f t="shared" si="7"/>
        <v>57</v>
      </c>
      <c r="AY34" s="286">
        <f t="shared" si="7"/>
        <v>0</v>
      </c>
      <c r="AZ34" s="258">
        <f t="shared" si="7"/>
        <v>45</v>
      </c>
      <c r="BA34" s="258">
        <f t="shared" si="7"/>
        <v>33</v>
      </c>
      <c r="BB34" s="259">
        <f t="shared" si="7"/>
        <v>46</v>
      </c>
      <c r="BC34" s="259">
        <f t="shared" si="7"/>
        <v>32</v>
      </c>
      <c r="BD34" s="272">
        <f t="shared" si="7"/>
        <v>45</v>
      </c>
      <c r="BE34" s="272">
        <f t="shared" si="7"/>
        <v>33</v>
      </c>
      <c r="BF34" s="175">
        <f t="shared" si="7"/>
        <v>47</v>
      </c>
      <c r="BG34" s="175">
        <f t="shared" si="7"/>
        <v>31</v>
      </c>
      <c r="BH34" s="273">
        <f t="shared" si="7"/>
        <v>45</v>
      </c>
      <c r="BI34" s="273">
        <f t="shared" si="7"/>
        <v>33</v>
      </c>
      <c r="BJ34" s="274">
        <f t="shared" si="7"/>
        <v>75</v>
      </c>
      <c r="BK34" s="274">
        <f t="shared" si="7"/>
        <v>0</v>
      </c>
      <c r="BL34" s="318">
        <f t="shared" ref="BL34:BM34" si="8">BL8+BL15+BL22</f>
        <v>57</v>
      </c>
      <c r="BM34" s="318">
        <f t="shared" si="8"/>
        <v>0</v>
      </c>
    </row>
    <row r="35" spans="1:65" x14ac:dyDescent="0.25">
      <c r="A35" t="s">
        <v>81</v>
      </c>
      <c r="C35" s="8"/>
      <c r="D35" s="58">
        <f t="shared" ref="D35:AI35" si="9">D3+D10+D17</f>
        <v>29</v>
      </c>
      <c r="E35" s="58">
        <f t="shared" si="9"/>
        <v>0</v>
      </c>
      <c r="F35" s="58">
        <f t="shared" si="9"/>
        <v>0</v>
      </c>
      <c r="G35" s="58">
        <f t="shared" si="9"/>
        <v>0</v>
      </c>
      <c r="H35" s="58">
        <f t="shared" si="9"/>
        <v>0</v>
      </c>
      <c r="I35" s="58">
        <f t="shared" si="9"/>
        <v>0</v>
      </c>
      <c r="J35" s="58">
        <f t="shared" si="9"/>
        <v>33</v>
      </c>
      <c r="K35" s="58">
        <f t="shared" si="9"/>
        <v>0</v>
      </c>
      <c r="L35" s="151">
        <f t="shared" si="9"/>
        <v>33</v>
      </c>
      <c r="M35" s="58">
        <f t="shared" si="9"/>
        <v>0</v>
      </c>
      <c r="N35" s="288">
        <f t="shared" si="9"/>
        <v>33</v>
      </c>
      <c r="O35" s="288">
        <f t="shared" si="9"/>
        <v>0</v>
      </c>
      <c r="P35" s="289">
        <f t="shared" si="9"/>
        <v>33</v>
      </c>
      <c r="Q35" s="289">
        <f t="shared" si="9"/>
        <v>0</v>
      </c>
      <c r="R35" s="266">
        <f t="shared" si="9"/>
        <v>33</v>
      </c>
      <c r="S35" s="266">
        <f t="shared" si="9"/>
        <v>0</v>
      </c>
      <c r="T35" s="58">
        <f t="shared" si="9"/>
        <v>0</v>
      </c>
      <c r="U35" s="58">
        <f t="shared" si="9"/>
        <v>0</v>
      </c>
      <c r="V35" s="276">
        <f t="shared" si="9"/>
        <v>0</v>
      </c>
      <c r="W35" s="276">
        <f t="shared" si="9"/>
        <v>0</v>
      </c>
      <c r="X35" s="277">
        <f t="shared" si="9"/>
        <v>30</v>
      </c>
      <c r="Y35" s="277">
        <f t="shared" si="9"/>
        <v>3</v>
      </c>
      <c r="Z35" s="279">
        <f t="shared" si="9"/>
        <v>30</v>
      </c>
      <c r="AA35" s="279">
        <f t="shared" si="9"/>
        <v>3</v>
      </c>
      <c r="AB35" s="280">
        <f t="shared" si="9"/>
        <v>29</v>
      </c>
      <c r="AC35" s="280">
        <f t="shared" si="9"/>
        <v>3</v>
      </c>
      <c r="AD35" s="58">
        <f t="shared" si="9"/>
        <v>30</v>
      </c>
      <c r="AE35" s="253">
        <f t="shared" si="9"/>
        <v>3</v>
      </c>
      <c r="AF35" s="58">
        <f t="shared" si="9"/>
        <v>0</v>
      </c>
      <c r="AG35" s="255">
        <f t="shared" si="9"/>
        <v>0</v>
      </c>
      <c r="AH35" s="58">
        <f t="shared" si="9"/>
        <v>0</v>
      </c>
      <c r="AI35" s="58">
        <f t="shared" si="9"/>
        <v>0</v>
      </c>
      <c r="AJ35" s="271">
        <f t="shared" ref="AJ35:BK35" si="10">AJ3+AJ10+AJ17</f>
        <v>0</v>
      </c>
      <c r="AK35" s="271">
        <f t="shared" si="10"/>
        <v>0</v>
      </c>
      <c r="AL35" s="291">
        <f t="shared" si="10"/>
        <v>29</v>
      </c>
      <c r="AM35" s="291">
        <f t="shared" si="10"/>
        <v>4</v>
      </c>
      <c r="AN35" s="282">
        <f t="shared" si="10"/>
        <v>29</v>
      </c>
      <c r="AO35" s="282">
        <f t="shared" si="10"/>
        <v>4</v>
      </c>
      <c r="AP35" s="291">
        <f t="shared" si="10"/>
        <v>30</v>
      </c>
      <c r="AQ35" s="291">
        <f t="shared" si="10"/>
        <v>3</v>
      </c>
      <c r="AR35" s="283">
        <f t="shared" si="10"/>
        <v>27</v>
      </c>
      <c r="AS35" s="283">
        <f t="shared" si="10"/>
        <v>3</v>
      </c>
      <c r="AT35" s="284">
        <f t="shared" si="10"/>
        <v>33</v>
      </c>
      <c r="AU35" s="284">
        <f t="shared" si="10"/>
        <v>0</v>
      </c>
      <c r="AV35" s="285">
        <f t="shared" si="10"/>
        <v>0</v>
      </c>
      <c r="AW35" s="285">
        <f t="shared" si="10"/>
        <v>0</v>
      </c>
      <c r="AX35" s="286">
        <f t="shared" si="10"/>
        <v>0</v>
      </c>
      <c r="AY35" s="286">
        <f t="shared" si="10"/>
        <v>0</v>
      </c>
      <c r="AZ35" s="58">
        <f t="shared" si="10"/>
        <v>30</v>
      </c>
      <c r="BA35" s="258">
        <f t="shared" si="10"/>
        <v>3</v>
      </c>
      <c r="BB35" s="259">
        <f t="shared" si="10"/>
        <v>26</v>
      </c>
      <c r="BC35" s="259">
        <f t="shared" si="10"/>
        <v>4</v>
      </c>
      <c r="BD35" s="272">
        <f t="shared" si="10"/>
        <v>29</v>
      </c>
      <c r="BE35" s="272">
        <f t="shared" si="10"/>
        <v>4</v>
      </c>
      <c r="BF35" s="260">
        <f t="shared" si="10"/>
        <v>30</v>
      </c>
      <c r="BG35" s="175">
        <f t="shared" si="10"/>
        <v>3</v>
      </c>
      <c r="BH35" s="273">
        <f t="shared" si="10"/>
        <v>30</v>
      </c>
      <c r="BI35" s="273">
        <f t="shared" si="10"/>
        <v>3</v>
      </c>
      <c r="BJ35" s="274">
        <f t="shared" si="10"/>
        <v>0</v>
      </c>
      <c r="BK35" s="274">
        <f t="shared" si="10"/>
        <v>0</v>
      </c>
      <c r="BL35" s="318">
        <f t="shared" ref="BL35:BM35" si="11">BL3+BL10+BL17</f>
        <v>0</v>
      </c>
      <c r="BM35" s="318">
        <f t="shared" si="11"/>
        <v>0</v>
      </c>
    </row>
    <row r="36" spans="1:65" x14ac:dyDescent="0.25">
      <c r="A36" t="s">
        <v>82</v>
      </c>
      <c r="C36" s="8"/>
      <c r="D36" s="58">
        <f t="shared" ref="D36:AI36" si="12">D6+D13+D20</f>
        <v>29</v>
      </c>
      <c r="E36" s="58">
        <f t="shared" si="12"/>
        <v>0</v>
      </c>
      <c r="F36" s="58">
        <f t="shared" si="12"/>
        <v>0</v>
      </c>
      <c r="G36" s="58">
        <f t="shared" si="12"/>
        <v>0</v>
      </c>
      <c r="H36" s="58">
        <f t="shared" si="12"/>
        <v>0</v>
      </c>
      <c r="I36" s="58">
        <f t="shared" si="12"/>
        <v>0</v>
      </c>
      <c r="J36" s="58">
        <f t="shared" si="12"/>
        <v>32</v>
      </c>
      <c r="K36" s="58">
        <f t="shared" si="12"/>
        <v>0</v>
      </c>
      <c r="L36" s="151">
        <f t="shared" si="12"/>
        <v>32</v>
      </c>
      <c r="M36" s="58">
        <f t="shared" si="12"/>
        <v>0</v>
      </c>
      <c r="N36" s="288">
        <f t="shared" si="12"/>
        <v>32</v>
      </c>
      <c r="O36" s="288">
        <f t="shared" si="12"/>
        <v>0</v>
      </c>
      <c r="P36" s="289">
        <f t="shared" si="12"/>
        <v>32</v>
      </c>
      <c r="Q36" s="289">
        <f t="shared" si="12"/>
        <v>0</v>
      </c>
      <c r="R36" s="266">
        <f t="shared" si="12"/>
        <v>32</v>
      </c>
      <c r="S36" s="266">
        <f t="shared" si="12"/>
        <v>0</v>
      </c>
      <c r="T36" s="58">
        <f t="shared" si="12"/>
        <v>0</v>
      </c>
      <c r="U36" s="58">
        <f t="shared" si="12"/>
        <v>0</v>
      </c>
      <c r="V36" s="276">
        <f t="shared" si="12"/>
        <v>0</v>
      </c>
      <c r="W36" s="276">
        <f t="shared" si="12"/>
        <v>0</v>
      </c>
      <c r="X36" s="277">
        <f t="shared" si="12"/>
        <v>29</v>
      </c>
      <c r="Y36" s="277">
        <f t="shared" si="12"/>
        <v>3</v>
      </c>
      <c r="Z36" s="279">
        <f t="shared" si="12"/>
        <v>29</v>
      </c>
      <c r="AA36" s="279">
        <f t="shared" si="12"/>
        <v>3</v>
      </c>
      <c r="AB36" s="280">
        <f t="shared" si="12"/>
        <v>28</v>
      </c>
      <c r="AC36" s="280">
        <f t="shared" si="12"/>
        <v>3</v>
      </c>
      <c r="AD36" s="58">
        <f t="shared" si="12"/>
        <v>29</v>
      </c>
      <c r="AE36" s="253">
        <f t="shared" si="12"/>
        <v>3</v>
      </c>
      <c r="AF36" s="58">
        <f t="shared" si="12"/>
        <v>0</v>
      </c>
      <c r="AG36" s="255">
        <f t="shared" si="12"/>
        <v>0</v>
      </c>
      <c r="AH36" s="58">
        <f t="shared" si="12"/>
        <v>0</v>
      </c>
      <c r="AI36" s="58">
        <f t="shared" si="12"/>
        <v>0</v>
      </c>
      <c r="AJ36" s="271">
        <f t="shared" ref="AJ36:BK36" si="13">AJ6+AJ13+AJ20</f>
        <v>0</v>
      </c>
      <c r="AK36" s="271">
        <f t="shared" si="13"/>
        <v>0</v>
      </c>
      <c r="AL36" s="291">
        <f t="shared" si="13"/>
        <v>28</v>
      </c>
      <c r="AM36" s="291">
        <f t="shared" si="13"/>
        <v>4</v>
      </c>
      <c r="AN36" s="282">
        <f t="shared" si="13"/>
        <v>28</v>
      </c>
      <c r="AO36" s="282">
        <f t="shared" si="13"/>
        <v>4</v>
      </c>
      <c r="AP36" s="291">
        <f t="shared" si="13"/>
        <v>29</v>
      </c>
      <c r="AQ36" s="291">
        <f t="shared" si="13"/>
        <v>3</v>
      </c>
      <c r="AR36" s="283">
        <f t="shared" si="13"/>
        <v>29</v>
      </c>
      <c r="AS36" s="283">
        <f t="shared" si="13"/>
        <v>3</v>
      </c>
      <c r="AT36" s="284">
        <f t="shared" si="13"/>
        <v>32</v>
      </c>
      <c r="AU36" s="284">
        <f t="shared" si="13"/>
        <v>0</v>
      </c>
      <c r="AV36" s="285">
        <f t="shared" si="13"/>
        <v>0</v>
      </c>
      <c r="AW36" s="285">
        <f t="shared" si="13"/>
        <v>0</v>
      </c>
      <c r="AX36" s="286">
        <f t="shared" si="13"/>
        <v>0</v>
      </c>
      <c r="AY36" s="286">
        <f t="shared" si="13"/>
        <v>0</v>
      </c>
      <c r="AZ36" s="58">
        <f t="shared" si="13"/>
        <v>29</v>
      </c>
      <c r="BA36" s="258">
        <f t="shared" si="13"/>
        <v>3</v>
      </c>
      <c r="BB36" s="116">
        <f t="shared" si="13"/>
        <v>27</v>
      </c>
      <c r="BC36" s="259">
        <f t="shared" si="13"/>
        <v>4</v>
      </c>
      <c r="BD36" s="272">
        <f t="shared" si="13"/>
        <v>28</v>
      </c>
      <c r="BE36" s="272">
        <f t="shared" si="13"/>
        <v>4</v>
      </c>
      <c r="BF36" s="175">
        <f t="shared" si="13"/>
        <v>29</v>
      </c>
      <c r="BG36" s="175">
        <f t="shared" si="13"/>
        <v>3</v>
      </c>
      <c r="BH36" s="273">
        <f t="shared" si="13"/>
        <v>29</v>
      </c>
      <c r="BI36" s="273">
        <f t="shared" si="13"/>
        <v>3</v>
      </c>
      <c r="BJ36" s="274">
        <f t="shared" si="13"/>
        <v>0</v>
      </c>
      <c r="BK36" s="274">
        <f t="shared" si="13"/>
        <v>0</v>
      </c>
      <c r="BL36" s="318">
        <f t="shared" ref="BL36:BM36" si="14">BL6+BL13+BL20</f>
        <v>0</v>
      </c>
      <c r="BM36" s="318">
        <f t="shared" si="14"/>
        <v>0</v>
      </c>
    </row>
    <row r="37" spans="1:65" s="125" customFormat="1" x14ac:dyDescent="0.25">
      <c r="A37" s="125" t="s">
        <v>122</v>
      </c>
      <c r="C37" s="8"/>
      <c r="D37" s="155">
        <f t="shared" ref="D37:AI37" si="15">D4+D11+D18</f>
        <v>0</v>
      </c>
      <c r="E37" s="155">
        <f t="shared" si="15"/>
        <v>0</v>
      </c>
      <c r="F37" s="155">
        <f t="shared" si="15"/>
        <v>0</v>
      </c>
      <c r="G37" s="155">
        <f t="shared" si="15"/>
        <v>0</v>
      </c>
      <c r="H37" s="155">
        <f t="shared" si="15"/>
        <v>0</v>
      </c>
      <c r="I37" s="155">
        <f t="shared" si="15"/>
        <v>0</v>
      </c>
      <c r="J37" s="155">
        <f t="shared" si="15"/>
        <v>0</v>
      </c>
      <c r="K37" s="155">
        <f t="shared" si="15"/>
        <v>0</v>
      </c>
      <c r="L37" s="155">
        <f t="shared" si="15"/>
        <v>0</v>
      </c>
      <c r="M37" s="155">
        <f t="shared" si="15"/>
        <v>0</v>
      </c>
      <c r="N37" s="288">
        <f t="shared" si="15"/>
        <v>0</v>
      </c>
      <c r="O37" s="288">
        <f t="shared" si="15"/>
        <v>0</v>
      </c>
      <c r="P37" s="289">
        <f t="shared" si="15"/>
        <v>0</v>
      </c>
      <c r="Q37" s="289">
        <f t="shared" si="15"/>
        <v>0</v>
      </c>
      <c r="R37" s="266">
        <f t="shared" si="15"/>
        <v>0</v>
      </c>
      <c r="S37" s="266">
        <f t="shared" si="15"/>
        <v>0</v>
      </c>
      <c r="T37" s="155">
        <f t="shared" si="15"/>
        <v>0</v>
      </c>
      <c r="U37" s="155">
        <f t="shared" si="15"/>
        <v>0</v>
      </c>
      <c r="V37" s="276">
        <f t="shared" si="15"/>
        <v>0</v>
      </c>
      <c r="W37" s="276">
        <f t="shared" si="15"/>
        <v>0</v>
      </c>
      <c r="X37" s="277">
        <f t="shared" si="15"/>
        <v>0</v>
      </c>
      <c r="Y37" s="277">
        <f t="shared" si="15"/>
        <v>0</v>
      </c>
      <c r="Z37" s="279">
        <f t="shared" si="15"/>
        <v>0</v>
      </c>
      <c r="AA37" s="279">
        <f t="shared" si="15"/>
        <v>0</v>
      </c>
      <c r="AB37" s="280">
        <f t="shared" si="15"/>
        <v>0</v>
      </c>
      <c r="AC37" s="280">
        <f t="shared" si="15"/>
        <v>0</v>
      </c>
      <c r="AD37" s="155">
        <f t="shared" si="15"/>
        <v>0</v>
      </c>
      <c r="AE37" s="253">
        <f t="shared" si="15"/>
        <v>0</v>
      </c>
      <c r="AF37" s="155">
        <f t="shared" si="15"/>
        <v>0</v>
      </c>
      <c r="AG37" s="255">
        <f t="shared" si="15"/>
        <v>0</v>
      </c>
      <c r="AH37" s="155">
        <f t="shared" si="15"/>
        <v>0</v>
      </c>
      <c r="AI37" s="155">
        <f t="shared" si="15"/>
        <v>0</v>
      </c>
      <c r="AJ37" s="271">
        <f t="shared" ref="AJ37:BK37" si="16">AJ4+AJ11+AJ18</f>
        <v>0</v>
      </c>
      <c r="AK37" s="271">
        <f t="shared" si="16"/>
        <v>0</v>
      </c>
      <c r="AL37" s="291">
        <f t="shared" si="16"/>
        <v>0</v>
      </c>
      <c r="AM37" s="291">
        <f t="shared" si="16"/>
        <v>0</v>
      </c>
      <c r="AN37" s="282">
        <f t="shared" si="16"/>
        <v>0</v>
      </c>
      <c r="AO37" s="282">
        <f t="shared" si="16"/>
        <v>0</v>
      </c>
      <c r="AP37" s="291">
        <f t="shared" si="16"/>
        <v>0</v>
      </c>
      <c r="AQ37" s="291">
        <f t="shared" si="16"/>
        <v>0</v>
      </c>
      <c r="AR37" s="283">
        <f t="shared" si="16"/>
        <v>0</v>
      </c>
      <c r="AS37" s="283">
        <f t="shared" si="16"/>
        <v>0</v>
      </c>
      <c r="AT37" s="284">
        <f t="shared" si="16"/>
        <v>0</v>
      </c>
      <c r="AU37" s="284">
        <f t="shared" si="16"/>
        <v>0</v>
      </c>
      <c r="AV37" s="285">
        <f t="shared" si="16"/>
        <v>0</v>
      </c>
      <c r="AW37" s="285">
        <f t="shared" si="16"/>
        <v>0</v>
      </c>
      <c r="AX37" s="286">
        <f t="shared" si="16"/>
        <v>0</v>
      </c>
      <c r="AY37" s="286">
        <f t="shared" si="16"/>
        <v>0</v>
      </c>
      <c r="AZ37" s="155">
        <f t="shared" si="16"/>
        <v>0</v>
      </c>
      <c r="BA37" s="258">
        <f t="shared" si="16"/>
        <v>0</v>
      </c>
      <c r="BB37" s="155">
        <f t="shared" si="16"/>
        <v>0</v>
      </c>
      <c r="BC37" s="259">
        <f t="shared" si="16"/>
        <v>0</v>
      </c>
      <c r="BD37" s="272">
        <f t="shared" si="16"/>
        <v>0</v>
      </c>
      <c r="BE37" s="272">
        <f t="shared" si="16"/>
        <v>0</v>
      </c>
      <c r="BF37" s="175">
        <f t="shared" si="16"/>
        <v>0</v>
      </c>
      <c r="BG37" s="175">
        <f t="shared" si="16"/>
        <v>0</v>
      </c>
      <c r="BH37" s="273">
        <f t="shared" si="16"/>
        <v>0</v>
      </c>
      <c r="BI37" s="273">
        <f t="shared" si="16"/>
        <v>0</v>
      </c>
      <c r="BJ37" s="274">
        <f t="shared" si="16"/>
        <v>0</v>
      </c>
      <c r="BK37" s="274">
        <f t="shared" si="16"/>
        <v>0</v>
      </c>
      <c r="BL37" s="318">
        <f t="shared" ref="BL37:BM37" si="17">BL4+BL11+BL18</f>
        <v>0</v>
      </c>
      <c r="BM37" s="318">
        <f t="shared" si="17"/>
        <v>0</v>
      </c>
    </row>
    <row r="38" spans="1:65" x14ac:dyDescent="0.25">
      <c r="A38" t="s">
        <v>35</v>
      </c>
      <c r="C38" s="8"/>
      <c r="D38" s="58">
        <f t="shared" ref="D38:AI38" si="18">D7+D14+D21</f>
        <v>1</v>
      </c>
      <c r="E38" s="58">
        <f t="shared" si="18"/>
        <v>0</v>
      </c>
      <c r="F38" s="58">
        <f t="shared" si="18"/>
        <v>0</v>
      </c>
      <c r="G38" s="58">
        <f t="shared" si="18"/>
        <v>0</v>
      </c>
      <c r="H38" s="58">
        <f t="shared" si="18"/>
        <v>0</v>
      </c>
      <c r="I38" s="58">
        <f t="shared" si="18"/>
        <v>0</v>
      </c>
      <c r="J38" s="58">
        <f t="shared" si="18"/>
        <v>1</v>
      </c>
      <c r="K38" s="58">
        <f t="shared" si="18"/>
        <v>0</v>
      </c>
      <c r="L38" s="151">
        <f t="shared" si="18"/>
        <v>1</v>
      </c>
      <c r="M38" s="58">
        <f t="shared" si="18"/>
        <v>0</v>
      </c>
      <c r="N38" s="288">
        <f t="shared" si="18"/>
        <v>1</v>
      </c>
      <c r="O38" s="288">
        <f t="shared" si="18"/>
        <v>0</v>
      </c>
      <c r="P38" s="289">
        <f t="shared" si="18"/>
        <v>1</v>
      </c>
      <c r="Q38" s="289">
        <f t="shared" si="18"/>
        <v>0</v>
      </c>
      <c r="R38" s="266">
        <f t="shared" si="18"/>
        <v>1</v>
      </c>
      <c r="S38" s="266">
        <f t="shared" si="18"/>
        <v>0</v>
      </c>
      <c r="T38" s="58">
        <f t="shared" si="18"/>
        <v>0</v>
      </c>
      <c r="U38" s="58">
        <f t="shared" si="18"/>
        <v>0</v>
      </c>
      <c r="V38" s="276">
        <f t="shared" si="18"/>
        <v>0</v>
      </c>
      <c r="W38" s="276">
        <f t="shared" si="18"/>
        <v>0</v>
      </c>
      <c r="X38" s="277">
        <f t="shared" si="18"/>
        <v>1</v>
      </c>
      <c r="Y38" s="277">
        <f t="shared" si="18"/>
        <v>0</v>
      </c>
      <c r="Z38" s="279">
        <f t="shared" si="18"/>
        <v>1</v>
      </c>
      <c r="AA38" s="279">
        <f t="shared" si="18"/>
        <v>0</v>
      </c>
      <c r="AB38" s="280">
        <f t="shared" si="18"/>
        <v>1</v>
      </c>
      <c r="AC38" s="280">
        <f t="shared" si="18"/>
        <v>0</v>
      </c>
      <c r="AD38" s="58">
        <f t="shared" si="18"/>
        <v>1</v>
      </c>
      <c r="AE38" s="253">
        <f t="shared" si="18"/>
        <v>0</v>
      </c>
      <c r="AF38" s="255">
        <f t="shared" si="18"/>
        <v>0</v>
      </c>
      <c r="AG38" s="255">
        <f t="shared" si="18"/>
        <v>0</v>
      </c>
      <c r="AH38" s="58">
        <f t="shared" si="18"/>
        <v>0</v>
      </c>
      <c r="AI38" s="58">
        <f t="shared" si="18"/>
        <v>0</v>
      </c>
      <c r="AJ38" s="271">
        <f t="shared" ref="AJ38:BK38" si="19">AJ7+AJ14+AJ21</f>
        <v>0</v>
      </c>
      <c r="AK38" s="271">
        <f t="shared" si="19"/>
        <v>0</v>
      </c>
      <c r="AL38" s="291">
        <f t="shared" si="19"/>
        <v>1</v>
      </c>
      <c r="AM38" s="291">
        <f t="shared" si="19"/>
        <v>0</v>
      </c>
      <c r="AN38" s="282">
        <f t="shared" si="19"/>
        <v>1</v>
      </c>
      <c r="AO38" s="282">
        <f t="shared" si="19"/>
        <v>0</v>
      </c>
      <c r="AP38" s="291">
        <f t="shared" si="19"/>
        <v>1</v>
      </c>
      <c r="AQ38" s="291">
        <f t="shared" si="19"/>
        <v>0</v>
      </c>
      <c r="AR38" s="283">
        <f t="shared" si="19"/>
        <v>1</v>
      </c>
      <c r="AS38" s="283">
        <f t="shared" si="19"/>
        <v>0</v>
      </c>
      <c r="AT38" s="284">
        <f t="shared" si="19"/>
        <v>1</v>
      </c>
      <c r="AU38" s="284">
        <f t="shared" si="19"/>
        <v>0</v>
      </c>
      <c r="AV38" s="285">
        <f t="shared" si="19"/>
        <v>0</v>
      </c>
      <c r="AW38" s="285">
        <f t="shared" si="19"/>
        <v>0</v>
      </c>
      <c r="AX38" s="286">
        <f t="shared" si="19"/>
        <v>0</v>
      </c>
      <c r="AY38" s="286">
        <f t="shared" si="19"/>
        <v>0</v>
      </c>
      <c r="AZ38" s="258">
        <f t="shared" si="19"/>
        <v>1</v>
      </c>
      <c r="BA38" s="258">
        <f t="shared" si="19"/>
        <v>0</v>
      </c>
      <c r="BB38" s="259">
        <f t="shared" si="19"/>
        <v>1</v>
      </c>
      <c r="BC38" s="259">
        <f t="shared" si="19"/>
        <v>0</v>
      </c>
      <c r="BD38" s="272">
        <f t="shared" si="19"/>
        <v>1</v>
      </c>
      <c r="BE38" s="272">
        <f t="shared" si="19"/>
        <v>0</v>
      </c>
      <c r="BF38" s="175">
        <f t="shared" si="19"/>
        <v>1</v>
      </c>
      <c r="BG38" s="175">
        <f t="shared" si="19"/>
        <v>0</v>
      </c>
      <c r="BH38" s="273">
        <f t="shared" si="19"/>
        <v>1</v>
      </c>
      <c r="BI38" s="273">
        <f t="shared" si="19"/>
        <v>0</v>
      </c>
      <c r="BJ38" s="274">
        <f t="shared" si="19"/>
        <v>0</v>
      </c>
      <c r="BK38" s="274">
        <f t="shared" si="19"/>
        <v>0</v>
      </c>
      <c r="BL38" s="318">
        <f t="shared" ref="BL38:BM38" si="20">BL7+BL14+BL21</f>
        <v>0</v>
      </c>
      <c r="BM38" s="318">
        <f t="shared" si="20"/>
        <v>0</v>
      </c>
    </row>
    <row r="39" spans="1:65" s="125" customFormat="1" x14ac:dyDescent="0.25">
      <c r="A39" s="125" t="s">
        <v>179</v>
      </c>
      <c r="C39" s="8"/>
      <c r="D39" s="334">
        <f>D24</f>
        <v>1</v>
      </c>
      <c r="E39" s="334"/>
      <c r="F39" s="334"/>
      <c r="G39" s="334"/>
      <c r="H39" s="334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  <c r="Z39" s="334"/>
      <c r="AA39" s="334"/>
      <c r="AB39" s="334"/>
      <c r="AC39" s="334"/>
      <c r="AD39" s="334"/>
      <c r="AE39" s="334"/>
      <c r="AF39" s="334"/>
      <c r="AG39" s="334"/>
      <c r="AH39" s="334"/>
      <c r="AI39" s="334"/>
      <c r="AJ39" s="334"/>
      <c r="AK39" s="334"/>
      <c r="AL39" s="334"/>
      <c r="AM39" s="334"/>
      <c r="AN39" s="334"/>
      <c r="AO39" s="334"/>
      <c r="AP39" s="334"/>
      <c r="AQ39" s="334"/>
      <c r="AR39" s="334"/>
      <c r="AS39" s="334"/>
      <c r="AT39" s="334"/>
      <c r="AU39" s="334"/>
      <c r="AV39" s="334"/>
      <c r="AW39" s="334"/>
      <c r="AX39" s="334"/>
      <c r="AY39" s="334"/>
      <c r="AZ39" s="334"/>
      <c r="BA39" s="334"/>
      <c r="BB39" s="334"/>
      <c r="BC39" s="334"/>
      <c r="BD39" s="334"/>
      <c r="BE39" s="334"/>
      <c r="BF39" s="334"/>
      <c r="BG39" s="334"/>
      <c r="BH39" s="334"/>
      <c r="BI39" s="334"/>
      <c r="BJ39" s="334"/>
      <c r="BK39" s="334"/>
      <c r="BL39" s="334"/>
      <c r="BM39" s="334"/>
    </row>
    <row r="40" spans="1:65" x14ac:dyDescent="0.25">
      <c r="A40" s="368" t="s">
        <v>83</v>
      </c>
      <c r="B40" s="368"/>
      <c r="C40" s="8"/>
      <c r="D40" s="150">
        <f>SUM(D33:D39)</f>
        <v>194</v>
      </c>
      <c r="E40" s="239">
        <f t="shared" ref="E40:Q40" si="21">SUM(E33:E38)</f>
        <v>23</v>
      </c>
      <c r="F40" s="239">
        <f t="shared" si="21"/>
        <v>144</v>
      </c>
      <c r="G40" s="239">
        <f t="shared" si="21"/>
        <v>3</v>
      </c>
      <c r="H40" s="239">
        <f t="shared" si="21"/>
        <v>108</v>
      </c>
      <c r="I40" s="239">
        <f t="shared" si="21"/>
        <v>3</v>
      </c>
      <c r="J40" s="239">
        <f t="shared" si="21"/>
        <v>186</v>
      </c>
      <c r="K40" s="239">
        <f t="shared" si="21"/>
        <v>37</v>
      </c>
      <c r="L40" s="239">
        <f t="shared" si="21"/>
        <v>184</v>
      </c>
      <c r="M40" s="239">
        <f t="shared" si="21"/>
        <v>39</v>
      </c>
      <c r="N40" s="239">
        <f t="shared" si="21"/>
        <v>184</v>
      </c>
      <c r="O40" s="239">
        <f t="shared" si="21"/>
        <v>39</v>
      </c>
      <c r="P40" s="239">
        <f t="shared" si="21"/>
        <v>184</v>
      </c>
      <c r="Q40" s="239">
        <f t="shared" si="21"/>
        <v>39</v>
      </c>
      <c r="R40" s="239">
        <f>SUM(R33:R38)</f>
        <v>184</v>
      </c>
      <c r="S40" s="302">
        <f>SUM(S33:S38)</f>
        <v>39</v>
      </c>
      <c r="T40" s="239">
        <f t="shared" ref="T40:AI40" si="22">SUM(T33:T38)</f>
        <v>144</v>
      </c>
      <c r="U40" s="239">
        <f t="shared" si="22"/>
        <v>3</v>
      </c>
      <c r="V40" s="268">
        <f t="shared" si="22"/>
        <v>108</v>
      </c>
      <c r="W40" s="268">
        <f t="shared" si="22"/>
        <v>3</v>
      </c>
      <c r="X40" s="239">
        <f t="shared" si="22"/>
        <v>158</v>
      </c>
      <c r="Y40" s="239">
        <f t="shared" si="22"/>
        <v>65</v>
      </c>
      <c r="Z40" s="239">
        <f t="shared" si="22"/>
        <v>158</v>
      </c>
      <c r="AA40" s="239">
        <f t="shared" si="22"/>
        <v>65</v>
      </c>
      <c r="AB40" s="239">
        <f t="shared" si="22"/>
        <v>160</v>
      </c>
      <c r="AC40" s="239">
        <f t="shared" si="22"/>
        <v>62</v>
      </c>
      <c r="AD40" s="239">
        <f t="shared" si="22"/>
        <v>160</v>
      </c>
      <c r="AE40" s="239">
        <f t="shared" si="22"/>
        <v>63</v>
      </c>
      <c r="AF40" s="239">
        <f t="shared" si="22"/>
        <v>108</v>
      </c>
      <c r="AG40" s="239">
        <f t="shared" si="22"/>
        <v>3</v>
      </c>
      <c r="AH40" s="239">
        <f t="shared" si="22"/>
        <v>144</v>
      </c>
      <c r="AI40" s="239">
        <f t="shared" si="22"/>
        <v>3</v>
      </c>
      <c r="AJ40" s="239">
        <f t="shared" ref="AJ40:BI40" si="23">SUM(AJ33:AJ38)</f>
        <v>108</v>
      </c>
      <c r="AK40" s="239">
        <f t="shared" si="23"/>
        <v>3</v>
      </c>
      <c r="AL40" s="239">
        <f t="shared" si="23"/>
        <v>149</v>
      </c>
      <c r="AM40" s="239">
        <f t="shared" si="23"/>
        <v>73</v>
      </c>
      <c r="AN40" s="239">
        <f t="shared" si="23"/>
        <v>150</v>
      </c>
      <c r="AO40" s="239">
        <f t="shared" si="23"/>
        <v>73</v>
      </c>
      <c r="AP40" s="239">
        <f t="shared" si="23"/>
        <v>148</v>
      </c>
      <c r="AQ40" s="239">
        <f t="shared" si="23"/>
        <v>75</v>
      </c>
      <c r="AR40" s="239">
        <f t="shared" si="23"/>
        <v>150</v>
      </c>
      <c r="AS40" s="239">
        <f t="shared" si="23"/>
        <v>71</v>
      </c>
      <c r="AT40" s="239">
        <f t="shared" si="23"/>
        <v>174</v>
      </c>
      <c r="AU40" s="239">
        <f t="shared" si="23"/>
        <v>49</v>
      </c>
      <c r="AV40" s="239">
        <f>SUM(AV33:AV38)</f>
        <v>144</v>
      </c>
      <c r="AW40" s="239">
        <f>SUM(AW33:AW38)</f>
        <v>3</v>
      </c>
      <c r="AX40" s="239">
        <f t="shared" si="23"/>
        <v>108</v>
      </c>
      <c r="AY40" s="284">
        <f t="shared" si="23"/>
        <v>3</v>
      </c>
      <c r="AZ40" s="284">
        <f t="shared" si="23"/>
        <v>152</v>
      </c>
      <c r="BA40" s="284">
        <f t="shared" si="23"/>
        <v>71</v>
      </c>
      <c r="BB40" s="284">
        <f t="shared" si="23"/>
        <v>149</v>
      </c>
      <c r="BC40" s="284">
        <f t="shared" si="23"/>
        <v>71</v>
      </c>
      <c r="BD40" s="284">
        <f t="shared" si="23"/>
        <v>149</v>
      </c>
      <c r="BE40" s="284">
        <f t="shared" si="23"/>
        <v>74</v>
      </c>
      <c r="BF40" s="284">
        <f t="shared" si="23"/>
        <v>154</v>
      </c>
      <c r="BG40" s="284">
        <f t="shared" si="23"/>
        <v>69</v>
      </c>
      <c r="BH40" s="239">
        <f t="shared" si="23"/>
        <v>152</v>
      </c>
      <c r="BI40" s="239">
        <f t="shared" si="23"/>
        <v>71</v>
      </c>
      <c r="BJ40" s="239">
        <f>SUM(BJ33:BJ38)</f>
        <v>144</v>
      </c>
      <c r="BK40" s="239">
        <f>SUM(BK33:BK38)</f>
        <v>3</v>
      </c>
      <c r="BL40" s="318">
        <f>SUM(BL33:BL38)</f>
        <v>108</v>
      </c>
      <c r="BM40" s="318">
        <f>SUM(BM33:BM38)</f>
        <v>3</v>
      </c>
    </row>
    <row r="41" spans="1:65" x14ac:dyDescent="0.25">
      <c r="C41" s="8"/>
      <c r="L41" s="125"/>
      <c r="AR41" s="55"/>
      <c r="AS41" s="55"/>
      <c r="AT41" s="55"/>
      <c r="AU41" s="55"/>
      <c r="AV41" s="55"/>
      <c r="AW41" s="55"/>
      <c r="AX41" s="55"/>
      <c r="AY41" s="55"/>
      <c r="AZ41" s="55"/>
      <c r="BB41" s="55"/>
      <c r="BD41" s="55"/>
      <c r="BH41" s="55"/>
      <c r="BI41" s="55"/>
      <c r="BJ41" s="55"/>
      <c r="BK41" s="55"/>
      <c r="BL41" s="55"/>
      <c r="BM41" s="55"/>
    </row>
    <row r="42" spans="1:65" x14ac:dyDescent="0.25">
      <c r="A42" s="57" t="s">
        <v>84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9"/>
      <c r="AS42" s="59"/>
      <c r="AT42" s="59"/>
      <c r="AU42" s="59"/>
      <c r="AV42" s="59"/>
      <c r="AW42" s="59"/>
      <c r="AX42" s="59"/>
      <c r="AY42" s="59"/>
      <c r="AZ42" s="59"/>
      <c r="BA42" s="57"/>
      <c r="BB42" s="59"/>
      <c r="BC42" s="57"/>
      <c r="BD42" s="59"/>
      <c r="BE42" s="57"/>
      <c r="BF42" s="57"/>
      <c r="BG42" s="57"/>
      <c r="BH42" s="59"/>
      <c r="BI42" s="59"/>
      <c r="BJ42" s="59"/>
      <c r="BK42" s="59"/>
      <c r="BL42" s="59"/>
      <c r="BM42" s="59"/>
    </row>
    <row r="43" spans="1:65" x14ac:dyDescent="0.25">
      <c r="A43" t="s">
        <v>79</v>
      </c>
      <c r="C43" s="8"/>
      <c r="D43" s="58">
        <f>D5+E5+D12+E12+D19+E19</f>
        <v>79</v>
      </c>
      <c r="E43" s="58"/>
      <c r="F43" s="58">
        <f>F5+G5+F12+G12+F19+G19</f>
        <v>72</v>
      </c>
      <c r="G43" s="58"/>
      <c r="H43" s="58">
        <f>H5+I5+H12+I12+H19+I19</f>
        <v>54</v>
      </c>
      <c r="I43" s="58"/>
      <c r="J43" s="58">
        <f>J5+K5+J12+K12+J19+K19</f>
        <v>79</v>
      </c>
      <c r="K43" s="58"/>
      <c r="L43" s="151">
        <f>L5+M5+L12+M12+L19+M19</f>
        <v>79</v>
      </c>
      <c r="M43" s="288"/>
      <c r="N43" s="288">
        <f>N5+O5+N12+O12+N19+O19</f>
        <v>79</v>
      </c>
      <c r="O43" s="289"/>
      <c r="P43" s="289">
        <f>P5+Q5+P12+Q12+P19+Q19</f>
        <v>79</v>
      </c>
      <c r="Q43" s="266"/>
      <c r="R43" s="266">
        <f>R5+S5+R12+S12+R19+S19</f>
        <v>79</v>
      </c>
      <c r="S43" s="58"/>
      <c r="T43" s="58">
        <f>T5+U5+T12+U12+T19+U19</f>
        <v>72</v>
      </c>
      <c r="U43" s="276"/>
      <c r="V43" s="276">
        <f>V5+W5+V12+W12+V19+W19</f>
        <v>54</v>
      </c>
      <c r="W43" s="277"/>
      <c r="X43" s="277">
        <f>X5+Y5+X12+Y12+X19+Y19</f>
        <v>79</v>
      </c>
      <c r="Y43" s="279"/>
      <c r="Z43" s="279">
        <f>Z5+AA5+Z12+AA12+Z19+AA19</f>
        <v>79</v>
      </c>
      <c r="AA43" s="280"/>
      <c r="AB43" s="280">
        <f>AB5+AC5+AB12+AC12+AB19+AC19</f>
        <v>80</v>
      </c>
      <c r="AC43" s="58"/>
      <c r="AD43" s="58">
        <f>AD5+AE5+AD12+AE12+AD19+AE19</f>
        <v>79</v>
      </c>
      <c r="AE43" s="58"/>
      <c r="AF43" s="58">
        <f>AF5+AG5+AF12+AG12+AF19+AG19</f>
        <v>54</v>
      </c>
      <c r="AG43" s="58"/>
      <c r="AH43" s="58">
        <f>AH5+AI5+AH12+AI12+AH19+AI19</f>
        <v>72</v>
      </c>
      <c r="AI43" s="271"/>
      <c r="AJ43" s="271">
        <f>AJ5+AK5+AJ12+AK12+AJ19+AK19</f>
        <v>54</v>
      </c>
      <c r="AK43" s="281"/>
      <c r="AL43" s="290">
        <f>AL5+AM5+AL12+AM12+AL19+AM19</f>
        <v>78</v>
      </c>
      <c r="AM43" s="282"/>
      <c r="AN43" s="282">
        <f>AN5+AO5+AN12+AO12+AN19+AO19</f>
        <v>79</v>
      </c>
      <c r="AO43" s="291"/>
      <c r="AP43" s="291">
        <f>AP5+AQ5+AP12+AQ12+AP19+AQ19</f>
        <v>79</v>
      </c>
      <c r="AQ43" s="283"/>
      <c r="AR43" s="283">
        <f>AR5+AS5+AR12+AS12+AR19+AS19</f>
        <v>80</v>
      </c>
      <c r="AS43" s="284"/>
      <c r="AT43" s="284">
        <f>AT5+AU5+AT12+AU12+AT19+AU19</f>
        <v>79</v>
      </c>
      <c r="AU43" s="285"/>
      <c r="AV43" s="285">
        <f>AV5+AW5+AV12+AW12+AV19+AW19</f>
        <v>72</v>
      </c>
      <c r="AW43" s="286"/>
      <c r="AX43" s="286">
        <f>AX5+AY5+AX12+AY12+AX19+AY19</f>
        <v>54</v>
      </c>
      <c r="AY43" s="58"/>
      <c r="AZ43" s="58">
        <f>AZ5+BA5+AZ12+BA12+AZ19+BA19</f>
        <v>79</v>
      </c>
      <c r="BA43" s="58"/>
      <c r="BB43" s="116">
        <f>BB5+BC5+BB12+BC12+BB19+BC19</f>
        <v>80</v>
      </c>
      <c r="BC43" s="272"/>
      <c r="BD43" s="272">
        <f>BD5+BE5+BD12+BE12+BD19+BE19</f>
        <v>79</v>
      </c>
      <c r="BE43" s="116"/>
      <c r="BF43" s="58">
        <f>BF5+BG5+BF12+BG12+BF19+BG19</f>
        <v>79</v>
      </c>
      <c r="BG43" s="273"/>
      <c r="BH43" s="273">
        <f>BH5+BI5+BH12+BI12+BH19+BI19</f>
        <v>79</v>
      </c>
      <c r="BI43" s="274"/>
      <c r="BJ43" s="274">
        <f>BJ5+BK5+BJ12+BK12+BJ19+BK19</f>
        <v>72</v>
      </c>
      <c r="BK43" s="308"/>
      <c r="BL43" s="318">
        <f>BL5+BM5+BL12+BM12+BL19+BM19</f>
        <v>54</v>
      </c>
      <c r="BM43" s="318"/>
    </row>
    <row r="44" spans="1:65" x14ac:dyDescent="0.25">
      <c r="A44" t="s">
        <v>80</v>
      </c>
      <c r="C44" s="8"/>
      <c r="D44" s="58">
        <f>D8+E8+D15+E15+D22+E22</f>
        <v>78</v>
      </c>
      <c r="E44" s="58"/>
      <c r="F44" s="58">
        <f>F8+G8+F15+G15+F22+G22</f>
        <v>75</v>
      </c>
      <c r="G44" s="58"/>
      <c r="H44" s="58">
        <f>H8+I8+H15+I15+H22+I22</f>
        <v>57</v>
      </c>
      <c r="I44" s="58"/>
      <c r="J44" s="58">
        <f>J8+K8+J15+K15+J22+K22</f>
        <v>78</v>
      </c>
      <c r="K44" s="58"/>
      <c r="L44" s="58">
        <f>L8+M8+L15+M15+L22+M22</f>
        <v>78</v>
      </c>
      <c r="M44" s="288"/>
      <c r="N44" s="288">
        <f>N8+O8+N15+O15+N22+O22</f>
        <v>78</v>
      </c>
      <c r="O44" s="289"/>
      <c r="P44" s="289">
        <f>P8+Q8+P15+Q15+P22+Q22</f>
        <v>78</v>
      </c>
      <c r="Q44" s="266"/>
      <c r="R44" s="266">
        <f>R8+S8+R15+S15+R22+S22</f>
        <v>78</v>
      </c>
      <c r="S44" s="58"/>
      <c r="T44" s="58">
        <f>T8+U8+T15+U15+T22+U22</f>
        <v>75</v>
      </c>
      <c r="U44" s="276"/>
      <c r="V44" s="276">
        <f>V8+W8+V15+W15+V22+W22</f>
        <v>57</v>
      </c>
      <c r="W44" s="277"/>
      <c r="X44" s="277">
        <f>X8+Y8+X15+Y15+X22+Y22</f>
        <v>78</v>
      </c>
      <c r="Y44" s="279"/>
      <c r="Z44" s="279">
        <f>Z8+AA8+Z15+AA15+Z22+AA22</f>
        <v>78</v>
      </c>
      <c r="AA44" s="280"/>
      <c r="AB44" s="280">
        <f>AB8+AC8+AB15+AC15+AB22+AC22</f>
        <v>78</v>
      </c>
      <c r="AC44" s="58"/>
      <c r="AD44" s="58">
        <f>AD8+AE8+AD15+AE15+AD22+AE22</f>
        <v>78</v>
      </c>
      <c r="AE44" s="58"/>
      <c r="AF44" s="255">
        <f>AF8+AG8+AF15+AG15+AF22+AG22</f>
        <v>57</v>
      </c>
      <c r="AG44" s="58"/>
      <c r="AH44" s="58">
        <f>AH8+AI8+AH15+AI15+AH22+AI22</f>
        <v>75</v>
      </c>
      <c r="AI44" s="271"/>
      <c r="AJ44" s="271">
        <f>AJ8+AK8+AJ15+AK15+AJ22+AK22</f>
        <v>57</v>
      </c>
      <c r="AK44" s="281"/>
      <c r="AL44" s="290">
        <f>AL8+AM8+AL15+AM15+AL22+AM22</f>
        <v>78</v>
      </c>
      <c r="AM44" s="282"/>
      <c r="AN44" s="282">
        <f>AN8+AO8+AN15+AO15+AN22+AO22</f>
        <v>78</v>
      </c>
      <c r="AO44" s="291"/>
      <c r="AP44" s="291">
        <f>AP8+AQ8+AP15+AQ15+AP22+AQ22</f>
        <v>78</v>
      </c>
      <c r="AQ44" s="283"/>
      <c r="AR44" s="283">
        <f>AR8+AS8+AR15+AS15+AR22+AS22</f>
        <v>78</v>
      </c>
      <c r="AS44" s="284"/>
      <c r="AT44" s="284">
        <f>AT8+AU8+AT15+AU15+AT22+AU22</f>
        <v>78</v>
      </c>
      <c r="AU44" s="285"/>
      <c r="AV44" s="285">
        <f>AV8+AW8+AV15+AW15+AV22+AW22</f>
        <v>75</v>
      </c>
      <c r="AW44" s="286"/>
      <c r="AX44" s="286">
        <f>AX8+AY8+AX15+AY15+AX22+AY22</f>
        <v>57</v>
      </c>
      <c r="AY44" s="58"/>
      <c r="AZ44" s="258">
        <f>AZ8+BA8+AZ15+BA15+AZ22+BA22</f>
        <v>78</v>
      </c>
      <c r="BA44" s="58"/>
      <c r="BB44" s="259">
        <f>BB8+BC8+BB15+BC15+BB22+BC22</f>
        <v>78</v>
      </c>
      <c r="BC44" s="272"/>
      <c r="BD44" s="272">
        <f>BD8+BE8+BD15+BE15+BD22+BE22</f>
        <v>78</v>
      </c>
      <c r="BE44" s="116"/>
      <c r="BF44" s="58">
        <f>BF8+BG8+BF15+BG15+BF22+BG22</f>
        <v>78</v>
      </c>
      <c r="BG44" s="273"/>
      <c r="BH44" s="273">
        <f>BH8+BI8+BH15+BI15+BH22+BI22</f>
        <v>78</v>
      </c>
      <c r="BI44" s="274"/>
      <c r="BJ44" s="274">
        <f>BJ8+BK8+BJ15+BK15+BJ22+BK22</f>
        <v>75</v>
      </c>
      <c r="BK44" s="308"/>
      <c r="BL44" s="318">
        <f>BL8+BM8+BL15+BM15+BL22+BM22</f>
        <v>57</v>
      </c>
      <c r="BM44" s="318"/>
    </row>
    <row r="45" spans="1:65" x14ac:dyDescent="0.25">
      <c r="A45" t="s">
        <v>81</v>
      </c>
      <c r="C45" s="8"/>
      <c r="D45" s="58">
        <f>D3+E3+D10+E10+D17+E17</f>
        <v>29</v>
      </c>
      <c r="E45" s="58"/>
      <c r="F45" s="58">
        <f>F3+G3+F10+G10+F17+G17</f>
        <v>0</v>
      </c>
      <c r="G45" s="58"/>
      <c r="H45" s="58">
        <f>H3+I3+H10+I10+H17+I17</f>
        <v>0</v>
      </c>
      <c r="I45" s="58"/>
      <c r="J45" s="58">
        <f>J3+K3+J10+K10+J17+K17</f>
        <v>33</v>
      </c>
      <c r="K45" s="58"/>
      <c r="L45" s="58">
        <f>L3+M3+L10+M10+L17+M17</f>
        <v>33</v>
      </c>
      <c r="M45" s="288"/>
      <c r="N45" s="288">
        <f>N3+O3+N10+O10+N17+O17</f>
        <v>33</v>
      </c>
      <c r="O45" s="289"/>
      <c r="P45" s="289">
        <f>P3+Q3+P10+Q10+P17+Q17</f>
        <v>33</v>
      </c>
      <c r="Q45" s="266"/>
      <c r="R45" s="266">
        <f>R3+S3+R10+S10+R17+S17</f>
        <v>33</v>
      </c>
      <c r="S45" s="58"/>
      <c r="T45" s="58">
        <f>T3+U3+T10+U10+T17+U17</f>
        <v>0</v>
      </c>
      <c r="U45" s="276"/>
      <c r="V45" s="276">
        <f>V3+W3+V10+W10+V17+W17</f>
        <v>0</v>
      </c>
      <c r="W45" s="277"/>
      <c r="X45" s="277">
        <f>X3+Y3+X10+Y10+X17+Y17</f>
        <v>33</v>
      </c>
      <c r="Y45" s="279"/>
      <c r="Z45" s="279">
        <f>Z3+AA3+Z10+AA10+Z17+AA17</f>
        <v>33</v>
      </c>
      <c r="AA45" s="280"/>
      <c r="AB45" s="280">
        <f>AB3+AC3+AB10+AC10+AB17+AC17</f>
        <v>32</v>
      </c>
      <c r="AC45" s="58"/>
      <c r="AD45" s="58">
        <f>AD3+AE3+AD10+AE10+AD17+AE17</f>
        <v>33</v>
      </c>
      <c r="AE45" s="58"/>
      <c r="AF45" s="58">
        <f>AF3+AG3+AF10+AG10+AF17+AG17</f>
        <v>0</v>
      </c>
      <c r="AG45" s="58"/>
      <c r="AH45" s="58">
        <f>AH3+AI3+AH10+AI10+AH17+AI17</f>
        <v>0</v>
      </c>
      <c r="AI45" s="271"/>
      <c r="AJ45" s="271">
        <f>AJ3+AK3+AJ10+AK10+AJ17+AK17</f>
        <v>0</v>
      </c>
      <c r="AK45" s="281"/>
      <c r="AL45" s="290">
        <f>AL3+AM3+AL10+AM10+AL17+AM17</f>
        <v>33</v>
      </c>
      <c r="AM45" s="282"/>
      <c r="AN45" s="282">
        <f>AN3+AO3+AN10+AO10+AN17+AO17</f>
        <v>33</v>
      </c>
      <c r="AO45" s="291"/>
      <c r="AP45" s="291">
        <f>AP3+AQ3+AP10+AQ10+AP17+AQ17</f>
        <v>33</v>
      </c>
      <c r="AQ45" s="283"/>
      <c r="AR45" s="283">
        <f>AR3+AS3+AR10+AS10+AR17+AS17</f>
        <v>30</v>
      </c>
      <c r="AS45" s="284"/>
      <c r="AT45" s="284">
        <f>AT3+AU3+AT10+AU10+AT17+AU17</f>
        <v>33</v>
      </c>
      <c r="AU45" s="285"/>
      <c r="AV45" s="285">
        <f>AV3+AW3+AV10+AW10+AV17+AW17</f>
        <v>0</v>
      </c>
      <c r="AW45" s="286"/>
      <c r="AX45" s="286">
        <f>AX3+AY3+AX10+AY10+AX17+AY17</f>
        <v>0</v>
      </c>
      <c r="AY45" s="58"/>
      <c r="AZ45" s="58">
        <f>AZ3+BA3+AZ10+BA10+AZ17+BA17</f>
        <v>33</v>
      </c>
      <c r="BA45" s="58"/>
      <c r="BB45" s="116">
        <f>BB3+BC3+BB10+BC10+BB17+BC17</f>
        <v>30</v>
      </c>
      <c r="BC45" s="272"/>
      <c r="BD45" s="272">
        <f>BD3+BE3+BD10+BE10+BD17+BE17</f>
        <v>33</v>
      </c>
      <c r="BE45" s="116"/>
      <c r="BF45" s="58">
        <f>BF3+BG3+BF10+BG10+BF17+BG17</f>
        <v>33</v>
      </c>
      <c r="BG45" s="273"/>
      <c r="BH45" s="273">
        <f>BH3+BI3+BH10+BI10+BH17+BI17</f>
        <v>33</v>
      </c>
      <c r="BI45" s="274"/>
      <c r="BJ45" s="274">
        <f>BJ3+BK3+BJ10+BK10+BJ17+BK17</f>
        <v>0</v>
      </c>
      <c r="BK45" s="308"/>
      <c r="BL45" s="318">
        <f>BL3+BM3+BL10+BM10+BL17+BM17</f>
        <v>0</v>
      </c>
      <c r="BM45" s="318"/>
    </row>
    <row r="46" spans="1:65" x14ac:dyDescent="0.25">
      <c r="A46" t="s">
        <v>82</v>
      </c>
      <c r="C46" s="8"/>
      <c r="D46" s="58">
        <f>D6+E6+D13+E13+D20+E20</f>
        <v>29</v>
      </c>
      <c r="E46" s="58"/>
      <c r="F46" s="58">
        <f>F6+G6+F13+G13+F20+G20</f>
        <v>0</v>
      </c>
      <c r="G46" s="58"/>
      <c r="H46" s="58">
        <f>H6+I6+H13+I13+H20+I20</f>
        <v>0</v>
      </c>
      <c r="I46" s="58"/>
      <c r="J46" s="58">
        <f>J6+K6+J13+K13+J20+K20</f>
        <v>32</v>
      </c>
      <c r="K46" s="58"/>
      <c r="L46" s="58">
        <f>L6+M6+L13+M13+L20+M20</f>
        <v>32</v>
      </c>
      <c r="M46" s="288"/>
      <c r="N46" s="288">
        <f>N6+O6+N13+O13+N20+O20</f>
        <v>32</v>
      </c>
      <c r="O46" s="289"/>
      <c r="P46" s="289">
        <f>P6+Q6+P13+Q13+P20+Q20</f>
        <v>32</v>
      </c>
      <c r="Q46" s="266"/>
      <c r="R46" s="266">
        <f>R6+S6+R13+S13+R20+S20</f>
        <v>32</v>
      </c>
      <c r="S46" s="58"/>
      <c r="T46" s="58">
        <f>T6+U6+T13+U13+T20+U20</f>
        <v>0</v>
      </c>
      <c r="U46" s="276"/>
      <c r="V46" s="276">
        <f>V6+W6+V13+W13+V20+W20</f>
        <v>0</v>
      </c>
      <c r="W46" s="277"/>
      <c r="X46" s="277">
        <f>X6+Y6+X13+Y13+X20+Y20</f>
        <v>32</v>
      </c>
      <c r="Y46" s="279"/>
      <c r="Z46" s="279">
        <f>Z6+AA6+Z13+AA13+Z20+AA20</f>
        <v>32</v>
      </c>
      <c r="AA46" s="280"/>
      <c r="AB46" s="280">
        <f>AB6+AC6+AB13+AC13+AB20+AC20</f>
        <v>31</v>
      </c>
      <c r="AC46" s="58"/>
      <c r="AD46" s="58">
        <f>AD6+AE6+AD13+AE13+AD20+AE20</f>
        <v>32</v>
      </c>
      <c r="AE46" s="58"/>
      <c r="AF46" s="58">
        <f>AF6+AG6+AF13+AG13+AF20+AG20</f>
        <v>0</v>
      </c>
      <c r="AG46" s="58"/>
      <c r="AH46" s="58">
        <f>AH6+AI6+AH13+AI13+AH20+AI20</f>
        <v>0</v>
      </c>
      <c r="AI46" s="271"/>
      <c r="AJ46" s="271">
        <f>AJ6+AK6+AJ13+AK13+AJ20+AK20</f>
        <v>0</v>
      </c>
      <c r="AK46" s="281"/>
      <c r="AL46" s="290">
        <f>AL6+AM6+AL13+AM13+AL20+AM20</f>
        <v>32</v>
      </c>
      <c r="AM46" s="282"/>
      <c r="AN46" s="282">
        <f>AN6+AO6+AN13+AO13+AN20+AO20</f>
        <v>32</v>
      </c>
      <c r="AO46" s="291"/>
      <c r="AP46" s="291">
        <f>AP6+AQ6+AP13+AQ13+AP20+AQ20</f>
        <v>32</v>
      </c>
      <c r="AQ46" s="283"/>
      <c r="AR46" s="283">
        <f>AR6+AS6+AR13+AS13+AR20+AS20</f>
        <v>32</v>
      </c>
      <c r="AS46" s="284"/>
      <c r="AT46" s="284">
        <f>AT6+AU6+AT13+AU13+AT20+AU20</f>
        <v>32</v>
      </c>
      <c r="AU46" s="285"/>
      <c r="AV46" s="285">
        <f>AV6+AW6+AV13+AW13+AV20+AW20</f>
        <v>0</v>
      </c>
      <c r="AW46" s="286"/>
      <c r="AX46" s="286">
        <f>AX6+AY6+AX13+AY13+AX20+AY20</f>
        <v>0</v>
      </c>
      <c r="AY46" s="58"/>
      <c r="AZ46" s="58">
        <f>AZ6+BA6+AZ13+BA13+AZ20+BA20</f>
        <v>32</v>
      </c>
      <c r="BA46" s="58"/>
      <c r="BB46" s="116">
        <f>BB6+BC6+BB13+BC13+BB20+BC20</f>
        <v>31</v>
      </c>
      <c r="BC46" s="272"/>
      <c r="BD46" s="272">
        <f>BD6+BE6+BD13+BE13+BD20+BE20</f>
        <v>32</v>
      </c>
      <c r="BE46" s="116"/>
      <c r="BF46" s="58">
        <f>BF6+BG6+BF13+BG13+BF20+BG20</f>
        <v>32</v>
      </c>
      <c r="BG46" s="273"/>
      <c r="BH46" s="273">
        <f>BH6+BI6+BH13+BI13+BH20+BI20</f>
        <v>32</v>
      </c>
      <c r="BI46" s="274"/>
      <c r="BJ46" s="274">
        <f>BJ6+BK6+BJ13+BK13+BJ20+BK20</f>
        <v>0</v>
      </c>
      <c r="BK46" s="308"/>
      <c r="BL46" s="318">
        <f>BL6+BM6+BL13+BM13+BL20+BM20</f>
        <v>0</v>
      </c>
      <c r="BM46" s="318"/>
    </row>
    <row r="47" spans="1:65" s="125" customFormat="1" x14ac:dyDescent="0.25">
      <c r="A47" s="125" t="s">
        <v>122</v>
      </c>
      <c r="C47" s="8"/>
      <c r="D47" s="155">
        <f>D4+E4+D11+E11+D18+E18</f>
        <v>0</v>
      </c>
      <c r="E47" s="155"/>
      <c r="F47" s="155">
        <f>F4+G4+F11+G11+F18+G18</f>
        <v>0</v>
      </c>
      <c r="G47" s="155"/>
      <c r="H47" s="155">
        <f>H4+I4+H11+I11+H18+I18</f>
        <v>0</v>
      </c>
      <c r="I47" s="155"/>
      <c r="J47" s="155">
        <f>J4+K4+J11+K11+J18+K18</f>
        <v>0</v>
      </c>
      <c r="K47" s="155"/>
      <c r="L47" s="155">
        <f>L4+M4+L11+M11+L18+M18</f>
        <v>0</v>
      </c>
      <c r="M47" s="288"/>
      <c r="N47" s="288">
        <f>N4+O4+N11+O11+N18+O18</f>
        <v>0</v>
      </c>
      <c r="O47" s="289"/>
      <c r="P47" s="289">
        <f>P4+Q4+P11+Q11+P18+Q18</f>
        <v>0</v>
      </c>
      <c r="Q47" s="266"/>
      <c r="R47" s="266">
        <f>R4+S4+R11+S11+R18+S18</f>
        <v>0</v>
      </c>
      <c r="S47" s="155"/>
      <c r="T47" s="155">
        <f>T4+U4+T11+U11+T18+U18</f>
        <v>0</v>
      </c>
      <c r="U47" s="276"/>
      <c r="V47" s="276">
        <f>V4+W4+V11+W11+V18+W18</f>
        <v>0</v>
      </c>
      <c r="W47" s="277"/>
      <c r="X47" s="277">
        <f>X4+Y4+X11+Y11+X18+Y18</f>
        <v>0</v>
      </c>
      <c r="Y47" s="279"/>
      <c r="Z47" s="279">
        <f>Z4+AA4+Z11+AA11+Z18+AA18</f>
        <v>0</v>
      </c>
      <c r="AA47" s="280"/>
      <c r="AB47" s="280">
        <f>AB4+AC4+AB11+AC11+AB18+AC18</f>
        <v>0</v>
      </c>
      <c r="AC47" s="155"/>
      <c r="AD47" s="155">
        <f>AD4+AE4+AD11+AE11+AD18+AE18</f>
        <v>0</v>
      </c>
      <c r="AE47" s="155"/>
      <c r="AF47" s="155">
        <f>AF4+AG4+AF11+AG11+AF18+AG18</f>
        <v>0</v>
      </c>
      <c r="AG47" s="155"/>
      <c r="AH47" s="155">
        <f>AH4+AI4+AH11+AI11+AH18+AI18</f>
        <v>0</v>
      </c>
      <c r="AI47" s="271"/>
      <c r="AJ47" s="271">
        <f>AJ4+AK4+AJ11+AK11+AJ18+AK18</f>
        <v>0</v>
      </c>
      <c r="AK47" s="281"/>
      <c r="AL47" s="290">
        <f>AL4+AM4+AL11+AM11+AL18+AM18</f>
        <v>0</v>
      </c>
      <c r="AM47" s="282"/>
      <c r="AN47" s="282">
        <f>AN4+AO4+AN11+AO11+AN18+AO18</f>
        <v>0</v>
      </c>
      <c r="AO47" s="291"/>
      <c r="AP47" s="291">
        <f>AP4+AQ4+AP11+AQ11+AP18+AQ18</f>
        <v>0</v>
      </c>
      <c r="AQ47" s="283"/>
      <c r="AR47" s="283">
        <f>AR4+AS4+AR11+AS11+AR18+AS18</f>
        <v>0</v>
      </c>
      <c r="AS47" s="284"/>
      <c r="AT47" s="284">
        <f>AT4+AU4+AT11+AU11+AT18+AU18</f>
        <v>0</v>
      </c>
      <c r="AU47" s="285"/>
      <c r="AV47" s="285">
        <f>AV4+AW4+AV11+AW11+AV18+AW18</f>
        <v>0</v>
      </c>
      <c r="AW47" s="286"/>
      <c r="AX47" s="286">
        <f>AX4+AY4+AX11+AY11+AX18+AY18</f>
        <v>0</v>
      </c>
      <c r="AY47" s="155"/>
      <c r="AZ47" s="155">
        <f>AZ4+BA4+AZ11+BA11+AZ18+BA18</f>
        <v>0</v>
      </c>
      <c r="BA47" s="155"/>
      <c r="BB47" s="155">
        <f>BB4+BC4+BB11+BC11+BB18+BC18</f>
        <v>0</v>
      </c>
      <c r="BC47" s="272"/>
      <c r="BD47" s="272">
        <f>BD4+BE4+BD11+BE11+BD18+BE18</f>
        <v>0</v>
      </c>
      <c r="BE47" s="155"/>
      <c r="BF47" s="155">
        <f>BF4+BG4+BF11+BG11+BF18+BG18</f>
        <v>0</v>
      </c>
      <c r="BG47" s="273"/>
      <c r="BH47" s="273">
        <f>BH4+BI4+BH11+BI11+BH18+BI18</f>
        <v>0</v>
      </c>
      <c r="BI47" s="274"/>
      <c r="BJ47" s="274">
        <f>BJ4+BK4+BJ11+BK11+BJ18+BK18</f>
        <v>0</v>
      </c>
      <c r="BK47" s="308"/>
      <c r="BL47" s="318">
        <f>BL4+BM4+BL11+BM11+BL18+BM18</f>
        <v>0</v>
      </c>
      <c r="BM47" s="318"/>
    </row>
    <row r="48" spans="1:65" x14ac:dyDescent="0.25">
      <c r="A48" t="s">
        <v>35</v>
      </c>
      <c r="C48" s="8"/>
      <c r="D48" s="58">
        <f>D7+E7+D14+E14+D21+E21</f>
        <v>1</v>
      </c>
      <c r="E48" s="58"/>
      <c r="F48" s="58">
        <f>F7+G7+F14+G14+F21+G21</f>
        <v>0</v>
      </c>
      <c r="G48" s="58"/>
      <c r="H48" s="58">
        <f>H7+I7+H14+I14+H21+I21</f>
        <v>0</v>
      </c>
      <c r="I48" s="58"/>
      <c r="J48" s="58">
        <f>J7+K7+J14+K14+J21+K21</f>
        <v>1</v>
      </c>
      <c r="K48" s="58"/>
      <c r="L48" s="58">
        <f>L7+M7+L14+M14+L21+M21</f>
        <v>1</v>
      </c>
      <c r="M48" s="288"/>
      <c r="N48" s="288">
        <f>N7+O7+N14+O14+N21+O21</f>
        <v>1</v>
      </c>
      <c r="O48" s="289"/>
      <c r="P48" s="289">
        <f>P7+Q7+P14+Q14+P21+Q21</f>
        <v>1</v>
      </c>
      <c r="Q48" s="266"/>
      <c r="R48" s="266">
        <f>R7+S7+R14+S14+R21+S21</f>
        <v>1</v>
      </c>
      <c r="S48" s="58"/>
      <c r="T48" s="58">
        <f>T7+U7+T14+U14+T21+U21</f>
        <v>0</v>
      </c>
      <c r="U48" s="276"/>
      <c r="V48" s="276">
        <f>V7+W7+V14+W14+V21+W21</f>
        <v>0</v>
      </c>
      <c r="W48" s="277"/>
      <c r="X48" s="277">
        <f>X7+Y7+X14+Y14+X21+Y21</f>
        <v>1</v>
      </c>
      <c r="Y48" s="279"/>
      <c r="Z48" s="279">
        <f>Z7+AA7+Z14+AA14+Z21+AA21</f>
        <v>1</v>
      </c>
      <c r="AA48" s="280"/>
      <c r="AB48" s="280">
        <f>AB7+AC7+AB14+AC14+AB21+AC21</f>
        <v>1</v>
      </c>
      <c r="AC48" s="58"/>
      <c r="AD48" s="58">
        <f>AD7+AE7+AD14+AE14+AD21+AE21</f>
        <v>1</v>
      </c>
      <c r="AE48" s="58"/>
      <c r="AF48" s="255">
        <f>AF7+AG7+AF14+AG14+AF21+AG21</f>
        <v>0</v>
      </c>
      <c r="AG48" s="58"/>
      <c r="AH48" s="58">
        <f>AH7+AI7+AH14+AI14+AH21+AI21</f>
        <v>0</v>
      </c>
      <c r="AI48" s="271"/>
      <c r="AJ48" s="271">
        <f>AJ7+AK7+AJ14+AK14+AJ21+AK21</f>
        <v>0</v>
      </c>
      <c r="AK48" s="281"/>
      <c r="AL48" s="290">
        <f>AL7+AM7+AL14+AM14+AL21+AM21</f>
        <v>1</v>
      </c>
      <c r="AM48" s="282"/>
      <c r="AN48" s="282">
        <f>AN7+AO7+AN14+AO14+AN21+AO21</f>
        <v>1</v>
      </c>
      <c r="AO48" s="291"/>
      <c r="AP48" s="291">
        <f>AP7+AQ7+AP14+AQ14+AP21+AQ21</f>
        <v>1</v>
      </c>
      <c r="AQ48" s="283"/>
      <c r="AR48" s="283">
        <f>AR7+AS7+AR14+AS14+AR21+AS21</f>
        <v>1</v>
      </c>
      <c r="AS48" s="284"/>
      <c r="AT48" s="284">
        <f>AT7+AU7+AT14+AU14+AT21+AU21</f>
        <v>1</v>
      </c>
      <c r="AU48" s="285"/>
      <c r="AV48" s="285">
        <f>AV7+AW7+AV14+AW14+AV21+AW21</f>
        <v>0</v>
      </c>
      <c r="AW48" s="286"/>
      <c r="AX48" s="286">
        <f>AX7+AY7+AX14+AY14+AX21+AY21</f>
        <v>0</v>
      </c>
      <c r="AY48" s="58"/>
      <c r="AZ48" s="258">
        <f>AZ7+BA7+AZ14+BA14+AZ21+BA21</f>
        <v>1</v>
      </c>
      <c r="BA48" s="58"/>
      <c r="BB48" s="259">
        <f>BB7+BC7+BB14+BC14+BB21+BC21</f>
        <v>1</v>
      </c>
      <c r="BC48" s="272"/>
      <c r="BD48" s="272">
        <f>BD7+BE7+BD14+BE14+BD21+BE21</f>
        <v>1</v>
      </c>
      <c r="BE48" s="116"/>
      <c r="BF48" s="58">
        <f>BF7+BG7+BF14+BG14+BF21+BG21</f>
        <v>1</v>
      </c>
      <c r="BG48" s="273"/>
      <c r="BH48" s="273">
        <f>BH7+BI7+BH14+BI14+BH21+BI21</f>
        <v>1</v>
      </c>
      <c r="BI48" s="274"/>
      <c r="BJ48" s="274">
        <f>BJ7+BK7+BJ14+BK14+BJ21+BK21</f>
        <v>0</v>
      </c>
      <c r="BK48" s="308"/>
      <c r="BL48" s="318">
        <f>BL7+BM7+BL14+BM14+BL21+BM21</f>
        <v>0</v>
      </c>
      <c r="BM48" s="318"/>
    </row>
    <row r="49" spans="1:70" s="125" customFormat="1" x14ac:dyDescent="0.25">
      <c r="A49" s="125" t="s">
        <v>179</v>
      </c>
      <c r="C49" s="8"/>
      <c r="D49" s="334">
        <f>D24+E24</f>
        <v>1</v>
      </c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334"/>
      <c r="AB49" s="334"/>
      <c r="AC49" s="334"/>
      <c r="AD49" s="334"/>
      <c r="AE49" s="334"/>
      <c r="AF49" s="334"/>
      <c r="AG49" s="334"/>
      <c r="AH49" s="334"/>
      <c r="AI49" s="334"/>
      <c r="AJ49" s="334"/>
      <c r="AK49" s="334"/>
      <c r="AL49" s="334"/>
      <c r="AM49" s="334"/>
      <c r="AN49" s="334"/>
      <c r="AO49" s="334"/>
      <c r="AP49" s="334"/>
      <c r="AQ49" s="334"/>
      <c r="AR49" s="334"/>
      <c r="AS49" s="334"/>
      <c r="AT49" s="334"/>
      <c r="AU49" s="334"/>
      <c r="AV49" s="334"/>
      <c r="AW49" s="334"/>
      <c r="AX49" s="334"/>
      <c r="AY49" s="334"/>
      <c r="AZ49" s="334"/>
      <c r="BA49" s="334"/>
      <c r="BB49" s="334"/>
      <c r="BC49" s="334"/>
      <c r="BD49" s="334"/>
      <c r="BE49" s="334"/>
      <c r="BF49" s="334"/>
      <c r="BG49" s="334"/>
      <c r="BH49" s="334"/>
      <c r="BI49" s="334"/>
      <c r="BJ49" s="334"/>
      <c r="BK49" s="334"/>
      <c r="BL49" s="334"/>
      <c r="BM49" s="334"/>
    </row>
    <row r="50" spans="1:70" s="125" customFormat="1" x14ac:dyDescent="0.25">
      <c r="C50" s="8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34"/>
      <c r="AM50" s="334"/>
      <c r="AN50" s="334"/>
      <c r="AO50" s="334"/>
      <c r="AP50" s="334"/>
      <c r="AQ50" s="334"/>
      <c r="AR50" s="334"/>
      <c r="AS50" s="334"/>
      <c r="AT50" s="334"/>
      <c r="AU50" s="334"/>
      <c r="AV50" s="334"/>
      <c r="AW50" s="334"/>
      <c r="AX50" s="334"/>
      <c r="AY50" s="334"/>
      <c r="AZ50" s="334"/>
      <c r="BA50" s="334"/>
      <c r="BB50" s="334"/>
      <c r="BC50" s="334"/>
      <c r="BD50" s="334"/>
      <c r="BE50" s="334"/>
      <c r="BF50" s="334"/>
      <c r="BG50" s="334"/>
      <c r="BH50" s="334"/>
      <c r="BI50" s="334"/>
      <c r="BJ50" s="334"/>
      <c r="BK50" s="334"/>
      <c r="BL50" s="334"/>
      <c r="BM50" s="334"/>
    </row>
    <row r="51" spans="1:70" x14ac:dyDescent="0.25">
      <c r="A51" s="57" t="s">
        <v>65</v>
      </c>
      <c r="B51" s="57"/>
      <c r="C51" s="57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59"/>
      <c r="AS51" s="59"/>
      <c r="AT51" s="59"/>
      <c r="AU51" s="59"/>
      <c r="AV51" s="59"/>
      <c r="AW51" s="59"/>
      <c r="AX51" s="59"/>
      <c r="AY51" s="59"/>
      <c r="AZ51" s="59"/>
      <c r="BA51" s="60"/>
      <c r="BB51" s="59"/>
      <c r="BC51" s="60"/>
      <c r="BD51" s="59"/>
      <c r="BE51" s="60"/>
      <c r="BF51" s="60"/>
      <c r="BG51" s="60"/>
      <c r="BH51" s="59"/>
      <c r="BI51" s="59"/>
      <c r="BJ51" s="59"/>
      <c r="BK51" s="59"/>
      <c r="BL51" s="59"/>
      <c r="BM51" s="59"/>
    </row>
    <row r="52" spans="1:70" x14ac:dyDescent="0.25">
      <c r="A52" t="s">
        <v>79</v>
      </c>
      <c r="C52" s="8"/>
      <c r="D52" s="58">
        <f>(D5+D12+D19)+2*(E5+E12+E19)</f>
        <v>90</v>
      </c>
      <c r="E52" s="58"/>
      <c r="F52" s="58">
        <f>(F5+F12+F19)+2*(G5+G12+G19)</f>
        <v>75</v>
      </c>
      <c r="G52" s="58"/>
      <c r="H52" s="58">
        <f>(H5+H12+H19)+2*(I5+I12+I19)</f>
        <v>57</v>
      </c>
      <c r="I52" s="58"/>
      <c r="J52" s="58">
        <f>(J5+J12+J19)+2*(K5+K12+K19)</f>
        <v>97</v>
      </c>
      <c r="K52" s="58"/>
      <c r="L52" s="58">
        <f>(L5+L12+L19)+2*(M5+M12+M19)</f>
        <v>98</v>
      </c>
      <c r="M52" s="288"/>
      <c r="N52" s="288">
        <f>(N5+N12+N19)+2*(O5+O12+O19)</f>
        <v>98</v>
      </c>
      <c r="O52" s="289"/>
      <c r="P52" s="289">
        <f>(P5+P12+P19)+2*(Q5+Q12+Q19)</f>
        <v>98</v>
      </c>
      <c r="Q52" s="266"/>
      <c r="R52" s="266">
        <f>(R5+R12+R19)+2*(S5+S12+S19)</f>
        <v>98</v>
      </c>
      <c r="S52" s="58"/>
      <c r="T52" s="58">
        <f>(T5+T12+T19)+2*(U5+U12+U19)</f>
        <v>75</v>
      </c>
      <c r="U52" s="276"/>
      <c r="V52" s="276">
        <f>(V5+V12+V19)+2*(W5+W12+W19)</f>
        <v>57</v>
      </c>
      <c r="W52" s="277"/>
      <c r="X52" s="277">
        <f>(X5+X12+X19)+2*(Y5+Y12+Y19)</f>
        <v>108</v>
      </c>
      <c r="Y52" s="279"/>
      <c r="Z52" s="279">
        <f>(Z5+Z12+Z19)+2*(AA5+AA12+AA19)</f>
        <v>108</v>
      </c>
      <c r="AA52" s="280"/>
      <c r="AB52" s="280">
        <f>(AB5+AB12+AB19)+2*(AC5+AC12+AC19)</f>
        <v>107</v>
      </c>
      <c r="AC52" s="58"/>
      <c r="AD52" s="58">
        <f>(AD5+AD12+AD19)+2*(AE5+AE12+AE19)</f>
        <v>107</v>
      </c>
      <c r="AE52" s="58"/>
      <c r="AF52" s="58">
        <f>(AF5+AF12+AF19)+2*(AG5+AG12+AG19)</f>
        <v>57</v>
      </c>
      <c r="AG52" s="58"/>
      <c r="AH52" s="58">
        <f>(AH5+AH12+AH19)+2*(AI5+AI12+AI19)</f>
        <v>75</v>
      </c>
      <c r="AI52" s="271"/>
      <c r="AJ52" s="271">
        <f>(AJ5+AJ12+AJ19)+2*(AK5+AK12+AK19)</f>
        <v>57</v>
      </c>
      <c r="AK52" s="281"/>
      <c r="AL52" s="290">
        <f>(AL5+AL12+AL19)+2*(AM5+AM12+AM19)</f>
        <v>109</v>
      </c>
      <c r="AM52" s="282"/>
      <c r="AN52" s="282">
        <f>(AN5+AN12+AN19)+2*(AO5+AO12+AO19)</f>
        <v>111</v>
      </c>
      <c r="AO52" s="291"/>
      <c r="AP52" s="291">
        <f>(AP5+AP12+AP19)+2*(AQ5+AQ12+AQ19)</f>
        <v>113</v>
      </c>
      <c r="AQ52" s="283"/>
      <c r="AR52" s="283">
        <f>(AR5+AR12+AR19)+2*(AS5+AS12+AS19)</f>
        <v>111</v>
      </c>
      <c r="AS52" s="284"/>
      <c r="AT52" s="284">
        <f>(AT5+AT12+AT19)+2*(AU5+AU12+AU19)</f>
        <v>103</v>
      </c>
      <c r="AU52" s="285"/>
      <c r="AV52" s="285">
        <f>(AV5+AV12+AV19)+2*(AW5+AW12+AW19)</f>
        <v>75</v>
      </c>
      <c r="AW52" s="286"/>
      <c r="AX52" s="286">
        <f>(AX5+AX12+AX19)+2*(AY5+AY12+AY19)</f>
        <v>57</v>
      </c>
      <c r="AY52" s="58"/>
      <c r="AZ52" s="58">
        <f>(AZ5+AZ12+AZ19)+2*(BA5+BA12+BA19)</f>
        <v>111</v>
      </c>
      <c r="BA52" s="118"/>
      <c r="BB52" s="116">
        <f>(BB5+BB12+BB19)+2*(BC5+BC12+BC19)</f>
        <v>111</v>
      </c>
      <c r="BC52" s="272"/>
      <c r="BD52" s="272">
        <f>(BD5+BD12+BD19)+2*(BE5+BE12+BE19)</f>
        <v>112</v>
      </c>
      <c r="BE52" s="118"/>
      <c r="BF52" s="58">
        <f>(BF5+BF12+BF19)+2*(BG5+BG12+BG19)</f>
        <v>111</v>
      </c>
      <c r="BG52" s="273"/>
      <c r="BH52" s="273">
        <f>(BH5+BH12+BH19)+2*(BI5+BI12+BI19)</f>
        <v>111</v>
      </c>
      <c r="BI52" s="274"/>
      <c r="BJ52" s="274">
        <f>(BJ5+BJ12+BJ19)+2*(BK5+BK12+BK19)</f>
        <v>75</v>
      </c>
      <c r="BK52" s="308"/>
      <c r="BL52" s="318">
        <f>(BL5+BL12+BL19)+2*(BM5+BM12+BM19)</f>
        <v>57</v>
      </c>
      <c r="BM52" s="318"/>
    </row>
    <row r="53" spans="1:70" x14ac:dyDescent="0.25">
      <c r="A53" t="s">
        <v>80</v>
      </c>
      <c r="C53" s="8"/>
      <c r="D53" s="58">
        <f>(D8+D15+D22)+2*(E8+E15+E22)</f>
        <v>90</v>
      </c>
      <c r="E53" s="58"/>
      <c r="F53" s="58">
        <f>(F8+F15+F22)+2*(G8+G15+G22)</f>
        <v>75</v>
      </c>
      <c r="G53" s="58"/>
      <c r="H53" s="58">
        <f>(H8+H15+H22)+2*(I8+I15+I22)</f>
        <v>57</v>
      </c>
      <c r="I53" s="58"/>
      <c r="J53" s="58">
        <f>(J8+J15+J22)+2*(K8+K15+K22)</f>
        <v>97</v>
      </c>
      <c r="K53" s="58"/>
      <c r="L53" s="58">
        <f>(L8+L15+L22)+2*(M8+M15+M22)</f>
        <v>98</v>
      </c>
      <c r="M53" s="288"/>
      <c r="N53" s="288">
        <f>(N8+N15+N22)+2*(O8+O15+O22)</f>
        <v>98</v>
      </c>
      <c r="O53" s="289"/>
      <c r="P53" s="289">
        <f>(P8+P15+P22)+2*(Q8+Q15+Q22)</f>
        <v>98</v>
      </c>
      <c r="Q53" s="266"/>
      <c r="R53" s="266">
        <f>(R8+R15+R22)+2*(S8+S15+S22)</f>
        <v>98</v>
      </c>
      <c r="S53" s="58"/>
      <c r="T53" s="58">
        <f>(T8+T15+T22)+2*(U8+U15+U22)</f>
        <v>75</v>
      </c>
      <c r="U53" s="276"/>
      <c r="V53" s="276">
        <f>(V8+V15+V22)+2*(W8+W15+W22)</f>
        <v>57</v>
      </c>
      <c r="W53" s="277"/>
      <c r="X53" s="277">
        <f>(X8+X15+X22)+2*(Y8+Y15+Y22)</f>
        <v>108</v>
      </c>
      <c r="Y53" s="279"/>
      <c r="Z53" s="279">
        <f>(Z8+Z15+Z22)+2*(AA8+AA15+AA22)</f>
        <v>108</v>
      </c>
      <c r="AA53" s="280"/>
      <c r="AB53" s="280">
        <f>(AB8+AB15+AB22)+2*(AC8+AC15+AC22)</f>
        <v>107</v>
      </c>
      <c r="AC53" s="58"/>
      <c r="AD53" s="58">
        <f>(AD8+AD15+AD22)+2*(AE8+AE15+AE22)</f>
        <v>107</v>
      </c>
      <c r="AE53" s="58"/>
      <c r="AF53" s="255">
        <f>(AF8+AF15+AF22)+2*(AG8+AG15+AG22)</f>
        <v>57</v>
      </c>
      <c r="AG53" s="58"/>
      <c r="AH53" s="58">
        <f>(AH8+AH15+AH22)+2*(AI8+AI15+AI22)</f>
        <v>75</v>
      </c>
      <c r="AI53" s="271"/>
      <c r="AJ53" s="271">
        <f>(AJ8+AJ15+AJ22)+2*(AK8+AK15+AK22)</f>
        <v>57</v>
      </c>
      <c r="AK53" s="281"/>
      <c r="AL53" s="290">
        <f>(AL8+AL15+AL22)+2*(AM8+AM15+AM22)</f>
        <v>112</v>
      </c>
      <c r="AM53" s="282"/>
      <c r="AN53" s="282">
        <f>(AN8+AN15+AN22)+2*(AO8+AO15+AO22)</f>
        <v>111</v>
      </c>
      <c r="AO53" s="291"/>
      <c r="AP53" s="291">
        <f>(AP8+AP15+AP22)+2*(AQ8+AQ15+AQ22)</f>
        <v>113</v>
      </c>
      <c r="AQ53" s="283"/>
      <c r="AR53" s="283">
        <f>(AR8+AR15+AR22)+2*(AS8+AS15+AS22)</f>
        <v>112</v>
      </c>
      <c r="AS53" s="284"/>
      <c r="AT53" s="284">
        <f>(AT8+AT15+AT22)+2*(AU8+AU15+AU22)</f>
        <v>103</v>
      </c>
      <c r="AU53" s="285"/>
      <c r="AV53" s="285">
        <f>(AV8+AV15+AV22)+2*(AW8+AW15+AW22)</f>
        <v>75</v>
      </c>
      <c r="AW53" s="286"/>
      <c r="AX53" s="286">
        <f>(AX8+AX15+AX22)+2*(AY8+AY15+AY22)</f>
        <v>57</v>
      </c>
      <c r="AY53" s="58"/>
      <c r="AZ53" s="258">
        <f>(AZ8+AZ15+AZ22)+2*(BA8+BA15+BA22)</f>
        <v>111</v>
      </c>
      <c r="BA53" s="118"/>
      <c r="BB53" s="259">
        <f>(BB8+BB15+BB22)+2*(BC8+BC15+BC22)</f>
        <v>110</v>
      </c>
      <c r="BC53" s="272"/>
      <c r="BD53" s="272">
        <f>(BD8+BD15+BD22)+2*(BE8+BE15+BE22)</f>
        <v>111</v>
      </c>
      <c r="BE53" s="118"/>
      <c r="BF53" s="58">
        <f>(BF8+BF15+BF22)+2*(BG8+BG15+BG22)</f>
        <v>109</v>
      </c>
      <c r="BG53" s="273"/>
      <c r="BH53" s="273">
        <f>(BH8+BH15+BH22)+2*(BI8+BI15+BI22)</f>
        <v>111</v>
      </c>
      <c r="BI53" s="274"/>
      <c r="BJ53" s="274">
        <f>(BJ8+BJ15+BJ22)+2*(BK8+BK15+BK22)</f>
        <v>75</v>
      </c>
      <c r="BK53" s="308"/>
      <c r="BL53" s="318">
        <f>(BL8+BL15+BL22)+2*(BM8+BM15+BM22)</f>
        <v>57</v>
      </c>
      <c r="BM53" s="318"/>
    </row>
    <row r="54" spans="1:70" x14ac:dyDescent="0.25">
      <c r="A54" t="s">
        <v>81</v>
      </c>
      <c r="C54" s="8"/>
      <c r="D54" s="58">
        <f>(D3+D10+D17)+2*(E3+E10+E17)</f>
        <v>29</v>
      </c>
      <c r="E54" s="58"/>
      <c r="F54" s="58">
        <f>(F3+F10+F17)+2*(G3+G10+G17)</f>
        <v>0</v>
      </c>
      <c r="G54" s="58"/>
      <c r="H54" s="58">
        <f>(H3+H10+H17)+2*(I3+I10+I17)</f>
        <v>0</v>
      </c>
      <c r="I54" s="58"/>
      <c r="J54" s="58">
        <f>(J3+J10+J17)+2*(K3+K10+K17)</f>
        <v>33</v>
      </c>
      <c r="K54" s="58"/>
      <c r="L54" s="58">
        <f>(L3+L10+L17)+2*(M3+M10+M17)</f>
        <v>33</v>
      </c>
      <c r="M54" s="288"/>
      <c r="N54" s="288">
        <f>(N3+N10+N17)+2*(O3+O10+O17)</f>
        <v>33</v>
      </c>
      <c r="O54" s="289"/>
      <c r="P54" s="289">
        <f>(P3+P10+P17)+2*(Q3+Q10+Q17)</f>
        <v>33</v>
      </c>
      <c r="Q54" s="266"/>
      <c r="R54" s="266">
        <f>(R3+R10+R17)+2*(S3+S10+S17)</f>
        <v>33</v>
      </c>
      <c r="S54" s="58"/>
      <c r="T54" s="58">
        <f>(T3+T10+T17)+2*(U3+U10+U17)</f>
        <v>0</v>
      </c>
      <c r="U54" s="276"/>
      <c r="V54" s="276">
        <f>(V3+V10+V17)+2*(W3+W10+W17)</f>
        <v>0</v>
      </c>
      <c r="W54" s="277"/>
      <c r="X54" s="277">
        <f>(X3+X10+X17)+2*(Y3+Y10+Y17)</f>
        <v>36</v>
      </c>
      <c r="Y54" s="279"/>
      <c r="Z54" s="279">
        <f>(Z3+Z10+Z17)+2*(AA3+AA10+AA17)</f>
        <v>36</v>
      </c>
      <c r="AA54" s="280"/>
      <c r="AB54" s="280">
        <f>(AB3+AB10+AB17)+2*(AC3+AC10+AC17)</f>
        <v>35</v>
      </c>
      <c r="AC54" s="58"/>
      <c r="AD54" s="58">
        <f>(AD3+AD10+AD17)+2*(AE3+AE10+AE17)</f>
        <v>36</v>
      </c>
      <c r="AE54" s="58"/>
      <c r="AF54" s="58">
        <f>(AF3+AF10+AF17)+2*(AG3+AG10+AG17)</f>
        <v>0</v>
      </c>
      <c r="AG54" s="58"/>
      <c r="AH54" s="58">
        <f>(AH3+AH10+AH17)+2*(AI3+AI10+AI17)</f>
        <v>0</v>
      </c>
      <c r="AI54" s="271"/>
      <c r="AJ54" s="271">
        <f>(AJ3+AJ10+AJ17)+2*(AK3+AK10+AK17)</f>
        <v>0</v>
      </c>
      <c r="AK54" s="281"/>
      <c r="AL54" s="290">
        <f>(AL3+AL10+AL17)+2*(AM3+AM10+AM17)</f>
        <v>37</v>
      </c>
      <c r="AM54" s="282"/>
      <c r="AN54" s="282">
        <f>(AN3+AN10+AN17)+2*(AO3+AO10+AO17)</f>
        <v>37</v>
      </c>
      <c r="AO54" s="291"/>
      <c r="AP54" s="291">
        <f>(AP3+AP10+AP17)+2*(AQ3+AQ10+AQ17)</f>
        <v>36</v>
      </c>
      <c r="AQ54" s="283"/>
      <c r="AR54" s="283">
        <f>(AR3+AR10+AR17)+2*(AS3+AS10+AS17)</f>
        <v>33</v>
      </c>
      <c r="AS54" s="284"/>
      <c r="AT54" s="284">
        <f>(AT3+AT10+AT17)+2*(AU3+AU10+AU17)</f>
        <v>33</v>
      </c>
      <c r="AU54" s="285"/>
      <c r="AV54" s="285">
        <f>(AV3+AV10+AV17)+2*(AW3+AW10+AW17)</f>
        <v>0</v>
      </c>
      <c r="AW54" s="286"/>
      <c r="AX54" s="286">
        <f>(AX3+AX10+AX17)+2*(AY3+AY10+AY17)</f>
        <v>0</v>
      </c>
      <c r="AY54" s="58"/>
      <c r="AZ54" s="58">
        <f>(AZ3+AZ10+AZ17)+2*(BA3+BA10+BA17)</f>
        <v>36</v>
      </c>
      <c r="BA54" s="118"/>
      <c r="BB54" s="116">
        <f>(BB3+BB10+BB17)+2*(BC3+BC10+BC17)</f>
        <v>34</v>
      </c>
      <c r="BC54" s="272"/>
      <c r="BD54" s="272">
        <f>(BD3+BD10+BD17)+2*(BE3+BE10+BE17)</f>
        <v>37</v>
      </c>
      <c r="BE54" s="118"/>
      <c r="BF54" s="58">
        <f>(BF3+BF10+BF17)+2*(BG3+BG10+BG17)</f>
        <v>36</v>
      </c>
      <c r="BG54" s="273"/>
      <c r="BH54" s="273">
        <f>(BH3+BH10+BH17)+2*(BI3+BI10+BI17)</f>
        <v>36</v>
      </c>
      <c r="BI54" s="274"/>
      <c r="BJ54" s="274">
        <f>(BJ3+BJ10+BJ17)+2*(BK3+BK10+BK17)</f>
        <v>0</v>
      </c>
      <c r="BK54" s="308"/>
      <c r="BL54" s="318">
        <f>(BL3+BL10+BL17)+2*(BM3+BM10+BM17)</f>
        <v>0</v>
      </c>
      <c r="BM54" s="318"/>
    </row>
    <row r="55" spans="1:70" x14ac:dyDescent="0.25">
      <c r="A55" t="s">
        <v>82</v>
      </c>
      <c r="C55" s="8"/>
      <c r="D55" s="58">
        <f>(D6+D13+D20)+2*(E6+E13+E20)</f>
        <v>29</v>
      </c>
      <c r="E55" s="58"/>
      <c r="F55" s="58">
        <f>(F6+F13+F20)+2*(G6+G13+G20)</f>
        <v>0</v>
      </c>
      <c r="G55" s="58"/>
      <c r="H55" s="58">
        <f>(H6+H13+H20)+2*(I6+I13+I20)</f>
        <v>0</v>
      </c>
      <c r="I55" s="58"/>
      <c r="J55" s="58">
        <f>(J6+J13+J20)+2*(K6+K13+K20)</f>
        <v>32</v>
      </c>
      <c r="K55" s="58"/>
      <c r="L55" s="58">
        <f>(L6+L13+L20)+2*(M6+M13+M20)</f>
        <v>32</v>
      </c>
      <c r="M55" s="288"/>
      <c r="N55" s="288">
        <f>(N6+N13+N20)+2*(O6+O13+O20)</f>
        <v>32</v>
      </c>
      <c r="O55" s="289"/>
      <c r="P55" s="289">
        <f>(P6+P13+P20)+2*(Q6+Q13+Q20)</f>
        <v>32</v>
      </c>
      <c r="Q55" s="266"/>
      <c r="R55" s="266">
        <f>(R6+R13+R20)+2*(S6+S13+S20)</f>
        <v>32</v>
      </c>
      <c r="S55" s="58"/>
      <c r="T55" s="58">
        <f>(T6+T13+T20)+2*(U6+U13+U20)</f>
        <v>0</v>
      </c>
      <c r="U55" s="276"/>
      <c r="V55" s="276">
        <f>(V6+V13+V20)+2*(W6+W13+W20)</f>
        <v>0</v>
      </c>
      <c r="W55" s="277"/>
      <c r="X55" s="277">
        <f>(X6+X13+X20)+2*(Y6+Y13+Y20)</f>
        <v>35</v>
      </c>
      <c r="Y55" s="279"/>
      <c r="Z55" s="279">
        <f>(Z6+Z13+Z20)+2*(AA6+AA13+AA20)</f>
        <v>35</v>
      </c>
      <c r="AA55" s="280"/>
      <c r="AB55" s="280">
        <f>(AB6+AB13+AB20)+2*(AC6+AC13+AC20)</f>
        <v>34</v>
      </c>
      <c r="AC55" s="58"/>
      <c r="AD55" s="58">
        <f>(AD6+AD13+AD20)+2*(AE6+AE13+AE20)</f>
        <v>35</v>
      </c>
      <c r="AE55" s="58"/>
      <c r="AF55" s="58">
        <f>(AF6+AF13+AF20)+2*(AG6+AG13+AG20)</f>
        <v>0</v>
      </c>
      <c r="AG55" s="58"/>
      <c r="AH55" s="58">
        <f>(AH6+AH13+AH20)+2*(AI6+AI13+AI20)</f>
        <v>0</v>
      </c>
      <c r="AI55" s="271"/>
      <c r="AJ55" s="271">
        <f>(AJ6+AJ13+AJ20)+2*(AK6+AK13+AK20)</f>
        <v>0</v>
      </c>
      <c r="AK55" s="281"/>
      <c r="AL55" s="290">
        <f>(AL6+AL13+AL20)+2*(AM6+AM13+AM20)</f>
        <v>36</v>
      </c>
      <c r="AM55" s="282"/>
      <c r="AN55" s="282">
        <f>(AN6+AN13+AN20)+2*(AO6+AO13+AO20)</f>
        <v>36</v>
      </c>
      <c r="AO55" s="291"/>
      <c r="AP55" s="291">
        <f>(AP6+AP13+AP20)+2*(AQ6+AQ13+AQ20)</f>
        <v>35</v>
      </c>
      <c r="AQ55" s="283"/>
      <c r="AR55" s="283">
        <f>(AR6+AR13+AR20)+2*(AS6+AS13+AS20)</f>
        <v>35</v>
      </c>
      <c r="AS55" s="284"/>
      <c r="AT55" s="284">
        <f>(AT6+AT13+AT20)+2*(AU6+AU13+AU20)</f>
        <v>32</v>
      </c>
      <c r="AU55" s="285"/>
      <c r="AV55" s="285">
        <f>(AV6+AV13+AV20)+2*(AW6+AW13+AW20)</f>
        <v>0</v>
      </c>
      <c r="AW55" s="286"/>
      <c r="AX55" s="286">
        <f>(AX6+AX13+AX20)+2*(AY6+AY13+AY20)</f>
        <v>0</v>
      </c>
      <c r="AY55" s="58"/>
      <c r="AZ55" s="58">
        <f>(AZ6+AZ13+AZ20)+2*(BA6+BA13+BA20)</f>
        <v>35</v>
      </c>
      <c r="BA55" s="118"/>
      <c r="BB55" s="116">
        <f>(BB6+BB13+BB20)+2*(BC6+BC13+BC20)</f>
        <v>35</v>
      </c>
      <c r="BC55" s="272"/>
      <c r="BD55" s="272">
        <f>(BD6+BD13+BD20)+2*(BE6+BE13+BE20)</f>
        <v>36</v>
      </c>
      <c r="BE55" s="118"/>
      <c r="BF55" s="58">
        <f>(BF6+BF13+BF20)+2*(BG6+BG13+BG20)</f>
        <v>35</v>
      </c>
      <c r="BG55" s="273"/>
      <c r="BH55" s="273">
        <f>(BH6+BH13+BH20)+2*(BI6+BI13+BI20)</f>
        <v>35</v>
      </c>
      <c r="BI55" s="274"/>
      <c r="BJ55" s="274">
        <f>(BJ6+BJ13+BJ20)+2*(BK6+BK13+BK20)</f>
        <v>0</v>
      </c>
      <c r="BK55" s="308"/>
      <c r="BL55" s="318">
        <f>(BL6+BL13+BL20)+2*(BM6+BM13+BM20)</f>
        <v>0</v>
      </c>
      <c r="BM55" s="318"/>
    </row>
    <row r="56" spans="1:70" s="125" customFormat="1" x14ac:dyDescent="0.25">
      <c r="A56" s="125" t="s">
        <v>122</v>
      </c>
      <c r="C56" s="8"/>
      <c r="D56" s="155">
        <f>(D4+D11+D18)+2*(E4+E11+E18)</f>
        <v>0</v>
      </c>
      <c r="E56" s="155"/>
      <c r="F56" s="155">
        <f>(F4+F11+F18)+2*(G4+G11+G18)</f>
        <v>0</v>
      </c>
      <c r="G56" s="155"/>
      <c r="H56" s="155">
        <f>(H4+H11+H18)+2*(I4+I11+I18)</f>
        <v>0</v>
      </c>
      <c r="I56" s="155"/>
      <c r="J56" s="155">
        <f>(J4+J11+J18)+2*(K4+K11+K18)</f>
        <v>0</v>
      </c>
      <c r="K56" s="155"/>
      <c r="L56" s="155">
        <f>(L4+L11+L18)+2*(M4+M11+M18)</f>
        <v>0</v>
      </c>
      <c r="M56" s="288"/>
      <c r="N56" s="288">
        <f>(N4+N11+N18)+2*(O4+O11+O18)</f>
        <v>0</v>
      </c>
      <c r="O56" s="289"/>
      <c r="P56" s="289">
        <f>(P4+P11+P18)+2*(Q4+Q11+Q18)</f>
        <v>0</v>
      </c>
      <c r="Q56" s="266"/>
      <c r="R56" s="266">
        <f>(R4+R11+R18)+2*(S4+S11+S18)</f>
        <v>0</v>
      </c>
      <c r="S56" s="155"/>
      <c r="T56" s="155">
        <f>(T4+T11+T18)+2*(U4+U11+U18)</f>
        <v>0</v>
      </c>
      <c r="U56" s="276"/>
      <c r="V56" s="276">
        <f>(V4+V11+V18)+2*(W4+W11+W18)</f>
        <v>0</v>
      </c>
      <c r="W56" s="277"/>
      <c r="X56" s="277">
        <f>(X4+X11+X18)+2*(Y4+Y11+Y18)</f>
        <v>0</v>
      </c>
      <c r="Y56" s="279"/>
      <c r="Z56" s="279">
        <f>(Z4+Z11+Z18)+2*(AA4+AA11+AA18)</f>
        <v>0</v>
      </c>
      <c r="AA56" s="280"/>
      <c r="AB56" s="280">
        <f>(AB4+AB11+AB18)+2*(AC4+AC11+AC18)</f>
        <v>0</v>
      </c>
      <c r="AC56" s="155"/>
      <c r="AD56" s="155">
        <f>(AD4+AD11+AD18)+2*(AE4+AE11+AE18)</f>
        <v>0</v>
      </c>
      <c r="AE56" s="155"/>
      <c r="AF56" s="155">
        <f>(AF4+AF11+AF18)+2*(AG4+AG11+AG18)</f>
        <v>0</v>
      </c>
      <c r="AG56" s="155"/>
      <c r="AH56" s="155">
        <f>(AH4+AH11+AH18)+2*(AI4+AI11+AI18)</f>
        <v>0</v>
      </c>
      <c r="AI56" s="271"/>
      <c r="AJ56" s="271">
        <f>(AJ4+AJ11+AJ18)+2*(AK4+AK11+AK18)</f>
        <v>0</v>
      </c>
      <c r="AK56" s="281"/>
      <c r="AL56" s="290">
        <f>(AL4+AL11+AL18)+2*(AM4+AM11+AM18)</f>
        <v>0</v>
      </c>
      <c r="AM56" s="282"/>
      <c r="AN56" s="282">
        <f>(AN4+AN11+AN18)+2*(AO4+AO11+AO18)</f>
        <v>0</v>
      </c>
      <c r="AO56" s="291"/>
      <c r="AP56" s="291">
        <f>(AP4+AP11+AP18)+2*(AQ4+AQ11+AQ18)</f>
        <v>0</v>
      </c>
      <c r="AQ56" s="283"/>
      <c r="AR56" s="283">
        <f>(AR4+AR11+AR18)+2*(AS4+AS11+AS18)</f>
        <v>0</v>
      </c>
      <c r="AS56" s="284"/>
      <c r="AT56" s="284">
        <f>(AT4+AT11+AT18)+2*(AU4+AU11+AU18)</f>
        <v>0</v>
      </c>
      <c r="AU56" s="285"/>
      <c r="AV56" s="285">
        <f>(AV4+AV11+AV18)+2*(AW4+AW11+AW18)</f>
        <v>0</v>
      </c>
      <c r="AW56" s="286"/>
      <c r="AX56" s="286">
        <f>(AX4+AX11+AX18)+2*(AY4+AY11+AY18)</f>
        <v>0</v>
      </c>
      <c r="AY56" s="155"/>
      <c r="AZ56" s="155">
        <f>(AZ4+AZ11+AZ18)+2*(BA4+BA11+BA18)</f>
        <v>0</v>
      </c>
      <c r="BA56" s="155"/>
      <c r="BB56" s="155">
        <f>(BB4+BB11+BB18)+2*(BC4+BC11+BC18)</f>
        <v>0</v>
      </c>
      <c r="BC56" s="272"/>
      <c r="BD56" s="272">
        <f>(BD4+BD11+BD18)+2*(BE4+BE11+BE18)</f>
        <v>0</v>
      </c>
      <c r="BE56" s="155"/>
      <c r="BF56" s="155">
        <f>(BF4+BF11+BF18)+2*(BG4+BG11+BG18)</f>
        <v>0</v>
      </c>
      <c r="BG56" s="273"/>
      <c r="BH56" s="273">
        <f>(BH4+BH11+BH18)+2*(BI4+BI11+BI18)</f>
        <v>0</v>
      </c>
      <c r="BI56" s="274"/>
      <c r="BJ56" s="274">
        <f>(BJ4+BJ11+BJ18)+2*(BK4+BK11+BK18)</f>
        <v>0</v>
      </c>
      <c r="BK56" s="308"/>
      <c r="BL56" s="318">
        <f>(BL4+BL11+BL18)+2*(BM4+BM11+BM18)</f>
        <v>0</v>
      </c>
      <c r="BM56" s="318"/>
    </row>
    <row r="57" spans="1:70" x14ac:dyDescent="0.25">
      <c r="A57" t="s">
        <v>35</v>
      </c>
      <c r="C57" s="8"/>
      <c r="D57" s="58">
        <f>(D7+D14+D21)+2*(E7+E14+E21)</f>
        <v>1</v>
      </c>
      <c r="E57" s="58"/>
      <c r="F57" s="58">
        <f>(F7+F14+F21)+2*(G7+G14+G21)</f>
        <v>0</v>
      </c>
      <c r="G57" s="58"/>
      <c r="H57" s="58">
        <f>(H7+H14+H21)+2*(I7+I14+I21)</f>
        <v>0</v>
      </c>
      <c r="I57" s="58"/>
      <c r="J57" s="58">
        <f>(J7+J14+J21)+2*(K7+K14+K21)</f>
        <v>1</v>
      </c>
      <c r="K57" s="58"/>
      <c r="L57" s="58">
        <f>(L7+L14+L21)+2*(M7+M14+M21)</f>
        <v>1</v>
      </c>
      <c r="M57" s="288"/>
      <c r="N57" s="288">
        <f>(N7+N14+N21)+2*(O7+O14+O21)</f>
        <v>1</v>
      </c>
      <c r="O57" s="289"/>
      <c r="P57" s="289">
        <f>(P7+P14+P21)+2*(Q7+Q14+Q21)</f>
        <v>1</v>
      </c>
      <c r="Q57" s="266"/>
      <c r="R57" s="266">
        <f>(R7+R14+R21)+2*(S7+S14+S21)</f>
        <v>1</v>
      </c>
      <c r="S57" s="58"/>
      <c r="T57" s="58">
        <f>(T7+T14+T21)+2*(U7+U14+U21)</f>
        <v>0</v>
      </c>
      <c r="U57" s="276"/>
      <c r="V57" s="276">
        <f>(V7+V14+V21)+2*(W7+W14+W21)</f>
        <v>0</v>
      </c>
      <c r="W57" s="277"/>
      <c r="X57" s="277">
        <f>(X7+X14+X21)+2*(Y7+Y14+Y21)</f>
        <v>1</v>
      </c>
      <c r="Y57" s="279"/>
      <c r="Z57" s="279">
        <f>(Z7+Z14+Z21)+2*(AA7+AA14+AA21)</f>
        <v>1</v>
      </c>
      <c r="AA57" s="280"/>
      <c r="AB57" s="280">
        <f>(AB7+AB14+AB21)+2*(AC7+AC14+AC21)</f>
        <v>1</v>
      </c>
      <c r="AC57" s="58"/>
      <c r="AD57" s="58">
        <f>(AD7+AD14+AD21)+2*(AE7+AE14+AE21)</f>
        <v>1</v>
      </c>
      <c r="AE57" s="58"/>
      <c r="AF57" s="255">
        <f>(AF7+AF14+AF21)+2*(AG7+AG14+AG21)</f>
        <v>0</v>
      </c>
      <c r="AG57" s="58"/>
      <c r="AH57" s="58">
        <f>(AH7+AH14+AH21)+2*(AI7+AI14+AI21)</f>
        <v>0</v>
      </c>
      <c r="AI57" s="271"/>
      <c r="AJ57" s="271">
        <f>(AJ7+AJ14+AJ21)+2*(AK7+AK14+AK21)</f>
        <v>0</v>
      </c>
      <c r="AK57" s="281"/>
      <c r="AL57" s="290">
        <f>(AL7+AL14+AL21)+2*(AM7+AM14+AM21)</f>
        <v>1</v>
      </c>
      <c r="AM57" s="282"/>
      <c r="AN57" s="282">
        <f>(AN7+AN14+AN21)+2*(AO7+AO14+AO21)</f>
        <v>1</v>
      </c>
      <c r="AO57" s="291"/>
      <c r="AP57" s="291">
        <f>(AP7+AP14+AP21)+2*(AQ7+AQ14+AQ21)</f>
        <v>1</v>
      </c>
      <c r="AQ57" s="283"/>
      <c r="AR57" s="283">
        <f>(AR7+AR14+AR21)+2*(AS7+AS14+AS21)</f>
        <v>1</v>
      </c>
      <c r="AS57" s="284"/>
      <c r="AT57" s="284">
        <f>(AT7+AT14+AT21)+2*(AU7+AU14+AU21)</f>
        <v>1</v>
      </c>
      <c r="AU57" s="285"/>
      <c r="AV57" s="285">
        <f>(AV7+AV14+AV21)+2*(AW7+AW14+AW21)</f>
        <v>0</v>
      </c>
      <c r="AW57" s="286"/>
      <c r="AX57" s="286">
        <f>(AX7+AX14+AX21)+2*(AY7+AY14+AY21)</f>
        <v>0</v>
      </c>
      <c r="AY57" s="58"/>
      <c r="AZ57" s="258">
        <f>(AZ7+AZ14+AZ21)+2*(BA7+BA14+BA21)</f>
        <v>1</v>
      </c>
      <c r="BA57" s="118"/>
      <c r="BB57" s="259">
        <f>(BB7+BB14+BB21)+2*(BC7+BC14+BC21)</f>
        <v>1</v>
      </c>
      <c r="BC57" s="272"/>
      <c r="BD57" s="272">
        <f>(BD7+BD14+BD21)+2*(BE7+BE14+BE21)</f>
        <v>1</v>
      </c>
      <c r="BE57" s="118"/>
      <c r="BF57" s="58">
        <f>(BF7+BF14+BF21)+2*(BG7+BG14+BG21)</f>
        <v>1</v>
      </c>
      <c r="BG57" s="273"/>
      <c r="BH57" s="273">
        <f>(BH7+BH14+BH21)+2*(BI7+BI14+BI21)</f>
        <v>1</v>
      </c>
      <c r="BI57" s="274"/>
      <c r="BJ57" s="274">
        <f>(BJ7+BJ14+BJ21)+2*(BK7+BK14+BK21)</f>
        <v>0</v>
      </c>
      <c r="BK57" s="308"/>
      <c r="BL57" s="318">
        <f>(BL7+BL14+BL21)+2*(BM7+BM14+BM21)</f>
        <v>0</v>
      </c>
      <c r="BM57" s="318"/>
    </row>
    <row r="58" spans="1:70" x14ac:dyDescent="0.25">
      <c r="A58" t="s">
        <v>179</v>
      </c>
      <c r="D58" s="334">
        <f>D24+E24</f>
        <v>1</v>
      </c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</row>
    <row r="64" spans="1:70" x14ac:dyDescent="0.25"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</row>
    <row r="65" spans="19:72" x14ac:dyDescent="0.25"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</row>
    <row r="67" spans="19:72" x14ac:dyDescent="0.25"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</row>
    <row r="68" spans="19:72" x14ac:dyDescent="0.25"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</row>
    <row r="69" spans="19:72" x14ac:dyDescent="0.25"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</row>
  </sheetData>
  <mergeCells count="32">
    <mergeCell ref="BL1:BM1"/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  <mergeCell ref="AX1:AY1"/>
    <mergeCell ref="AV1:AW1"/>
    <mergeCell ref="A40:B40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2"/>
  <sheetViews>
    <sheetView zoomScale="115" zoomScaleNormal="115" workbookViewId="0">
      <selection activeCell="C31" sqref="C31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3" ht="24.75" x14ac:dyDescent="0.45">
      <c r="A1" s="128" t="s">
        <v>172</v>
      </c>
      <c r="B1" s="78"/>
    </row>
    <row r="3" spans="1:33" x14ac:dyDescent="0.25">
      <c r="A3" s="79"/>
      <c r="B3" s="79"/>
      <c r="C3" s="94">
        <v>45870</v>
      </c>
      <c r="D3" s="94">
        <v>45871</v>
      </c>
      <c r="E3" s="94">
        <v>45872</v>
      </c>
      <c r="F3" s="94">
        <v>45873</v>
      </c>
      <c r="G3" s="94">
        <v>45874</v>
      </c>
      <c r="H3" s="94">
        <v>45875</v>
      </c>
      <c r="I3" s="94">
        <v>45876</v>
      </c>
      <c r="J3" s="94">
        <v>45877</v>
      </c>
      <c r="K3" s="94">
        <v>45878</v>
      </c>
      <c r="L3" s="94">
        <v>45879</v>
      </c>
      <c r="M3" s="94">
        <v>45880</v>
      </c>
      <c r="N3" s="94">
        <v>45881</v>
      </c>
      <c r="O3" s="94">
        <v>45882</v>
      </c>
      <c r="P3" s="94">
        <v>45883</v>
      </c>
      <c r="Q3" s="94">
        <v>45884</v>
      </c>
      <c r="R3" s="94">
        <v>45885</v>
      </c>
      <c r="S3" s="94">
        <v>45886</v>
      </c>
      <c r="T3" s="94">
        <v>45887</v>
      </c>
      <c r="U3" s="94">
        <v>45888</v>
      </c>
      <c r="V3" s="94">
        <v>45889</v>
      </c>
      <c r="W3" s="94">
        <v>45890</v>
      </c>
      <c r="X3" s="94">
        <v>45891</v>
      </c>
      <c r="Y3" s="94">
        <v>45892</v>
      </c>
      <c r="Z3" s="94">
        <v>45893</v>
      </c>
      <c r="AA3" s="94">
        <v>45894</v>
      </c>
      <c r="AB3" s="94">
        <v>45895</v>
      </c>
      <c r="AC3" s="94">
        <v>45896</v>
      </c>
      <c r="AD3" s="94">
        <v>45897</v>
      </c>
      <c r="AE3" s="94">
        <v>45898</v>
      </c>
      <c r="AF3" s="94">
        <v>45899</v>
      </c>
      <c r="AG3" s="94">
        <v>45900</v>
      </c>
    </row>
    <row r="4" spans="1:33" x14ac:dyDescent="0.25">
      <c r="A4" s="80" t="s">
        <v>85</v>
      </c>
      <c r="B4" s="81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3" s="86" customFormat="1" ht="14.25" x14ac:dyDescent="0.2">
      <c r="A5" s="82" t="s">
        <v>74</v>
      </c>
      <c r="B5" s="83">
        <v>43.13</v>
      </c>
      <c r="C5" s="96">
        <f>'Data Ocupacion'!D43</f>
        <v>79</v>
      </c>
      <c r="D5" s="96">
        <f>'Data Ocupacion'!F43</f>
        <v>72</v>
      </c>
      <c r="E5" s="96">
        <f>'Data Ocupacion'!H43</f>
        <v>54</v>
      </c>
      <c r="F5" s="96">
        <f>'Data Ocupacion'!J43</f>
        <v>79</v>
      </c>
      <c r="G5" s="96">
        <f>'Data Ocupacion'!L43</f>
        <v>79</v>
      </c>
      <c r="H5" s="96">
        <f>'Data Ocupacion'!N43</f>
        <v>79</v>
      </c>
      <c r="I5" s="96">
        <f>'Data Ocupacion'!P43</f>
        <v>79</v>
      </c>
      <c r="J5" s="96">
        <f>'Data Ocupacion'!R43</f>
        <v>79</v>
      </c>
      <c r="K5" s="96">
        <f>'Data Ocupacion'!T43</f>
        <v>72</v>
      </c>
      <c r="L5" s="96">
        <f>'Data Ocupacion'!V43</f>
        <v>54</v>
      </c>
      <c r="M5" s="96">
        <f>'Data Ocupacion'!X43</f>
        <v>79</v>
      </c>
      <c r="N5" s="96">
        <f>'Data Ocupacion'!Z43</f>
        <v>79</v>
      </c>
      <c r="O5" s="96">
        <f>'Data Ocupacion'!AB43</f>
        <v>80</v>
      </c>
      <c r="P5" s="96">
        <f>'Data Ocupacion'!AD43</f>
        <v>79</v>
      </c>
      <c r="Q5" s="96">
        <f>'Data Ocupacion'!AF43</f>
        <v>54</v>
      </c>
      <c r="R5" s="96">
        <f>'Data Ocupacion'!AH43</f>
        <v>72</v>
      </c>
      <c r="S5" s="96">
        <f>'Data Ocupacion'!AJ43</f>
        <v>54</v>
      </c>
      <c r="T5" s="96">
        <f>'Data Ocupacion'!AL43</f>
        <v>78</v>
      </c>
      <c r="U5" s="96">
        <f>'Data Ocupacion'!AN43</f>
        <v>79</v>
      </c>
      <c r="V5" s="96">
        <f>'Data Ocupacion'!AP43</f>
        <v>79</v>
      </c>
      <c r="W5" s="96">
        <f>'Data Ocupacion'!AR43</f>
        <v>80</v>
      </c>
      <c r="X5" s="96">
        <f>'Data Ocupacion'!AT43</f>
        <v>79</v>
      </c>
      <c r="Y5" s="96">
        <f>'Data Ocupacion'!AV43</f>
        <v>72</v>
      </c>
      <c r="Z5" s="96">
        <f>'Data Ocupacion'!AX43</f>
        <v>54</v>
      </c>
      <c r="AA5" s="96">
        <f>'Data Ocupacion'!AZ43</f>
        <v>79</v>
      </c>
      <c r="AB5" s="96">
        <f>'Data Ocupacion'!BB43</f>
        <v>80</v>
      </c>
      <c r="AC5" s="96">
        <f>'Data Ocupacion'!BD43</f>
        <v>79</v>
      </c>
      <c r="AD5" s="96">
        <f>'Data Ocupacion'!BF43</f>
        <v>79</v>
      </c>
      <c r="AE5" s="96">
        <f>'Data Ocupacion'!BH43</f>
        <v>79</v>
      </c>
      <c r="AF5" s="96">
        <f>'Data Ocupacion'!BJ43</f>
        <v>72</v>
      </c>
      <c r="AG5" s="96">
        <f>'Data Ocupacion'!BL43</f>
        <v>54</v>
      </c>
    </row>
    <row r="6" spans="1:33" s="86" customFormat="1" ht="14.25" x14ac:dyDescent="0.2">
      <c r="A6" s="82" t="s">
        <v>77</v>
      </c>
      <c r="B6" s="83">
        <v>43.13</v>
      </c>
      <c r="C6" s="96">
        <f>'Data Ocupacion'!D44</f>
        <v>78</v>
      </c>
      <c r="D6" s="96">
        <f>'Data Ocupacion'!F44</f>
        <v>75</v>
      </c>
      <c r="E6" s="96">
        <f>'Data Ocupacion'!H44</f>
        <v>57</v>
      </c>
      <c r="F6" s="96">
        <f>'Data Ocupacion'!J44</f>
        <v>78</v>
      </c>
      <c r="G6" s="96">
        <f>'Data Ocupacion'!L44</f>
        <v>78</v>
      </c>
      <c r="H6" s="96">
        <f>'Data Ocupacion'!N44</f>
        <v>78</v>
      </c>
      <c r="I6" s="96">
        <f>'Data Ocupacion'!P44</f>
        <v>78</v>
      </c>
      <c r="J6" s="96">
        <f>'Data Ocupacion'!R44</f>
        <v>78</v>
      </c>
      <c r="K6" s="96">
        <f>'Data Ocupacion'!T44</f>
        <v>75</v>
      </c>
      <c r="L6" s="96">
        <f>'Data Ocupacion'!V44</f>
        <v>57</v>
      </c>
      <c r="M6" s="96">
        <f>'Data Ocupacion'!X44</f>
        <v>78</v>
      </c>
      <c r="N6" s="96">
        <f>'Data Ocupacion'!Z44</f>
        <v>78</v>
      </c>
      <c r="O6" s="96">
        <f>'Data Ocupacion'!AB44</f>
        <v>78</v>
      </c>
      <c r="P6" s="96">
        <f>'Data Ocupacion'!AD44</f>
        <v>78</v>
      </c>
      <c r="Q6" s="96">
        <f>'Data Ocupacion'!AF44</f>
        <v>57</v>
      </c>
      <c r="R6" s="96">
        <f>'Data Ocupacion'!AH44</f>
        <v>75</v>
      </c>
      <c r="S6" s="96">
        <f>'Data Ocupacion'!AJ44</f>
        <v>57</v>
      </c>
      <c r="T6" s="96">
        <f>'Data Ocupacion'!AL44</f>
        <v>78</v>
      </c>
      <c r="U6" s="96">
        <f>'Data Ocupacion'!AN44</f>
        <v>78</v>
      </c>
      <c r="V6" s="96">
        <f>'Data Ocupacion'!AP44</f>
        <v>78</v>
      </c>
      <c r="W6" s="96">
        <f>'Data Ocupacion'!AR44</f>
        <v>78</v>
      </c>
      <c r="X6" s="96">
        <f>'Data Ocupacion'!AT44</f>
        <v>78</v>
      </c>
      <c r="Y6" s="96">
        <f>'Data Ocupacion'!AV44</f>
        <v>75</v>
      </c>
      <c r="Z6" s="96">
        <f>'Data Ocupacion'!AX44</f>
        <v>57</v>
      </c>
      <c r="AA6" s="96">
        <f>'Data Ocupacion'!AZ44</f>
        <v>78</v>
      </c>
      <c r="AB6" s="96">
        <f>'Data Ocupacion'!BB44</f>
        <v>78</v>
      </c>
      <c r="AC6" s="96">
        <f>'Data Ocupacion'!BD44</f>
        <v>78</v>
      </c>
      <c r="AD6" s="96">
        <f>'Data Ocupacion'!BF44</f>
        <v>78</v>
      </c>
      <c r="AE6" s="96">
        <f>'Data Ocupacion'!BH44</f>
        <v>78</v>
      </c>
      <c r="AF6" s="96">
        <f>'Data Ocupacion'!BJ44</f>
        <v>75</v>
      </c>
      <c r="AG6" s="96">
        <f>'Data Ocupacion'!BL44</f>
        <v>57</v>
      </c>
    </row>
    <row r="7" spans="1:33" s="86" customFormat="1" ht="14.25" x14ac:dyDescent="0.2">
      <c r="A7" s="82" t="s">
        <v>73</v>
      </c>
      <c r="B7" s="83">
        <v>29.11</v>
      </c>
      <c r="C7" s="96">
        <f>'Data Ocupacion'!D45</f>
        <v>29</v>
      </c>
      <c r="D7" s="96">
        <f>'Data Ocupacion'!F45</f>
        <v>0</v>
      </c>
      <c r="E7" s="96">
        <f>'Data Ocupacion'!H45</f>
        <v>0</v>
      </c>
      <c r="F7" s="96">
        <f>'Data Ocupacion'!J45</f>
        <v>33</v>
      </c>
      <c r="G7" s="96">
        <f>'Data Ocupacion'!L45</f>
        <v>33</v>
      </c>
      <c r="H7" s="96">
        <f>'Data Ocupacion'!N45</f>
        <v>33</v>
      </c>
      <c r="I7" s="96">
        <f>'Data Ocupacion'!P45</f>
        <v>33</v>
      </c>
      <c r="J7" s="96">
        <f>'Data Ocupacion'!R45</f>
        <v>33</v>
      </c>
      <c r="K7" s="96">
        <f>'Data Ocupacion'!T45</f>
        <v>0</v>
      </c>
      <c r="L7" s="96">
        <f>'Data Ocupacion'!V45</f>
        <v>0</v>
      </c>
      <c r="M7" s="96">
        <f>'Data Ocupacion'!X45</f>
        <v>33</v>
      </c>
      <c r="N7" s="96">
        <f>'Data Ocupacion'!Z45</f>
        <v>33</v>
      </c>
      <c r="O7" s="96">
        <f>'Data Ocupacion'!AB45</f>
        <v>32</v>
      </c>
      <c r="P7" s="96">
        <f>'Data Ocupacion'!AD45</f>
        <v>33</v>
      </c>
      <c r="Q7" s="96">
        <f>'Data Ocupacion'!AF45</f>
        <v>0</v>
      </c>
      <c r="R7" s="96">
        <f>'Data Ocupacion'!AH45</f>
        <v>0</v>
      </c>
      <c r="S7" s="96">
        <f>'Data Ocupacion'!AJ45</f>
        <v>0</v>
      </c>
      <c r="T7" s="96">
        <f>'Data Ocupacion'!AL45</f>
        <v>33</v>
      </c>
      <c r="U7" s="96">
        <f>'Data Ocupacion'!AN45</f>
        <v>33</v>
      </c>
      <c r="V7" s="96">
        <f>'Data Ocupacion'!AP45</f>
        <v>33</v>
      </c>
      <c r="W7" s="96">
        <f>'Data Ocupacion'!AR45</f>
        <v>30</v>
      </c>
      <c r="X7" s="96">
        <f>'Data Ocupacion'!AT45</f>
        <v>33</v>
      </c>
      <c r="Y7" s="96">
        <f>'Data Ocupacion'!AV45</f>
        <v>0</v>
      </c>
      <c r="Z7" s="96">
        <f>'Data Ocupacion'!AX45</f>
        <v>0</v>
      </c>
      <c r="AA7" s="96">
        <f>'Data Ocupacion'!AZ45</f>
        <v>33</v>
      </c>
      <c r="AB7" s="96">
        <f>'Data Ocupacion'!BB45</f>
        <v>30</v>
      </c>
      <c r="AC7" s="96">
        <f>'Data Ocupacion'!BD45</f>
        <v>33</v>
      </c>
      <c r="AD7" s="96">
        <f>'Data Ocupacion'!BF45</f>
        <v>33</v>
      </c>
      <c r="AE7" s="96">
        <f>'Data Ocupacion'!BH45</f>
        <v>33</v>
      </c>
      <c r="AF7" s="96">
        <f>'Data Ocupacion'!BJ45</f>
        <v>0</v>
      </c>
      <c r="AG7" s="96">
        <f>'Data Ocupacion'!BK45</f>
        <v>0</v>
      </c>
    </row>
    <row r="8" spans="1:33" s="86" customFormat="1" ht="14.25" x14ac:dyDescent="0.2">
      <c r="A8" s="82" t="s">
        <v>75</v>
      </c>
      <c r="B8" s="83">
        <v>29.11</v>
      </c>
      <c r="C8" s="96">
        <f>'Data Ocupacion'!D46</f>
        <v>29</v>
      </c>
      <c r="D8" s="96">
        <f>'Data Ocupacion'!F46</f>
        <v>0</v>
      </c>
      <c r="E8" s="96">
        <f>'Data Ocupacion'!H46</f>
        <v>0</v>
      </c>
      <c r="F8" s="96">
        <f>'Data Ocupacion'!J46</f>
        <v>32</v>
      </c>
      <c r="G8" s="96">
        <f>'Data Ocupacion'!L46</f>
        <v>32</v>
      </c>
      <c r="H8" s="96">
        <f>'Data Ocupacion'!N46</f>
        <v>32</v>
      </c>
      <c r="I8" s="96">
        <f>'Data Ocupacion'!P46</f>
        <v>32</v>
      </c>
      <c r="J8" s="96">
        <f>'Data Ocupacion'!R46</f>
        <v>32</v>
      </c>
      <c r="K8" s="96">
        <f>'Data Ocupacion'!T46</f>
        <v>0</v>
      </c>
      <c r="L8" s="96">
        <f>'Data Ocupacion'!V46</f>
        <v>0</v>
      </c>
      <c r="M8" s="96">
        <f>'Data Ocupacion'!X46</f>
        <v>32</v>
      </c>
      <c r="N8" s="96">
        <f>'Data Ocupacion'!Z46</f>
        <v>32</v>
      </c>
      <c r="O8" s="96">
        <f>'Data Ocupacion'!AB46</f>
        <v>31</v>
      </c>
      <c r="P8" s="96">
        <f>'Data Ocupacion'!AD46</f>
        <v>32</v>
      </c>
      <c r="Q8" s="96">
        <f>'Data Ocupacion'!AF46</f>
        <v>0</v>
      </c>
      <c r="R8" s="96">
        <f>'Data Ocupacion'!AH46</f>
        <v>0</v>
      </c>
      <c r="S8" s="96">
        <f>'Data Ocupacion'!AJ46</f>
        <v>0</v>
      </c>
      <c r="T8" s="96">
        <f>'Data Ocupacion'!AL46</f>
        <v>32</v>
      </c>
      <c r="U8" s="96">
        <f>'Data Ocupacion'!AN46</f>
        <v>32</v>
      </c>
      <c r="V8" s="96">
        <f>'Data Ocupacion'!AP46</f>
        <v>32</v>
      </c>
      <c r="W8" s="96">
        <f>'Data Ocupacion'!AR46</f>
        <v>32</v>
      </c>
      <c r="X8" s="96">
        <f>'Data Ocupacion'!AT46</f>
        <v>32</v>
      </c>
      <c r="Y8" s="96">
        <f>'Data Ocupacion'!AV46</f>
        <v>0</v>
      </c>
      <c r="Z8" s="96">
        <f>'Data Ocupacion'!AX46</f>
        <v>0</v>
      </c>
      <c r="AA8" s="96">
        <f>'Data Ocupacion'!AZ46</f>
        <v>32</v>
      </c>
      <c r="AB8" s="96">
        <f>'Data Ocupacion'!BB46</f>
        <v>31</v>
      </c>
      <c r="AC8" s="96">
        <f>'Data Ocupacion'!BD46</f>
        <v>32</v>
      </c>
      <c r="AD8" s="96">
        <f>'Data Ocupacion'!BF46</f>
        <v>32</v>
      </c>
      <c r="AE8" s="96">
        <f>'Data Ocupacion'!BH46</f>
        <v>32</v>
      </c>
      <c r="AF8" s="96">
        <f>'Data Ocupacion'!BJ46</f>
        <v>0</v>
      </c>
      <c r="AG8" s="96">
        <f>'Data Ocupacion'!BK46</f>
        <v>0</v>
      </c>
    </row>
    <row r="9" spans="1:33" s="86" customFormat="1" ht="14.25" x14ac:dyDescent="0.2">
      <c r="A9" s="82" t="s">
        <v>123</v>
      </c>
      <c r="B9" s="83">
        <v>25.4</v>
      </c>
      <c r="C9" s="96">
        <f>'Data Ocupacion'!D47</f>
        <v>0</v>
      </c>
      <c r="D9" s="96">
        <f>'Data Ocupacion'!F47</f>
        <v>0</v>
      </c>
      <c r="E9" s="96">
        <f>'Data Ocupacion'!H47</f>
        <v>0</v>
      </c>
      <c r="F9" s="96">
        <f>'Data Ocupacion'!J47</f>
        <v>0</v>
      </c>
      <c r="G9" s="96">
        <f>'Data Ocupacion'!L47</f>
        <v>0</v>
      </c>
      <c r="H9" s="96">
        <f>'Data Ocupacion'!N47</f>
        <v>0</v>
      </c>
      <c r="I9" s="96">
        <f>'Data Ocupacion'!P47</f>
        <v>0</v>
      </c>
      <c r="J9" s="96">
        <f>'Data Ocupacion'!R47</f>
        <v>0</v>
      </c>
      <c r="K9" s="96">
        <f>'Data Ocupacion'!T47</f>
        <v>0</v>
      </c>
      <c r="L9" s="96">
        <f>'Data Ocupacion'!V47</f>
        <v>0</v>
      </c>
      <c r="M9" s="96">
        <f>'Data Ocupacion'!X47</f>
        <v>0</v>
      </c>
      <c r="N9" s="96">
        <f>'Data Ocupacion'!Z47</f>
        <v>0</v>
      </c>
      <c r="O9" s="96">
        <f>'Data Ocupacion'!AB47</f>
        <v>0</v>
      </c>
      <c r="P9" s="96">
        <f>'Data Ocupacion'!AD47</f>
        <v>0</v>
      </c>
      <c r="Q9" s="96">
        <f>'Data Ocupacion'!AF47</f>
        <v>0</v>
      </c>
      <c r="R9" s="96">
        <f>'Data Ocupacion'!AH47</f>
        <v>0</v>
      </c>
      <c r="S9" s="96">
        <f>'Data Ocupacion'!AJ47</f>
        <v>0</v>
      </c>
      <c r="T9" s="96">
        <f>'Data Ocupacion'!AL47</f>
        <v>0</v>
      </c>
      <c r="U9" s="96">
        <f>'Data Ocupacion'!AN47</f>
        <v>0</v>
      </c>
      <c r="V9" s="96">
        <f>'Data Ocupacion'!AP47</f>
        <v>0</v>
      </c>
      <c r="W9" s="96">
        <f>'Data Ocupacion'!AR47</f>
        <v>0</v>
      </c>
      <c r="X9" s="96">
        <f>'Data Ocupacion'!AT47</f>
        <v>0</v>
      </c>
      <c r="Y9" s="96">
        <f>'Data Ocupacion'!AV47</f>
        <v>0</v>
      </c>
      <c r="Z9" s="96">
        <f>'Data Ocupacion'!AX47</f>
        <v>0</v>
      </c>
      <c r="AA9" s="96">
        <f>'Data Ocupacion'!AZ47</f>
        <v>0</v>
      </c>
      <c r="AB9" s="96">
        <f>'Data Ocupacion'!BB47</f>
        <v>0</v>
      </c>
      <c r="AC9" s="96">
        <f>'Data Ocupacion'!BD47</f>
        <v>0</v>
      </c>
      <c r="AD9" s="96">
        <f>'Data Ocupacion'!BF47</f>
        <v>0</v>
      </c>
      <c r="AE9" s="96">
        <f>'Data Ocupacion'!BH47</f>
        <v>0</v>
      </c>
      <c r="AF9" s="96">
        <f>'Data Ocupacion'!BJ47</f>
        <v>0</v>
      </c>
      <c r="AG9" s="96">
        <f>'Data Ocupacion'!BK47</f>
        <v>0</v>
      </c>
    </row>
    <row r="10" spans="1:33" s="86" customFormat="1" ht="14.25" x14ac:dyDescent="0.2">
      <c r="A10" s="215" t="s">
        <v>76</v>
      </c>
      <c r="B10" s="83">
        <v>25.4</v>
      </c>
      <c r="C10" s="96">
        <f>'Data Ocupacion'!D48</f>
        <v>1</v>
      </c>
      <c r="D10" s="96">
        <f>'Data Ocupacion'!F48</f>
        <v>0</v>
      </c>
      <c r="E10" s="96">
        <f>'Data Ocupacion'!H48</f>
        <v>0</v>
      </c>
      <c r="F10" s="96">
        <f>'Data Ocupacion'!J48</f>
        <v>1</v>
      </c>
      <c r="G10" s="96">
        <f>'Data Ocupacion'!L48</f>
        <v>1</v>
      </c>
      <c r="H10" s="96">
        <f>'Data Ocupacion'!N48</f>
        <v>1</v>
      </c>
      <c r="I10" s="96">
        <f>'Data Ocupacion'!P48</f>
        <v>1</v>
      </c>
      <c r="J10" s="96">
        <f>'Data Ocupacion'!R48</f>
        <v>1</v>
      </c>
      <c r="K10" s="96">
        <f>'Data Ocupacion'!T48</f>
        <v>0</v>
      </c>
      <c r="L10" s="96">
        <f>'Data Ocupacion'!V48</f>
        <v>0</v>
      </c>
      <c r="M10" s="96">
        <f>'Data Ocupacion'!X48</f>
        <v>1</v>
      </c>
      <c r="N10" s="96">
        <f>'Data Ocupacion'!Z48</f>
        <v>1</v>
      </c>
      <c r="O10" s="96">
        <f>'Data Ocupacion'!AB48</f>
        <v>1</v>
      </c>
      <c r="P10" s="96">
        <f>'Data Ocupacion'!AD48</f>
        <v>1</v>
      </c>
      <c r="Q10" s="96">
        <f>'Data Ocupacion'!AF48</f>
        <v>0</v>
      </c>
      <c r="R10" s="96">
        <f>'Data Ocupacion'!AH48</f>
        <v>0</v>
      </c>
      <c r="S10" s="96">
        <f>'Data Ocupacion'!AJ48</f>
        <v>0</v>
      </c>
      <c r="T10" s="96">
        <f>'Data Ocupacion'!AL48</f>
        <v>1</v>
      </c>
      <c r="U10" s="96">
        <f>'Data Ocupacion'!AN48</f>
        <v>1</v>
      </c>
      <c r="V10" s="96">
        <f>'Data Ocupacion'!AP48</f>
        <v>1</v>
      </c>
      <c r="W10" s="96">
        <f>'Data Ocupacion'!AR48</f>
        <v>1</v>
      </c>
      <c r="X10" s="96">
        <f>'Data Ocupacion'!AT48</f>
        <v>1</v>
      </c>
      <c r="Y10" s="96">
        <f>'Data Ocupacion'!AV48</f>
        <v>0</v>
      </c>
      <c r="Z10" s="96">
        <f>'Data Ocupacion'!AX48</f>
        <v>0</v>
      </c>
      <c r="AA10" s="96">
        <f>'Data Ocupacion'!AZ48</f>
        <v>1</v>
      </c>
      <c r="AB10" s="96">
        <f>'Data Ocupacion'!BB48</f>
        <v>1</v>
      </c>
      <c r="AC10" s="96">
        <f>'Data Ocupacion'!BD48</f>
        <v>1</v>
      </c>
      <c r="AD10" s="96">
        <f>'Data Ocupacion'!BF48</f>
        <v>1</v>
      </c>
      <c r="AE10" s="96">
        <f>'Data Ocupacion'!BH48</f>
        <v>1</v>
      </c>
      <c r="AF10" s="96">
        <f>'Data Ocupacion'!BJ48</f>
        <v>0</v>
      </c>
      <c r="AG10" s="96">
        <f>'Data Ocupacion'!BK48</f>
        <v>0</v>
      </c>
    </row>
    <row r="11" spans="1:33" s="86" customFormat="1" ht="14.25" x14ac:dyDescent="0.2">
      <c r="A11" s="335" t="s">
        <v>180</v>
      </c>
      <c r="B11" s="83">
        <v>10.55</v>
      </c>
      <c r="C11" s="96">
        <f>'Data Ocupacion'!D49</f>
        <v>1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T11" s="96"/>
      <c r="V11" s="96"/>
      <c r="X11" s="96"/>
      <c r="Z11" s="96"/>
      <c r="AB11" s="96"/>
      <c r="AD11" s="96"/>
      <c r="AE11" s="96"/>
      <c r="AF11" s="96"/>
      <c r="AG11" s="96"/>
    </row>
    <row r="12" spans="1:33" s="86" customFormat="1" ht="14.25" x14ac:dyDescent="0.2">
      <c r="A12" s="275"/>
      <c r="B12" s="83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T12" s="96"/>
      <c r="V12" s="96"/>
      <c r="X12" s="96"/>
      <c r="Z12" s="96"/>
      <c r="AB12" s="96"/>
      <c r="AD12" s="96"/>
      <c r="AE12" s="96"/>
      <c r="AF12" s="96"/>
      <c r="AG12" s="96"/>
    </row>
    <row r="13" spans="1:33" s="86" customFormat="1" ht="14.25" x14ac:dyDescent="0.2">
      <c r="A13" s="82" t="s">
        <v>87</v>
      </c>
      <c r="B13" s="83">
        <v>43.13</v>
      </c>
      <c r="C13" s="96">
        <f>'Data Ocupacion'!D52</f>
        <v>90</v>
      </c>
      <c r="D13" s="96">
        <f>'Data Ocupacion'!F52</f>
        <v>75</v>
      </c>
      <c r="E13" s="96">
        <f>'Data Ocupacion'!H52</f>
        <v>57</v>
      </c>
      <c r="F13" s="96">
        <f>'Data Ocupacion'!J52</f>
        <v>97</v>
      </c>
      <c r="G13" s="96">
        <f>'Data Ocupacion'!L52</f>
        <v>98</v>
      </c>
      <c r="H13" s="96">
        <f>'Data Ocupacion'!N52</f>
        <v>98</v>
      </c>
      <c r="I13" s="96">
        <f>'Data Ocupacion'!P52</f>
        <v>98</v>
      </c>
      <c r="J13" s="96">
        <f>'Data Ocupacion'!R52</f>
        <v>98</v>
      </c>
      <c r="K13" s="96">
        <f>'Data Ocupacion'!T52</f>
        <v>75</v>
      </c>
      <c r="L13" s="96">
        <f>'Data Ocupacion'!V52</f>
        <v>57</v>
      </c>
      <c r="M13" s="96">
        <f>'Data Ocupacion'!X52</f>
        <v>108</v>
      </c>
      <c r="N13" s="96">
        <f>'Data Ocupacion'!Z52</f>
        <v>108</v>
      </c>
      <c r="O13" s="96">
        <f>'Data Ocupacion'!AB52</f>
        <v>107</v>
      </c>
      <c r="P13" s="96">
        <f>'Data Ocupacion'!AD52</f>
        <v>107</v>
      </c>
      <c r="Q13" s="96">
        <f>'Data Ocupacion'!AF52</f>
        <v>57</v>
      </c>
      <c r="R13" s="96">
        <f>'Data Ocupacion'!AH52</f>
        <v>75</v>
      </c>
      <c r="S13" s="96">
        <f>'Data Ocupacion'!AJ52</f>
        <v>57</v>
      </c>
      <c r="T13" s="96">
        <f>'Data Ocupacion'!AL52</f>
        <v>109</v>
      </c>
      <c r="U13" s="96">
        <f>'Data Ocupacion'!AN52</f>
        <v>111</v>
      </c>
      <c r="V13" s="96">
        <f>'Data Ocupacion'!AP52</f>
        <v>113</v>
      </c>
      <c r="W13" s="96">
        <f>'Data Ocupacion'!AR52</f>
        <v>111</v>
      </c>
      <c r="X13" s="96">
        <f>'Data Ocupacion'!AT52</f>
        <v>103</v>
      </c>
      <c r="Y13" s="96">
        <f>'Data Ocupacion'!AV52</f>
        <v>75</v>
      </c>
      <c r="Z13" s="96">
        <f>'Data Ocupacion'!AX52</f>
        <v>57</v>
      </c>
      <c r="AA13" s="96">
        <f>'Data Ocupacion'!AZ52</f>
        <v>111</v>
      </c>
      <c r="AB13" s="96">
        <f>'Data Ocupacion'!BB52</f>
        <v>111</v>
      </c>
      <c r="AC13" s="96">
        <f>'Data Ocupacion'!BD52</f>
        <v>112</v>
      </c>
      <c r="AD13" s="96">
        <f>'Data Ocupacion'!BF52</f>
        <v>111</v>
      </c>
      <c r="AE13" s="96">
        <f>'Data Ocupacion'!BH52</f>
        <v>111</v>
      </c>
      <c r="AF13" s="96">
        <f>'Data Ocupacion'!BJ52</f>
        <v>75</v>
      </c>
      <c r="AG13" s="96">
        <f>'Data Ocupacion'!BL52</f>
        <v>57</v>
      </c>
    </row>
    <row r="14" spans="1:33" s="86" customFormat="1" ht="14.25" x14ac:dyDescent="0.2">
      <c r="A14" s="82" t="s">
        <v>88</v>
      </c>
      <c r="B14" s="83">
        <v>43.13</v>
      </c>
      <c r="C14" s="96">
        <f>'Data Ocupacion'!D53</f>
        <v>90</v>
      </c>
      <c r="D14" s="96">
        <f>'Data Ocupacion'!F53</f>
        <v>75</v>
      </c>
      <c r="E14" s="96">
        <f>'Data Ocupacion'!H53</f>
        <v>57</v>
      </c>
      <c r="F14" s="96">
        <f>'Data Ocupacion'!J53</f>
        <v>97</v>
      </c>
      <c r="G14" s="96">
        <f>'Data Ocupacion'!L53</f>
        <v>98</v>
      </c>
      <c r="H14" s="96">
        <f>'Data Ocupacion'!N53</f>
        <v>98</v>
      </c>
      <c r="I14" s="96">
        <f>'Data Ocupacion'!P53</f>
        <v>98</v>
      </c>
      <c r="J14" s="96">
        <f>'Data Ocupacion'!R53</f>
        <v>98</v>
      </c>
      <c r="K14" s="96">
        <f>'Data Ocupacion'!T53</f>
        <v>75</v>
      </c>
      <c r="L14" s="96">
        <f>'Data Ocupacion'!V53</f>
        <v>57</v>
      </c>
      <c r="M14" s="96">
        <f>'Data Ocupacion'!X53</f>
        <v>108</v>
      </c>
      <c r="N14" s="96">
        <f>'Data Ocupacion'!Z53</f>
        <v>108</v>
      </c>
      <c r="O14" s="96">
        <f>'Data Ocupacion'!AB53</f>
        <v>107</v>
      </c>
      <c r="P14" s="96">
        <f>'Data Ocupacion'!AD53</f>
        <v>107</v>
      </c>
      <c r="Q14" s="96">
        <f>'Data Ocupacion'!AF53</f>
        <v>57</v>
      </c>
      <c r="R14" s="96">
        <f>'Data Ocupacion'!AH53</f>
        <v>75</v>
      </c>
      <c r="S14" s="96">
        <f>'Data Ocupacion'!AJ53</f>
        <v>57</v>
      </c>
      <c r="T14" s="96">
        <f>'Data Ocupacion'!AL53</f>
        <v>112</v>
      </c>
      <c r="U14" s="96">
        <f>'Data Ocupacion'!AN53</f>
        <v>111</v>
      </c>
      <c r="V14" s="96">
        <f>'Data Ocupacion'!AP53</f>
        <v>113</v>
      </c>
      <c r="W14" s="96">
        <f>'Data Ocupacion'!AR53</f>
        <v>112</v>
      </c>
      <c r="X14" s="96">
        <f>'Data Ocupacion'!AT53</f>
        <v>103</v>
      </c>
      <c r="Y14" s="96">
        <f>'Data Ocupacion'!AV53</f>
        <v>75</v>
      </c>
      <c r="Z14" s="96">
        <f>'Data Ocupacion'!AX53</f>
        <v>57</v>
      </c>
      <c r="AA14" s="96">
        <f>'Data Ocupacion'!AZ53</f>
        <v>111</v>
      </c>
      <c r="AB14" s="96">
        <f>'Data Ocupacion'!BB53</f>
        <v>110</v>
      </c>
      <c r="AC14" s="96">
        <f>'Data Ocupacion'!BD53</f>
        <v>111</v>
      </c>
      <c r="AD14" s="96">
        <f>'Data Ocupacion'!BF53</f>
        <v>109</v>
      </c>
      <c r="AE14" s="96">
        <f>'Data Ocupacion'!BH53</f>
        <v>111</v>
      </c>
      <c r="AF14" s="96">
        <f>'Data Ocupacion'!BJ53</f>
        <v>75</v>
      </c>
      <c r="AG14" s="96">
        <f>'Data Ocupacion'!BL53</f>
        <v>57</v>
      </c>
    </row>
    <row r="15" spans="1:33" s="86" customFormat="1" ht="14.25" x14ac:dyDescent="0.2">
      <c r="A15" s="82" t="s">
        <v>89</v>
      </c>
      <c r="B15" s="83">
        <v>29.11</v>
      </c>
      <c r="C15" s="96">
        <f>'Data Ocupacion'!D54</f>
        <v>29</v>
      </c>
      <c r="D15" s="96">
        <f>'Data Ocupacion'!F54</f>
        <v>0</v>
      </c>
      <c r="E15" s="96">
        <f>'Data Ocupacion'!H54</f>
        <v>0</v>
      </c>
      <c r="F15" s="96">
        <f>'Data Ocupacion'!J54</f>
        <v>33</v>
      </c>
      <c r="G15" s="96">
        <f>'Data Ocupacion'!L54</f>
        <v>33</v>
      </c>
      <c r="H15" s="96">
        <f>'Data Ocupacion'!N54</f>
        <v>33</v>
      </c>
      <c r="I15" s="96">
        <f>'Data Ocupacion'!P54</f>
        <v>33</v>
      </c>
      <c r="J15" s="96">
        <f>'Data Ocupacion'!R54</f>
        <v>33</v>
      </c>
      <c r="K15" s="96">
        <f>'Data Ocupacion'!T54</f>
        <v>0</v>
      </c>
      <c r="L15" s="96">
        <f>'Data Ocupacion'!V54</f>
        <v>0</v>
      </c>
      <c r="M15" s="96">
        <f>'Data Ocupacion'!X54</f>
        <v>36</v>
      </c>
      <c r="N15" s="96">
        <f>'Data Ocupacion'!Z54</f>
        <v>36</v>
      </c>
      <c r="O15" s="96">
        <f>'Data Ocupacion'!AB54</f>
        <v>35</v>
      </c>
      <c r="P15" s="96">
        <f>'Data Ocupacion'!AD54</f>
        <v>36</v>
      </c>
      <c r="Q15" s="96">
        <f>'Data Ocupacion'!AF54</f>
        <v>0</v>
      </c>
      <c r="R15" s="96">
        <f>'Data Ocupacion'!AH54</f>
        <v>0</v>
      </c>
      <c r="S15" s="96">
        <f>'Data Ocupacion'!AJ54</f>
        <v>0</v>
      </c>
      <c r="T15" s="96">
        <f>'Data Ocupacion'!AL54</f>
        <v>37</v>
      </c>
      <c r="U15" s="96">
        <f>'Data Ocupacion'!AN54</f>
        <v>37</v>
      </c>
      <c r="V15" s="96">
        <f>'Data Ocupacion'!AP54</f>
        <v>36</v>
      </c>
      <c r="W15" s="96">
        <f>'Data Ocupacion'!AR54</f>
        <v>33</v>
      </c>
      <c r="X15" s="96">
        <f>'Data Ocupacion'!AT54</f>
        <v>33</v>
      </c>
      <c r="Y15" s="96">
        <f>'Data Ocupacion'!AV54</f>
        <v>0</v>
      </c>
      <c r="Z15" s="96">
        <f>'Data Ocupacion'!AX54</f>
        <v>0</v>
      </c>
      <c r="AA15" s="96">
        <f>'Data Ocupacion'!AZ54</f>
        <v>36</v>
      </c>
      <c r="AB15" s="96">
        <f>'Data Ocupacion'!BB54</f>
        <v>34</v>
      </c>
      <c r="AC15" s="96">
        <f>'Data Ocupacion'!BD54</f>
        <v>37</v>
      </c>
      <c r="AD15" s="96">
        <f>'Data Ocupacion'!BF54</f>
        <v>36</v>
      </c>
      <c r="AE15" s="96">
        <f>'Data Ocupacion'!BH54</f>
        <v>36</v>
      </c>
      <c r="AF15" s="96">
        <f>'Data Ocupacion'!BJ54</f>
        <v>0</v>
      </c>
      <c r="AG15" s="96">
        <f>'Data Ocupacion'!BK54</f>
        <v>0</v>
      </c>
    </row>
    <row r="16" spans="1:33" s="86" customFormat="1" ht="14.25" x14ac:dyDescent="0.2">
      <c r="A16" s="82" t="s">
        <v>90</v>
      </c>
      <c r="B16" s="83">
        <v>29.11</v>
      </c>
      <c r="C16" s="96">
        <f>'Data Ocupacion'!D55</f>
        <v>29</v>
      </c>
      <c r="D16" s="96">
        <f>'Data Ocupacion'!F55</f>
        <v>0</v>
      </c>
      <c r="E16" s="96">
        <f>'Data Ocupacion'!H55</f>
        <v>0</v>
      </c>
      <c r="F16" s="96">
        <f>'Data Ocupacion'!J55</f>
        <v>32</v>
      </c>
      <c r="G16" s="96">
        <f>'Data Ocupacion'!L55</f>
        <v>32</v>
      </c>
      <c r="H16" s="96">
        <f>'Data Ocupacion'!N55</f>
        <v>32</v>
      </c>
      <c r="I16" s="96">
        <f>'Data Ocupacion'!P55</f>
        <v>32</v>
      </c>
      <c r="J16" s="96">
        <f>'Data Ocupacion'!R55</f>
        <v>32</v>
      </c>
      <c r="K16" s="96">
        <f>'Data Ocupacion'!T55</f>
        <v>0</v>
      </c>
      <c r="L16" s="96">
        <f>'Data Ocupacion'!V55</f>
        <v>0</v>
      </c>
      <c r="M16" s="96">
        <f>'Data Ocupacion'!X55</f>
        <v>35</v>
      </c>
      <c r="N16" s="96">
        <f>'Data Ocupacion'!Z55</f>
        <v>35</v>
      </c>
      <c r="O16" s="96">
        <f>'Data Ocupacion'!AB55</f>
        <v>34</v>
      </c>
      <c r="P16" s="96">
        <f>'Data Ocupacion'!AD55</f>
        <v>35</v>
      </c>
      <c r="Q16" s="96">
        <f>'Data Ocupacion'!AF55</f>
        <v>0</v>
      </c>
      <c r="R16" s="96">
        <f>'Data Ocupacion'!AH55</f>
        <v>0</v>
      </c>
      <c r="S16" s="96">
        <f>'Data Ocupacion'!AJ55</f>
        <v>0</v>
      </c>
      <c r="T16" s="96">
        <f>'Data Ocupacion'!AL55</f>
        <v>36</v>
      </c>
      <c r="U16" s="96">
        <f>'Data Ocupacion'!AN55</f>
        <v>36</v>
      </c>
      <c r="V16" s="96">
        <f>'Data Ocupacion'!AP55</f>
        <v>35</v>
      </c>
      <c r="W16" s="96">
        <f>'Data Ocupacion'!AR55</f>
        <v>35</v>
      </c>
      <c r="X16" s="96">
        <f>'Data Ocupacion'!AT55</f>
        <v>32</v>
      </c>
      <c r="Y16" s="96">
        <f>'Data Ocupacion'!AV55</f>
        <v>0</v>
      </c>
      <c r="Z16" s="96">
        <f>'Data Ocupacion'!AX55</f>
        <v>0</v>
      </c>
      <c r="AA16" s="96">
        <f>'Data Ocupacion'!AZ55</f>
        <v>35</v>
      </c>
      <c r="AB16" s="96">
        <f>'Data Ocupacion'!BB55</f>
        <v>35</v>
      </c>
      <c r="AC16" s="96">
        <f>'Data Ocupacion'!BD55</f>
        <v>36</v>
      </c>
      <c r="AD16" s="96">
        <f>'Data Ocupacion'!BF55</f>
        <v>35</v>
      </c>
      <c r="AE16" s="96">
        <f>'Data Ocupacion'!BH55</f>
        <v>35</v>
      </c>
      <c r="AF16" s="96">
        <f>'Data Ocupacion'!BJ55</f>
        <v>0</v>
      </c>
      <c r="AG16" s="96">
        <f>'Data Ocupacion'!BK55</f>
        <v>0</v>
      </c>
    </row>
    <row r="17" spans="1:33" s="86" customFormat="1" ht="14.25" x14ac:dyDescent="0.2">
      <c r="A17" s="82" t="s">
        <v>91</v>
      </c>
      <c r="B17" s="83">
        <v>25.4</v>
      </c>
      <c r="C17" s="96">
        <f>'Data Ocupacion'!D57</f>
        <v>1</v>
      </c>
      <c r="D17" s="96">
        <f>'Data Ocupacion'!F57</f>
        <v>0</v>
      </c>
      <c r="E17" s="96">
        <f>'Data Ocupacion'!H57</f>
        <v>0</v>
      </c>
      <c r="F17" s="96">
        <f>'Data Ocupacion'!J57</f>
        <v>1</v>
      </c>
      <c r="G17" s="96">
        <f>'Data Ocupacion'!L57</f>
        <v>1</v>
      </c>
      <c r="H17" s="96">
        <f>'Data Ocupacion'!N57</f>
        <v>1</v>
      </c>
      <c r="I17" s="96">
        <f>'Data Ocupacion'!P57</f>
        <v>1</v>
      </c>
      <c r="J17" s="96">
        <f>'Data Ocupacion'!R57</f>
        <v>1</v>
      </c>
      <c r="K17" s="96">
        <f>'Data Ocupacion'!T57</f>
        <v>0</v>
      </c>
      <c r="L17" s="96">
        <f>'Data Ocupacion'!V57</f>
        <v>0</v>
      </c>
      <c r="M17" s="96">
        <f>'Data Ocupacion'!X57</f>
        <v>1</v>
      </c>
      <c r="N17" s="96">
        <f>'Data Ocupacion'!Z57</f>
        <v>1</v>
      </c>
      <c r="O17" s="96">
        <f>'Data Ocupacion'!AB57</f>
        <v>1</v>
      </c>
      <c r="P17" s="96">
        <f>'Data Ocupacion'!AD57</f>
        <v>1</v>
      </c>
      <c r="Q17" s="96">
        <f>'Data Ocupacion'!AF57</f>
        <v>0</v>
      </c>
      <c r="R17" s="96">
        <f>'Data Ocupacion'!AH57</f>
        <v>0</v>
      </c>
      <c r="S17" s="96">
        <f>'Data Ocupacion'!AJ57</f>
        <v>0</v>
      </c>
      <c r="T17" s="96">
        <f>'Data Ocupacion'!AL57</f>
        <v>1</v>
      </c>
      <c r="U17" s="96">
        <f>'Data Ocupacion'!AN57</f>
        <v>1</v>
      </c>
      <c r="V17" s="96">
        <f>'Data Ocupacion'!AP57</f>
        <v>1</v>
      </c>
      <c r="W17" s="96">
        <f>'Data Ocupacion'!AR57</f>
        <v>1</v>
      </c>
      <c r="X17" s="96">
        <f>'Data Ocupacion'!AT57</f>
        <v>1</v>
      </c>
      <c r="Y17" s="96">
        <f>'Data Ocupacion'!AV57</f>
        <v>0</v>
      </c>
      <c r="Z17" s="96">
        <f>'Data Ocupacion'!AX57</f>
        <v>0</v>
      </c>
      <c r="AA17" s="96">
        <f>'Data Ocupacion'!AZ57</f>
        <v>1</v>
      </c>
      <c r="AB17" s="96">
        <f>'Data Ocupacion'!BB57</f>
        <v>1</v>
      </c>
      <c r="AC17" s="96">
        <f>'Data Ocupacion'!BD57</f>
        <v>1</v>
      </c>
      <c r="AD17" s="96">
        <f>'Data Ocupacion'!BF57</f>
        <v>1</v>
      </c>
      <c r="AE17" s="96">
        <f>'Data Ocupacion'!BH57</f>
        <v>1</v>
      </c>
      <c r="AF17" s="96">
        <f>'Data Ocupacion'!BJ57</f>
        <v>0</v>
      </c>
      <c r="AG17" s="96">
        <f>'Data Ocupacion'!BK57</f>
        <v>0</v>
      </c>
    </row>
    <row r="18" spans="1:33" s="86" customFormat="1" ht="14.25" x14ac:dyDescent="0.2">
      <c r="A18" s="215" t="s">
        <v>124</v>
      </c>
      <c r="B18" s="83">
        <v>25.4</v>
      </c>
      <c r="C18" s="96">
        <v>0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96"/>
      <c r="K18" s="84">
        <v>0</v>
      </c>
      <c r="L18" s="96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96">
        <v>0</v>
      </c>
      <c r="AA18" s="84">
        <v>0</v>
      </c>
      <c r="AB18" s="84">
        <v>0</v>
      </c>
      <c r="AC18" s="84">
        <v>0</v>
      </c>
      <c r="AD18" s="84">
        <v>0</v>
      </c>
      <c r="AE18" s="96">
        <v>0</v>
      </c>
      <c r="AF18" s="96">
        <v>0</v>
      </c>
      <c r="AG18" s="96">
        <v>0</v>
      </c>
    </row>
    <row r="19" spans="1:33" s="86" customFormat="1" ht="14.25" x14ac:dyDescent="0.2">
      <c r="A19" s="335" t="s">
        <v>181</v>
      </c>
      <c r="B19" s="83">
        <v>10.55</v>
      </c>
      <c r="C19" s="96">
        <f>'Data Ocupacion'!D58</f>
        <v>1</v>
      </c>
      <c r="D19" s="84"/>
      <c r="E19" s="84"/>
      <c r="F19" s="84"/>
      <c r="G19" s="84"/>
      <c r="H19" s="84"/>
      <c r="I19" s="84"/>
      <c r="J19" s="96"/>
      <c r="K19" s="84"/>
      <c r="L19" s="96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96"/>
      <c r="AA19" s="84"/>
      <c r="AB19" s="84"/>
      <c r="AC19" s="84"/>
      <c r="AD19" s="84"/>
      <c r="AE19" s="96"/>
      <c r="AF19" s="96"/>
      <c r="AG19" s="96"/>
    </row>
    <row r="20" spans="1:33" s="86" customFormat="1" ht="14.25" x14ac:dyDescent="0.2">
      <c r="A20" s="275"/>
      <c r="B20" s="240"/>
      <c r="C20" s="84"/>
      <c r="D20" s="84"/>
      <c r="E20" s="84"/>
      <c r="F20" s="84"/>
      <c r="G20" s="84"/>
      <c r="H20" s="84"/>
      <c r="I20" s="84"/>
      <c r="J20" s="84"/>
      <c r="K20" s="84"/>
      <c r="L20" s="96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96"/>
      <c r="AA20" s="84"/>
      <c r="AB20" s="84"/>
      <c r="AC20" s="84"/>
      <c r="AD20" s="84"/>
      <c r="AE20" s="96"/>
      <c r="AF20" s="96"/>
      <c r="AG20" s="96"/>
    </row>
    <row r="21" spans="1:33" x14ac:dyDescent="0.25">
      <c r="A21" s="87" t="s">
        <v>149</v>
      </c>
      <c r="B21" s="83">
        <v>-17.73</v>
      </c>
      <c r="C21" s="84">
        <f>'KM-Servicio'!Q5</f>
        <v>1</v>
      </c>
      <c r="D21" s="84">
        <f>'KM-Servicio'!Q13</f>
        <v>0</v>
      </c>
      <c r="E21" s="84">
        <f>'KM-Servicio'!Q20</f>
        <v>0</v>
      </c>
      <c r="F21" s="84">
        <f>'KM-Servicio'!Q27</f>
        <v>4</v>
      </c>
      <c r="G21" s="84">
        <f>'KM-Servicio'!Q34</f>
        <v>2</v>
      </c>
      <c r="H21" s="84">
        <f>'KM-Servicio'!Q41</f>
        <v>5</v>
      </c>
      <c r="I21" s="84">
        <f>'KM-Servicio'!Q48</f>
        <v>2</v>
      </c>
      <c r="J21" s="84">
        <f>'KM-Servicio'!Q55</f>
        <v>2</v>
      </c>
      <c r="K21" s="84">
        <f>'KM-Servicio'!Q62</f>
        <v>0</v>
      </c>
      <c r="L21" s="84">
        <f>'KM-Servicio'!Q69</f>
        <v>0</v>
      </c>
      <c r="M21" s="84">
        <f>'KM-Servicio'!Q76</f>
        <v>2</v>
      </c>
      <c r="N21" s="84">
        <f>'KM-Servicio'!Q83</f>
        <v>3</v>
      </c>
      <c r="O21" s="84">
        <f>'KM-Servicio'!Q90</f>
        <v>4</v>
      </c>
      <c r="P21" s="84">
        <f>'KM-Servicio'!Q97</f>
        <v>4</v>
      </c>
      <c r="Q21" s="84">
        <f>'KM-Servicio'!Q104</f>
        <v>0</v>
      </c>
      <c r="R21" s="84">
        <f>'KM-Servicio'!Q111</f>
        <v>0</v>
      </c>
      <c r="S21" s="84">
        <f>'KM-Servicio'!Q118</f>
        <v>0</v>
      </c>
      <c r="T21" s="84">
        <f>'KM-Servicio'!Q125</f>
        <v>0</v>
      </c>
      <c r="U21" s="84">
        <f>'KM-Servicio'!Q132</f>
        <v>4</v>
      </c>
      <c r="V21" s="84">
        <f>'KM-Servicio'!Q139</f>
        <v>3</v>
      </c>
      <c r="W21" s="84">
        <f>'KM-Servicio'!Q146</f>
        <v>5</v>
      </c>
      <c r="X21" s="84">
        <f>'KM-Servicio'!Q153</f>
        <v>1</v>
      </c>
      <c r="Y21" s="84">
        <f>'KM-Servicio'!Q160</f>
        <v>0</v>
      </c>
      <c r="Z21" s="84">
        <f>'KM-Servicio'!Q167</f>
        <v>0</v>
      </c>
      <c r="AA21" s="84">
        <f>'KM-Servicio'!Q174</f>
        <v>4</v>
      </c>
      <c r="AB21" s="84">
        <f>'KM-Servicio'!Q181</f>
        <v>1</v>
      </c>
      <c r="AC21" s="84">
        <f>'KM-Servicio'!Q188</f>
        <v>0</v>
      </c>
      <c r="AD21" s="84">
        <f>'KM-Servicio'!Q195</f>
        <v>0</v>
      </c>
      <c r="AE21" s="84">
        <f>'KM-Servicio'!Q202</f>
        <v>5</v>
      </c>
      <c r="AF21" s="84">
        <f>'KM-Servicio'!Q209</f>
        <v>0</v>
      </c>
      <c r="AG21" s="84">
        <f>'KM-Servicio'!R209</f>
        <v>0</v>
      </c>
    </row>
    <row r="22" spans="1:33" x14ac:dyDescent="0.25">
      <c r="A22" s="87" t="s">
        <v>150</v>
      </c>
      <c r="B22" s="83">
        <v>-17.73</v>
      </c>
      <c r="C22" s="84">
        <f>'KM-Servicio'!T6</f>
        <v>0</v>
      </c>
      <c r="D22" s="84">
        <f>'KM-Servicio'!T14</f>
        <v>0</v>
      </c>
      <c r="E22" s="84">
        <f>'KM-Servicio'!T21</f>
        <v>0</v>
      </c>
      <c r="F22" s="84">
        <f>'KM-Servicio'!T28</f>
        <v>1</v>
      </c>
      <c r="G22" s="84">
        <f>'KM-Servicio'!T35</f>
        <v>3</v>
      </c>
      <c r="H22" s="84">
        <f>'KM-Servicio'!T42</f>
        <v>9</v>
      </c>
      <c r="I22" s="84">
        <f>'KM-Servicio'!T49</f>
        <v>2</v>
      </c>
      <c r="J22" s="84">
        <f>'KM-Servicio'!T56</f>
        <v>4</v>
      </c>
      <c r="K22" s="84">
        <f>'KM-Servicio'!T63</f>
        <v>0</v>
      </c>
      <c r="L22" s="84">
        <f>'KM-Servicio'!T70</f>
        <v>0</v>
      </c>
      <c r="M22" s="84">
        <f>'KM-Servicio'!T77</f>
        <v>3</v>
      </c>
      <c r="N22" s="84">
        <f>'KM-Servicio'!T84</f>
        <v>4</v>
      </c>
      <c r="O22" s="84">
        <f>'KM-Servicio'!T91</f>
        <v>4</v>
      </c>
      <c r="P22" s="84">
        <f>'KM-Servicio'!T98</f>
        <v>5</v>
      </c>
      <c r="Q22" s="84">
        <f>'KM-Servicio'!T105</f>
        <v>0</v>
      </c>
      <c r="R22" s="84">
        <f>'KM-Servicio'!T112</f>
        <v>0</v>
      </c>
      <c r="S22" s="84">
        <f>'KM-Servicio'!T119</f>
        <v>0</v>
      </c>
      <c r="T22" s="84">
        <f>'KM-Servicio'!T126</f>
        <v>1</v>
      </c>
      <c r="U22" s="84">
        <f>'KM-Servicio'!T133</f>
        <v>2</v>
      </c>
      <c r="V22" s="84">
        <f>'KM-Servicio'!T140</f>
        <v>0</v>
      </c>
      <c r="W22" s="84">
        <f>'KM-Servicio'!T147</f>
        <v>3</v>
      </c>
      <c r="X22" s="84">
        <f>'KM-Servicio'!T154</f>
        <v>1</v>
      </c>
      <c r="Y22" s="84">
        <f>'KM-Servicio'!T161</f>
        <v>0</v>
      </c>
      <c r="Z22" s="84">
        <f>'KM-Servicio'!T168</f>
        <v>0</v>
      </c>
      <c r="AA22" s="84">
        <f>'KM-Servicio'!T175</f>
        <v>4</v>
      </c>
      <c r="AB22" s="84">
        <f>'KM-Servicio'!T182</f>
        <v>2</v>
      </c>
      <c r="AC22" s="84">
        <f>'KM-Servicio'!T189</f>
        <v>2</v>
      </c>
      <c r="AD22" s="84">
        <f>'KM-Servicio'!T196</f>
        <v>0</v>
      </c>
      <c r="AE22" s="84">
        <f>'KM-Servicio'!T203</f>
        <v>5</v>
      </c>
      <c r="AF22" s="84">
        <f>'KM-Servicio'!T210</f>
        <v>0</v>
      </c>
      <c r="AG22" s="84">
        <f>'KM-Servicio'!U210</f>
        <v>0</v>
      </c>
    </row>
    <row r="23" spans="1:33" s="125" customFormat="1" x14ac:dyDescent="0.25">
      <c r="A23" s="87" t="s">
        <v>151</v>
      </c>
      <c r="B23" s="83">
        <v>-14.02</v>
      </c>
      <c r="C23" s="84">
        <f>'KM-Servicio'!U6</f>
        <v>0</v>
      </c>
      <c r="D23" s="84">
        <f>'KM-Servicio'!U14</f>
        <v>0</v>
      </c>
      <c r="E23" s="84">
        <f>'KM-Servicio'!U21</f>
        <v>0</v>
      </c>
      <c r="F23" s="84">
        <f>'KM-Servicio'!U28</f>
        <v>0</v>
      </c>
      <c r="G23" s="84">
        <f>'KM-Servicio'!U35</f>
        <v>0</v>
      </c>
      <c r="H23" s="84">
        <f>'KM-Servicio'!U42</f>
        <v>0</v>
      </c>
      <c r="I23" s="84">
        <f>'KM-Servicio'!U49</f>
        <v>0</v>
      </c>
      <c r="J23" s="84">
        <f>'KM-Servicio'!U56</f>
        <v>0</v>
      </c>
      <c r="K23" s="84">
        <f>'KM-Servicio'!U63</f>
        <v>0</v>
      </c>
      <c r="L23" s="84">
        <f>'KM-Servicio'!U70</f>
        <v>0</v>
      </c>
      <c r="M23" s="84">
        <f>'KM-Servicio'!U77</f>
        <v>0</v>
      </c>
      <c r="N23" s="84">
        <f>'KM-Servicio'!U84</f>
        <v>0</v>
      </c>
      <c r="O23" s="84">
        <f>'KM-Servicio'!U91</f>
        <v>0</v>
      </c>
      <c r="P23" s="84">
        <f>'KM-Servicio'!U98</f>
        <v>0</v>
      </c>
      <c r="Q23" s="84">
        <f>'KM-Servicio'!U105</f>
        <v>0</v>
      </c>
      <c r="R23" s="84">
        <f>'KM-Servicio'!U112</f>
        <v>0</v>
      </c>
      <c r="S23" s="84">
        <f>'KM-Servicio'!U119</f>
        <v>0</v>
      </c>
      <c r="T23" s="84">
        <f>'KM-Servicio'!U126</f>
        <v>0</v>
      </c>
      <c r="U23" s="84">
        <f>'KM-Servicio'!U133</f>
        <v>0</v>
      </c>
      <c r="V23" s="84">
        <f>'KM-Servicio'!U140</f>
        <v>0</v>
      </c>
      <c r="W23" s="84">
        <f>'KM-Servicio'!U147</f>
        <v>0</v>
      </c>
      <c r="X23" s="84">
        <f>'KM-Servicio'!U154</f>
        <v>0</v>
      </c>
      <c r="Y23" s="84">
        <f>'KM-Servicio'!U161</f>
        <v>0</v>
      </c>
      <c r="Z23" s="84">
        <f>'KM-Servicio'!U168</f>
        <v>0</v>
      </c>
      <c r="AA23" s="84">
        <f>'KM-Servicio'!U175</f>
        <v>0</v>
      </c>
      <c r="AB23" s="84">
        <f>'KM-Servicio'!U182</f>
        <v>1</v>
      </c>
      <c r="AC23" s="84">
        <f>'KM-Servicio'!U189</f>
        <v>0</v>
      </c>
      <c r="AD23" s="84">
        <f>'KM-Servicio'!U196</f>
        <v>0</v>
      </c>
      <c r="AE23" s="84">
        <f>'KM-Servicio'!U203</f>
        <v>0</v>
      </c>
      <c r="AF23" s="84">
        <f>'KM-Servicio'!U210</f>
        <v>0</v>
      </c>
      <c r="AG23" s="84">
        <f>'KM-Servicio'!V210</f>
        <v>0</v>
      </c>
    </row>
    <row r="24" spans="1:33" s="125" customFormat="1" x14ac:dyDescent="0.25">
      <c r="A24" s="214" t="s">
        <v>182</v>
      </c>
      <c r="B24" s="83">
        <v>-25.4</v>
      </c>
      <c r="C24" s="84"/>
      <c r="D24" s="84"/>
      <c r="E24" s="84">
        <f>'KM-Servicio'!Q22</f>
        <v>0</v>
      </c>
      <c r="F24" s="84"/>
      <c r="G24" s="84">
        <f>'KM-Servicio'!Q36</f>
        <v>0</v>
      </c>
      <c r="H24" s="84"/>
      <c r="I24" s="84"/>
      <c r="J24" s="84"/>
      <c r="K24" s="84"/>
      <c r="L24" s="84"/>
      <c r="M24" s="84"/>
      <c r="N24" s="84">
        <f>'KM-Servicio'!Q85</f>
        <v>0</v>
      </c>
      <c r="O24" s="84"/>
      <c r="P24" s="84"/>
      <c r="Q24" s="84"/>
      <c r="R24" s="84"/>
      <c r="S24" s="84"/>
      <c r="T24" s="84">
        <v>1</v>
      </c>
      <c r="U24" s="84"/>
      <c r="V24" s="84"/>
      <c r="W24" s="84"/>
      <c r="X24" s="84"/>
      <c r="Y24" s="84"/>
      <c r="Z24" s="84"/>
      <c r="AA24" s="84"/>
      <c r="AB24" s="84">
        <v>1</v>
      </c>
      <c r="AC24" s="84"/>
      <c r="AD24" s="84"/>
      <c r="AE24" s="84"/>
      <c r="AF24" s="84"/>
      <c r="AG24" s="84"/>
    </row>
    <row r="25" spans="1:33" s="125" customFormat="1" x14ac:dyDescent="0.25">
      <c r="A25" s="220" t="s">
        <v>156</v>
      </c>
      <c r="B25" s="83">
        <v>17.73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</row>
    <row r="26" spans="1:33" s="125" customFormat="1" x14ac:dyDescent="0.25">
      <c r="A26" s="220" t="s">
        <v>161</v>
      </c>
      <c r="B26" s="83">
        <v>-12.73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25">
      <c r="A27" s="88"/>
      <c r="B27" s="83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</row>
    <row r="28" spans="1:33" x14ac:dyDescent="0.25">
      <c r="A28" s="89" t="s">
        <v>84</v>
      </c>
      <c r="B28" s="232">
        <f t="shared" ref="B28:B35" si="0">SUM(C28:AG28)</f>
        <v>5848</v>
      </c>
      <c r="C28" s="92">
        <f>SUM(C5:C11)</f>
        <v>217</v>
      </c>
      <c r="D28" s="92">
        <f t="shared" ref="D28:AG28" si="1">SUM(D5:D10)</f>
        <v>147</v>
      </c>
      <c r="E28" s="92">
        <f t="shared" si="1"/>
        <v>111</v>
      </c>
      <c r="F28" s="92">
        <f t="shared" si="1"/>
        <v>223</v>
      </c>
      <c r="G28" s="92">
        <f t="shared" si="1"/>
        <v>223</v>
      </c>
      <c r="H28" s="92">
        <f t="shared" si="1"/>
        <v>223</v>
      </c>
      <c r="I28" s="92">
        <f t="shared" si="1"/>
        <v>223</v>
      </c>
      <c r="J28" s="92">
        <f t="shared" si="1"/>
        <v>223</v>
      </c>
      <c r="K28" s="92">
        <f t="shared" si="1"/>
        <v>147</v>
      </c>
      <c r="L28" s="92">
        <f t="shared" si="1"/>
        <v>111</v>
      </c>
      <c r="M28" s="92">
        <f t="shared" si="1"/>
        <v>223</v>
      </c>
      <c r="N28" s="92">
        <f t="shared" si="1"/>
        <v>223</v>
      </c>
      <c r="O28" s="92">
        <f t="shared" si="1"/>
        <v>222</v>
      </c>
      <c r="P28" s="92">
        <f t="shared" si="1"/>
        <v>223</v>
      </c>
      <c r="Q28" s="92">
        <f t="shared" si="1"/>
        <v>111</v>
      </c>
      <c r="R28" s="92">
        <f t="shared" si="1"/>
        <v>147</v>
      </c>
      <c r="S28" s="92">
        <f t="shared" si="1"/>
        <v>111</v>
      </c>
      <c r="T28" s="92">
        <f t="shared" si="1"/>
        <v>222</v>
      </c>
      <c r="U28" s="92">
        <f t="shared" si="1"/>
        <v>223</v>
      </c>
      <c r="V28" s="92">
        <f t="shared" si="1"/>
        <v>223</v>
      </c>
      <c r="W28" s="92">
        <f t="shared" si="1"/>
        <v>221</v>
      </c>
      <c r="X28" s="92">
        <f t="shared" si="1"/>
        <v>223</v>
      </c>
      <c r="Y28" s="92">
        <f t="shared" si="1"/>
        <v>147</v>
      </c>
      <c r="Z28" s="92">
        <f t="shared" si="1"/>
        <v>111</v>
      </c>
      <c r="AA28" s="92">
        <f t="shared" si="1"/>
        <v>223</v>
      </c>
      <c r="AB28" s="92">
        <f t="shared" si="1"/>
        <v>220</v>
      </c>
      <c r="AC28" s="92">
        <f t="shared" si="1"/>
        <v>223</v>
      </c>
      <c r="AD28" s="92">
        <f t="shared" si="1"/>
        <v>223</v>
      </c>
      <c r="AE28" s="92">
        <f t="shared" si="1"/>
        <v>223</v>
      </c>
      <c r="AF28" s="92">
        <f>SUM(AF5:AF10)</f>
        <v>147</v>
      </c>
      <c r="AG28" s="92">
        <f t="shared" si="1"/>
        <v>111</v>
      </c>
    </row>
    <row r="29" spans="1:33" x14ac:dyDescent="0.25">
      <c r="A29" s="91" t="s">
        <v>65</v>
      </c>
      <c r="B29" s="232">
        <f t="shared" si="0"/>
        <v>7049</v>
      </c>
      <c r="C29" s="92">
        <f>SUM(C13:C19)</f>
        <v>240</v>
      </c>
      <c r="D29" s="92">
        <f t="shared" ref="D29:AF29" si="2">SUM(D13:D18)</f>
        <v>150</v>
      </c>
      <c r="E29" s="92">
        <f t="shared" si="2"/>
        <v>114</v>
      </c>
      <c r="F29" s="92">
        <f t="shared" si="2"/>
        <v>260</v>
      </c>
      <c r="G29" s="92">
        <f t="shared" si="2"/>
        <v>262</v>
      </c>
      <c r="H29" s="92">
        <f t="shared" si="2"/>
        <v>262</v>
      </c>
      <c r="I29" s="92">
        <f t="shared" si="2"/>
        <v>262</v>
      </c>
      <c r="J29" s="92">
        <f t="shared" si="2"/>
        <v>262</v>
      </c>
      <c r="K29" s="92">
        <f t="shared" si="2"/>
        <v>150</v>
      </c>
      <c r="L29" s="92">
        <f t="shared" si="2"/>
        <v>114</v>
      </c>
      <c r="M29" s="92">
        <f t="shared" si="2"/>
        <v>288</v>
      </c>
      <c r="N29" s="92">
        <f t="shared" si="2"/>
        <v>288</v>
      </c>
      <c r="O29" s="92">
        <f t="shared" si="2"/>
        <v>284</v>
      </c>
      <c r="P29" s="92">
        <f t="shared" si="2"/>
        <v>286</v>
      </c>
      <c r="Q29" s="92">
        <f t="shared" si="2"/>
        <v>114</v>
      </c>
      <c r="R29" s="92">
        <f t="shared" si="2"/>
        <v>150</v>
      </c>
      <c r="S29" s="92">
        <f t="shared" si="2"/>
        <v>114</v>
      </c>
      <c r="T29" s="92">
        <f t="shared" si="2"/>
        <v>295</v>
      </c>
      <c r="U29" s="92">
        <f t="shared" si="2"/>
        <v>296</v>
      </c>
      <c r="V29" s="92">
        <f t="shared" si="2"/>
        <v>298</v>
      </c>
      <c r="W29" s="92">
        <f t="shared" si="2"/>
        <v>292</v>
      </c>
      <c r="X29" s="92">
        <f t="shared" si="2"/>
        <v>272</v>
      </c>
      <c r="Y29" s="92">
        <f t="shared" si="2"/>
        <v>150</v>
      </c>
      <c r="Z29" s="92">
        <f t="shared" si="2"/>
        <v>114</v>
      </c>
      <c r="AA29" s="92">
        <f t="shared" si="2"/>
        <v>294</v>
      </c>
      <c r="AB29" s="92">
        <f t="shared" si="2"/>
        <v>291</v>
      </c>
      <c r="AC29" s="92">
        <f t="shared" si="2"/>
        <v>297</v>
      </c>
      <c r="AD29" s="92">
        <f t="shared" si="2"/>
        <v>292</v>
      </c>
      <c r="AE29" s="92">
        <f t="shared" si="2"/>
        <v>294</v>
      </c>
      <c r="AF29" s="92">
        <f t="shared" si="2"/>
        <v>150</v>
      </c>
      <c r="AG29" s="92">
        <f t="shared" ref="AG29" si="3">SUM(AG13:AG18)</f>
        <v>114</v>
      </c>
    </row>
    <row r="30" spans="1:33" x14ac:dyDescent="0.25">
      <c r="A30" s="91" t="s">
        <v>92</v>
      </c>
      <c r="B30" s="232">
        <f t="shared" si="0"/>
        <v>282466.86000000004</v>
      </c>
      <c r="C30" s="92">
        <f>(C13*$B$13+C14*$B$14+C15*$B$15+C16*$B$16+C18*$B$18+C22*$B$22+C17*$B$17+C21*$B$21+C23*$B$23+C24*$B$24+C25*B25+C19*B19)</f>
        <v>9470</v>
      </c>
      <c r="D30" s="92">
        <f>(D13*$B$13+D14*$B$14+D15*$B$15+D16*$B$16+D18*$B$18+D22*$B$22+D17*$B$17+D21*$B$21+D23*$B$23+D24*$B$24+D25*B25)</f>
        <v>6469.5</v>
      </c>
      <c r="E30" s="92">
        <f>(E13*$B$13+E14*$B$14+E15*$B$15+E16*$B$16+E18*$B$18+E22*$B$22+E17*$B$17+E21*$B$21+E23*$B$23+E24*$B$24+E25*B25)</f>
        <v>4916.8200000000006</v>
      </c>
      <c r="F30" s="92">
        <f>(F13*$B$13+F14*$B$14+F15*$B$15+F16*$B$16+F18*$B$18+F22*$B$22+F17*$B$17+F21*$B$21+F23*$B$23+F24*$B$24+F25*B25)</f>
        <v>10196.120000000001</v>
      </c>
      <c r="G30" s="92">
        <f>(G13*$B$13+G14*$B$14+G15*$B$15+G16*$B$16+G18*$B$18+G22*$B$22+G17*$B$17+G21*$B$21+G23*$B$23+G24*$B$24+G25*B25)</f>
        <v>10282.380000000001</v>
      </c>
      <c r="H30" s="92">
        <f>(H13*$B$13+H14*$B$14+H15*$B$15+H16*$B$16+H18*$B$18+H22*$B$22+H17*$B$17+H21*$B$21+H23*$B$23+H24*$B$24+H25*B25+H26*B26)</f>
        <v>10122.810000000001</v>
      </c>
      <c r="I30" s="92">
        <f>(I13*$B$13+I14*$B$14+I15*$B$15+I16*$B$16+I18*$B$18+I22*$B$22+I17*$B$17+I21*$B$21+I23*$B$23+I24*$B$24+I25*B25)</f>
        <v>10300.110000000002</v>
      </c>
      <c r="J30" s="92">
        <f>(J13*$B$13+J14*$B$14+J15*$B$15+J16*$B$16+J18*$B$18+J22*$B$22+J17*$B$17+J21*$B$21+J23*$B$23+J24*$B$24+J25*B25)</f>
        <v>10264.650000000001</v>
      </c>
      <c r="K30" s="92">
        <f>(K13*$B$13+K14*$B$14+K15*$B$15+K16*$B$16+K18*$B$18+K22*$B$22+K17*$B$17+K21*$B$21+K23*$B$23+K24*$B$24+K25*B25)</f>
        <v>6469.5</v>
      </c>
      <c r="L30" s="92">
        <f>(L13*$B$13+L14*$B$14+L15*$B$15+L16*$B$16+L18*$B$18+L22*$B$22+L17*$B$17+L21*$B$21+L23*$B$23+L24*$B$24+L25*B25)</f>
        <v>4916.8200000000006</v>
      </c>
      <c r="M30" s="92">
        <f>(M13*$B$13+M14*$B$14+M15*$B$15+M16*$B$16+M18*$B$18+M22*$B$22+M17*$B$17+M21*$B$21+M23*$B$23+M24*$B$24+M25*B25)</f>
        <v>11319.640000000001</v>
      </c>
      <c r="N30" s="92">
        <f>(N13*$B$13+N14*$B$14+N15*$B$15+N16*$B$16+N18*$B$18+N22*$B$22+N17*$B$17+N21*$B$21+N23*$B$23+N24*$B$24+N25*B25)</f>
        <v>11284.18</v>
      </c>
      <c r="O30" s="92">
        <f>(O13*$B$13+O14*$B$14+O15*$B$15+O16*$B$16+O18*$B$18+O22*$B$22+O17*$B$17+O21*$B$21+O23*$B$23+O24*$B$24+O25*B25)</f>
        <v>11121.97</v>
      </c>
      <c r="P30" s="92">
        <f>(P13*$B$13+P14*$B$14+P15*$B$15+P16*$B$16+P18*$B$18+P22*$B$22+P17*$B$17+P21*$B$21+P23*$B$23+P24*$B$24+P25*B25)</f>
        <v>11162.46</v>
      </c>
      <c r="Q30" s="92">
        <f>(Q13*$B$13+Q14*$B$14+Q15*$B$15+Q16*$B$16+Q18*$B$18+Q22*$B$22+Q17*$B$17+Q21*$B$21+Q23*$B$23+Q24*$B$24)</f>
        <v>4916.8200000000006</v>
      </c>
      <c r="R30" s="92">
        <f>(R13*$B$13+R14*$B$14+R15*$B$15+R16*$B$16+R18*$B$18+R22*$B$22+R17*$B$17+R21*$B$21+R23*$B$23+R25*$B$25)</f>
        <v>6469.5</v>
      </c>
      <c r="S30" s="92">
        <f>(S13*$B$13+S14*$B$14+S15*$B$15+S16*$B$16+S18*$B$18+S22*$B$22+S17*$B$17+S21*$B$21+S23*$B$23+S24*$B$24)</f>
        <v>4916.8200000000006</v>
      </c>
      <c r="T30" s="92">
        <f>(T13*$B$13+T14*$B$14+T15*$B$15+T16*$B$16+T18*$B$18+T22*$B$22+T17*$B$17+T21*$B$21+T23*$B$23+T24*$B$24)</f>
        <v>11639.029999999999</v>
      </c>
      <c r="U30" s="92">
        <f>(U13*$B$13+U14*$B$14+U15*$B$15+U16*$B$16+U18*$B$18+U22*$B$22+U17*$B$17+U21*$B$21+U23*$B$23+U24*$B$24+U25*B25)</f>
        <v>11618.91</v>
      </c>
      <c r="V30" s="92">
        <f>(V13*$B$13+V14*$B$14+V15*$B$15+V16*$B$16+V18*$B$18+V22*$B$22+V17*$B$17+V21*$B$21+V23*$B$23+V24*$B$24+V25*B25)</f>
        <v>11786.4</v>
      </c>
      <c r="W30" s="92">
        <f t="shared" ref="W30:AA30" si="4">(W13*$B$13+W14*$B$14+W15*$B$15+W16*$B$16+W18*$B$18+W22*$B$22+W17*$B$17+W21*$B$21+W23*$B$23+W25*$B$25)</f>
        <v>11481.03</v>
      </c>
      <c r="X30" s="92">
        <f t="shared" si="4"/>
        <v>10766.87</v>
      </c>
      <c r="Y30" s="92">
        <f t="shared" si="4"/>
        <v>6469.5</v>
      </c>
      <c r="Z30" s="92">
        <f t="shared" si="4"/>
        <v>4916.8200000000006</v>
      </c>
      <c r="AA30" s="92">
        <f t="shared" si="4"/>
        <v>11525.23</v>
      </c>
      <c r="AB30" s="92">
        <f>(AB13*$B$13+AB14*$B$14+AB15*$B$15+AB16*$B$16+AB18*$B$18+AB22*$B$22+AB17*$B$17+AB21*$B$21+AB23*$B$23+AB24*$B$24)</f>
        <v>11473.11</v>
      </c>
      <c r="AC30" s="92">
        <f>(AC13*$B$13+AC14*$B$14+AC15*$B$15+AC16*$B$16+AC18*$B$18+AC22*$B$22+AC17*$B$17+AC21*$B$21+AC23*$B$23+AC24*$B$24+AC25*B25)</f>
        <v>11732.960000000001</v>
      </c>
      <c r="AD30" s="92">
        <f>(AD13*$B$13+AD14*$B$14+AD15*$B$15+AD16*$B$16+AD18*$B$18+AD22*$B$22+AD17*$B$17+AD21*$B$21+AD23*$B$23+AD24*$B$24+AD25*B25)</f>
        <v>11580.810000000001</v>
      </c>
      <c r="AE30" s="92">
        <f>(AE13*$B$13+AE14*$B$14+AE15*$B$15+AE16*$B$16+AE18*$B$18+AE22*$B$22+AE17*$B$17+AE21*$B$21+AE23*$B$23+AE25*$B$25)</f>
        <v>11489.77</v>
      </c>
      <c r="AF30" s="92">
        <f>(AF13*$B$13+AF14*$B$14+AF15*$B$15+AF16*$B$16+AF18*$B$18+AF22*$B$22+AF17*$B$17+AF21*$B$21+AF23*$B$23+AF24*$B$24)</f>
        <v>6469.5</v>
      </c>
      <c r="AG30" s="92">
        <f>(AG13*$B$13+AG14*$B$14+AG15*$B$15+AG16*$B$16+AG18*$B$18+AG22*$B$22+AG17*$B$17+AG21*$B$21+AG23*$B$23+AG24*$B$24)</f>
        <v>4916.8200000000006</v>
      </c>
    </row>
    <row r="31" spans="1:33" x14ac:dyDescent="0.25">
      <c r="A31" s="91" t="s">
        <v>93</v>
      </c>
      <c r="B31" s="232">
        <f t="shared" si="0"/>
        <v>233835.37999999989</v>
      </c>
      <c r="C31" s="92">
        <f>$B$5*C5+$B$6*C6+$B$7*C7+$B$8*C8+$B$10*C10+$B$9*C9+C11*B11</f>
        <v>8495.739999999998</v>
      </c>
      <c r="D31" s="92">
        <f t="shared" ref="C31:AF31" si="5">$B$5*D5+$B$6*D6+$B$7*D7+$B$8*D8+$B$10*D10+$B$9*D9</f>
        <v>6340.1100000000006</v>
      </c>
      <c r="E31" s="92">
        <f t="shared" si="5"/>
        <v>4787.43</v>
      </c>
      <c r="F31" s="92">
        <f t="shared" si="5"/>
        <v>8688.9599999999991</v>
      </c>
      <c r="G31" s="92">
        <f t="shared" si="5"/>
        <v>8688.9599999999991</v>
      </c>
      <c r="H31" s="92">
        <f t="shared" si="5"/>
        <v>8688.9599999999991</v>
      </c>
      <c r="I31" s="92">
        <f t="shared" si="5"/>
        <v>8688.9599999999991</v>
      </c>
      <c r="J31" s="92">
        <f t="shared" si="5"/>
        <v>8688.9599999999991</v>
      </c>
      <c r="K31" s="92">
        <f t="shared" si="5"/>
        <v>6340.1100000000006</v>
      </c>
      <c r="L31" s="92">
        <f t="shared" si="5"/>
        <v>4787.43</v>
      </c>
      <c r="M31" s="92">
        <f t="shared" si="5"/>
        <v>8688.9599999999991</v>
      </c>
      <c r="N31" s="92">
        <f t="shared" si="5"/>
        <v>8688.9599999999991</v>
      </c>
      <c r="O31" s="92">
        <f t="shared" si="5"/>
        <v>8673.8700000000008</v>
      </c>
      <c r="P31" s="92">
        <f t="shared" si="5"/>
        <v>8688.9599999999991</v>
      </c>
      <c r="Q31" s="92">
        <f t="shared" si="5"/>
        <v>4787.43</v>
      </c>
      <c r="R31" s="92">
        <f t="shared" si="5"/>
        <v>6340.1100000000006</v>
      </c>
      <c r="S31" s="92">
        <f t="shared" si="5"/>
        <v>4787.43</v>
      </c>
      <c r="T31" s="92">
        <f t="shared" si="5"/>
        <v>8645.83</v>
      </c>
      <c r="U31" s="92">
        <f t="shared" si="5"/>
        <v>8688.9599999999991</v>
      </c>
      <c r="V31" s="92">
        <f t="shared" si="5"/>
        <v>8688.9599999999991</v>
      </c>
      <c r="W31" s="92">
        <f t="shared" si="5"/>
        <v>8644.76</v>
      </c>
      <c r="X31" s="92">
        <f t="shared" si="5"/>
        <v>8688.9599999999991</v>
      </c>
      <c r="Y31" s="92">
        <f t="shared" si="5"/>
        <v>6340.1100000000006</v>
      </c>
      <c r="Z31" s="92">
        <f t="shared" si="5"/>
        <v>4787.43</v>
      </c>
      <c r="AA31" s="92">
        <f t="shared" si="5"/>
        <v>8688.9599999999991</v>
      </c>
      <c r="AB31" s="92">
        <f t="shared" si="5"/>
        <v>8615.6500000000015</v>
      </c>
      <c r="AC31" s="92">
        <f t="shared" si="5"/>
        <v>8688.9599999999991</v>
      </c>
      <c r="AD31" s="92">
        <f t="shared" si="5"/>
        <v>8688.9599999999991</v>
      </c>
      <c r="AE31" s="92">
        <f t="shared" si="5"/>
        <v>8688.9599999999991</v>
      </c>
      <c r="AF31" s="92">
        <f t="shared" si="5"/>
        <v>6340.1100000000006</v>
      </c>
      <c r="AG31" s="92">
        <f t="shared" ref="AG31" si="6">$B$5*AG5+$B$6*AG6+$B$7*AG7+$B$8*AG8+$B$10*AG10+$B$9*AG9</f>
        <v>4787.43</v>
      </c>
    </row>
    <row r="32" spans="1:33" x14ac:dyDescent="0.25">
      <c r="A32" s="91" t="s">
        <v>94</v>
      </c>
      <c r="B32" s="232">
        <f t="shared" si="0"/>
        <v>29376553.440000005</v>
      </c>
      <c r="C32" s="92">
        <f t="shared" ref="C32:AF32" si="7">C30*104</f>
        <v>984880</v>
      </c>
      <c r="D32" s="92">
        <f t="shared" si="7"/>
        <v>672828</v>
      </c>
      <c r="E32" s="92">
        <f t="shared" si="7"/>
        <v>511349.28000000009</v>
      </c>
      <c r="F32" s="92">
        <f t="shared" si="7"/>
        <v>1060396.48</v>
      </c>
      <c r="G32" s="92">
        <f t="shared" si="7"/>
        <v>1069367.52</v>
      </c>
      <c r="H32" s="92">
        <f t="shared" si="7"/>
        <v>1052772.2400000002</v>
      </c>
      <c r="I32" s="92">
        <f t="shared" si="7"/>
        <v>1071211.4400000002</v>
      </c>
      <c r="J32" s="92">
        <f t="shared" si="7"/>
        <v>1067523.6000000001</v>
      </c>
      <c r="K32" s="92">
        <f t="shared" si="7"/>
        <v>672828</v>
      </c>
      <c r="L32" s="92">
        <f t="shared" si="7"/>
        <v>511349.28000000009</v>
      </c>
      <c r="M32" s="92">
        <f t="shared" si="7"/>
        <v>1177242.56</v>
      </c>
      <c r="N32" s="92">
        <f t="shared" si="7"/>
        <v>1173554.72</v>
      </c>
      <c r="O32" s="92">
        <f t="shared" si="7"/>
        <v>1156684.8799999999</v>
      </c>
      <c r="P32" s="92">
        <f t="shared" si="7"/>
        <v>1160895.8399999999</v>
      </c>
      <c r="Q32" s="92">
        <f t="shared" si="7"/>
        <v>511349.28000000009</v>
      </c>
      <c r="R32" s="92">
        <f t="shared" si="7"/>
        <v>672828</v>
      </c>
      <c r="S32" s="92">
        <f t="shared" si="7"/>
        <v>511349.28000000009</v>
      </c>
      <c r="T32" s="92">
        <f t="shared" si="7"/>
        <v>1210459.1199999999</v>
      </c>
      <c r="U32" s="92">
        <f t="shared" si="7"/>
        <v>1208366.6399999999</v>
      </c>
      <c r="V32" s="92">
        <f t="shared" si="7"/>
        <v>1225785.5999999999</v>
      </c>
      <c r="W32" s="92">
        <f t="shared" si="7"/>
        <v>1194027.1200000001</v>
      </c>
      <c r="X32" s="92">
        <f t="shared" si="7"/>
        <v>1119754.48</v>
      </c>
      <c r="Y32" s="92">
        <f t="shared" si="7"/>
        <v>672828</v>
      </c>
      <c r="Z32" s="92">
        <f t="shared" si="7"/>
        <v>511349.28000000009</v>
      </c>
      <c r="AA32" s="92">
        <f t="shared" si="7"/>
        <v>1198623.92</v>
      </c>
      <c r="AB32" s="92">
        <f t="shared" si="7"/>
        <v>1193203.44</v>
      </c>
      <c r="AC32" s="92">
        <f t="shared" si="7"/>
        <v>1220227.8400000001</v>
      </c>
      <c r="AD32" s="92">
        <f t="shared" si="7"/>
        <v>1204404.2400000002</v>
      </c>
      <c r="AE32" s="92">
        <f t="shared" si="7"/>
        <v>1194936.08</v>
      </c>
      <c r="AF32" s="92">
        <f t="shared" si="7"/>
        <v>672828</v>
      </c>
      <c r="AG32" s="92">
        <f t="shared" ref="AG32" si="8">AG30*104</f>
        <v>511349.28000000009</v>
      </c>
    </row>
    <row r="33" spans="1:33" x14ac:dyDescent="0.25">
      <c r="A33" s="91" t="s">
        <v>95</v>
      </c>
      <c r="B33" s="90">
        <f t="shared" si="0"/>
        <v>564933.72000000009</v>
      </c>
      <c r="C33" s="92">
        <f>C30*2</f>
        <v>18940</v>
      </c>
      <c r="D33" s="92">
        <f t="shared" ref="D33:AD33" si="9">D30*2</f>
        <v>12939</v>
      </c>
      <c r="E33" s="92">
        <f t="shared" si="9"/>
        <v>9833.6400000000012</v>
      </c>
      <c r="F33" s="92">
        <f t="shared" si="9"/>
        <v>20392.240000000002</v>
      </c>
      <c r="G33" s="92">
        <f t="shared" si="9"/>
        <v>20564.760000000002</v>
      </c>
      <c r="H33" s="92">
        <f t="shared" si="9"/>
        <v>20245.620000000003</v>
      </c>
      <c r="I33" s="92">
        <f t="shared" si="9"/>
        <v>20600.220000000005</v>
      </c>
      <c r="J33" s="92">
        <f t="shared" si="9"/>
        <v>20529.300000000003</v>
      </c>
      <c r="K33" s="92">
        <f t="shared" si="9"/>
        <v>12939</v>
      </c>
      <c r="L33" s="92">
        <f t="shared" si="9"/>
        <v>9833.6400000000012</v>
      </c>
      <c r="M33" s="92">
        <f t="shared" si="9"/>
        <v>22639.280000000002</v>
      </c>
      <c r="N33" s="92">
        <f t="shared" si="9"/>
        <v>22568.36</v>
      </c>
      <c r="O33" s="92">
        <f t="shared" si="9"/>
        <v>22243.94</v>
      </c>
      <c r="P33" s="92">
        <f t="shared" si="9"/>
        <v>22324.92</v>
      </c>
      <c r="Q33" s="92">
        <f t="shared" si="9"/>
        <v>9833.6400000000012</v>
      </c>
      <c r="R33" s="92">
        <f t="shared" si="9"/>
        <v>12939</v>
      </c>
      <c r="S33" s="92">
        <f t="shared" si="9"/>
        <v>9833.6400000000012</v>
      </c>
      <c r="T33" s="92">
        <f t="shared" si="9"/>
        <v>23278.059999999998</v>
      </c>
      <c r="U33" s="92">
        <f t="shared" si="9"/>
        <v>23237.82</v>
      </c>
      <c r="V33" s="92">
        <f t="shared" si="9"/>
        <v>23572.799999999999</v>
      </c>
      <c r="W33" s="92">
        <f t="shared" si="9"/>
        <v>22962.06</v>
      </c>
      <c r="X33" s="92">
        <f t="shared" si="9"/>
        <v>21533.74</v>
      </c>
      <c r="Y33" s="92">
        <f t="shared" si="9"/>
        <v>12939</v>
      </c>
      <c r="Z33" s="92">
        <f t="shared" si="9"/>
        <v>9833.6400000000012</v>
      </c>
      <c r="AA33" s="92">
        <f t="shared" si="9"/>
        <v>23050.46</v>
      </c>
      <c r="AB33" s="92">
        <f t="shared" si="9"/>
        <v>22946.22</v>
      </c>
      <c r="AC33" s="92">
        <f t="shared" si="9"/>
        <v>23465.920000000002</v>
      </c>
      <c r="AD33" s="92">
        <f t="shared" si="9"/>
        <v>23161.620000000003</v>
      </c>
      <c r="AE33" s="92">
        <f>AE30*2</f>
        <v>22979.54</v>
      </c>
      <c r="AF33" s="92">
        <f>AF30*2</f>
        <v>12939</v>
      </c>
      <c r="AG33" s="92">
        <f>AG30*2</f>
        <v>9833.6400000000012</v>
      </c>
    </row>
    <row r="34" spans="1:33" x14ac:dyDescent="0.25">
      <c r="A34" s="91" t="s">
        <v>96</v>
      </c>
      <c r="B34" s="90">
        <f t="shared" si="0"/>
        <v>2551738</v>
      </c>
      <c r="C34" s="92">
        <f>+C29*362</f>
        <v>86880</v>
      </c>
      <c r="D34" s="92">
        <f t="shared" ref="D34:AD34" si="10">+D29*362</f>
        <v>54300</v>
      </c>
      <c r="E34" s="92">
        <f t="shared" si="10"/>
        <v>41268</v>
      </c>
      <c r="F34" s="92">
        <f t="shared" si="10"/>
        <v>94120</v>
      </c>
      <c r="G34" s="92">
        <f t="shared" si="10"/>
        <v>94844</v>
      </c>
      <c r="H34" s="92">
        <f t="shared" si="10"/>
        <v>94844</v>
      </c>
      <c r="I34" s="92">
        <f t="shared" si="10"/>
        <v>94844</v>
      </c>
      <c r="J34" s="92">
        <f t="shared" si="10"/>
        <v>94844</v>
      </c>
      <c r="K34" s="92">
        <f t="shared" si="10"/>
        <v>54300</v>
      </c>
      <c r="L34" s="92">
        <f t="shared" si="10"/>
        <v>41268</v>
      </c>
      <c r="M34" s="92">
        <f t="shared" si="10"/>
        <v>104256</v>
      </c>
      <c r="N34" s="92">
        <f t="shared" si="10"/>
        <v>104256</v>
      </c>
      <c r="O34" s="92">
        <f t="shared" si="10"/>
        <v>102808</v>
      </c>
      <c r="P34" s="92">
        <f t="shared" si="10"/>
        <v>103532</v>
      </c>
      <c r="Q34" s="92">
        <f t="shared" si="10"/>
        <v>41268</v>
      </c>
      <c r="R34" s="92">
        <f t="shared" si="10"/>
        <v>54300</v>
      </c>
      <c r="S34" s="92">
        <f t="shared" si="10"/>
        <v>41268</v>
      </c>
      <c r="T34" s="92">
        <f t="shared" si="10"/>
        <v>106790</v>
      </c>
      <c r="U34" s="92">
        <f t="shared" si="10"/>
        <v>107152</v>
      </c>
      <c r="V34" s="92">
        <f t="shared" si="10"/>
        <v>107876</v>
      </c>
      <c r="W34" s="92">
        <f t="shared" si="10"/>
        <v>105704</v>
      </c>
      <c r="X34" s="92">
        <f t="shared" si="10"/>
        <v>98464</v>
      </c>
      <c r="Y34" s="92">
        <f t="shared" si="10"/>
        <v>54300</v>
      </c>
      <c r="Z34" s="92">
        <f t="shared" si="10"/>
        <v>41268</v>
      </c>
      <c r="AA34" s="92">
        <f t="shared" si="10"/>
        <v>106428</v>
      </c>
      <c r="AB34" s="92">
        <f t="shared" si="10"/>
        <v>105342</v>
      </c>
      <c r="AC34" s="92">
        <f t="shared" si="10"/>
        <v>107514</v>
      </c>
      <c r="AD34" s="92">
        <f t="shared" si="10"/>
        <v>105704</v>
      </c>
      <c r="AE34" s="92">
        <f>+AE29*362</f>
        <v>106428</v>
      </c>
      <c r="AF34" s="92">
        <f>+AF29*362</f>
        <v>54300</v>
      </c>
      <c r="AG34" s="92">
        <f>+AG29*362</f>
        <v>41268</v>
      </c>
    </row>
    <row r="35" spans="1:33" ht="14.25" customHeight="1" x14ac:dyDescent="0.25">
      <c r="A35" s="93" t="s">
        <v>97</v>
      </c>
      <c r="B35" s="232">
        <f t="shared" si="0"/>
        <v>22399621.998</v>
      </c>
      <c r="C35" s="92">
        <f>C30*79.3</f>
        <v>750971</v>
      </c>
      <c r="D35" s="92">
        <f t="shared" ref="D35:AD35" si="11">D30*79.3</f>
        <v>513031.35</v>
      </c>
      <c r="E35" s="92">
        <f t="shared" si="11"/>
        <v>389903.82600000006</v>
      </c>
      <c r="F35" s="92">
        <f t="shared" si="11"/>
        <v>808552.31599999999</v>
      </c>
      <c r="G35" s="92">
        <f t="shared" si="11"/>
        <v>815392.73400000005</v>
      </c>
      <c r="H35" s="92">
        <f t="shared" si="11"/>
        <v>802738.8330000001</v>
      </c>
      <c r="I35" s="92">
        <f t="shared" si="11"/>
        <v>816798.72300000011</v>
      </c>
      <c r="J35" s="92">
        <f t="shared" si="11"/>
        <v>813986.74500000011</v>
      </c>
      <c r="K35" s="92">
        <f t="shared" si="11"/>
        <v>513031.35</v>
      </c>
      <c r="L35" s="92">
        <f t="shared" si="11"/>
        <v>389903.82600000006</v>
      </c>
      <c r="M35" s="92">
        <f t="shared" si="11"/>
        <v>897647.45200000005</v>
      </c>
      <c r="N35" s="92">
        <f t="shared" si="11"/>
        <v>894835.47400000005</v>
      </c>
      <c r="O35" s="92">
        <f t="shared" si="11"/>
        <v>881972.2209999999</v>
      </c>
      <c r="P35" s="92">
        <f t="shared" si="11"/>
        <v>885183.07799999986</v>
      </c>
      <c r="Q35" s="92">
        <f t="shared" si="11"/>
        <v>389903.82600000006</v>
      </c>
      <c r="R35" s="92">
        <f t="shared" si="11"/>
        <v>513031.35</v>
      </c>
      <c r="S35" s="92">
        <f t="shared" si="11"/>
        <v>389903.82600000006</v>
      </c>
      <c r="T35" s="92">
        <f t="shared" si="11"/>
        <v>922975.07899999991</v>
      </c>
      <c r="U35" s="92">
        <f t="shared" si="11"/>
        <v>921379.56299999997</v>
      </c>
      <c r="V35" s="92">
        <f t="shared" si="11"/>
        <v>934661.5199999999</v>
      </c>
      <c r="W35" s="92">
        <f t="shared" si="11"/>
        <v>910445.679</v>
      </c>
      <c r="X35" s="92">
        <f t="shared" si="11"/>
        <v>853812.79100000008</v>
      </c>
      <c r="Y35" s="92">
        <f t="shared" si="11"/>
        <v>513031.35</v>
      </c>
      <c r="Z35" s="92">
        <f t="shared" si="11"/>
        <v>389903.82600000006</v>
      </c>
      <c r="AA35" s="92">
        <f t="shared" si="11"/>
        <v>913950.73899999994</v>
      </c>
      <c r="AB35" s="92">
        <f t="shared" si="11"/>
        <v>909817.62300000002</v>
      </c>
      <c r="AC35" s="92">
        <f>AC30*79.3</f>
        <v>930423.728</v>
      </c>
      <c r="AD35" s="92">
        <f t="shared" si="11"/>
        <v>918358.23300000012</v>
      </c>
      <c r="AE35" s="92">
        <f>AE30*79.3</f>
        <v>911138.76100000006</v>
      </c>
      <c r="AF35" s="92">
        <f>AF30*79.3</f>
        <v>513031.35</v>
      </c>
      <c r="AG35" s="92">
        <f>AG30*79.3</f>
        <v>389903.82600000006</v>
      </c>
    </row>
    <row r="36" spans="1:33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2"/>
      <c r="O36" s="8"/>
      <c r="AG36" s="125"/>
    </row>
    <row r="37" spans="1:33" x14ac:dyDescent="0.25"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</row>
    <row r="39" spans="1:33" x14ac:dyDescent="0.25">
      <c r="C39" s="173"/>
      <c r="D39" s="317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</row>
    <row r="40" spans="1:33" x14ac:dyDescent="0.25">
      <c r="E40" s="43"/>
      <c r="F40" s="134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4"/>
      <c r="Y40" s="43"/>
      <c r="AB40" s="8"/>
    </row>
    <row r="41" spans="1:33" x14ac:dyDescent="0.25">
      <c r="E41" s="43"/>
      <c r="F41" s="43"/>
      <c r="G41" s="43"/>
      <c r="H41" s="125"/>
      <c r="I41" s="43"/>
      <c r="J41" s="43"/>
      <c r="K41" s="125"/>
      <c r="L41" s="43"/>
      <c r="M41" s="43"/>
      <c r="N41" s="43"/>
      <c r="O41" s="125"/>
      <c r="P41" s="43"/>
      <c r="Q41" s="43"/>
      <c r="R41" s="43"/>
      <c r="S41" s="125"/>
      <c r="T41" s="43"/>
      <c r="U41" s="43"/>
      <c r="V41" s="43"/>
      <c r="W41" s="125"/>
      <c r="X41" s="43"/>
      <c r="Y41" s="43"/>
      <c r="Z41" s="43"/>
      <c r="AA41" s="125"/>
      <c r="AB41" s="43"/>
      <c r="AD41" s="43"/>
      <c r="AE41" s="43"/>
      <c r="AF41" s="125"/>
    </row>
    <row r="42" spans="1:33" x14ac:dyDescent="0.25">
      <c r="P42" s="85"/>
      <c r="R42" s="173"/>
      <c r="AB42" s="8"/>
    </row>
    <row r="43" spans="1:33" x14ac:dyDescent="0.25">
      <c r="P43" s="85"/>
      <c r="R43" s="173"/>
      <c r="AB43" s="8"/>
    </row>
    <row r="44" spans="1:33" x14ac:dyDescent="0.25"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73"/>
      <c r="S44" s="125"/>
      <c r="T44" s="125"/>
      <c r="U44" s="125"/>
      <c r="V44" s="125"/>
      <c r="W44" s="125"/>
      <c r="X44" s="125"/>
      <c r="Y44" s="125"/>
      <c r="Z44" s="125"/>
      <c r="AA44" s="125"/>
      <c r="AB44" s="8"/>
      <c r="AD44" s="125"/>
      <c r="AE44" s="125"/>
      <c r="AF44" s="125"/>
    </row>
    <row r="45" spans="1:33" x14ac:dyDescent="0.25">
      <c r="P45" s="85"/>
      <c r="R45" s="173"/>
      <c r="AB45" s="8"/>
    </row>
    <row r="46" spans="1:33" x14ac:dyDescent="0.25">
      <c r="P46" s="85"/>
      <c r="R46" s="173"/>
      <c r="AB46" s="8"/>
    </row>
    <row r="47" spans="1:33" x14ac:dyDescent="0.25"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73"/>
      <c r="S47" s="125"/>
      <c r="T47" s="125"/>
      <c r="U47" s="125"/>
      <c r="V47" s="125"/>
      <c r="W47" s="125"/>
      <c r="X47" s="125"/>
      <c r="Y47" s="125"/>
      <c r="Z47" s="125"/>
      <c r="AA47" s="125"/>
      <c r="AB47" s="8"/>
      <c r="AD47" s="125"/>
      <c r="AE47" s="125"/>
      <c r="AF47" s="125"/>
    </row>
    <row r="48" spans="1:33" x14ac:dyDescent="0.25">
      <c r="Q48" s="85"/>
      <c r="R48" s="173"/>
      <c r="AB48" s="8"/>
    </row>
    <row r="49" spans="17:18" x14ac:dyDescent="0.25">
      <c r="Q49" s="85"/>
      <c r="R49" s="173"/>
    </row>
    <row r="50" spans="17:18" x14ac:dyDescent="0.25">
      <c r="Q50" s="85"/>
      <c r="R50" s="173"/>
    </row>
    <row r="51" spans="17:18" x14ac:dyDescent="0.25">
      <c r="Q51" s="85"/>
      <c r="R51" s="173"/>
    </row>
    <row r="52" spans="17:18" x14ac:dyDescent="0.25">
      <c r="Q52" s="8"/>
      <c r="R52" s="173"/>
    </row>
    <row r="53" spans="17:18" x14ac:dyDescent="0.25">
      <c r="Q53" s="8"/>
      <c r="R53" s="173"/>
    </row>
    <row r="54" spans="17:18" x14ac:dyDescent="0.25">
      <c r="R54" s="173"/>
    </row>
    <row r="55" spans="17:18" x14ac:dyDescent="0.25">
      <c r="R55" s="173"/>
    </row>
    <row r="56" spans="17:18" x14ac:dyDescent="0.25">
      <c r="R56" s="173"/>
    </row>
    <row r="57" spans="17:18" x14ac:dyDescent="0.25">
      <c r="R57" s="173"/>
    </row>
    <row r="58" spans="17:18" x14ac:dyDescent="0.25">
      <c r="R58" s="173"/>
    </row>
    <row r="59" spans="17:18" x14ac:dyDescent="0.25">
      <c r="R59" s="173"/>
    </row>
    <row r="60" spans="17:18" x14ac:dyDescent="0.25">
      <c r="R60" s="173"/>
    </row>
    <row r="61" spans="17:18" x14ac:dyDescent="0.25">
      <c r="R61" s="173"/>
    </row>
    <row r="62" spans="17:18" x14ac:dyDescent="0.25">
      <c r="R62" s="173"/>
    </row>
    <row r="63" spans="17:18" x14ac:dyDescent="0.25">
      <c r="R63" s="125"/>
    </row>
    <row r="64" spans="17:18" x14ac:dyDescent="0.25">
      <c r="R64" s="125"/>
    </row>
    <row r="65" spans="18:18" x14ac:dyDescent="0.25">
      <c r="R65" s="125"/>
    </row>
    <row r="66" spans="18:18" x14ac:dyDescent="0.25">
      <c r="R66" s="125"/>
    </row>
    <row r="67" spans="18:18" x14ac:dyDescent="0.25">
      <c r="R67" s="125"/>
    </row>
    <row r="68" spans="18:18" x14ac:dyDescent="0.25">
      <c r="R68" s="125"/>
    </row>
    <row r="69" spans="18:18" x14ac:dyDescent="0.25">
      <c r="R69" s="125"/>
    </row>
    <row r="70" spans="18:18" x14ac:dyDescent="0.25">
      <c r="R70" s="125"/>
    </row>
    <row r="71" spans="18:18" x14ac:dyDescent="0.25">
      <c r="R71" s="125"/>
    </row>
    <row r="72" spans="18:18" x14ac:dyDescent="0.25">
      <c r="R72" s="125"/>
    </row>
  </sheetData>
  <pageMargins left="0.7" right="0.7" top="0.75" bottom="0.75" header="0.3" footer="0.3"/>
  <pageSetup orientation="portrait" r:id="rId1"/>
  <ignoredErrors>
    <ignoredError sqref="R3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5" sqref="B35"/>
    </sheetView>
  </sheetViews>
  <sheetFormatPr baseColWidth="10" defaultColWidth="11.42578125" defaultRowHeight="15" x14ac:dyDescent="0.25"/>
  <cols>
    <col min="1" max="2" width="11.42578125" style="125"/>
    <col min="3" max="3" width="19.140625" style="125" customWidth="1"/>
    <col min="4" max="4" width="11.42578125" style="125"/>
    <col min="5" max="5" width="18.42578125" style="125" customWidth="1"/>
    <col min="6" max="6" width="14.140625" style="125" customWidth="1"/>
    <col min="7" max="7" width="23.85546875" style="125" customWidth="1"/>
    <col min="8" max="8" width="22.7109375" style="125" customWidth="1"/>
    <col min="9" max="9" width="18.5703125" style="125" customWidth="1"/>
    <col min="10" max="10" width="14.28515625" style="125" customWidth="1"/>
    <col min="11" max="11" width="25.5703125" style="125" customWidth="1"/>
    <col min="12" max="16384" width="11.42578125" style="125"/>
  </cols>
  <sheetData>
    <row r="2" spans="1:12" ht="44.25" x14ac:dyDescent="0.25">
      <c r="A2" s="369" t="s">
        <v>173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</row>
    <row r="3" spans="1:12" x14ac:dyDescent="0.25">
      <c r="A3" s="159" t="s">
        <v>126</v>
      </c>
      <c r="B3" s="159" t="s">
        <v>3</v>
      </c>
      <c r="C3" s="159" t="s">
        <v>127</v>
      </c>
      <c r="D3" s="159" t="s">
        <v>128</v>
      </c>
      <c r="E3" s="160" t="s">
        <v>129</v>
      </c>
      <c r="F3" s="160" t="s">
        <v>130</v>
      </c>
      <c r="G3" s="160" t="s">
        <v>131</v>
      </c>
      <c r="H3" s="160" t="s">
        <v>132</v>
      </c>
      <c r="I3" s="160" t="s">
        <v>169</v>
      </c>
      <c r="J3" s="160" t="s">
        <v>133</v>
      </c>
      <c r="K3" s="160" t="s">
        <v>134</v>
      </c>
    </row>
    <row r="4" spans="1:12" x14ac:dyDescent="0.25">
      <c r="A4" s="161">
        <v>45870</v>
      </c>
      <c r="B4" s="12">
        <f>'KM-Servicio'!N12</f>
        <v>9875</v>
      </c>
      <c r="C4" s="12">
        <f>B4</f>
        <v>9875</v>
      </c>
      <c r="D4" s="12">
        <f>'KM-Servicio'!W12</f>
        <v>9470</v>
      </c>
      <c r="E4" s="12">
        <f>D4</f>
        <v>9470</v>
      </c>
      <c r="F4" s="167">
        <f>'KM-Servicio'!O12</f>
        <v>95.898734177215189</v>
      </c>
      <c r="G4" s="168">
        <f>SUM('KM-Servicio'!B12:C12)</f>
        <v>223</v>
      </c>
      <c r="H4" s="168">
        <f>SUM('KM-Servicio'!D12:E12)</f>
        <v>217</v>
      </c>
      <c r="I4" s="12">
        <f>'Oferta Diaria'!C35</f>
        <v>750971</v>
      </c>
      <c r="J4" s="162" t="s">
        <v>137</v>
      </c>
      <c r="K4" s="165"/>
      <c r="L4" s="163"/>
    </row>
    <row r="5" spans="1:12" x14ac:dyDescent="0.25">
      <c r="A5" s="161">
        <v>45871</v>
      </c>
      <c r="B5" s="12">
        <f>'KM-Servicio'!N19</f>
        <v>6549</v>
      </c>
      <c r="C5" s="12">
        <f>B5+C4</f>
        <v>16424</v>
      </c>
      <c r="D5" s="12">
        <f>'KM-Servicio'!W19</f>
        <v>6469.5</v>
      </c>
      <c r="E5" s="12">
        <f>D5+E4</f>
        <v>15939.5</v>
      </c>
      <c r="F5" s="167">
        <f>'KM-Servicio'!O19</f>
        <v>98.786074209803019</v>
      </c>
      <c r="G5" s="168">
        <f>SUM('KM-Servicio'!B19:C19)</f>
        <v>147</v>
      </c>
      <c r="H5" s="168">
        <f>SUM('KM-Servicio'!D19:E19)</f>
        <v>147</v>
      </c>
      <c r="I5" s="12">
        <f>'Oferta Diaria'!D35</f>
        <v>513031.35</v>
      </c>
      <c r="J5" s="176" t="s">
        <v>138</v>
      </c>
      <c r="K5" s="165"/>
      <c r="L5" s="163"/>
    </row>
    <row r="6" spans="1:12" x14ac:dyDescent="0.25">
      <c r="A6" s="161">
        <v>45872</v>
      </c>
      <c r="B6" s="12">
        <f>'KM-Servicio'!N26</f>
        <v>5082</v>
      </c>
      <c r="C6" s="12">
        <f t="shared" ref="C6:C31" si="0">B6+C5</f>
        <v>21506</v>
      </c>
      <c r="D6" s="12">
        <f>'KM-Servicio'!W26</f>
        <v>4916.8200000000006</v>
      </c>
      <c r="E6" s="12">
        <f t="shared" ref="E6:E31" si="1">D6+E5</f>
        <v>20856.32</v>
      </c>
      <c r="F6" s="167">
        <f>'KM-Servicio'!O26</f>
        <v>96.749704840613944</v>
      </c>
      <c r="G6" s="168">
        <f>SUM('KM-Servicio'!B26:C26)</f>
        <v>111</v>
      </c>
      <c r="H6" s="168">
        <f>SUM('KM-Servicio'!D26:E26)</f>
        <v>111</v>
      </c>
      <c r="I6" s="12">
        <f>'Oferta Diaria'!E35</f>
        <v>389903.82600000006</v>
      </c>
      <c r="J6" s="176" t="s">
        <v>136</v>
      </c>
      <c r="K6" s="165"/>
      <c r="L6" s="163"/>
    </row>
    <row r="7" spans="1:12" x14ac:dyDescent="0.25">
      <c r="A7" s="161">
        <v>45873</v>
      </c>
      <c r="B7" s="12">
        <f>'KM-Servicio'!N33</f>
        <v>10440</v>
      </c>
      <c r="C7" s="12">
        <f t="shared" si="0"/>
        <v>31946</v>
      </c>
      <c r="D7" s="12">
        <f>'KM-Servicio'!W33</f>
        <v>10196.120000000001</v>
      </c>
      <c r="E7" s="12">
        <f t="shared" si="1"/>
        <v>31052.440000000002</v>
      </c>
      <c r="F7" s="167">
        <f>'KM-Servicio'!O33</f>
        <v>97.663984674329512</v>
      </c>
      <c r="G7" s="168">
        <f>SUM('KM-Servicio'!B33:C33)</f>
        <v>223</v>
      </c>
      <c r="H7" s="168">
        <f>SUM('KM-Servicio'!D33:E33)</f>
        <v>223</v>
      </c>
      <c r="I7" s="12">
        <f>'Oferta Diaria'!F35</f>
        <v>808552.31599999999</v>
      </c>
      <c r="J7" s="162" t="s">
        <v>137</v>
      </c>
      <c r="K7" s="165"/>
      <c r="L7" s="163"/>
    </row>
    <row r="8" spans="1:12" ht="16.5" customHeight="1" x14ac:dyDescent="0.25">
      <c r="A8" s="161">
        <v>45874</v>
      </c>
      <c r="B8" s="12">
        <f>'KM-Servicio'!N40</f>
        <v>10651</v>
      </c>
      <c r="C8" s="12">
        <f t="shared" si="0"/>
        <v>42597</v>
      </c>
      <c r="D8" s="12">
        <f>'KM-Servicio'!W40</f>
        <v>10282.380000000001</v>
      </c>
      <c r="E8" s="12">
        <f t="shared" si="1"/>
        <v>41334.820000000007</v>
      </c>
      <c r="F8" s="167">
        <f>'KM-Servicio'!O40</f>
        <v>96.539104309454515</v>
      </c>
      <c r="G8" s="168">
        <f>SUM('KM-Servicio'!B40:C40)</f>
        <v>223</v>
      </c>
      <c r="H8" s="168">
        <f>SUM('KM-Servicio'!D40:E40)</f>
        <v>223</v>
      </c>
      <c r="I8" s="12">
        <f>'Oferta Diaria'!G35</f>
        <v>815392.73400000005</v>
      </c>
      <c r="J8" s="162" t="s">
        <v>137</v>
      </c>
      <c r="K8" s="178"/>
      <c r="L8" s="163"/>
    </row>
    <row r="9" spans="1:12" x14ac:dyDescent="0.25">
      <c r="A9" s="161">
        <v>45875</v>
      </c>
      <c r="B9" s="12">
        <f>'KM-Servicio'!N47</f>
        <v>10486</v>
      </c>
      <c r="C9" s="12">
        <f t="shared" si="0"/>
        <v>53083</v>
      </c>
      <c r="D9" s="12">
        <f>'KM-Servicio'!W47</f>
        <v>10122.810000000001</v>
      </c>
      <c r="E9" s="12">
        <f t="shared" si="1"/>
        <v>51457.630000000005</v>
      </c>
      <c r="F9" s="167">
        <f>'KM-Servicio'!O47</f>
        <v>96.536429525081076</v>
      </c>
      <c r="G9" s="168">
        <f>SUM('KM-Servicio'!B47:C47)</f>
        <v>223</v>
      </c>
      <c r="H9" s="168">
        <f>SUM('KM-Servicio'!D47:E47)</f>
        <v>223</v>
      </c>
      <c r="I9" s="12">
        <f>'Oferta Diaria'!H35</f>
        <v>802738.8330000001</v>
      </c>
      <c r="J9" s="162" t="s">
        <v>137</v>
      </c>
      <c r="K9" s="165"/>
      <c r="L9" s="163"/>
    </row>
    <row r="10" spans="1:12" x14ac:dyDescent="0.25">
      <c r="A10" s="161">
        <v>45876</v>
      </c>
      <c r="B10" s="12">
        <f>'KM-Servicio'!N54</f>
        <v>10611</v>
      </c>
      <c r="C10" s="12">
        <f t="shared" si="0"/>
        <v>63694</v>
      </c>
      <c r="D10" s="12">
        <f>'KM-Servicio'!W54</f>
        <v>10300.11</v>
      </c>
      <c r="E10" s="12">
        <f t="shared" si="1"/>
        <v>61757.740000000005</v>
      </c>
      <c r="F10" s="167">
        <f>'KM-Servicio'!O54</f>
        <v>97.07011591744417</v>
      </c>
      <c r="G10" s="168">
        <f>SUM('KM-Servicio'!B54:C54)</f>
        <v>223</v>
      </c>
      <c r="H10" s="168">
        <f>SUM('KM-Servicio'!D54:E54)</f>
        <v>223</v>
      </c>
      <c r="I10" s="12">
        <f>'Oferta Diaria'!I35</f>
        <v>816798.72300000011</v>
      </c>
      <c r="J10" s="162" t="s">
        <v>137</v>
      </c>
      <c r="K10" s="177"/>
      <c r="L10" s="163"/>
    </row>
    <row r="11" spans="1:12" x14ac:dyDescent="0.25">
      <c r="A11" s="161">
        <v>45877</v>
      </c>
      <c r="B11" s="12">
        <f>'KM-Servicio'!N61</f>
        <v>10674</v>
      </c>
      <c r="C11" s="12">
        <f t="shared" si="0"/>
        <v>74368</v>
      </c>
      <c r="D11" s="12">
        <f>'KM-Servicio'!W61</f>
        <v>10264.650000000001</v>
      </c>
      <c r="E11" s="12">
        <f t="shared" si="1"/>
        <v>72022.390000000014</v>
      </c>
      <c r="F11" s="167">
        <f>'KM-Servicio'!O61</f>
        <v>96.164980326025869</v>
      </c>
      <c r="G11" s="168">
        <f>SUM('KM-Servicio'!B61:C61)</f>
        <v>223</v>
      </c>
      <c r="H11" s="168">
        <f>SUM('KM-Servicio'!D61:E61)</f>
        <v>223</v>
      </c>
      <c r="I11" s="12">
        <f>'Oferta Diaria'!J35</f>
        <v>813986.74500000011</v>
      </c>
      <c r="J11" s="162" t="s">
        <v>137</v>
      </c>
      <c r="K11" s="165"/>
      <c r="L11" s="163"/>
    </row>
    <row r="12" spans="1:12" x14ac:dyDescent="0.25">
      <c r="A12" s="161">
        <v>45878</v>
      </c>
      <c r="B12" s="12">
        <f>'KM-Servicio'!N68</f>
        <v>6490</v>
      </c>
      <c r="C12" s="12">
        <f t="shared" si="0"/>
        <v>80858</v>
      </c>
      <c r="D12" s="12">
        <f>'KM-Servicio'!W68</f>
        <v>6469.5</v>
      </c>
      <c r="E12" s="12">
        <f t="shared" si="1"/>
        <v>78491.890000000014</v>
      </c>
      <c r="F12" s="167">
        <f>'KM-Servicio'!O68</f>
        <v>99.684129429892138</v>
      </c>
      <c r="G12" s="168">
        <f>SUM('KM-Servicio'!B68:C68)</f>
        <v>147</v>
      </c>
      <c r="H12" s="168">
        <f>SUM('KM-Servicio'!D68:E68)</f>
        <v>147</v>
      </c>
      <c r="I12" s="12">
        <f>'Oferta Diaria'!K35</f>
        <v>513031.35</v>
      </c>
      <c r="J12" s="176" t="s">
        <v>138</v>
      </c>
      <c r="K12" s="165"/>
      <c r="L12" s="163"/>
    </row>
    <row r="13" spans="1:12" x14ac:dyDescent="0.25">
      <c r="A13" s="161">
        <v>45879</v>
      </c>
      <c r="B13" s="12">
        <f>'KM-Servicio'!N75</f>
        <v>5063</v>
      </c>
      <c r="C13" s="12">
        <f t="shared" si="0"/>
        <v>85921</v>
      </c>
      <c r="D13" s="12">
        <f>'KM-Servicio'!W75</f>
        <v>4916.8200000000006</v>
      </c>
      <c r="E13" s="12">
        <f t="shared" si="1"/>
        <v>83408.710000000021</v>
      </c>
      <c r="F13" s="167">
        <f>'KM-Servicio'!O75</f>
        <v>97.112778984791632</v>
      </c>
      <c r="G13" s="168">
        <f>SUM('KM-Servicio'!B75:C75)</f>
        <v>111</v>
      </c>
      <c r="H13" s="168">
        <f>SUM('KM-Servicio'!D75:E75)</f>
        <v>111</v>
      </c>
      <c r="I13" s="12">
        <f>'Oferta Diaria'!L35</f>
        <v>389903.82600000006</v>
      </c>
      <c r="J13" s="176" t="s">
        <v>136</v>
      </c>
      <c r="K13" s="165"/>
      <c r="L13" s="163"/>
    </row>
    <row r="14" spans="1:12" x14ac:dyDescent="0.25">
      <c r="A14" s="161">
        <v>45880</v>
      </c>
      <c r="B14" s="12">
        <f>'KM-Servicio'!N82</f>
        <v>11667</v>
      </c>
      <c r="C14" s="12">
        <f t="shared" si="0"/>
        <v>97588</v>
      </c>
      <c r="D14" s="12">
        <f>'KM-Servicio'!W82</f>
        <v>11319.64</v>
      </c>
      <c r="E14" s="12">
        <f t="shared" si="1"/>
        <v>94728.35000000002</v>
      </c>
      <c r="F14" s="167">
        <f>'KM-Servicio'!O82</f>
        <v>97.022713636753238</v>
      </c>
      <c r="G14" s="168">
        <f>SUM('KM-Servicio'!B82:C82)</f>
        <v>223</v>
      </c>
      <c r="H14" s="168">
        <f>SUM('KM-Servicio'!D82:E82)</f>
        <v>223</v>
      </c>
      <c r="I14" s="12">
        <f>'Oferta Diaria'!M35</f>
        <v>897647.45200000005</v>
      </c>
      <c r="J14" s="162" t="s">
        <v>137</v>
      </c>
      <c r="K14" s="165"/>
      <c r="L14" s="163"/>
    </row>
    <row r="15" spans="1:12" x14ac:dyDescent="0.25">
      <c r="A15" s="161">
        <v>45881</v>
      </c>
      <c r="B15" s="12">
        <f>'KM-Servicio'!N89</f>
        <v>11793</v>
      </c>
      <c r="C15" s="12">
        <f t="shared" si="0"/>
        <v>109381</v>
      </c>
      <c r="D15" s="12">
        <f>'KM-Servicio'!W89</f>
        <v>11284.18</v>
      </c>
      <c r="E15" s="12">
        <f t="shared" si="1"/>
        <v>106012.53000000003</v>
      </c>
      <c r="F15" s="167">
        <f>'KM-Servicio'!O89</f>
        <v>95.685406597133891</v>
      </c>
      <c r="G15" s="168">
        <f>SUM('KM-Servicio'!B89:C89)</f>
        <v>223</v>
      </c>
      <c r="H15" s="168">
        <f>SUM('KM-Servicio'!D89:E89)</f>
        <v>223</v>
      </c>
      <c r="I15" s="12">
        <f>'Oferta Diaria'!N35</f>
        <v>894835.47400000005</v>
      </c>
      <c r="J15" s="162" t="s">
        <v>137</v>
      </c>
      <c r="K15" s="165"/>
      <c r="L15" s="163"/>
    </row>
    <row r="16" spans="1:12" ht="16.5" customHeight="1" x14ac:dyDescent="0.25">
      <c r="A16" s="161">
        <v>45882</v>
      </c>
      <c r="B16" s="12">
        <f>'KM-Servicio'!N96</f>
        <v>11485</v>
      </c>
      <c r="C16" s="12">
        <f t="shared" si="0"/>
        <v>120866</v>
      </c>
      <c r="D16" s="12">
        <f>'KM-Servicio'!W96</f>
        <v>11121.97</v>
      </c>
      <c r="E16" s="12">
        <f t="shared" si="1"/>
        <v>117134.50000000003</v>
      </c>
      <c r="F16" s="167">
        <f>'KM-Servicio'!O96</f>
        <v>96.839094471049194</v>
      </c>
      <c r="G16" s="168">
        <f>SUM('KM-Servicio'!B96:C96)</f>
        <v>223</v>
      </c>
      <c r="H16" s="168">
        <f>SUM('KM-Servicio'!D96:E96)</f>
        <v>222</v>
      </c>
      <c r="I16" s="12">
        <f>'Oferta Diaria'!O35</f>
        <v>881972.2209999999</v>
      </c>
      <c r="J16" s="162" t="s">
        <v>137</v>
      </c>
      <c r="K16" s="165"/>
      <c r="L16" s="163"/>
    </row>
    <row r="17" spans="1:12" x14ac:dyDescent="0.25">
      <c r="A17" s="161">
        <v>45883</v>
      </c>
      <c r="B17" s="12">
        <f>'KM-Servicio'!N103</f>
        <v>11606</v>
      </c>
      <c r="C17" s="12">
        <f t="shared" si="0"/>
        <v>132472</v>
      </c>
      <c r="D17" s="12">
        <f>'KM-Servicio'!W103</f>
        <v>11162.46</v>
      </c>
      <c r="E17" s="12">
        <f t="shared" si="1"/>
        <v>128296.96000000002</v>
      </c>
      <c r="F17" s="167">
        <f>'KM-Servicio'!O103</f>
        <v>96.17835602274684</v>
      </c>
      <c r="G17" s="168">
        <f>SUM('KM-Servicio'!B103:C103)</f>
        <v>223</v>
      </c>
      <c r="H17" s="168">
        <f>SUM('KM-Servicio'!D103:E103)</f>
        <v>223</v>
      </c>
      <c r="I17" s="12">
        <f>'Oferta Diaria'!P35</f>
        <v>885183.07799999986</v>
      </c>
      <c r="J17" s="162" t="s">
        <v>137</v>
      </c>
      <c r="K17" s="165"/>
      <c r="L17" s="163"/>
    </row>
    <row r="18" spans="1:12" x14ac:dyDescent="0.25">
      <c r="A18" s="161">
        <v>45884</v>
      </c>
      <c r="B18" s="12">
        <f>'KM-Servicio'!N110</f>
        <v>4954</v>
      </c>
      <c r="C18" s="12">
        <f t="shared" si="0"/>
        <v>137426</v>
      </c>
      <c r="D18" s="12">
        <f>'KM-Servicio'!W110</f>
        <v>4916.8200000000006</v>
      </c>
      <c r="E18" s="12">
        <f t="shared" si="1"/>
        <v>133213.78000000003</v>
      </c>
      <c r="F18" s="167">
        <f>'KM-Servicio'!O110</f>
        <v>99.24949535728706</v>
      </c>
      <c r="G18" s="168">
        <f>SUM('KM-Servicio'!B110:C110)</f>
        <v>111</v>
      </c>
      <c r="H18" s="168">
        <f>SUM('KM-Servicio'!D110:E110)</f>
        <v>111</v>
      </c>
      <c r="I18" s="12">
        <f>'Oferta Diaria'!Q35</f>
        <v>389903.82600000006</v>
      </c>
      <c r="J18" s="176" t="s">
        <v>136</v>
      </c>
      <c r="K18" s="165"/>
      <c r="L18" s="163"/>
    </row>
    <row r="19" spans="1:12" ht="14.25" customHeight="1" x14ac:dyDescent="0.25">
      <c r="A19" s="161">
        <v>45885</v>
      </c>
      <c r="B19" s="12">
        <f>'KM-Servicio'!$N$117</f>
        <v>6494</v>
      </c>
      <c r="C19" s="12">
        <f t="shared" si="0"/>
        <v>143920</v>
      </c>
      <c r="D19" s="12">
        <f>'KM-Servicio'!$W$117</f>
        <v>6469.5</v>
      </c>
      <c r="E19" s="12">
        <f t="shared" si="1"/>
        <v>139683.28000000003</v>
      </c>
      <c r="F19" s="167">
        <f>'KM-Servicio'!O117</f>
        <v>99.62272867262088</v>
      </c>
      <c r="G19" s="168">
        <f>SUM('KM-Servicio'!B117:C117)</f>
        <v>147</v>
      </c>
      <c r="H19" s="168">
        <f>SUM('KM-Servicio'!D117:E117)</f>
        <v>147</v>
      </c>
      <c r="I19" s="12">
        <f>'Oferta Diaria'!R35</f>
        <v>513031.35</v>
      </c>
      <c r="J19" s="176" t="s">
        <v>138</v>
      </c>
      <c r="K19" s="145"/>
    </row>
    <row r="20" spans="1:12" x14ac:dyDescent="0.25">
      <c r="A20" s="161">
        <v>45886</v>
      </c>
      <c r="B20" s="12">
        <f>'KM-Servicio'!$N$124</f>
        <v>4993</v>
      </c>
      <c r="C20" s="12">
        <f t="shared" si="0"/>
        <v>148913</v>
      </c>
      <c r="D20" s="12">
        <f>'KM-Servicio'!$W$124</f>
        <v>4916.8200000000006</v>
      </c>
      <c r="E20" s="12">
        <f t="shared" si="1"/>
        <v>144600.10000000003</v>
      </c>
      <c r="F20" s="167">
        <f>'KM-Servicio'!O124</f>
        <v>98.474263969557398</v>
      </c>
      <c r="G20" s="168">
        <f>SUM('KM-Servicio'!B124:C124)</f>
        <v>111</v>
      </c>
      <c r="H20" s="168">
        <f>SUM('KM-Servicio'!D124:E124)</f>
        <v>111</v>
      </c>
      <c r="I20" s="12">
        <f>'Oferta Diaria'!S35</f>
        <v>389903.82600000006</v>
      </c>
      <c r="J20" s="176" t="s">
        <v>136</v>
      </c>
      <c r="K20" s="165"/>
      <c r="L20" s="163"/>
    </row>
    <row r="21" spans="1:12" x14ac:dyDescent="0.25">
      <c r="A21" s="161">
        <v>45887</v>
      </c>
      <c r="B21" s="12">
        <f>'KM-Servicio'!N131</f>
        <v>12045</v>
      </c>
      <c r="C21" s="12">
        <f t="shared" si="0"/>
        <v>160958</v>
      </c>
      <c r="D21" s="12">
        <f>'KM-Servicio'!$W$131</f>
        <v>11639.03</v>
      </c>
      <c r="E21" s="12">
        <f t="shared" si="1"/>
        <v>156239.13000000003</v>
      </c>
      <c r="F21" s="167">
        <f>'KM-Servicio'!O131</f>
        <v>96.629555832295566</v>
      </c>
      <c r="G21" s="168">
        <f>SUM('KM-Servicio'!B131:C131)</f>
        <v>223</v>
      </c>
      <c r="H21" s="168">
        <f>SUM('KM-Servicio'!D131:E131)</f>
        <v>222</v>
      </c>
      <c r="I21" s="12">
        <f>'Oferta Diaria'!T35</f>
        <v>922975.07899999991</v>
      </c>
      <c r="J21" s="162" t="s">
        <v>137</v>
      </c>
      <c r="K21" s="165"/>
      <c r="L21" s="163"/>
    </row>
    <row r="22" spans="1:12" x14ac:dyDescent="0.25">
      <c r="A22" s="161">
        <v>45888</v>
      </c>
      <c r="B22" s="12">
        <f>'KM-Servicio'!N138</f>
        <v>12094</v>
      </c>
      <c r="C22" s="12">
        <f t="shared" si="0"/>
        <v>173052</v>
      </c>
      <c r="D22" s="12">
        <f>'KM-Servicio'!$W$138</f>
        <v>11618.909999999998</v>
      </c>
      <c r="E22" s="12">
        <f t="shared" si="1"/>
        <v>167858.04000000004</v>
      </c>
      <c r="F22" s="172">
        <f>'KM-Servicio'!O138</f>
        <v>96.071688440549025</v>
      </c>
      <c r="G22" s="168">
        <f>SUM('KM-Servicio'!B138:C138)</f>
        <v>223</v>
      </c>
      <c r="H22" s="168">
        <f>SUM('KM-Servicio'!D138:E138)</f>
        <v>223</v>
      </c>
      <c r="I22" s="12">
        <f>'Oferta Diaria'!U35</f>
        <v>921379.56299999997</v>
      </c>
      <c r="J22" s="162" t="s">
        <v>137</v>
      </c>
      <c r="K22" s="165"/>
      <c r="L22" s="163"/>
    </row>
    <row r="23" spans="1:12" x14ac:dyDescent="0.25">
      <c r="A23" s="161">
        <v>45889</v>
      </c>
      <c r="B23" s="12">
        <f>'KM-Servicio'!N145</f>
        <v>12033</v>
      </c>
      <c r="C23" s="12">
        <f t="shared" si="0"/>
        <v>185085</v>
      </c>
      <c r="D23" s="12">
        <f>'KM-Servicio'!$W$145</f>
        <v>11786.400000000001</v>
      </c>
      <c r="E23" s="12">
        <f t="shared" si="1"/>
        <v>179644.44000000003</v>
      </c>
      <c r="F23" s="172">
        <f>'KM-Servicio'!O145</f>
        <v>97.950635751682881</v>
      </c>
      <c r="G23" s="168">
        <f>SUM('KM-Servicio'!B145:C145)</f>
        <v>223</v>
      </c>
      <c r="H23" s="168">
        <f>SUM('KM-Servicio'!D145:E145)</f>
        <v>223</v>
      </c>
      <c r="I23" s="12">
        <f>'Oferta Diaria'!V35</f>
        <v>934661.5199999999</v>
      </c>
      <c r="J23" s="162" t="s">
        <v>137</v>
      </c>
      <c r="K23" s="165"/>
      <c r="L23" s="163"/>
    </row>
    <row r="24" spans="1:12" x14ac:dyDescent="0.25">
      <c r="A24" s="161">
        <v>45890</v>
      </c>
      <c r="B24" s="12">
        <f>'KM-Servicio'!N152</f>
        <v>12190</v>
      </c>
      <c r="C24" s="12">
        <f t="shared" si="0"/>
        <v>197275</v>
      </c>
      <c r="D24" s="12">
        <f>'KM-Servicio'!$W$152</f>
        <v>11481.03</v>
      </c>
      <c r="E24" s="12">
        <f t="shared" si="1"/>
        <v>191125.47000000003</v>
      </c>
      <c r="F24" s="167">
        <f>'KM-Servicio'!O152</f>
        <v>94.184003281378182</v>
      </c>
      <c r="G24" s="168">
        <f>SUM('KM-Servicio'!B152:C152)</f>
        <v>223</v>
      </c>
      <c r="H24" s="168">
        <f>SUM('KM-Servicio'!D152:E152)</f>
        <v>221</v>
      </c>
      <c r="I24" s="12">
        <f>'Oferta Diaria'!W35</f>
        <v>910445.679</v>
      </c>
      <c r="J24" s="162" t="s">
        <v>137</v>
      </c>
      <c r="K24" s="165"/>
      <c r="L24" s="163"/>
    </row>
    <row r="25" spans="1:12" x14ac:dyDescent="0.25">
      <c r="A25" s="161">
        <v>45891</v>
      </c>
      <c r="B25" s="12">
        <f>'KM-Servicio'!N159</f>
        <v>11146</v>
      </c>
      <c r="C25" s="12">
        <f t="shared" si="0"/>
        <v>208421</v>
      </c>
      <c r="D25" s="12">
        <f>'KM-Servicio'!$W$159</f>
        <v>10766.87</v>
      </c>
      <c r="E25" s="12">
        <f t="shared" si="1"/>
        <v>201892.34000000003</v>
      </c>
      <c r="F25" s="167">
        <f>'KM-Servicio'!O159</f>
        <v>96.598510676475868</v>
      </c>
      <c r="G25" s="168">
        <f>SUM('KM-Servicio'!B159:C159)</f>
        <v>223</v>
      </c>
      <c r="H25" s="168">
        <f>SUM('KM-Servicio'!D159:E159)</f>
        <v>223</v>
      </c>
      <c r="I25" s="12">
        <f>'Oferta Diaria'!X35</f>
        <v>853812.79100000008</v>
      </c>
      <c r="J25" s="162" t="s">
        <v>137</v>
      </c>
      <c r="K25" s="165"/>
      <c r="L25" s="163"/>
    </row>
    <row r="26" spans="1:12" x14ac:dyDescent="0.25">
      <c r="A26" s="161">
        <v>45892</v>
      </c>
      <c r="B26" s="12">
        <f>'KM-Servicio'!N166</f>
        <v>6527</v>
      </c>
      <c r="C26" s="12">
        <f t="shared" si="0"/>
        <v>214948</v>
      </c>
      <c r="D26" s="12">
        <f>'KM-Servicio'!$W$166</f>
        <v>6469.5</v>
      </c>
      <c r="E26" s="12">
        <f t="shared" si="1"/>
        <v>208361.84000000003</v>
      </c>
      <c r="F26" s="167">
        <f>'KM-Servicio'!O166</f>
        <v>99.119043971196561</v>
      </c>
      <c r="G26" s="168">
        <f>SUM('KM-Servicio'!B166:C166)</f>
        <v>147</v>
      </c>
      <c r="H26" s="168">
        <f>SUM('KM-Servicio'!D166:E166)</f>
        <v>147</v>
      </c>
      <c r="I26" s="12">
        <f>'Oferta Diaria'!Y35</f>
        <v>513031.35</v>
      </c>
      <c r="J26" s="176" t="s">
        <v>138</v>
      </c>
      <c r="K26" s="165"/>
      <c r="L26" s="163"/>
    </row>
    <row r="27" spans="1:12" x14ac:dyDescent="0.25">
      <c r="A27" s="161">
        <v>45893</v>
      </c>
      <c r="B27" s="12">
        <f>'KM-Servicio'!N173</f>
        <v>4947</v>
      </c>
      <c r="C27" s="12">
        <f t="shared" si="0"/>
        <v>219895</v>
      </c>
      <c r="D27" s="12">
        <f>'KM-Servicio'!$W$173</f>
        <v>4916.8200000000006</v>
      </c>
      <c r="E27" s="12">
        <f t="shared" si="1"/>
        <v>213278.66000000003</v>
      </c>
      <c r="F27" s="167">
        <f>'KM-Servicio'!O173</f>
        <v>99.389933292904814</v>
      </c>
      <c r="G27" s="168">
        <f>SUM('KM-Servicio'!B173:C173)</f>
        <v>111</v>
      </c>
      <c r="H27" s="168">
        <f>SUM('KM-Servicio'!D173:E173)</f>
        <v>111</v>
      </c>
      <c r="I27" s="12">
        <f>'Oferta Diaria'!Z35</f>
        <v>389903.82600000006</v>
      </c>
      <c r="J27" s="176" t="s">
        <v>136</v>
      </c>
      <c r="K27" s="165"/>
      <c r="L27" s="163"/>
    </row>
    <row r="28" spans="1:12" x14ac:dyDescent="0.25">
      <c r="A28" s="161">
        <v>45894</v>
      </c>
      <c r="B28" s="12">
        <f>'KM-Servicio'!N180</f>
        <v>11828</v>
      </c>
      <c r="C28" s="12">
        <f t="shared" si="0"/>
        <v>231723</v>
      </c>
      <c r="D28" s="12">
        <f>'KM-Servicio'!$W$180</f>
        <v>11525.23</v>
      </c>
      <c r="E28" s="12">
        <f t="shared" si="1"/>
        <v>224803.89000000004</v>
      </c>
      <c r="F28" s="167">
        <f>'KM-Servicio'!O180</f>
        <v>97.440226580994249</v>
      </c>
      <c r="G28" s="168">
        <f>SUM('KM-Servicio'!B180:C180)</f>
        <v>223</v>
      </c>
      <c r="H28" s="168">
        <f>SUM('KM-Servicio'!D180:E180)</f>
        <v>223</v>
      </c>
      <c r="I28" s="12">
        <f>'Oferta Diaria'!AA35</f>
        <v>913950.73899999994</v>
      </c>
      <c r="J28" s="162" t="s">
        <v>137</v>
      </c>
      <c r="K28" s="165"/>
      <c r="L28" s="163"/>
    </row>
    <row r="29" spans="1:12" x14ac:dyDescent="0.25">
      <c r="A29" s="161">
        <v>45895</v>
      </c>
      <c r="B29" s="12">
        <f>'KM-Servicio'!N187</f>
        <v>12133</v>
      </c>
      <c r="C29" s="12">
        <f t="shared" si="0"/>
        <v>243856</v>
      </c>
      <c r="D29" s="12">
        <f>'KM-Servicio'!$W$187</f>
        <v>11473.11</v>
      </c>
      <c r="E29" s="12">
        <f t="shared" si="1"/>
        <v>236277.00000000006</v>
      </c>
      <c r="F29" s="167">
        <f>'KM-Servicio'!O187</f>
        <v>94.561196736174082</v>
      </c>
      <c r="G29" s="168">
        <f>SUM('KM-Servicio'!B187:C187)</f>
        <v>223</v>
      </c>
      <c r="H29" s="168">
        <f>SUM('KM-Servicio'!D187:E187)</f>
        <v>220</v>
      </c>
      <c r="I29" s="12">
        <f>'Oferta Diaria'!AB35</f>
        <v>909817.62300000002</v>
      </c>
      <c r="J29" s="162" t="s">
        <v>137</v>
      </c>
      <c r="K29" s="165"/>
      <c r="L29" s="163"/>
    </row>
    <row r="30" spans="1:12" x14ac:dyDescent="0.25">
      <c r="A30" s="161">
        <v>45896</v>
      </c>
      <c r="B30" s="12">
        <f>'KM-Servicio'!N194</f>
        <v>12138</v>
      </c>
      <c r="C30" s="12">
        <f t="shared" si="0"/>
        <v>255994</v>
      </c>
      <c r="D30" s="12">
        <f>'KM-Servicio'!$W$194</f>
        <v>11732.960000000001</v>
      </c>
      <c r="E30" s="12">
        <f t="shared" si="1"/>
        <v>248009.96000000005</v>
      </c>
      <c r="F30" s="167">
        <f>'KM-Servicio'!O194</f>
        <v>96.663041687263146</v>
      </c>
      <c r="G30" s="168">
        <f>SUM('KM-Servicio'!B194:C194)</f>
        <v>223</v>
      </c>
      <c r="H30" s="168">
        <f>SUM('KM-Servicio'!D194:E194)</f>
        <v>223</v>
      </c>
      <c r="I30" s="12">
        <f>'Oferta Diaria'!AC35</f>
        <v>930423.728</v>
      </c>
      <c r="J30" s="162" t="s">
        <v>137</v>
      </c>
      <c r="K30" s="165"/>
      <c r="L30" s="163"/>
    </row>
    <row r="31" spans="1:12" x14ac:dyDescent="0.25">
      <c r="A31" s="161">
        <v>45897</v>
      </c>
      <c r="B31" s="12">
        <f>'KM-Servicio'!N201</f>
        <v>12064</v>
      </c>
      <c r="C31" s="12">
        <f t="shared" si="0"/>
        <v>268058</v>
      </c>
      <c r="D31" s="12">
        <f>'KM-Servicio'!$W$201</f>
        <v>11580.810000000001</v>
      </c>
      <c r="E31" s="12">
        <f t="shared" si="1"/>
        <v>259590.77000000005</v>
      </c>
      <c r="F31" s="167">
        <f>'KM-Servicio'!O201</f>
        <v>95.994777851458906</v>
      </c>
      <c r="G31" s="168">
        <f>SUM('KM-Servicio'!B201:C201)</f>
        <v>223</v>
      </c>
      <c r="H31" s="168">
        <f>SUM('KM-Servicio'!D201:E201)</f>
        <v>223</v>
      </c>
      <c r="I31" s="12">
        <f>'Oferta Diaria'!AD35</f>
        <v>918358.23300000012</v>
      </c>
      <c r="J31" s="162" t="s">
        <v>137</v>
      </c>
      <c r="K31" s="165"/>
      <c r="L31" s="164"/>
    </row>
    <row r="32" spans="1:12" x14ac:dyDescent="0.25">
      <c r="A32" s="161">
        <v>45898</v>
      </c>
      <c r="B32" s="12">
        <f>'KM-Servicio'!N208</f>
        <v>11839</v>
      </c>
      <c r="C32" s="12">
        <f>B32+C31</f>
        <v>279897</v>
      </c>
      <c r="D32" s="12">
        <f>'KM-Servicio'!$W$208</f>
        <v>11489.77</v>
      </c>
      <c r="E32" s="12">
        <f>D32+E31</f>
        <v>271080.54000000004</v>
      </c>
      <c r="F32" s="167">
        <f>'KM-Servicio'!O208</f>
        <v>97.050173156516607</v>
      </c>
      <c r="G32" s="168">
        <f>SUM('KM-Servicio'!B208:C208)</f>
        <v>223</v>
      </c>
      <c r="H32" s="168">
        <f>SUM('KM-Servicio'!D208:E208)</f>
        <v>223</v>
      </c>
      <c r="I32" s="12">
        <f>'Oferta Diaria'!AE35</f>
        <v>911138.76100000006</v>
      </c>
      <c r="J32" s="162" t="s">
        <v>137</v>
      </c>
      <c r="K32" s="165"/>
      <c r="L32" s="164"/>
    </row>
    <row r="33" spans="1:14" x14ac:dyDescent="0.25">
      <c r="A33" s="161">
        <v>45899</v>
      </c>
      <c r="B33" s="12">
        <f>'KM-Servicio'!N215</f>
        <v>6505</v>
      </c>
      <c r="C33" s="12">
        <f>B33+C32</f>
        <v>286402</v>
      </c>
      <c r="D33" s="12">
        <f>'KM-Servicio'!$W$215</f>
        <v>6469.5</v>
      </c>
      <c r="E33" s="12">
        <f>D33+E32</f>
        <v>277550.04000000004</v>
      </c>
      <c r="F33" s="167">
        <f>'KM-Servicio'!O215</f>
        <v>99.454265949269796</v>
      </c>
      <c r="G33" s="168">
        <f>SUM('KM-Servicio'!B215:C215)</f>
        <v>147</v>
      </c>
      <c r="H33" s="168">
        <f>SUM('KM-Servicio'!D215:E215)</f>
        <v>147</v>
      </c>
      <c r="I33" s="12">
        <f>'Oferta Diaria'!AF35</f>
        <v>513031.35</v>
      </c>
      <c r="J33" s="176" t="s">
        <v>138</v>
      </c>
      <c r="K33" s="165"/>
      <c r="L33" s="164"/>
      <c r="M33" s="251"/>
      <c r="N33" s="251"/>
    </row>
    <row r="34" spans="1:14" x14ac:dyDescent="0.25">
      <c r="A34" s="161">
        <v>45900</v>
      </c>
      <c r="B34" s="12">
        <f>'KM-Servicio'!N222</f>
        <v>5120</v>
      </c>
      <c r="C34" s="12">
        <f>B34+C33</f>
        <v>291522</v>
      </c>
      <c r="D34" s="12">
        <f>'KM-Servicio'!$W$222</f>
        <v>4916.8200000000006</v>
      </c>
      <c r="E34" s="12">
        <f>D34+E33</f>
        <v>282466.86000000004</v>
      </c>
      <c r="F34" s="167">
        <f>'KM-Servicio'!O222</f>
        <v>96.031640625000009</v>
      </c>
      <c r="G34" s="168">
        <f>SUM('KM-Servicio'!B222:C222)</f>
        <v>111</v>
      </c>
      <c r="H34" s="168">
        <f>SUM('KM-Servicio'!D222:E222)</f>
        <v>111</v>
      </c>
      <c r="I34" s="12">
        <f>'Oferta Diaria'!AG35</f>
        <v>389903.82600000006</v>
      </c>
      <c r="J34" s="176" t="s">
        <v>136</v>
      </c>
      <c r="K34" s="165"/>
      <c r="L34" s="164"/>
      <c r="M34" s="251"/>
      <c r="N34" s="251"/>
    </row>
    <row r="35" spans="1:14" x14ac:dyDescent="0.25">
      <c r="A35" s="169" t="s">
        <v>135</v>
      </c>
      <c r="B35" s="170">
        <f>SUM(B4:B34)</f>
        <v>291522</v>
      </c>
      <c r="C35" s="170">
        <f>SUM(C4:C34)</f>
        <v>4587924</v>
      </c>
      <c r="D35" s="170">
        <f>SUM(D4:D34)</f>
        <v>282466.86000000004</v>
      </c>
      <c r="E35" s="170">
        <f>SUM(E4:E34)</f>
        <v>4447639.9200000009</v>
      </c>
      <c r="F35" s="171">
        <f>AVERAGE(F4:F34)</f>
        <v>97.174735127579325</v>
      </c>
      <c r="G35" s="170">
        <f>SUM(G4:G34)</f>
        <v>5861</v>
      </c>
      <c r="H35" s="170">
        <f>SUM(H4:H34)</f>
        <v>5848</v>
      </c>
      <c r="I35" s="170">
        <f>SUM(I4:I34)</f>
        <v>22399621.998</v>
      </c>
      <c r="J35" s="30"/>
      <c r="K35" s="169"/>
      <c r="L35" s="251"/>
      <c r="M35" s="251"/>
      <c r="N35" s="251"/>
    </row>
    <row r="39" spans="1:14" x14ac:dyDescent="0.25">
      <c r="F39" s="163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2" t="s">
        <v>98</v>
      </c>
      <c r="B3" s="373"/>
      <c r="C3" s="373"/>
      <c r="D3" s="374"/>
    </row>
    <row r="4" spans="1:15" x14ac:dyDescent="0.25">
      <c r="A4" s="97" t="s">
        <v>99</v>
      </c>
      <c r="B4" s="98" t="s">
        <v>100</v>
      </c>
      <c r="C4" s="99" t="s">
        <v>54</v>
      </c>
      <c r="D4" s="99" t="s">
        <v>101</v>
      </c>
    </row>
    <row r="5" spans="1:15" x14ac:dyDescent="0.25">
      <c r="A5" s="34" t="s">
        <v>102</v>
      </c>
      <c r="B5" s="130">
        <f>C5/30</f>
        <v>234.96666666666667</v>
      </c>
      <c r="C5" s="131">
        <f>'KM-Servicio'!J241</f>
        <v>7049</v>
      </c>
      <c r="D5" s="131">
        <f>'KM-Servicio'!C236</f>
        <v>7102</v>
      </c>
    </row>
    <row r="6" spans="1:15" x14ac:dyDescent="0.25">
      <c r="A6" s="34" t="s">
        <v>103</v>
      </c>
      <c r="B6" s="130">
        <f>C6/30</f>
        <v>194.93333333333334</v>
      </c>
      <c r="C6" s="131">
        <f>'KM-Servicio'!K234</f>
        <v>5848</v>
      </c>
      <c r="D6" s="131">
        <f>'KM-Servicio'!D234</f>
        <v>5861</v>
      </c>
    </row>
    <row r="7" spans="1:15" x14ac:dyDescent="0.25">
      <c r="A7" s="34" t="s">
        <v>66</v>
      </c>
      <c r="B7" s="130">
        <f>C7/30</f>
        <v>9480.9596666666675</v>
      </c>
      <c r="C7" s="131">
        <f>'KM-Servicio'!M234</f>
        <v>284428.79000000004</v>
      </c>
      <c r="D7" s="131">
        <f>'KM-Servicio'!F234</f>
        <v>286494.90000000002</v>
      </c>
    </row>
    <row r="8" spans="1:15" x14ac:dyDescent="0.25">
      <c r="A8" s="34" t="s">
        <v>104</v>
      </c>
      <c r="B8" s="130">
        <f>C8/30</f>
        <v>7794.5126666666674</v>
      </c>
      <c r="C8" s="131">
        <f>'KM-Servicio'!L234</f>
        <v>233835.38000000003</v>
      </c>
      <c r="D8" s="131">
        <f>'KM-Servicio'!E234</f>
        <v>234204.33000000002</v>
      </c>
    </row>
    <row r="9" spans="1:15" x14ac:dyDescent="0.25">
      <c r="A9" s="34" t="s">
        <v>105</v>
      </c>
      <c r="B9" s="130">
        <f>C9/30</f>
        <v>986019.80533333332</v>
      </c>
      <c r="C9" s="131">
        <f>'KM-Servicio'!N234</f>
        <v>29580594.16</v>
      </c>
      <c r="D9" s="131">
        <f>'KM-Servicio'!G234</f>
        <v>29795469.600000001</v>
      </c>
    </row>
    <row r="10" spans="1:15" x14ac:dyDescent="0.25">
      <c r="A10" s="34" t="s">
        <v>106</v>
      </c>
      <c r="B10" s="130"/>
      <c r="C10" s="132"/>
      <c r="J10" s="102"/>
    </row>
    <row r="11" spans="1:15" x14ac:dyDescent="0.25">
      <c r="A11" s="34" t="s">
        <v>107</v>
      </c>
      <c r="B11" s="130">
        <f>C11/30</f>
        <v>40531.73333333333</v>
      </c>
      <c r="C11" s="203">
        <v>1215952</v>
      </c>
      <c r="D11" s="133" t="s">
        <v>145</v>
      </c>
      <c r="E11" s="100"/>
      <c r="H11" s="102"/>
      <c r="I11" s="102"/>
      <c r="J11" s="102"/>
      <c r="K11" s="102"/>
      <c r="L11" s="105"/>
      <c r="M11" s="101"/>
      <c r="N11" s="101"/>
    </row>
    <row r="12" spans="1:15" ht="15.75" thickBot="1" x14ac:dyDescent="0.3">
      <c r="A12" s="34" t="s">
        <v>108</v>
      </c>
      <c r="B12" s="133"/>
      <c r="C12" s="130"/>
      <c r="D12" s="133"/>
      <c r="F12" s="101"/>
      <c r="G12" s="102"/>
      <c r="H12" s="102"/>
      <c r="I12" s="102"/>
      <c r="J12" s="102"/>
    </row>
    <row r="13" spans="1:15" ht="15.75" thickBot="1" x14ac:dyDescent="0.3">
      <c r="A13" s="375" t="s">
        <v>109</v>
      </c>
      <c r="B13" s="376"/>
      <c r="C13" s="376"/>
      <c r="D13" s="377"/>
      <c r="F13" s="141"/>
      <c r="G13" s="142"/>
      <c r="H13" s="142"/>
      <c r="I13" s="142"/>
      <c r="J13" s="142"/>
      <c r="K13" s="141"/>
      <c r="L13" s="142"/>
      <c r="M13" s="142"/>
      <c r="N13" s="43"/>
    </row>
    <row r="14" spans="1:15" x14ac:dyDescent="0.25">
      <c r="A14" s="103"/>
      <c r="B14" s="98"/>
      <c r="C14" s="99"/>
      <c r="D14" s="99"/>
      <c r="F14" s="143"/>
      <c r="G14" s="143"/>
      <c r="H14" s="141"/>
      <c r="I14" s="141"/>
      <c r="J14" s="141"/>
      <c r="K14" s="141"/>
      <c r="L14" s="141"/>
      <c r="M14" s="43"/>
      <c r="N14" s="43"/>
    </row>
    <row r="15" spans="1:15" x14ac:dyDescent="0.25">
      <c r="A15" s="106"/>
      <c r="B15" s="145"/>
      <c r="C15" s="145"/>
      <c r="D15" s="108"/>
      <c r="F15" s="141"/>
      <c r="G15" s="141"/>
      <c r="H15" s="141"/>
      <c r="I15" s="141"/>
      <c r="J15" s="141"/>
      <c r="K15" s="142"/>
      <c r="L15" s="142"/>
      <c r="M15" s="142"/>
      <c r="N15" s="142"/>
    </row>
    <row r="16" spans="1:15" x14ac:dyDescent="0.25">
      <c r="A16" s="106"/>
      <c r="B16" s="107"/>
      <c r="C16" s="107"/>
      <c r="D16" s="108"/>
      <c r="F16" s="141"/>
      <c r="G16" s="371"/>
      <c r="H16" s="371"/>
      <c r="I16" s="141"/>
      <c r="J16" s="141"/>
      <c r="K16" s="141"/>
      <c r="L16" s="142"/>
      <c r="M16" s="142"/>
      <c r="N16" s="142"/>
      <c r="O16" s="101"/>
    </row>
    <row r="17" spans="1:15" x14ac:dyDescent="0.25">
      <c r="A17" s="106"/>
      <c r="B17" s="107"/>
      <c r="C17" s="107"/>
      <c r="D17" s="108"/>
      <c r="F17" s="141"/>
      <c r="G17" s="371"/>
      <c r="H17" s="371"/>
      <c r="I17" s="141"/>
      <c r="J17" s="142"/>
      <c r="K17" s="142"/>
      <c r="L17" s="142"/>
      <c r="M17" s="142"/>
      <c r="N17" s="142"/>
      <c r="O17" s="102"/>
    </row>
    <row r="18" spans="1:15" x14ac:dyDescent="0.25">
      <c r="A18" s="106"/>
      <c r="B18" s="107"/>
      <c r="C18" s="107"/>
      <c r="D18" s="108"/>
      <c r="F18" s="141"/>
      <c r="G18" s="371"/>
      <c r="H18" s="371"/>
      <c r="I18" s="142"/>
      <c r="J18" s="142"/>
      <c r="K18" s="43"/>
      <c r="L18" s="43"/>
      <c r="M18" s="43"/>
      <c r="N18" s="43"/>
    </row>
    <row r="19" spans="1:15" x14ac:dyDescent="0.25">
      <c r="A19" s="106"/>
      <c r="B19" s="112"/>
      <c r="C19" s="112"/>
      <c r="D19" s="108"/>
      <c r="F19" s="141"/>
      <c r="G19" s="371"/>
      <c r="H19" s="371"/>
      <c r="I19" s="142"/>
      <c r="J19" s="142"/>
      <c r="K19" s="43"/>
      <c r="L19" s="43"/>
      <c r="M19" s="43"/>
      <c r="N19" s="43"/>
    </row>
    <row r="20" spans="1:15" x14ac:dyDescent="0.25">
      <c r="A20" s="106"/>
      <c r="B20" s="107"/>
      <c r="C20" s="107"/>
      <c r="D20" s="108"/>
      <c r="F20" s="141"/>
      <c r="G20" s="371"/>
      <c r="H20" s="371"/>
      <c r="I20" s="142"/>
      <c r="J20" s="142"/>
      <c r="K20" s="43"/>
      <c r="L20" s="43"/>
      <c r="M20" s="43"/>
      <c r="N20" s="43"/>
    </row>
    <row r="21" spans="1:15" x14ac:dyDescent="0.25">
      <c r="A21" s="106"/>
      <c r="B21" s="107"/>
      <c r="C21" s="107"/>
      <c r="D21" s="108"/>
      <c r="F21" s="141"/>
      <c r="G21" s="371"/>
      <c r="H21" s="371"/>
      <c r="I21" s="141"/>
      <c r="J21" s="43"/>
      <c r="K21" s="43"/>
      <c r="L21" s="43"/>
      <c r="M21" s="43"/>
      <c r="N21" s="43"/>
    </row>
    <row r="22" spans="1:15" x14ac:dyDescent="0.25">
      <c r="A22" s="106"/>
      <c r="B22" s="107"/>
      <c r="C22" s="107"/>
      <c r="D22" s="108"/>
      <c r="F22" s="141"/>
      <c r="G22" s="142"/>
      <c r="H22" s="142"/>
      <c r="I22" s="142"/>
      <c r="J22" s="142"/>
      <c r="K22" s="141"/>
      <c r="L22" s="143"/>
      <c r="M22" s="141"/>
      <c r="N22" s="43"/>
    </row>
    <row r="23" spans="1:15" ht="15.75" thickBot="1" x14ac:dyDescent="0.3">
      <c r="A23" s="109"/>
      <c r="B23" s="378"/>
      <c r="C23" s="379"/>
      <c r="D23" s="380"/>
      <c r="F23" s="144"/>
      <c r="G23" s="142"/>
      <c r="H23" s="142"/>
      <c r="I23" s="142"/>
      <c r="J23" s="43"/>
      <c r="K23" s="43"/>
      <c r="L23" s="43"/>
      <c r="M23" s="43"/>
      <c r="N23" s="43"/>
    </row>
    <row r="24" spans="1:15" ht="15.75" thickBot="1" x14ac:dyDescent="0.3">
      <c r="A24" s="375"/>
      <c r="B24" s="376"/>
      <c r="C24" s="376"/>
      <c r="D24" s="377"/>
      <c r="F24" s="142"/>
      <c r="G24" s="142"/>
      <c r="H24" s="142"/>
      <c r="I24" s="141"/>
      <c r="J24" s="143"/>
      <c r="K24" s="141"/>
      <c r="L24" s="142"/>
      <c r="M24" s="142"/>
      <c r="N24" s="43"/>
    </row>
    <row r="25" spans="1:15" x14ac:dyDescent="0.25">
      <c r="A25" s="103"/>
      <c r="B25" s="98"/>
      <c r="C25" s="99"/>
      <c r="D25" s="99"/>
      <c r="F25" s="141"/>
      <c r="G25" s="101"/>
      <c r="H25" s="101"/>
      <c r="I25" s="104"/>
      <c r="J25" s="101"/>
      <c r="K25" s="102"/>
      <c r="L25" s="102"/>
      <c r="M25" s="102"/>
    </row>
    <row r="26" spans="1:15" x14ac:dyDescent="0.25">
      <c r="A26" s="106"/>
      <c r="B26" s="30"/>
      <c r="C26" s="30"/>
      <c r="D26" s="108"/>
      <c r="F26" s="146"/>
      <c r="G26" s="104"/>
      <c r="H26" s="104"/>
      <c r="I26" s="101"/>
      <c r="J26" s="102"/>
      <c r="K26" s="102"/>
      <c r="L26" s="102"/>
      <c r="M26" s="102"/>
    </row>
    <row r="27" spans="1:15" x14ac:dyDescent="0.25">
      <c r="A27" s="106"/>
      <c r="B27" s="129"/>
      <c r="C27" s="129"/>
      <c r="D27" s="108"/>
      <c r="F27" s="146"/>
      <c r="G27" s="101"/>
      <c r="H27" s="101"/>
      <c r="I27" s="101"/>
      <c r="J27" s="101"/>
      <c r="K27" s="101"/>
      <c r="L27" s="101"/>
    </row>
    <row r="28" spans="1:15" x14ac:dyDescent="0.25">
      <c r="A28" s="106"/>
      <c r="B28" s="110"/>
      <c r="C28" s="110"/>
      <c r="D28" s="108"/>
      <c r="F28" s="146"/>
      <c r="G28" s="102"/>
      <c r="H28" s="102"/>
      <c r="I28" s="102"/>
      <c r="J28" s="102"/>
      <c r="K28" s="102"/>
      <c r="L28" s="102"/>
      <c r="M28" s="102"/>
    </row>
    <row r="29" spans="1:15" x14ac:dyDescent="0.25">
      <c r="A29" s="106"/>
      <c r="B29" s="110"/>
      <c r="C29" s="110"/>
      <c r="D29" s="108"/>
      <c r="F29" s="146"/>
      <c r="G29" s="102"/>
      <c r="I29" s="111"/>
    </row>
    <row r="30" spans="1:15" x14ac:dyDescent="0.25">
      <c r="A30" s="106"/>
      <c r="B30" s="112"/>
      <c r="C30" s="112"/>
      <c r="D30" s="108"/>
      <c r="F30" s="146"/>
      <c r="G30" s="102"/>
      <c r="I30" s="101"/>
    </row>
    <row r="31" spans="1:15" x14ac:dyDescent="0.25">
      <c r="A31" s="106"/>
      <c r="B31" s="129"/>
      <c r="C31" s="129"/>
      <c r="D31" s="108"/>
      <c r="F31" s="146"/>
      <c r="G31" s="102"/>
      <c r="I31" s="101"/>
    </row>
    <row r="32" spans="1:15" x14ac:dyDescent="0.25">
      <c r="A32" s="106"/>
      <c r="B32" s="110"/>
      <c r="C32" s="110"/>
      <c r="D32" s="108"/>
      <c r="F32" s="141"/>
      <c r="G32" s="102"/>
      <c r="I32" s="101"/>
    </row>
    <row r="33" spans="1:9" x14ac:dyDescent="0.25">
      <c r="A33" s="113"/>
      <c r="B33" s="110"/>
      <c r="C33" s="110"/>
      <c r="D33" s="114"/>
      <c r="F33" s="111"/>
      <c r="G33" s="102"/>
      <c r="I33" s="101"/>
    </row>
    <row r="34" spans="1:9" ht="15.75" thickBot="1" x14ac:dyDescent="0.3">
      <c r="A34" s="107"/>
      <c r="B34" s="378"/>
      <c r="C34" s="379"/>
      <c r="D34" s="380"/>
      <c r="F34" s="101"/>
      <c r="I34" s="111"/>
    </row>
    <row r="35" spans="1:9" x14ac:dyDescent="0.25">
      <c r="F35" s="101"/>
      <c r="I35" s="101"/>
    </row>
    <row r="36" spans="1:9" x14ac:dyDescent="0.25">
      <c r="F36" s="101"/>
      <c r="I36" s="101"/>
    </row>
    <row r="37" spans="1:9" x14ac:dyDescent="0.25">
      <c r="F37" s="58"/>
      <c r="I37" s="58"/>
    </row>
    <row r="38" spans="1:9" x14ac:dyDescent="0.25">
      <c r="F38" s="101"/>
      <c r="I38" s="101"/>
    </row>
    <row r="39" spans="1:9" x14ac:dyDescent="0.25">
      <c r="F39" s="101"/>
      <c r="I39" s="101"/>
    </row>
    <row r="40" spans="1:9" x14ac:dyDescent="0.25">
      <c r="F40" s="101"/>
      <c r="I40" s="111"/>
    </row>
    <row r="41" spans="1:9" x14ac:dyDescent="0.25">
      <c r="F41" s="101"/>
      <c r="I41" s="101"/>
    </row>
    <row r="42" spans="1:9" x14ac:dyDescent="0.25">
      <c r="F42" s="58"/>
      <c r="I42" s="101"/>
    </row>
    <row r="43" spans="1:9" x14ac:dyDescent="0.25">
      <c r="F43" s="58"/>
      <c r="I43" s="101"/>
    </row>
    <row r="44" spans="1:9" x14ac:dyDescent="0.25">
      <c r="F44" s="58"/>
      <c r="I44" s="101"/>
    </row>
    <row r="45" spans="1:9" x14ac:dyDescent="0.25">
      <c r="F45" s="111"/>
    </row>
    <row r="46" spans="1:9" x14ac:dyDescent="0.25">
      <c r="F46" s="101"/>
    </row>
    <row r="47" spans="1:9" x14ac:dyDescent="0.25">
      <c r="F47" s="101"/>
    </row>
    <row r="48" spans="1:9" x14ac:dyDescent="0.25">
      <c r="F48" s="101"/>
    </row>
    <row r="49" spans="6:6" x14ac:dyDescent="0.25">
      <c r="F49" s="101"/>
    </row>
    <row r="50" spans="6:6" x14ac:dyDescent="0.25">
      <c r="F50" s="101"/>
    </row>
    <row r="51" spans="6:6" x14ac:dyDescent="0.25">
      <c r="F51" s="101"/>
    </row>
    <row r="52" spans="6:6" x14ac:dyDescent="0.25">
      <c r="F52" s="111"/>
    </row>
    <row r="53" spans="6:6" x14ac:dyDescent="0.25">
      <c r="F53" s="101"/>
    </row>
    <row r="54" spans="6:6" x14ac:dyDescent="0.25">
      <c r="F54" s="101"/>
    </row>
    <row r="55" spans="6:6" x14ac:dyDescent="0.25">
      <c r="F55" s="101"/>
    </row>
    <row r="56" spans="6:6" x14ac:dyDescent="0.25">
      <c r="F56" s="58"/>
    </row>
    <row r="57" spans="6:6" x14ac:dyDescent="0.25">
      <c r="F57" s="101"/>
    </row>
    <row r="58" spans="6:6" x14ac:dyDescent="0.25">
      <c r="F58" s="101"/>
    </row>
    <row r="59" spans="6:6" x14ac:dyDescent="0.25">
      <c r="F59" s="101"/>
    </row>
    <row r="60" spans="6:6" x14ac:dyDescent="0.25">
      <c r="F60" s="101"/>
    </row>
    <row r="61" spans="6:6" x14ac:dyDescent="0.25">
      <c r="F61" s="58"/>
    </row>
    <row r="62" spans="6:6" x14ac:dyDescent="0.25">
      <c r="F62" s="58"/>
    </row>
    <row r="63" spans="6:6" x14ac:dyDescent="0.25">
      <c r="F63" s="58"/>
    </row>
    <row r="64" spans="6:6" x14ac:dyDescent="0.25">
      <c r="F64" s="111"/>
    </row>
    <row r="65" spans="6:6" x14ac:dyDescent="0.25">
      <c r="F65" s="101"/>
    </row>
    <row r="66" spans="6:6" x14ac:dyDescent="0.25">
      <c r="F66" s="101"/>
    </row>
    <row r="67" spans="6:6" x14ac:dyDescent="0.25">
      <c r="F67" s="101"/>
    </row>
    <row r="68" spans="6:6" x14ac:dyDescent="0.25">
      <c r="F68" s="101"/>
    </row>
    <row r="69" spans="6:6" x14ac:dyDescent="0.25">
      <c r="F69" s="101"/>
    </row>
    <row r="70" spans="6:6" x14ac:dyDescent="0.25">
      <c r="F70" s="101"/>
    </row>
    <row r="71" spans="6:6" x14ac:dyDescent="0.25">
      <c r="F71" s="58"/>
    </row>
    <row r="73" spans="6:6" x14ac:dyDescent="0.25">
      <c r="F73" s="58"/>
    </row>
    <row r="74" spans="6:6" x14ac:dyDescent="0.25">
      <c r="F74" s="58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C3D43-152A-44B3-A043-F4C9C7D25E15}"/>
</file>

<file path=customXml/itemProps2.xml><?xml version="1.0" encoding="utf-8"?>
<ds:datastoreItem xmlns:ds="http://schemas.openxmlformats.org/officeDocument/2006/customXml" ds:itemID="{BD632E24-E822-445E-882E-11D3B53B5C30}"/>
</file>

<file path=customXml/itemProps3.xml><?xml version="1.0" encoding="utf-8"?>
<ds:datastoreItem xmlns:ds="http://schemas.openxmlformats.org/officeDocument/2006/customXml" ds:itemID="{C806F648-FDB4-4129-BFB5-4ADEA210A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2025-09-05T13:17:25Z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